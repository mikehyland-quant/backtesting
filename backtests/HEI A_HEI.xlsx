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884F3ED3-70B4-461A-8180-6ABAC9B463DB}" xr6:coauthVersionLast="47" xr6:coauthVersionMax="47" xr10:uidLastSave="{00000000-0000-0000-0000-000000000000}"/>
  <bookViews>
    <workbookView xWindow="-120" yWindow="-120" windowWidth="29040" windowHeight="15720" xr2:uid="{01953372-F20F-4B44-8D8C-E5D24B44D971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N38" i="1" s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50" i="1" l="1"/>
  <c r="AN59" i="1"/>
  <c r="AN47" i="1"/>
  <c r="AN144" i="1"/>
  <c r="AN57" i="1"/>
  <c r="AN157" i="1"/>
  <c r="AN51" i="1"/>
  <c r="AN44" i="1"/>
  <c r="AN171" i="1"/>
  <c r="AN169" i="1"/>
  <c r="AN168" i="1"/>
  <c r="AN167" i="1"/>
  <c r="AN49" i="1"/>
  <c r="AN27" i="1"/>
  <c r="AN176" i="1"/>
  <c r="AN172" i="1"/>
  <c r="AN161" i="1"/>
  <c r="AN123" i="1"/>
  <c r="AN83" i="1"/>
  <c r="AN68" i="1"/>
  <c r="AN61" i="1"/>
  <c r="AN23" i="1"/>
  <c r="AN165" i="1"/>
  <c r="AN145" i="1"/>
  <c r="AN143" i="1"/>
  <c r="AN60" i="1"/>
  <c r="AN54" i="1"/>
  <c r="AN28" i="1"/>
  <c r="AN146" i="1"/>
  <c r="AN136" i="1"/>
  <c r="AN115" i="1"/>
  <c r="AN112" i="1"/>
  <c r="AN80" i="1"/>
  <c r="AN46" i="1"/>
  <c r="AN164" i="1"/>
  <c r="AN155" i="1"/>
  <c r="AN149" i="1"/>
  <c r="AN148" i="1"/>
  <c r="AN147" i="1"/>
  <c r="AN122" i="1"/>
  <c r="AN120" i="1"/>
  <c r="AN116" i="1"/>
  <c r="AN113" i="1"/>
  <c r="AO113" i="1" s="1"/>
  <c r="AN67" i="1"/>
  <c r="AN55" i="1"/>
  <c r="AN50" i="1"/>
  <c r="AN48" i="1"/>
  <c r="AN25" i="1"/>
  <c r="AN65" i="1"/>
  <c r="AN79" i="1"/>
  <c r="AN52" i="1"/>
  <c r="AN45" i="1"/>
  <c r="AN24" i="1"/>
  <c r="AN66" i="1"/>
  <c r="AN84" i="1"/>
  <c r="AN64" i="1"/>
  <c r="AN62" i="1"/>
  <c r="AN26" i="1"/>
  <c r="AN114" i="1"/>
  <c r="AN81" i="1"/>
  <c r="AN56" i="1"/>
  <c r="AN53" i="1"/>
  <c r="AN159" i="1"/>
  <c r="AN153" i="1"/>
  <c r="AN111" i="1"/>
  <c r="AN87" i="1"/>
  <c r="AN82" i="1"/>
  <c r="AN63" i="1"/>
  <c r="AP175" i="1"/>
  <c r="AO175" i="1"/>
  <c r="AQ175" i="1" s="1"/>
  <c r="AL175" i="1"/>
  <c r="AL174" i="1"/>
  <c r="AO174" i="1"/>
  <c r="AP174" i="1"/>
  <c r="AO173" i="1"/>
  <c r="AP173" i="1"/>
  <c r="AL173" i="1"/>
  <c r="BA171" i="1"/>
  <c r="AZ171" i="1"/>
  <c r="BB171" i="1" s="1"/>
  <c r="AW171" i="1"/>
  <c r="AY172" i="1" s="1"/>
  <c r="AP170" i="1"/>
  <c r="AL170" i="1"/>
  <c r="AO170" i="1"/>
  <c r="AQ170" i="1" s="1"/>
  <c r="BA169" i="1"/>
  <c r="AZ169" i="1"/>
  <c r="BB169" i="1" s="1"/>
  <c r="AW169" i="1"/>
  <c r="AY170" i="1" s="1"/>
  <c r="AZ167" i="1"/>
  <c r="AW167" i="1"/>
  <c r="AY168" i="1" s="1"/>
  <c r="BA167" i="1"/>
  <c r="BA166" i="1"/>
  <c r="AW166" i="1"/>
  <c r="AZ166" i="1"/>
  <c r="BB166" i="1" s="1"/>
  <c r="AP166" i="1"/>
  <c r="AL166" i="1"/>
  <c r="AO166" i="1"/>
  <c r="AQ166" i="1" s="1"/>
  <c r="BE166" i="1" s="1"/>
  <c r="AL163" i="1"/>
  <c r="AO163" i="1"/>
  <c r="AP163" i="1"/>
  <c r="AL162" i="1"/>
  <c r="AO162" i="1"/>
  <c r="AP162" i="1"/>
  <c r="AW160" i="1"/>
  <c r="AY161" i="1" s="1"/>
  <c r="AZ160" i="1"/>
  <c r="BA160" i="1"/>
  <c r="AP160" i="1"/>
  <c r="AO160" i="1"/>
  <c r="AL160" i="1"/>
  <c r="AW159" i="1"/>
  <c r="BA159" i="1"/>
  <c r="AZ159" i="1"/>
  <c r="BB159" i="1" s="1"/>
  <c r="AZ158" i="1"/>
  <c r="AW158" i="1"/>
  <c r="BA158" i="1"/>
  <c r="AL158" i="1"/>
  <c r="AO158" i="1"/>
  <c r="AP158" i="1"/>
  <c r="AO156" i="1"/>
  <c r="AL156" i="1"/>
  <c r="AP156" i="1"/>
  <c r="AZ154" i="1"/>
  <c r="BA154" i="1"/>
  <c r="AW154" i="1"/>
  <c r="AY155" i="1" s="1"/>
  <c r="BA153" i="1"/>
  <c r="AW153" i="1"/>
  <c r="AZ153" i="1"/>
  <c r="BB153" i="1" s="1"/>
  <c r="AW152" i="1"/>
  <c r="BA152" i="1"/>
  <c r="AZ152" i="1"/>
  <c r="BB152" i="1" s="1"/>
  <c r="AP152" i="1"/>
  <c r="AL152" i="1"/>
  <c r="AO152" i="1"/>
  <c r="AQ152" i="1" s="1"/>
  <c r="BE152" i="1" s="1"/>
  <c r="AW151" i="1"/>
  <c r="BA151" i="1"/>
  <c r="AZ151" i="1"/>
  <c r="BB151" i="1" s="1"/>
  <c r="AO151" i="1"/>
  <c r="AP151" i="1"/>
  <c r="AL151" i="1"/>
  <c r="BA150" i="1"/>
  <c r="AW150" i="1"/>
  <c r="AZ150" i="1"/>
  <c r="BB150" i="1" s="1"/>
  <c r="AL150" i="1"/>
  <c r="AO150" i="1"/>
  <c r="AP150" i="1"/>
  <c r="BA149" i="1"/>
  <c r="AW149" i="1"/>
  <c r="AZ149" i="1"/>
  <c r="BB149" i="1" s="1"/>
  <c r="AW148" i="1"/>
  <c r="BA148" i="1"/>
  <c r="AZ148" i="1"/>
  <c r="BB148" i="1" s="1"/>
  <c r="AZ147" i="1"/>
  <c r="AW147" i="1"/>
  <c r="BA147" i="1"/>
  <c r="BA146" i="1"/>
  <c r="AZ146" i="1"/>
  <c r="BB146" i="1" s="1"/>
  <c r="AW146" i="1"/>
  <c r="AZ145" i="1"/>
  <c r="AW145" i="1"/>
  <c r="BA145" i="1"/>
  <c r="BA144" i="1"/>
  <c r="AW144" i="1"/>
  <c r="AZ144" i="1"/>
  <c r="BB144" i="1" s="1"/>
  <c r="AZ143" i="1"/>
  <c r="AW143" i="1"/>
  <c r="BA143" i="1"/>
  <c r="AZ142" i="1"/>
  <c r="BA142" i="1"/>
  <c r="AW142" i="1"/>
  <c r="AL142" i="1"/>
  <c r="AO142" i="1"/>
  <c r="AP142" i="1"/>
  <c r="AL141" i="1"/>
  <c r="AO141" i="1"/>
  <c r="AP141" i="1"/>
  <c r="AW140" i="1"/>
  <c r="AY141" i="1" s="1"/>
  <c r="AZ140" i="1"/>
  <c r="BA140" i="1"/>
  <c r="AL140" i="1"/>
  <c r="AP140" i="1"/>
  <c r="AO140" i="1"/>
  <c r="AQ140" i="1" s="1"/>
  <c r="BA139" i="1"/>
  <c r="AW139" i="1"/>
  <c r="AZ139" i="1"/>
  <c r="BB139" i="1" s="1"/>
  <c r="AL139" i="1"/>
  <c r="AO139" i="1"/>
  <c r="AP139" i="1"/>
  <c r="BA138" i="1"/>
  <c r="AZ138" i="1"/>
  <c r="BB138" i="1" s="1"/>
  <c r="AW138" i="1"/>
  <c r="AP138" i="1"/>
  <c r="AO138" i="1"/>
  <c r="AQ138" i="1" s="1"/>
  <c r="BE138" i="1" s="1"/>
  <c r="AL138" i="1"/>
  <c r="BA137" i="1"/>
  <c r="AW137" i="1"/>
  <c r="AZ137" i="1"/>
  <c r="BB137" i="1" s="1"/>
  <c r="AP137" i="1"/>
  <c r="AL137" i="1"/>
  <c r="AO137" i="1"/>
  <c r="AQ137" i="1" s="1"/>
  <c r="BE137" i="1" s="1"/>
  <c r="BA136" i="1"/>
  <c r="AW136" i="1"/>
  <c r="AZ136" i="1"/>
  <c r="BB136" i="1" s="1"/>
  <c r="AW135" i="1"/>
  <c r="BA135" i="1"/>
  <c r="AZ135" i="1"/>
  <c r="AZ134" i="1"/>
  <c r="BB134" i="1" s="1"/>
  <c r="AW134" i="1"/>
  <c r="BA134" i="1"/>
  <c r="AZ133" i="1"/>
  <c r="AW133" i="1"/>
  <c r="BA133" i="1"/>
  <c r="BA132" i="1"/>
  <c r="AW132" i="1"/>
  <c r="AZ132" i="1"/>
  <c r="BB132" i="1" s="1"/>
  <c r="AW131" i="1"/>
  <c r="BA131" i="1"/>
  <c r="AZ131" i="1"/>
  <c r="BB131" i="1" s="1"/>
  <c r="BA130" i="1"/>
  <c r="AZ130" i="1"/>
  <c r="BB130" i="1" s="1"/>
  <c r="AW130" i="1"/>
  <c r="BA129" i="1"/>
  <c r="AW129" i="1"/>
  <c r="AZ129" i="1"/>
  <c r="BB129" i="1" s="1"/>
  <c r="AZ128" i="1"/>
  <c r="BB128" i="1" s="1"/>
  <c r="AW128" i="1"/>
  <c r="BA128" i="1"/>
  <c r="AZ127" i="1"/>
  <c r="AW127" i="1"/>
  <c r="BA127" i="1"/>
  <c r="AW126" i="1"/>
  <c r="AZ126" i="1"/>
  <c r="BB126" i="1" s="1"/>
  <c r="BA126" i="1"/>
  <c r="BA125" i="1"/>
  <c r="AW125" i="1"/>
  <c r="AZ125" i="1"/>
  <c r="BB125" i="1" s="1"/>
  <c r="BA124" i="1"/>
  <c r="AW124" i="1"/>
  <c r="AZ124" i="1"/>
  <c r="BB124" i="1" s="1"/>
  <c r="AZ123" i="1"/>
  <c r="BB123" i="1" s="1"/>
  <c r="BA123" i="1"/>
  <c r="AW123" i="1"/>
  <c r="AW122" i="1"/>
  <c r="BA122" i="1"/>
  <c r="AZ122" i="1"/>
  <c r="BB122" i="1" s="1"/>
  <c r="AW121" i="1"/>
  <c r="AZ121" i="1"/>
  <c r="BB121" i="1" s="1"/>
  <c r="BA121" i="1"/>
  <c r="BA120" i="1"/>
  <c r="AW120" i="1"/>
  <c r="AZ120" i="1"/>
  <c r="BB120" i="1" s="1"/>
  <c r="BA119" i="1"/>
  <c r="AW119" i="1"/>
  <c r="AZ119" i="1"/>
  <c r="BB119" i="1" s="1"/>
  <c r="AW118" i="1"/>
  <c r="BA118" i="1"/>
  <c r="AZ118" i="1"/>
  <c r="BB118" i="1" s="1"/>
  <c r="AW117" i="1"/>
  <c r="AZ117" i="1"/>
  <c r="BB117" i="1" s="1"/>
  <c r="BA117" i="1"/>
  <c r="AZ116" i="1"/>
  <c r="AW116" i="1"/>
  <c r="BA116" i="1"/>
  <c r="AW115" i="1"/>
  <c r="AZ115" i="1"/>
  <c r="BA115" i="1"/>
  <c r="BA114" i="1"/>
  <c r="AW114" i="1"/>
  <c r="AZ114" i="1"/>
  <c r="BB114" i="1" s="1"/>
  <c r="AW113" i="1"/>
  <c r="BA113" i="1"/>
  <c r="AZ113" i="1"/>
  <c r="BB113" i="1" s="1"/>
  <c r="AZ112" i="1"/>
  <c r="BB112" i="1" s="1"/>
  <c r="AW112" i="1"/>
  <c r="BA112" i="1"/>
  <c r="AW111" i="1"/>
  <c r="AZ111" i="1"/>
  <c r="BA111" i="1"/>
  <c r="AZ110" i="1"/>
  <c r="AW110" i="1"/>
  <c r="BA110" i="1"/>
  <c r="AW109" i="1"/>
  <c r="BA109" i="1"/>
  <c r="AZ109" i="1"/>
  <c r="BB109" i="1" s="1"/>
  <c r="AW108" i="1"/>
  <c r="BA108" i="1"/>
  <c r="AZ108" i="1"/>
  <c r="BB108" i="1" s="1"/>
  <c r="AW107" i="1"/>
  <c r="BA107" i="1"/>
  <c r="AZ107" i="1"/>
  <c r="BB107" i="1" s="1"/>
  <c r="AZ106" i="1"/>
  <c r="AW106" i="1"/>
  <c r="BA106" i="1"/>
  <c r="AZ105" i="1"/>
  <c r="BA105" i="1"/>
  <c r="AW105" i="1"/>
  <c r="AW104" i="1"/>
  <c r="AZ104" i="1"/>
  <c r="BB104" i="1" s="1"/>
  <c r="BA104" i="1"/>
  <c r="BA103" i="1"/>
  <c r="AW103" i="1"/>
  <c r="AZ103" i="1"/>
  <c r="AZ102" i="1"/>
  <c r="AW102" i="1"/>
  <c r="BA102" i="1"/>
  <c r="AW101" i="1"/>
  <c r="BA101" i="1"/>
  <c r="AZ101" i="1"/>
  <c r="BB101" i="1" s="1"/>
  <c r="BA100" i="1"/>
  <c r="AW100" i="1"/>
  <c r="AZ100" i="1"/>
  <c r="BB100" i="1" s="1"/>
  <c r="AW99" i="1"/>
  <c r="AZ99" i="1"/>
  <c r="BA99" i="1"/>
  <c r="BA98" i="1"/>
  <c r="AW98" i="1"/>
  <c r="AZ98" i="1"/>
  <c r="BB98" i="1" s="1"/>
  <c r="AW97" i="1"/>
  <c r="AZ97" i="1"/>
  <c r="BA97" i="1"/>
  <c r="AW96" i="1"/>
  <c r="BA96" i="1"/>
  <c r="AZ96" i="1"/>
  <c r="BB96" i="1" s="1"/>
  <c r="BA95" i="1"/>
  <c r="AW95" i="1"/>
  <c r="AZ95" i="1"/>
  <c r="BB95" i="1" s="1"/>
  <c r="AZ94" i="1"/>
  <c r="BB94" i="1" s="1"/>
  <c r="AW94" i="1"/>
  <c r="BA94" i="1"/>
  <c r="AZ93" i="1"/>
  <c r="BB93" i="1" s="1"/>
  <c r="BA93" i="1"/>
  <c r="AW93" i="1"/>
  <c r="BA92" i="1"/>
  <c r="AZ92" i="1"/>
  <c r="BB92" i="1" s="1"/>
  <c r="AW92" i="1"/>
  <c r="BA91" i="1"/>
  <c r="AW91" i="1"/>
  <c r="AZ91" i="1"/>
  <c r="BB91" i="1" s="1"/>
  <c r="AZ90" i="1"/>
  <c r="BB90" i="1" s="1"/>
  <c r="AW90" i="1"/>
  <c r="BA90" i="1"/>
  <c r="AW89" i="1"/>
  <c r="BA89" i="1"/>
  <c r="AZ89" i="1"/>
  <c r="BB89" i="1" s="1"/>
  <c r="BA88" i="1"/>
  <c r="AW88" i="1"/>
  <c r="AZ88" i="1"/>
  <c r="BB88" i="1" s="1"/>
  <c r="AP86" i="1"/>
  <c r="AL86" i="1"/>
  <c r="AO86" i="1"/>
  <c r="AQ86" i="1" s="1"/>
  <c r="AW85" i="1"/>
  <c r="AY86" i="1" s="1"/>
  <c r="BA85" i="1"/>
  <c r="AZ85" i="1"/>
  <c r="BB85" i="1" s="1"/>
  <c r="AP85" i="1"/>
  <c r="AO85" i="1"/>
  <c r="AQ85" i="1" s="1"/>
  <c r="BE85" i="1" s="1"/>
  <c r="AL85" i="1"/>
  <c r="AW82" i="1"/>
  <c r="AY83" i="1" s="1"/>
  <c r="AZ82" i="1"/>
  <c r="BB82" i="1" s="1"/>
  <c r="BA82" i="1"/>
  <c r="AO78" i="1"/>
  <c r="AL78" i="1"/>
  <c r="AP78" i="1"/>
  <c r="AZ77" i="1"/>
  <c r="AW77" i="1"/>
  <c r="AY78" i="1" s="1"/>
  <c r="BA77" i="1"/>
  <c r="AO77" i="1"/>
  <c r="AL77" i="1"/>
  <c r="AP77" i="1"/>
  <c r="AW76" i="1"/>
  <c r="AZ76" i="1"/>
  <c r="BB76" i="1" s="1"/>
  <c r="BA76" i="1"/>
  <c r="BA75" i="1"/>
  <c r="AW75" i="1"/>
  <c r="AZ75" i="1"/>
  <c r="BB75" i="1" s="1"/>
  <c r="BA74" i="1"/>
  <c r="AW74" i="1"/>
  <c r="AZ74" i="1"/>
  <c r="BB74" i="1" s="1"/>
  <c r="BA73" i="1"/>
  <c r="AZ73" i="1"/>
  <c r="BB73" i="1" s="1"/>
  <c r="AW73" i="1"/>
  <c r="AW72" i="1"/>
  <c r="AZ72" i="1"/>
  <c r="BB72" i="1" s="1"/>
  <c r="BA72" i="1"/>
  <c r="AW71" i="1"/>
  <c r="AZ71" i="1"/>
  <c r="BB71" i="1" s="1"/>
  <c r="BA71" i="1"/>
  <c r="BA70" i="1"/>
  <c r="AW70" i="1"/>
  <c r="AZ70" i="1"/>
  <c r="BB70" i="1" s="1"/>
  <c r="BA69" i="1"/>
  <c r="AW69" i="1"/>
  <c r="AZ69" i="1"/>
  <c r="BB69" i="1" s="1"/>
  <c r="AZ68" i="1"/>
  <c r="AW68" i="1"/>
  <c r="BA68" i="1"/>
  <c r="BA65" i="1"/>
  <c r="AZ65" i="1"/>
  <c r="BB65" i="1" s="1"/>
  <c r="AW65" i="1"/>
  <c r="AY66" i="1" s="1"/>
  <c r="BA61" i="1"/>
  <c r="AW61" i="1"/>
  <c r="AY62" i="1" s="1"/>
  <c r="AZ61" i="1"/>
  <c r="BB61" i="1" s="1"/>
  <c r="BA60" i="1"/>
  <c r="AZ60" i="1"/>
  <c r="BB60" i="1" s="1"/>
  <c r="AW60" i="1"/>
  <c r="AW59" i="1"/>
  <c r="BA59" i="1"/>
  <c r="AZ59" i="1"/>
  <c r="BB59" i="1" s="1"/>
  <c r="AO59" i="1"/>
  <c r="AL59" i="1"/>
  <c r="AP59" i="1"/>
  <c r="AZ58" i="1"/>
  <c r="BB58" i="1" s="1"/>
  <c r="AW58" i="1"/>
  <c r="BA58" i="1"/>
  <c r="AP58" i="1"/>
  <c r="AL58" i="1"/>
  <c r="AO58" i="1"/>
  <c r="BA57" i="1"/>
  <c r="AW57" i="1"/>
  <c r="AZ57" i="1"/>
  <c r="BB57" i="1" s="1"/>
  <c r="BA55" i="1"/>
  <c r="AZ55" i="1"/>
  <c r="BB55" i="1" s="1"/>
  <c r="AW55" i="1"/>
  <c r="AY56" i="1" s="1"/>
  <c r="AW53" i="1"/>
  <c r="AY54" i="1" s="1"/>
  <c r="AZ53" i="1"/>
  <c r="BB53" i="1" s="1"/>
  <c r="BA53" i="1"/>
  <c r="BA52" i="1"/>
  <c r="AZ52" i="1"/>
  <c r="BB52" i="1" s="1"/>
  <c r="AW52" i="1"/>
  <c r="AW51" i="1"/>
  <c r="BA51" i="1"/>
  <c r="AZ51" i="1"/>
  <c r="BB51" i="1" s="1"/>
  <c r="AW50" i="1"/>
  <c r="AZ50" i="1"/>
  <c r="BA50" i="1"/>
  <c r="BA48" i="1"/>
  <c r="AZ48" i="1"/>
  <c r="BB48" i="1" s="1"/>
  <c r="AW48" i="1"/>
  <c r="AY49" i="1" s="1"/>
  <c r="AW47" i="1"/>
  <c r="BA47" i="1"/>
  <c r="AZ47" i="1"/>
  <c r="BB47" i="1" s="1"/>
  <c r="AL47" i="1"/>
  <c r="AO47" i="1"/>
  <c r="AP47" i="1"/>
  <c r="AW43" i="1"/>
  <c r="AY44" i="1" s="1"/>
  <c r="AZ43" i="1"/>
  <c r="BB43" i="1" s="1"/>
  <c r="BA43" i="1"/>
  <c r="BA42" i="1"/>
  <c r="AZ42" i="1"/>
  <c r="BB42" i="1" s="1"/>
  <c r="AW42" i="1"/>
  <c r="AZ41" i="1"/>
  <c r="BB41" i="1" s="1"/>
  <c r="AW41" i="1"/>
  <c r="BA41" i="1"/>
  <c r="AW40" i="1"/>
  <c r="AZ40" i="1"/>
  <c r="BA40" i="1"/>
  <c r="AP40" i="1"/>
  <c r="AO40" i="1"/>
  <c r="AL40" i="1"/>
  <c r="AN41" i="1" s="1"/>
  <c r="BA39" i="1"/>
  <c r="AW39" i="1"/>
  <c r="AZ39" i="1"/>
  <c r="BB39" i="1" s="1"/>
  <c r="AO39" i="1"/>
  <c r="AL39" i="1"/>
  <c r="AP39" i="1"/>
  <c r="BA38" i="1"/>
  <c r="AW38" i="1"/>
  <c r="AZ38" i="1"/>
  <c r="BB38" i="1" s="1"/>
  <c r="AL38" i="1"/>
  <c r="AP38" i="1"/>
  <c r="AO38" i="1"/>
  <c r="AQ38" i="1" s="1"/>
  <c r="BE38" i="1" s="1"/>
  <c r="BA37" i="1"/>
  <c r="AW37" i="1"/>
  <c r="AZ37" i="1"/>
  <c r="BB37" i="1" s="1"/>
  <c r="BA36" i="1"/>
  <c r="AW36" i="1"/>
  <c r="AZ36" i="1"/>
  <c r="BB36" i="1" s="1"/>
  <c r="AW35" i="1"/>
  <c r="AZ35" i="1"/>
  <c r="BB35" i="1" s="1"/>
  <c r="BA35" i="1"/>
  <c r="BA34" i="1"/>
  <c r="AW34" i="1"/>
  <c r="AZ34" i="1"/>
  <c r="BB34" i="1" s="1"/>
  <c r="BA33" i="1"/>
  <c r="AZ33" i="1"/>
  <c r="BB33" i="1" s="1"/>
  <c r="AW33" i="1"/>
  <c r="AZ32" i="1"/>
  <c r="BB32" i="1" s="1"/>
  <c r="AW32" i="1"/>
  <c r="BA32" i="1"/>
  <c r="AZ31" i="1"/>
  <c r="AW31" i="1"/>
  <c r="BA31" i="1"/>
  <c r="AZ30" i="1"/>
  <c r="BB30" i="1" s="1"/>
  <c r="AW30" i="1"/>
  <c r="BA30" i="1"/>
  <c r="AW29" i="1"/>
  <c r="BA29" i="1"/>
  <c r="AZ29" i="1"/>
  <c r="BB29" i="1" s="1"/>
  <c r="AW28" i="1"/>
  <c r="BA28" i="1"/>
  <c r="AZ28" i="1"/>
  <c r="BB28" i="1" s="1"/>
  <c r="AZ27" i="1"/>
  <c r="BB27" i="1" s="1"/>
  <c r="BA27" i="1"/>
  <c r="AW27" i="1"/>
  <c r="AW26" i="1"/>
  <c r="AZ26" i="1"/>
  <c r="BA26" i="1"/>
  <c r="AW25" i="1"/>
  <c r="AZ25" i="1"/>
  <c r="BB25" i="1" s="1"/>
  <c r="BA25" i="1"/>
  <c r="BA24" i="1"/>
  <c r="AW24" i="1"/>
  <c r="AZ24" i="1"/>
  <c r="BB24" i="1" s="1"/>
  <c r="BA23" i="1"/>
  <c r="AZ23" i="1"/>
  <c r="BB23" i="1" s="1"/>
  <c r="AW23" i="1"/>
  <c r="AZ22" i="1"/>
  <c r="BB22" i="1" s="1"/>
  <c r="BA22" i="1"/>
  <c r="AO22" i="1"/>
  <c r="AQ22" i="1" s="1"/>
  <c r="AP22" i="1"/>
  <c r="AL144" i="1" l="1"/>
  <c r="AO144" i="1"/>
  <c r="AP144" i="1"/>
  <c r="AP57" i="1"/>
  <c r="AL57" i="1"/>
  <c r="AO57" i="1"/>
  <c r="AL157" i="1"/>
  <c r="AP157" i="1"/>
  <c r="AO157" i="1"/>
  <c r="AO51" i="1"/>
  <c r="AL51" i="1"/>
  <c r="AP51" i="1"/>
  <c r="AP44" i="1"/>
  <c r="AO44" i="1"/>
  <c r="AQ44" i="1" s="1"/>
  <c r="AL44" i="1"/>
  <c r="AO171" i="1"/>
  <c r="AP171" i="1"/>
  <c r="AL171" i="1"/>
  <c r="AP169" i="1"/>
  <c r="AO169" i="1"/>
  <c r="AQ169" i="1" s="1"/>
  <c r="BE169" i="1" s="1"/>
  <c r="AL169" i="1"/>
  <c r="AP168" i="1"/>
  <c r="AO168" i="1"/>
  <c r="AQ168" i="1" s="1"/>
  <c r="AL168" i="1"/>
  <c r="AO167" i="1"/>
  <c r="AP167" i="1"/>
  <c r="AL167" i="1"/>
  <c r="AO49" i="1"/>
  <c r="AL49" i="1"/>
  <c r="AP49" i="1"/>
  <c r="AO27" i="1"/>
  <c r="AL27" i="1"/>
  <c r="AP27" i="1"/>
  <c r="AL176" i="1"/>
  <c r="AO176" i="1"/>
  <c r="AQ176" i="1" s="1"/>
  <c r="AP176" i="1"/>
  <c r="AP172" i="1"/>
  <c r="AO172" i="1"/>
  <c r="AL172" i="1"/>
  <c r="AL161" i="1"/>
  <c r="AO161" i="1"/>
  <c r="AP161" i="1"/>
  <c r="AO123" i="1"/>
  <c r="AL123" i="1"/>
  <c r="AN124" i="1" s="1"/>
  <c r="AP123" i="1"/>
  <c r="AP83" i="1"/>
  <c r="AL83" i="1"/>
  <c r="AO83" i="1"/>
  <c r="AO68" i="1"/>
  <c r="AL68" i="1"/>
  <c r="AN69" i="1" s="1"/>
  <c r="AP68" i="1"/>
  <c r="AP61" i="1"/>
  <c r="AO61" i="1"/>
  <c r="AQ61" i="1" s="1"/>
  <c r="BE61" i="1" s="1"/>
  <c r="AL61" i="1"/>
  <c r="AP23" i="1"/>
  <c r="AO23" i="1"/>
  <c r="AQ23" i="1" s="1"/>
  <c r="BE23" i="1" s="1"/>
  <c r="AL23" i="1"/>
  <c r="AQ58" i="1"/>
  <c r="BE58" i="1" s="1"/>
  <c r="AQ57" i="1"/>
  <c r="BE57" i="1" s="1"/>
  <c r="AQ40" i="1"/>
  <c r="AO165" i="1"/>
  <c r="AP165" i="1"/>
  <c r="AL165" i="1"/>
  <c r="AP145" i="1"/>
  <c r="AL145" i="1"/>
  <c r="AO145" i="1"/>
  <c r="AO143" i="1"/>
  <c r="AL143" i="1"/>
  <c r="AP143" i="1"/>
  <c r="AL60" i="1"/>
  <c r="AO60" i="1"/>
  <c r="AP60" i="1"/>
  <c r="AP54" i="1"/>
  <c r="AO54" i="1"/>
  <c r="AQ54" i="1" s="1"/>
  <c r="BE54" i="1" s="1"/>
  <c r="AL54" i="1"/>
  <c r="AL28" i="1"/>
  <c r="AN29" i="1" s="1"/>
  <c r="AP28" i="1"/>
  <c r="AO28" i="1"/>
  <c r="AP146" i="1"/>
  <c r="AO146" i="1"/>
  <c r="AL146" i="1"/>
  <c r="AL136" i="1"/>
  <c r="AP136" i="1"/>
  <c r="AO136" i="1"/>
  <c r="AQ136" i="1" s="1"/>
  <c r="BE136" i="1" s="1"/>
  <c r="AL115" i="1"/>
  <c r="AP115" i="1"/>
  <c r="AO115" i="1"/>
  <c r="AQ115" i="1" s="1"/>
  <c r="BE115" i="1" s="1"/>
  <c r="AO112" i="1"/>
  <c r="AL112" i="1"/>
  <c r="AP112" i="1"/>
  <c r="AO80" i="1"/>
  <c r="AP80" i="1"/>
  <c r="AL80" i="1"/>
  <c r="AP46" i="1"/>
  <c r="AL46" i="1"/>
  <c r="AO46" i="1"/>
  <c r="AP164" i="1"/>
  <c r="AL164" i="1"/>
  <c r="AO164" i="1"/>
  <c r="AQ164" i="1" s="1"/>
  <c r="AP155" i="1"/>
  <c r="AL155" i="1"/>
  <c r="AO155" i="1"/>
  <c r="AQ155" i="1" s="1"/>
  <c r="BE155" i="1" s="1"/>
  <c r="AP149" i="1"/>
  <c r="AL149" i="1"/>
  <c r="AO149" i="1"/>
  <c r="AQ149" i="1" s="1"/>
  <c r="BE149" i="1" s="1"/>
  <c r="AL148" i="1"/>
  <c r="AP148" i="1"/>
  <c r="AO148" i="1"/>
  <c r="AQ148" i="1" s="1"/>
  <c r="BE148" i="1" s="1"/>
  <c r="AL147" i="1"/>
  <c r="AO147" i="1"/>
  <c r="AP147" i="1"/>
  <c r="AL122" i="1"/>
  <c r="AO122" i="1"/>
  <c r="AP122" i="1"/>
  <c r="AP120" i="1"/>
  <c r="AO120" i="1"/>
  <c r="AL120" i="1"/>
  <c r="AN121" i="1" s="1"/>
  <c r="AL116" i="1"/>
  <c r="AN117" i="1" s="1"/>
  <c r="AO116" i="1"/>
  <c r="AP116" i="1"/>
  <c r="AO67" i="1"/>
  <c r="AP67" i="1"/>
  <c r="AL67" i="1"/>
  <c r="AL55" i="1"/>
  <c r="AO55" i="1"/>
  <c r="AP55" i="1"/>
  <c r="AP50" i="1"/>
  <c r="AL50" i="1"/>
  <c r="AO50" i="1"/>
  <c r="AP48" i="1"/>
  <c r="AL48" i="1"/>
  <c r="AO48" i="1"/>
  <c r="AO25" i="1"/>
  <c r="AP25" i="1"/>
  <c r="AL25" i="1"/>
  <c r="AO65" i="1"/>
  <c r="AL65" i="1"/>
  <c r="AP65" i="1"/>
  <c r="AO79" i="1"/>
  <c r="AP79" i="1"/>
  <c r="AL79" i="1"/>
  <c r="AL52" i="1"/>
  <c r="AP52" i="1"/>
  <c r="AO52" i="1"/>
  <c r="AQ52" i="1" s="1"/>
  <c r="BE52" i="1" s="1"/>
  <c r="AP45" i="1"/>
  <c r="AL45" i="1"/>
  <c r="AO45" i="1"/>
  <c r="AQ45" i="1" s="1"/>
  <c r="AP24" i="1"/>
  <c r="AL24" i="1"/>
  <c r="AO24" i="1"/>
  <c r="AQ24" i="1" s="1"/>
  <c r="AP66" i="1"/>
  <c r="AL66" i="1"/>
  <c r="AO66" i="1"/>
  <c r="AQ66" i="1" s="1"/>
  <c r="AL84" i="1"/>
  <c r="AP84" i="1"/>
  <c r="AO84" i="1"/>
  <c r="AQ84" i="1" s="1"/>
  <c r="AP64" i="1"/>
  <c r="AL64" i="1"/>
  <c r="AO64" i="1"/>
  <c r="AQ64" i="1" s="1"/>
  <c r="AP62" i="1"/>
  <c r="AL62" i="1"/>
  <c r="AO62" i="1"/>
  <c r="AQ62" i="1" s="1"/>
  <c r="AO26" i="1"/>
  <c r="AL26" i="1"/>
  <c r="AP26" i="1"/>
  <c r="AL81" i="1"/>
  <c r="AP81" i="1"/>
  <c r="AO81" i="1"/>
  <c r="AL56" i="1"/>
  <c r="AO56" i="1"/>
  <c r="AP56" i="1"/>
  <c r="AP53" i="1"/>
  <c r="AL53" i="1"/>
  <c r="AO53" i="1"/>
  <c r="AQ53" i="1" s="1"/>
  <c r="BE53" i="1" s="1"/>
  <c r="AO159" i="1"/>
  <c r="AL159" i="1"/>
  <c r="AP159" i="1"/>
  <c r="AO153" i="1"/>
  <c r="AP153" i="1"/>
  <c r="AL153" i="1"/>
  <c r="AN154" i="1" s="1"/>
  <c r="AO87" i="1"/>
  <c r="AP87" i="1"/>
  <c r="AL87" i="1"/>
  <c r="AN88" i="1" s="1"/>
  <c r="AL82" i="1"/>
  <c r="AP82" i="1"/>
  <c r="AO82" i="1"/>
  <c r="AQ82" i="1" s="1"/>
  <c r="BE82" i="1" s="1"/>
  <c r="AL63" i="1"/>
  <c r="AP63" i="1"/>
  <c r="AO63" i="1"/>
  <c r="AL41" i="1"/>
  <c r="AN42" i="1" s="1"/>
  <c r="AO41" i="1"/>
  <c r="AP41" i="1"/>
  <c r="AQ172" i="1"/>
  <c r="AQ80" i="1"/>
  <c r="AQ79" i="1"/>
  <c r="AQ56" i="1"/>
  <c r="AQ50" i="1"/>
  <c r="AQ46" i="1"/>
  <c r="AP113" i="1"/>
  <c r="AQ113" i="1" s="1"/>
  <c r="BE113" i="1" s="1"/>
  <c r="AL113" i="1"/>
  <c r="AO114" i="1"/>
  <c r="AL114" i="1"/>
  <c r="AP114" i="1"/>
  <c r="AP111" i="1"/>
  <c r="AL111" i="1"/>
  <c r="AO111" i="1"/>
  <c r="AQ111" i="1" s="1"/>
  <c r="AQ146" i="1"/>
  <c r="BE146" i="1" s="1"/>
  <c r="AQ83" i="1"/>
  <c r="AQ25" i="1"/>
  <c r="BE25" i="1" s="1"/>
  <c r="AQ160" i="1"/>
  <c r="AQ157" i="1"/>
  <c r="AQ145" i="1"/>
  <c r="AQ120" i="1"/>
  <c r="BE120" i="1" s="1"/>
  <c r="AQ39" i="1"/>
  <c r="BE39" i="1" s="1"/>
  <c r="AW172" i="1"/>
  <c r="AY173" i="1" s="1"/>
  <c r="AZ172" i="1"/>
  <c r="BA172" i="1"/>
  <c r="BA170" i="1"/>
  <c r="AZ170" i="1"/>
  <c r="BB170" i="1" s="1"/>
  <c r="BE170" i="1" s="1"/>
  <c r="AW170" i="1"/>
  <c r="AZ168" i="1"/>
  <c r="AW168" i="1"/>
  <c r="BA168" i="1"/>
  <c r="AW161" i="1"/>
  <c r="AY162" i="1" s="1"/>
  <c r="BA161" i="1"/>
  <c r="AZ161" i="1"/>
  <c r="BB161" i="1" s="1"/>
  <c r="BA155" i="1"/>
  <c r="AW155" i="1"/>
  <c r="AY156" i="1" s="1"/>
  <c r="AZ155" i="1"/>
  <c r="BB155" i="1" s="1"/>
  <c r="AZ141" i="1"/>
  <c r="AW141" i="1"/>
  <c r="BA141" i="1"/>
  <c r="AZ86" i="1"/>
  <c r="BA86" i="1"/>
  <c r="AW86" i="1"/>
  <c r="AY87" i="1" s="1"/>
  <c r="AW83" i="1"/>
  <c r="AY84" i="1" s="1"/>
  <c r="AZ83" i="1"/>
  <c r="BA83" i="1"/>
  <c r="BA78" i="1"/>
  <c r="AZ78" i="1"/>
  <c r="BB78" i="1" s="1"/>
  <c r="AW78" i="1"/>
  <c r="AY79" i="1" s="1"/>
  <c r="AW66" i="1"/>
  <c r="AY67" i="1" s="1"/>
  <c r="AZ66" i="1"/>
  <c r="BA66" i="1"/>
  <c r="BA62" i="1"/>
  <c r="AW62" i="1"/>
  <c r="AY63" i="1" s="1"/>
  <c r="AZ62" i="1"/>
  <c r="BB62" i="1" s="1"/>
  <c r="AZ56" i="1"/>
  <c r="AW56" i="1"/>
  <c r="BA56" i="1"/>
  <c r="BA54" i="1"/>
  <c r="AZ54" i="1"/>
  <c r="BB54" i="1" s="1"/>
  <c r="AW54" i="1"/>
  <c r="BA49" i="1"/>
  <c r="AW49" i="1"/>
  <c r="AZ49" i="1"/>
  <c r="BB49" i="1" s="1"/>
  <c r="BA44" i="1"/>
  <c r="AZ44" i="1"/>
  <c r="BB44" i="1" s="1"/>
  <c r="AW44" i="1"/>
  <c r="AY45" i="1" s="1"/>
  <c r="BC22" i="1"/>
  <c r="BC23" i="1" s="1"/>
  <c r="BC24" i="1" s="1"/>
  <c r="BC25" i="1" s="1"/>
  <c r="AR22" i="1"/>
  <c r="BE22" i="1"/>
  <c r="BB133" i="1"/>
  <c r="BB115" i="1"/>
  <c r="BB110" i="1"/>
  <c r="BB102" i="1"/>
  <c r="BB99" i="1"/>
  <c r="BB97" i="1"/>
  <c r="AQ77" i="1"/>
  <c r="BB40" i="1"/>
  <c r="BB26" i="1"/>
  <c r="BB31" i="1"/>
  <c r="BB103" i="1"/>
  <c r="AQ78" i="1"/>
  <c r="BE78" i="1" s="1"/>
  <c r="BB68" i="1"/>
  <c r="BB77" i="1"/>
  <c r="AQ59" i="1"/>
  <c r="BE59" i="1" s="1"/>
  <c r="AQ174" i="1"/>
  <c r="AQ173" i="1"/>
  <c r="BB167" i="1"/>
  <c r="AQ163" i="1"/>
  <c r="AQ162" i="1"/>
  <c r="BB160" i="1"/>
  <c r="BB158" i="1"/>
  <c r="AQ158" i="1"/>
  <c r="BE158" i="1" s="1"/>
  <c r="AQ156" i="1"/>
  <c r="BB154" i="1"/>
  <c r="AQ151" i="1"/>
  <c r="BE151" i="1" s="1"/>
  <c r="AQ150" i="1"/>
  <c r="BE150" i="1" s="1"/>
  <c r="BB147" i="1"/>
  <c r="BB145" i="1"/>
  <c r="BB143" i="1"/>
  <c r="BB142" i="1"/>
  <c r="AQ142" i="1"/>
  <c r="BE142" i="1" s="1"/>
  <c r="AQ141" i="1"/>
  <c r="BB140" i="1"/>
  <c r="BE140" i="1" s="1"/>
  <c r="AQ139" i="1"/>
  <c r="BE139" i="1" s="1"/>
  <c r="BB135" i="1"/>
  <c r="BB127" i="1"/>
  <c r="BB116" i="1"/>
  <c r="BB111" i="1"/>
  <c r="BB106" i="1"/>
  <c r="BB105" i="1"/>
  <c r="BB50" i="1"/>
  <c r="AQ47" i="1"/>
  <c r="BE47" i="1" s="1"/>
  <c r="AQ49" i="1" l="1"/>
  <c r="AQ161" i="1"/>
  <c r="AL69" i="1"/>
  <c r="AN70" i="1" s="1"/>
  <c r="AO69" i="1"/>
  <c r="AP69" i="1"/>
  <c r="AL29" i="1"/>
  <c r="AN30" i="1" s="1"/>
  <c r="AO29" i="1"/>
  <c r="AP29" i="1"/>
  <c r="AP121" i="1"/>
  <c r="AL121" i="1"/>
  <c r="AO121" i="1"/>
  <c r="AQ121" i="1" s="1"/>
  <c r="BE121" i="1" s="1"/>
  <c r="AP117" i="1"/>
  <c r="AL117" i="1"/>
  <c r="AN118" i="1" s="1"/>
  <c r="AO117" i="1"/>
  <c r="AQ117" i="1" s="1"/>
  <c r="BE117" i="1" s="1"/>
  <c r="AO154" i="1"/>
  <c r="AL154" i="1"/>
  <c r="AP154" i="1"/>
  <c r="AO88" i="1"/>
  <c r="AQ88" i="1" s="1"/>
  <c r="BE88" i="1" s="1"/>
  <c r="AP88" i="1"/>
  <c r="AL88" i="1"/>
  <c r="AN89" i="1" s="1"/>
  <c r="AQ144" i="1"/>
  <c r="BE144" i="1" s="1"/>
  <c r="AQ167" i="1"/>
  <c r="AQ68" i="1"/>
  <c r="BE68" i="1" s="1"/>
  <c r="AQ41" i="1"/>
  <c r="BE41" i="1" s="1"/>
  <c r="BE161" i="1"/>
  <c r="BE49" i="1"/>
  <c r="BE44" i="1"/>
  <c r="AR23" i="1"/>
  <c r="AR24" i="1" s="1"/>
  <c r="AR25" i="1" s="1"/>
  <c r="BE167" i="1"/>
  <c r="AQ51" i="1"/>
  <c r="BE51" i="1" s="1"/>
  <c r="AQ171" i="1"/>
  <c r="BE171" i="1" s="1"/>
  <c r="AQ27" i="1"/>
  <c r="BE27" i="1" s="1"/>
  <c r="AQ28" i="1"/>
  <c r="BE28" i="1" s="1"/>
  <c r="AQ123" i="1"/>
  <c r="BE123" i="1" s="1"/>
  <c r="AQ26" i="1"/>
  <c r="BE26" i="1" s="1"/>
  <c r="AO124" i="1"/>
  <c r="AP124" i="1"/>
  <c r="AL124" i="1"/>
  <c r="AN125" i="1" s="1"/>
  <c r="AQ114" i="1"/>
  <c r="BE114" i="1" s="1"/>
  <c r="AQ87" i="1"/>
  <c r="AQ165" i="1"/>
  <c r="AQ143" i="1"/>
  <c r="BE143" i="1" s="1"/>
  <c r="AQ60" i="1"/>
  <c r="BE60" i="1" s="1"/>
  <c r="AQ112" i="1"/>
  <c r="BE112" i="1" s="1"/>
  <c r="AQ147" i="1"/>
  <c r="BE147" i="1" s="1"/>
  <c r="AQ122" i="1"/>
  <c r="BE122" i="1" s="1"/>
  <c r="AQ116" i="1"/>
  <c r="BE116" i="1" s="1"/>
  <c r="AQ67" i="1"/>
  <c r="AQ48" i="1"/>
  <c r="BE48" i="1" s="1"/>
  <c r="AQ65" i="1"/>
  <c r="BE65" i="1" s="1"/>
  <c r="AQ81" i="1"/>
  <c r="AQ153" i="1"/>
  <c r="BE153" i="1" s="1"/>
  <c r="AQ159" i="1"/>
  <c r="BE159" i="1" s="1"/>
  <c r="AQ63" i="1"/>
  <c r="AQ29" i="1"/>
  <c r="BE29" i="1" s="1"/>
  <c r="AO42" i="1"/>
  <c r="AL42" i="1"/>
  <c r="AN43" i="1" s="1"/>
  <c r="AP42" i="1"/>
  <c r="BE62" i="1"/>
  <c r="BE40" i="1"/>
  <c r="BE160" i="1"/>
  <c r="BE111" i="1"/>
  <c r="BE50" i="1"/>
  <c r="AQ55" i="1"/>
  <c r="BE55" i="1" s="1"/>
  <c r="BE145" i="1"/>
  <c r="AW173" i="1"/>
  <c r="AY174" i="1" s="1"/>
  <c r="BA173" i="1"/>
  <c r="AZ173" i="1"/>
  <c r="BB173" i="1" s="1"/>
  <c r="BE173" i="1" s="1"/>
  <c r="BA162" i="1"/>
  <c r="AZ162" i="1"/>
  <c r="BB162" i="1" s="1"/>
  <c r="BE162" i="1" s="1"/>
  <c r="AW162" i="1"/>
  <c r="AY163" i="1" s="1"/>
  <c r="AZ156" i="1"/>
  <c r="BA156" i="1"/>
  <c r="AW156" i="1"/>
  <c r="AY157" i="1" s="1"/>
  <c r="AW87" i="1"/>
  <c r="BA87" i="1"/>
  <c r="AZ87" i="1"/>
  <c r="BB87" i="1" s="1"/>
  <c r="BA84" i="1"/>
  <c r="AZ84" i="1"/>
  <c r="BB84" i="1" s="1"/>
  <c r="BE84" i="1" s="1"/>
  <c r="AW84" i="1"/>
  <c r="AW79" i="1"/>
  <c r="AY80" i="1" s="1"/>
  <c r="BA79" i="1"/>
  <c r="AZ79" i="1"/>
  <c r="BB79" i="1" s="1"/>
  <c r="BE79" i="1" s="1"/>
  <c r="AZ67" i="1"/>
  <c r="AW67" i="1"/>
  <c r="BA67" i="1"/>
  <c r="BA63" i="1"/>
  <c r="AW63" i="1"/>
  <c r="AY64" i="1" s="1"/>
  <c r="AZ63" i="1"/>
  <c r="BB63" i="1" s="1"/>
  <c r="BA45" i="1"/>
  <c r="AZ45" i="1"/>
  <c r="BB45" i="1" s="1"/>
  <c r="AW45" i="1"/>
  <c r="AY46" i="1" s="1"/>
  <c r="BF22" i="1"/>
  <c r="BF23" i="1" s="1"/>
  <c r="BB172" i="1"/>
  <c r="BE172" i="1" s="1"/>
  <c r="BB168" i="1"/>
  <c r="BE168" i="1" s="1"/>
  <c r="BB141" i="1"/>
  <c r="BE141" i="1" s="1"/>
  <c r="BB86" i="1"/>
  <c r="BE86" i="1" s="1"/>
  <c r="BB83" i="1"/>
  <c r="BE83" i="1" s="1"/>
  <c r="BB66" i="1"/>
  <c r="BE66" i="1" s="1"/>
  <c r="BB56" i="1"/>
  <c r="BE56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E77" i="1"/>
  <c r="BE24" i="1"/>
  <c r="AP70" i="1" l="1"/>
  <c r="AO70" i="1"/>
  <c r="AQ70" i="1" s="1"/>
  <c r="BE70" i="1" s="1"/>
  <c r="AL70" i="1"/>
  <c r="AN71" i="1" s="1"/>
  <c r="AO30" i="1"/>
  <c r="AL30" i="1"/>
  <c r="AN31" i="1" s="1"/>
  <c r="AP30" i="1"/>
  <c r="AO118" i="1"/>
  <c r="AL118" i="1"/>
  <c r="AN119" i="1" s="1"/>
  <c r="AP118" i="1"/>
  <c r="AO89" i="1"/>
  <c r="AP89" i="1"/>
  <c r="AL89" i="1"/>
  <c r="AN90" i="1" s="1"/>
  <c r="AQ69" i="1"/>
  <c r="BE69" i="1" s="1"/>
  <c r="AQ154" i="1"/>
  <c r="BE154" i="1" s="1"/>
  <c r="AR26" i="1"/>
  <c r="AR27" i="1" s="1"/>
  <c r="AR28" i="1" s="1"/>
  <c r="AQ124" i="1"/>
  <c r="BE124" i="1" s="1"/>
  <c r="AO125" i="1"/>
  <c r="AQ125" i="1" s="1"/>
  <c r="BE125" i="1" s="1"/>
  <c r="AL125" i="1"/>
  <c r="AN126" i="1" s="1"/>
  <c r="AP125" i="1"/>
  <c r="BE87" i="1"/>
  <c r="BE63" i="1"/>
  <c r="AR29" i="1"/>
  <c r="AL43" i="1"/>
  <c r="AP43" i="1"/>
  <c r="AO43" i="1"/>
  <c r="AQ43" i="1" s="1"/>
  <c r="BE43" i="1" s="1"/>
  <c r="AQ42" i="1"/>
  <c r="BE42" i="1" s="1"/>
  <c r="AL126" i="1"/>
  <c r="AN127" i="1" s="1"/>
  <c r="AP126" i="1"/>
  <c r="AO126" i="1"/>
  <c r="AQ126" i="1" s="1"/>
  <c r="BE126" i="1" s="1"/>
  <c r="BF24" i="1"/>
  <c r="BF25" i="1" s="1"/>
  <c r="BF26" i="1" s="1"/>
  <c r="BF27" i="1" s="1"/>
  <c r="BF28" i="1" s="1"/>
  <c r="BF29" i="1" s="1"/>
  <c r="AW174" i="1"/>
  <c r="AY175" i="1" s="1"/>
  <c r="AZ174" i="1"/>
  <c r="BA174" i="1"/>
  <c r="AZ163" i="1"/>
  <c r="AW163" i="1"/>
  <c r="AY164" i="1" s="1"/>
  <c r="BA163" i="1"/>
  <c r="AZ157" i="1"/>
  <c r="BA157" i="1"/>
  <c r="AW157" i="1"/>
  <c r="AW80" i="1"/>
  <c r="AY81" i="1" s="1"/>
  <c r="BA80" i="1"/>
  <c r="AZ80" i="1"/>
  <c r="BB80" i="1" s="1"/>
  <c r="BE80" i="1" s="1"/>
  <c r="AW64" i="1"/>
  <c r="BA64" i="1"/>
  <c r="AZ64" i="1"/>
  <c r="BB64" i="1" s="1"/>
  <c r="BE64" i="1" s="1"/>
  <c r="BA46" i="1"/>
  <c r="AW46" i="1"/>
  <c r="AZ46" i="1"/>
  <c r="BB46" i="1" s="1"/>
  <c r="BB156" i="1"/>
  <c r="BE156" i="1" s="1"/>
  <c r="BB67" i="1"/>
  <c r="BE67" i="1" s="1"/>
  <c r="BE45" i="1"/>
  <c r="AL71" i="1" l="1"/>
  <c r="AN72" i="1" s="1"/>
  <c r="AO71" i="1"/>
  <c r="AP71" i="1"/>
  <c r="AO31" i="1"/>
  <c r="AP31" i="1"/>
  <c r="AL31" i="1"/>
  <c r="AN32" i="1" s="1"/>
  <c r="AL119" i="1"/>
  <c r="AO119" i="1"/>
  <c r="AP119" i="1"/>
  <c r="AO90" i="1"/>
  <c r="AL90" i="1"/>
  <c r="AN91" i="1" s="1"/>
  <c r="AP90" i="1"/>
  <c r="AQ30" i="1"/>
  <c r="AQ118" i="1"/>
  <c r="BE118" i="1" s="1"/>
  <c r="AQ89" i="1"/>
  <c r="BE89" i="1" s="1"/>
  <c r="AL127" i="1"/>
  <c r="AN128" i="1" s="1"/>
  <c r="AP127" i="1"/>
  <c r="AO127" i="1"/>
  <c r="AQ127" i="1" s="1"/>
  <c r="BE127" i="1" s="1"/>
  <c r="AW175" i="1"/>
  <c r="AY176" i="1" s="1"/>
  <c r="AZ175" i="1"/>
  <c r="BB175" i="1" s="1"/>
  <c r="BE175" i="1" s="1"/>
  <c r="BA175" i="1"/>
  <c r="AZ164" i="1"/>
  <c r="AW164" i="1"/>
  <c r="AY165" i="1" s="1"/>
  <c r="BA164" i="1"/>
  <c r="AZ81" i="1"/>
  <c r="AW81" i="1"/>
  <c r="BA81" i="1"/>
  <c r="BC46" i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E46" i="1"/>
  <c r="BB174" i="1"/>
  <c r="BE174" i="1" s="1"/>
  <c r="BB163" i="1"/>
  <c r="BE163" i="1" s="1"/>
  <c r="BB157" i="1"/>
  <c r="BE157" i="1" s="1"/>
  <c r="AL72" i="1" l="1"/>
  <c r="AN73" i="1" s="1"/>
  <c r="AP72" i="1"/>
  <c r="AO72" i="1"/>
  <c r="AQ72" i="1" s="1"/>
  <c r="BE72" i="1" s="1"/>
  <c r="AP32" i="1"/>
  <c r="AL32" i="1"/>
  <c r="AN33" i="1" s="1"/>
  <c r="AO32" i="1"/>
  <c r="AQ32" i="1" s="1"/>
  <c r="AP91" i="1"/>
  <c r="AO91" i="1"/>
  <c r="AQ91" i="1" s="1"/>
  <c r="BE91" i="1" s="1"/>
  <c r="AL91" i="1"/>
  <c r="AN92" i="1" s="1"/>
  <c r="AR30" i="1"/>
  <c r="BE30" i="1"/>
  <c r="BF30" i="1" s="1"/>
  <c r="AQ71" i="1"/>
  <c r="BE71" i="1" s="1"/>
  <c r="AQ31" i="1"/>
  <c r="BE31" i="1" s="1"/>
  <c r="AQ119" i="1"/>
  <c r="BE119" i="1" s="1"/>
  <c r="AQ90" i="1"/>
  <c r="BE90" i="1" s="1"/>
  <c r="AP128" i="1"/>
  <c r="AL128" i="1"/>
  <c r="AN129" i="1" s="1"/>
  <c r="AO128" i="1"/>
  <c r="BE32" i="1"/>
  <c r="AW176" i="1"/>
  <c r="BA176" i="1"/>
  <c r="AZ176" i="1"/>
  <c r="BB176" i="1" s="1"/>
  <c r="BE176" i="1" s="1"/>
  <c r="BA165" i="1"/>
  <c r="AZ165" i="1"/>
  <c r="BB165" i="1" s="1"/>
  <c r="BE165" i="1" s="1"/>
  <c r="AW165" i="1"/>
  <c r="BB164" i="1"/>
  <c r="BE164" i="1" s="1"/>
  <c r="BB81" i="1"/>
  <c r="AP73" i="1" l="1"/>
  <c r="AO73" i="1"/>
  <c r="AQ73" i="1" s="1"/>
  <c r="BE73" i="1" s="1"/>
  <c r="AL73" i="1"/>
  <c r="AN74" i="1" s="1"/>
  <c r="AP33" i="1"/>
  <c r="AO33" i="1"/>
  <c r="AL33" i="1"/>
  <c r="AN34" i="1" s="1"/>
  <c r="AP92" i="1"/>
  <c r="AL92" i="1"/>
  <c r="AN93" i="1" s="1"/>
  <c r="AO92" i="1"/>
  <c r="AR31" i="1"/>
  <c r="AR32" i="1" s="1"/>
  <c r="BF31" i="1"/>
  <c r="BF32" i="1" s="1"/>
  <c r="AQ128" i="1"/>
  <c r="BE128" i="1" s="1"/>
  <c r="AP129" i="1"/>
  <c r="AO129" i="1"/>
  <c r="AQ129" i="1" s="1"/>
  <c r="BE129" i="1" s="1"/>
  <c r="AL129" i="1"/>
  <c r="AN130" i="1" s="1"/>
  <c r="BE81" i="1"/>
  <c r="BB15" i="1"/>
  <c r="BB14" i="1"/>
  <c r="BB16" i="1" s="1"/>
  <c r="AT1" i="1" s="1"/>
  <c r="BB19" i="1"/>
  <c r="BC81" i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AO74" i="1" l="1"/>
  <c r="AP74" i="1"/>
  <c r="AL74" i="1"/>
  <c r="AN75" i="1" s="1"/>
  <c r="AP34" i="1"/>
  <c r="AL34" i="1"/>
  <c r="AN35" i="1" s="1"/>
  <c r="AO34" i="1"/>
  <c r="AQ34" i="1" s="1"/>
  <c r="BE34" i="1" s="1"/>
  <c r="AP93" i="1"/>
  <c r="AL93" i="1"/>
  <c r="AN94" i="1" s="1"/>
  <c r="AO93" i="1"/>
  <c r="AQ93" i="1" s="1"/>
  <c r="BE93" i="1" s="1"/>
  <c r="AQ92" i="1"/>
  <c r="BE92" i="1" s="1"/>
  <c r="AQ33" i="1"/>
  <c r="AO130" i="1"/>
  <c r="AL130" i="1"/>
  <c r="AN131" i="1" s="1"/>
  <c r="AP130" i="1"/>
  <c r="AO75" i="1" l="1"/>
  <c r="AL75" i="1"/>
  <c r="AN76" i="1" s="1"/>
  <c r="AP75" i="1"/>
  <c r="AO35" i="1"/>
  <c r="AP35" i="1"/>
  <c r="AL35" i="1"/>
  <c r="AN36" i="1" s="1"/>
  <c r="AO94" i="1"/>
  <c r="AL94" i="1"/>
  <c r="AN95" i="1" s="1"/>
  <c r="AP94" i="1"/>
  <c r="AR33" i="1"/>
  <c r="AR34" i="1" s="1"/>
  <c r="BE33" i="1"/>
  <c r="BF33" i="1" s="1"/>
  <c r="BF34" i="1" s="1"/>
  <c r="AQ74" i="1"/>
  <c r="BE74" i="1" s="1"/>
  <c r="AO131" i="1"/>
  <c r="AL131" i="1"/>
  <c r="AN132" i="1" s="1"/>
  <c r="AP131" i="1"/>
  <c r="AQ130" i="1"/>
  <c r="BE130" i="1" s="1"/>
  <c r="AP76" i="1" l="1"/>
  <c r="AL76" i="1"/>
  <c r="AO76" i="1"/>
  <c r="AQ76" i="1" s="1"/>
  <c r="BE76" i="1" s="1"/>
  <c r="AL36" i="1"/>
  <c r="AN37" i="1" s="1"/>
  <c r="AO36" i="1"/>
  <c r="AQ36" i="1" s="1"/>
  <c r="BE36" i="1" s="1"/>
  <c r="AP36" i="1"/>
  <c r="AO95" i="1"/>
  <c r="AP95" i="1"/>
  <c r="AL95" i="1"/>
  <c r="AN96" i="1" s="1"/>
  <c r="AQ75" i="1"/>
  <c r="BE75" i="1" s="1"/>
  <c r="AQ35" i="1"/>
  <c r="AQ94" i="1"/>
  <c r="BE94" i="1" s="1"/>
  <c r="AL132" i="1"/>
  <c r="AN133" i="1" s="1"/>
  <c r="AO132" i="1"/>
  <c r="AP132" i="1"/>
  <c r="AQ131" i="1"/>
  <c r="BE131" i="1" s="1"/>
  <c r="AO37" i="1" l="1"/>
  <c r="AP37" i="1"/>
  <c r="AL37" i="1"/>
  <c r="AP96" i="1"/>
  <c r="AL96" i="1"/>
  <c r="AN97" i="1" s="1"/>
  <c r="AO96" i="1"/>
  <c r="AQ96" i="1" s="1"/>
  <c r="BE96" i="1" s="1"/>
  <c r="BE35" i="1"/>
  <c r="BF35" i="1" s="1"/>
  <c r="BF36" i="1" s="1"/>
  <c r="AR35" i="1"/>
  <c r="AR36" i="1" s="1"/>
  <c r="AQ95" i="1"/>
  <c r="BE95" i="1" s="1"/>
  <c r="AL133" i="1"/>
  <c r="AN134" i="1" s="1"/>
  <c r="AP133" i="1"/>
  <c r="AO133" i="1"/>
  <c r="AQ132" i="1"/>
  <c r="BE132" i="1" s="1"/>
  <c r="AO97" i="1" l="1"/>
  <c r="AP97" i="1"/>
  <c r="AL97" i="1"/>
  <c r="AN98" i="1" s="1"/>
  <c r="AP134" i="1"/>
  <c r="AO134" i="1"/>
  <c r="AQ134" i="1" s="1"/>
  <c r="BE134" i="1" s="1"/>
  <c r="AL134" i="1"/>
  <c r="AN135" i="1" s="1"/>
  <c r="AQ37" i="1"/>
  <c r="AQ133" i="1"/>
  <c r="BE133" i="1" s="1"/>
  <c r="AO98" i="1" l="1"/>
  <c r="AL98" i="1"/>
  <c r="AN99" i="1" s="1"/>
  <c r="AP98" i="1"/>
  <c r="AL135" i="1"/>
  <c r="AP135" i="1"/>
  <c r="AO135" i="1"/>
  <c r="AQ135" i="1" s="1"/>
  <c r="BE135" i="1" s="1"/>
  <c r="BE37" i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AR37" i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Q97" i="1"/>
  <c r="BE97" i="1" s="1"/>
  <c r="AO99" i="1" l="1"/>
  <c r="AL99" i="1"/>
  <c r="AN100" i="1" s="1"/>
  <c r="AP99" i="1"/>
  <c r="AQ98" i="1"/>
  <c r="AP100" i="1" l="1"/>
  <c r="AO100" i="1"/>
  <c r="AQ100" i="1" s="1"/>
  <c r="AL100" i="1"/>
  <c r="AN101" i="1" s="1"/>
  <c r="AR98" i="1"/>
  <c r="BE98" i="1"/>
  <c r="BF98" i="1" s="1"/>
  <c r="BF99" i="1" s="1"/>
  <c r="AQ99" i="1"/>
  <c r="BE99" i="1" s="1"/>
  <c r="BE100" i="1"/>
  <c r="BF100" i="1" s="1"/>
  <c r="AO101" i="1" l="1"/>
  <c r="AL101" i="1"/>
  <c r="AN102" i="1" s="1"/>
  <c r="AP101" i="1"/>
  <c r="AR99" i="1"/>
  <c r="AR100" i="1" s="1"/>
  <c r="AP102" i="1" l="1"/>
  <c r="AO102" i="1"/>
  <c r="AQ102" i="1" s="1"/>
  <c r="AL102" i="1"/>
  <c r="AN103" i="1" s="1"/>
  <c r="AQ101" i="1"/>
  <c r="BE102" i="1"/>
  <c r="AL103" i="1" l="1"/>
  <c r="AN104" i="1" s="1"/>
  <c r="AP103" i="1"/>
  <c r="AO103" i="1"/>
  <c r="AQ103" i="1" s="1"/>
  <c r="BE103" i="1" s="1"/>
  <c r="AR101" i="1"/>
  <c r="AR102" i="1" s="1"/>
  <c r="AR103" i="1" s="1"/>
  <c r="BE101" i="1"/>
  <c r="BF101" i="1" s="1"/>
  <c r="BF102" i="1"/>
  <c r="BF103" i="1" s="1"/>
  <c r="AL104" i="1" l="1"/>
  <c r="AN105" i="1" s="1"/>
  <c r="AP104" i="1"/>
  <c r="AO104" i="1"/>
  <c r="AQ104" i="1" s="1"/>
  <c r="AR104" i="1"/>
  <c r="BE104" i="1"/>
  <c r="AP105" i="1" l="1"/>
  <c r="AL105" i="1"/>
  <c r="AN106" i="1" s="1"/>
  <c r="AO105" i="1"/>
  <c r="AQ105" i="1" s="1"/>
  <c r="AR105" i="1"/>
  <c r="BF104" i="1"/>
  <c r="BE105" i="1"/>
  <c r="AL106" i="1" l="1"/>
  <c r="AN107" i="1" s="1"/>
  <c r="AO106" i="1"/>
  <c r="AP106" i="1"/>
  <c r="BF105" i="1"/>
  <c r="AP107" i="1" l="1"/>
  <c r="AL107" i="1"/>
  <c r="AN108" i="1" s="1"/>
  <c r="AO107" i="1"/>
  <c r="AQ107" i="1" s="1"/>
  <c r="BE107" i="1" s="1"/>
  <c r="AQ106" i="1"/>
  <c r="AO108" i="1" l="1"/>
  <c r="AL108" i="1"/>
  <c r="AN109" i="1" s="1"/>
  <c r="AP108" i="1"/>
  <c r="BE106" i="1"/>
  <c r="AR106" i="1"/>
  <c r="AR107" i="1" s="1"/>
  <c r="AP109" i="1" l="1"/>
  <c r="AL109" i="1"/>
  <c r="AN110" i="1" s="1"/>
  <c r="AO109" i="1"/>
  <c r="AQ109" i="1" s="1"/>
  <c r="BE109" i="1" s="1"/>
  <c r="AQ108" i="1"/>
  <c r="BF106" i="1"/>
  <c r="BF107" i="1" s="1"/>
  <c r="AP110" i="1" l="1"/>
  <c r="AO110" i="1"/>
  <c r="AQ110" i="1" s="1"/>
  <c r="BE110" i="1" s="1"/>
  <c r="AL110" i="1"/>
  <c r="BE108" i="1"/>
  <c r="AQ14" i="1"/>
  <c r="AQ19" i="1"/>
  <c r="AQ15" i="1"/>
  <c r="AR108" i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F108" i="1" l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4" i="1"/>
  <c r="BE16" i="1" s="1"/>
  <c r="BE15" i="1"/>
  <c r="AQ16" i="1"/>
  <c r="AI1" i="1" s="1"/>
</calcChain>
</file>

<file path=xl/sharedStrings.xml><?xml version="1.0" encoding="utf-8"?>
<sst xmlns="http://schemas.openxmlformats.org/spreadsheetml/2006/main" count="74" uniqueCount="53">
  <si>
    <t>date</t>
  </si>
  <si>
    <t>HEI A</t>
  </si>
  <si>
    <t>HEI</t>
  </si>
  <si>
    <t>HEI A log rtn</t>
  </si>
  <si>
    <t>HEI log rtn</t>
  </si>
  <si>
    <t>HEI A div</t>
  </si>
  <si>
    <t>HEI A div cumsum</t>
  </si>
  <si>
    <t>HEI div</t>
  </si>
  <si>
    <t>HEI div cumsum</t>
  </si>
  <si>
    <t>HEI A div adjustment</t>
  </si>
  <si>
    <t>HEI div adjustment</t>
  </si>
  <si>
    <t>HEI A*</t>
  </si>
  <si>
    <t>HEI*</t>
  </si>
  <si>
    <t>HEI/HEI A</t>
  </si>
  <si>
    <t>HEI/HEI A avg</t>
  </si>
  <si>
    <t>HEI/HEI A 10 dma</t>
  </si>
  <si>
    <t>HEI/HEI A 20 dma</t>
  </si>
  <si>
    <t>HEI A x avg</t>
  </si>
  <si>
    <t>HEI A x 10 dma</t>
  </si>
  <si>
    <t>HEI A x 20 dma</t>
  </si>
  <si>
    <t>log diff HEI A x avg / HEI</t>
  </si>
  <si>
    <t>log diff HEI A x 10 dma / HEI</t>
  </si>
  <si>
    <t>log diff HEI A x 20 dma / HEI</t>
  </si>
  <si>
    <t>HEI*/HEI A*</t>
  </si>
  <si>
    <t>HEI*/HEI A* avg</t>
  </si>
  <si>
    <t>HEI*/HEI A* 10 dma</t>
  </si>
  <si>
    <t>HEI*/HEI A* 20 dma</t>
  </si>
  <si>
    <t>HEI A* x avg</t>
  </si>
  <si>
    <t>HEI A* x 10 dma</t>
  </si>
  <si>
    <t>HEI A* x 20 dma</t>
  </si>
  <si>
    <t>log diff HEI A* x avg / HEI*</t>
  </si>
  <si>
    <t>log diff HEI A* x 10 dma / HEI*</t>
  </si>
  <si>
    <t>log diff HEI A* x 20 dma / HEI*</t>
  </si>
  <si>
    <t>enter</t>
  </si>
  <si>
    <t>row</t>
  </si>
  <si>
    <t>col</t>
  </si>
  <si>
    <t>exit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</si>
  <si>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</si>
  <si>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</si>
  <si>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</si>
  <si>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</si>
  <si>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</si>
  <si>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</si>
  <si>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</si>
  <si>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</si>
  <si>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</si>
  <si>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AI21</t>
  </si>
  <si>
    <t>AI22</t>
  </si>
  <si>
    <t>AT21</t>
  </si>
  <si>
    <t>AT22</t>
  </si>
  <si>
    <t>avg</t>
  </si>
  <si>
    <t>st dev</t>
  </si>
  <si>
    <t>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</si>
</sst>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43" fontId="0" fillId="0" borderId="10" xfId="1" applyFont="1" applyBorder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  <xf numFmtId="165" fontId="18" fillId="34" borderId="0" xfId="3" applyNumberFormat="1" applyFont="1" applyFill="1" applyAlignment="1">
      <alignment horizontal="right"/>
    </xf>
    <xf numFmtId="0" fontId="21" fillId="0" borderId="0" xfId="0" applyFont="1" applyAlignment="1">
      <alignment horizontal="left"/>
    </xf>
    <xf numFmtId="165" fontId="0" fillId="34" borderId="0" xfId="3" applyNumberFormat="1" applyFont="1" applyFill="1"/>
    <xf numFmtId="0" fontId="21" fillId="0" borderId="0" xfId="0" applyFont="1" applyAlignment="1">
      <alignment horizontal="center"/>
    </xf>
    <xf numFmtId="165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5" fontId="16" fillId="0" borderId="0" xfId="3" applyNumberFormat="1" applyFont="1"/>
    <xf numFmtId="165" fontId="16" fillId="34" borderId="0" xfId="3" applyNumberFormat="1" applyFont="1" applyFill="1"/>
    <xf numFmtId="0" fontId="16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HEI/HEI 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1.3338063878300499</c:v>
                </c:pt>
                <c:pt idx="1">
                  <c:v>1.3338063878300499</c:v>
                </c:pt>
                <c:pt idx="2">
                  <c:v>1.3338063878300499</c:v>
                </c:pt>
                <c:pt idx="3">
                  <c:v>1.3338063878300499</c:v>
                </c:pt>
                <c:pt idx="4">
                  <c:v>1.3338063878300499</c:v>
                </c:pt>
                <c:pt idx="5">
                  <c:v>1.3338063878300499</c:v>
                </c:pt>
                <c:pt idx="6">
                  <c:v>1.3338063878300499</c:v>
                </c:pt>
                <c:pt idx="7">
                  <c:v>1.3338063878300499</c:v>
                </c:pt>
                <c:pt idx="8">
                  <c:v>1.3338063878300499</c:v>
                </c:pt>
                <c:pt idx="9">
                  <c:v>1.3338063878300499</c:v>
                </c:pt>
                <c:pt idx="10">
                  <c:v>1.3338063878300499</c:v>
                </c:pt>
                <c:pt idx="11">
                  <c:v>1.3338063878300499</c:v>
                </c:pt>
                <c:pt idx="12">
                  <c:v>1.3338063878300499</c:v>
                </c:pt>
                <c:pt idx="13">
                  <c:v>1.3338063878300499</c:v>
                </c:pt>
                <c:pt idx="14">
                  <c:v>1.3338063878300499</c:v>
                </c:pt>
                <c:pt idx="15">
                  <c:v>1.3338063878300499</c:v>
                </c:pt>
                <c:pt idx="16">
                  <c:v>1.3338063878300499</c:v>
                </c:pt>
                <c:pt idx="17">
                  <c:v>1.3338063878300499</c:v>
                </c:pt>
                <c:pt idx="18">
                  <c:v>1.3338063878300499</c:v>
                </c:pt>
                <c:pt idx="19">
                  <c:v>1.3338063878300499</c:v>
                </c:pt>
                <c:pt idx="20">
                  <c:v>1.3338063878300499</c:v>
                </c:pt>
                <c:pt idx="21">
                  <c:v>1.3338063878300499</c:v>
                </c:pt>
                <c:pt idx="22">
                  <c:v>1.3338063878300499</c:v>
                </c:pt>
                <c:pt idx="23">
                  <c:v>1.3338063878300499</c:v>
                </c:pt>
                <c:pt idx="24">
                  <c:v>1.3338063878300499</c:v>
                </c:pt>
                <c:pt idx="25">
                  <c:v>1.3338063878300499</c:v>
                </c:pt>
                <c:pt idx="26">
                  <c:v>1.3338063878300499</c:v>
                </c:pt>
                <c:pt idx="27">
                  <c:v>1.3338063878300499</c:v>
                </c:pt>
                <c:pt idx="28">
                  <c:v>1.3338063878300499</c:v>
                </c:pt>
                <c:pt idx="29">
                  <c:v>1.3338063878300499</c:v>
                </c:pt>
                <c:pt idx="30">
                  <c:v>1.3338063878300499</c:v>
                </c:pt>
                <c:pt idx="31">
                  <c:v>1.3338063878300499</c:v>
                </c:pt>
                <c:pt idx="32">
                  <c:v>1.3338063878300499</c:v>
                </c:pt>
                <c:pt idx="33">
                  <c:v>1.3338063878300499</c:v>
                </c:pt>
                <c:pt idx="34">
                  <c:v>1.3338063878300499</c:v>
                </c:pt>
                <c:pt idx="35">
                  <c:v>1.3338063878300499</c:v>
                </c:pt>
                <c:pt idx="36">
                  <c:v>1.3338063878300499</c:v>
                </c:pt>
                <c:pt idx="37">
                  <c:v>1.3338063878300499</c:v>
                </c:pt>
                <c:pt idx="38">
                  <c:v>1.3338063878300499</c:v>
                </c:pt>
                <c:pt idx="39">
                  <c:v>1.3338063878300499</c:v>
                </c:pt>
                <c:pt idx="40">
                  <c:v>1.3338063878300499</c:v>
                </c:pt>
                <c:pt idx="41">
                  <c:v>1.3338063878300499</c:v>
                </c:pt>
                <c:pt idx="42">
                  <c:v>1.3338063878300499</c:v>
                </c:pt>
                <c:pt idx="43">
                  <c:v>1.3338063878300499</c:v>
                </c:pt>
                <c:pt idx="44">
                  <c:v>1.3338063878300499</c:v>
                </c:pt>
                <c:pt idx="45">
                  <c:v>1.3338063878300499</c:v>
                </c:pt>
                <c:pt idx="46">
                  <c:v>1.3338063878300499</c:v>
                </c:pt>
                <c:pt idx="47">
                  <c:v>1.3338063878300499</c:v>
                </c:pt>
                <c:pt idx="48">
                  <c:v>1.3338063878300499</c:v>
                </c:pt>
                <c:pt idx="49">
                  <c:v>1.3338063878300499</c:v>
                </c:pt>
                <c:pt idx="50">
                  <c:v>1.3338063878300499</c:v>
                </c:pt>
                <c:pt idx="51">
                  <c:v>1.3338063878300499</c:v>
                </c:pt>
                <c:pt idx="52">
                  <c:v>1.3338063878300499</c:v>
                </c:pt>
                <c:pt idx="53">
                  <c:v>1.3338063878300499</c:v>
                </c:pt>
                <c:pt idx="54">
                  <c:v>1.3338063878300499</c:v>
                </c:pt>
                <c:pt idx="55">
                  <c:v>1.3338063878300499</c:v>
                </c:pt>
                <c:pt idx="56">
                  <c:v>1.3338063878300499</c:v>
                </c:pt>
                <c:pt idx="57">
                  <c:v>1.3338063878300499</c:v>
                </c:pt>
                <c:pt idx="58">
                  <c:v>1.3338063878300499</c:v>
                </c:pt>
                <c:pt idx="59">
                  <c:v>1.3338063878300499</c:v>
                </c:pt>
                <c:pt idx="60">
                  <c:v>1.3338063878300499</c:v>
                </c:pt>
                <c:pt idx="61">
                  <c:v>1.3338063878300499</c:v>
                </c:pt>
                <c:pt idx="62">
                  <c:v>1.3338063878300499</c:v>
                </c:pt>
                <c:pt idx="63">
                  <c:v>1.3338063878300499</c:v>
                </c:pt>
                <c:pt idx="64">
                  <c:v>1.3338063878300499</c:v>
                </c:pt>
                <c:pt idx="65">
                  <c:v>1.3338063878300499</c:v>
                </c:pt>
                <c:pt idx="66">
                  <c:v>1.3338063878300499</c:v>
                </c:pt>
                <c:pt idx="67">
                  <c:v>1.3338063878300499</c:v>
                </c:pt>
                <c:pt idx="68">
                  <c:v>1.3338063878300499</c:v>
                </c:pt>
                <c:pt idx="69">
                  <c:v>1.3338063878300499</c:v>
                </c:pt>
                <c:pt idx="70">
                  <c:v>1.3338063878300499</c:v>
                </c:pt>
                <c:pt idx="71">
                  <c:v>1.3338063878300499</c:v>
                </c:pt>
                <c:pt idx="72">
                  <c:v>1.3338063878300499</c:v>
                </c:pt>
                <c:pt idx="73">
                  <c:v>1.3338063878300499</c:v>
                </c:pt>
                <c:pt idx="74">
                  <c:v>1.3338063878300499</c:v>
                </c:pt>
                <c:pt idx="75">
                  <c:v>1.3338063878300499</c:v>
                </c:pt>
                <c:pt idx="76">
                  <c:v>1.3338063878300499</c:v>
                </c:pt>
                <c:pt idx="77">
                  <c:v>1.3338063878300499</c:v>
                </c:pt>
                <c:pt idx="78">
                  <c:v>1.3338063878300499</c:v>
                </c:pt>
                <c:pt idx="79">
                  <c:v>1.3338063878300499</c:v>
                </c:pt>
                <c:pt idx="80">
                  <c:v>1.3338063878300499</c:v>
                </c:pt>
                <c:pt idx="81">
                  <c:v>1.3338063878300499</c:v>
                </c:pt>
                <c:pt idx="82">
                  <c:v>1.3338063878300499</c:v>
                </c:pt>
                <c:pt idx="83">
                  <c:v>1.3338063878300499</c:v>
                </c:pt>
                <c:pt idx="84">
                  <c:v>1.3338063878300499</c:v>
                </c:pt>
                <c:pt idx="85">
                  <c:v>1.3338063878300499</c:v>
                </c:pt>
                <c:pt idx="86">
                  <c:v>1.3338063878300499</c:v>
                </c:pt>
                <c:pt idx="87">
                  <c:v>1.3338063878300499</c:v>
                </c:pt>
                <c:pt idx="88">
                  <c:v>1.3338063878300499</c:v>
                </c:pt>
                <c:pt idx="89">
                  <c:v>1.3338063878300499</c:v>
                </c:pt>
                <c:pt idx="90">
                  <c:v>1.3338063878300499</c:v>
                </c:pt>
                <c:pt idx="91">
                  <c:v>1.3338063878300499</c:v>
                </c:pt>
                <c:pt idx="92">
                  <c:v>1.3338063878300499</c:v>
                </c:pt>
                <c:pt idx="93">
                  <c:v>1.3338063878300499</c:v>
                </c:pt>
                <c:pt idx="94">
                  <c:v>1.3338063878300499</c:v>
                </c:pt>
                <c:pt idx="95">
                  <c:v>1.3338063878300499</c:v>
                </c:pt>
                <c:pt idx="96">
                  <c:v>1.3338063878300499</c:v>
                </c:pt>
                <c:pt idx="97">
                  <c:v>1.3338063878300499</c:v>
                </c:pt>
                <c:pt idx="98">
                  <c:v>1.3338063878300499</c:v>
                </c:pt>
                <c:pt idx="99">
                  <c:v>1.3338063878300499</c:v>
                </c:pt>
                <c:pt idx="100">
                  <c:v>1.3338063878300499</c:v>
                </c:pt>
                <c:pt idx="101">
                  <c:v>1.3338063878300499</c:v>
                </c:pt>
                <c:pt idx="102">
                  <c:v>1.3338063878300499</c:v>
                </c:pt>
                <c:pt idx="103">
                  <c:v>1.3338063878300499</c:v>
                </c:pt>
                <c:pt idx="104">
                  <c:v>1.3338063878300499</c:v>
                </c:pt>
                <c:pt idx="105">
                  <c:v>1.3338063878300499</c:v>
                </c:pt>
                <c:pt idx="106">
                  <c:v>1.3338063878300499</c:v>
                </c:pt>
                <c:pt idx="107">
                  <c:v>1.3338063878300499</c:v>
                </c:pt>
                <c:pt idx="108">
                  <c:v>1.3338063878300499</c:v>
                </c:pt>
                <c:pt idx="109">
                  <c:v>1.3338063878300499</c:v>
                </c:pt>
                <c:pt idx="110">
                  <c:v>1.3338063878300499</c:v>
                </c:pt>
                <c:pt idx="111">
                  <c:v>1.3338063878300499</c:v>
                </c:pt>
                <c:pt idx="112">
                  <c:v>1.3338063878300499</c:v>
                </c:pt>
                <c:pt idx="113">
                  <c:v>1.3338063878300499</c:v>
                </c:pt>
                <c:pt idx="114">
                  <c:v>1.3338063878300499</c:v>
                </c:pt>
                <c:pt idx="115">
                  <c:v>1.3338063878300499</c:v>
                </c:pt>
                <c:pt idx="116">
                  <c:v>1.3338063878300499</c:v>
                </c:pt>
                <c:pt idx="117">
                  <c:v>1.3338063878300499</c:v>
                </c:pt>
                <c:pt idx="118">
                  <c:v>1.3338063878300499</c:v>
                </c:pt>
                <c:pt idx="119">
                  <c:v>1.3338063878300499</c:v>
                </c:pt>
                <c:pt idx="120">
                  <c:v>1.3338063878300499</c:v>
                </c:pt>
                <c:pt idx="121">
                  <c:v>1.3338063878300499</c:v>
                </c:pt>
                <c:pt idx="122">
                  <c:v>1.3338063878300499</c:v>
                </c:pt>
                <c:pt idx="123">
                  <c:v>1.3338063878300499</c:v>
                </c:pt>
                <c:pt idx="124">
                  <c:v>1.3338063878300499</c:v>
                </c:pt>
                <c:pt idx="125">
                  <c:v>1.3338063878300499</c:v>
                </c:pt>
                <c:pt idx="126">
                  <c:v>1.3338063878300499</c:v>
                </c:pt>
                <c:pt idx="127">
                  <c:v>1.3338063878300499</c:v>
                </c:pt>
                <c:pt idx="128">
                  <c:v>1.3338063878300499</c:v>
                </c:pt>
                <c:pt idx="129">
                  <c:v>1.3338063878300499</c:v>
                </c:pt>
                <c:pt idx="130">
                  <c:v>1.3338063878300499</c:v>
                </c:pt>
                <c:pt idx="131">
                  <c:v>1.3338063878300499</c:v>
                </c:pt>
                <c:pt idx="132">
                  <c:v>1.3338063878300499</c:v>
                </c:pt>
                <c:pt idx="133">
                  <c:v>1.3338063878300499</c:v>
                </c:pt>
                <c:pt idx="134">
                  <c:v>1.3338063878300499</c:v>
                </c:pt>
                <c:pt idx="135">
                  <c:v>1.3338063878300499</c:v>
                </c:pt>
                <c:pt idx="136">
                  <c:v>1.3338063878300499</c:v>
                </c:pt>
                <c:pt idx="137">
                  <c:v>1.3338063878300499</c:v>
                </c:pt>
                <c:pt idx="138">
                  <c:v>1.3338063878300499</c:v>
                </c:pt>
                <c:pt idx="139">
                  <c:v>1.3338063878300499</c:v>
                </c:pt>
                <c:pt idx="140">
                  <c:v>1.3338063878300499</c:v>
                </c:pt>
                <c:pt idx="141">
                  <c:v>1.3338063878300499</c:v>
                </c:pt>
                <c:pt idx="142">
                  <c:v>1.3338063878300499</c:v>
                </c:pt>
                <c:pt idx="143">
                  <c:v>1.3338063878300499</c:v>
                </c:pt>
                <c:pt idx="144">
                  <c:v>1.3338063878300499</c:v>
                </c:pt>
                <c:pt idx="145">
                  <c:v>1.3338063878300499</c:v>
                </c:pt>
                <c:pt idx="146">
                  <c:v>1.3338063878300499</c:v>
                </c:pt>
                <c:pt idx="147">
                  <c:v>1.3338063878300499</c:v>
                </c:pt>
                <c:pt idx="148">
                  <c:v>1.3338063878300499</c:v>
                </c:pt>
                <c:pt idx="149">
                  <c:v>1.3338063878300499</c:v>
                </c:pt>
                <c:pt idx="150">
                  <c:v>1.3338063878300499</c:v>
                </c:pt>
                <c:pt idx="151">
                  <c:v>1.3338063878300499</c:v>
                </c:pt>
                <c:pt idx="152">
                  <c:v>1.3338063878300499</c:v>
                </c:pt>
                <c:pt idx="153">
                  <c:v>1.3338063878300499</c:v>
                </c:pt>
                <c:pt idx="154">
                  <c:v>1.3338063878300499</c:v>
                </c:pt>
                <c:pt idx="155">
                  <c:v>1.3338063878300499</c:v>
                </c:pt>
                <c:pt idx="156">
                  <c:v>1.3338063878300499</c:v>
                </c:pt>
                <c:pt idx="157">
                  <c:v>1.3338063878300499</c:v>
                </c:pt>
                <c:pt idx="158">
                  <c:v>1.3338063878300499</c:v>
                </c:pt>
                <c:pt idx="159">
                  <c:v>1.3338063878300499</c:v>
                </c:pt>
                <c:pt idx="160">
                  <c:v>1.3338063878300499</c:v>
                </c:pt>
                <c:pt idx="161">
                  <c:v>1.3338063878300499</c:v>
                </c:pt>
                <c:pt idx="162">
                  <c:v>1.3338063878300499</c:v>
                </c:pt>
                <c:pt idx="163">
                  <c:v>1.3338063878300499</c:v>
                </c:pt>
                <c:pt idx="164">
                  <c:v>1.3338063878300499</c:v>
                </c:pt>
                <c:pt idx="165">
                  <c:v>1.3338063878300499</c:v>
                </c:pt>
                <c:pt idx="166">
                  <c:v>1.3338063878300499</c:v>
                </c:pt>
                <c:pt idx="167">
                  <c:v>1.3338063878300499</c:v>
                </c:pt>
                <c:pt idx="168">
                  <c:v>1.3338063878300499</c:v>
                </c:pt>
                <c:pt idx="169">
                  <c:v>1.3338063878300499</c:v>
                </c:pt>
                <c:pt idx="170">
                  <c:v>1.3338063878300499</c:v>
                </c:pt>
                <c:pt idx="171">
                  <c:v>1.3338063878300499</c:v>
                </c:pt>
                <c:pt idx="172">
                  <c:v>1.3338063878300499</c:v>
                </c:pt>
                <c:pt idx="173">
                  <c:v>1.3338063878300499</c:v>
                </c:pt>
                <c:pt idx="174">
                  <c:v>1.3338063878300499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3-46E4-BE27-AA5D9359EBE3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HEI/HEI 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1.29294110243798</c:v>
                </c:pt>
                <c:pt idx="10">
                  <c:v>1.2943625855015399</c:v>
                </c:pt>
                <c:pt idx="11">
                  <c:v>1.2949387272911801</c:v>
                </c:pt>
                <c:pt idx="12">
                  <c:v>1.29518241087869</c:v>
                </c:pt>
                <c:pt idx="13">
                  <c:v>1.2952365856613599</c:v>
                </c:pt>
                <c:pt idx="14">
                  <c:v>1.29551729116384</c:v>
                </c:pt>
                <c:pt idx="15">
                  <c:v>1.2958966971539501</c:v>
                </c:pt>
                <c:pt idx="16">
                  <c:v>1.2955315865646</c:v>
                </c:pt>
                <c:pt idx="17">
                  <c:v>1.2953565208506399</c:v>
                </c:pt>
                <c:pt idx="18">
                  <c:v>1.2958903131230699</c:v>
                </c:pt>
                <c:pt idx="19">
                  <c:v>1.29620435992078</c:v>
                </c:pt>
                <c:pt idx="20">
                  <c:v>1.29604017198074</c:v>
                </c:pt>
                <c:pt idx="21">
                  <c:v>1.2970144025057899</c:v>
                </c:pt>
                <c:pt idx="22">
                  <c:v>1.2979656923527001</c:v>
                </c:pt>
                <c:pt idx="23">
                  <c:v>1.29816649937155</c:v>
                </c:pt>
                <c:pt idx="24">
                  <c:v>1.2986098512236699</c:v>
                </c:pt>
                <c:pt idx="25">
                  <c:v>1.2987600702239499</c:v>
                </c:pt>
                <c:pt idx="26">
                  <c:v>1.2996727921668501</c:v>
                </c:pt>
                <c:pt idx="27">
                  <c:v>1.3004082342672401</c:v>
                </c:pt>
                <c:pt idx="28">
                  <c:v>1.30127607418555</c:v>
                </c:pt>
                <c:pt idx="29">
                  <c:v>1.3027760638521599</c:v>
                </c:pt>
                <c:pt idx="30">
                  <c:v>1.3061364087892999</c:v>
                </c:pt>
                <c:pt idx="31">
                  <c:v>1.3088208146884499</c:v>
                </c:pt>
                <c:pt idx="32">
                  <c:v>1.3116612675060499</c:v>
                </c:pt>
                <c:pt idx="33">
                  <c:v>1.3163741061143099</c:v>
                </c:pt>
                <c:pt idx="34">
                  <c:v>1.32007171397667</c:v>
                </c:pt>
                <c:pt idx="35">
                  <c:v>1.3252874782823501</c:v>
                </c:pt>
                <c:pt idx="36">
                  <c:v>1.33109573385056</c:v>
                </c:pt>
                <c:pt idx="37">
                  <c:v>1.33214020434403</c:v>
                </c:pt>
                <c:pt idx="38">
                  <c:v>1.3339859917700201</c:v>
                </c:pt>
                <c:pt idx="39">
                  <c:v>1.3361380026338701</c:v>
                </c:pt>
                <c:pt idx="40">
                  <c:v>1.3371269576876399</c:v>
                </c:pt>
                <c:pt idx="41">
                  <c:v>1.33580276709072</c:v>
                </c:pt>
                <c:pt idx="42">
                  <c:v>1.3337571755964901</c:v>
                </c:pt>
                <c:pt idx="43">
                  <c:v>1.32977030442172</c:v>
                </c:pt>
                <c:pt idx="44">
                  <c:v>1.3285545998095301</c:v>
                </c:pt>
                <c:pt idx="45">
                  <c:v>1.3255588276553001</c:v>
                </c:pt>
                <c:pt idx="46">
                  <c:v>1.32101999909312</c:v>
                </c:pt>
                <c:pt idx="47">
                  <c:v>1.3194479627379501</c:v>
                </c:pt>
                <c:pt idx="48">
                  <c:v>1.3166969325059601</c:v>
                </c:pt>
                <c:pt idx="49">
                  <c:v>1.31322853200734</c:v>
                </c:pt>
                <c:pt idx="50">
                  <c:v>1.30938333543973</c:v>
                </c:pt>
                <c:pt idx="51">
                  <c:v>1.3085198953002499</c:v>
                </c:pt>
                <c:pt idx="52">
                  <c:v>1.30741202530656</c:v>
                </c:pt>
                <c:pt idx="53">
                  <c:v>1.30836889154554</c:v>
                </c:pt>
                <c:pt idx="54">
                  <c:v>1.30708520536134</c:v>
                </c:pt>
                <c:pt idx="55">
                  <c:v>1.3067992863757301</c:v>
                </c:pt>
                <c:pt idx="56">
                  <c:v>1.30607179712055</c:v>
                </c:pt>
                <c:pt idx="57">
                  <c:v>1.3069370564212901</c:v>
                </c:pt>
                <c:pt idx="58">
                  <c:v>1.3082174009860901</c:v>
                </c:pt>
                <c:pt idx="59">
                  <c:v>1.3074099579526901</c:v>
                </c:pt>
                <c:pt idx="60">
                  <c:v>1.3075340978446399</c:v>
                </c:pt>
                <c:pt idx="61">
                  <c:v>1.3067789300607699</c:v>
                </c:pt>
                <c:pt idx="62">
                  <c:v>1.3057381351039801</c:v>
                </c:pt>
                <c:pt idx="63">
                  <c:v>1.3039874055574801</c:v>
                </c:pt>
                <c:pt idx="64">
                  <c:v>1.30235279998352</c:v>
                </c:pt>
                <c:pt idx="65">
                  <c:v>1.30128850414718</c:v>
                </c:pt>
                <c:pt idx="66">
                  <c:v>1.30150332895493</c:v>
                </c:pt>
                <c:pt idx="67">
                  <c:v>1.30220053033719</c:v>
                </c:pt>
                <c:pt idx="68">
                  <c:v>1.3021559185818901</c:v>
                </c:pt>
                <c:pt idx="69">
                  <c:v>1.3056116068710399</c:v>
                </c:pt>
                <c:pt idx="70">
                  <c:v>1.30741403273399</c:v>
                </c:pt>
                <c:pt idx="71">
                  <c:v>1.30944747928079</c:v>
                </c:pt>
                <c:pt idx="72">
                  <c:v>1.3123052555392201</c:v>
                </c:pt>
                <c:pt idx="73">
                  <c:v>1.31468006535496</c:v>
                </c:pt>
                <c:pt idx="74">
                  <c:v>1.31555885533798</c:v>
                </c:pt>
                <c:pt idx="75">
                  <c:v>1.3142261297436</c:v>
                </c:pt>
                <c:pt idx="76">
                  <c:v>1.3124211191181601</c:v>
                </c:pt>
                <c:pt idx="77">
                  <c:v>1.31038123653262</c:v>
                </c:pt>
                <c:pt idx="78">
                  <c:v>1.30833536205223</c:v>
                </c:pt>
                <c:pt idx="79">
                  <c:v>1.30392216884114</c:v>
                </c:pt>
                <c:pt idx="80">
                  <c:v>1.3018876858161099</c:v>
                </c:pt>
                <c:pt idx="81">
                  <c:v>1.2992793115547301</c:v>
                </c:pt>
                <c:pt idx="82">
                  <c:v>1.2958655657915501</c:v>
                </c:pt>
                <c:pt idx="83">
                  <c:v>1.29243167502756</c:v>
                </c:pt>
                <c:pt idx="84">
                  <c:v>1.2913014461891399</c:v>
                </c:pt>
                <c:pt idx="85">
                  <c:v>1.2934147746191</c:v>
                </c:pt>
                <c:pt idx="86">
                  <c:v>1.2952085568048901</c:v>
                </c:pt>
                <c:pt idx="87">
                  <c:v>1.2976617311415199</c:v>
                </c:pt>
                <c:pt idx="88">
                  <c:v>1.30138476227039</c:v>
                </c:pt>
                <c:pt idx="89">
                  <c:v>1.3054515465152201</c:v>
                </c:pt>
                <c:pt idx="90">
                  <c:v>1.3092111862384599</c:v>
                </c:pt>
                <c:pt idx="91">
                  <c:v>1.3136257801862401</c:v>
                </c:pt>
                <c:pt idx="92">
                  <c:v>1.31891110766557</c:v>
                </c:pt>
                <c:pt idx="93">
                  <c:v>1.32479720978277</c:v>
                </c:pt>
                <c:pt idx="94">
                  <c:v>1.32955464928488</c:v>
                </c:pt>
                <c:pt idx="95">
                  <c:v>1.33266741521165</c:v>
                </c:pt>
                <c:pt idx="96">
                  <c:v>1.33602078949701</c:v>
                </c:pt>
                <c:pt idx="97">
                  <c:v>1.33840986515805</c:v>
                </c:pt>
                <c:pt idx="98">
                  <c:v>1.34013883254739</c:v>
                </c:pt>
                <c:pt idx="99">
                  <c:v>1.3423204607385</c:v>
                </c:pt>
                <c:pt idx="100">
                  <c:v>1.3429763431470401</c:v>
                </c:pt>
                <c:pt idx="101">
                  <c:v>1.34343909877356</c:v>
                </c:pt>
                <c:pt idx="102">
                  <c:v>1.34543924384858</c:v>
                </c:pt>
                <c:pt idx="103">
                  <c:v>1.3466662239243801</c:v>
                </c:pt>
                <c:pt idx="104">
                  <c:v>1.34837684562752</c:v>
                </c:pt>
                <c:pt idx="105">
                  <c:v>1.3488395695334201</c:v>
                </c:pt>
                <c:pt idx="106">
                  <c:v>1.3503960633904599</c:v>
                </c:pt>
                <c:pt idx="107">
                  <c:v>1.3511002695809</c:v>
                </c:pt>
                <c:pt idx="108">
                  <c:v>1.35114120723107</c:v>
                </c:pt>
                <c:pt idx="109">
                  <c:v>1.35163234972468</c:v>
                </c:pt>
                <c:pt idx="110">
                  <c:v>1.35267217843416</c:v>
                </c:pt>
                <c:pt idx="111">
                  <c:v>1.35286502070878</c:v>
                </c:pt>
                <c:pt idx="112">
                  <c:v>1.35251758812224</c:v>
                </c:pt>
                <c:pt idx="113">
                  <c:v>1.3520572261416799</c:v>
                </c:pt>
                <c:pt idx="114">
                  <c:v>1.3521507318630399</c:v>
                </c:pt>
                <c:pt idx="115">
                  <c:v>1.35311994724185</c:v>
                </c:pt>
                <c:pt idx="116">
                  <c:v>1.35378008691837</c:v>
                </c:pt>
                <c:pt idx="117">
                  <c:v>1.3544160823523299</c:v>
                </c:pt>
                <c:pt idx="118">
                  <c:v>1.35575440187623</c:v>
                </c:pt>
                <c:pt idx="119">
                  <c:v>1.3536243708912601</c:v>
                </c:pt>
                <c:pt idx="120">
                  <c:v>1.35401851934621</c:v>
                </c:pt>
                <c:pt idx="121">
                  <c:v>1.3575206274876199</c:v>
                </c:pt>
                <c:pt idx="122">
                  <c:v>1.3604683379273701</c:v>
                </c:pt>
                <c:pt idx="123">
                  <c:v>1.36270769051723</c:v>
                </c:pt>
                <c:pt idx="124">
                  <c:v>1.36512498985941</c:v>
                </c:pt>
                <c:pt idx="125">
                  <c:v>1.36806380856458</c:v>
                </c:pt>
                <c:pt idx="126">
                  <c:v>1.3702918929700401</c:v>
                </c:pt>
                <c:pt idx="127">
                  <c:v>1.3731240388564701</c:v>
                </c:pt>
                <c:pt idx="128">
                  <c:v>1.3758400443418199</c:v>
                </c:pt>
                <c:pt idx="129">
                  <c:v>1.3809536731688301</c:v>
                </c:pt>
                <c:pt idx="130">
                  <c:v>1.38346951614737</c:v>
                </c:pt>
                <c:pt idx="131">
                  <c:v>1.3841713404175999</c:v>
                </c:pt>
                <c:pt idx="132">
                  <c:v>1.3849236340554301</c:v>
                </c:pt>
                <c:pt idx="133">
                  <c:v>1.38492992879597</c:v>
                </c:pt>
                <c:pt idx="134">
                  <c:v>1.38359484323895</c:v>
                </c:pt>
                <c:pt idx="135">
                  <c:v>1.38167264631749</c:v>
                </c:pt>
                <c:pt idx="136">
                  <c:v>1.38013113902019</c:v>
                </c:pt>
                <c:pt idx="137">
                  <c:v>1.3788427435452699</c:v>
                </c:pt>
                <c:pt idx="138">
                  <c:v>1.3766437928774999</c:v>
                </c:pt>
                <c:pt idx="139">
                  <c:v>1.37649201706321</c:v>
                </c:pt>
                <c:pt idx="140">
                  <c:v>1.3761340318969399</c:v>
                </c:pt>
                <c:pt idx="141">
                  <c:v>1.3757828191786201</c:v>
                </c:pt>
                <c:pt idx="142">
                  <c:v>1.37495265203242</c:v>
                </c:pt>
                <c:pt idx="143">
                  <c:v>1.37573927349109</c:v>
                </c:pt>
                <c:pt idx="144">
                  <c:v>1.37722421280758</c:v>
                </c:pt>
                <c:pt idx="145">
                  <c:v>1.3777166810256301</c:v>
                </c:pt>
                <c:pt idx="146">
                  <c:v>1.3784979141912801</c:v>
                </c:pt>
                <c:pt idx="147">
                  <c:v>1.37890178338233</c:v>
                </c:pt>
                <c:pt idx="148">
                  <c:v>1.37971363710087</c:v>
                </c:pt>
                <c:pt idx="149">
                  <c:v>1.37977310826747</c:v>
                </c:pt>
                <c:pt idx="150">
                  <c:v>1.37939500976479</c:v>
                </c:pt>
                <c:pt idx="151">
                  <c:v>1.37994296023054</c:v>
                </c:pt>
                <c:pt idx="152">
                  <c:v>1.3789778143015501</c:v>
                </c:pt>
                <c:pt idx="153">
                  <c:v>1.37706847117681</c:v>
                </c:pt>
                <c:pt idx="154">
                  <c:v>1.37480648989535</c:v>
                </c:pt>
                <c:pt idx="155">
                  <c:v>1.3743455987870401</c:v>
                </c:pt>
                <c:pt idx="156">
                  <c:v>1.3730254354236999</c:v>
                </c:pt>
                <c:pt idx="157">
                  <c:v>1.37282478235715</c:v>
                </c:pt>
                <c:pt idx="158">
                  <c:v>1.3711043052215599</c:v>
                </c:pt>
                <c:pt idx="159">
                  <c:v>1.36910784530124</c:v>
                </c:pt>
                <c:pt idx="160">
                  <c:v>1.3678586544278399</c:v>
                </c:pt>
                <c:pt idx="161">
                  <c:v>1.3657940260479</c:v>
                </c:pt>
                <c:pt idx="162">
                  <c:v>1.36403013520713</c:v>
                </c:pt>
                <c:pt idx="163">
                  <c:v>1.36193442089548</c:v>
                </c:pt>
                <c:pt idx="164">
                  <c:v>1.36026553090942</c:v>
                </c:pt>
                <c:pt idx="165">
                  <c:v>1.3586820443578</c:v>
                </c:pt>
                <c:pt idx="166">
                  <c:v>1.3561228789461699</c:v>
                </c:pt>
                <c:pt idx="167">
                  <c:v>1.3533038826488299</c:v>
                </c:pt>
                <c:pt idx="168">
                  <c:v>1.3535060756855</c:v>
                </c:pt>
                <c:pt idx="169">
                  <c:v>1.35299045473838</c:v>
                </c:pt>
                <c:pt idx="170">
                  <c:v>1.3514329906882401</c:v>
                </c:pt>
                <c:pt idx="171">
                  <c:v>1.3492335283705701</c:v>
                </c:pt>
                <c:pt idx="172">
                  <c:v>1.3484309805447501</c:v>
                </c:pt>
                <c:pt idx="173">
                  <c:v>1.34849458331326</c:v>
                </c:pt>
                <c:pt idx="174">
                  <c:v>1.34729651858954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3-46E4-BE27-AA5D9359EBE3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HEI/HEI 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1.29457273117938</c:v>
                </c:pt>
                <c:pt idx="20">
                  <c:v>1.2952013787411401</c:v>
                </c:pt>
                <c:pt idx="21">
                  <c:v>1.29597656489848</c:v>
                </c:pt>
                <c:pt idx="22">
                  <c:v>1.2965740516157001</c:v>
                </c:pt>
                <c:pt idx="23">
                  <c:v>1.2967015425164501</c:v>
                </c:pt>
                <c:pt idx="24">
                  <c:v>1.2970635711937499</c:v>
                </c:pt>
                <c:pt idx="25">
                  <c:v>1.29732838368895</c:v>
                </c:pt>
                <c:pt idx="26">
                  <c:v>1.2976021893657299</c:v>
                </c:pt>
                <c:pt idx="27">
                  <c:v>1.2978823775589401</c:v>
                </c:pt>
                <c:pt idx="28">
                  <c:v>1.29858319365431</c:v>
                </c:pt>
                <c:pt idx="29">
                  <c:v>1.29949021188647</c:v>
                </c:pt>
                <c:pt idx="30">
                  <c:v>1.3010882903850201</c:v>
                </c:pt>
                <c:pt idx="31">
                  <c:v>1.3029176085971199</c:v>
                </c:pt>
                <c:pt idx="32">
                  <c:v>1.30481347992938</c:v>
                </c:pt>
                <c:pt idx="33">
                  <c:v>1.30727030274293</c:v>
                </c:pt>
                <c:pt idx="34">
                  <c:v>1.30934078260017</c:v>
                </c:pt>
                <c:pt idx="35">
                  <c:v>1.31202377425315</c:v>
                </c:pt>
                <c:pt idx="36">
                  <c:v>1.3153842630087</c:v>
                </c:pt>
                <c:pt idx="37">
                  <c:v>1.31627421930563</c:v>
                </c:pt>
                <c:pt idx="38">
                  <c:v>1.3176310329777901</c:v>
                </c:pt>
                <c:pt idx="39">
                  <c:v>1.31945703324302</c:v>
                </c:pt>
                <c:pt idx="40">
                  <c:v>1.32163168323847</c:v>
                </c:pt>
                <c:pt idx="41">
                  <c:v>1.3223117908895801</c:v>
                </c:pt>
                <c:pt idx="42">
                  <c:v>1.3227092215512699</c:v>
                </c:pt>
                <c:pt idx="43">
                  <c:v>1.3230722052680099</c:v>
                </c:pt>
                <c:pt idx="44">
                  <c:v>1.3243131568930999</c:v>
                </c:pt>
                <c:pt idx="45">
                  <c:v>1.3254231529688201</c:v>
                </c:pt>
                <c:pt idx="46">
                  <c:v>1.3260578664718401</c:v>
                </c:pt>
                <c:pt idx="47">
                  <c:v>1.32579408354099</c:v>
                </c:pt>
                <c:pt idx="48">
                  <c:v>1.32534146213799</c:v>
                </c:pt>
                <c:pt idx="49">
                  <c:v>1.3246832673205999</c:v>
                </c:pt>
                <c:pt idx="50">
                  <c:v>1.3232551465636799</c:v>
                </c:pt>
                <c:pt idx="51">
                  <c:v>1.3221613311954801</c:v>
                </c:pt>
                <c:pt idx="52">
                  <c:v>1.32058460045152</c:v>
                </c:pt>
                <c:pt idx="53">
                  <c:v>1.31906959798363</c:v>
                </c:pt>
                <c:pt idx="54">
                  <c:v>1.31781990258543</c:v>
                </c:pt>
                <c:pt idx="55">
                  <c:v>1.3161790570155201</c:v>
                </c:pt>
                <c:pt idx="56">
                  <c:v>1.31354589810683</c:v>
                </c:pt>
                <c:pt idx="57">
                  <c:v>1.31319250957962</c:v>
                </c:pt>
                <c:pt idx="58">
                  <c:v>1.3124571667460301</c:v>
                </c:pt>
                <c:pt idx="59">
                  <c:v>1.3103192449800101</c:v>
                </c:pt>
                <c:pt idx="60">
                  <c:v>1.3084587166421799</c:v>
                </c:pt>
                <c:pt idx="61">
                  <c:v>1.30764941268051</c:v>
                </c:pt>
                <c:pt idx="62">
                  <c:v>1.30657508020527</c:v>
                </c:pt>
                <c:pt idx="63">
                  <c:v>1.30617814855151</c:v>
                </c:pt>
                <c:pt idx="64">
                  <c:v>1.30471900267243</c:v>
                </c:pt>
                <c:pt idx="65">
                  <c:v>1.3040438952614599</c:v>
                </c:pt>
                <c:pt idx="66">
                  <c:v>1.30378756303774</c:v>
                </c:pt>
                <c:pt idx="67">
                  <c:v>1.30456879337924</c:v>
                </c:pt>
                <c:pt idx="68">
                  <c:v>1.3051866597839901</c:v>
                </c:pt>
                <c:pt idx="69">
                  <c:v>1.30651078241187</c:v>
                </c:pt>
                <c:pt idx="70">
                  <c:v>1.30747406528931</c:v>
                </c:pt>
                <c:pt idx="71">
                  <c:v>1.30811320467078</c:v>
                </c:pt>
                <c:pt idx="72">
                  <c:v>1.3090216953216001</c:v>
                </c:pt>
                <c:pt idx="73">
                  <c:v>1.30933373545622</c:v>
                </c:pt>
                <c:pt idx="74">
                  <c:v>1.30895582766075</c:v>
                </c:pt>
                <c:pt idx="75">
                  <c:v>1.30775731694539</c:v>
                </c:pt>
                <c:pt idx="76">
                  <c:v>1.3069622240365499</c:v>
                </c:pt>
                <c:pt idx="77">
                  <c:v>1.3062908834349101</c:v>
                </c:pt>
                <c:pt idx="78">
                  <c:v>1.30524564031706</c:v>
                </c:pt>
                <c:pt idx="79">
                  <c:v>1.3047668878560901</c:v>
                </c:pt>
                <c:pt idx="80">
                  <c:v>1.3046508592750501</c:v>
                </c:pt>
                <c:pt idx="81">
                  <c:v>1.30436339541776</c:v>
                </c:pt>
                <c:pt idx="82">
                  <c:v>1.3040854106653801</c:v>
                </c:pt>
                <c:pt idx="83">
                  <c:v>1.30355587019126</c:v>
                </c:pt>
                <c:pt idx="84">
                  <c:v>1.3034301507635599</c:v>
                </c:pt>
                <c:pt idx="85">
                  <c:v>1.3038204521813499</c:v>
                </c:pt>
                <c:pt idx="86">
                  <c:v>1.30381483796153</c:v>
                </c:pt>
                <c:pt idx="87">
                  <c:v>1.3040214838370701</c:v>
                </c:pt>
                <c:pt idx="88">
                  <c:v>1.30486006216131</c:v>
                </c:pt>
                <c:pt idx="89">
                  <c:v>1.30468685767818</c:v>
                </c:pt>
                <c:pt idx="90">
                  <c:v>1.3055494360272899</c:v>
                </c:pt>
                <c:pt idx="91">
                  <c:v>1.3064525458704901</c:v>
                </c:pt>
                <c:pt idx="92">
                  <c:v>1.3073883367285599</c:v>
                </c:pt>
                <c:pt idx="93">
                  <c:v>1.30861444240516</c:v>
                </c:pt>
                <c:pt idx="94">
                  <c:v>1.31042804773701</c:v>
                </c:pt>
                <c:pt idx="95">
                  <c:v>1.3130410949153699</c:v>
                </c:pt>
                <c:pt idx="96">
                  <c:v>1.3156146731509499</c:v>
                </c:pt>
                <c:pt idx="97">
                  <c:v>1.3180357981497799</c:v>
                </c:pt>
                <c:pt idx="98">
                  <c:v>1.3207617974088901</c:v>
                </c:pt>
                <c:pt idx="99">
                  <c:v>1.32388600362686</c:v>
                </c:pt>
                <c:pt idx="100">
                  <c:v>1.32609376469275</c:v>
                </c:pt>
                <c:pt idx="101">
                  <c:v>1.3285324394799001</c:v>
                </c:pt>
                <c:pt idx="102">
                  <c:v>1.3321751757570801</c:v>
                </c:pt>
                <c:pt idx="103">
                  <c:v>1.3357317168535801</c:v>
                </c:pt>
                <c:pt idx="104">
                  <c:v>1.3389657474562</c:v>
                </c:pt>
                <c:pt idx="105">
                  <c:v>1.3407534923725299</c:v>
                </c:pt>
                <c:pt idx="106">
                  <c:v>1.3432084264437301</c:v>
                </c:pt>
                <c:pt idx="107">
                  <c:v>1.3447550673694699</c:v>
                </c:pt>
                <c:pt idx="108">
                  <c:v>1.34564001988923</c:v>
                </c:pt>
                <c:pt idx="109">
                  <c:v>1.34697640523159</c:v>
                </c:pt>
                <c:pt idx="110">
                  <c:v>1.3478242607905999</c:v>
                </c:pt>
                <c:pt idx="111">
                  <c:v>1.34815205974117</c:v>
                </c:pt>
                <c:pt idx="112">
                  <c:v>1.3489784159854099</c:v>
                </c:pt>
                <c:pt idx="113">
                  <c:v>1.3493617250330301</c:v>
                </c:pt>
                <c:pt idx="114">
                  <c:v>1.35026378874528</c:v>
                </c:pt>
                <c:pt idx="115">
                  <c:v>1.35097975838763</c:v>
                </c:pt>
                <c:pt idx="116">
                  <c:v>1.35208807515441</c:v>
                </c:pt>
                <c:pt idx="117">
                  <c:v>1.3527581759666101</c:v>
                </c:pt>
                <c:pt idx="118">
                  <c:v>1.35344780455365</c:v>
                </c:pt>
                <c:pt idx="119">
                  <c:v>1.3526283603079701</c:v>
                </c:pt>
                <c:pt idx="120">
                  <c:v>1.3533453488901801</c:v>
                </c:pt>
                <c:pt idx="121">
                  <c:v>1.3551928240982001</c:v>
                </c:pt>
                <c:pt idx="122">
                  <c:v>1.3564929630248099</c:v>
                </c:pt>
                <c:pt idx="123">
                  <c:v>1.35738245832945</c:v>
                </c:pt>
                <c:pt idx="124">
                  <c:v>1.35863786086123</c:v>
                </c:pt>
                <c:pt idx="125">
                  <c:v>1.36059187790321</c:v>
                </c:pt>
                <c:pt idx="126">
                  <c:v>1.36203598994421</c:v>
                </c:pt>
                <c:pt idx="127">
                  <c:v>1.3637700606044001</c:v>
                </c:pt>
                <c:pt idx="128">
                  <c:v>1.3657972231090201</c:v>
                </c:pt>
                <c:pt idx="129">
                  <c:v>1.36728902203004</c:v>
                </c:pt>
                <c:pt idx="130">
                  <c:v>1.36874401774679</c:v>
                </c:pt>
                <c:pt idx="131">
                  <c:v>1.3708459839526099</c:v>
                </c:pt>
                <c:pt idx="132">
                  <c:v>1.3726959859914001</c:v>
                </c:pt>
                <c:pt idx="133">
                  <c:v>1.3738188096566</c:v>
                </c:pt>
                <c:pt idx="134">
                  <c:v>1.37435991654918</c:v>
                </c:pt>
                <c:pt idx="135">
                  <c:v>1.37486822744104</c:v>
                </c:pt>
                <c:pt idx="136">
                  <c:v>1.3752115159951099</c:v>
                </c:pt>
                <c:pt idx="137">
                  <c:v>1.3759833912008701</c:v>
                </c:pt>
                <c:pt idx="138">
                  <c:v>1.3762419186096599</c:v>
                </c:pt>
                <c:pt idx="139">
                  <c:v>1.3787228451160201</c:v>
                </c:pt>
                <c:pt idx="140">
                  <c:v>1.37980177402216</c:v>
                </c:pt>
                <c:pt idx="141">
                  <c:v>1.3799770797981099</c:v>
                </c:pt>
                <c:pt idx="142">
                  <c:v>1.3799381430439299</c:v>
                </c:pt>
                <c:pt idx="143">
                  <c:v>1.38033460114353</c:v>
                </c:pt>
                <c:pt idx="144">
                  <c:v>1.38040952802327</c:v>
                </c:pt>
                <c:pt idx="145">
                  <c:v>1.3796946636715599</c:v>
                </c:pt>
                <c:pt idx="146">
                  <c:v>1.3793145266057301</c:v>
                </c:pt>
                <c:pt idx="147">
                  <c:v>1.3788722634638</c:v>
                </c:pt>
                <c:pt idx="148">
                  <c:v>1.37817871498918</c:v>
                </c:pt>
                <c:pt idx="149">
                  <c:v>1.37813256266534</c:v>
                </c:pt>
                <c:pt idx="150">
                  <c:v>1.37776452083086</c:v>
                </c:pt>
                <c:pt idx="151">
                  <c:v>1.3778628897045799</c:v>
                </c:pt>
                <c:pt idx="152">
                  <c:v>1.3769652331669899</c:v>
                </c:pt>
                <c:pt idx="153">
                  <c:v>1.37640387233395</c:v>
                </c:pt>
                <c:pt idx="154">
                  <c:v>1.3760153513514699</c:v>
                </c:pt>
                <c:pt idx="155">
                  <c:v>1.3760311399063401</c:v>
                </c:pt>
                <c:pt idx="156">
                  <c:v>1.3757616748074899</c:v>
                </c:pt>
                <c:pt idx="157">
                  <c:v>1.3758632828697399</c:v>
                </c:pt>
                <c:pt idx="158">
                  <c:v>1.3754089711612101</c:v>
                </c:pt>
                <c:pt idx="159">
                  <c:v>1.3744404767843601</c:v>
                </c:pt>
                <c:pt idx="160">
                  <c:v>1.3736268320963101</c:v>
                </c:pt>
                <c:pt idx="161">
                  <c:v>1.3728684931392201</c:v>
                </c:pt>
                <c:pt idx="162">
                  <c:v>1.37150397475434</c:v>
                </c:pt>
                <c:pt idx="163">
                  <c:v>1.3695014460361401</c:v>
                </c:pt>
                <c:pt idx="164">
                  <c:v>1.3675360104023899</c:v>
                </c:pt>
                <c:pt idx="165">
                  <c:v>1.36651382157242</c:v>
                </c:pt>
                <c:pt idx="166">
                  <c:v>1.3645741571849399</c:v>
                </c:pt>
                <c:pt idx="167">
                  <c:v>1.3630643325029901</c:v>
                </c:pt>
                <c:pt idx="168">
                  <c:v>1.3623051904535299</c:v>
                </c:pt>
                <c:pt idx="169">
                  <c:v>1.3610491500198101</c:v>
                </c:pt>
                <c:pt idx="170">
                  <c:v>1.3596458225580399</c:v>
                </c:pt>
                <c:pt idx="171">
                  <c:v>1.3575137772092301</c:v>
                </c:pt>
                <c:pt idx="172">
                  <c:v>1.3562305578759399</c:v>
                </c:pt>
                <c:pt idx="173">
                  <c:v>1.35521450210437</c:v>
                </c:pt>
                <c:pt idx="174">
                  <c:v>1.3537810247494799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3-46E4-BE27-AA5D9359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HEI A* x avg / HEI*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3.79092861161619E-2</c:v>
                </c:pt>
                <c:pt idx="2">
                  <c:v>3.3895750640528598E-2</c:v>
                </c:pt>
                <c:pt idx="3">
                  <c:v>2.9884110178559201E-2</c:v>
                </c:pt>
                <c:pt idx="4">
                  <c:v>3.0718923557298099E-2</c:v>
                </c:pt>
                <c:pt idx="5">
                  <c:v>3.0041302301067999E-2</c:v>
                </c:pt>
                <c:pt idx="6">
                  <c:v>2.6381484547543799E-2</c:v>
                </c:pt>
                <c:pt idx="7">
                  <c:v>2.58939136416045E-2</c:v>
                </c:pt>
                <c:pt idx="8">
                  <c:v>2.7212693061586999E-2</c:v>
                </c:pt>
                <c:pt idx="9">
                  <c:v>2.8263857715585601E-2</c:v>
                </c:pt>
                <c:pt idx="10">
                  <c:v>3.00424943766881E-2</c:v>
                </c:pt>
                <c:pt idx="11">
                  <c:v>3.3432895469621603E-2</c:v>
                </c:pt>
                <c:pt idx="12">
                  <c:v>3.2007567367947E-2</c:v>
                </c:pt>
                <c:pt idx="13">
                  <c:v>2.94657098362178E-2</c:v>
                </c:pt>
                <c:pt idx="14">
                  <c:v>2.85510778682748E-2</c:v>
                </c:pt>
                <c:pt idx="15">
                  <c:v>2.71143043557815E-2</c:v>
                </c:pt>
                <c:pt idx="16">
                  <c:v>2.9195976329977499E-2</c:v>
                </c:pt>
                <c:pt idx="17">
                  <c:v>2.72417790957898E-2</c:v>
                </c:pt>
                <c:pt idx="18">
                  <c:v>2.31087026560906E-2</c:v>
                </c:pt>
                <c:pt idx="19">
                  <c:v>2.5844773373747999E-2</c:v>
                </c:pt>
                <c:pt idx="20">
                  <c:v>3.1311815042729702E-2</c:v>
                </c:pt>
                <c:pt idx="21">
                  <c:v>2.5908808569228801E-2</c:v>
                </c:pt>
                <c:pt idx="22">
                  <c:v>2.46704314302943E-2</c:v>
                </c:pt>
                <c:pt idx="23">
                  <c:v>2.79163709799111E-2</c:v>
                </c:pt>
                <c:pt idx="24">
                  <c:v>2.5136683570901E-2</c:v>
                </c:pt>
                <c:pt idx="25">
                  <c:v>2.5957775412513099E-2</c:v>
                </c:pt>
                <c:pt idx="26">
                  <c:v>2.2174961924741301E-2</c:v>
                </c:pt>
                <c:pt idx="27">
                  <c:v>2.15916397468978E-2</c:v>
                </c:pt>
                <c:pt idx="28">
                  <c:v>1.6472174962321999E-2</c:v>
                </c:pt>
                <c:pt idx="29">
                  <c:v>1.4370485952901401E-2</c:v>
                </c:pt>
                <c:pt idx="30">
                  <c:v>5.64895365111567E-3</c:v>
                </c:pt>
                <c:pt idx="31">
                  <c:v>5.4650578340921198E-3</c:v>
                </c:pt>
                <c:pt idx="32">
                  <c:v>3.0774935733743E-3</c:v>
                </c:pt>
                <c:pt idx="33">
                  <c:v>-7.7731541633349202E-3</c:v>
                </c:pt>
                <c:pt idx="34">
                  <c:v>-2.89464215103681E-3</c:v>
                </c:pt>
                <c:pt idx="35">
                  <c:v>-1.33905350715298E-2</c:v>
                </c:pt>
                <c:pt idx="36">
                  <c:v>-2.1385258687260499E-2</c:v>
                </c:pt>
                <c:pt idx="37">
                  <c:v>1.36218156183177E-2</c:v>
                </c:pt>
                <c:pt idx="38">
                  <c:v>2.5018817118014798E-3</c:v>
                </c:pt>
                <c:pt idx="39">
                  <c:v>-1.8648938022533901E-3</c:v>
                </c:pt>
                <c:pt idx="40">
                  <c:v>-1.7799189851126101E-3</c:v>
                </c:pt>
                <c:pt idx="41">
                  <c:v>1.5497527444074601E-2</c:v>
                </c:pt>
                <c:pt idx="42">
                  <c:v>1.8580817070813601E-2</c:v>
                </c:pt>
                <c:pt idx="43">
                  <c:v>2.23350661442238E-2</c:v>
                </c:pt>
                <c:pt idx="44">
                  <c:v>6.2351131398841898E-3</c:v>
                </c:pt>
                <c:pt idx="45">
                  <c:v>9.0202934401419198E-3</c:v>
                </c:pt>
                <c:pt idx="46">
                  <c:v>1.2491270984336601E-2</c:v>
                </c:pt>
                <c:pt idx="47">
                  <c:v>2.5641500969097199E-2</c:v>
                </c:pt>
                <c:pt idx="48">
                  <c:v>2.3395721655505901E-2</c:v>
                </c:pt>
                <c:pt idx="49">
                  <c:v>2.4433218875301799E-2</c:v>
                </c:pt>
                <c:pt idx="50">
                  <c:v>2.7419751006654999E-2</c:v>
                </c:pt>
                <c:pt idx="51">
                  <c:v>2.2093844415376599E-2</c:v>
                </c:pt>
                <c:pt idx="52">
                  <c:v>2.7078676310425199E-2</c:v>
                </c:pt>
                <c:pt idx="53">
                  <c:v>1.5025858602429099E-2</c:v>
                </c:pt>
                <c:pt idx="54">
                  <c:v>1.5966739619254201E-2</c:v>
                </c:pt>
                <c:pt idx="55">
                  <c:v>1.11856917349209E-2</c:v>
                </c:pt>
                <c:pt idx="56">
                  <c:v>1.8029369898270801E-2</c:v>
                </c:pt>
                <c:pt idx="57">
                  <c:v>1.9007917700266198E-2</c:v>
                </c:pt>
                <c:pt idx="58">
                  <c:v>1.3617280867167E-2</c:v>
                </c:pt>
                <c:pt idx="59">
                  <c:v>3.0655947455706101E-2</c:v>
                </c:pt>
                <c:pt idx="60">
                  <c:v>2.6463616090691599E-2</c:v>
                </c:pt>
                <c:pt idx="61">
                  <c:v>2.7898892700128498E-2</c:v>
                </c:pt>
                <c:pt idx="62">
                  <c:v>3.51283690206248E-2</c:v>
                </c:pt>
                <c:pt idx="63">
                  <c:v>2.8439957198234399E-2</c:v>
                </c:pt>
                <c:pt idx="64">
                  <c:v>2.84973607164925E-2</c:v>
                </c:pt>
                <c:pt idx="65">
                  <c:v>1.92875672586976E-2</c:v>
                </c:pt>
                <c:pt idx="66">
                  <c:v>1.6390796747102501E-2</c:v>
                </c:pt>
                <c:pt idx="67">
                  <c:v>1.3694594966122299E-2</c:v>
                </c:pt>
                <c:pt idx="68">
                  <c:v>1.3956393574121199E-2</c:v>
                </c:pt>
                <c:pt idx="69">
                  <c:v>4.2915444382626696E-3</c:v>
                </c:pt>
                <c:pt idx="70">
                  <c:v>1.26832166014114E-2</c:v>
                </c:pt>
                <c:pt idx="71">
                  <c:v>1.23437440160259E-2</c:v>
                </c:pt>
                <c:pt idx="72">
                  <c:v>1.31792757026278E-2</c:v>
                </c:pt>
                <c:pt idx="73">
                  <c:v>1.0287325258744999E-2</c:v>
                </c:pt>
                <c:pt idx="74">
                  <c:v>2.1741189585691101E-2</c:v>
                </c:pt>
                <c:pt idx="75">
                  <c:v>2.9526291420611198E-2</c:v>
                </c:pt>
                <c:pt idx="76">
                  <c:v>3.0242712308550301E-2</c:v>
                </c:pt>
                <c:pt idx="77">
                  <c:v>2.9320622845618701E-2</c:v>
                </c:pt>
                <c:pt idx="78">
                  <c:v>2.96328183288679E-2</c:v>
                </c:pt>
                <c:pt idx="79">
                  <c:v>3.80856988478845E-2</c:v>
                </c:pt>
                <c:pt idx="80">
                  <c:v>2.8251681500560899E-2</c:v>
                </c:pt>
                <c:pt idx="81">
                  <c:v>3.2341122769625801E-2</c:v>
                </c:pt>
                <c:pt idx="82">
                  <c:v>3.9455035507435003E-2</c:v>
                </c:pt>
                <c:pt idx="83">
                  <c:v>3.6642862535098103E-2</c:v>
                </c:pt>
                <c:pt idx="84">
                  <c:v>3.0438860594814598E-2</c:v>
                </c:pt>
                <c:pt idx="85">
                  <c:v>1.33388759451423E-2</c:v>
                </c:pt>
                <c:pt idx="86">
                  <c:v>1.64763750424856E-2</c:v>
                </c:pt>
                <c:pt idx="87">
                  <c:v>1.05582039973249E-2</c:v>
                </c:pt>
                <c:pt idx="88">
                  <c:v>1.28606759322331E-3</c:v>
                </c:pt>
                <c:pt idx="89">
                  <c:v>6.9032675403866697E-3</c:v>
                </c:pt>
                <c:pt idx="90">
                  <c:v>-3.3090800503665603E-4</c:v>
                </c:pt>
                <c:pt idx="91">
                  <c:v>-1.27315980544819E-3</c:v>
                </c:pt>
                <c:pt idx="92">
                  <c:v>-9.3863451116052898E-4</c:v>
                </c:pt>
                <c:pt idx="93">
                  <c:v>-8.1174348821235198E-3</c:v>
                </c:pt>
                <c:pt idx="94">
                  <c:v>-5.6717633169368403E-3</c:v>
                </c:pt>
                <c:pt idx="95">
                  <c:v>-1.00366213408307E-2</c:v>
                </c:pt>
                <c:pt idx="96">
                  <c:v>-8.7615108378374194E-3</c:v>
                </c:pt>
                <c:pt idx="97">
                  <c:v>-7.3817385426237997E-3</c:v>
                </c:pt>
                <c:pt idx="98">
                  <c:v>-1.1609760589371401E-2</c:v>
                </c:pt>
                <c:pt idx="99">
                  <c:v>-9.43228937119415E-3</c:v>
                </c:pt>
                <c:pt idx="100">
                  <c:v>-5.2346116692598803E-3</c:v>
                </c:pt>
                <c:pt idx="101">
                  <c:v>-4.7321923868751696E-3</c:v>
                </c:pt>
                <c:pt idx="102">
                  <c:v>-1.5809216063899699E-2</c:v>
                </c:pt>
                <c:pt idx="103">
                  <c:v>-1.7200772268861901E-2</c:v>
                </c:pt>
                <c:pt idx="104">
                  <c:v>-1.8343711399011399E-2</c:v>
                </c:pt>
                <c:pt idx="105">
                  <c:v>-1.3465290304579099E-2</c:v>
                </c:pt>
                <c:pt idx="106">
                  <c:v>-2.0262883017009299E-2</c:v>
                </c:pt>
                <c:pt idx="107">
                  <c:v>-1.2608896689058799E-2</c:v>
                </c:pt>
                <c:pt idx="108">
                  <c:v>-1.1913095358003899E-2</c:v>
                </c:pt>
                <c:pt idx="109">
                  <c:v>-1.307334606574E-2</c:v>
                </c:pt>
                <c:pt idx="110">
                  <c:v>-1.29599415620518E-2</c:v>
                </c:pt>
                <c:pt idx="111">
                  <c:v>-6.1701364908604396E-3</c:v>
                </c:pt>
                <c:pt idx="112">
                  <c:v>-1.32419596080845E-2</c:v>
                </c:pt>
                <c:pt idx="113">
                  <c:v>-1.38023745775619E-2</c:v>
                </c:pt>
                <c:pt idx="114">
                  <c:v>-1.90317762919026E-2</c:v>
                </c:pt>
                <c:pt idx="115">
                  <c:v>-2.06090597354242E-2</c:v>
                </c:pt>
                <c:pt idx="116">
                  <c:v>-2.51011735065753E-2</c:v>
                </c:pt>
                <c:pt idx="117">
                  <c:v>-1.73063750337124E-2</c:v>
                </c:pt>
                <c:pt idx="118">
                  <c:v>-2.1779275795060199E-2</c:v>
                </c:pt>
                <c:pt idx="119">
                  <c:v>2.8143472192167702E-3</c:v>
                </c:pt>
                <c:pt idx="120">
                  <c:v>-1.5872709940936799E-2</c:v>
                </c:pt>
                <c:pt idx="121">
                  <c:v>-3.1930459956347801E-2</c:v>
                </c:pt>
                <c:pt idx="122">
                  <c:v>-3.4816809090421501E-2</c:v>
                </c:pt>
                <c:pt idx="123">
                  <c:v>-3.0225817482434799E-2</c:v>
                </c:pt>
                <c:pt idx="124">
                  <c:v>-3.66571897727462E-2</c:v>
                </c:pt>
                <c:pt idx="125">
                  <c:v>-4.1963310249095699E-2</c:v>
                </c:pt>
                <c:pt idx="126">
                  <c:v>-4.1260522540198401E-2</c:v>
                </c:pt>
                <c:pt idx="127">
                  <c:v>-3.7960841651036303E-2</c:v>
                </c:pt>
                <c:pt idx="128">
                  <c:v>-4.1507511840757599E-2</c:v>
                </c:pt>
                <c:pt idx="129">
                  <c:v>-3.49116572576392E-2</c:v>
                </c:pt>
                <c:pt idx="130">
                  <c:v>-3.4267582770107802E-2</c:v>
                </c:pt>
                <c:pt idx="131">
                  <c:v>-3.7013974009817298E-2</c:v>
                </c:pt>
                <c:pt idx="132">
                  <c:v>-4.0249233324915798E-2</c:v>
                </c:pt>
                <c:pt idx="133">
                  <c:v>-3.0271605115340799E-2</c:v>
                </c:pt>
                <c:pt idx="134">
                  <c:v>-2.6961022834337801E-2</c:v>
                </c:pt>
                <c:pt idx="135">
                  <c:v>-2.8047808861360098E-2</c:v>
                </c:pt>
                <c:pt idx="136">
                  <c:v>-3.01085176472611E-2</c:v>
                </c:pt>
                <c:pt idx="137">
                  <c:v>-2.8617601906886701E-2</c:v>
                </c:pt>
                <c:pt idx="138">
                  <c:v>-2.5565120815856698E-2</c:v>
                </c:pt>
                <c:pt idx="139">
                  <c:v>-3.3812179203318297E-2</c:v>
                </c:pt>
                <c:pt idx="140">
                  <c:v>-3.1670691287527697E-2</c:v>
                </c:pt>
                <c:pt idx="141">
                  <c:v>-3.44732700361364E-2</c:v>
                </c:pt>
                <c:pt idx="142">
                  <c:v>-3.4252783679277699E-2</c:v>
                </c:pt>
                <c:pt idx="143">
                  <c:v>-3.5977013064739903E-2</c:v>
                </c:pt>
                <c:pt idx="144">
                  <c:v>-3.7739669460914997E-2</c:v>
                </c:pt>
                <c:pt idx="145">
                  <c:v>-3.1631462213956997E-2</c:v>
                </c:pt>
                <c:pt idx="146">
                  <c:v>-3.5775876119544997E-2</c:v>
                </c:pt>
                <c:pt idx="147">
                  <c:v>-3.1555801449317397E-2</c:v>
                </c:pt>
                <c:pt idx="148">
                  <c:v>-3.14806965140592E-2</c:v>
                </c:pt>
                <c:pt idx="149">
                  <c:v>-3.4243137888063699E-2</c:v>
                </c:pt>
                <c:pt idx="150">
                  <c:v>-2.89205512641439E-2</c:v>
                </c:pt>
                <c:pt idx="151">
                  <c:v>-3.8434376627171397E-2</c:v>
                </c:pt>
                <c:pt idx="152">
                  <c:v>-2.7235852590759699E-2</c:v>
                </c:pt>
                <c:pt idx="153">
                  <c:v>-2.20716419361617E-2</c:v>
                </c:pt>
                <c:pt idx="154">
                  <c:v>-2.1274104773142202E-2</c:v>
                </c:pt>
                <c:pt idx="155">
                  <c:v>-2.82779787953059E-2</c:v>
                </c:pt>
                <c:pt idx="156">
                  <c:v>-2.6180110192925599E-2</c:v>
                </c:pt>
                <c:pt idx="157">
                  <c:v>-3.0097104040305599E-2</c:v>
                </c:pt>
                <c:pt idx="158">
                  <c:v>-1.89026660752105E-2</c:v>
                </c:pt>
                <c:pt idx="159">
                  <c:v>-1.9673251460663899E-2</c:v>
                </c:pt>
                <c:pt idx="160">
                  <c:v>-1.9780276578963901E-2</c:v>
                </c:pt>
                <c:pt idx="161">
                  <c:v>-2.3426748790487398E-2</c:v>
                </c:pt>
                <c:pt idx="162">
                  <c:v>-1.4283157637463699E-2</c:v>
                </c:pt>
                <c:pt idx="163">
                  <c:v>-6.5830241260703198E-3</c:v>
                </c:pt>
                <c:pt idx="164">
                  <c:v>-8.9496086891679705E-3</c:v>
                </c:pt>
                <c:pt idx="165">
                  <c:v>-1.6669940523002202E-2</c:v>
                </c:pt>
                <c:pt idx="166">
                  <c:v>-7.3120877575476896E-3</c:v>
                </c:pt>
                <c:pt idx="167">
                  <c:v>-9.3755383412288396E-3</c:v>
                </c:pt>
                <c:pt idx="168">
                  <c:v>-2.0389085138503099E-2</c:v>
                </c:pt>
                <c:pt idx="169">
                  <c:v>-1.5875573194992599E-2</c:v>
                </c:pt>
                <c:pt idx="170">
                  <c:v>-8.2661063950783195E-3</c:v>
                </c:pt>
                <c:pt idx="171">
                  <c:v>-7.1873030018283499E-3</c:v>
                </c:pt>
                <c:pt idx="172">
                  <c:v>-8.33385217819008E-3</c:v>
                </c:pt>
                <c:pt idx="173">
                  <c:v>-7.0566347204965201E-3</c:v>
                </c:pt>
                <c:pt idx="174">
                  <c:v>-7.4775570452221803E-6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4-4FB1-A289-AFF43E00FF5A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HEI A* x 10 dma / HEI*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-1.0747583640456199E-3</c:v>
                </c:pt>
                <c:pt idx="11">
                  <c:v>3.4144570761993199E-3</c:v>
                </c:pt>
                <c:pt idx="12">
                  <c:v>2.4341461660740298E-3</c:v>
                </c:pt>
                <c:pt idx="13">
                  <c:v>8.0452488649974699E-5</c:v>
                </c:pt>
                <c:pt idx="14">
                  <c:v>-7.9235243683922795E-4</c:v>
                </c:pt>
                <c:pt idx="15">
                  <c:v>-2.0124280174370702E-3</c:v>
                </c:pt>
                <c:pt idx="16">
                  <c:v>3.62061696056911E-4</c:v>
                </c:pt>
                <c:pt idx="17">
                  <c:v>-1.87391882656297E-3</c:v>
                </c:pt>
                <c:pt idx="18">
                  <c:v>-6.1421348068135496E-3</c:v>
                </c:pt>
                <c:pt idx="19">
                  <c:v>-2.9940676147334599E-3</c:v>
                </c:pt>
                <c:pt idx="20">
                  <c:v>2.7152852649574501E-3</c:v>
                </c:pt>
                <c:pt idx="21">
                  <c:v>-2.8143974832833701E-3</c:v>
                </c:pt>
                <c:pt idx="22">
                  <c:v>-3.3013592216557001E-3</c:v>
                </c:pt>
                <c:pt idx="23">
                  <c:v>6.7775735033146097E-4</c:v>
                </c:pt>
                <c:pt idx="24">
                  <c:v>-1.94723299056628E-3</c:v>
                </c:pt>
                <c:pt idx="25">
                  <c:v>-7.8467789099796704E-4</c:v>
                </c:pt>
                <c:pt idx="26">
                  <c:v>-4.4518212932650597E-3</c:v>
                </c:pt>
                <c:pt idx="27">
                  <c:v>-4.3326262010693097E-3</c:v>
                </c:pt>
                <c:pt idx="28">
                  <c:v>-8.8863839076547494E-3</c:v>
                </c:pt>
                <c:pt idx="29">
                  <c:v>-1.0320935903038999E-2</c:v>
                </c:pt>
                <c:pt idx="30">
                  <c:v>-1.7890425347772399E-2</c:v>
                </c:pt>
                <c:pt idx="31">
                  <c:v>-1.54982693955905E-2</c:v>
                </c:pt>
                <c:pt idx="32">
                  <c:v>-1.58327164442916E-2</c:v>
                </c:pt>
                <c:pt idx="33">
                  <c:v>-2.45154776311561E-2</c:v>
                </c:pt>
                <c:pt idx="34">
                  <c:v>-1.60503748845147E-2</c:v>
                </c:pt>
                <c:pt idx="35">
                  <c:v>-2.3741271579719999E-2</c:v>
                </c:pt>
                <c:pt idx="36">
                  <c:v>-2.7792658442050401E-2</c:v>
                </c:pt>
                <c:pt idx="37">
                  <c:v>1.158747830267E-2</c:v>
                </c:pt>
                <c:pt idx="38">
                  <c:v>1.2519064063279499E-3</c:v>
                </c:pt>
                <c:pt idx="39">
                  <c:v>-1.7302476869017001E-3</c:v>
                </c:pt>
                <c:pt idx="40">
                  <c:v>-3.3354221549078297E-5</c:v>
                </c:pt>
                <c:pt idx="41">
                  <c:v>1.7983977788425299E-2</c:v>
                </c:pt>
                <c:pt idx="42">
                  <c:v>2.0076451462934901E-2</c:v>
                </c:pt>
                <c:pt idx="43">
                  <c:v>2.22981693787676E-2</c:v>
                </c:pt>
                <c:pt idx="44">
                  <c:v>3.2045366153492499E-3</c:v>
                </c:pt>
                <c:pt idx="45">
                  <c:v>5.0750772528573504E-3</c:v>
                </c:pt>
                <c:pt idx="46">
                  <c:v>6.2885978282120197E-3</c:v>
                </c:pt>
                <c:pt idx="47">
                  <c:v>1.6008865352670199E-2</c:v>
                </c:pt>
                <c:pt idx="48">
                  <c:v>1.2572360331647599E-2</c:v>
                </c:pt>
                <c:pt idx="49">
                  <c:v>1.15226951684992E-2</c:v>
                </c:pt>
                <c:pt idx="50">
                  <c:v>1.1871584099480401E-2</c:v>
                </c:pt>
                <c:pt idx="51">
                  <c:v>3.6133340908448401E-3</c:v>
                </c:pt>
                <c:pt idx="52">
                  <c:v>7.9385234439925002E-3</c:v>
                </c:pt>
                <c:pt idx="53">
                  <c:v>-4.961311765644E-3</c:v>
                </c:pt>
                <c:pt idx="54">
                  <c:v>-3.2888203333602799E-3</c:v>
                </c:pt>
                <c:pt idx="55">
                  <c:v>-9.0514845945931094E-3</c:v>
                </c:pt>
                <c:pt idx="56">
                  <c:v>-2.4265758433202E-3</c:v>
                </c:pt>
                <c:pt idx="57">
                  <c:v>-2.0048785331639798E-3</c:v>
                </c:pt>
                <c:pt idx="58">
                  <c:v>-6.7332448720897999E-3</c:v>
                </c:pt>
                <c:pt idx="59">
                  <c:v>1.12845949836194E-2</c:v>
                </c:pt>
                <c:pt idx="60">
                  <c:v>6.4748644647921998E-3</c:v>
                </c:pt>
                <c:pt idx="61">
                  <c:v>8.0050875735694308E-3</c:v>
                </c:pt>
                <c:pt idx="62">
                  <c:v>1.46568459262441E-2</c:v>
                </c:pt>
                <c:pt idx="63">
                  <c:v>7.1716584381687903E-3</c:v>
                </c:pt>
                <c:pt idx="64">
                  <c:v>5.8873654585700399E-3</c:v>
                </c:pt>
                <c:pt idx="65">
                  <c:v>-4.5767583316956304E-3</c:v>
                </c:pt>
                <c:pt idx="66">
                  <c:v>-8.2910730218458996E-3</c:v>
                </c:pt>
                <c:pt idx="67">
                  <c:v>-1.08222022023132E-2</c:v>
                </c:pt>
                <c:pt idx="68">
                  <c:v>-1.00248577437886E-2</c:v>
                </c:pt>
                <c:pt idx="69">
                  <c:v>-1.9723966211023101E-2</c:v>
                </c:pt>
                <c:pt idx="70">
                  <c:v>-8.6819885446525E-3</c:v>
                </c:pt>
                <c:pt idx="71">
                  <c:v>-7.6418909325692503E-3</c:v>
                </c:pt>
                <c:pt idx="72">
                  <c:v>-5.2522479972533596E-3</c:v>
                </c:pt>
                <c:pt idx="73">
                  <c:v>-5.9641473994737999E-3</c:v>
                </c:pt>
                <c:pt idx="74">
                  <c:v>7.2977289051345401E-3</c:v>
                </c:pt>
                <c:pt idx="75">
                  <c:v>1.5751051416741799E-2</c:v>
                </c:pt>
                <c:pt idx="76">
                  <c:v>1.5453909814945E-2</c:v>
                </c:pt>
                <c:pt idx="77">
                  <c:v>1.31574364027805E-2</c:v>
                </c:pt>
                <c:pt idx="78">
                  <c:v>1.19141330567349E-2</c:v>
                </c:pt>
                <c:pt idx="79">
                  <c:v>1.8804511625194399E-2</c:v>
                </c:pt>
                <c:pt idx="80">
                  <c:v>5.5916563512710899E-3</c:v>
                </c:pt>
                <c:pt idx="81">
                  <c:v>8.1195996201861003E-3</c:v>
                </c:pt>
                <c:pt idx="82">
                  <c:v>1.32279701238317E-2</c:v>
                </c:pt>
                <c:pt idx="83">
                  <c:v>7.7849245848060399E-3</c:v>
                </c:pt>
                <c:pt idx="84">
                  <c:v>-1.07247645086305E-3</c:v>
                </c:pt>
                <c:pt idx="85">
                  <c:v>-1.9047341637716798E-2</c:v>
                </c:pt>
                <c:pt idx="86">
                  <c:v>-1.4274592307581199E-2</c:v>
                </c:pt>
                <c:pt idx="87">
                  <c:v>-1.8806866493105302E-2</c:v>
                </c:pt>
                <c:pt idx="88">
                  <c:v>-2.6186756239115799E-2</c:v>
                </c:pt>
                <c:pt idx="89">
                  <c:v>-1.7704633571412599E-2</c:v>
                </c:pt>
                <c:pt idx="90">
                  <c:v>-2.1818714824535498E-2</c:v>
                </c:pt>
                <c:pt idx="91">
                  <c:v>-1.9885152266746201E-2</c:v>
                </c:pt>
                <c:pt idx="92">
                  <c:v>-1.61843497900944E-2</c:v>
                </c:pt>
                <c:pt idx="93">
                  <c:v>-1.9347757552383001E-2</c:v>
                </c:pt>
                <c:pt idx="94">
                  <c:v>-1.24491652134519E-2</c:v>
                </c:pt>
                <c:pt idx="95">
                  <c:v>-1.32293857446713E-2</c:v>
                </c:pt>
                <c:pt idx="96">
                  <c:v>-9.6158021392399907E-3</c:v>
                </c:pt>
                <c:pt idx="97">
                  <c:v>-5.7229029494075302E-3</c:v>
                </c:pt>
                <c:pt idx="98">
                  <c:v>-8.1643194677104101E-3</c:v>
                </c:pt>
                <c:pt idx="99">
                  <c:v>-4.6958747974208603E-3</c:v>
                </c:pt>
                <c:pt idx="100">
                  <c:v>1.1283913694984499E-3</c:v>
                </c:pt>
                <c:pt idx="101">
                  <c:v>2.1193096666920199E-3</c:v>
                </c:pt>
                <c:pt idx="102">
                  <c:v>-8.6131986953334495E-3</c:v>
                </c:pt>
                <c:pt idx="103">
                  <c:v>-8.5170375780029492E-3</c:v>
                </c:pt>
                <c:pt idx="104">
                  <c:v>-8.7484372640613105E-3</c:v>
                </c:pt>
                <c:pt idx="105">
                  <c:v>-2.6005582138851498E-3</c:v>
                </c:pt>
                <c:pt idx="106">
                  <c:v>-9.0550387401037002E-3</c:v>
                </c:pt>
                <c:pt idx="107">
                  <c:v>-2.4776737799731501E-4</c:v>
                </c:pt>
                <c:pt idx="108">
                  <c:v>9.6937925180534397E-4</c:v>
                </c:pt>
                <c:pt idx="109">
                  <c:v>-1.6057242416027699E-4</c:v>
                </c:pt>
                <c:pt idx="110">
                  <c:v>3.1626800093829E-4</c:v>
                </c:pt>
                <c:pt idx="111">
                  <c:v>7.8750905772893998E-3</c:v>
                </c:pt>
                <c:pt idx="112">
                  <c:v>9.45821238302761E-4</c:v>
                </c:pt>
                <c:pt idx="113">
                  <c:v>1.28560832386386E-4</c:v>
                </c:pt>
                <c:pt idx="114">
                  <c:v>-5.4412729399497496E-3</c:v>
                </c:pt>
                <c:pt idx="115">
                  <c:v>-6.94940066552542E-3</c:v>
                </c:pt>
                <c:pt idx="116">
                  <c:v>-1.07249758457282E-2</c:v>
                </c:pt>
                <c:pt idx="117">
                  <c:v>-2.4424314780911302E-3</c:v>
                </c:pt>
                <c:pt idx="118">
                  <c:v>-6.4456502770571401E-3</c:v>
                </c:pt>
                <c:pt idx="119">
                  <c:v>1.91356003720656E-2</c:v>
                </c:pt>
                <c:pt idx="120">
                  <c:v>-1.12379613407487E-3</c:v>
                </c:pt>
                <c:pt idx="121">
                  <c:v>-1.68904084524443E-2</c:v>
                </c:pt>
                <c:pt idx="122">
                  <c:v>-1.7193641578172301E-2</c:v>
                </c:pt>
                <c:pt idx="123">
                  <c:v>-1.0433611292732899E-2</c:v>
                </c:pt>
                <c:pt idx="124">
                  <c:v>-1.5220320828060199E-2</c:v>
                </c:pt>
                <c:pt idx="125">
                  <c:v>-1.8754118542586799E-2</c:v>
                </c:pt>
                <c:pt idx="126">
                  <c:v>-1.5900861140985899E-2</c:v>
                </c:pt>
                <c:pt idx="127">
                  <c:v>-1.09738643440307E-2</c:v>
                </c:pt>
                <c:pt idx="128">
                  <c:v>-1.2455848053163699E-2</c:v>
                </c:pt>
                <c:pt idx="129">
                  <c:v>-3.8839717492067899E-3</c:v>
                </c:pt>
                <c:pt idx="130">
                  <c:v>4.6994483452830201E-4</c:v>
                </c:pt>
                <c:pt idx="131">
                  <c:v>-4.5628827393763501E-4</c:v>
                </c:pt>
                <c:pt idx="132">
                  <c:v>-3.1843833132884801E-3</c:v>
                </c:pt>
                <c:pt idx="133">
                  <c:v>7.3365947367744098E-3</c:v>
                </c:pt>
                <c:pt idx="134">
                  <c:v>1.0651722197076999E-2</c:v>
                </c:pt>
                <c:pt idx="135">
                  <c:v>8.6004617510478804E-3</c:v>
                </c:pt>
                <c:pt idx="136">
                  <c:v>5.1495097150300101E-3</c:v>
                </c:pt>
                <c:pt idx="137">
                  <c:v>5.5241206219006399E-3</c:v>
                </c:pt>
                <c:pt idx="138">
                  <c:v>7.6426345038037996E-3</c:v>
                </c:pt>
                <c:pt idx="139">
                  <c:v>-2.2004767806668201E-3</c:v>
                </c:pt>
                <c:pt idx="140">
                  <c:v>-1.6924555028595799E-4</c:v>
                </c:pt>
                <c:pt idx="141">
                  <c:v>-3.2319287678040298E-3</c:v>
                </c:pt>
                <c:pt idx="142">
                  <c:v>-3.2666919255443499E-3</c:v>
                </c:pt>
                <c:pt idx="143">
                  <c:v>-5.5945178255325098E-3</c:v>
                </c:pt>
                <c:pt idx="144">
                  <c:v>-6.7852297790685998E-3</c:v>
                </c:pt>
                <c:pt idx="145">
                  <c:v>4.0177089751380598E-4</c:v>
                </c:pt>
                <c:pt idx="146">
                  <c:v>-3.38512664581843E-3</c:v>
                </c:pt>
                <c:pt idx="147">
                  <c:v>1.4018365300581799E-3</c:v>
                </c:pt>
                <c:pt idx="148">
                  <c:v>1.7698762866933701E-3</c:v>
                </c:pt>
                <c:pt idx="149">
                  <c:v>-4.0397000011472E-4</c:v>
                </c:pt>
                <c:pt idx="150">
                  <c:v>4.9617196875968803E-3</c:v>
                </c:pt>
                <c:pt idx="151">
                  <c:v>-4.82617270496556E-3</c:v>
                </c:pt>
                <c:pt idx="152">
                  <c:v>6.7695121569134398E-3</c:v>
                </c:pt>
                <c:pt idx="153">
                  <c:v>1.123406809343E-2</c:v>
                </c:pt>
                <c:pt idx="154">
                  <c:v>1.06460382285896E-2</c:v>
                </c:pt>
                <c:pt idx="155">
                  <c:v>1.99820739669685E-3</c:v>
                </c:pt>
                <c:pt idx="156">
                  <c:v>3.7607790800557E-3</c:v>
                </c:pt>
                <c:pt idx="157">
                  <c:v>-1.1172523909347401E-3</c:v>
                </c:pt>
                <c:pt idx="158">
                  <c:v>9.9310355288252106E-3</c:v>
                </c:pt>
                <c:pt idx="159">
                  <c:v>7.9064254902959097E-3</c:v>
                </c:pt>
                <c:pt idx="160">
                  <c:v>6.3422429229324298E-3</c:v>
                </c:pt>
                <c:pt idx="161">
                  <c:v>1.7829418841130899E-3</c:v>
                </c:pt>
                <c:pt idx="162">
                  <c:v>9.4160055387055401E-3</c:v>
                </c:pt>
                <c:pt idx="163">
                  <c:v>1.58238279105824E-2</c:v>
                </c:pt>
                <c:pt idx="164">
                  <c:v>1.1919648355761901E-2</c:v>
                </c:pt>
                <c:pt idx="165">
                  <c:v>2.9731830822908299E-3</c:v>
                </c:pt>
                <c:pt idx="166">
                  <c:v>1.1166256691980099E-2</c:v>
                </c:pt>
                <c:pt idx="167">
                  <c:v>7.2174653622929701E-3</c:v>
                </c:pt>
                <c:pt idx="168">
                  <c:v>-5.8769624202194897E-3</c:v>
                </c:pt>
                <c:pt idx="169">
                  <c:v>-1.21405466380378E-3</c:v>
                </c:pt>
                <c:pt idx="170">
                  <c:v>6.0143874811244896E-3</c:v>
                </c:pt>
                <c:pt idx="171">
                  <c:v>5.9414006656661501E-3</c:v>
                </c:pt>
                <c:pt idx="172">
                  <c:v>3.16602187378221E-3</c:v>
                </c:pt>
                <c:pt idx="173">
                  <c:v>3.8482447746324101E-3</c:v>
                </c:pt>
                <c:pt idx="174">
                  <c:v>1.0944568807928099E-2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4-4FB1-A289-AFF43E00FF5A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HEI A* x 20 dma / HEI*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1.4557180387985401E-3</c:v>
                </c:pt>
                <c:pt idx="21">
                  <c:v>-3.4618039504011999E-3</c:v>
                </c:pt>
                <c:pt idx="22">
                  <c:v>-4.1018538440990198E-3</c:v>
                </c:pt>
                <c:pt idx="23">
                  <c:v>-3.9498849886684099E-4</c:v>
                </c:pt>
                <c:pt idx="24">
                  <c:v>-3.0763516872308301E-3</c:v>
                </c:pt>
                <c:pt idx="25">
                  <c:v>-1.9761068276847298E-3</c:v>
                </c:pt>
                <c:pt idx="26">
                  <c:v>-5.5547780727097E-3</c:v>
                </c:pt>
                <c:pt idx="27">
                  <c:v>-5.9270690340465504E-3</c:v>
                </c:pt>
                <c:pt idx="28">
                  <c:v>-1.0830629476233301E-2</c:v>
                </c:pt>
                <c:pt idx="29">
                  <c:v>-1.2392495335167999E-2</c:v>
                </c:pt>
                <c:pt idx="30">
                  <c:v>-2.0415803893871199E-2</c:v>
                </c:pt>
                <c:pt idx="31">
                  <c:v>-1.9370681860972301E-2</c:v>
                </c:pt>
                <c:pt idx="32">
                  <c:v>-2.03532427661011E-2</c:v>
                </c:pt>
                <c:pt idx="33">
                  <c:v>-2.9749851261858098E-2</c:v>
                </c:pt>
                <c:pt idx="34">
                  <c:v>-2.2990217706423E-2</c:v>
                </c:pt>
                <c:pt idx="35">
                  <c:v>-3.1903544305943797E-2</c:v>
                </c:pt>
                <c:pt idx="36">
                  <c:v>-3.7851248110683897E-2</c:v>
                </c:pt>
                <c:pt idx="37">
                  <c:v>-2.8614662368466E-4</c:v>
                </c:pt>
                <c:pt idx="38">
                  <c:v>-1.07297341601548E-2</c:v>
                </c:pt>
                <c:pt idx="39">
                  <c:v>-1.4066241944577E-2</c:v>
                </c:pt>
                <c:pt idx="40">
                  <c:v>-1.25964058628845E-2</c:v>
                </c:pt>
                <c:pt idx="41">
                  <c:v>6.3278239350976701E-3</c:v>
                </c:pt>
                <c:pt idx="42">
                  <c:v>9.9255781657647205E-3</c:v>
                </c:pt>
                <c:pt idx="43">
                  <c:v>1.3980339532127E-2</c:v>
                </c:pt>
                <c:pt idx="44">
                  <c:v>-1.8452266953298999E-3</c:v>
                </c:pt>
                <c:pt idx="45">
                  <c:v>1.87744591995901E-3</c:v>
                </c:pt>
                <c:pt idx="46">
                  <c:v>6.1862397680020401E-3</c:v>
                </c:pt>
                <c:pt idx="47">
                  <c:v>1.9815231252832698E-2</c:v>
                </c:pt>
                <c:pt idx="48">
                  <c:v>1.73705095120745E-2</c:v>
                </c:pt>
                <c:pt idx="49">
                  <c:v>1.80665519857055E-2</c:v>
                </c:pt>
                <c:pt idx="50">
                  <c:v>2.05563379368385E-2</c:v>
                </c:pt>
                <c:pt idx="51">
                  <c:v>1.41517650987148E-2</c:v>
                </c:pt>
                <c:pt idx="52">
                  <c:v>1.8309645593310098E-2</c:v>
                </c:pt>
                <c:pt idx="53">
                  <c:v>5.0635758877121502E-3</c:v>
                </c:pt>
                <c:pt idx="54">
                  <c:v>4.8565772806502799E-3</c:v>
                </c:pt>
                <c:pt idx="55">
                  <c:v>-8.7232639475000502E-4</c:v>
                </c:pt>
                <c:pt idx="56">
                  <c:v>4.72545470688065E-3</c:v>
                </c:pt>
                <c:pt idx="57">
                  <c:v>3.70139019494106E-3</c:v>
                </c:pt>
                <c:pt idx="58">
                  <c:v>-1.9583168495747802E-3</c:v>
                </c:pt>
                <c:pt idx="59">
                  <c:v>1.4520227145727999E-2</c:v>
                </c:pt>
                <c:pt idx="60">
                  <c:v>8.6976216712098698E-3</c:v>
                </c:pt>
                <c:pt idx="61">
                  <c:v>8.7119846498370408E-3</c:v>
                </c:pt>
                <c:pt idx="62">
                  <c:v>1.53227526085375E-2</c:v>
                </c:pt>
                <c:pt idx="63">
                  <c:v>7.8124277953956498E-3</c:v>
                </c:pt>
                <c:pt idx="64">
                  <c:v>7.5659896400918098E-3</c:v>
                </c:pt>
                <c:pt idx="65">
                  <c:v>-2.7615391756875898E-3</c:v>
                </c:pt>
                <c:pt idx="66">
                  <c:v>-6.1758787055926096E-3</c:v>
                </c:pt>
                <c:pt idx="67">
                  <c:v>-9.0686669827765801E-3</c:v>
                </c:pt>
                <c:pt idx="68">
                  <c:v>-8.2078471843385608E-3</c:v>
                </c:pt>
                <c:pt idx="69">
                  <c:v>-1.73991910991999E-2</c:v>
                </c:pt>
                <c:pt idx="70">
                  <c:v>-7.99352495655253E-3</c:v>
                </c:pt>
                <c:pt idx="71">
                  <c:v>-7.5959749674616803E-3</c:v>
                </c:pt>
                <c:pt idx="72">
                  <c:v>-6.2717274949022203E-3</c:v>
                </c:pt>
                <c:pt idx="73">
                  <c:v>-8.4694143856795696E-3</c:v>
                </c:pt>
                <c:pt idx="74">
                  <c:v>3.22279812916145E-3</c:v>
                </c:pt>
                <c:pt idx="75">
                  <c:v>1.0719232275512299E-2</c:v>
                </c:pt>
                <c:pt idx="76">
                  <c:v>1.05196102248969E-2</c:v>
                </c:pt>
                <c:pt idx="77">
                  <c:v>8.9893538661384997E-3</c:v>
                </c:pt>
                <c:pt idx="78">
                  <c:v>8.7877524925196494E-3</c:v>
                </c:pt>
                <c:pt idx="79">
                  <c:v>1.6440151636568701E-2</c:v>
                </c:pt>
                <c:pt idx="80">
                  <c:v>6.23927592272431E-3</c:v>
                </c:pt>
                <c:pt idx="81">
                  <c:v>1.02397865625378E-2</c:v>
                </c:pt>
                <c:pt idx="82">
                  <c:v>1.7133337255225999E-2</c:v>
                </c:pt>
                <c:pt idx="83">
                  <c:v>1.4108022470194499E-2</c:v>
                </c:pt>
                <c:pt idx="84">
                  <c:v>7.4978753401632502E-3</c:v>
                </c:pt>
                <c:pt idx="85">
                  <c:v>-9.6985574122511794E-3</c:v>
                </c:pt>
                <c:pt idx="86">
                  <c:v>-6.2616613790973897E-3</c:v>
                </c:pt>
                <c:pt idx="87">
                  <c:v>-1.2184138409719899E-2</c:v>
                </c:pt>
                <c:pt idx="88">
                  <c:v>-2.1297794103777998E-2</c:v>
                </c:pt>
                <c:pt idx="89">
                  <c:v>-1.50377298959441E-2</c:v>
                </c:pt>
                <c:pt idx="90">
                  <c:v>-2.2404652227464E-2</c:v>
                </c:pt>
                <c:pt idx="91">
                  <c:v>-2.2685984261656401E-2</c:v>
                </c:pt>
                <c:pt idx="92">
                  <c:v>-2.1659951161902599E-2</c:v>
                </c:pt>
                <c:pt idx="93">
                  <c:v>-2.81227240927212E-2</c:v>
                </c:pt>
                <c:pt idx="94">
                  <c:v>-2.4739663793726802E-2</c:v>
                </c:pt>
                <c:pt idx="95">
                  <c:v>-2.7719583903438899E-2</c:v>
                </c:pt>
                <c:pt idx="96">
                  <c:v>-2.4452417919409102E-2</c:v>
                </c:pt>
                <c:pt idx="97">
                  <c:v>-2.1114550472195098E-2</c:v>
                </c:pt>
                <c:pt idx="98">
                  <c:v>-2.3503964315413399E-2</c:v>
                </c:pt>
                <c:pt idx="99">
                  <c:v>-1.9260400393947601E-2</c:v>
                </c:pt>
                <c:pt idx="100">
                  <c:v>-1.27000582418949E-2</c:v>
                </c:pt>
                <c:pt idx="101">
                  <c:v>-1.05313910861625E-2</c:v>
                </c:pt>
                <c:pt idx="102">
                  <c:v>-1.9771112419576999E-2</c:v>
                </c:pt>
                <c:pt idx="103">
                  <c:v>-1.8424495867569401E-2</c:v>
                </c:pt>
                <c:pt idx="104">
                  <c:v>-1.6901267588996498E-2</c:v>
                </c:pt>
                <c:pt idx="105">
                  <c:v>-9.6046050135785103E-3</c:v>
                </c:pt>
                <c:pt idx="106">
                  <c:v>-1.50679197501723E-2</c:v>
                </c:pt>
                <c:pt idx="107">
                  <c:v>-5.5845969188956903E-3</c:v>
                </c:pt>
                <c:pt idx="108">
                  <c:v>-3.7380053334452302E-3</c:v>
                </c:pt>
                <c:pt idx="109">
                  <c:v>-4.2403953753901297E-3</c:v>
                </c:pt>
                <c:pt idx="110">
                  <c:v>-3.1343612200181699E-3</c:v>
                </c:pt>
                <c:pt idx="111">
                  <c:v>4.2846967659984098E-3</c:v>
                </c:pt>
                <c:pt idx="112">
                  <c:v>-2.5439499184877999E-3</c:v>
                </c:pt>
                <c:pt idx="113">
                  <c:v>-2.4915978916832198E-3</c:v>
                </c:pt>
                <c:pt idx="114">
                  <c:v>-7.4368923177159096E-3</c:v>
                </c:pt>
                <c:pt idx="115">
                  <c:v>-8.3458877033433104E-3</c:v>
                </c:pt>
                <c:pt idx="116">
                  <c:v>-1.2307897730327999E-2</c:v>
                </c:pt>
                <c:pt idx="117">
                  <c:v>-3.6930555906826801E-3</c:v>
                </c:pt>
                <c:pt idx="118">
                  <c:v>-7.6704747137452999E-3</c:v>
                </c:pt>
                <c:pt idx="119">
                  <c:v>1.7432812832300301E-2</c:v>
                </c:pt>
                <c:pt idx="120">
                  <c:v>-1.8598771488116199E-3</c:v>
                </c:pt>
                <c:pt idx="121">
                  <c:v>-1.7387696960869E-2</c:v>
                </c:pt>
                <c:pt idx="122">
                  <c:v>-1.8909859676635599E-2</c:v>
                </c:pt>
                <c:pt idx="123">
                  <c:v>-1.3359952376862201E-2</c:v>
                </c:pt>
                <c:pt idx="124">
                  <c:v>-1.9135807962540999E-2</c:v>
                </c:pt>
                <c:pt idx="125">
                  <c:v>-2.3517485707508199E-2</c:v>
                </c:pt>
                <c:pt idx="126">
                  <c:v>-2.1377513526504299E-2</c:v>
                </c:pt>
                <c:pt idx="127">
                  <c:v>-1.7017010338802398E-2</c:v>
                </c:pt>
                <c:pt idx="128">
                  <c:v>-1.9291344300655999E-2</c:v>
                </c:pt>
                <c:pt idx="129">
                  <c:v>-1.12101532765448E-2</c:v>
                </c:pt>
                <c:pt idx="130">
                  <c:v>-9.4744198105792092E-3</c:v>
                </c:pt>
                <c:pt idx="131">
                  <c:v>-1.1157230433570101E-2</c:v>
                </c:pt>
                <c:pt idx="132">
                  <c:v>-1.2857977929762799E-2</c:v>
                </c:pt>
                <c:pt idx="133">
                  <c:v>-1.53172641538244E-3</c:v>
                </c:pt>
                <c:pt idx="134">
                  <c:v>2.5964911680245099E-3</c:v>
                </c:pt>
                <c:pt idx="135">
                  <c:v>1.9034982334364E-3</c:v>
                </c:pt>
                <c:pt idx="136">
                  <c:v>2.1257388958517701E-4</c:v>
                </c:pt>
                <c:pt idx="137">
                  <c:v>1.9531467947599399E-3</c:v>
                </c:pt>
                <c:pt idx="138">
                  <c:v>5.5667478733193903E-3</c:v>
                </c:pt>
                <c:pt idx="139">
                  <c:v>-2.4924426033072601E-3</c:v>
                </c:pt>
                <c:pt idx="140">
                  <c:v>1.45010441107193E-3</c:v>
                </c:pt>
                <c:pt idx="141">
                  <c:v>-5.7022359837866001E-4</c:v>
                </c:pt>
                <c:pt idx="142">
                  <c:v>-2.22693890964001E-4</c:v>
                </c:pt>
                <c:pt idx="143">
                  <c:v>-1.9751391823822099E-3</c:v>
                </c:pt>
                <c:pt idx="144">
                  <c:v>-3.4505354857550601E-3</c:v>
                </c:pt>
                <c:pt idx="145">
                  <c:v>2.7119519670118701E-3</c:v>
                </c:pt>
                <c:pt idx="146">
                  <c:v>-1.95046004157719E-3</c:v>
                </c:pt>
                <c:pt idx="147">
                  <c:v>1.99405406178147E-3</c:v>
                </c:pt>
                <c:pt idx="148">
                  <c:v>1.7484677753147101E-3</c:v>
                </c:pt>
                <c:pt idx="149">
                  <c:v>-1.51708253259179E-3</c:v>
                </c:pt>
                <c:pt idx="150">
                  <c:v>3.7720156212676399E-3</c:v>
                </c:pt>
                <c:pt idx="151">
                  <c:v>-6.0089037772130703E-3</c:v>
                </c:pt>
                <c:pt idx="152">
                  <c:v>5.2610151606872196E-3</c:v>
                </c:pt>
                <c:pt idx="153">
                  <c:v>9.7735288459467901E-3</c:v>
                </c:pt>
                <c:pt idx="154">
                  <c:v>1.01633031415052E-2</c:v>
                </c:pt>
                <c:pt idx="155">
                  <c:v>2.8771167581160099E-3</c:v>
                </c:pt>
                <c:pt idx="156">
                  <c:v>4.98645940711587E-3</c:v>
                </c:pt>
                <c:pt idx="157">
                  <c:v>8.7361862077461503E-4</c:v>
                </c:pt>
                <c:pt idx="158">
                  <c:v>1.21419097190976E-2</c:v>
                </c:pt>
                <c:pt idx="159">
                  <c:v>1.10410686041438E-2</c:v>
                </c:pt>
                <c:pt idx="160">
                  <c:v>1.0229645346791501E-2</c:v>
                </c:pt>
                <c:pt idx="161">
                  <c:v>5.9910153600998004E-3</c:v>
                </c:pt>
                <c:pt idx="162">
                  <c:v>1.45823834895503E-2</c:v>
                </c:pt>
                <c:pt idx="163">
                  <c:v>2.1288104971757201E-2</c:v>
                </c:pt>
                <c:pt idx="164">
                  <c:v>1.7460356516541101E-2</c:v>
                </c:pt>
                <c:pt idx="165">
                  <c:v>8.3038470615646696E-3</c:v>
                </c:pt>
                <c:pt idx="166">
                  <c:v>1.6913952755523199E-2</c:v>
                </c:pt>
                <c:pt idx="167">
                  <c:v>1.34300684628583E-2</c:v>
                </c:pt>
                <c:pt idx="168">
                  <c:v>1.3094652562720499E-3</c:v>
                </c:pt>
                <c:pt idx="169">
                  <c:v>5.2658842531585603E-3</c:v>
                </c:pt>
                <c:pt idx="170">
                  <c:v>1.1952929387912901E-2</c:v>
                </c:pt>
                <c:pt idx="171">
                  <c:v>1.20001378391584E-2</c:v>
                </c:pt>
                <c:pt idx="172">
                  <c:v>9.2842691524184194E-3</c:v>
                </c:pt>
                <c:pt idx="173">
                  <c:v>9.6157678757816702E-3</c:v>
                </c:pt>
                <c:pt idx="174">
                  <c:v>1.59154679809855E-2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4-4FB1-A289-AFF43E00F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HEI*/HEI 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1.3338063878300499</c:v>
                </c:pt>
                <c:pt idx="1">
                  <c:v>1.3338063878300499</c:v>
                </c:pt>
                <c:pt idx="2">
                  <c:v>1.3338063878300499</c:v>
                </c:pt>
                <c:pt idx="3">
                  <c:v>1.3338063878300499</c:v>
                </c:pt>
                <c:pt idx="4">
                  <c:v>1.3338063878300499</c:v>
                </c:pt>
                <c:pt idx="5">
                  <c:v>1.3338063878300499</c:v>
                </c:pt>
                <c:pt idx="6">
                  <c:v>1.3338063878300499</c:v>
                </c:pt>
                <c:pt idx="7">
                  <c:v>1.3338063878300499</c:v>
                </c:pt>
                <c:pt idx="8">
                  <c:v>1.3338063878300499</c:v>
                </c:pt>
                <c:pt idx="9">
                  <c:v>1.3338063878300499</c:v>
                </c:pt>
                <c:pt idx="10">
                  <c:v>1.3338063878300499</c:v>
                </c:pt>
                <c:pt idx="11">
                  <c:v>1.3338063878300499</c:v>
                </c:pt>
                <c:pt idx="12">
                  <c:v>1.3338063878300499</c:v>
                </c:pt>
                <c:pt idx="13">
                  <c:v>1.3338063878300499</c:v>
                </c:pt>
                <c:pt idx="14">
                  <c:v>1.3338063878300499</c:v>
                </c:pt>
                <c:pt idx="15">
                  <c:v>1.3338063878300499</c:v>
                </c:pt>
                <c:pt idx="16">
                  <c:v>1.3338063878300499</c:v>
                </c:pt>
                <c:pt idx="17">
                  <c:v>1.3338063878300499</c:v>
                </c:pt>
                <c:pt idx="18">
                  <c:v>1.3338063878300499</c:v>
                </c:pt>
                <c:pt idx="19">
                  <c:v>1.3338063878300499</c:v>
                </c:pt>
                <c:pt idx="20">
                  <c:v>1.3338063878300499</c:v>
                </c:pt>
                <c:pt idx="21">
                  <c:v>1.3338063878300499</c:v>
                </c:pt>
                <c:pt idx="22">
                  <c:v>1.3338063878300499</c:v>
                </c:pt>
                <c:pt idx="23">
                  <c:v>1.3338063878300499</c:v>
                </c:pt>
                <c:pt idx="24">
                  <c:v>1.3338063878300499</c:v>
                </c:pt>
                <c:pt idx="25">
                  <c:v>1.3338063878300499</c:v>
                </c:pt>
                <c:pt idx="26">
                  <c:v>1.3338063878300499</c:v>
                </c:pt>
                <c:pt idx="27">
                  <c:v>1.3338063878300499</c:v>
                </c:pt>
                <c:pt idx="28">
                  <c:v>1.3338063878300499</c:v>
                </c:pt>
                <c:pt idx="29">
                  <c:v>1.3338063878300499</c:v>
                </c:pt>
                <c:pt idx="30">
                  <c:v>1.3338063878300499</c:v>
                </c:pt>
                <c:pt idx="31">
                  <c:v>1.3338063878300499</c:v>
                </c:pt>
                <c:pt idx="32">
                  <c:v>1.3338063878300499</c:v>
                </c:pt>
                <c:pt idx="33">
                  <c:v>1.3338063878300499</c:v>
                </c:pt>
                <c:pt idx="34">
                  <c:v>1.3338063878300499</c:v>
                </c:pt>
                <c:pt idx="35">
                  <c:v>1.3338063878300499</c:v>
                </c:pt>
                <c:pt idx="36">
                  <c:v>1.3338063878300499</c:v>
                </c:pt>
                <c:pt idx="37">
                  <c:v>1.3338063878300499</c:v>
                </c:pt>
                <c:pt idx="38">
                  <c:v>1.3338063878300499</c:v>
                </c:pt>
                <c:pt idx="39">
                  <c:v>1.3338063878300499</c:v>
                </c:pt>
                <c:pt idx="40">
                  <c:v>1.3338063878300499</c:v>
                </c:pt>
                <c:pt idx="41">
                  <c:v>1.3338063878300499</c:v>
                </c:pt>
                <c:pt idx="42">
                  <c:v>1.3338063878300499</c:v>
                </c:pt>
                <c:pt idx="43">
                  <c:v>1.3338063878300499</c:v>
                </c:pt>
                <c:pt idx="44">
                  <c:v>1.3338063878300499</c:v>
                </c:pt>
                <c:pt idx="45">
                  <c:v>1.3338063878300499</c:v>
                </c:pt>
                <c:pt idx="46">
                  <c:v>1.3338063878300499</c:v>
                </c:pt>
                <c:pt idx="47">
                  <c:v>1.3338063878300499</c:v>
                </c:pt>
                <c:pt idx="48">
                  <c:v>1.3338063878300499</c:v>
                </c:pt>
                <c:pt idx="49">
                  <c:v>1.3338063878300499</c:v>
                </c:pt>
                <c:pt idx="50">
                  <c:v>1.3338063878300499</c:v>
                </c:pt>
                <c:pt idx="51">
                  <c:v>1.3338063878300499</c:v>
                </c:pt>
                <c:pt idx="52">
                  <c:v>1.3338063878300499</c:v>
                </c:pt>
                <c:pt idx="53">
                  <c:v>1.3338063878300499</c:v>
                </c:pt>
                <c:pt idx="54">
                  <c:v>1.3338063878300499</c:v>
                </c:pt>
                <c:pt idx="55">
                  <c:v>1.3338063878300499</c:v>
                </c:pt>
                <c:pt idx="56">
                  <c:v>1.3338063878300499</c:v>
                </c:pt>
                <c:pt idx="57">
                  <c:v>1.3338063878300499</c:v>
                </c:pt>
                <c:pt idx="58">
                  <c:v>1.3338063878300499</c:v>
                </c:pt>
                <c:pt idx="59">
                  <c:v>1.3338063878300499</c:v>
                </c:pt>
                <c:pt idx="60">
                  <c:v>1.3338063878300499</c:v>
                </c:pt>
                <c:pt idx="61">
                  <c:v>1.3338063878300499</c:v>
                </c:pt>
                <c:pt idx="62">
                  <c:v>1.3338063878300499</c:v>
                </c:pt>
                <c:pt idx="63">
                  <c:v>1.3338063878300499</c:v>
                </c:pt>
                <c:pt idx="64">
                  <c:v>1.3338063878300499</c:v>
                </c:pt>
                <c:pt idx="65">
                  <c:v>1.3338063878300499</c:v>
                </c:pt>
                <c:pt idx="66">
                  <c:v>1.3338063878300499</c:v>
                </c:pt>
                <c:pt idx="67">
                  <c:v>1.3338063878300499</c:v>
                </c:pt>
                <c:pt idx="68">
                  <c:v>1.3338063878300499</c:v>
                </c:pt>
                <c:pt idx="69">
                  <c:v>1.3338063878300499</c:v>
                </c:pt>
                <c:pt idx="70">
                  <c:v>1.3338063878300499</c:v>
                </c:pt>
                <c:pt idx="71">
                  <c:v>1.3338063878300499</c:v>
                </c:pt>
                <c:pt idx="72">
                  <c:v>1.3338063878300499</c:v>
                </c:pt>
                <c:pt idx="73">
                  <c:v>1.3338063878300499</c:v>
                </c:pt>
                <c:pt idx="74">
                  <c:v>1.3338063878300499</c:v>
                </c:pt>
                <c:pt idx="75">
                  <c:v>1.3338063878300499</c:v>
                </c:pt>
                <c:pt idx="76">
                  <c:v>1.3338063878300499</c:v>
                </c:pt>
                <c:pt idx="77">
                  <c:v>1.3338063878300499</c:v>
                </c:pt>
                <c:pt idx="78">
                  <c:v>1.3338063878300499</c:v>
                </c:pt>
                <c:pt idx="79">
                  <c:v>1.3338063878300499</c:v>
                </c:pt>
                <c:pt idx="80">
                  <c:v>1.3338063878300499</c:v>
                </c:pt>
                <c:pt idx="81">
                  <c:v>1.3338063878300499</c:v>
                </c:pt>
                <c:pt idx="82">
                  <c:v>1.3338063878300499</c:v>
                </c:pt>
                <c:pt idx="83">
                  <c:v>1.3338063878300499</c:v>
                </c:pt>
                <c:pt idx="84">
                  <c:v>1.3338063878300499</c:v>
                </c:pt>
                <c:pt idx="85">
                  <c:v>1.3338063878300499</c:v>
                </c:pt>
                <c:pt idx="86">
                  <c:v>1.3338063878300499</c:v>
                </c:pt>
                <c:pt idx="87">
                  <c:v>1.3338063878300499</c:v>
                </c:pt>
                <c:pt idx="88">
                  <c:v>1.3338063878300499</c:v>
                </c:pt>
                <c:pt idx="89">
                  <c:v>1.3338063878300499</c:v>
                </c:pt>
                <c:pt idx="90">
                  <c:v>1.3338063878300499</c:v>
                </c:pt>
                <c:pt idx="91">
                  <c:v>1.3338063878300499</c:v>
                </c:pt>
                <c:pt idx="92">
                  <c:v>1.3338063878300499</c:v>
                </c:pt>
                <c:pt idx="93">
                  <c:v>1.3338063878300499</c:v>
                </c:pt>
                <c:pt idx="94">
                  <c:v>1.3338063878300499</c:v>
                </c:pt>
                <c:pt idx="95">
                  <c:v>1.3338063878300499</c:v>
                </c:pt>
                <c:pt idx="96">
                  <c:v>1.3338063878300499</c:v>
                </c:pt>
                <c:pt idx="97">
                  <c:v>1.3338063878300499</c:v>
                </c:pt>
                <c:pt idx="98">
                  <c:v>1.3338063878300499</c:v>
                </c:pt>
                <c:pt idx="99">
                  <c:v>1.3338063878300499</c:v>
                </c:pt>
                <c:pt idx="100">
                  <c:v>1.3338063878300499</c:v>
                </c:pt>
                <c:pt idx="101">
                  <c:v>1.3338063878300499</c:v>
                </c:pt>
                <c:pt idx="102">
                  <c:v>1.3338063878300499</c:v>
                </c:pt>
                <c:pt idx="103">
                  <c:v>1.3338063878300499</c:v>
                </c:pt>
                <c:pt idx="104">
                  <c:v>1.3338063878300499</c:v>
                </c:pt>
                <c:pt idx="105">
                  <c:v>1.3338063878300499</c:v>
                </c:pt>
                <c:pt idx="106">
                  <c:v>1.3338063878300499</c:v>
                </c:pt>
                <c:pt idx="107">
                  <c:v>1.3338063878300499</c:v>
                </c:pt>
                <c:pt idx="108">
                  <c:v>1.3338063878300499</c:v>
                </c:pt>
                <c:pt idx="109">
                  <c:v>1.3338063878300499</c:v>
                </c:pt>
                <c:pt idx="110">
                  <c:v>1.3338063878300499</c:v>
                </c:pt>
                <c:pt idx="111">
                  <c:v>1.3338063878300499</c:v>
                </c:pt>
                <c:pt idx="112">
                  <c:v>1.3338063878300499</c:v>
                </c:pt>
                <c:pt idx="113">
                  <c:v>1.3338063878300499</c:v>
                </c:pt>
                <c:pt idx="114">
                  <c:v>1.3338063878300499</c:v>
                </c:pt>
                <c:pt idx="115">
                  <c:v>1.3338063878300499</c:v>
                </c:pt>
                <c:pt idx="116">
                  <c:v>1.3338063878300499</c:v>
                </c:pt>
                <c:pt idx="117">
                  <c:v>1.3338063878300499</c:v>
                </c:pt>
                <c:pt idx="118">
                  <c:v>1.3338063878300499</c:v>
                </c:pt>
                <c:pt idx="119">
                  <c:v>1.3338063878300499</c:v>
                </c:pt>
                <c:pt idx="120">
                  <c:v>1.3338063878300499</c:v>
                </c:pt>
                <c:pt idx="121">
                  <c:v>1.3338063878300499</c:v>
                </c:pt>
                <c:pt idx="122">
                  <c:v>1.3338063878300499</c:v>
                </c:pt>
                <c:pt idx="123">
                  <c:v>1.3338063878300499</c:v>
                </c:pt>
                <c:pt idx="124">
                  <c:v>1.3338063878300499</c:v>
                </c:pt>
                <c:pt idx="125">
                  <c:v>1.3338063878300499</c:v>
                </c:pt>
                <c:pt idx="126">
                  <c:v>1.3338063878300499</c:v>
                </c:pt>
                <c:pt idx="127">
                  <c:v>1.3338063878300499</c:v>
                </c:pt>
                <c:pt idx="128">
                  <c:v>1.3338063878300499</c:v>
                </c:pt>
                <c:pt idx="129">
                  <c:v>1.3338063878300499</c:v>
                </c:pt>
                <c:pt idx="130">
                  <c:v>1.3338063878300499</c:v>
                </c:pt>
                <c:pt idx="131">
                  <c:v>1.3338063878300499</c:v>
                </c:pt>
                <c:pt idx="132">
                  <c:v>1.3338063878300499</c:v>
                </c:pt>
                <c:pt idx="133">
                  <c:v>1.3338063878300499</c:v>
                </c:pt>
                <c:pt idx="134">
                  <c:v>1.3338063878300499</c:v>
                </c:pt>
                <c:pt idx="135">
                  <c:v>1.3338063878300499</c:v>
                </c:pt>
                <c:pt idx="136">
                  <c:v>1.3338063878300499</c:v>
                </c:pt>
                <c:pt idx="137">
                  <c:v>1.3338063878300499</c:v>
                </c:pt>
                <c:pt idx="138">
                  <c:v>1.3338063878300499</c:v>
                </c:pt>
                <c:pt idx="139">
                  <c:v>1.3338063878300499</c:v>
                </c:pt>
                <c:pt idx="140">
                  <c:v>1.3338063878300499</c:v>
                </c:pt>
                <c:pt idx="141">
                  <c:v>1.3338063878300499</c:v>
                </c:pt>
                <c:pt idx="142">
                  <c:v>1.3338063878300499</c:v>
                </c:pt>
                <c:pt idx="143">
                  <c:v>1.3338063878300499</c:v>
                </c:pt>
                <c:pt idx="144">
                  <c:v>1.3338063878300499</c:v>
                </c:pt>
                <c:pt idx="145">
                  <c:v>1.3338063878300499</c:v>
                </c:pt>
                <c:pt idx="146">
                  <c:v>1.3338063878300499</c:v>
                </c:pt>
                <c:pt idx="147">
                  <c:v>1.3338063878300499</c:v>
                </c:pt>
                <c:pt idx="148">
                  <c:v>1.3338063878300499</c:v>
                </c:pt>
                <c:pt idx="149">
                  <c:v>1.3338063878300499</c:v>
                </c:pt>
                <c:pt idx="150">
                  <c:v>1.3338063878300499</c:v>
                </c:pt>
                <c:pt idx="151">
                  <c:v>1.3338063878300499</c:v>
                </c:pt>
                <c:pt idx="152">
                  <c:v>1.3338063878300499</c:v>
                </c:pt>
                <c:pt idx="153">
                  <c:v>1.3338063878300499</c:v>
                </c:pt>
                <c:pt idx="154">
                  <c:v>1.3338063878300499</c:v>
                </c:pt>
                <c:pt idx="155">
                  <c:v>1.3338063878300499</c:v>
                </c:pt>
                <c:pt idx="156">
                  <c:v>1.3338063878300499</c:v>
                </c:pt>
                <c:pt idx="157">
                  <c:v>1.3338063878300499</c:v>
                </c:pt>
                <c:pt idx="158">
                  <c:v>1.3338063878300499</c:v>
                </c:pt>
                <c:pt idx="159">
                  <c:v>1.3338063878300499</c:v>
                </c:pt>
                <c:pt idx="160">
                  <c:v>1.3338063878300499</c:v>
                </c:pt>
                <c:pt idx="161">
                  <c:v>1.3338063878300499</c:v>
                </c:pt>
                <c:pt idx="162">
                  <c:v>1.3338063878300499</c:v>
                </c:pt>
                <c:pt idx="163">
                  <c:v>1.3338063878300499</c:v>
                </c:pt>
                <c:pt idx="164">
                  <c:v>1.3338063878300499</c:v>
                </c:pt>
                <c:pt idx="165">
                  <c:v>1.3338063878300499</c:v>
                </c:pt>
                <c:pt idx="166">
                  <c:v>1.3338063878300499</c:v>
                </c:pt>
                <c:pt idx="167">
                  <c:v>1.3338063878300499</c:v>
                </c:pt>
                <c:pt idx="168">
                  <c:v>1.3338063878300499</c:v>
                </c:pt>
                <c:pt idx="169">
                  <c:v>1.3338063878300499</c:v>
                </c:pt>
                <c:pt idx="170">
                  <c:v>1.3338063878300499</c:v>
                </c:pt>
                <c:pt idx="171">
                  <c:v>1.3338063878300499</c:v>
                </c:pt>
                <c:pt idx="172">
                  <c:v>1.3338063878300499</c:v>
                </c:pt>
                <c:pt idx="173">
                  <c:v>1.3338063878300499</c:v>
                </c:pt>
                <c:pt idx="174">
                  <c:v>1.3338063878300499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6-4F4C-B90B-6591E7E8591C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HEI*/HEI 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1.29294110243798</c:v>
                </c:pt>
                <c:pt idx="10">
                  <c:v>1.2943625855015399</c:v>
                </c:pt>
                <c:pt idx="11">
                  <c:v>1.2949387272911801</c:v>
                </c:pt>
                <c:pt idx="12">
                  <c:v>1.29518241087869</c:v>
                </c:pt>
                <c:pt idx="13">
                  <c:v>1.2952365856613599</c:v>
                </c:pt>
                <c:pt idx="14">
                  <c:v>1.29551729116384</c:v>
                </c:pt>
                <c:pt idx="15">
                  <c:v>1.2958966971539501</c:v>
                </c:pt>
                <c:pt idx="16">
                  <c:v>1.2955315865646</c:v>
                </c:pt>
                <c:pt idx="17">
                  <c:v>1.2953565208506399</c:v>
                </c:pt>
                <c:pt idx="18">
                  <c:v>1.2958903131230699</c:v>
                </c:pt>
                <c:pt idx="19">
                  <c:v>1.29620435992078</c:v>
                </c:pt>
                <c:pt idx="20">
                  <c:v>1.29604017198074</c:v>
                </c:pt>
                <c:pt idx="21">
                  <c:v>1.2970144025057899</c:v>
                </c:pt>
                <c:pt idx="22">
                  <c:v>1.2979656923527001</c:v>
                </c:pt>
                <c:pt idx="23">
                  <c:v>1.29816649937155</c:v>
                </c:pt>
                <c:pt idx="24">
                  <c:v>1.2986098512236699</c:v>
                </c:pt>
                <c:pt idx="25">
                  <c:v>1.2987600702239499</c:v>
                </c:pt>
                <c:pt idx="26">
                  <c:v>1.2996727921668501</c:v>
                </c:pt>
                <c:pt idx="27">
                  <c:v>1.3004082342672401</c:v>
                </c:pt>
                <c:pt idx="28">
                  <c:v>1.30127607418555</c:v>
                </c:pt>
                <c:pt idx="29">
                  <c:v>1.3027760638521599</c:v>
                </c:pt>
                <c:pt idx="30">
                  <c:v>1.3061364087892999</c:v>
                </c:pt>
                <c:pt idx="31">
                  <c:v>1.3088208146884499</c:v>
                </c:pt>
                <c:pt idx="32">
                  <c:v>1.3116612675060499</c:v>
                </c:pt>
                <c:pt idx="33">
                  <c:v>1.3163741061143099</c:v>
                </c:pt>
                <c:pt idx="34">
                  <c:v>1.32007171397667</c:v>
                </c:pt>
                <c:pt idx="35">
                  <c:v>1.3252874782823501</c:v>
                </c:pt>
                <c:pt idx="36">
                  <c:v>1.33109573385056</c:v>
                </c:pt>
                <c:pt idx="37">
                  <c:v>1.33214020434403</c:v>
                </c:pt>
                <c:pt idx="38">
                  <c:v>1.3339859917700201</c:v>
                </c:pt>
                <c:pt idx="39">
                  <c:v>1.3361380026338701</c:v>
                </c:pt>
                <c:pt idx="40">
                  <c:v>1.3371269576876399</c:v>
                </c:pt>
                <c:pt idx="41">
                  <c:v>1.33580276709072</c:v>
                </c:pt>
                <c:pt idx="42">
                  <c:v>1.3337571755964901</c:v>
                </c:pt>
                <c:pt idx="43">
                  <c:v>1.32977030442172</c:v>
                </c:pt>
                <c:pt idx="44">
                  <c:v>1.3285545998095301</c:v>
                </c:pt>
                <c:pt idx="45">
                  <c:v>1.3255588276553001</c:v>
                </c:pt>
                <c:pt idx="46">
                  <c:v>1.32101999909312</c:v>
                </c:pt>
                <c:pt idx="47">
                  <c:v>1.3194479627379501</c:v>
                </c:pt>
                <c:pt idx="48">
                  <c:v>1.3166969325059601</c:v>
                </c:pt>
                <c:pt idx="49">
                  <c:v>1.31322853200734</c:v>
                </c:pt>
                <c:pt idx="50">
                  <c:v>1.30938333543973</c:v>
                </c:pt>
                <c:pt idx="51">
                  <c:v>1.3085198953002499</c:v>
                </c:pt>
                <c:pt idx="52">
                  <c:v>1.30741202530656</c:v>
                </c:pt>
                <c:pt idx="53">
                  <c:v>1.30836889154554</c:v>
                </c:pt>
                <c:pt idx="54">
                  <c:v>1.30708520536134</c:v>
                </c:pt>
                <c:pt idx="55">
                  <c:v>1.3067992863757301</c:v>
                </c:pt>
                <c:pt idx="56">
                  <c:v>1.30607179712055</c:v>
                </c:pt>
                <c:pt idx="57">
                  <c:v>1.3069370564212901</c:v>
                </c:pt>
                <c:pt idx="58">
                  <c:v>1.3082174009860901</c:v>
                </c:pt>
                <c:pt idx="59">
                  <c:v>1.3074099579526901</c:v>
                </c:pt>
                <c:pt idx="60">
                  <c:v>1.3075340978446399</c:v>
                </c:pt>
                <c:pt idx="61">
                  <c:v>1.3067789300607699</c:v>
                </c:pt>
                <c:pt idx="62">
                  <c:v>1.3057381351039801</c:v>
                </c:pt>
                <c:pt idx="63">
                  <c:v>1.3039874055574801</c:v>
                </c:pt>
                <c:pt idx="64">
                  <c:v>1.30235279998352</c:v>
                </c:pt>
                <c:pt idx="65">
                  <c:v>1.30128850414718</c:v>
                </c:pt>
                <c:pt idx="66">
                  <c:v>1.30150332895493</c:v>
                </c:pt>
                <c:pt idx="67">
                  <c:v>1.30220053033719</c:v>
                </c:pt>
                <c:pt idx="68">
                  <c:v>1.3021559185818901</c:v>
                </c:pt>
                <c:pt idx="69">
                  <c:v>1.3056116068710399</c:v>
                </c:pt>
                <c:pt idx="70">
                  <c:v>1.30741403273399</c:v>
                </c:pt>
                <c:pt idx="71">
                  <c:v>1.30944747928079</c:v>
                </c:pt>
                <c:pt idx="72">
                  <c:v>1.3123052555392201</c:v>
                </c:pt>
                <c:pt idx="73">
                  <c:v>1.31468006535496</c:v>
                </c:pt>
                <c:pt idx="74">
                  <c:v>1.31555885533798</c:v>
                </c:pt>
                <c:pt idx="75">
                  <c:v>1.3142261297436</c:v>
                </c:pt>
                <c:pt idx="76">
                  <c:v>1.3124211191181601</c:v>
                </c:pt>
                <c:pt idx="77">
                  <c:v>1.31038123653262</c:v>
                </c:pt>
                <c:pt idx="78">
                  <c:v>1.30833536205223</c:v>
                </c:pt>
                <c:pt idx="79">
                  <c:v>1.30392216884114</c:v>
                </c:pt>
                <c:pt idx="80">
                  <c:v>1.3018876858161099</c:v>
                </c:pt>
                <c:pt idx="81">
                  <c:v>1.2992793115547301</c:v>
                </c:pt>
                <c:pt idx="82">
                  <c:v>1.2958655657915501</c:v>
                </c:pt>
                <c:pt idx="83">
                  <c:v>1.29243167502756</c:v>
                </c:pt>
                <c:pt idx="84">
                  <c:v>1.2913014461891399</c:v>
                </c:pt>
                <c:pt idx="85">
                  <c:v>1.2934147746191</c:v>
                </c:pt>
                <c:pt idx="86">
                  <c:v>1.2952085568048901</c:v>
                </c:pt>
                <c:pt idx="87">
                  <c:v>1.2976617311415199</c:v>
                </c:pt>
                <c:pt idx="88">
                  <c:v>1.30138476227039</c:v>
                </c:pt>
                <c:pt idx="89">
                  <c:v>1.3054515465152201</c:v>
                </c:pt>
                <c:pt idx="90">
                  <c:v>1.3092111862384599</c:v>
                </c:pt>
                <c:pt idx="91">
                  <c:v>1.3136257801862401</c:v>
                </c:pt>
                <c:pt idx="92">
                  <c:v>1.31891110766557</c:v>
                </c:pt>
                <c:pt idx="93">
                  <c:v>1.32479720978277</c:v>
                </c:pt>
                <c:pt idx="94">
                  <c:v>1.32955464928488</c:v>
                </c:pt>
                <c:pt idx="95">
                  <c:v>1.33266741521165</c:v>
                </c:pt>
                <c:pt idx="96">
                  <c:v>1.33602078949701</c:v>
                </c:pt>
                <c:pt idx="97">
                  <c:v>1.33840986515805</c:v>
                </c:pt>
                <c:pt idx="98">
                  <c:v>1.34013883254739</c:v>
                </c:pt>
                <c:pt idx="99">
                  <c:v>1.3423204607385</c:v>
                </c:pt>
                <c:pt idx="100">
                  <c:v>1.3429763431470401</c:v>
                </c:pt>
                <c:pt idx="101">
                  <c:v>1.34343909877356</c:v>
                </c:pt>
                <c:pt idx="102">
                  <c:v>1.34543924384858</c:v>
                </c:pt>
                <c:pt idx="103">
                  <c:v>1.3466662239243801</c:v>
                </c:pt>
                <c:pt idx="104">
                  <c:v>1.34837684562752</c:v>
                </c:pt>
                <c:pt idx="105">
                  <c:v>1.3488395695334201</c:v>
                </c:pt>
                <c:pt idx="106">
                  <c:v>1.3503960633904599</c:v>
                </c:pt>
                <c:pt idx="107">
                  <c:v>1.3511002695809</c:v>
                </c:pt>
                <c:pt idx="108">
                  <c:v>1.35114120723107</c:v>
                </c:pt>
                <c:pt idx="109">
                  <c:v>1.35163234972468</c:v>
                </c:pt>
                <c:pt idx="110">
                  <c:v>1.35267217843416</c:v>
                </c:pt>
                <c:pt idx="111">
                  <c:v>1.35286502070878</c:v>
                </c:pt>
                <c:pt idx="112">
                  <c:v>1.35251758812224</c:v>
                </c:pt>
                <c:pt idx="113">
                  <c:v>1.3520572261416799</c:v>
                </c:pt>
                <c:pt idx="114">
                  <c:v>1.3521507318630399</c:v>
                </c:pt>
                <c:pt idx="115">
                  <c:v>1.35311994724185</c:v>
                </c:pt>
                <c:pt idx="116">
                  <c:v>1.35378008691837</c:v>
                </c:pt>
                <c:pt idx="117">
                  <c:v>1.3544160823523299</c:v>
                </c:pt>
                <c:pt idx="118">
                  <c:v>1.35575440187623</c:v>
                </c:pt>
                <c:pt idx="119">
                  <c:v>1.3536243708912601</c:v>
                </c:pt>
                <c:pt idx="120">
                  <c:v>1.35401851934621</c:v>
                </c:pt>
                <c:pt idx="121">
                  <c:v>1.3575206274876199</c:v>
                </c:pt>
                <c:pt idx="122">
                  <c:v>1.3604683379273701</c:v>
                </c:pt>
                <c:pt idx="123">
                  <c:v>1.36270769051723</c:v>
                </c:pt>
                <c:pt idx="124">
                  <c:v>1.36512498985941</c:v>
                </c:pt>
                <c:pt idx="125">
                  <c:v>1.36806380856458</c:v>
                </c:pt>
                <c:pt idx="126">
                  <c:v>1.3702918929700401</c:v>
                </c:pt>
                <c:pt idx="127">
                  <c:v>1.3731240388564701</c:v>
                </c:pt>
                <c:pt idx="128">
                  <c:v>1.3758400443418199</c:v>
                </c:pt>
                <c:pt idx="129">
                  <c:v>1.3809536731688301</c:v>
                </c:pt>
                <c:pt idx="130">
                  <c:v>1.38346951614737</c:v>
                </c:pt>
                <c:pt idx="131">
                  <c:v>1.3841713404175999</c:v>
                </c:pt>
                <c:pt idx="132">
                  <c:v>1.3849236340554301</c:v>
                </c:pt>
                <c:pt idx="133">
                  <c:v>1.38492992879597</c:v>
                </c:pt>
                <c:pt idx="134">
                  <c:v>1.38359484323895</c:v>
                </c:pt>
                <c:pt idx="135">
                  <c:v>1.38167264631749</c:v>
                </c:pt>
                <c:pt idx="136">
                  <c:v>1.38013113902019</c:v>
                </c:pt>
                <c:pt idx="137">
                  <c:v>1.3788427435452699</c:v>
                </c:pt>
                <c:pt idx="138">
                  <c:v>1.3766437928774999</c:v>
                </c:pt>
                <c:pt idx="139">
                  <c:v>1.37649201706321</c:v>
                </c:pt>
                <c:pt idx="140">
                  <c:v>1.3761340318969399</c:v>
                </c:pt>
                <c:pt idx="141">
                  <c:v>1.3757828191786201</c:v>
                </c:pt>
                <c:pt idx="142">
                  <c:v>1.37495265203242</c:v>
                </c:pt>
                <c:pt idx="143">
                  <c:v>1.37573927349109</c:v>
                </c:pt>
                <c:pt idx="144">
                  <c:v>1.37722421280758</c:v>
                </c:pt>
                <c:pt idx="145">
                  <c:v>1.3777166810256301</c:v>
                </c:pt>
                <c:pt idx="146">
                  <c:v>1.3784979141912801</c:v>
                </c:pt>
                <c:pt idx="147">
                  <c:v>1.37890178338233</c:v>
                </c:pt>
                <c:pt idx="148">
                  <c:v>1.37971363710087</c:v>
                </c:pt>
                <c:pt idx="149">
                  <c:v>1.37977310826747</c:v>
                </c:pt>
                <c:pt idx="150">
                  <c:v>1.37939500976479</c:v>
                </c:pt>
                <c:pt idx="151">
                  <c:v>1.37994296023054</c:v>
                </c:pt>
                <c:pt idx="152">
                  <c:v>1.3789778143015501</c:v>
                </c:pt>
                <c:pt idx="153">
                  <c:v>1.37706847117681</c:v>
                </c:pt>
                <c:pt idx="154">
                  <c:v>1.37480648989535</c:v>
                </c:pt>
                <c:pt idx="155">
                  <c:v>1.3743455987870401</c:v>
                </c:pt>
                <c:pt idx="156">
                  <c:v>1.3730254354236999</c:v>
                </c:pt>
                <c:pt idx="157">
                  <c:v>1.37282478235715</c:v>
                </c:pt>
                <c:pt idx="158">
                  <c:v>1.3711043052215599</c:v>
                </c:pt>
                <c:pt idx="159">
                  <c:v>1.36910784530124</c:v>
                </c:pt>
                <c:pt idx="160">
                  <c:v>1.3678586544278399</c:v>
                </c:pt>
                <c:pt idx="161">
                  <c:v>1.3657940260479</c:v>
                </c:pt>
                <c:pt idx="162">
                  <c:v>1.36403013520713</c:v>
                </c:pt>
                <c:pt idx="163">
                  <c:v>1.36193442089548</c:v>
                </c:pt>
                <c:pt idx="164">
                  <c:v>1.36026553090942</c:v>
                </c:pt>
                <c:pt idx="165">
                  <c:v>1.3586820443578</c:v>
                </c:pt>
                <c:pt idx="166">
                  <c:v>1.3561228789461699</c:v>
                </c:pt>
                <c:pt idx="167">
                  <c:v>1.3533038826488299</c:v>
                </c:pt>
                <c:pt idx="168">
                  <c:v>1.3535060756855</c:v>
                </c:pt>
                <c:pt idx="169">
                  <c:v>1.35299045473838</c:v>
                </c:pt>
                <c:pt idx="170">
                  <c:v>1.3514329906882401</c:v>
                </c:pt>
                <c:pt idx="171">
                  <c:v>1.3492335283705701</c:v>
                </c:pt>
                <c:pt idx="172">
                  <c:v>1.3484309805447501</c:v>
                </c:pt>
                <c:pt idx="173">
                  <c:v>1.34849458331326</c:v>
                </c:pt>
                <c:pt idx="174">
                  <c:v>1.34729651858954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6-4F4C-B90B-6591E7E8591C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HEI*/HEI 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1.29457273117938</c:v>
                </c:pt>
                <c:pt idx="20">
                  <c:v>1.2952013787411401</c:v>
                </c:pt>
                <c:pt idx="21">
                  <c:v>1.29597656489848</c:v>
                </c:pt>
                <c:pt idx="22">
                  <c:v>1.2965740516157001</c:v>
                </c:pt>
                <c:pt idx="23">
                  <c:v>1.2967015425164501</c:v>
                </c:pt>
                <c:pt idx="24">
                  <c:v>1.2970635711937499</c:v>
                </c:pt>
                <c:pt idx="25">
                  <c:v>1.29732838368895</c:v>
                </c:pt>
                <c:pt idx="26">
                  <c:v>1.2976021893657299</c:v>
                </c:pt>
                <c:pt idx="27">
                  <c:v>1.2978823775589401</c:v>
                </c:pt>
                <c:pt idx="28">
                  <c:v>1.29858319365431</c:v>
                </c:pt>
                <c:pt idx="29">
                  <c:v>1.29949021188647</c:v>
                </c:pt>
                <c:pt idx="30">
                  <c:v>1.3010882903850201</c:v>
                </c:pt>
                <c:pt idx="31">
                  <c:v>1.3029176085971199</c:v>
                </c:pt>
                <c:pt idx="32">
                  <c:v>1.30481347992938</c:v>
                </c:pt>
                <c:pt idx="33">
                  <c:v>1.30727030274293</c:v>
                </c:pt>
                <c:pt idx="34">
                  <c:v>1.30934078260017</c:v>
                </c:pt>
                <c:pt idx="35">
                  <c:v>1.31202377425315</c:v>
                </c:pt>
                <c:pt idx="36">
                  <c:v>1.3153842630087</c:v>
                </c:pt>
                <c:pt idx="37">
                  <c:v>1.31627421930563</c:v>
                </c:pt>
                <c:pt idx="38">
                  <c:v>1.3176310329777901</c:v>
                </c:pt>
                <c:pt idx="39">
                  <c:v>1.31945703324302</c:v>
                </c:pt>
                <c:pt idx="40">
                  <c:v>1.32163168323847</c:v>
                </c:pt>
                <c:pt idx="41">
                  <c:v>1.3223117908895801</c:v>
                </c:pt>
                <c:pt idx="42">
                  <c:v>1.3227092215512699</c:v>
                </c:pt>
                <c:pt idx="43">
                  <c:v>1.3230722052680099</c:v>
                </c:pt>
                <c:pt idx="44">
                  <c:v>1.3243131568930999</c:v>
                </c:pt>
                <c:pt idx="45">
                  <c:v>1.3254231529688201</c:v>
                </c:pt>
                <c:pt idx="46">
                  <c:v>1.3260578664718401</c:v>
                </c:pt>
                <c:pt idx="47">
                  <c:v>1.32579408354099</c:v>
                </c:pt>
                <c:pt idx="48">
                  <c:v>1.32534146213799</c:v>
                </c:pt>
                <c:pt idx="49">
                  <c:v>1.3246832673205999</c:v>
                </c:pt>
                <c:pt idx="50">
                  <c:v>1.3232551465636799</c:v>
                </c:pt>
                <c:pt idx="51">
                  <c:v>1.3221613311954801</c:v>
                </c:pt>
                <c:pt idx="52">
                  <c:v>1.32058460045152</c:v>
                </c:pt>
                <c:pt idx="53">
                  <c:v>1.31906959798363</c:v>
                </c:pt>
                <c:pt idx="54">
                  <c:v>1.31781990258543</c:v>
                </c:pt>
                <c:pt idx="55">
                  <c:v>1.3161790570155201</c:v>
                </c:pt>
                <c:pt idx="56">
                  <c:v>1.31354589810683</c:v>
                </c:pt>
                <c:pt idx="57">
                  <c:v>1.31319250957962</c:v>
                </c:pt>
                <c:pt idx="58">
                  <c:v>1.3124571667460301</c:v>
                </c:pt>
                <c:pt idx="59">
                  <c:v>1.3103192449800101</c:v>
                </c:pt>
                <c:pt idx="60">
                  <c:v>1.3084587166421799</c:v>
                </c:pt>
                <c:pt idx="61">
                  <c:v>1.30764941268051</c:v>
                </c:pt>
                <c:pt idx="62">
                  <c:v>1.30657508020527</c:v>
                </c:pt>
                <c:pt idx="63">
                  <c:v>1.30617814855151</c:v>
                </c:pt>
                <c:pt idx="64">
                  <c:v>1.30471900267243</c:v>
                </c:pt>
                <c:pt idx="65">
                  <c:v>1.3040438952614599</c:v>
                </c:pt>
                <c:pt idx="66">
                  <c:v>1.30378756303774</c:v>
                </c:pt>
                <c:pt idx="67">
                  <c:v>1.30456879337924</c:v>
                </c:pt>
                <c:pt idx="68">
                  <c:v>1.3051866597839901</c:v>
                </c:pt>
                <c:pt idx="69">
                  <c:v>1.30651078241187</c:v>
                </c:pt>
                <c:pt idx="70">
                  <c:v>1.30747406528931</c:v>
                </c:pt>
                <c:pt idx="71">
                  <c:v>1.30811320467078</c:v>
                </c:pt>
                <c:pt idx="72">
                  <c:v>1.3090216953216001</c:v>
                </c:pt>
                <c:pt idx="73">
                  <c:v>1.30933373545622</c:v>
                </c:pt>
                <c:pt idx="74">
                  <c:v>1.30895582766075</c:v>
                </c:pt>
                <c:pt idx="75">
                  <c:v>1.30775731694539</c:v>
                </c:pt>
                <c:pt idx="76">
                  <c:v>1.3069622240365499</c:v>
                </c:pt>
                <c:pt idx="77">
                  <c:v>1.3062908834349101</c:v>
                </c:pt>
                <c:pt idx="78">
                  <c:v>1.30524564031706</c:v>
                </c:pt>
                <c:pt idx="79">
                  <c:v>1.3047668878560901</c:v>
                </c:pt>
                <c:pt idx="80">
                  <c:v>1.3046508592750501</c:v>
                </c:pt>
                <c:pt idx="81">
                  <c:v>1.30436339541776</c:v>
                </c:pt>
                <c:pt idx="82">
                  <c:v>1.3040854106653801</c:v>
                </c:pt>
                <c:pt idx="83">
                  <c:v>1.30355587019126</c:v>
                </c:pt>
                <c:pt idx="84">
                  <c:v>1.3034301507635599</c:v>
                </c:pt>
                <c:pt idx="85">
                  <c:v>1.3038204521813499</c:v>
                </c:pt>
                <c:pt idx="86">
                  <c:v>1.30381483796153</c:v>
                </c:pt>
                <c:pt idx="87">
                  <c:v>1.3040214838370701</c:v>
                </c:pt>
                <c:pt idx="88">
                  <c:v>1.30486006216131</c:v>
                </c:pt>
                <c:pt idx="89">
                  <c:v>1.30468685767818</c:v>
                </c:pt>
                <c:pt idx="90">
                  <c:v>1.3055494360272899</c:v>
                </c:pt>
                <c:pt idx="91">
                  <c:v>1.3064525458704901</c:v>
                </c:pt>
                <c:pt idx="92">
                  <c:v>1.3073883367285599</c:v>
                </c:pt>
                <c:pt idx="93">
                  <c:v>1.30861444240516</c:v>
                </c:pt>
                <c:pt idx="94">
                  <c:v>1.31042804773701</c:v>
                </c:pt>
                <c:pt idx="95">
                  <c:v>1.3130410949153699</c:v>
                </c:pt>
                <c:pt idx="96">
                  <c:v>1.3156146731509499</c:v>
                </c:pt>
                <c:pt idx="97">
                  <c:v>1.3180357981497799</c:v>
                </c:pt>
                <c:pt idx="98">
                  <c:v>1.3207617974088901</c:v>
                </c:pt>
                <c:pt idx="99">
                  <c:v>1.32388600362686</c:v>
                </c:pt>
                <c:pt idx="100">
                  <c:v>1.32609376469275</c:v>
                </c:pt>
                <c:pt idx="101">
                  <c:v>1.3285324394799001</c:v>
                </c:pt>
                <c:pt idx="102">
                  <c:v>1.3321751757570801</c:v>
                </c:pt>
                <c:pt idx="103">
                  <c:v>1.3357317168535801</c:v>
                </c:pt>
                <c:pt idx="104">
                  <c:v>1.3389657474562</c:v>
                </c:pt>
                <c:pt idx="105">
                  <c:v>1.3407534923725299</c:v>
                </c:pt>
                <c:pt idx="106">
                  <c:v>1.3432084264437301</c:v>
                </c:pt>
                <c:pt idx="107">
                  <c:v>1.3447550673694699</c:v>
                </c:pt>
                <c:pt idx="108">
                  <c:v>1.34564001988923</c:v>
                </c:pt>
                <c:pt idx="109">
                  <c:v>1.34697640523159</c:v>
                </c:pt>
                <c:pt idx="110">
                  <c:v>1.3478242607905999</c:v>
                </c:pt>
                <c:pt idx="111">
                  <c:v>1.34815205974117</c:v>
                </c:pt>
                <c:pt idx="112">
                  <c:v>1.3489784159854099</c:v>
                </c:pt>
                <c:pt idx="113">
                  <c:v>1.3493617250330301</c:v>
                </c:pt>
                <c:pt idx="114">
                  <c:v>1.35026378874528</c:v>
                </c:pt>
                <c:pt idx="115">
                  <c:v>1.35097975838763</c:v>
                </c:pt>
                <c:pt idx="116">
                  <c:v>1.35208807515441</c:v>
                </c:pt>
                <c:pt idx="117">
                  <c:v>1.3527581759666101</c:v>
                </c:pt>
                <c:pt idx="118">
                  <c:v>1.35344780455365</c:v>
                </c:pt>
                <c:pt idx="119">
                  <c:v>1.3526283603079701</c:v>
                </c:pt>
                <c:pt idx="120">
                  <c:v>1.3533453488901801</c:v>
                </c:pt>
                <c:pt idx="121">
                  <c:v>1.3551928240982001</c:v>
                </c:pt>
                <c:pt idx="122">
                  <c:v>1.3564929630248099</c:v>
                </c:pt>
                <c:pt idx="123">
                  <c:v>1.35738245832945</c:v>
                </c:pt>
                <c:pt idx="124">
                  <c:v>1.35863786086123</c:v>
                </c:pt>
                <c:pt idx="125">
                  <c:v>1.36059187790321</c:v>
                </c:pt>
                <c:pt idx="126">
                  <c:v>1.36203598994421</c:v>
                </c:pt>
                <c:pt idx="127">
                  <c:v>1.3637700606044001</c:v>
                </c:pt>
                <c:pt idx="128">
                  <c:v>1.3657972231090201</c:v>
                </c:pt>
                <c:pt idx="129">
                  <c:v>1.36728902203004</c:v>
                </c:pt>
                <c:pt idx="130">
                  <c:v>1.36874401774679</c:v>
                </c:pt>
                <c:pt idx="131">
                  <c:v>1.3708459839526099</c:v>
                </c:pt>
                <c:pt idx="132">
                  <c:v>1.3726959859914001</c:v>
                </c:pt>
                <c:pt idx="133">
                  <c:v>1.3738188096566</c:v>
                </c:pt>
                <c:pt idx="134">
                  <c:v>1.37435991654918</c:v>
                </c:pt>
                <c:pt idx="135">
                  <c:v>1.37486822744104</c:v>
                </c:pt>
                <c:pt idx="136">
                  <c:v>1.3752115159951099</c:v>
                </c:pt>
                <c:pt idx="137">
                  <c:v>1.3759833912008701</c:v>
                </c:pt>
                <c:pt idx="138">
                  <c:v>1.3762419186096599</c:v>
                </c:pt>
                <c:pt idx="139">
                  <c:v>1.3787228451160201</c:v>
                </c:pt>
                <c:pt idx="140">
                  <c:v>1.37980177402216</c:v>
                </c:pt>
                <c:pt idx="141">
                  <c:v>1.3799770797981099</c:v>
                </c:pt>
                <c:pt idx="142">
                  <c:v>1.3799381430439299</c:v>
                </c:pt>
                <c:pt idx="143">
                  <c:v>1.38033460114353</c:v>
                </c:pt>
                <c:pt idx="144">
                  <c:v>1.38040952802327</c:v>
                </c:pt>
                <c:pt idx="145">
                  <c:v>1.3796946636715599</c:v>
                </c:pt>
                <c:pt idx="146">
                  <c:v>1.3793145266057301</c:v>
                </c:pt>
                <c:pt idx="147">
                  <c:v>1.3788722634638</c:v>
                </c:pt>
                <c:pt idx="148">
                  <c:v>1.37817871498918</c:v>
                </c:pt>
                <c:pt idx="149">
                  <c:v>1.37813256266534</c:v>
                </c:pt>
                <c:pt idx="150">
                  <c:v>1.37776452083086</c:v>
                </c:pt>
                <c:pt idx="151">
                  <c:v>1.3778628897045799</c:v>
                </c:pt>
                <c:pt idx="152">
                  <c:v>1.3769652331669899</c:v>
                </c:pt>
                <c:pt idx="153">
                  <c:v>1.37640387233395</c:v>
                </c:pt>
                <c:pt idx="154">
                  <c:v>1.3760153513514699</c:v>
                </c:pt>
                <c:pt idx="155">
                  <c:v>1.3760311399063401</c:v>
                </c:pt>
                <c:pt idx="156">
                  <c:v>1.3757616748074899</c:v>
                </c:pt>
                <c:pt idx="157">
                  <c:v>1.3758632828697399</c:v>
                </c:pt>
                <c:pt idx="158">
                  <c:v>1.3754089711612101</c:v>
                </c:pt>
                <c:pt idx="159">
                  <c:v>1.3744404767843601</c:v>
                </c:pt>
                <c:pt idx="160">
                  <c:v>1.3736268320963101</c:v>
                </c:pt>
                <c:pt idx="161">
                  <c:v>1.3728684931392201</c:v>
                </c:pt>
                <c:pt idx="162">
                  <c:v>1.37150397475434</c:v>
                </c:pt>
                <c:pt idx="163">
                  <c:v>1.3695014460361401</c:v>
                </c:pt>
                <c:pt idx="164">
                  <c:v>1.3675360104023899</c:v>
                </c:pt>
                <c:pt idx="165">
                  <c:v>1.36651382157242</c:v>
                </c:pt>
                <c:pt idx="166">
                  <c:v>1.3645741571849399</c:v>
                </c:pt>
                <c:pt idx="167">
                  <c:v>1.3630643325029901</c:v>
                </c:pt>
                <c:pt idx="168">
                  <c:v>1.3623051904535299</c:v>
                </c:pt>
                <c:pt idx="169">
                  <c:v>1.3610491500198101</c:v>
                </c:pt>
                <c:pt idx="170">
                  <c:v>1.3596458225580399</c:v>
                </c:pt>
                <c:pt idx="171">
                  <c:v>1.3575137772092301</c:v>
                </c:pt>
                <c:pt idx="172">
                  <c:v>1.3562305578759399</c:v>
                </c:pt>
                <c:pt idx="173">
                  <c:v>1.35521450210437</c:v>
                </c:pt>
                <c:pt idx="174">
                  <c:v>1.3537810247494799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76-4F4C-B90B-6591E7E85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HEI A x avg / HEI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3.79092861161619E-2</c:v>
                </c:pt>
                <c:pt idx="2">
                  <c:v>3.3895750640528598E-2</c:v>
                </c:pt>
                <c:pt idx="3">
                  <c:v>2.9884110178559201E-2</c:v>
                </c:pt>
                <c:pt idx="4">
                  <c:v>3.0718923557298099E-2</c:v>
                </c:pt>
                <c:pt idx="5">
                  <c:v>3.0041302301067999E-2</c:v>
                </c:pt>
                <c:pt idx="6">
                  <c:v>2.6381484547543799E-2</c:v>
                </c:pt>
                <c:pt idx="7">
                  <c:v>2.58939136416045E-2</c:v>
                </c:pt>
                <c:pt idx="8">
                  <c:v>2.7212693061586999E-2</c:v>
                </c:pt>
                <c:pt idx="9">
                  <c:v>2.8263857715585601E-2</c:v>
                </c:pt>
                <c:pt idx="10">
                  <c:v>3.00424943766881E-2</c:v>
                </c:pt>
                <c:pt idx="11">
                  <c:v>3.3432895469621603E-2</c:v>
                </c:pt>
                <c:pt idx="12">
                  <c:v>3.2007567367947E-2</c:v>
                </c:pt>
                <c:pt idx="13">
                  <c:v>2.94657098362178E-2</c:v>
                </c:pt>
                <c:pt idx="14">
                  <c:v>2.85510778682748E-2</c:v>
                </c:pt>
                <c:pt idx="15">
                  <c:v>2.71143043557815E-2</c:v>
                </c:pt>
                <c:pt idx="16">
                  <c:v>2.9195976329977499E-2</c:v>
                </c:pt>
                <c:pt idx="17">
                  <c:v>2.72417790957898E-2</c:v>
                </c:pt>
                <c:pt idx="18">
                  <c:v>2.31087026560906E-2</c:v>
                </c:pt>
                <c:pt idx="19">
                  <c:v>2.5844773373747999E-2</c:v>
                </c:pt>
                <c:pt idx="20">
                  <c:v>3.1311815042729702E-2</c:v>
                </c:pt>
                <c:pt idx="21">
                  <c:v>2.5908808569228801E-2</c:v>
                </c:pt>
                <c:pt idx="22">
                  <c:v>2.46704314302943E-2</c:v>
                </c:pt>
                <c:pt idx="23">
                  <c:v>2.79163709799111E-2</c:v>
                </c:pt>
                <c:pt idx="24">
                  <c:v>2.5136683570901E-2</c:v>
                </c:pt>
                <c:pt idx="25">
                  <c:v>2.5957775412513099E-2</c:v>
                </c:pt>
                <c:pt idx="26">
                  <c:v>2.2174961924741301E-2</c:v>
                </c:pt>
                <c:pt idx="27">
                  <c:v>2.15916397468978E-2</c:v>
                </c:pt>
                <c:pt idx="28">
                  <c:v>1.6472174962321999E-2</c:v>
                </c:pt>
                <c:pt idx="29">
                  <c:v>1.4370485952901401E-2</c:v>
                </c:pt>
                <c:pt idx="30">
                  <c:v>5.64895365111567E-3</c:v>
                </c:pt>
                <c:pt idx="31">
                  <c:v>5.4650578340921198E-3</c:v>
                </c:pt>
                <c:pt idx="32">
                  <c:v>3.0774935733743E-3</c:v>
                </c:pt>
                <c:pt idx="33">
                  <c:v>-7.7731541633349202E-3</c:v>
                </c:pt>
                <c:pt idx="34">
                  <c:v>-2.89464215103681E-3</c:v>
                </c:pt>
                <c:pt idx="35">
                  <c:v>-1.33905350715298E-2</c:v>
                </c:pt>
                <c:pt idx="36">
                  <c:v>-2.1385258687260499E-2</c:v>
                </c:pt>
                <c:pt idx="37">
                  <c:v>1.36218156183177E-2</c:v>
                </c:pt>
                <c:pt idx="38">
                  <c:v>2.5018817118014798E-3</c:v>
                </c:pt>
                <c:pt idx="39">
                  <c:v>-1.8648938022533901E-3</c:v>
                </c:pt>
                <c:pt idx="40">
                  <c:v>-1.7799189851126101E-3</c:v>
                </c:pt>
                <c:pt idx="41">
                  <c:v>1.5497527444074601E-2</c:v>
                </c:pt>
                <c:pt idx="42">
                  <c:v>1.8580817070813601E-2</c:v>
                </c:pt>
                <c:pt idx="43">
                  <c:v>2.23350661442238E-2</c:v>
                </c:pt>
                <c:pt idx="44">
                  <c:v>6.2351131398841898E-3</c:v>
                </c:pt>
                <c:pt idx="45">
                  <c:v>9.0202934401419198E-3</c:v>
                </c:pt>
                <c:pt idx="46">
                  <c:v>1.2491270984336601E-2</c:v>
                </c:pt>
                <c:pt idx="47">
                  <c:v>2.5641500969097199E-2</c:v>
                </c:pt>
                <c:pt idx="48">
                  <c:v>2.3395721655505901E-2</c:v>
                </c:pt>
                <c:pt idx="49">
                  <c:v>2.4433218875301799E-2</c:v>
                </c:pt>
                <c:pt idx="50">
                  <c:v>2.7419751006654999E-2</c:v>
                </c:pt>
                <c:pt idx="51">
                  <c:v>2.2093844415376599E-2</c:v>
                </c:pt>
                <c:pt idx="52">
                  <c:v>2.7078676310425199E-2</c:v>
                </c:pt>
                <c:pt idx="53">
                  <c:v>1.5025858602429099E-2</c:v>
                </c:pt>
                <c:pt idx="54">
                  <c:v>1.5966739619254201E-2</c:v>
                </c:pt>
                <c:pt idx="55">
                  <c:v>1.11856917349209E-2</c:v>
                </c:pt>
                <c:pt idx="56">
                  <c:v>1.8029369898270801E-2</c:v>
                </c:pt>
                <c:pt idx="57">
                  <c:v>1.9007917700266198E-2</c:v>
                </c:pt>
                <c:pt idx="58">
                  <c:v>1.3617280867167E-2</c:v>
                </c:pt>
                <c:pt idx="59">
                  <c:v>3.0655947455706101E-2</c:v>
                </c:pt>
                <c:pt idx="60">
                  <c:v>2.6463616090691599E-2</c:v>
                </c:pt>
                <c:pt idx="61">
                  <c:v>2.7898892700128498E-2</c:v>
                </c:pt>
                <c:pt idx="62">
                  <c:v>3.51283690206248E-2</c:v>
                </c:pt>
                <c:pt idx="63">
                  <c:v>2.8439957198234399E-2</c:v>
                </c:pt>
                <c:pt idx="64">
                  <c:v>2.84973607164925E-2</c:v>
                </c:pt>
                <c:pt idx="65">
                  <c:v>1.92875672586976E-2</c:v>
                </c:pt>
                <c:pt idx="66">
                  <c:v>1.6390796747102501E-2</c:v>
                </c:pt>
                <c:pt idx="67">
                  <c:v>1.3694594966122299E-2</c:v>
                </c:pt>
                <c:pt idx="68">
                  <c:v>1.3956393574121199E-2</c:v>
                </c:pt>
                <c:pt idx="69">
                  <c:v>4.2915444382626696E-3</c:v>
                </c:pt>
                <c:pt idx="70">
                  <c:v>1.26832166014114E-2</c:v>
                </c:pt>
                <c:pt idx="71">
                  <c:v>1.23437440160259E-2</c:v>
                </c:pt>
                <c:pt idx="72">
                  <c:v>1.31792757026278E-2</c:v>
                </c:pt>
                <c:pt idx="73">
                  <c:v>1.0287325258744999E-2</c:v>
                </c:pt>
                <c:pt idx="74">
                  <c:v>2.1741189585691101E-2</c:v>
                </c:pt>
                <c:pt idx="75">
                  <c:v>2.9526291420611198E-2</c:v>
                </c:pt>
                <c:pt idx="76">
                  <c:v>3.0242712308550301E-2</c:v>
                </c:pt>
                <c:pt idx="77">
                  <c:v>2.9320622845618701E-2</c:v>
                </c:pt>
                <c:pt idx="78">
                  <c:v>2.96328183288679E-2</c:v>
                </c:pt>
                <c:pt idx="79">
                  <c:v>3.80856988478845E-2</c:v>
                </c:pt>
                <c:pt idx="80">
                  <c:v>2.8251681500560899E-2</c:v>
                </c:pt>
                <c:pt idx="81">
                  <c:v>3.2341122769625801E-2</c:v>
                </c:pt>
                <c:pt idx="82">
                  <c:v>3.9455035507435003E-2</c:v>
                </c:pt>
                <c:pt idx="83">
                  <c:v>3.6642862535098103E-2</c:v>
                </c:pt>
                <c:pt idx="84">
                  <c:v>3.0438860594814598E-2</c:v>
                </c:pt>
                <c:pt idx="85">
                  <c:v>1.33388759451423E-2</c:v>
                </c:pt>
                <c:pt idx="86">
                  <c:v>1.64763750424856E-2</c:v>
                </c:pt>
                <c:pt idx="87">
                  <c:v>1.05582039973249E-2</c:v>
                </c:pt>
                <c:pt idx="88">
                  <c:v>1.28606759322331E-3</c:v>
                </c:pt>
                <c:pt idx="89">
                  <c:v>6.9032675403866697E-3</c:v>
                </c:pt>
                <c:pt idx="90">
                  <c:v>-3.3090800503665603E-4</c:v>
                </c:pt>
                <c:pt idx="91">
                  <c:v>-1.27315980544819E-3</c:v>
                </c:pt>
                <c:pt idx="92">
                  <c:v>-9.3863451116052898E-4</c:v>
                </c:pt>
                <c:pt idx="93">
                  <c:v>-8.1174348821235198E-3</c:v>
                </c:pt>
                <c:pt idx="94">
                  <c:v>-5.6717633169368403E-3</c:v>
                </c:pt>
                <c:pt idx="95">
                  <c:v>-1.00366213408307E-2</c:v>
                </c:pt>
                <c:pt idx="96">
                  <c:v>-8.7615108378374194E-3</c:v>
                </c:pt>
                <c:pt idx="97">
                  <c:v>-7.3817385426237997E-3</c:v>
                </c:pt>
                <c:pt idx="98">
                  <c:v>-1.1609760589371401E-2</c:v>
                </c:pt>
                <c:pt idx="99">
                  <c:v>-9.43228937119415E-3</c:v>
                </c:pt>
                <c:pt idx="100">
                  <c:v>-5.2346116692598803E-3</c:v>
                </c:pt>
                <c:pt idx="101">
                  <c:v>-4.7321923868751696E-3</c:v>
                </c:pt>
                <c:pt idx="102">
                  <c:v>-1.5809216063899699E-2</c:v>
                </c:pt>
                <c:pt idx="103">
                  <c:v>-1.7200772268861901E-2</c:v>
                </c:pt>
                <c:pt idx="104">
                  <c:v>-1.8343711399011399E-2</c:v>
                </c:pt>
                <c:pt idx="105">
                  <c:v>-1.3465290304579099E-2</c:v>
                </c:pt>
                <c:pt idx="106">
                  <c:v>-2.0262883017009299E-2</c:v>
                </c:pt>
                <c:pt idx="107">
                  <c:v>-1.2608896689058799E-2</c:v>
                </c:pt>
                <c:pt idx="108">
                  <c:v>-1.1913095358003899E-2</c:v>
                </c:pt>
                <c:pt idx="109">
                  <c:v>-1.307334606574E-2</c:v>
                </c:pt>
                <c:pt idx="110">
                  <c:v>-1.29599415620518E-2</c:v>
                </c:pt>
                <c:pt idx="111">
                  <c:v>-6.1701364908604396E-3</c:v>
                </c:pt>
                <c:pt idx="112">
                  <c:v>-1.32419596080845E-2</c:v>
                </c:pt>
                <c:pt idx="113">
                  <c:v>-1.38023745775619E-2</c:v>
                </c:pt>
                <c:pt idx="114">
                  <c:v>-1.90317762919026E-2</c:v>
                </c:pt>
                <c:pt idx="115">
                  <c:v>-2.06090597354242E-2</c:v>
                </c:pt>
                <c:pt idx="116">
                  <c:v>-2.51011735065753E-2</c:v>
                </c:pt>
                <c:pt idx="117">
                  <c:v>-1.73063750337124E-2</c:v>
                </c:pt>
                <c:pt idx="118">
                  <c:v>-2.1779275795060199E-2</c:v>
                </c:pt>
                <c:pt idx="119">
                  <c:v>2.8143472192167702E-3</c:v>
                </c:pt>
                <c:pt idx="120">
                  <c:v>-1.5872709940936799E-2</c:v>
                </c:pt>
                <c:pt idx="121">
                  <c:v>-3.1930459956347801E-2</c:v>
                </c:pt>
                <c:pt idx="122">
                  <c:v>-3.4816809090421501E-2</c:v>
                </c:pt>
                <c:pt idx="123">
                  <c:v>-3.0225817482434799E-2</c:v>
                </c:pt>
                <c:pt idx="124">
                  <c:v>-3.66571897727462E-2</c:v>
                </c:pt>
                <c:pt idx="125">
                  <c:v>-4.1963310249095699E-2</c:v>
                </c:pt>
                <c:pt idx="126">
                  <c:v>-4.1260522540198401E-2</c:v>
                </c:pt>
                <c:pt idx="127">
                  <c:v>-3.7960841651036303E-2</c:v>
                </c:pt>
                <c:pt idx="128">
                  <c:v>-4.1507511840757599E-2</c:v>
                </c:pt>
                <c:pt idx="129">
                  <c:v>-3.49116572576392E-2</c:v>
                </c:pt>
                <c:pt idx="130">
                  <c:v>-3.4267582770107802E-2</c:v>
                </c:pt>
                <c:pt idx="131">
                  <c:v>-3.7013974009817298E-2</c:v>
                </c:pt>
                <c:pt idx="132">
                  <c:v>-4.0249233324915798E-2</c:v>
                </c:pt>
                <c:pt idx="133">
                  <c:v>-3.0271605115340799E-2</c:v>
                </c:pt>
                <c:pt idx="134">
                  <c:v>-2.6961022834337801E-2</c:v>
                </c:pt>
                <c:pt idx="135">
                  <c:v>-2.8047808861360098E-2</c:v>
                </c:pt>
                <c:pt idx="136">
                  <c:v>-3.01085176472611E-2</c:v>
                </c:pt>
                <c:pt idx="137">
                  <c:v>-2.8617601906886701E-2</c:v>
                </c:pt>
                <c:pt idx="138">
                  <c:v>-2.5565120815856698E-2</c:v>
                </c:pt>
                <c:pt idx="139">
                  <c:v>-3.3812179203318297E-2</c:v>
                </c:pt>
                <c:pt idx="140">
                  <c:v>-3.1670691287527697E-2</c:v>
                </c:pt>
                <c:pt idx="141">
                  <c:v>-3.44732700361364E-2</c:v>
                </c:pt>
                <c:pt idx="142">
                  <c:v>-3.4252783679277699E-2</c:v>
                </c:pt>
                <c:pt idx="143">
                  <c:v>-3.5977013064739903E-2</c:v>
                </c:pt>
                <c:pt idx="144">
                  <c:v>-3.7739669460914997E-2</c:v>
                </c:pt>
                <c:pt idx="145">
                  <c:v>-3.1631462213956997E-2</c:v>
                </c:pt>
                <c:pt idx="146">
                  <c:v>-3.5775876119544997E-2</c:v>
                </c:pt>
                <c:pt idx="147">
                  <c:v>-3.1555801449317397E-2</c:v>
                </c:pt>
                <c:pt idx="148">
                  <c:v>-3.14806965140592E-2</c:v>
                </c:pt>
                <c:pt idx="149">
                  <c:v>-3.4243137888063699E-2</c:v>
                </c:pt>
                <c:pt idx="150">
                  <c:v>-2.89205512641439E-2</c:v>
                </c:pt>
                <c:pt idx="151">
                  <c:v>-3.8434376627171397E-2</c:v>
                </c:pt>
                <c:pt idx="152">
                  <c:v>-2.7235852590759699E-2</c:v>
                </c:pt>
                <c:pt idx="153">
                  <c:v>-2.20716419361617E-2</c:v>
                </c:pt>
                <c:pt idx="154">
                  <c:v>-2.1274104773142202E-2</c:v>
                </c:pt>
                <c:pt idx="155">
                  <c:v>-2.82779787953059E-2</c:v>
                </c:pt>
                <c:pt idx="156">
                  <c:v>-2.6180110192925599E-2</c:v>
                </c:pt>
                <c:pt idx="157">
                  <c:v>-3.0097104040305599E-2</c:v>
                </c:pt>
                <c:pt idx="158">
                  <c:v>-1.89026660752105E-2</c:v>
                </c:pt>
                <c:pt idx="159">
                  <c:v>-1.9673251460663899E-2</c:v>
                </c:pt>
                <c:pt idx="160">
                  <c:v>-1.9780276578963901E-2</c:v>
                </c:pt>
                <c:pt idx="161">
                  <c:v>-2.3426748790487398E-2</c:v>
                </c:pt>
                <c:pt idx="162">
                  <c:v>-1.4283157637463699E-2</c:v>
                </c:pt>
                <c:pt idx="163">
                  <c:v>-6.5830241260703198E-3</c:v>
                </c:pt>
                <c:pt idx="164">
                  <c:v>-8.9496086891679705E-3</c:v>
                </c:pt>
                <c:pt idx="165">
                  <c:v>-1.6669940523002202E-2</c:v>
                </c:pt>
                <c:pt idx="166">
                  <c:v>-7.3120877575476896E-3</c:v>
                </c:pt>
                <c:pt idx="167">
                  <c:v>-9.3755383412288396E-3</c:v>
                </c:pt>
                <c:pt idx="168">
                  <c:v>-2.0389085138503099E-2</c:v>
                </c:pt>
                <c:pt idx="169">
                  <c:v>-1.5875573194992599E-2</c:v>
                </c:pt>
                <c:pt idx="170">
                  <c:v>-8.2661063950783195E-3</c:v>
                </c:pt>
                <c:pt idx="171">
                  <c:v>-7.1873030018283499E-3</c:v>
                </c:pt>
                <c:pt idx="172">
                  <c:v>-8.33385217819008E-3</c:v>
                </c:pt>
                <c:pt idx="173">
                  <c:v>-7.0566347204965201E-3</c:v>
                </c:pt>
                <c:pt idx="174">
                  <c:v>-7.4775570452221803E-6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4-4750-B2FF-CE3D9941B4F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HEI A x 10 dma / HEI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-1.0747583640456199E-3</c:v>
                </c:pt>
                <c:pt idx="11">
                  <c:v>3.4144570761993199E-3</c:v>
                </c:pt>
                <c:pt idx="12">
                  <c:v>2.4341461660740298E-3</c:v>
                </c:pt>
                <c:pt idx="13">
                  <c:v>8.0452488649974699E-5</c:v>
                </c:pt>
                <c:pt idx="14">
                  <c:v>-7.9235243683922795E-4</c:v>
                </c:pt>
                <c:pt idx="15">
                  <c:v>-2.0124280174370702E-3</c:v>
                </c:pt>
                <c:pt idx="16">
                  <c:v>3.62061696056911E-4</c:v>
                </c:pt>
                <c:pt idx="17">
                  <c:v>-1.87391882656297E-3</c:v>
                </c:pt>
                <c:pt idx="18">
                  <c:v>-6.1421348068135496E-3</c:v>
                </c:pt>
                <c:pt idx="19">
                  <c:v>-2.9940676147334599E-3</c:v>
                </c:pt>
                <c:pt idx="20">
                  <c:v>2.7152852649574501E-3</c:v>
                </c:pt>
                <c:pt idx="21">
                  <c:v>-2.8143974832833701E-3</c:v>
                </c:pt>
                <c:pt idx="22">
                  <c:v>-3.3013592216557001E-3</c:v>
                </c:pt>
                <c:pt idx="23">
                  <c:v>6.7775735033146097E-4</c:v>
                </c:pt>
                <c:pt idx="24">
                  <c:v>-1.94723299056628E-3</c:v>
                </c:pt>
                <c:pt idx="25">
                  <c:v>-7.8467789099796704E-4</c:v>
                </c:pt>
                <c:pt idx="26">
                  <c:v>-4.4518212932650597E-3</c:v>
                </c:pt>
                <c:pt idx="27">
                  <c:v>-4.3326262010693097E-3</c:v>
                </c:pt>
                <c:pt idx="28">
                  <c:v>-8.8863839076547494E-3</c:v>
                </c:pt>
                <c:pt idx="29">
                  <c:v>-1.0320935903038999E-2</c:v>
                </c:pt>
                <c:pt idx="30">
                  <c:v>-1.7890425347772399E-2</c:v>
                </c:pt>
                <c:pt idx="31">
                  <c:v>-1.54982693955905E-2</c:v>
                </c:pt>
                <c:pt idx="32">
                  <c:v>-1.58327164442916E-2</c:v>
                </c:pt>
                <c:pt idx="33">
                  <c:v>-2.45154776311561E-2</c:v>
                </c:pt>
                <c:pt idx="34">
                  <c:v>-1.60503748845147E-2</c:v>
                </c:pt>
                <c:pt idx="35">
                  <c:v>-2.3741271579719999E-2</c:v>
                </c:pt>
                <c:pt idx="36">
                  <c:v>-2.7792658442050401E-2</c:v>
                </c:pt>
                <c:pt idx="37">
                  <c:v>1.158747830267E-2</c:v>
                </c:pt>
                <c:pt idx="38">
                  <c:v>1.2519064063279499E-3</c:v>
                </c:pt>
                <c:pt idx="39">
                  <c:v>-1.7302476869017001E-3</c:v>
                </c:pt>
                <c:pt idx="40">
                  <c:v>-3.3354221549078297E-5</c:v>
                </c:pt>
                <c:pt idx="41">
                  <c:v>1.7983977788425299E-2</c:v>
                </c:pt>
                <c:pt idx="42">
                  <c:v>2.0076451462934901E-2</c:v>
                </c:pt>
                <c:pt idx="43">
                  <c:v>2.22981693787676E-2</c:v>
                </c:pt>
                <c:pt idx="44">
                  <c:v>3.2045366153492499E-3</c:v>
                </c:pt>
                <c:pt idx="45">
                  <c:v>5.0750772528573504E-3</c:v>
                </c:pt>
                <c:pt idx="46">
                  <c:v>6.2885978282120197E-3</c:v>
                </c:pt>
                <c:pt idx="47">
                  <c:v>1.6008865352670199E-2</c:v>
                </c:pt>
                <c:pt idx="48">
                  <c:v>1.2572360331647599E-2</c:v>
                </c:pt>
                <c:pt idx="49">
                  <c:v>1.15226951684992E-2</c:v>
                </c:pt>
                <c:pt idx="50">
                  <c:v>1.1871584099480401E-2</c:v>
                </c:pt>
                <c:pt idx="51">
                  <c:v>3.6133340908448401E-3</c:v>
                </c:pt>
                <c:pt idx="52">
                  <c:v>7.9385234439925002E-3</c:v>
                </c:pt>
                <c:pt idx="53">
                  <c:v>-4.961311765644E-3</c:v>
                </c:pt>
                <c:pt idx="54">
                  <c:v>-3.2888203333602799E-3</c:v>
                </c:pt>
                <c:pt idx="55">
                  <c:v>-9.0514845945931094E-3</c:v>
                </c:pt>
                <c:pt idx="56">
                  <c:v>-2.4265758433202E-3</c:v>
                </c:pt>
                <c:pt idx="57">
                  <c:v>-2.0048785331639798E-3</c:v>
                </c:pt>
                <c:pt idx="58">
                  <c:v>-6.7332448720897999E-3</c:v>
                </c:pt>
                <c:pt idx="59">
                  <c:v>1.12845949836194E-2</c:v>
                </c:pt>
                <c:pt idx="60">
                  <c:v>6.4748644647921998E-3</c:v>
                </c:pt>
                <c:pt idx="61">
                  <c:v>8.0050875735694308E-3</c:v>
                </c:pt>
                <c:pt idx="62">
                  <c:v>1.46568459262441E-2</c:v>
                </c:pt>
                <c:pt idx="63">
                  <c:v>7.1716584381687903E-3</c:v>
                </c:pt>
                <c:pt idx="64">
                  <c:v>5.8873654585700399E-3</c:v>
                </c:pt>
                <c:pt idx="65">
                  <c:v>-4.5767583316956304E-3</c:v>
                </c:pt>
                <c:pt idx="66">
                  <c:v>-8.2910730218458996E-3</c:v>
                </c:pt>
                <c:pt idx="67">
                  <c:v>-1.08222022023132E-2</c:v>
                </c:pt>
                <c:pt idx="68">
                  <c:v>-1.00248577437886E-2</c:v>
                </c:pt>
                <c:pt idx="69">
                  <c:v>-1.9723966211023101E-2</c:v>
                </c:pt>
                <c:pt idx="70">
                  <c:v>-8.6819885446525E-3</c:v>
                </c:pt>
                <c:pt idx="71">
                  <c:v>-7.6418909325692503E-3</c:v>
                </c:pt>
                <c:pt idx="72">
                  <c:v>-5.2522479972533596E-3</c:v>
                </c:pt>
                <c:pt idx="73">
                  <c:v>-5.9641473994737999E-3</c:v>
                </c:pt>
                <c:pt idx="74">
                  <c:v>7.2977289051345401E-3</c:v>
                </c:pt>
                <c:pt idx="75">
                  <c:v>1.5751051416741799E-2</c:v>
                </c:pt>
                <c:pt idx="76">
                  <c:v>1.5453909814945E-2</c:v>
                </c:pt>
                <c:pt idx="77">
                  <c:v>1.31574364027805E-2</c:v>
                </c:pt>
                <c:pt idx="78">
                  <c:v>1.19141330567349E-2</c:v>
                </c:pt>
                <c:pt idx="79">
                  <c:v>1.8804511625194399E-2</c:v>
                </c:pt>
                <c:pt idx="80">
                  <c:v>5.5916563512710899E-3</c:v>
                </c:pt>
                <c:pt idx="81">
                  <c:v>8.1195996201861003E-3</c:v>
                </c:pt>
                <c:pt idx="82">
                  <c:v>1.32279701238317E-2</c:v>
                </c:pt>
                <c:pt idx="83">
                  <c:v>7.7849245848060399E-3</c:v>
                </c:pt>
                <c:pt idx="84">
                  <c:v>-1.07247645086305E-3</c:v>
                </c:pt>
                <c:pt idx="85">
                  <c:v>-1.9047341637716798E-2</c:v>
                </c:pt>
                <c:pt idx="86">
                  <c:v>-1.4274592307581199E-2</c:v>
                </c:pt>
                <c:pt idx="87">
                  <c:v>-1.8806866493105302E-2</c:v>
                </c:pt>
                <c:pt idx="88">
                  <c:v>-2.6186756239115799E-2</c:v>
                </c:pt>
                <c:pt idx="89">
                  <c:v>-1.7704633571412599E-2</c:v>
                </c:pt>
                <c:pt idx="90">
                  <c:v>-2.1818714824535498E-2</c:v>
                </c:pt>
                <c:pt idx="91">
                  <c:v>-1.9885152266746201E-2</c:v>
                </c:pt>
                <c:pt idx="92">
                  <c:v>-1.61843497900944E-2</c:v>
                </c:pt>
                <c:pt idx="93">
                  <c:v>-1.9347757552383001E-2</c:v>
                </c:pt>
                <c:pt idx="94">
                  <c:v>-1.24491652134519E-2</c:v>
                </c:pt>
                <c:pt idx="95">
                  <c:v>-1.32293857446713E-2</c:v>
                </c:pt>
                <c:pt idx="96">
                  <c:v>-9.6158021392399907E-3</c:v>
                </c:pt>
                <c:pt idx="97">
                  <c:v>-5.7229029494075302E-3</c:v>
                </c:pt>
                <c:pt idx="98">
                  <c:v>-8.1643194677104101E-3</c:v>
                </c:pt>
                <c:pt idx="99">
                  <c:v>-4.6958747974208603E-3</c:v>
                </c:pt>
                <c:pt idx="100">
                  <c:v>1.1283913694984499E-3</c:v>
                </c:pt>
                <c:pt idx="101">
                  <c:v>2.1193096666920199E-3</c:v>
                </c:pt>
                <c:pt idx="102">
                  <c:v>-8.6131986953334495E-3</c:v>
                </c:pt>
                <c:pt idx="103">
                  <c:v>-8.5170375780029492E-3</c:v>
                </c:pt>
                <c:pt idx="104">
                  <c:v>-8.7484372640613105E-3</c:v>
                </c:pt>
                <c:pt idx="105">
                  <c:v>-2.6005582138851498E-3</c:v>
                </c:pt>
                <c:pt idx="106">
                  <c:v>-9.0550387401037002E-3</c:v>
                </c:pt>
                <c:pt idx="107">
                  <c:v>-2.4776737799731501E-4</c:v>
                </c:pt>
                <c:pt idx="108">
                  <c:v>9.6937925180534397E-4</c:v>
                </c:pt>
                <c:pt idx="109">
                  <c:v>-1.6057242416027699E-4</c:v>
                </c:pt>
                <c:pt idx="110">
                  <c:v>3.1626800093829E-4</c:v>
                </c:pt>
                <c:pt idx="111">
                  <c:v>7.8750905772893998E-3</c:v>
                </c:pt>
                <c:pt idx="112">
                  <c:v>9.45821238302761E-4</c:v>
                </c:pt>
                <c:pt idx="113">
                  <c:v>1.28560832386386E-4</c:v>
                </c:pt>
                <c:pt idx="114">
                  <c:v>-5.4412729399497496E-3</c:v>
                </c:pt>
                <c:pt idx="115">
                  <c:v>-6.94940066552542E-3</c:v>
                </c:pt>
                <c:pt idx="116">
                  <c:v>-1.07249758457282E-2</c:v>
                </c:pt>
                <c:pt idx="117">
                  <c:v>-2.4424314780911302E-3</c:v>
                </c:pt>
                <c:pt idx="118">
                  <c:v>-6.4456502770571401E-3</c:v>
                </c:pt>
                <c:pt idx="119">
                  <c:v>1.91356003720656E-2</c:v>
                </c:pt>
                <c:pt idx="120">
                  <c:v>-1.12379613407487E-3</c:v>
                </c:pt>
                <c:pt idx="121">
                  <c:v>-1.68904084524443E-2</c:v>
                </c:pt>
                <c:pt idx="122">
                  <c:v>-1.7193641578172301E-2</c:v>
                </c:pt>
                <c:pt idx="123">
                  <c:v>-1.0433611292732899E-2</c:v>
                </c:pt>
                <c:pt idx="124">
                  <c:v>-1.5220320828060199E-2</c:v>
                </c:pt>
                <c:pt idx="125">
                  <c:v>-1.8754118542586799E-2</c:v>
                </c:pt>
                <c:pt idx="126">
                  <c:v>-1.5900861140985899E-2</c:v>
                </c:pt>
                <c:pt idx="127">
                  <c:v>-1.09738643440307E-2</c:v>
                </c:pt>
                <c:pt idx="128">
                  <c:v>-1.2455848053163699E-2</c:v>
                </c:pt>
                <c:pt idx="129">
                  <c:v>-3.8839717492067899E-3</c:v>
                </c:pt>
                <c:pt idx="130">
                  <c:v>4.6994483452830201E-4</c:v>
                </c:pt>
                <c:pt idx="131">
                  <c:v>-4.5628827393763501E-4</c:v>
                </c:pt>
                <c:pt idx="132">
                  <c:v>-3.1843833132884801E-3</c:v>
                </c:pt>
                <c:pt idx="133">
                  <c:v>7.3365947367744098E-3</c:v>
                </c:pt>
                <c:pt idx="134">
                  <c:v>1.0651722197076999E-2</c:v>
                </c:pt>
                <c:pt idx="135">
                  <c:v>8.6004617510478804E-3</c:v>
                </c:pt>
                <c:pt idx="136">
                  <c:v>5.1495097150300101E-3</c:v>
                </c:pt>
                <c:pt idx="137">
                  <c:v>5.5241206219006399E-3</c:v>
                </c:pt>
                <c:pt idx="138">
                  <c:v>7.6426345038037996E-3</c:v>
                </c:pt>
                <c:pt idx="139">
                  <c:v>-2.2004767806668201E-3</c:v>
                </c:pt>
                <c:pt idx="140">
                  <c:v>-1.6924555028595799E-4</c:v>
                </c:pt>
                <c:pt idx="141">
                  <c:v>-3.2319287678040298E-3</c:v>
                </c:pt>
                <c:pt idx="142">
                  <c:v>-3.2666919255443499E-3</c:v>
                </c:pt>
                <c:pt idx="143">
                  <c:v>-5.5945178255325098E-3</c:v>
                </c:pt>
                <c:pt idx="144">
                  <c:v>-6.7852297790685998E-3</c:v>
                </c:pt>
                <c:pt idx="145">
                  <c:v>4.0177089751380598E-4</c:v>
                </c:pt>
                <c:pt idx="146">
                  <c:v>-3.38512664581843E-3</c:v>
                </c:pt>
                <c:pt idx="147">
                  <c:v>1.4018365300581799E-3</c:v>
                </c:pt>
                <c:pt idx="148">
                  <c:v>1.7698762866933701E-3</c:v>
                </c:pt>
                <c:pt idx="149">
                  <c:v>-4.0397000011472E-4</c:v>
                </c:pt>
                <c:pt idx="150">
                  <c:v>4.9617196875968803E-3</c:v>
                </c:pt>
                <c:pt idx="151">
                  <c:v>-4.82617270496556E-3</c:v>
                </c:pt>
                <c:pt idx="152">
                  <c:v>6.7695121569134398E-3</c:v>
                </c:pt>
                <c:pt idx="153">
                  <c:v>1.123406809343E-2</c:v>
                </c:pt>
                <c:pt idx="154">
                  <c:v>1.06460382285896E-2</c:v>
                </c:pt>
                <c:pt idx="155">
                  <c:v>1.99820739669685E-3</c:v>
                </c:pt>
                <c:pt idx="156">
                  <c:v>3.7607790800557E-3</c:v>
                </c:pt>
                <c:pt idx="157">
                  <c:v>-1.1172523909347401E-3</c:v>
                </c:pt>
                <c:pt idx="158">
                  <c:v>9.9310355288252106E-3</c:v>
                </c:pt>
                <c:pt idx="159">
                  <c:v>7.9064254902959097E-3</c:v>
                </c:pt>
                <c:pt idx="160">
                  <c:v>6.3422429229324298E-3</c:v>
                </c:pt>
                <c:pt idx="161">
                  <c:v>1.7829418841130899E-3</c:v>
                </c:pt>
                <c:pt idx="162">
                  <c:v>9.4160055387055401E-3</c:v>
                </c:pt>
                <c:pt idx="163">
                  <c:v>1.58238279105824E-2</c:v>
                </c:pt>
                <c:pt idx="164">
                  <c:v>1.1919648355761901E-2</c:v>
                </c:pt>
                <c:pt idx="165">
                  <c:v>2.9731830822908299E-3</c:v>
                </c:pt>
                <c:pt idx="166">
                  <c:v>1.1166256691980099E-2</c:v>
                </c:pt>
                <c:pt idx="167">
                  <c:v>7.2174653622929701E-3</c:v>
                </c:pt>
                <c:pt idx="168">
                  <c:v>-5.8769624202194897E-3</c:v>
                </c:pt>
                <c:pt idx="169">
                  <c:v>-1.21405466380378E-3</c:v>
                </c:pt>
                <c:pt idx="170">
                  <c:v>6.0143874811244896E-3</c:v>
                </c:pt>
                <c:pt idx="171">
                  <c:v>5.9414006656661501E-3</c:v>
                </c:pt>
                <c:pt idx="172">
                  <c:v>3.16602187378221E-3</c:v>
                </c:pt>
                <c:pt idx="173">
                  <c:v>3.8482447746324101E-3</c:v>
                </c:pt>
                <c:pt idx="174">
                  <c:v>1.0944568807928099E-2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4-4750-B2FF-CE3D9941B4F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HEI A x 20 dma / HEI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1.4557180387985401E-3</c:v>
                </c:pt>
                <c:pt idx="21">
                  <c:v>-3.4618039504011999E-3</c:v>
                </c:pt>
                <c:pt idx="22">
                  <c:v>-4.1018538440990198E-3</c:v>
                </c:pt>
                <c:pt idx="23">
                  <c:v>-3.9498849886684099E-4</c:v>
                </c:pt>
                <c:pt idx="24">
                  <c:v>-3.0763516872308301E-3</c:v>
                </c:pt>
                <c:pt idx="25">
                  <c:v>-1.9761068276847298E-3</c:v>
                </c:pt>
                <c:pt idx="26">
                  <c:v>-5.5547780727097E-3</c:v>
                </c:pt>
                <c:pt idx="27">
                  <c:v>-5.9270690340465504E-3</c:v>
                </c:pt>
                <c:pt idx="28">
                  <c:v>-1.0830629476233301E-2</c:v>
                </c:pt>
                <c:pt idx="29">
                  <c:v>-1.2392495335167999E-2</c:v>
                </c:pt>
                <c:pt idx="30">
                  <c:v>-2.0415803893871199E-2</c:v>
                </c:pt>
                <c:pt idx="31">
                  <c:v>-1.9370681860972301E-2</c:v>
                </c:pt>
                <c:pt idx="32">
                  <c:v>-2.03532427661011E-2</c:v>
                </c:pt>
                <c:pt idx="33">
                  <c:v>-2.9749851261858098E-2</c:v>
                </c:pt>
                <c:pt idx="34">
                  <c:v>-2.2990217706423E-2</c:v>
                </c:pt>
                <c:pt idx="35">
                  <c:v>-3.1903544305943797E-2</c:v>
                </c:pt>
                <c:pt idx="36">
                  <c:v>-3.7851248110683897E-2</c:v>
                </c:pt>
                <c:pt idx="37">
                  <c:v>-2.8614662368466E-4</c:v>
                </c:pt>
                <c:pt idx="38">
                  <c:v>-1.07297341601548E-2</c:v>
                </c:pt>
                <c:pt idx="39">
                  <c:v>-1.4066241944577E-2</c:v>
                </c:pt>
                <c:pt idx="40">
                  <c:v>-1.25964058628845E-2</c:v>
                </c:pt>
                <c:pt idx="41">
                  <c:v>6.3278239350976701E-3</c:v>
                </c:pt>
                <c:pt idx="42">
                  <c:v>9.9255781657647205E-3</c:v>
                </c:pt>
                <c:pt idx="43">
                  <c:v>1.3980339532127E-2</c:v>
                </c:pt>
                <c:pt idx="44">
                  <c:v>-1.8452266953298999E-3</c:v>
                </c:pt>
                <c:pt idx="45">
                  <c:v>1.87744591995901E-3</c:v>
                </c:pt>
                <c:pt idx="46">
                  <c:v>6.1862397680020401E-3</c:v>
                </c:pt>
                <c:pt idx="47">
                  <c:v>1.9815231252832698E-2</c:v>
                </c:pt>
                <c:pt idx="48">
                  <c:v>1.73705095120745E-2</c:v>
                </c:pt>
                <c:pt idx="49">
                  <c:v>1.80665519857055E-2</c:v>
                </c:pt>
                <c:pt idx="50">
                  <c:v>2.05563379368385E-2</c:v>
                </c:pt>
                <c:pt idx="51">
                  <c:v>1.41517650987148E-2</c:v>
                </c:pt>
                <c:pt idx="52">
                  <c:v>1.8309645593310098E-2</c:v>
                </c:pt>
                <c:pt idx="53">
                  <c:v>5.0635758877121502E-3</c:v>
                </c:pt>
                <c:pt idx="54">
                  <c:v>4.8565772806502799E-3</c:v>
                </c:pt>
                <c:pt idx="55">
                  <c:v>-8.7232639475000502E-4</c:v>
                </c:pt>
                <c:pt idx="56">
                  <c:v>4.72545470688065E-3</c:v>
                </c:pt>
                <c:pt idx="57">
                  <c:v>3.70139019494106E-3</c:v>
                </c:pt>
                <c:pt idx="58">
                  <c:v>-1.9583168495747802E-3</c:v>
                </c:pt>
                <c:pt idx="59">
                  <c:v>1.4520227145727999E-2</c:v>
                </c:pt>
                <c:pt idx="60">
                  <c:v>8.6976216712098698E-3</c:v>
                </c:pt>
                <c:pt idx="61">
                  <c:v>8.7119846498370408E-3</c:v>
                </c:pt>
                <c:pt idx="62">
                  <c:v>1.53227526085375E-2</c:v>
                </c:pt>
                <c:pt idx="63">
                  <c:v>7.8124277953956498E-3</c:v>
                </c:pt>
                <c:pt idx="64">
                  <c:v>7.5659896400918098E-3</c:v>
                </c:pt>
                <c:pt idx="65">
                  <c:v>-2.7615391756875898E-3</c:v>
                </c:pt>
                <c:pt idx="66">
                  <c:v>-6.1758787055926096E-3</c:v>
                </c:pt>
                <c:pt idx="67">
                  <c:v>-9.0686669827765801E-3</c:v>
                </c:pt>
                <c:pt idx="68">
                  <c:v>-8.2078471843385608E-3</c:v>
                </c:pt>
                <c:pt idx="69">
                  <c:v>-1.73991910991999E-2</c:v>
                </c:pt>
                <c:pt idx="70">
                  <c:v>-7.99352495655253E-3</c:v>
                </c:pt>
                <c:pt idx="71">
                  <c:v>-7.5959749674616803E-3</c:v>
                </c:pt>
                <c:pt idx="72">
                  <c:v>-6.2717274949022203E-3</c:v>
                </c:pt>
                <c:pt idx="73">
                  <c:v>-8.4694143856795696E-3</c:v>
                </c:pt>
                <c:pt idx="74">
                  <c:v>3.22279812916145E-3</c:v>
                </c:pt>
                <c:pt idx="75">
                  <c:v>1.0719232275512299E-2</c:v>
                </c:pt>
                <c:pt idx="76">
                  <c:v>1.05196102248969E-2</c:v>
                </c:pt>
                <c:pt idx="77">
                  <c:v>8.9893538661384997E-3</c:v>
                </c:pt>
                <c:pt idx="78">
                  <c:v>8.7877524925196494E-3</c:v>
                </c:pt>
                <c:pt idx="79">
                  <c:v>1.6440151636568701E-2</c:v>
                </c:pt>
                <c:pt idx="80">
                  <c:v>6.23927592272431E-3</c:v>
                </c:pt>
                <c:pt idx="81">
                  <c:v>1.02397865625378E-2</c:v>
                </c:pt>
                <c:pt idx="82">
                  <c:v>1.7133337255225999E-2</c:v>
                </c:pt>
                <c:pt idx="83">
                  <c:v>1.4108022470194499E-2</c:v>
                </c:pt>
                <c:pt idx="84">
                  <c:v>7.4978753401632502E-3</c:v>
                </c:pt>
                <c:pt idx="85">
                  <c:v>-9.6985574122511794E-3</c:v>
                </c:pt>
                <c:pt idx="86">
                  <c:v>-6.2616613790973897E-3</c:v>
                </c:pt>
                <c:pt idx="87">
                  <c:v>-1.2184138409719899E-2</c:v>
                </c:pt>
                <c:pt idx="88">
                  <c:v>-2.1297794103777998E-2</c:v>
                </c:pt>
                <c:pt idx="89">
                  <c:v>-1.50377298959441E-2</c:v>
                </c:pt>
                <c:pt idx="90">
                  <c:v>-2.2404652227464E-2</c:v>
                </c:pt>
                <c:pt idx="91">
                  <c:v>-2.2685984261656401E-2</c:v>
                </c:pt>
                <c:pt idx="92">
                  <c:v>-2.1659951161902599E-2</c:v>
                </c:pt>
                <c:pt idx="93">
                  <c:v>-2.81227240927212E-2</c:v>
                </c:pt>
                <c:pt idx="94">
                  <c:v>-2.4739663793726802E-2</c:v>
                </c:pt>
                <c:pt idx="95">
                  <c:v>-2.7719583903438899E-2</c:v>
                </c:pt>
                <c:pt idx="96">
                  <c:v>-2.4452417919409102E-2</c:v>
                </c:pt>
                <c:pt idx="97">
                  <c:v>-2.1114550472195098E-2</c:v>
                </c:pt>
                <c:pt idx="98">
                  <c:v>-2.3503964315413399E-2</c:v>
                </c:pt>
                <c:pt idx="99">
                  <c:v>-1.9260400393947601E-2</c:v>
                </c:pt>
                <c:pt idx="100">
                  <c:v>-1.27000582418949E-2</c:v>
                </c:pt>
                <c:pt idx="101">
                  <c:v>-1.05313910861625E-2</c:v>
                </c:pt>
                <c:pt idx="102">
                  <c:v>-1.9771112419576999E-2</c:v>
                </c:pt>
                <c:pt idx="103">
                  <c:v>-1.8424495867569401E-2</c:v>
                </c:pt>
                <c:pt idx="104">
                  <c:v>-1.6901267588996498E-2</c:v>
                </c:pt>
                <c:pt idx="105">
                  <c:v>-9.6046050135785103E-3</c:v>
                </c:pt>
                <c:pt idx="106">
                  <c:v>-1.50679197501723E-2</c:v>
                </c:pt>
                <c:pt idx="107">
                  <c:v>-5.5845969188956903E-3</c:v>
                </c:pt>
                <c:pt idx="108">
                  <c:v>-3.7380053334452302E-3</c:v>
                </c:pt>
                <c:pt idx="109">
                  <c:v>-4.2403953753901297E-3</c:v>
                </c:pt>
                <c:pt idx="110">
                  <c:v>-3.1343612200181699E-3</c:v>
                </c:pt>
                <c:pt idx="111">
                  <c:v>4.2846967659984098E-3</c:v>
                </c:pt>
                <c:pt idx="112">
                  <c:v>-2.5439499184877999E-3</c:v>
                </c:pt>
                <c:pt idx="113">
                  <c:v>-2.4915978916832198E-3</c:v>
                </c:pt>
                <c:pt idx="114">
                  <c:v>-7.4368923177159096E-3</c:v>
                </c:pt>
                <c:pt idx="115">
                  <c:v>-8.3458877033433104E-3</c:v>
                </c:pt>
                <c:pt idx="116">
                  <c:v>-1.2307897730327999E-2</c:v>
                </c:pt>
                <c:pt idx="117">
                  <c:v>-3.6930555906826801E-3</c:v>
                </c:pt>
                <c:pt idx="118">
                  <c:v>-7.6704747137452999E-3</c:v>
                </c:pt>
                <c:pt idx="119">
                  <c:v>1.7432812832300301E-2</c:v>
                </c:pt>
                <c:pt idx="120">
                  <c:v>-1.8598771488116199E-3</c:v>
                </c:pt>
                <c:pt idx="121">
                  <c:v>-1.7387696960869E-2</c:v>
                </c:pt>
                <c:pt idx="122">
                  <c:v>-1.8909859676635599E-2</c:v>
                </c:pt>
                <c:pt idx="123">
                  <c:v>-1.3359952376862201E-2</c:v>
                </c:pt>
                <c:pt idx="124">
                  <c:v>-1.9135807962540999E-2</c:v>
                </c:pt>
                <c:pt idx="125">
                  <c:v>-2.3517485707508199E-2</c:v>
                </c:pt>
                <c:pt idx="126">
                  <c:v>-2.1377513526504299E-2</c:v>
                </c:pt>
                <c:pt idx="127">
                  <c:v>-1.7017010338802398E-2</c:v>
                </c:pt>
                <c:pt idx="128">
                  <c:v>-1.9291344300655999E-2</c:v>
                </c:pt>
                <c:pt idx="129">
                  <c:v>-1.12101532765448E-2</c:v>
                </c:pt>
                <c:pt idx="130">
                  <c:v>-9.4744198105792092E-3</c:v>
                </c:pt>
                <c:pt idx="131">
                  <c:v>-1.1157230433570101E-2</c:v>
                </c:pt>
                <c:pt idx="132">
                  <c:v>-1.2857977929762799E-2</c:v>
                </c:pt>
                <c:pt idx="133">
                  <c:v>-1.53172641538244E-3</c:v>
                </c:pt>
                <c:pt idx="134">
                  <c:v>2.5964911680245099E-3</c:v>
                </c:pt>
                <c:pt idx="135">
                  <c:v>1.9034982334364E-3</c:v>
                </c:pt>
                <c:pt idx="136">
                  <c:v>2.1257388958517701E-4</c:v>
                </c:pt>
                <c:pt idx="137">
                  <c:v>1.9531467947599399E-3</c:v>
                </c:pt>
                <c:pt idx="138">
                  <c:v>5.5667478733193903E-3</c:v>
                </c:pt>
                <c:pt idx="139">
                  <c:v>-2.4924426033072601E-3</c:v>
                </c:pt>
                <c:pt idx="140">
                  <c:v>1.45010441107193E-3</c:v>
                </c:pt>
                <c:pt idx="141">
                  <c:v>-5.7022359837866001E-4</c:v>
                </c:pt>
                <c:pt idx="142">
                  <c:v>-2.22693890964001E-4</c:v>
                </c:pt>
                <c:pt idx="143">
                  <c:v>-1.9751391823822099E-3</c:v>
                </c:pt>
                <c:pt idx="144">
                  <c:v>-3.4505354857550601E-3</c:v>
                </c:pt>
                <c:pt idx="145">
                  <c:v>2.7119519670118701E-3</c:v>
                </c:pt>
                <c:pt idx="146">
                  <c:v>-1.95046004157719E-3</c:v>
                </c:pt>
                <c:pt idx="147">
                  <c:v>1.99405406178147E-3</c:v>
                </c:pt>
                <c:pt idx="148">
                  <c:v>1.7484677753147101E-3</c:v>
                </c:pt>
                <c:pt idx="149">
                  <c:v>-1.51708253259179E-3</c:v>
                </c:pt>
                <c:pt idx="150">
                  <c:v>3.7720156212676399E-3</c:v>
                </c:pt>
                <c:pt idx="151">
                  <c:v>-6.0089037772130703E-3</c:v>
                </c:pt>
                <c:pt idx="152">
                  <c:v>5.2610151606872196E-3</c:v>
                </c:pt>
                <c:pt idx="153">
                  <c:v>9.7735288459467901E-3</c:v>
                </c:pt>
                <c:pt idx="154">
                  <c:v>1.01633031415052E-2</c:v>
                </c:pt>
                <c:pt idx="155">
                  <c:v>2.8771167581160099E-3</c:v>
                </c:pt>
                <c:pt idx="156">
                  <c:v>4.98645940711587E-3</c:v>
                </c:pt>
                <c:pt idx="157">
                  <c:v>8.7361862077461503E-4</c:v>
                </c:pt>
                <c:pt idx="158">
                  <c:v>1.21419097190976E-2</c:v>
                </c:pt>
                <c:pt idx="159">
                  <c:v>1.10410686041438E-2</c:v>
                </c:pt>
                <c:pt idx="160">
                  <c:v>1.0229645346791501E-2</c:v>
                </c:pt>
                <c:pt idx="161">
                  <c:v>5.9910153600998004E-3</c:v>
                </c:pt>
                <c:pt idx="162">
                  <c:v>1.45823834895503E-2</c:v>
                </c:pt>
                <c:pt idx="163">
                  <c:v>2.1288104971757201E-2</c:v>
                </c:pt>
                <c:pt idx="164">
                  <c:v>1.7460356516541101E-2</c:v>
                </c:pt>
                <c:pt idx="165">
                  <c:v>8.3038470615646696E-3</c:v>
                </c:pt>
                <c:pt idx="166">
                  <c:v>1.6913952755523199E-2</c:v>
                </c:pt>
                <c:pt idx="167">
                  <c:v>1.34300684628583E-2</c:v>
                </c:pt>
                <c:pt idx="168">
                  <c:v>1.3094652562720499E-3</c:v>
                </c:pt>
                <c:pt idx="169">
                  <c:v>5.2658842531585603E-3</c:v>
                </c:pt>
                <c:pt idx="170">
                  <c:v>1.1952929387912901E-2</c:v>
                </c:pt>
                <c:pt idx="171">
                  <c:v>1.20001378391584E-2</c:v>
                </c:pt>
                <c:pt idx="172">
                  <c:v>9.2842691524184194E-3</c:v>
                </c:pt>
                <c:pt idx="173">
                  <c:v>9.6157678757816702E-3</c:v>
                </c:pt>
                <c:pt idx="174">
                  <c:v>1.59154679809855E-2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4-4750-B2FF-CE3D9941B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-1.8389581702350083E-4</c:v>
                </c:pt>
                <c:pt idx="12">
                  <c:v>-2.5714600777413613E-3</c:v>
                </c:pt>
                <c:pt idx="13">
                  <c:v>-1.342210781445073E-2</c:v>
                </c:pt>
                <c:pt idx="14">
                  <c:v>-8.5435958021527307E-3</c:v>
                </c:pt>
                <c:pt idx="15">
                  <c:v>-1.9039488722645742E-2</c:v>
                </c:pt>
                <c:pt idx="16">
                  <c:v>-2.7034212338376242E-2</c:v>
                </c:pt>
                <c:pt idx="17">
                  <c:v>7.9728619672020558E-3</c:v>
                </c:pt>
                <c:pt idx="18">
                  <c:v>7.9728619672020558E-3</c:v>
                </c:pt>
                <c:pt idx="19">
                  <c:v>7.9728619672020558E-3</c:v>
                </c:pt>
                <c:pt idx="20">
                  <c:v>7.9728619672020558E-3</c:v>
                </c:pt>
                <c:pt idx="21">
                  <c:v>7.9728619672020558E-3</c:v>
                </c:pt>
                <c:pt idx="22">
                  <c:v>7.9728619672020558E-3</c:v>
                </c:pt>
                <c:pt idx="23">
                  <c:v>7.9728619672020558E-3</c:v>
                </c:pt>
                <c:pt idx="24">
                  <c:v>7.9728619672020558E-3</c:v>
                </c:pt>
                <c:pt idx="25">
                  <c:v>7.9728619672020558E-3</c:v>
                </c:pt>
                <c:pt idx="26">
                  <c:v>7.9728619672020558E-3</c:v>
                </c:pt>
                <c:pt idx="27">
                  <c:v>7.9728619672020558E-3</c:v>
                </c:pt>
                <c:pt idx="28">
                  <c:v>7.9728619672020558E-3</c:v>
                </c:pt>
                <c:pt idx="29">
                  <c:v>7.9728619672020558E-3</c:v>
                </c:pt>
                <c:pt idx="30">
                  <c:v>7.9728619672020558E-3</c:v>
                </c:pt>
                <c:pt idx="31">
                  <c:v>7.9728619672020558E-3</c:v>
                </c:pt>
                <c:pt idx="32">
                  <c:v>7.9728619672020558E-3</c:v>
                </c:pt>
                <c:pt idx="33">
                  <c:v>7.9728619672020558E-3</c:v>
                </c:pt>
                <c:pt idx="34">
                  <c:v>7.9728619672020558E-3</c:v>
                </c:pt>
                <c:pt idx="35">
                  <c:v>7.9728619672020558E-3</c:v>
                </c:pt>
                <c:pt idx="36">
                  <c:v>7.9728619672020558E-3</c:v>
                </c:pt>
                <c:pt idx="37">
                  <c:v>7.9728619672020558E-3</c:v>
                </c:pt>
                <c:pt idx="38">
                  <c:v>7.9728619672020558E-3</c:v>
                </c:pt>
                <c:pt idx="39">
                  <c:v>7.9728619672020558E-3</c:v>
                </c:pt>
                <c:pt idx="40">
                  <c:v>7.9728619672020558E-3</c:v>
                </c:pt>
                <c:pt idx="41">
                  <c:v>7.9728619672020558E-3</c:v>
                </c:pt>
                <c:pt idx="42">
                  <c:v>7.9728619672020558E-3</c:v>
                </c:pt>
                <c:pt idx="43">
                  <c:v>7.9728619672020558E-3</c:v>
                </c:pt>
                <c:pt idx="44">
                  <c:v>7.9728619672020558E-3</c:v>
                </c:pt>
                <c:pt idx="45">
                  <c:v>7.9728619672020558E-3</c:v>
                </c:pt>
                <c:pt idx="46">
                  <c:v>7.9728619672020558E-3</c:v>
                </c:pt>
                <c:pt idx="47">
                  <c:v>7.9728619672020558E-3</c:v>
                </c:pt>
                <c:pt idx="48">
                  <c:v>7.9728619672020558E-3</c:v>
                </c:pt>
                <c:pt idx="49">
                  <c:v>7.9728619672020558E-3</c:v>
                </c:pt>
                <c:pt idx="50">
                  <c:v>1.6364534130351056E-2</c:v>
                </c:pt>
                <c:pt idx="51">
                  <c:v>1.6025061544965555E-2</c:v>
                </c:pt>
                <c:pt idx="52">
                  <c:v>1.6860593231567456E-2</c:v>
                </c:pt>
                <c:pt idx="53">
                  <c:v>1.3968642787684641E-2</c:v>
                </c:pt>
                <c:pt idx="54">
                  <c:v>2.5422507114630642E-2</c:v>
                </c:pt>
                <c:pt idx="55">
                  <c:v>2.5422507114630642E-2</c:v>
                </c:pt>
                <c:pt idx="56">
                  <c:v>2.5422507114630642E-2</c:v>
                </c:pt>
                <c:pt idx="57">
                  <c:v>2.5422507114630642E-2</c:v>
                </c:pt>
                <c:pt idx="58">
                  <c:v>2.5422507114630642E-2</c:v>
                </c:pt>
                <c:pt idx="59">
                  <c:v>2.5422507114630642E-2</c:v>
                </c:pt>
                <c:pt idx="60">
                  <c:v>2.5422507114630642E-2</c:v>
                </c:pt>
                <c:pt idx="61">
                  <c:v>2.5422507114630642E-2</c:v>
                </c:pt>
                <c:pt idx="62">
                  <c:v>2.5422507114630642E-2</c:v>
                </c:pt>
                <c:pt idx="63">
                  <c:v>2.5422507114630642E-2</c:v>
                </c:pt>
                <c:pt idx="64">
                  <c:v>2.5422507114630642E-2</c:v>
                </c:pt>
                <c:pt idx="65">
                  <c:v>2.5422507114630642E-2</c:v>
                </c:pt>
                <c:pt idx="66">
                  <c:v>2.5422507114630642E-2</c:v>
                </c:pt>
                <c:pt idx="67">
                  <c:v>2.5422507114630642E-2</c:v>
                </c:pt>
                <c:pt idx="68">
                  <c:v>2.5422507114630642E-2</c:v>
                </c:pt>
                <c:pt idx="69">
                  <c:v>3.1039707061793941E-2</c:v>
                </c:pt>
                <c:pt idx="70">
                  <c:v>2.3805531516370743E-2</c:v>
                </c:pt>
                <c:pt idx="71">
                  <c:v>2.2863279715959341E-2</c:v>
                </c:pt>
                <c:pt idx="72">
                  <c:v>2.3197805010246941E-2</c:v>
                </c:pt>
                <c:pt idx="73">
                  <c:v>1.6019004639283879E-2</c:v>
                </c:pt>
                <c:pt idx="74">
                  <c:v>1.8464676204470558E-2</c:v>
                </c:pt>
                <c:pt idx="75">
                  <c:v>1.4099818180576658E-2</c:v>
                </c:pt>
                <c:pt idx="76">
                  <c:v>1.5374928683570079E-2</c:v>
                </c:pt>
                <c:pt idx="77">
                  <c:v>1.6754700978783704E-2</c:v>
                </c:pt>
                <c:pt idx="78">
                  <c:v>1.2526678932036104E-2</c:v>
                </c:pt>
                <c:pt idx="79">
                  <c:v>1.4704150150213455E-2</c:v>
                </c:pt>
                <c:pt idx="80">
                  <c:v>1.8901827852148449E-2</c:v>
                </c:pt>
                <c:pt idx="81">
                  <c:v>1.9404247134533068E-2</c:v>
                </c:pt>
                <c:pt idx="82">
                  <c:v>8.3272234575084668E-3</c:v>
                </c:pt>
                <c:pt idx="83">
                  <c:v>6.9356672525465075E-3</c:v>
                </c:pt>
                <c:pt idx="84">
                  <c:v>5.7927281223969871E-3</c:v>
                </c:pt>
                <c:pt idx="85">
                  <c:v>1.0671149216829488E-2</c:v>
                </c:pt>
                <c:pt idx="86">
                  <c:v>3.8735565043991572E-3</c:v>
                </c:pt>
                <c:pt idx="87">
                  <c:v>1.1527542832349857E-2</c:v>
                </c:pt>
                <c:pt idx="88">
                  <c:v>1.2223344163404768E-2</c:v>
                </c:pt>
                <c:pt idx="89">
                  <c:v>1.2223344163404768E-2</c:v>
                </c:pt>
                <c:pt idx="90">
                  <c:v>1.2223344163404768E-2</c:v>
                </c:pt>
                <c:pt idx="91">
                  <c:v>1.2223344163404768E-2</c:v>
                </c:pt>
                <c:pt idx="92">
                  <c:v>1.2223344163404768E-2</c:v>
                </c:pt>
                <c:pt idx="93">
                  <c:v>1.2223344163404768E-2</c:v>
                </c:pt>
                <c:pt idx="94">
                  <c:v>1.2223344163404768E-2</c:v>
                </c:pt>
                <c:pt idx="95">
                  <c:v>1.2223344163404768E-2</c:v>
                </c:pt>
                <c:pt idx="96">
                  <c:v>1.2223344163404768E-2</c:v>
                </c:pt>
                <c:pt idx="97">
                  <c:v>1.2223344163404768E-2</c:v>
                </c:pt>
                <c:pt idx="98">
                  <c:v>1.2223344163404768E-2</c:v>
                </c:pt>
                <c:pt idx="99">
                  <c:v>1.2223344163404768E-2</c:v>
                </c:pt>
                <c:pt idx="100">
                  <c:v>1.2223344163404768E-2</c:v>
                </c:pt>
                <c:pt idx="101">
                  <c:v>1.2223344163404768E-2</c:v>
                </c:pt>
                <c:pt idx="102">
                  <c:v>9.3369950293311667E-3</c:v>
                </c:pt>
                <c:pt idx="103">
                  <c:v>9.3369950293311667E-3</c:v>
                </c:pt>
                <c:pt idx="104">
                  <c:v>9.3369950293311667E-3</c:v>
                </c:pt>
                <c:pt idx="105">
                  <c:v>4.0308745529815462E-3</c:v>
                </c:pt>
                <c:pt idx="106">
                  <c:v>4.7336622618786468E-3</c:v>
                </c:pt>
                <c:pt idx="107">
                  <c:v>8.0333431510408483E-3</c:v>
                </c:pt>
                <c:pt idx="108">
                  <c:v>4.4866729613194569E-3</c:v>
                </c:pt>
                <c:pt idx="109">
                  <c:v>1.1082527544437937E-2</c:v>
                </c:pt>
                <c:pt idx="110">
                  <c:v>1.1726602031969336E-2</c:v>
                </c:pt>
                <c:pt idx="111">
                  <c:v>8.9802107922598955E-3</c:v>
                </c:pt>
                <c:pt idx="112">
                  <c:v>5.744951477161496E-3</c:v>
                </c:pt>
                <c:pt idx="113">
                  <c:v>1.5722579686736293E-2</c:v>
                </c:pt>
                <c:pt idx="114">
                  <c:v>1.5722579686736293E-2</c:v>
                </c:pt>
                <c:pt idx="115">
                  <c:v>1.5722579686736293E-2</c:v>
                </c:pt>
                <c:pt idx="116">
                  <c:v>1.5722579686736293E-2</c:v>
                </c:pt>
                <c:pt idx="117">
                  <c:v>1.5722579686736293E-2</c:v>
                </c:pt>
                <c:pt idx="118">
                  <c:v>1.5722579686736293E-2</c:v>
                </c:pt>
                <c:pt idx="119">
                  <c:v>1.5722579686736293E-2</c:v>
                </c:pt>
                <c:pt idx="120">
                  <c:v>1.5722579686736293E-2</c:v>
                </c:pt>
                <c:pt idx="121">
                  <c:v>1.5722579686736293E-2</c:v>
                </c:pt>
                <c:pt idx="122">
                  <c:v>1.5722579686736293E-2</c:v>
                </c:pt>
                <c:pt idx="123">
                  <c:v>1.5722579686736293E-2</c:v>
                </c:pt>
                <c:pt idx="124">
                  <c:v>1.5722579686736293E-2</c:v>
                </c:pt>
                <c:pt idx="125">
                  <c:v>1.5722579686736293E-2</c:v>
                </c:pt>
                <c:pt idx="126">
                  <c:v>1.5722579686736293E-2</c:v>
                </c:pt>
                <c:pt idx="127">
                  <c:v>1.5722579686736293E-2</c:v>
                </c:pt>
                <c:pt idx="128">
                  <c:v>1.5722579686736293E-2</c:v>
                </c:pt>
                <c:pt idx="129">
                  <c:v>1.5722579686736293E-2</c:v>
                </c:pt>
                <c:pt idx="130">
                  <c:v>1.5722579686736293E-2</c:v>
                </c:pt>
                <c:pt idx="131">
                  <c:v>1.5722579686736293E-2</c:v>
                </c:pt>
                <c:pt idx="132">
                  <c:v>1.5722579686736293E-2</c:v>
                </c:pt>
                <c:pt idx="133">
                  <c:v>1.5722579686736293E-2</c:v>
                </c:pt>
                <c:pt idx="134">
                  <c:v>1.5722579686736293E-2</c:v>
                </c:pt>
                <c:pt idx="135">
                  <c:v>1.5722579686736293E-2</c:v>
                </c:pt>
                <c:pt idx="136">
                  <c:v>1.5722579686736293E-2</c:v>
                </c:pt>
                <c:pt idx="137">
                  <c:v>1.5722579686736293E-2</c:v>
                </c:pt>
                <c:pt idx="138">
                  <c:v>1.5722579686736293E-2</c:v>
                </c:pt>
                <c:pt idx="139">
                  <c:v>1.5722579686736293E-2</c:v>
                </c:pt>
                <c:pt idx="140">
                  <c:v>1.5722579686736293E-2</c:v>
                </c:pt>
                <c:pt idx="141">
                  <c:v>1.5722579686736293E-2</c:v>
                </c:pt>
                <c:pt idx="142">
                  <c:v>1.5722579686736293E-2</c:v>
                </c:pt>
                <c:pt idx="143">
                  <c:v>1.5722579686736293E-2</c:v>
                </c:pt>
                <c:pt idx="144">
                  <c:v>1.5722579686736293E-2</c:v>
                </c:pt>
                <c:pt idx="145">
                  <c:v>1.5722579686736293E-2</c:v>
                </c:pt>
                <c:pt idx="146">
                  <c:v>1.5722579686736293E-2</c:v>
                </c:pt>
                <c:pt idx="147">
                  <c:v>1.5722579686736293E-2</c:v>
                </c:pt>
                <c:pt idx="148">
                  <c:v>1.5722579686736293E-2</c:v>
                </c:pt>
                <c:pt idx="149">
                  <c:v>1.5722579686736293E-2</c:v>
                </c:pt>
                <c:pt idx="150">
                  <c:v>1.5722579686736293E-2</c:v>
                </c:pt>
                <c:pt idx="151">
                  <c:v>1.5722579686736293E-2</c:v>
                </c:pt>
                <c:pt idx="152">
                  <c:v>1.5722579686736293E-2</c:v>
                </c:pt>
                <c:pt idx="153">
                  <c:v>1.5722579686736293E-2</c:v>
                </c:pt>
                <c:pt idx="154">
                  <c:v>1.5722579686736293E-2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D-4582-A0E9-B2B3CC716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2.2457793135913394E-3</c:v>
                </c:pt>
                <c:pt idx="29">
                  <c:v>1.2082820937955379E-3</c:v>
                </c:pt>
                <c:pt idx="30">
                  <c:v>-1.7782500375577719E-3</c:v>
                </c:pt>
                <c:pt idx="31">
                  <c:v>3.5476565537206277E-3</c:v>
                </c:pt>
                <c:pt idx="32">
                  <c:v>-1.437175341327875E-3</c:v>
                </c:pt>
                <c:pt idx="33">
                  <c:v>1.0615642366668177E-2</c:v>
                </c:pt>
                <c:pt idx="34">
                  <c:v>9.6747613498430786E-3</c:v>
                </c:pt>
                <c:pt idx="35">
                  <c:v>9.6747613498430786E-3</c:v>
                </c:pt>
                <c:pt idx="36">
                  <c:v>9.6747613498430786E-3</c:v>
                </c:pt>
                <c:pt idx="37">
                  <c:v>9.6747613498430786E-3</c:v>
                </c:pt>
                <c:pt idx="38">
                  <c:v>9.6747613498430786E-3</c:v>
                </c:pt>
                <c:pt idx="39">
                  <c:v>9.6747613498430786E-3</c:v>
                </c:pt>
                <c:pt idx="40">
                  <c:v>9.6747613498430786E-3</c:v>
                </c:pt>
                <c:pt idx="41">
                  <c:v>9.6747613498430786E-3</c:v>
                </c:pt>
                <c:pt idx="42">
                  <c:v>9.6747613498430786E-3</c:v>
                </c:pt>
                <c:pt idx="43">
                  <c:v>1.6363173172233576E-2</c:v>
                </c:pt>
                <c:pt idx="44">
                  <c:v>1.6305769653975455E-2</c:v>
                </c:pt>
                <c:pt idx="45">
                  <c:v>2.5515563111770251E-2</c:v>
                </c:pt>
                <c:pt idx="46">
                  <c:v>2.5515563111770251E-2</c:v>
                </c:pt>
                <c:pt idx="47">
                  <c:v>2.5515563111770251E-2</c:v>
                </c:pt>
                <c:pt idx="48">
                  <c:v>2.5515563111770251E-2</c:v>
                </c:pt>
                <c:pt idx="49">
                  <c:v>2.5515563111770251E-2</c:v>
                </c:pt>
                <c:pt idx="50">
                  <c:v>2.5515563111770251E-2</c:v>
                </c:pt>
                <c:pt idx="51">
                  <c:v>2.5515563111770251E-2</c:v>
                </c:pt>
                <c:pt idx="52">
                  <c:v>2.5515563111770251E-2</c:v>
                </c:pt>
                <c:pt idx="53">
                  <c:v>2.5515563111770251E-2</c:v>
                </c:pt>
                <c:pt idx="54">
                  <c:v>2.5515563111770251E-2</c:v>
                </c:pt>
                <c:pt idx="55">
                  <c:v>2.5515563111770251E-2</c:v>
                </c:pt>
                <c:pt idx="56">
                  <c:v>2.5515563111770251E-2</c:v>
                </c:pt>
                <c:pt idx="57">
                  <c:v>2.5515563111770251E-2</c:v>
                </c:pt>
                <c:pt idx="58">
                  <c:v>2.5515563111770251E-2</c:v>
                </c:pt>
                <c:pt idx="59">
                  <c:v>2.5515563111770251E-2</c:v>
                </c:pt>
                <c:pt idx="60">
                  <c:v>3.5349580459094053E-2</c:v>
                </c:pt>
                <c:pt idx="61">
                  <c:v>3.1260139190029054E-2</c:v>
                </c:pt>
                <c:pt idx="62">
                  <c:v>2.4146226452220046E-2</c:v>
                </c:pt>
                <c:pt idx="63">
                  <c:v>2.6958399424556564E-2</c:v>
                </c:pt>
                <c:pt idx="64">
                  <c:v>3.3162401364840263E-2</c:v>
                </c:pt>
                <c:pt idx="65">
                  <c:v>5.026238601451237E-2</c:v>
                </c:pt>
                <c:pt idx="66">
                  <c:v>5.026238601451237E-2</c:v>
                </c:pt>
                <c:pt idx="67">
                  <c:v>5.026238601451237E-2</c:v>
                </c:pt>
                <c:pt idx="68">
                  <c:v>5.026238601451237E-2</c:v>
                </c:pt>
                <c:pt idx="69">
                  <c:v>5.026238601451237E-2</c:v>
                </c:pt>
                <c:pt idx="70">
                  <c:v>5.026238601451237E-2</c:v>
                </c:pt>
                <c:pt idx="71">
                  <c:v>5.026238601451237E-2</c:v>
                </c:pt>
                <c:pt idx="72">
                  <c:v>5.026238601451237E-2</c:v>
                </c:pt>
                <c:pt idx="73">
                  <c:v>5.026238601451237E-2</c:v>
                </c:pt>
                <c:pt idx="74">
                  <c:v>5.026238601451237E-2</c:v>
                </c:pt>
                <c:pt idx="75">
                  <c:v>5.026238601451237E-2</c:v>
                </c:pt>
                <c:pt idx="76">
                  <c:v>5.026238601451237E-2</c:v>
                </c:pt>
                <c:pt idx="77">
                  <c:v>5.026238601451237E-2</c:v>
                </c:pt>
                <c:pt idx="78">
                  <c:v>5.026238601451237E-2</c:v>
                </c:pt>
                <c:pt idx="79">
                  <c:v>5.026238601451237E-2</c:v>
                </c:pt>
                <c:pt idx="80">
                  <c:v>5.026238601451237E-2</c:v>
                </c:pt>
                <c:pt idx="81">
                  <c:v>5.026238601451237E-2</c:v>
                </c:pt>
                <c:pt idx="82">
                  <c:v>5.026238601451237E-2</c:v>
                </c:pt>
                <c:pt idx="83">
                  <c:v>5.026238601451237E-2</c:v>
                </c:pt>
                <c:pt idx="84">
                  <c:v>5.026238601451237E-2</c:v>
                </c:pt>
                <c:pt idx="85">
                  <c:v>5.026238601451237E-2</c:v>
                </c:pt>
                <c:pt idx="86">
                  <c:v>5.026238601451237E-2</c:v>
                </c:pt>
                <c:pt idx="87">
                  <c:v>5.026238601451237E-2</c:v>
                </c:pt>
                <c:pt idx="88">
                  <c:v>5.026238601451237E-2</c:v>
                </c:pt>
                <c:pt idx="89">
                  <c:v>5.026238601451237E-2</c:v>
                </c:pt>
                <c:pt idx="90">
                  <c:v>5.026238601451237E-2</c:v>
                </c:pt>
                <c:pt idx="91">
                  <c:v>5.026238601451237E-2</c:v>
                </c:pt>
                <c:pt idx="92">
                  <c:v>5.026238601451237E-2</c:v>
                </c:pt>
                <c:pt idx="93">
                  <c:v>5.026238601451237E-2</c:v>
                </c:pt>
                <c:pt idx="94">
                  <c:v>5.026238601451237E-2</c:v>
                </c:pt>
                <c:pt idx="95">
                  <c:v>5.026238601451237E-2</c:v>
                </c:pt>
                <c:pt idx="96">
                  <c:v>5.026238601451237E-2</c:v>
                </c:pt>
                <c:pt idx="97">
                  <c:v>5.026238601451237E-2</c:v>
                </c:pt>
                <c:pt idx="98">
                  <c:v>5.026238601451237E-2</c:v>
                </c:pt>
                <c:pt idx="99">
                  <c:v>5.026238601451237E-2</c:v>
                </c:pt>
                <c:pt idx="100">
                  <c:v>6.8949443174665684E-2</c:v>
                </c:pt>
                <c:pt idx="101">
                  <c:v>6.8949443174665684E-2</c:v>
                </c:pt>
                <c:pt idx="102">
                  <c:v>6.8949443174665684E-2</c:v>
                </c:pt>
                <c:pt idx="103">
                  <c:v>6.8949443174665684E-2</c:v>
                </c:pt>
                <c:pt idx="104">
                  <c:v>6.8949443174665684E-2</c:v>
                </c:pt>
                <c:pt idx="105">
                  <c:v>6.8949443174665684E-2</c:v>
                </c:pt>
                <c:pt idx="106">
                  <c:v>6.8949443174665684E-2</c:v>
                </c:pt>
                <c:pt idx="107">
                  <c:v>6.8949443174665684E-2</c:v>
                </c:pt>
                <c:pt idx="108">
                  <c:v>6.8949443174665684E-2</c:v>
                </c:pt>
                <c:pt idx="109">
                  <c:v>6.8949443174665684E-2</c:v>
                </c:pt>
                <c:pt idx="110">
                  <c:v>6.8949443174665684E-2</c:v>
                </c:pt>
                <c:pt idx="111">
                  <c:v>6.8949443174665684E-2</c:v>
                </c:pt>
                <c:pt idx="112">
                  <c:v>6.8949443174665684E-2</c:v>
                </c:pt>
                <c:pt idx="113">
                  <c:v>6.8949443174665684E-2</c:v>
                </c:pt>
                <c:pt idx="114">
                  <c:v>6.8949443174665684E-2</c:v>
                </c:pt>
                <c:pt idx="115">
                  <c:v>6.8949443174665684E-2</c:v>
                </c:pt>
                <c:pt idx="116">
                  <c:v>6.8949443174665684E-2</c:v>
                </c:pt>
                <c:pt idx="117">
                  <c:v>6.8949443174665684E-2</c:v>
                </c:pt>
                <c:pt idx="118">
                  <c:v>6.8949443174665684E-2</c:v>
                </c:pt>
                <c:pt idx="119">
                  <c:v>6.8949443174665684E-2</c:v>
                </c:pt>
                <c:pt idx="120">
                  <c:v>6.8949443174665684E-2</c:v>
                </c:pt>
                <c:pt idx="121">
                  <c:v>6.8949443174665684E-2</c:v>
                </c:pt>
                <c:pt idx="122">
                  <c:v>6.8949443174665684E-2</c:v>
                </c:pt>
                <c:pt idx="123">
                  <c:v>6.8949443174665684E-2</c:v>
                </c:pt>
                <c:pt idx="124">
                  <c:v>6.8949443174665684E-2</c:v>
                </c:pt>
                <c:pt idx="125">
                  <c:v>6.8949443174665684E-2</c:v>
                </c:pt>
                <c:pt idx="126">
                  <c:v>6.8949443174665684E-2</c:v>
                </c:pt>
                <c:pt idx="127">
                  <c:v>6.8949443174665684E-2</c:v>
                </c:pt>
                <c:pt idx="128">
                  <c:v>6.8949443174665684E-2</c:v>
                </c:pt>
                <c:pt idx="129">
                  <c:v>6.8949443174665684E-2</c:v>
                </c:pt>
                <c:pt idx="130">
                  <c:v>6.8949443174665684E-2</c:v>
                </c:pt>
                <c:pt idx="131">
                  <c:v>6.8949443174665684E-2</c:v>
                </c:pt>
                <c:pt idx="132">
                  <c:v>6.8949443174665684E-2</c:v>
                </c:pt>
                <c:pt idx="133">
                  <c:v>6.8949443174665684E-2</c:v>
                </c:pt>
                <c:pt idx="134">
                  <c:v>6.8949443174665684E-2</c:v>
                </c:pt>
                <c:pt idx="135">
                  <c:v>6.8949443174665684E-2</c:v>
                </c:pt>
                <c:pt idx="136">
                  <c:v>6.8949443174665684E-2</c:v>
                </c:pt>
                <c:pt idx="137">
                  <c:v>6.8949443174665684E-2</c:v>
                </c:pt>
                <c:pt idx="138">
                  <c:v>6.8949443174665684E-2</c:v>
                </c:pt>
                <c:pt idx="139">
                  <c:v>6.8949443174665684E-2</c:v>
                </c:pt>
                <c:pt idx="140">
                  <c:v>6.8949443174665684E-2</c:v>
                </c:pt>
                <c:pt idx="141">
                  <c:v>6.8949443174665684E-2</c:v>
                </c:pt>
                <c:pt idx="142">
                  <c:v>6.8949443174665684E-2</c:v>
                </c:pt>
                <c:pt idx="143">
                  <c:v>6.8949443174665684E-2</c:v>
                </c:pt>
                <c:pt idx="144">
                  <c:v>7.1316027737763327E-2</c:v>
                </c:pt>
                <c:pt idx="145">
                  <c:v>7.9036359571597326E-2</c:v>
                </c:pt>
                <c:pt idx="146">
                  <c:v>6.9678506806143001E-2</c:v>
                </c:pt>
                <c:pt idx="147">
                  <c:v>7.1741957389824071E-2</c:v>
                </c:pt>
                <c:pt idx="148">
                  <c:v>8.2755504187098178E-2</c:v>
                </c:pt>
                <c:pt idx="149">
                  <c:v>8.2755504187098178E-2</c:v>
                </c:pt>
                <c:pt idx="150">
                  <c:v>8.2755504187098178E-2</c:v>
                </c:pt>
                <c:pt idx="151">
                  <c:v>8.2755504187098178E-2</c:v>
                </c:pt>
                <c:pt idx="152">
                  <c:v>8.2755504187098178E-2</c:v>
                </c:pt>
                <c:pt idx="153">
                  <c:v>8.2755504187098178E-2</c:v>
                </c:pt>
                <c:pt idx="154">
                  <c:v>8.2755504187098178E-2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A-4CE2-B5B6-F6BC404B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-1.8389581702350083E-4</c:v>
                </c:pt>
                <c:pt idx="12">
                  <c:v>-2.5714600777413613E-3</c:v>
                </c:pt>
                <c:pt idx="13">
                  <c:v>-1.342210781445073E-2</c:v>
                </c:pt>
                <c:pt idx="14">
                  <c:v>-8.5435958021527307E-3</c:v>
                </c:pt>
                <c:pt idx="15">
                  <c:v>-1.9039488722645742E-2</c:v>
                </c:pt>
                <c:pt idx="16">
                  <c:v>-2.7034212338376242E-2</c:v>
                </c:pt>
                <c:pt idx="17">
                  <c:v>7.9728619672020558E-3</c:v>
                </c:pt>
                <c:pt idx="18">
                  <c:v>7.9728619672020558E-3</c:v>
                </c:pt>
                <c:pt idx="19">
                  <c:v>7.9728619672020558E-3</c:v>
                </c:pt>
                <c:pt idx="20">
                  <c:v>7.9728619672020558E-3</c:v>
                </c:pt>
                <c:pt idx="21">
                  <c:v>7.9728619672020558E-3</c:v>
                </c:pt>
                <c:pt idx="22">
                  <c:v>7.9728619672020558E-3</c:v>
                </c:pt>
                <c:pt idx="23">
                  <c:v>7.9728619672020558E-3</c:v>
                </c:pt>
                <c:pt idx="24">
                  <c:v>7.9728619672020558E-3</c:v>
                </c:pt>
                <c:pt idx="25">
                  <c:v>7.9728619672020558E-3</c:v>
                </c:pt>
                <c:pt idx="26">
                  <c:v>7.9728619672020558E-3</c:v>
                </c:pt>
                <c:pt idx="27">
                  <c:v>7.9728619672020558E-3</c:v>
                </c:pt>
                <c:pt idx="28">
                  <c:v>1.0218641280793396E-2</c:v>
                </c:pt>
                <c:pt idx="29">
                  <c:v>9.1811440609975946E-3</c:v>
                </c:pt>
                <c:pt idx="30">
                  <c:v>6.1946119296442843E-3</c:v>
                </c:pt>
                <c:pt idx="31">
                  <c:v>1.1520518520922684E-2</c:v>
                </c:pt>
                <c:pt idx="32">
                  <c:v>6.5356866258741812E-3</c:v>
                </c:pt>
                <c:pt idx="33">
                  <c:v>1.8588504333870232E-2</c:v>
                </c:pt>
                <c:pt idx="34">
                  <c:v>1.7647623317045134E-2</c:v>
                </c:pt>
                <c:pt idx="35">
                  <c:v>1.7647623317045134E-2</c:v>
                </c:pt>
                <c:pt idx="36">
                  <c:v>1.7647623317045134E-2</c:v>
                </c:pt>
                <c:pt idx="37">
                  <c:v>1.7647623317045134E-2</c:v>
                </c:pt>
                <c:pt idx="38">
                  <c:v>1.7647623317045134E-2</c:v>
                </c:pt>
                <c:pt idx="39">
                  <c:v>1.7647623317045134E-2</c:v>
                </c:pt>
                <c:pt idx="40">
                  <c:v>1.7647623317045134E-2</c:v>
                </c:pt>
                <c:pt idx="41">
                  <c:v>1.7647623317045134E-2</c:v>
                </c:pt>
                <c:pt idx="42">
                  <c:v>1.7647623317045134E-2</c:v>
                </c:pt>
                <c:pt idx="43">
                  <c:v>2.4336035139435636E-2</c:v>
                </c:pt>
                <c:pt idx="44">
                  <c:v>2.4278631621177514E-2</c:v>
                </c:pt>
                <c:pt idx="45">
                  <c:v>3.348842507897231E-2</c:v>
                </c:pt>
                <c:pt idx="46">
                  <c:v>3.348842507897231E-2</c:v>
                </c:pt>
                <c:pt idx="47">
                  <c:v>3.348842507897231E-2</c:v>
                </c:pt>
                <c:pt idx="48">
                  <c:v>3.348842507897231E-2</c:v>
                </c:pt>
                <c:pt idx="49">
                  <c:v>3.348842507897231E-2</c:v>
                </c:pt>
                <c:pt idx="50">
                  <c:v>4.1880097242121314E-2</c:v>
                </c:pt>
                <c:pt idx="51">
                  <c:v>4.1540624656735817E-2</c:v>
                </c:pt>
                <c:pt idx="52">
                  <c:v>4.2376156343337718E-2</c:v>
                </c:pt>
                <c:pt idx="53">
                  <c:v>3.9484205899454901E-2</c:v>
                </c:pt>
                <c:pt idx="54">
                  <c:v>5.09380702264009E-2</c:v>
                </c:pt>
                <c:pt idx="55">
                  <c:v>5.09380702264009E-2</c:v>
                </c:pt>
                <c:pt idx="56">
                  <c:v>5.09380702264009E-2</c:v>
                </c:pt>
                <c:pt idx="57">
                  <c:v>5.09380702264009E-2</c:v>
                </c:pt>
                <c:pt idx="58">
                  <c:v>5.09380702264009E-2</c:v>
                </c:pt>
                <c:pt idx="59">
                  <c:v>5.09380702264009E-2</c:v>
                </c:pt>
                <c:pt idx="60">
                  <c:v>6.0772087573724702E-2</c:v>
                </c:pt>
                <c:pt idx="61">
                  <c:v>5.6682646304659703E-2</c:v>
                </c:pt>
                <c:pt idx="62">
                  <c:v>4.9568733566850695E-2</c:v>
                </c:pt>
                <c:pt idx="63">
                  <c:v>5.2380906539187214E-2</c:v>
                </c:pt>
                <c:pt idx="64">
                  <c:v>5.8584908479470912E-2</c:v>
                </c:pt>
                <c:pt idx="65">
                  <c:v>7.5684893129143019E-2</c:v>
                </c:pt>
                <c:pt idx="66">
                  <c:v>7.5684893129143019E-2</c:v>
                </c:pt>
                <c:pt idx="67">
                  <c:v>7.5684893129143019E-2</c:v>
                </c:pt>
                <c:pt idx="68">
                  <c:v>7.5684893129143019E-2</c:v>
                </c:pt>
                <c:pt idx="69">
                  <c:v>8.1302093076306314E-2</c:v>
                </c:pt>
                <c:pt idx="70">
                  <c:v>7.4067917530883112E-2</c:v>
                </c:pt>
                <c:pt idx="71">
                  <c:v>7.3125665730471717E-2</c:v>
                </c:pt>
                <c:pt idx="72">
                  <c:v>7.3460191024759314E-2</c:v>
                </c:pt>
                <c:pt idx="73">
                  <c:v>6.6281390653796249E-2</c:v>
                </c:pt>
                <c:pt idx="74">
                  <c:v>6.8727062218982934E-2</c:v>
                </c:pt>
                <c:pt idx="75">
                  <c:v>6.4362204195089034E-2</c:v>
                </c:pt>
                <c:pt idx="76">
                  <c:v>6.5637314698082455E-2</c:v>
                </c:pt>
                <c:pt idx="77">
                  <c:v>6.7017086993296088E-2</c:v>
                </c:pt>
                <c:pt idx="78">
                  <c:v>6.2789064946548484E-2</c:v>
                </c:pt>
                <c:pt idx="79">
                  <c:v>6.4966536164725835E-2</c:v>
                </c:pt>
                <c:pt idx="80">
                  <c:v>6.9164213866660829E-2</c:v>
                </c:pt>
                <c:pt idx="81">
                  <c:v>6.9666633149045448E-2</c:v>
                </c:pt>
                <c:pt idx="82">
                  <c:v>5.8589609472020847E-2</c:v>
                </c:pt>
                <c:pt idx="83">
                  <c:v>5.7198053267058888E-2</c:v>
                </c:pt>
                <c:pt idx="84">
                  <c:v>5.6055114136909369E-2</c:v>
                </c:pt>
                <c:pt idx="85">
                  <c:v>6.0933535231341873E-2</c:v>
                </c:pt>
                <c:pt idx="86">
                  <c:v>5.4135942518911545E-2</c:v>
                </c:pt>
                <c:pt idx="87">
                  <c:v>6.1789928846862241E-2</c:v>
                </c:pt>
                <c:pt idx="88">
                  <c:v>6.248573017791715E-2</c:v>
                </c:pt>
                <c:pt idx="89">
                  <c:v>6.248573017791715E-2</c:v>
                </c:pt>
                <c:pt idx="90">
                  <c:v>6.248573017791715E-2</c:v>
                </c:pt>
                <c:pt idx="91">
                  <c:v>6.248573017791715E-2</c:v>
                </c:pt>
                <c:pt idx="92">
                  <c:v>6.248573017791715E-2</c:v>
                </c:pt>
                <c:pt idx="93">
                  <c:v>6.248573017791715E-2</c:v>
                </c:pt>
                <c:pt idx="94">
                  <c:v>6.248573017791715E-2</c:v>
                </c:pt>
                <c:pt idx="95">
                  <c:v>6.248573017791715E-2</c:v>
                </c:pt>
                <c:pt idx="96">
                  <c:v>6.248573017791715E-2</c:v>
                </c:pt>
                <c:pt idx="97">
                  <c:v>6.248573017791715E-2</c:v>
                </c:pt>
                <c:pt idx="98">
                  <c:v>6.248573017791715E-2</c:v>
                </c:pt>
                <c:pt idx="99">
                  <c:v>6.248573017791715E-2</c:v>
                </c:pt>
                <c:pt idx="100">
                  <c:v>8.1172787338070457E-2</c:v>
                </c:pt>
                <c:pt idx="101">
                  <c:v>8.1172787338070457E-2</c:v>
                </c:pt>
                <c:pt idx="102">
                  <c:v>7.8286438203996861E-2</c:v>
                </c:pt>
                <c:pt idx="103">
                  <c:v>7.8286438203996861E-2</c:v>
                </c:pt>
                <c:pt idx="104">
                  <c:v>7.8286438203996861E-2</c:v>
                </c:pt>
                <c:pt idx="105">
                  <c:v>7.2980317727647237E-2</c:v>
                </c:pt>
                <c:pt idx="106">
                  <c:v>7.3683105436544341E-2</c:v>
                </c:pt>
                <c:pt idx="107">
                  <c:v>7.6982786325706543E-2</c:v>
                </c:pt>
                <c:pt idx="108">
                  <c:v>7.3436116135985149E-2</c:v>
                </c:pt>
                <c:pt idx="109">
                  <c:v>8.0031970719103632E-2</c:v>
                </c:pt>
                <c:pt idx="110">
                  <c:v>8.067604520663503E-2</c:v>
                </c:pt>
                <c:pt idx="111">
                  <c:v>7.7929653966925597E-2</c:v>
                </c:pt>
                <c:pt idx="112">
                  <c:v>7.4694394651827201E-2</c:v>
                </c:pt>
                <c:pt idx="113">
                  <c:v>8.4672022861402005E-2</c:v>
                </c:pt>
                <c:pt idx="114">
                  <c:v>8.4672022861402005E-2</c:v>
                </c:pt>
                <c:pt idx="115">
                  <c:v>8.4672022861402005E-2</c:v>
                </c:pt>
                <c:pt idx="116">
                  <c:v>8.4672022861402005E-2</c:v>
                </c:pt>
                <c:pt idx="117">
                  <c:v>8.4672022861402005E-2</c:v>
                </c:pt>
                <c:pt idx="118">
                  <c:v>8.4672022861402005E-2</c:v>
                </c:pt>
                <c:pt idx="119">
                  <c:v>8.4672022861402005E-2</c:v>
                </c:pt>
                <c:pt idx="120">
                  <c:v>8.4672022861402005E-2</c:v>
                </c:pt>
                <c:pt idx="121">
                  <c:v>8.4672022861402005E-2</c:v>
                </c:pt>
                <c:pt idx="122">
                  <c:v>8.4672022861402005E-2</c:v>
                </c:pt>
                <c:pt idx="123">
                  <c:v>8.4672022861402005E-2</c:v>
                </c:pt>
                <c:pt idx="124">
                  <c:v>8.4672022861402005E-2</c:v>
                </c:pt>
                <c:pt idx="125">
                  <c:v>8.4672022861402005E-2</c:v>
                </c:pt>
                <c:pt idx="126">
                  <c:v>8.4672022861402005E-2</c:v>
                </c:pt>
                <c:pt idx="127">
                  <c:v>8.4672022861402005E-2</c:v>
                </c:pt>
                <c:pt idx="128">
                  <c:v>8.4672022861402005E-2</c:v>
                </c:pt>
                <c:pt idx="129">
                  <c:v>8.4672022861402005E-2</c:v>
                </c:pt>
                <c:pt idx="130">
                  <c:v>8.4672022861402005E-2</c:v>
                </c:pt>
                <c:pt idx="131">
                  <c:v>8.4672022861402005E-2</c:v>
                </c:pt>
                <c:pt idx="132">
                  <c:v>8.4672022861402005E-2</c:v>
                </c:pt>
                <c:pt idx="133">
                  <c:v>8.4672022861402005E-2</c:v>
                </c:pt>
                <c:pt idx="134">
                  <c:v>8.4672022861402005E-2</c:v>
                </c:pt>
                <c:pt idx="135">
                  <c:v>8.4672022861402005E-2</c:v>
                </c:pt>
                <c:pt idx="136">
                  <c:v>8.4672022861402005E-2</c:v>
                </c:pt>
                <c:pt idx="137">
                  <c:v>8.4672022861402005E-2</c:v>
                </c:pt>
                <c:pt idx="138">
                  <c:v>8.4672022861402005E-2</c:v>
                </c:pt>
                <c:pt idx="139">
                  <c:v>8.4672022861402005E-2</c:v>
                </c:pt>
                <c:pt idx="140">
                  <c:v>8.4672022861402005E-2</c:v>
                </c:pt>
                <c:pt idx="141">
                  <c:v>8.4672022861402005E-2</c:v>
                </c:pt>
                <c:pt idx="142">
                  <c:v>8.4672022861402005E-2</c:v>
                </c:pt>
                <c:pt idx="143">
                  <c:v>8.4672022861402005E-2</c:v>
                </c:pt>
                <c:pt idx="144">
                  <c:v>8.7038607424499648E-2</c:v>
                </c:pt>
                <c:pt idx="145">
                  <c:v>9.4758939258333647E-2</c:v>
                </c:pt>
                <c:pt idx="146">
                  <c:v>8.5401086492879322E-2</c:v>
                </c:pt>
                <c:pt idx="147">
                  <c:v>8.7464537076560392E-2</c:v>
                </c:pt>
                <c:pt idx="148">
                  <c:v>9.8478083873834499E-2</c:v>
                </c:pt>
                <c:pt idx="149">
                  <c:v>9.8478083873834499E-2</c:v>
                </c:pt>
                <c:pt idx="150">
                  <c:v>9.8478083873834499E-2</c:v>
                </c:pt>
                <c:pt idx="151">
                  <c:v>9.8478083873834499E-2</c:v>
                </c:pt>
                <c:pt idx="152">
                  <c:v>9.8478083873834499E-2</c:v>
                </c:pt>
                <c:pt idx="153">
                  <c:v>9.8478083873834499E-2</c:v>
                </c:pt>
                <c:pt idx="154">
                  <c:v>9.8478083873834499E-2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9-4734-8DAF-9183726E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BD36D3E-36B6-4708-AFA3-1A860732C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5839C6C-2B7D-4CF1-AE2A-1AABB6FF4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EAF1B74-0AC0-4B63-9DD7-763DF3C79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66B503A-E7EE-4549-AD17-8DF7573DF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41FB928-0C88-4F9D-B83B-F3B347008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8405D4-77C5-4689-8782-62E4FA644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688EBEB-8FA3-44B2-9B1A-155A6B82D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4497-D74E-4472-8B84-3C3180A148E7}">
  <dimension ref="A1:DT179"/>
  <sheetViews>
    <sheetView tabSelected="1" workbookViewId="0">
      <selection activeCell="I1" sqref="I1"/>
    </sheetView>
  </sheetViews>
  <sheetFormatPr defaultRowHeight="15" x14ac:dyDescent="0.25"/>
  <cols>
    <col min="1" max="1" width="9.28515625" bestFit="1" customWidth="1"/>
    <col min="2" max="3" width="10.7109375" style="21" bestFit="1" customWidth="1"/>
    <col min="4" max="4" width="10.7109375" style="22" bestFit="1" customWidth="1"/>
    <col min="5" max="5" width="9.28515625" style="22" bestFit="1" customWidth="1"/>
    <col min="6" max="6" width="9.5703125" style="21" bestFit="1" customWidth="1"/>
    <col min="7" max="7" width="17.28515625" style="21" bestFit="1" customWidth="1"/>
    <col min="8" max="8" width="8.7109375" style="21" bestFit="1" customWidth="1"/>
    <col min="9" max="9" width="15.7109375" style="21" bestFit="1" customWidth="1"/>
    <col min="10" max="10" width="19.7109375" style="21" bestFit="1" customWidth="1"/>
    <col min="11" max="11" width="18.28515625" style="21" bestFit="1" customWidth="1"/>
    <col min="12" max="13" width="10.7109375" style="21" bestFit="1" customWidth="1"/>
    <col min="14" max="14" width="10.28515625" style="23" bestFit="1" customWidth="1"/>
    <col min="15" max="15" width="13.42578125" style="23" bestFit="1" customWidth="1"/>
    <col min="16" max="17" width="16.7109375" style="23" bestFit="1" customWidth="1"/>
    <col min="18" max="18" width="11" style="21" bestFit="1" customWidth="1"/>
    <col min="19" max="20" width="14.42578125" style="21" bestFit="1" customWidth="1"/>
    <col min="21" max="21" width="20" style="22" bestFit="1" customWidth="1"/>
    <col min="22" max="23" width="23.42578125" style="22" bestFit="1" customWidth="1"/>
    <col min="24" max="24" width="12.28515625" style="23" bestFit="1" customWidth="1"/>
    <col min="25" max="25" width="15.42578125" style="23" bestFit="1" customWidth="1"/>
    <col min="26" max="27" width="18.85546875" style="23" bestFit="1" customWidth="1"/>
    <col min="28" max="28" width="12" style="21" bestFit="1" customWidth="1"/>
    <col min="29" max="30" width="15.42578125" style="21" bestFit="1" customWidth="1"/>
    <col min="31" max="31" width="22.140625" style="22" bestFit="1" customWidth="1"/>
    <col min="32" max="33" width="25.5703125" style="22" bestFit="1" customWidth="1"/>
    <col min="34" max="34" width="1.7109375" style="26" customWidth="1"/>
    <col min="35" max="35" width="7.7109375" style="22" bestFit="1" customWidth="1"/>
    <col min="36" max="36" width="8.140625" style="22" bestFit="1" customWidth="1"/>
    <col min="37" max="38" width="7.42578125" style="22" bestFit="1" customWidth="1"/>
    <col min="39" max="39" width="7.85546875" style="22" bestFit="1" customWidth="1"/>
    <col min="40" max="40" width="8.42578125" style="22" bestFit="1" customWidth="1"/>
    <col min="41" max="41" width="11.85546875" style="22" bestFit="1" customWidth="1"/>
    <col min="42" max="42" width="10.28515625" style="22" bestFit="1" customWidth="1"/>
    <col min="43" max="43" width="7.42578125" style="22" bestFit="1" customWidth="1"/>
    <col min="44" max="44" width="8.7109375" style="22" bestFit="1" customWidth="1"/>
    <col min="45" max="45" width="1.7109375" style="26" customWidth="1"/>
    <col min="46" max="46" width="7.7109375" style="22" bestFit="1" customWidth="1"/>
    <col min="47" max="49" width="7.42578125" style="22" bestFit="1" customWidth="1"/>
    <col min="50" max="50" width="7.85546875" style="22" bestFit="1" customWidth="1"/>
    <col min="51" max="51" width="8.42578125" style="22" bestFit="1" customWidth="1"/>
    <col min="52" max="52" width="11.85546875" style="22" bestFit="1" customWidth="1"/>
    <col min="53" max="53" width="10.28515625" style="22" bestFit="1" customWidth="1"/>
    <col min="54" max="54" width="7.42578125" style="22" bestFit="1" customWidth="1"/>
    <col min="55" max="55" width="8.7109375" style="22" bestFit="1" customWidth="1"/>
    <col min="56" max="56" width="1.7109375" style="26" customWidth="1"/>
    <col min="57" max="57" width="7.140625" bestFit="1" customWidth="1"/>
    <col min="58" max="58" width="8.7109375" bestFit="1" customWidth="1"/>
    <col min="59" max="59" width="1.7109375" style="26" customWidth="1"/>
    <col min="60" max="60" width="6.85546875" customWidth="1"/>
    <col min="61" max="61" width="8.7109375" bestFit="1" customWidth="1"/>
    <col min="78" max="78" width="7.28515625" style="5" bestFit="1" customWidth="1"/>
    <col min="79" max="79" width="6.7109375" style="5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5" bestFit="1" customWidth="1"/>
    <col min="91" max="91" width="6.140625" style="5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</cols>
  <sheetData>
    <row r="1" spans="1:124" s="2" customFormat="1" x14ac:dyDescent="0.25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H1" s="24"/>
      <c r="AI1" s="6">
        <f>AQ16</f>
        <v>0.40466436955293189</v>
      </c>
      <c r="AJ1" s="7">
        <v>0</v>
      </c>
      <c r="AK1" s="7">
        <f t="shared" ref="AK1:AQ1" si="0">AJ1-$AK12</f>
        <v>-5.0000000000000001E-3</v>
      </c>
      <c r="AL1" s="7">
        <f t="shared" si="0"/>
        <v>-0.01</v>
      </c>
      <c r="AM1" s="7">
        <f t="shared" si="0"/>
        <v>-1.4999999999999999E-2</v>
      </c>
      <c r="AN1" s="7">
        <f t="shared" si="0"/>
        <v>-0.02</v>
      </c>
      <c r="AO1" s="7">
        <f t="shared" si="0"/>
        <v>-2.5000000000000001E-2</v>
      </c>
      <c r="AP1" s="7">
        <f t="shared" si="0"/>
        <v>-3.0000000000000002E-2</v>
      </c>
      <c r="AQ1" s="7">
        <f t="shared" si="0"/>
        <v>-3.5000000000000003E-2</v>
      </c>
      <c r="AR1" s="25" t="s">
        <v>33</v>
      </c>
      <c r="AS1" s="24"/>
      <c r="AT1" s="6">
        <f>BB16</f>
        <v>2.7812024493458303</v>
      </c>
      <c r="AU1" s="7">
        <v>0</v>
      </c>
      <c r="AV1" s="12">
        <f>AU1+$AV12</f>
        <v>2.5000000000000001E-3</v>
      </c>
      <c r="AW1" s="12">
        <f t="shared" ref="AW1:BB1" si="1">AV1+$AV12</f>
        <v>5.0000000000000001E-3</v>
      </c>
      <c r="AX1" s="12">
        <f t="shared" si="1"/>
        <v>7.4999999999999997E-3</v>
      </c>
      <c r="AY1" s="12">
        <f t="shared" si="1"/>
        <v>0.01</v>
      </c>
      <c r="AZ1" s="12">
        <f t="shared" si="1"/>
        <v>1.2500000000000001E-2</v>
      </c>
      <c r="BA1" s="12">
        <f t="shared" si="1"/>
        <v>1.5000000000000001E-2</v>
      </c>
      <c r="BB1" s="12">
        <f t="shared" si="1"/>
        <v>1.7500000000000002E-2</v>
      </c>
      <c r="BC1" s="25" t="s">
        <v>33</v>
      </c>
      <c r="BD1" s="24"/>
      <c r="BG1" s="24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K1" s="3"/>
      <c r="CL1" s="3"/>
      <c r="CM1" s="3"/>
      <c r="CN1" s="3"/>
      <c r="CO1" s="3"/>
      <c r="CP1" s="3"/>
      <c r="CQ1" s="3"/>
      <c r="CR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</row>
    <row r="2" spans="1:124" x14ac:dyDescent="0.25">
      <c r="A2" s="1">
        <v>46024</v>
      </c>
      <c r="B2" s="21">
        <v>257.25</v>
      </c>
      <c r="C2" s="21">
        <v>329.31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257.25</v>
      </c>
      <c r="M2" s="21">
        <v>329.31</v>
      </c>
      <c r="N2" s="23">
        <v>1.2801166180757999</v>
      </c>
      <c r="O2" s="23">
        <v>1.3338063878300499</v>
      </c>
      <c r="X2" s="23">
        <v>1.2801166180757999</v>
      </c>
      <c r="Y2" s="23">
        <v>1.3338063878300499</v>
      </c>
      <c r="AI2" s="7">
        <v>0</v>
      </c>
      <c r="AJ2" s="8">
        <v>0.45860533429938433</v>
      </c>
      <c r="AK2" s="8">
        <v>0.24825900585471691</v>
      </c>
      <c r="AL2" s="8">
        <v>0.57600551616439677</v>
      </c>
      <c r="AM2" s="8">
        <v>0.62523352977678959</v>
      </c>
      <c r="AN2" s="8">
        <v>0.42621554579481036</v>
      </c>
      <c r="AO2" s="8">
        <v>0.67840349504040276</v>
      </c>
      <c r="AP2" s="8">
        <v>0.88393296346946149</v>
      </c>
      <c r="AQ2" s="8">
        <v>1.1512400874604929</v>
      </c>
      <c r="AR2"/>
      <c r="AT2" s="7">
        <v>0</v>
      </c>
      <c r="AU2" s="8">
        <v>1.426610786668576</v>
      </c>
      <c r="AV2" s="9">
        <v>1.2645744489119322</v>
      </c>
      <c r="AW2" s="9">
        <v>0.93102603864538791</v>
      </c>
      <c r="AX2" s="9">
        <v>1.3275260573507528</v>
      </c>
      <c r="AY2" s="9">
        <v>1.4515056480356212</v>
      </c>
      <c r="AZ2" s="9">
        <v>2.0266658756936797</v>
      </c>
      <c r="BA2" s="9">
        <v>2.1336408658149191</v>
      </c>
      <c r="BB2" s="9">
        <v>0.39366436096388291</v>
      </c>
      <c r="BC2"/>
    </row>
    <row r="3" spans="1:124" ht="15.75" thickBot="1" x14ac:dyDescent="0.3">
      <c r="A3" s="1">
        <v>46027</v>
      </c>
      <c r="B3" s="21">
        <v>266.02</v>
      </c>
      <c r="C3" s="21">
        <v>341.62</v>
      </c>
      <c r="D3" s="22">
        <v>3.3523119210991E-2</v>
      </c>
      <c r="E3" s="22">
        <v>3.6699451842579903E-2</v>
      </c>
      <c r="F3" s="21">
        <v>0.12</v>
      </c>
      <c r="G3" s="21">
        <v>0.12</v>
      </c>
      <c r="H3" s="21">
        <v>0.12</v>
      </c>
      <c r="I3" s="21">
        <v>0.12</v>
      </c>
      <c r="J3" s="21">
        <v>0</v>
      </c>
      <c r="K3" s="21">
        <v>0</v>
      </c>
      <c r="L3" s="21">
        <v>266.02</v>
      </c>
      <c r="M3" s="21">
        <v>341.62</v>
      </c>
      <c r="N3" s="23">
        <v>1.2841891587098699</v>
      </c>
      <c r="O3" s="23">
        <v>1.3338063878300499</v>
      </c>
      <c r="R3" s="21">
        <v>354.81917529055198</v>
      </c>
      <c r="U3" s="22">
        <v>3.79092861161619E-2</v>
      </c>
      <c r="X3" s="23">
        <v>1.2841891587098699</v>
      </c>
      <c r="Y3" s="23">
        <v>1.3338063878300499</v>
      </c>
      <c r="AB3" s="21">
        <v>354.81917529055198</v>
      </c>
      <c r="AE3" s="22">
        <v>3.79092861161619E-2</v>
      </c>
      <c r="AI3" s="7">
        <f t="shared" ref="AI3:AI9" si="2">AI2-AK$12</f>
        <v>-5.0000000000000001E-3</v>
      </c>
      <c r="AJ3" s="8">
        <v>0.45860533429938433</v>
      </c>
      <c r="AK3" s="8">
        <v>0.38683010697722298</v>
      </c>
      <c r="AL3" s="8">
        <v>0.23074348328902783</v>
      </c>
      <c r="AM3" s="8">
        <v>0.40466436955293189</v>
      </c>
      <c r="AN3" s="8">
        <v>0.17549055232033522</v>
      </c>
      <c r="AO3" s="9">
        <v>0.535391231389856</v>
      </c>
      <c r="AP3" s="8">
        <v>0.95783320263105898</v>
      </c>
      <c r="AQ3" s="8">
        <v>1.2750711555097241</v>
      </c>
      <c r="AR3"/>
      <c r="AT3" s="7">
        <f>AT2+AV$12</f>
        <v>2.5000000000000001E-3</v>
      </c>
      <c r="AU3" s="8">
        <v>1.426610786668576</v>
      </c>
      <c r="AV3" s="9">
        <v>1.7456704713855795</v>
      </c>
      <c r="AW3" s="9">
        <v>1.357646498718049</v>
      </c>
      <c r="AX3" s="9">
        <v>2.0319015946918197</v>
      </c>
      <c r="AY3" s="9">
        <v>2.1660480060931939</v>
      </c>
      <c r="AZ3" s="9">
        <v>2.7147017763252377</v>
      </c>
      <c r="BA3" s="9">
        <v>2.9239391922006792</v>
      </c>
      <c r="BB3" s="9">
        <v>1.5898489528970654</v>
      </c>
      <c r="BC3"/>
    </row>
    <row r="4" spans="1:124" ht="15.75" thickBot="1" x14ac:dyDescent="0.3">
      <c r="A4" s="1">
        <v>46028</v>
      </c>
      <c r="B4" s="21">
        <v>269.67</v>
      </c>
      <c r="C4" s="21">
        <v>347.7</v>
      </c>
      <c r="D4" s="22">
        <v>1.36274953282676E-2</v>
      </c>
      <c r="E4" s="22">
        <v>1.7641030803900899E-2</v>
      </c>
      <c r="F4" s="21">
        <v>0</v>
      </c>
      <c r="G4" s="21">
        <v>0.12</v>
      </c>
      <c r="H4" s="21">
        <v>0</v>
      </c>
      <c r="I4" s="21">
        <v>0.12</v>
      </c>
      <c r="J4" s="21">
        <v>0</v>
      </c>
      <c r="K4" s="21">
        <v>0</v>
      </c>
      <c r="L4" s="21">
        <v>269.67</v>
      </c>
      <c r="M4" s="21">
        <v>347.7</v>
      </c>
      <c r="N4" s="23">
        <v>1.28935365446657</v>
      </c>
      <c r="O4" s="23">
        <v>1.3338063878300499</v>
      </c>
      <c r="R4" s="21">
        <v>359.687568606132</v>
      </c>
      <c r="U4" s="22">
        <v>3.3895750640528598E-2</v>
      </c>
      <c r="X4" s="23">
        <v>1.28935365446657</v>
      </c>
      <c r="Y4" s="23">
        <v>1.3338063878300499</v>
      </c>
      <c r="AB4" s="21">
        <v>359.687568606132</v>
      </c>
      <c r="AE4" s="22">
        <v>3.3895750640528598E-2</v>
      </c>
      <c r="AI4" s="7">
        <f t="shared" si="2"/>
        <v>-0.01</v>
      </c>
      <c r="AJ4" s="8">
        <v>0.45860533429938433</v>
      </c>
      <c r="AK4" s="9">
        <v>0.38683010697722298</v>
      </c>
      <c r="AL4" s="9">
        <v>0.23353001293391129</v>
      </c>
      <c r="AM4" s="9">
        <v>0.24124420414293299</v>
      </c>
      <c r="AN4" s="8">
        <v>2.6265259299997654E-2</v>
      </c>
      <c r="AO4" s="9">
        <v>0.50354304325007671</v>
      </c>
      <c r="AP4" s="9">
        <v>0.95783320263105898</v>
      </c>
      <c r="AQ4" s="9">
        <v>1.2750711555097241</v>
      </c>
      <c r="AR4"/>
      <c r="AT4" s="7">
        <f t="shared" ref="AT4:AT9" si="3">AT3+AV$12</f>
        <v>5.0000000000000001E-3</v>
      </c>
      <c r="AU4" s="8">
        <v>1.426610786668576</v>
      </c>
      <c r="AV4" s="9">
        <v>1.7456704713855795</v>
      </c>
      <c r="AW4" s="9">
        <v>1.1994592505644575</v>
      </c>
      <c r="AX4" s="9">
        <v>1.8672693198370192</v>
      </c>
      <c r="AY4" s="9">
        <v>2.001720221654256</v>
      </c>
      <c r="AZ4" s="9">
        <v>2.5850661590209145</v>
      </c>
      <c r="BA4" s="17">
        <v>2.7812024493458303</v>
      </c>
      <c r="BB4" s="9">
        <v>1.3492960994347669</v>
      </c>
      <c r="BC4"/>
      <c r="BE4" s="3"/>
      <c r="BF4" s="3"/>
    </row>
    <row r="5" spans="1:124" ht="15.75" thickBot="1" x14ac:dyDescent="0.3">
      <c r="A5" s="1">
        <v>46029</v>
      </c>
      <c r="B5" s="21">
        <v>271.07</v>
      </c>
      <c r="C5" s="21">
        <v>350.91</v>
      </c>
      <c r="D5" s="22">
        <v>5.1781008549402997E-3</v>
      </c>
      <c r="E5" s="22">
        <v>9.1897413169097497E-3</v>
      </c>
      <c r="F5" s="21">
        <v>0</v>
      </c>
      <c r="G5" s="21">
        <v>0.12</v>
      </c>
      <c r="H5" s="21">
        <v>0</v>
      </c>
      <c r="I5" s="21">
        <v>0.12</v>
      </c>
      <c r="J5" s="21">
        <v>0</v>
      </c>
      <c r="K5" s="21">
        <v>0</v>
      </c>
      <c r="L5" s="21">
        <v>271.07</v>
      </c>
      <c r="M5" s="21">
        <v>350.91</v>
      </c>
      <c r="N5" s="23">
        <v>1.2945364665953401</v>
      </c>
      <c r="O5" s="23">
        <v>1.3338063878300499</v>
      </c>
      <c r="R5" s="21">
        <v>361.55489754909399</v>
      </c>
      <c r="U5" s="22">
        <v>2.9884110178559201E-2</v>
      </c>
      <c r="X5" s="23">
        <v>1.2945364665953401</v>
      </c>
      <c r="Y5" s="23">
        <v>1.3338063878300499</v>
      </c>
      <c r="AB5" s="21">
        <v>361.55489754909399</v>
      </c>
      <c r="AE5" s="22">
        <v>2.9884110178559201E-2</v>
      </c>
      <c r="AI5" s="7">
        <f t="shared" si="2"/>
        <v>-1.4999999999999999E-2</v>
      </c>
      <c r="AJ5" s="8">
        <v>0.45860533429938433</v>
      </c>
      <c r="AK5" s="9">
        <v>0.38683010697722298</v>
      </c>
      <c r="AL5" s="9">
        <v>0.23353001293391129</v>
      </c>
      <c r="AM5" s="9">
        <v>0.5301701451056654</v>
      </c>
      <c r="AN5" s="9">
        <v>0.25340749331347623</v>
      </c>
      <c r="AO5" s="17">
        <v>0.79980159060825906</v>
      </c>
      <c r="AP5" s="8">
        <v>0.95783320263105898</v>
      </c>
      <c r="AQ5" s="9">
        <v>1.2750711555097241</v>
      </c>
      <c r="AR5"/>
      <c r="AT5" s="7">
        <f t="shared" si="3"/>
        <v>7.4999999999999997E-3</v>
      </c>
      <c r="AU5" s="8">
        <v>1.426610786668576</v>
      </c>
      <c r="AV5" s="9">
        <v>1.7456704713855795</v>
      </c>
      <c r="AW5" s="9">
        <v>1.1994592505644575</v>
      </c>
      <c r="AX5" s="9">
        <v>1.9780164209428057</v>
      </c>
      <c r="AY5" s="9">
        <v>2.1285226079747215</v>
      </c>
      <c r="AZ5" s="9">
        <v>2.7174735540959181</v>
      </c>
      <c r="BA5" s="9">
        <v>3.0162610662105918</v>
      </c>
      <c r="BB5" s="9">
        <v>1.4050526018522511</v>
      </c>
      <c r="BC5"/>
    </row>
    <row r="6" spans="1:124" x14ac:dyDescent="0.25">
      <c r="A6" s="1">
        <v>46030</v>
      </c>
      <c r="B6" s="21">
        <v>271.25</v>
      </c>
      <c r="C6" s="21">
        <v>350.85</v>
      </c>
      <c r="D6" s="22">
        <v>6.6381474631126603E-4</v>
      </c>
      <c r="E6" s="22">
        <v>-1.7099863242759001E-4</v>
      </c>
      <c r="F6" s="21">
        <v>0</v>
      </c>
      <c r="G6" s="21">
        <v>0.12</v>
      </c>
      <c r="H6" s="21">
        <v>0</v>
      </c>
      <c r="I6" s="21">
        <v>0.12</v>
      </c>
      <c r="J6" s="21">
        <v>0</v>
      </c>
      <c r="K6" s="21">
        <v>0</v>
      </c>
      <c r="L6" s="21">
        <v>271.25</v>
      </c>
      <c r="M6" s="21">
        <v>350.85</v>
      </c>
      <c r="N6" s="23">
        <v>1.29345622119815</v>
      </c>
      <c r="O6" s="23">
        <v>1.3338063878300499</v>
      </c>
      <c r="R6" s="21">
        <v>361.79498269890303</v>
      </c>
      <c r="U6" s="22">
        <v>3.0718923557298099E-2</v>
      </c>
      <c r="X6" s="23">
        <v>1.29345622119815</v>
      </c>
      <c r="Y6" s="23">
        <v>1.3338063878300499</v>
      </c>
      <c r="AB6" s="21">
        <v>361.79498269890303</v>
      </c>
      <c r="AE6" s="22">
        <v>3.0718923557298099E-2</v>
      </c>
      <c r="AI6" s="7">
        <f t="shared" si="2"/>
        <v>-0.02</v>
      </c>
      <c r="AJ6" s="8">
        <v>0.45860533429938433</v>
      </c>
      <c r="AK6" s="9">
        <v>0.38683010697722298</v>
      </c>
      <c r="AL6" s="9">
        <v>0.23353001293391129</v>
      </c>
      <c r="AM6" s="9">
        <v>0.5301701451056654</v>
      </c>
      <c r="AN6" s="9">
        <v>0.336623838181416</v>
      </c>
      <c r="AO6" s="9">
        <v>0.66519360383765991</v>
      </c>
      <c r="AP6" s="9">
        <v>0.95783320263105898</v>
      </c>
      <c r="AQ6" s="9">
        <v>1.2750711555097241</v>
      </c>
      <c r="AR6"/>
      <c r="AT6" s="7">
        <f t="shared" si="3"/>
        <v>0.01</v>
      </c>
      <c r="AU6" s="8">
        <v>1.426610786668576</v>
      </c>
      <c r="AV6" s="9">
        <v>1.7456704713855795</v>
      </c>
      <c r="AW6" s="9">
        <v>1.1994592505644575</v>
      </c>
      <c r="AX6" s="9">
        <v>1.9780164209428057</v>
      </c>
      <c r="AY6" s="9">
        <v>3.3129195439813417</v>
      </c>
      <c r="AZ6" s="9">
        <v>3.2905879294776175</v>
      </c>
      <c r="BA6" s="9">
        <v>3.3008938186741972</v>
      </c>
      <c r="BB6" s="9">
        <v>1.5839001548970217</v>
      </c>
      <c r="BC6"/>
    </row>
    <row r="7" spans="1:124" x14ac:dyDescent="0.25">
      <c r="A7" s="1">
        <v>46031</v>
      </c>
      <c r="B7" s="21">
        <v>273.16000000000003</v>
      </c>
      <c r="C7" s="21">
        <v>353.56</v>
      </c>
      <c r="D7" s="22">
        <v>7.0167992382191898E-3</v>
      </c>
      <c r="E7" s="22">
        <v>7.6944204944494003E-3</v>
      </c>
      <c r="F7" s="21">
        <v>0</v>
      </c>
      <c r="G7" s="21">
        <v>0.12</v>
      </c>
      <c r="H7" s="21">
        <v>0</v>
      </c>
      <c r="I7" s="21">
        <v>0.12</v>
      </c>
      <c r="J7" s="21">
        <v>0</v>
      </c>
      <c r="K7" s="21">
        <v>0</v>
      </c>
      <c r="L7" s="21">
        <v>273.16000000000003</v>
      </c>
      <c r="M7" s="21">
        <v>353.56</v>
      </c>
      <c r="N7" s="23">
        <v>1.29433299165324</v>
      </c>
      <c r="O7" s="23">
        <v>1.3338063878300499</v>
      </c>
      <c r="R7" s="21">
        <v>364.34255289965898</v>
      </c>
      <c r="U7" s="22">
        <v>3.0041302301067999E-2</v>
      </c>
      <c r="X7" s="23">
        <v>1.29433299165324</v>
      </c>
      <c r="Y7" s="23">
        <v>1.3338063878300499</v>
      </c>
      <c r="AB7" s="21">
        <v>364.34255289965898</v>
      </c>
      <c r="AE7" s="22">
        <v>3.0041302301067999E-2</v>
      </c>
      <c r="AI7" s="7">
        <f t="shared" si="2"/>
        <v>-2.5000000000000001E-2</v>
      </c>
      <c r="AJ7" s="8">
        <v>0.45860533429938433</v>
      </c>
      <c r="AK7" s="9">
        <v>0.38683010697722298</v>
      </c>
      <c r="AL7" s="9">
        <v>0.23353001293391129</v>
      </c>
      <c r="AM7" s="9">
        <v>0.5301701451056654</v>
      </c>
      <c r="AN7" s="9">
        <v>0.336623838181416</v>
      </c>
      <c r="AO7" s="9">
        <v>1.2492483814315756</v>
      </c>
      <c r="AP7" s="9">
        <v>0.95783320263105898</v>
      </c>
      <c r="AQ7" s="9">
        <v>1.2750711555097241</v>
      </c>
      <c r="AR7"/>
      <c r="AT7" s="7">
        <f t="shared" si="3"/>
        <v>1.2500000000000001E-2</v>
      </c>
      <c r="AU7" s="8">
        <v>1.426610786668576</v>
      </c>
      <c r="AV7" s="9">
        <v>1.7456704713855795</v>
      </c>
      <c r="AW7" s="9">
        <v>1.1994592505644575</v>
      </c>
      <c r="AX7" s="9">
        <v>1.9780164209428057</v>
      </c>
      <c r="AY7" s="9">
        <v>3.3129195439813417</v>
      </c>
      <c r="AZ7" s="9">
        <v>3.2905879294776175</v>
      </c>
      <c r="BA7" s="9">
        <v>3.3008938186741972</v>
      </c>
      <c r="BB7" s="9">
        <v>1.5839001548970217</v>
      </c>
      <c r="BC7"/>
    </row>
    <row r="8" spans="1:124" x14ac:dyDescent="0.25">
      <c r="A8" s="1">
        <v>46034</v>
      </c>
      <c r="B8" s="21">
        <v>274.61</v>
      </c>
      <c r="C8" s="21">
        <v>356.74</v>
      </c>
      <c r="D8" s="22">
        <v>5.2942051838860103E-3</v>
      </c>
      <c r="E8" s="22">
        <v>8.9540229374102005E-3</v>
      </c>
      <c r="F8" s="21">
        <v>0</v>
      </c>
      <c r="G8" s="21">
        <v>0.12</v>
      </c>
      <c r="H8" s="21">
        <v>0</v>
      </c>
      <c r="I8" s="21">
        <v>0.12</v>
      </c>
      <c r="J8" s="21">
        <v>0</v>
      </c>
      <c r="K8" s="21">
        <v>0</v>
      </c>
      <c r="L8" s="21">
        <v>274.61</v>
      </c>
      <c r="M8" s="21">
        <v>356.74</v>
      </c>
      <c r="N8" s="23">
        <v>1.29907869341975</v>
      </c>
      <c r="O8" s="23">
        <v>1.3338063878300499</v>
      </c>
      <c r="R8" s="21">
        <v>366.27657216201197</v>
      </c>
      <c r="U8" s="22">
        <v>2.6381484547543799E-2</v>
      </c>
      <c r="X8" s="23">
        <v>1.29907869341975</v>
      </c>
      <c r="Y8" s="23">
        <v>1.3338063878300499</v>
      </c>
      <c r="AB8" s="21">
        <v>366.27657216201197</v>
      </c>
      <c r="AE8" s="22">
        <v>2.6381484547543799E-2</v>
      </c>
      <c r="AI8" s="7">
        <f t="shared" si="2"/>
        <v>-3.0000000000000002E-2</v>
      </c>
      <c r="AJ8" s="8">
        <v>0.45860533429938433</v>
      </c>
      <c r="AK8" s="9">
        <v>0.38683010697722298</v>
      </c>
      <c r="AL8" s="9">
        <v>0.23353001293391129</v>
      </c>
      <c r="AM8" s="9">
        <v>0.5301701451056654</v>
      </c>
      <c r="AN8" s="9">
        <v>0.336623838181416</v>
      </c>
      <c r="AO8" s="9">
        <v>1.2492483814315756</v>
      </c>
      <c r="AP8" s="9">
        <v>0.95783320263105898</v>
      </c>
      <c r="AQ8" s="9">
        <v>1.2750711555097241</v>
      </c>
      <c r="AR8"/>
      <c r="AT8" s="7">
        <f t="shared" si="3"/>
        <v>1.5000000000000001E-2</v>
      </c>
      <c r="AU8" s="8">
        <v>1.426610786668576</v>
      </c>
      <c r="AV8" s="9">
        <v>1.7456704713855795</v>
      </c>
      <c r="AW8" s="9">
        <v>1.1994592505644575</v>
      </c>
      <c r="AX8" s="9">
        <v>1.9780164209428057</v>
      </c>
      <c r="AY8" s="9">
        <v>3.3129195439813417</v>
      </c>
      <c r="AZ8" s="9">
        <v>3.2905879294776175</v>
      </c>
      <c r="BA8" s="9">
        <v>3.096518970584186</v>
      </c>
      <c r="BB8" s="9">
        <v>2.0663663631461304</v>
      </c>
      <c r="BC8"/>
    </row>
    <row r="9" spans="1:124" x14ac:dyDescent="0.25">
      <c r="A9" s="1">
        <v>46035</v>
      </c>
      <c r="B9" s="21">
        <v>271.06</v>
      </c>
      <c r="C9" s="21">
        <v>352.3</v>
      </c>
      <c r="D9" s="22">
        <v>-1.3011710688904599E-2</v>
      </c>
      <c r="E9" s="22">
        <v>-1.25241397829653E-2</v>
      </c>
      <c r="F9" s="21">
        <v>0</v>
      </c>
      <c r="G9" s="21">
        <v>0.12</v>
      </c>
      <c r="H9" s="21">
        <v>0</v>
      </c>
      <c r="I9" s="21">
        <v>0.12</v>
      </c>
      <c r="J9" s="21">
        <v>0</v>
      </c>
      <c r="K9" s="21">
        <v>0</v>
      </c>
      <c r="L9" s="21">
        <v>271.06</v>
      </c>
      <c r="M9" s="21">
        <v>352.3</v>
      </c>
      <c r="N9" s="23">
        <v>1.2997122408322801</v>
      </c>
      <c r="O9" s="23">
        <v>1.3338063878300499</v>
      </c>
      <c r="R9" s="21">
        <v>361.54155948521498</v>
      </c>
      <c r="U9" s="22">
        <v>2.58939136416045E-2</v>
      </c>
      <c r="X9" s="23">
        <v>1.2997122408322801</v>
      </c>
      <c r="Y9" s="23">
        <v>1.3338063878300499</v>
      </c>
      <c r="AB9" s="21">
        <v>361.54155948521498</v>
      </c>
      <c r="AE9" s="22">
        <v>2.58939136416045E-2</v>
      </c>
      <c r="AI9" s="7">
        <f t="shared" si="2"/>
        <v>-3.5000000000000003E-2</v>
      </c>
      <c r="AJ9" s="8">
        <v>0.45860533429938433</v>
      </c>
      <c r="AK9" s="9">
        <v>0.38683010697722298</v>
      </c>
      <c r="AL9" s="9">
        <v>0.23353001293391129</v>
      </c>
      <c r="AM9" s="9">
        <v>0.5301701451056654</v>
      </c>
      <c r="AN9" s="9">
        <v>0.336623838181416</v>
      </c>
      <c r="AO9" s="9">
        <v>1.2492483814315756</v>
      </c>
      <c r="AP9" s="9">
        <v>0.95783320263105898</v>
      </c>
      <c r="AQ9" s="9">
        <v>1.2750711555097241</v>
      </c>
      <c r="AR9"/>
      <c r="AT9" s="7">
        <f t="shared" si="3"/>
        <v>1.7500000000000002E-2</v>
      </c>
      <c r="AU9" s="8">
        <v>1.426610786668576</v>
      </c>
      <c r="AV9" s="8">
        <v>1.7456704713855795</v>
      </c>
      <c r="AW9" s="8">
        <v>1.1994592505644575</v>
      </c>
      <c r="AX9" s="8">
        <v>1.9780164209428057</v>
      </c>
      <c r="AY9" s="8">
        <v>3.3129195439813417</v>
      </c>
      <c r="AZ9" s="8">
        <v>3.2905879294776175</v>
      </c>
      <c r="BA9" s="8">
        <v>3.096518970584186</v>
      </c>
      <c r="BB9" s="8">
        <v>1.7483113275953281</v>
      </c>
      <c r="BC9"/>
    </row>
    <row r="10" spans="1:124" x14ac:dyDescent="0.25">
      <c r="A10" s="1">
        <v>46036</v>
      </c>
      <c r="B10" s="21">
        <v>271.41000000000003</v>
      </c>
      <c r="C10" s="21">
        <v>352.29</v>
      </c>
      <c r="D10" s="22">
        <v>1.29039411789022E-3</v>
      </c>
      <c r="E10" s="22">
        <v>-2.8385302092499999E-5</v>
      </c>
      <c r="F10" s="21">
        <v>0</v>
      </c>
      <c r="G10" s="21">
        <v>0.12</v>
      </c>
      <c r="H10" s="21">
        <v>0</v>
      </c>
      <c r="I10" s="21">
        <v>0.12</v>
      </c>
      <c r="J10" s="21">
        <v>0</v>
      </c>
      <c r="K10" s="21">
        <v>0</v>
      </c>
      <c r="L10" s="21">
        <v>271.41000000000003</v>
      </c>
      <c r="M10" s="21">
        <v>352.29</v>
      </c>
      <c r="N10" s="23">
        <v>1.29799933679672</v>
      </c>
      <c r="O10" s="23">
        <v>1.3338063878300499</v>
      </c>
      <c r="R10" s="21">
        <v>362.00839172095601</v>
      </c>
      <c r="U10" s="22">
        <v>2.7212693061586999E-2</v>
      </c>
      <c r="X10" s="23">
        <v>1.29799933679672</v>
      </c>
      <c r="Y10" s="23">
        <v>1.3338063878300499</v>
      </c>
      <c r="AB10" s="21">
        <v>362.00839172095601</v>
      </c>
      <c r="AE10" s="22">
        <v>2.7212693061586999E-2</v>
      </c>
      <c r="AI10" s="27" t="s">
        <v>36</v>
      </c>
      <c r="AJ10"/>
      <c r="AK10"/>
      <c r="AL10"/>
      <c r="AM10"/>
      <c r="AN10"/>
      <c r="AO10"/>
      <c r="AP10"/>
      <c r="AQ10"/>
      <c r="AR10"/>
      <c r="AT10" s="27" t="s">
        <v>36</v>
      </c>
      <c r="AU10"/>
      <c r="AV10"/>
      <c r="AW10"/>
      <c r="AX10"/>
      <c r="AY10"/>
      <c r="AZ10"/>
      <c r="BA10"/>
      <c r="BB10"/>
      <c r="BC10"/>
      <c r="BZ10" s="11"/>
      <c r="CL10" s="11"/>
    </row>
    <row r="11" spans="1:124" x14ac:dyDescent="0.25">
      <c r="A11" s="1">
        <v>46037</v>
      </c>
      <c r="B11" s="21">
        <v>276.13</v>
      </c>
      <c r="C11" s="21">
        <v>358.04</v>
      </c>
      <c r="D11" s="22">
        <v>1.7241176611637401E-2</v>
      </c>
      <c r="E11" s="22">
        <v>1.6190011957638702E-2</v>
      </c>
      <c r="F11" s="21">
        <v>0</v>
      </c>
      <c r="G11" s="21">
        <v>0.12</v>
      </c>
      <c r="H11" s="21">
        <v>0</v>
      </c>
      <c r="I11" s="21">
        <v>0.12</v>
      </c>
      <c r="J11" s="21">
        <v>0</v>
      </c>
      <c r="K11" s="21">
        <v>0</v>
      </c>
      <c r="L11" s="21">
        <v>276.13</v>
      </c>
      <c r="M11" s="21">
        <v>358.04</v>
      </c>
      <c r="N11" s="23">
        <v>1.29663564263209</v>
      </c>
      <c r="O11" s="23">
        <v>1.3338063878300499</v>
      </c>
      <c r="P11" s="23">
        <v>1.29294110243798</v>
      </c>
      <c r="R11" s="21">
        <v>368.303957871514</v>
      </c>
      <c r="U11" s="22">
        <v>2.8263857715585601E-2</v>
      </c>
      <c r="X11" s="23">
        <v>1.29663564263209</v>
      </c>
      <c r="Y11" s="23">
        <v>1.3338063878300499</v>
      </c>
      <c r="Z11" s="23">
        <v>1.29294110243798</v>
      </c>
      <c r="AB11" s="21">
        <v>368.303957871514</v>
      </c>
      <c r="AE11" s="22">
        <v>2.8263857715585601E-2</v>
      </c>
      <c r="AL11" s="28" t="s">
        <v>34</v>
      </c>
      <c r="AM11" s="28" t="s">
        <v>35</v>
      </c>
      <c r="AW11" s="28" t="s">
        <v>34</v>
      </c>
      <c r="AX11" s="28" t="s">
        <v>35</v>
      </c>
    </row>
    <row r="12" spans="1:124" x14ac:dyDescent="0.25">
      <c r="A12" s="1">
        <v>46038</v>
      </c>
      <c r="B12" s="21">
        <v>272.38</v>
      </c>
      <c r="C12" s="21">
        <v>352.55</v>
      </c>
      <c r="D12" s="22">
        <v>-1.3673619176586001E-2</v>
      </c>
      <c r="E12" s="22">
        <v>-1.5452255837688601E-2</v>
      </c>
      <c r="F12" s="21">
        <v>0</v>
      </c>
      <c r="G12" s="21">
        <v>0.12</v>
      </c>
      <c r="H12" s="21">
        <v>0</v>
      </c>
      <c r="I12" s="21">
        <v>0.12</v>
      </c>
      <c r="J12" s="21">
        <v>0</v>
      </c>
      <c r="K12" s="21">
        <v>0</v>
      </c>
      <c r="L12" s="21">
        <v>272.38</v>
      </c>
      <c r="M12" s="21">
        <v>352.55</v>
      </c>
      <c r="N12" s="23">
        <v>1.29433144871135</v>
      </c>
      <c r="O12" s="23">
        <v>1.3338063878300499</v>
      </c>
      <c r="P12" s="23">
        <v>1.2943625855015399</v>
      </c>
      <c r="R12" s="21">
        <v>363.30218391715101</v>
      </c>
      <c r="S12" s="21">
        <v>352.17129748205798</v>
      </c>
      <c r="U12" s="22">
        <v>3.00424943766881E-2</v>
      </c>
      <c r="V12" s="22">
        <v>-1.0747583640456199E-3</v>
      </c>
      <c r="X12" s="23">
        <v>1.29433144871135</v>
      </c>
      <c r="Y12" s="23">
        <v>1.3338063878300499</v>
      </c>
      <c r="Z12" s="23">
        <v>1.2943625855015399</v>
      </c>
      <c r="AB12" s="21">
        <v>363.30218391715101</v>
      </c>
      <c r="AC12" s="21">
        <v>352.17129748205798</v>
      </c>
      <c r="AE12" s="22">
        <v>3.00424943766881E-2</v>
      </c>
      <c r="AF12" s="22">
        <v>-1.0747583640456199E-3</v>
      </c>
      <c r="AK12" s="29">
        <v>5.0000000000000001E-3</v>
      </c>
      <c r="AL12" s="30" t="s">
        <v>46</v>
      </c>
      <c r="AM12" s="31" t="s">
        <v>47</v>
      </c>
      <c r="AV12" s="29">
        <v>2.5000000000000001E-3</v>
      </c>
      <c r="AW12" s="30" t="s">
        <v>48</v>
      </c>
      <c r="AX12" s="31" t="s">
        <v>49</v>
      </c>
    </row>
    <row r="13" spans="1:124" x14ac:dyDescent="0.25">
      <c r="A13" s="1">
        <v>46042</v>
      </c>
      <c r="B13" s="21">
        <v>267.08</v>
      </c>
      <c r="C13" s="21">
        <v>344.52</v>
      </c>
      <c r="D13" s="22">
        <v>-1.9649911151143201E-2</v>
      </c>
      <c r="E13" s="22">
        <v>-2.3040312244076801E-2</v>
      </c>
      <c r="F13" s="21">
        <v>0</v>
      </c>
      <c r="G13" s="21">
        <v>0.12</v>
      </c>
      <c r="H13" s="21">
        <v>0</v>
      </c>
      <c r="I13" s="21">
        <v>0.12</v>
      </c>
      <c r="J13" s="21">
        <v>0</v>
      </c>
      <c r="K13" s="21">
        <v>0</v>
      </c>
      <c r="L13" s="21">
        <v>267.08</v>
      </c>
      <c r="M13" s="21">
        <v>344.52</v>
      </c>
      <c r="N13" s="23">
        <v>1.28995057660626</v>
      </c>
      <c r="O13" s="23">
        <v>1.3338063878300499</v>
      </c>
      <c r="P13" s="23">
        <v>1.2949387272911801</v>
      </c>
      <c r="R13" s="21">
        <v>356.23301006165201</v>
      </c>
      <c r="S13" s="21">
        <v>345.69835933575098</v>
      </c>
      <c r="U13" s="22">
        <v>3.3432895469621603E-2</v>
      </c>
      <c r="V13" s="22">
        <v>3.4144570761993199E-3</v>
      </c>
      <c r="X13" s="23">
        <v>1.28995057660626</v>
      </c>
      <c r="Y13" s="23">
        <v>1.3338063878300499</v>
      </c>
      <c r="Z13" s="23">
        <v>1.2949387272911801</v>
      </c>
      <c r="AB13" s="21">
        <v>356.23301006165201</v>
      </c>
      <c r="AC13" s="21">
        <v>345.69835933575098</v>
      </c>
      <c r="AE13" s="22">
        <v>3.3432895469621603E-2</v>
      </c>
      <c r="AF13" s="22">
        <v>3.4144570761993199E-3</v>
      </c>
    </row>
    <row r="14" spans="1:124" x14ac:dyDescent="0.25">
      <c r="A14" s="1">
        <v>46043</v>
      </c>
      <c r="B14" s="21">
        <v>269.2</v>
      </c>
      <c r="C14" s="21">
        <v>347.75</v>
      </c>
      <c r="D14" s="22">
        <v>7.9063587809046192E-3</v>
      </c>
      <c r="E14" s="22">
        <v>9.3316868825795204E-3</v>
      </c>
      <c r="F14" s="21">
        <v>0</v>
      </c>
      <c r="G14" s="21">
        <v>0.12</v>
      </c>
      <c r="H14" s="21">
        <v>0</v>
      </c>
      <c r="I14" s="21">
        <v>0.12</v>
      </c>
      <c r="J14" s="21">
        <v>0</v>
      </c>
      <c r="K14" s="21">
        <v>0</v>
      </c>
      <c r="L14" s="21">
        <v>269.2</v>
      </c>
      <c r="M14" s="21">
        <v>347.75</v>
      </c>
      <c r="N14" s="23">
        <v>1.2917904903417501</v>
      </c>
      <c r="O14" s="23">
        <v>1.3338063878300499</v>
      </c>
      <c r="P14" s="23">
        <v>1.29518241087869</v>
      </c>
      <c r="R14" s="21">
        <v>359.06067960385201</v>
      </c>
      <c r="S14" s="21">
        <v>348.59750538678497</v>
      </c>
      <c r="U14" s="22">
        <v>3.2007567367947E-2</v>
      </c>
      <c r="V14" s="22">
        <v>2.4341461660740298E-3</v>
      </c>
      <c r="X14" s="23">
        <v>1.2917904903417501</v>
      </c>
      <c r="Y14" s="23">
        <v>1.3338063878300499</v>
      </c>
      <c r="Z14" s="23">
        <v>1.29518241087869</v>
      </c>
      <c r="AB14" s="21">
        <v>359.06067960385201</v>
      </c>
      <c r="AC14" s="21">
        <v>348.59750538678497</v>
      </c>
      <c r="AE14" s="22">
        <v>3.2007567367947E-2</v>
      </c>
      <c r="AF14" s="22">
        <v>2.4341461660740298E-3</v>
      </c>
      <c r="AQ14" s="32">
        <f>AVERAGE(AQ22:AQ176)</f>
        <v>1.0143599797894382E-4</v>
      </c>
      <c r="AR14" s="33" t="s">
        <v>50</v>
      </c>
      <c r="BB14" s="32">
        <f>AVERAGE(BB22:BB176)</f>
        <v>5.3390647862643981E-4</v>
      </c>
      <c r="BC14" s="33" t="s">
        <v>50</v>
      </c>
      <c r="BD14" s="34"/>
      <c r="BE14" s="32">
        <f>AVERAGE(BE22:BE176)</f>
        <v>6.3534247660538385E-4</v>
      </c>
      <c r="BF14" s="33" t="s">
        <v>50</v>
      </c>
    </row>
    <row r="15" spans="1:124" x14ac:dyDescent="0.25">
      <c r="A15" s="1">
        <v>46044</v>
      </c>
      <c r="B15" s="21">
        <v>262.10000000000002</v>
      </c>
      <c r="C15" s="21">
        <v>339.44</v>
      </c>
      <c r="D15" s="22">
        <v>-2.6728487441211899E-2</v>
      </c>
      <c r="E15" s="22">
        <v>-2.4186629909482799E-2</v>
      </c>
      <c r="F15" s="21">
        <v>0</v>
      </c>
      <c r="G15" s="21">
        <v>0.12</v>
      </c>
      <c r="H15" s="21">
        <v>0</v>
      </c>
      <c r="I15" s="21">
        <v>0.12</v>
      </c>
      <c r="J15" s="21">
        <v>0</v>
      </c>
      <c r="K15" s="21">
        <v>0</v>
      </c>
      <c r="L15" s="21">
        <v>262.10000000000002</v>
      </c>
      <c r="M15" s="21">
        <v>339.44</v>
      </c>
      <c r="N15" s="23">
        <v>1.2950782144219699</v>
      </c>
      <c r="O15" s="23">
        <v>1.3338063878300499</v>
      </c>
      <c r="P15" s="23">
        <v>1.2952365856613599</v>
      </c>
      <c r="R15" s="21">
        <v>349.59065425025801</v>
      </c>
      <c r="S15" s="21">
        <v>339.467309891306</v>
      </c>
      <c r="U15" s="22">
        <v>2.94657098362178E-2</v>
      </c>
      <c r="V15" s="22">
        <v>8.0452488649974699E-5</v>
      </c>
      <c r="X15" s="23">
        <v>1.2950782144219699</v>
      </c>
      <c r="Y15" s="23">
        <v>1.3338063878300499</v>
      </c>
      <c r="Z15" s="23">
        <v>1.2952365856613599</v>
      </c>
      <c r="AB15" s="21">
        <v>349.59065425025801</v>
      </c>
      <c r="AC15" s="21">
        <v>339.467309891306</v>
      </c>
      <c r="AE15" s="22">
        <v>2.94657098362178E-2</v>
      </c>
      <c r="AF15" s="22">
        <v>8.0452488649974699E-5</v>
      </c>
      <c r="AQ15" s="32">
        <f>STDEV(AQ22:AQ176)</f>
        <v>3.9792150458677518E-3</v>
      </c>
      <c r="AR15" s="33" t="s">
        <v>51</v>
      </c>
      <c r="BB15" s="32">
        <f>STDEV(BB22:BB176)</f>
        <v>3.0474238208959671E-3</v>
      </c>
      <c r="BC15" s="33" t="s">
        <v>51</v>
      </c>
      <c r="BD15" s="34"/>
      <c r="BE15" s="32">
        <f>STDEV(BE22:BE176)</f>
        <v>5.0011924888388737E-3</v>
      </c>
      <c r="BF15" s="33" t="s">
        <v>51</v>
      </c>
    </row>
    <row r="16" spans="1:124" x14ac:dyDescent="0.25">
      <c r="A16" s="1">
        <v>46045</v>
      </c>
      <c r="B16" s="21">
        <v>257.98</v>
      </c>
      <c r="C16" s="21">
        <v>334.41</v>
      </c>
      <c r="D16" s="22">
        <v>-1.58440477923706E-2</v>
      </c>
      <c r="E16" s="22">
        <v>-1.49294158244275E-2</v>
      </c>
      <c r="F16" s="21">
        <v>0</v>
      </c>
      <c r="G16" s="21">
        <v>0.12</v>
      </c>
      <c r="H16" s="21">
        <v>0</v>
      </c>
      <c r="I16" s="21">
        <v>0.12</v>
      </c>
      <c r="J16" s="21">
        <v>0</v>
      </c>
      <c r="K16" s="21">
        <v>0</v>
      </c>
      <c r="L16" s="21">
        <v>257.98</v>
      </c>
      <c r="M16" s="21">
        <v>334.41</v>
      </c>
      <c r="N16" s="23">
        <v>1.29626327622296</v>
      </c>
      <c r="O16" s="23">
        <v>1.3338063878300499</v>
      </c>
      <c r="P16" s="23">
        <v>1.29551729116384</v>
      </c>
      <c r="R16" s="21">
        <v>344.095371932398</v>
      </c>
      <c r="S16" s="21">
        <v>334.14513436891798</v>
      </c>
      <c r="U16" s="22">
        <v>2.85510778682748E-2</v>
      </c>
      <c r="V16" s="22">
        <v>-7.9235243683922795E-4</v>
      </c>
      <c r="X16" s="23">
        <v>1.29626327622296</v>
      </c>
      <c r="Y16" s="23">
        <v>1.3338063878300499</v>
      </c>
      <c r="Z16" s="23">
        <v>1.29551729116384</v>
      </c>
      <c r="AB16" s="21">
        <v>344.095371932398</v>
      </c>
      <c r="AC16" s="21">
        <v>334.14513436891798</v>
      </c>
      <c r="AE16" s="22">
        <v>2.85510778682748E-2</v>
      </c>
      <c r="AF16" s="22">
        <v>-7.9235243683922795E-4</v>
      </c>
      <c r="AQ16" s="35">
        <f>SQRT(252)*AQ14/AQ15</f>
        <v>0.40466436955293189</v>
      </c>
      <c r="AR16" s="33" t="s">
        <v>52</v>
      </c>
      <c r="BB16" s="35">
        <f>SQRT(252)*BB14/BB15</f>
        <v>2.7812024493458303</v>
      </c>
      <c r="BC16" s="33" t="s">
        <v>52</v>
      </c>
      <c r="BD16" s="34"/>
      <c r="BE16" s="35">
        <f>SQRT(252)*BE14/BE15</f>
        <v>2.0166688575236016</v>
      </c>
      <c r="BF16" s="33" t="s">
        <v>52</v>
      </c>
    </row>
    <row r="17" spans="1:124" x14ac:dyDescent="0.25">
      <c r="A17" s="1">
        <v>46048</v>
      </c>
      <c r="B17" s="21">
        <v>258.95</v>
      </c>
      <c r="C17" s="21">
        <v>336.15</v>
      </c>
      <c r="D17" s="22">
        <v>3.7529303329103402E-3</v>
      </c>
      <c r="E17" s="22">
        <v>5.18970384540375E-3</v>
      </c>
      <c r="F17" s="21">
        <v>0</v>
      </c>
      <c r="G17" s="21">
        <v>0.12</v>
      </c>
      <c r="H17" s="21">
        <v>0</v>
      </c>
      <c r="I17" s="21">
        <v>0.12</v>
      </c>
      <c r="J17" s="21">
        <v>0</v>
      </c>
      <c r="K17" s="21">
        <v>0</v>
      </c>
      <c r="L17" s="21">
        <v>258.95</v>
      </c>
      <c r="M17" s="21">
        <v>336.15</v>
      </c>
      <c r="N17" s="23">
        <v>1.2981270515543499</v>
      </c>
      <c r="O17" s="23">
        <v>1.3338063878300499</v>
      </c>
      <c r="P17" s="23">
        <v>1.2958966971539501</v>
      </c>
      <c r="R17" s="21">
        <v>345.38916412859299</v>
      </c>
      <c r="S17" s="21">
        <v>335.474202546877</v>
      </c>
      <c r="U17" s="22">
        <v>2.71143043557815E-2</v>
      </c>
      <c r="V17" s="22">
        <v>-2.0124280174370702E-3</v>
      </c>
      <c r="X17" s="23">
        <v>1.2981270515543499</v>
      </c>
      <c r="Y17" s="23">
        <v>1.3338063878300499</v>
      </c>
      <c r="Z17" s="23">
        <v>1.2958966971539501</v>
      </c>
      <c r="AB17" s="21">
        <v>345.38916412859299</v>
      </c>
      <c r="AC17" s="21">
        <v>335.474202546877</v>
      </c>
      <c r="AE17" s="22">
        <v>2.71143043557815E-2</v>
      </c>
      <c r="AF17" s="22">
        <v>-2.0124280174370702E-3</v>
      </c>
    </row>
    <row r="18" spans="1:124" x14ac:dyDescent="0.25">
      <c r="A18" s="1">
        <v>46049</v>
      </c>
      <c r="B18" s="21">
        <v>261.35000000000002</v>
      </c>
      <c r="C18" s="21">
        <v>338.56</v>
      </c>
      <c r="D18" s="22">
        <v>9.2255122890304297E-3</v>
      </c>
      <c r="E18" s="22">
        <v>7.1438403148342804E-3</v>
      </c>
      <c r="F18" s="21">
        <v>0</v>
      </c>
      <c r="G18" s="21">
        <v>0.12</v>
      </c>
      <c r="H18" s="21">
        <v>0</v>
      </c>
      <c r="I18" s="21">
        <v>0.12</v>
      </c>
      <c r="J18" s="21">
        <v>0</v>
      </c>
      <c r="K18" s="21">
        <v>0</v>
      </c>
      <c r="L18" s="21">
        <v>261.35000000000002</v>
      </c>
      <c r="M18" s="21">
        <v>338.56</v>
      </c>
      <c r="N18" s="23">
        <v>1.2954275875262999</v>
      </c>
      <c r="O18" s="23">
        <v>1.3338063878300499</v>
      </c>
      <c r="P18" s="23">
        <v>1.2955315865646</v>
      </c>
      <c r="R18" s="21">
        <v>348.59029945938602</v>
      </c>
      <c r="S18" s="21">
        <v>338.682601801185</v>
      </c>
      <c r="U18" s="22">
        <v>2.9195976329977499E-2</v>
      </c>
      <c r="V18" s="22">
        <v>3.62061696056911E-4</v>
      </c>
      <c r="X18" s="23">
        <v>1.2954275875262999</v>
      </c>
      <c r="Y18" s="23">
        <v>1.3338063878300499</v>
      </c>
      <c r="Z18" s="23">
        <v>1.2955315865646</v>
      </c>
      <c r="AB18" s="21">
        <v>348.59029945938602</v>
      </c>
      <c r="AC18" s="21">
        <v>338.682601801185</v>
      </c>
      <c r="AE18" s="22">
        <v>2.9195976329977499E-2</v>
      </c>
      <c r="AF18" s="22">
        <v>3.62061696056911E-4</v>
      </c>
      <c r="BE18" s="4">
        <f>SUM(BE22:BE176)</f>
        <v>9.8478083873834499E-2</v>
      </c>
      <c r="BF18" s="32">
        <f>BF176</f>
        <v>9.8478083873834499E-2</v>
      </c>
    </row>
    <row r="19" spans="1:124" x14ac:dyDescent="0.25">
      <c r="A19" s="1">
        <v>46050</v>
      </c>
      <c r="B19" s="21">
        <v>255.1</v>
      </c>
      <c r="C19" s="21">
        <v>331.11</v>
      </c>
      <c r="D19" s="22">
        <v>-2.4204880011165199E-2</v>
      </c>
      <c r="E19" s="22">
        <v>-2.22506827769774E-2</v>
      </c>
      <c r="F19" s="21">
        <v>0</v>
      </c>
      <c r="G19" s="21">
        <v>0.12</v>
      </c>
      <c r="H19" s="21">
        <v>0</v>
      </c>
      <c r="I19" s="21">
        <v>0.12</v>
      </c>
      <c r="J19" s="21">
        <v>0</v>
      </c>
      <c r="K19" s="21">
        <v>0</v>
      </c>
      <c r="L19" s="21">
        <v>255.1</v>
      </c>
      <c r="M19" s="21">
        <v>331.11</v>
      </c>
      <c r="N19" s="23">
        <v>1.2979615836926599</v>
      </c>
      <c r="O19" s="23">
        <v>1.3338063878300499</v>
      </c>
      <c r="P19" s="23">
        <v>1.2953565208506399</v>
      </c>
      <c r="R19" s="21">
        <v>340.25400953544801</v>
      </c>
      <c r="S19" s="21">
        <v>330.49010773263097</v>
      </c>
      <c r="U19" s="22">
        <v>2.72417790957898E-2</v>
      </c>
      <c r="V19" s="22">
        <v>-1.87391882656297E-3</v>
      </c>
      <c r="X19" s="23">
        <v>1.2979615836926599</v>
      </c>
      <c r="Y19" s="23">
        <v>1.3338063878300499</v>
      </c>
      <c r="Z19" s="23">
        <v>1.2953565208506399</v>
      </c>
      <c r="AB19" s="21">
        <v>340.25400953544801</v>
      </c>
      <c r="AC19" s="21">
        <v>330.49010773263097</v>
      </c>
      <c r="AE19" s="22">
        <v>2.72417790957898E-2</v>
      </c>
      <c r="AF19" s="22">
        <v>-1.87391882656297E-3</v>
      </c>
      <c r="AI19" s="5"/>
      <c r="AJ19"/>
      <c r="AK19"/>
      <c r="AL19"/>
      <c r="AM19"/>
      <c r="AN19"/>
      <c r="AO19"/>
      <c r="AP19"/>
      <c r="AQ19" s="4">
        <f>SUM(AQ22:AQ176)</f>
        <v>1.5722579686736293E-2</v>
      </c>
      <c r="AR19" s="4">
        <f>AR176</f>
        <v>1.5722579686736293E-2</v>
      </c>
      <c r="AU19"/>
      <c r="AV19"/>
      <c r="AW19"/>
      <c r="AX19"/>
      <c r="AY19"/>
      <c r="AZ19"/>
      <c r="BA19"/>
      <c r="BB19" s="4">
        <f>SUM(BB22:BB176)</f>
        <v>8.2755504187098178E-2</v>
      </c>
      <c r="BC19" s="4">
        <f>BC176</f>
        <v>8.2755504187098178E-2</v>
      </c>
      <c r="BE19" s="2" t="s">
        <v>37</v>
      </c>
      <c r="BF19" s="2" t="s">
        <v>37</v>
      </c>
      <c r="BH19" s="2"/>
    </row>
    <row r="20" spans="1:124" x14ac:dyDescent="0.25">
      <c r="A20" s="1">
        <v>46051</v>
      </c>
      <c r="B20" s="21">
        <v>254.7</v>
      </c>
      <c r="C20" s="21">
        <v>331.96</v>
      </c>
      <c r="D20" s="22">
        <v>-1.5692431623543601E-3</v>
      </c>
      <c r="E20" s="22">
        <v>2.5638332773447602E-3</v>
      </c>
      <c r="F20" s="21">
        <v>0</v>
      </c>
      <c r="G20" s="21">
        <v>0.12</v>
      </c>
      <c r="H20" s="21">
        <v>0</v>
      </c>
      <c r="I20" s="21">
        <v>0.12</v>
      </c>
      <c r="J20" s="21">
        <v>0</v>
      </c>
      <c r="K20" s="21">
        <v>0</v>
      </c>
      <c r="L20" s="21">
        <v>254.7</v>
      </c>
      <c r="M20" s="21">
        <v>331.96</v>
      </c>
      <c r="N20" s="23">
        <v>1.303337259521</v>
      </c>
      <c r="O20" s="23">
        <v>1.3338063878300499</v>
      </c>
      <c r="P20" s="23">
        <v>1.2958903131230699</v>
      </c>
      <c r="R20" s="21">
        <v>339.72048698031602</v>
      </c>
      <c r="S20" s="21">
        <v>329.92730586065898</v>
      </c>
      <c r="U20" s="22">
        <v>2.31087026560906E-2</v>
      </c>
      <c r="V20" s="22">
        <v>-6.1421348068135496E-3</v>
      </c>
      <c r="X20" s="23">
        <v>1.303337259521</v>
      </c>
      <c r="Y20" s="23">
        <v>1.3338063878300499</v>
      </c>
      <c r="Z20" s="23">
        <v>1.2958903131230699</v>
      </c>
      <c r="AB20" s="21">
        <v>339.72048698031602</v>
      </c>
      <c r="AC20" s="21">
        <v>329.92730586065898</v>
      </c>
      <c r="AE20" s="22">
        <v>2.31087026560906E-2</v>
      </c>
      <c r="AF20" s="22">
        <v>-6.1421348068135496E-3</v>
      </c>
      <c r="AI20" s="13" t="s">
        <v>38</v>
      </c>
      <c r="AJ20" s="2" t="s">
        <v>39</v>
      </c>
      <c r="AK20" s="2" t="s">
        <v>40</v>
      </c>
      <c r="AL20" s="2" t="s">
        <v>41</v>
      </c>
      <c r="AM20" s="2" t="s">
        <v>42</v>
      </c>
      <c r="AN20" s="2" t="s">
        <v>43</v>
      </c>
      <c r="AO20" s="2" t="str">
        <f>D1</f>
        <v>HEI A log rtn</v>
      </c>
      <c r="AP20" s="2" t="str">
        <f>E1</f>
        <v>HEI log rtn</v>
      </c>
      <c r="AQ20" s="2" t="s">
        <v>44</v>
      </c>
      <c r="AR20" s="2" t="s">
        <v>45</v>
      </c>
      <c r="AT20" s="13" t="s">
        <v>38</v>
      </c>
      <c r="AU20" s="2" t="s">
        <v>40</v>
      </c>
      <c r="AV20" s="2" t="s">
        <v>39</v>
      </c>
      <c r="AW20" s="2" t="s">
        <v>41</v>
      </c>
      <c r="AX20" s="2" t="s">
        <v>42</v>
      </c>
      <c r="AY20" s="2" t="s">
        <v>43</v>
      </c>
      <c r="AZ20" s="4" t="str">
        <f>D1</f>
        <v>HEI A log rtn</v>
      </c>
      <c r="BA20" s="4" t="str">
        <f>E1</f>
        <v>HEI log rtn</v>
      </c>
      <c r="BB20" s="2" t="s">
        <v>44</v>
      </c>
      <c r="BC20" s="2" t="s">
        <v>45</v>
      </c>
      <c r="BE20" s="2" t="s">
        <v>44</v>
      </c>
      <c r="BF20" s="2" t="s">
        <v>45</v>
      </c>
      <c r="BH20" s="2"/>
    </row>
    <row r="21" spans="1:124" x14ac:dyDescent="0.25">
      <c r="A21" s="1">
        <v>46052</v>
      </c>
      <c r="B21" s="21">
        <v>254.59</v>
      </c>
      <c r="C21" s="21">
        <v>330.91</v>
      </c>
      <c r="D21" s="22">
        <v>-4.31973931200339E-4</v>
      </c>
      <c r="E21" s="22">
        <v>-3.1680446488577098E-3</v>
      </c>
      <c r="F21" s="21">
        <v>0</v>
      </c>
      <c r="G21" s="21">
        <v>0.12</v>
      </c>
      <c r="H21" s="21">
        <v>0</v>
      </c>
      <c r="I21" s="21">
        <v>0.12</v>
      </c>
      <c r="J21" s="21">
        <v>0</v>
      </c>
      <c r="K21" s="21">
        <v>0</v>
      </c>
      <c r="L21" s="21">
        <v>254.59</v>
      </c>
      <c r="M21" s="21">
        <v>330.91</v>
      </c>
      <c r="N21" s="23">
        <v>1.2997761106092101</v>
      </c>
      <c r="O21" s="23">
        <v>1.3338063878300499</v>
      </c>
      <c r="P21" s="23">
        <v>1.29620435992078</v>
      </c>
      <c r="Q21" s="23">
        <v>1.29457273117938</v>
      </c>
      <c r="R21" s="21">
        <v>339.57376827765398</v>
      </c>
      <c r="S21" s="21">
        <v>329.92071481800298</v>
      </c>
      <c r="U21" s="22">
        <v>2.5844773373747999E-2</v>
      </c>
      <c r="V21" s="22">
        <v>-2.9940676147334599E-3</v>
      </c>
      <c r="X21" s="23">
        <v>1.2997761106092101</v>
      </c>
      <c r="Y21" s="23">
        <v>1.3338063878300499</v>
      </c>
      <c r="Z21" s="23">
        <v>1.29620435992078</v>
      </c>
      <c r="AA21" s="23">
        <v>1.29457273117938</v>
      </c>
      <c r="AB21" s="21">
        <v>339.57376827765398</v>
      </c>
      <c r="AC21" s="21">
        <v>329.92071481800298</v>
      </c>
      <c r="AE21" s="22">
        <v>2.5844773373747999E-2</v>
      </c>
      <c r="AF21" s="22">
        <v>-2.9940676147334599E-3</v>
      </c>
      <c r="AI21" s="14">
        <v>-1.4999999999999999E-2</v>
      </c>
      <c r="AJ21"/>
      <c r="AK21"/>
      <c r="AL21"/>
      <c r="AM21">
        <f t="shared" ref="AM21:AM84" si="4">IF(F22+H22&gt;0,0,1)</f>
        <v>1</v>
      </c>
      <c r="AN21" s="15">
        <v>0</v>
      </c>
      <c r="AO21"/>
      <c r="AP21"/>
      <c r="AQ21"/>
      <c r="AR21"/>
      <c r="AT21" s="14">
        <v>1.4999999999999999E-2</v>
      </c>
      <c r="AU21"/>
      <c r="AV21"/>
      <c r="AW21"/>
      <c r="AX21">
        <f t="shared" ref="AX21:AX84" si="5">IF(F22+H22&gt;0,0,1)</f>
        <v>1</v>
      </c>
      <c r="AY21" s="15">
        <v>0</v>
      </c>
      <c r="AZ21"/>
      <c r="BA21"/>
      <c r="BB21"/>
      <c r="BC21"/>
    </row>
    <row r="22" spans="1:124" x14ac:dyDescent="0.25">
      <c r="A22" s="1">
        <v>46055</v>
      </c>
      <c r="B22" s="21">
        <v>257.02999999999997</v>
      </c>
      <c r="C22" s="21">
        <v>332.26</v>
      </c>
      <c r="D22" s="22">
        <v>9.5384015459249807E-3</v>
      </c>
      <c r="E22" s="22">
        <v>4.0713598769432299E-3</v>
      </c>
      <c r="F22" s="21">
        <v>0</v>
      </c>
      <c r="G22" s="21">
        <v>0.12</v>
      </c>
      <c r="H22" s="21">
        <v>0</v>
      </c>
      <c r="I22" s="21">
        <v>0.12</v>
      </c>
      <c r="J22" s="21">
        <v>0</v>
      </c>
      <c r="K22" s="21">
        <v>0</v>
      </c>
      <c r="L22" s="21">
        <v>257.02999999999997</v>
      </c>
      <c r="M22" s="21">
        <v>332.26</v>
      </c>
      <c r="N22" s="23">
        <v>1.2926895693109699</v>
      </c>
      <c r="O22" s="23">
        <v>1.3338063878300499</v>
      </c>
      <c r="P22" s="23">
        <v>1.29604017198074</v>
      </c>
      <c r="Q22" s="23">
        <v>1.2952013787411401</v>
      </c>
      <c r="R22" s="21">
        <v>342.82825586396001</v>
      </c>
      <c r="S22" s="21">
        <v>333.163406630439</v>
      </c>
      <c r="T22" s="21">
        <v>332.74402909503698</v>
      </c>
      <c r="U22" s="22">
        <v>3.1311815042729702E-2</v>
      </c>
      <c r="V22" s="22">
        <v>2.7152852649574501E-3</v>
      </c>
      <c r="W22" s="22">
        <v>1.4557180387985401E-3</v>
      </c>
      <c r="X22" s="23">
        <v>1.2926895693109699</v>
      </c>
      <c r="Y22" s="23">
        <v>1.3338063878300499</v>
      </c>
      <c r="Z22" s="23">
        <v>1.29604017198074</v>
      </c>
      <c r="AA22" s="23">
        <v>1.2952013787411401</v>
      </c>
      <c r="AB22" s="21">
        <v>342.82825586396001</v>
      </c>
      <c r="AC22" s="21">
        <v>333.163406630439</v>
      </c>
      <c r="AD22" s="21">
        <v>332.74402909503698</v>
      </c>
      <c r="AE22" s="22">
        <v>3.1311815042729702E-2</v>
      </c>
      <c r="AF22" s="22">
        <v>2.7152852649574501E-3</v>
      </c>
      <c r="AG22" s="22">
        <v>1.4557180387985401E-3</v>
      </c>
      <c r="AI22" s="14">
        <v>-5.0000000000000001E-3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16">
        <f t="shared" ref="AO22:AO85" si="8">AN22*D22</f>
        <v>0</v>
      </c>
      <c r="AP22" s="16">
        <f t="shared" ref="AP22:AP85" si="9">-AN22*$E22</f>
        <v>0</v>
      </c>
      <c r="AQ22" s="16">
        <f>AO22+AP22</f>
        <v>0</v>
      </c>
      <c r="AR22" s="10">
        <f>AR21+AQ22</f>
        <v>0</v>
      </c>
      <c r="AT22" s="14">
        <v>5.0000000000000001E-3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16">
        <f t="shared" ref="AZ22:AZ85" si="12">-AY22*D22</f>
        <v>0</v>
      </c>
      <c r="BA22" s="16">
        <f t="shared" ref="BA22:BA85" si="13">AY22*$E22</f>
        <v>0</v>
      </c>
      <c r="BB22" s="16">
        <f>AZ22+BA22</f>
        <v>0</v>
      </c>
      <c r="BC22" s="10">
        <f>BC21+BB22</f>
        <v>0</v>
      </c>
      <c r="BE22" s="10">
        <f>AQ22+BB22</f>
        <v>0</v>
      </c>
      <c r="BF22" s="10">
        <f>BF21+BE22</f>
        <v>0</v>
      </c>
      <c r="BH22" s="10"/>
    </row>
    <row r="23" spans="1:124" x14ac:dyDescent="0.25">
      <c r="A23" s="1">
        <v>46056</v>
      </c>
      <c r="B23" s="21">
        <v>257.23</v>
      </c>
      <c r="C23" s="21">
        <v>334.32</v>
      </c>
      <c r="D23" s="22">
        <v>7.77816707826167E-4</v>
      </c>
      <c r="E23" s="22">
        <v>6.1808231813273197E-3</v>
      </c>
      <c r="F23" s="21">
        <v>0</v>
      </c>
      <c r="G23" s="21">
        <v>0.12</v>
      </c>
      <c r="H23" s="21">
        <v>0</v>
      </c>
      <c r="I23" s="21">
        <v>0.12</v>
      </c>
      <c r="J23" s="21">
        <v>0</v>
      </c>
      <c r="K23" s="21">
        <v>0</v>
      </c>
      <c r="L23" s="21">
        <v>257.23</v>
      </c>
      <c r="M23" s="21">
        <v>334.32</v>
      </c>
      <c r="N23" s="23">
        <v>1.2996928818567</v>
      </c>
      <c r="O23" s="23">
        <v>1.3338063878300499</v>
      </c>
      <c r="P23" s="23">
        <v>1.2970144025057899</v>
      </c>
      <c r="Q23" s="23">
        <v>1.29597656489848</v>
      </c>
      <c r="R23" s="21">
        <v>343.095017141526</v>
      </c>
      <c r="S23" s="21">
        <v>333.38041343860698</v>
      </c>
      <c r="T23" s="21">
        <v>333.16465065358398</v>
      </c>
      <c r="U23" s="22">
        <v>2.5908808569228801E-2</v>
      </c>
      <c r="V23" s="22">
        <v>-2.8143974832833701E-3</v>
      </c>
      <c r="W23" s="22">
        <v>-3.4618039504011999E-3</v>
      </c>
      <c r="X23" s="23">
        <v>1.2996928818567</v>
      </c>
      <c r="Y23" s="23">
        <v>1.3338063878300499</v>
      </c>
      <c r="Z23" s="23">
        <v>1.2970144025057899</v>
      </c>
      <c r="AA23" s="23">
        <v>1.29597656489848</v>
      </c>
      <c r="AB23" s="21">
        <v>343.095017141526</v>
      </c>
      <c r="AC23" s="21">
        <v>333.38041343860698</v>
      </c>
      <c r="AD23" s="21">
        <v>333.16465065358398</v>
      </c>
      <c r="AE23" s="22">
        <v>2.5908808569228801E-2</v>
      </c>
      <c r="AF23" s="22">
        <v>-2.8143974832833701E-3</v>
      </c>
      <c r="AG23" s="22">
        <v>-3.4618039504011999E-3</v>
      </c>
      <c r="AI23" s="5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16">
        <f t="shared" si="8"/>
        <v>0</v>
      </c>
      <c r="AP23" s="16">
        <f t="shared" si="9"/>
        <v>0</v>
      </c>
      <c r="AQ23" s="16">
        <f t="shared" ref="AQ23:AQ86" si="16">AO23+AP23</f>
        <v>0</v>
      </c>
      <c r="AR23" s="10">
        <f t="shared" ref="AR23:AR86" si="17">AR22+AQ23</f>
        <v>0</v>
      </c>
      <c r="AT23" s="5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16">
        <f t="shared" si="12"/>
        <v>0</v>
      </c>
      <c r="BA23" s="16">
        <f t="shared" si="13"/>
        <v>0</v>
      </c>
      <c r="BB23" s="16">
        <f t="shared" ref="BB23:BB86" si="20">AZ23+BA23</f>
        <v>0</v>
      </c>
      <c r="BC23" s="10">
        <f t="shared" ref="BC23:BC86" si="21">BC22+BB23</f>
        <v>0</v>
      </c>
      <c r="BE23" s="10">
        <f t="shared" ref="BE23:BE86" si="22">AQ23+BB23</f>
        <v>0</v>
      </c>
      <c r="BF23" s="10">
        <f t="shared" ref="BF23:BF86" si="23">BF22+BE23</f>
        <v>0</v>
      </c>
      <c r="BH23" s="10"/>
    </row>
    <row r="24" spans="1:124" x14ac:dyDescent="0.25">
      <c r="A24" s="1">
        <v>46057</v>
      </c>
      <c r="B24" s="21">
        <v>249.35</v>
      </c>
      <c r="C24" s="21">
        <v>324.48</v>
      </c>
      <c r="D24" s="22">
        <v>-3.1113094315830599E-2</v>
      </c>
      <c r="E24" s="22">
        <v>-2.98747171768961E-2</v>
      </c>
      <c r="F24" s="21">
        <v>0</v>
      </c>
      <c r="G24" s="21">
        <v>0.12</v>
      </c>
      <c r="H24" s="21">
        <v>0</v>
      </c>
      <c r="I24" s="21">
        <v>0.12</v>
      </c>
      <c r="J24" s="21">
        <v>0</v>
      </c>
      <c r="K24" s="21">
        <v>0</v>
      </c>
      <c r="L24" s="21">
        <v>249.35</v>
      </c>
      <c r="M24" s="21">
        <v>324.48</v>
      </c>
      <c r="N24" s="23">
        <v>1.3013033888109</v>
      </c>
      <c r="O24" s="23">
        <v>1.3338063878300499</v>
      </c>
      <c r="P24" s="23">
        <v>1.2979656923527001</v>
      </c>
      <c r="Q24" s="23">
        <v>1.2965740516157001</v>
      </c>
      <c r="R24" s="21">
        <v>332.584622805425</v>
      </c>
      <c r="S24" s="21">
        <v>323.41054126481902</v>
      </c>
      <c r="T24" s="21">
        <v>323.15175645743699</v>
      </c>
      <c r="U24" s="22">
        <v>2.46704314302943E-2</v>
      </c>
      <c r="V24" s="22">
        <v>-3.3013592216557001E-3</v>
      </c>
      <c r="W24" s="22">
        <v>-4.1018538440990198E-3</v>
      </c>
      <c r="X24" s="23">
        <v>1.3013033888109</v>
      </c>
      <c r="Y24" s="23">
        <v>1.3338063878300499</v>
      </c>
      <c r="Z24" s="23">
        <v>1.2979656923527001</v>
      </c>
      <c r="AA24" s="23">
        <v>1.2965740516157001</v>
      </c>
      <c r="AB24" s="21">
        <v>332.584622805425</v>
      </c>
      <c r="AC24" s="21">
        <v>323.41054126481902</v>
      </c>
      <c r="AD24" s="21">
        <v>323.15175645743699</v>
      </c>
      <c r="AE24" s="22">
        <v>2.46704314302943E-2</v>
      </c>
      <c r="AF24" s="22">
        <v>-3.3013592216557001E-3</v>
      </c>
      <c r="AG24" s="22">
        <v>-4.1018538440990198E-3</v>
      </c>
      <c r="AI24" s="5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16">
        <f t="shared" si="8"/>
        <v>0</v>
      </c>
      <c r="AP24" s="16">
        <f t="shared" si="9"/>
        <v>0</v>
      </c>
      <c r="AQ24" s="16">
        <f t="shared" si="16"/>
        <v>0</v>
      </c>
      <c r="AR24" s="10">
        <f t="shared" si="17"/>
        <v>0</v>
      </c>
      <c r="AT24" s="5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16">
        <f t="shared" si="12"/>
        <v>0</v>
      </c>
      <c r="BA24" s="16">
        <f t="shared" si="13"/>
        <v>0</v>
      </c>
      <c r="BB24" s="16">
        <f t="shared" si="20"/>
        <v>0</v>
      </c>
      <c r="BC24" s="10">
        <f t="shared" si="21"/>
        <v>0</v>
      </c>
      <c r="BE24" s="10">
        <f t="shared" si="22"/>
        <v>0</v>
      </c>
      <c r="BF24" s="10">
        <f t="shared" si="23"/>
        <v>0</v>
      </c>
      <c r="BH24" s="10"/>
    </row>
    <row r="25" spans="1:124" x14ac:dyDescent="0.25">
      <c r="A25" s="1">
        <v>46058</v>
      </c>
      <c r="B25" s="21">
        <v>248.48</v>
      </c>
      <c r="C25" s="21">
        <v>322.3</v>
      </c>
      <c r="D25" s="22">
        <v>-3.4951725917546799E-3</v>
      </c>
      <c r="E25" s="22">
        <v>-6.7411121413715096E-3</v>
      </c>
      <c r="F25" s="21">
        <v>0</v>
      </c>
      <c r="G25" s="21">
        <v>0.12</v>
      </c>
      <c r="H25" s="21">
        <v>0</v>
      </c>
      <c r="I25" s="21">
        <v>0.12</v>
      </c>
      <c r="J25" s="21">
        <v>0</v>
      </c>
      <c r="K25" s="21">
        <v>0</v>
      </c>
      <c r="L25" s="21">
        <v>248.48</v>
      </c>
      <c r="M25" s="21">
        <v>322.3</v>
      </c>
      <c r="N25" s="23">
        <v>1.2970862846104301</v>
      </c>
      <c r="O25" s="23">
        <v>1.3338063878300499</v>
      </c>
      <c r="P25" s="23">
        <v>1.29816649937155</v>
      </c>
      <c r="Q25" s="23">
        <v>1.2967015425164501</v>
      </c>
      <c r="R25" s="21">
        <v>331.42421124801302</v>
      </c>
      <c r="S25" s="21">
        <v>322.51851523580001</v>
      </c>
      <c r="T25" s="21">
        <v>322.17272034546897</v>
      </c>
      <c r="U25" s="22">
        <v>2.79163709799111E-2</v>
      </c>
      <c r="V25" s="22">
        <v>6.7775735033146097E-4</v>
      </c>
      <c r="W25" s="22">
        <v>-3.9498849886684099E-4</v>
      </c>
      <c r="X25" s="23">
        <v>1.2970862846104301</v>
      </c>
      <c r="Y25" s="23">
        <v>1.3338063878300499</v>
      </c>
      <c r="Z25" s="23">
        <v>1.29816649937155</v>
      </c>
      <c r="AA25" s="23">
        <v>1.2967015425164501</v>
      </c>
      <c r="AB25" s="21">
        <v>331.42421124801302</v>
      </c>
      <c r="AC25" s="21">
        <v>322.51851523580001</v>
      </c>
      <c r="AD25" s="21">
        <v>322.17272034546897</v>
      </c>
      <c r="AE25" s="22">
        <v>2.79163709799111E-2</v>
      </c>
      <c r="AF25" s="22">
        <v>6.7775735033146097E-4</v>
      </c>
      <c r="AG25" s="22">
        <v>-3.9498849886684099E-4</v>
      </c>
      <c r="AI25" s="5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16">
        <f t="shared" si="8"/>
        <v>0</v>
      </c>
      <c r="AP25" s="16">
        <f t="shared" si="9"/>
        <v>0</v>
      </c>
      <c r="AQ25" s="16">
        <f t="shared" si="16"/>
        <v>0</v>
      </c>
      <c r="AR25" s="10">
        <f t="shared" si="17"/>
        <v>0</v>
      </c>
      <c r="AT25" s="5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16">
        <f t="shared" si="12"/>
        <v>0</v>
      </c>
      <c r="BA25" s="16">
        <f t="shared" si="13"/>
        <v>0</v>
      </c>
      <c r="BB25" s="16">
        <f t="shared" si="20"/>
        <v>0</v>
      </c>
      <c r="BC25" s="10">
        <f t="shared" si="21"/>
        <v>0</v>
      </c>
      <c r="BE25" s="10">
        <f t="shared" si="22"/>
        <v>0</v>
      </c>
      <c r="BF25" s="10">
        <f t="shared" si="23"/>
        <v>0</v>
      </c>
      <c r="BH25" s="10"/>
      <c r="DL25" s="7"/>
      <c r="DM25" s="7"/>
      <c r="DN25" s="7"/>
      <c r="DO25" s="7"/>
      <c r="DP25" s="7"/>
      <c r="DR25" s="7"/>
      <c r="DS25" s="7"/>
      <c r="DT25" s="7"/>
    </row>
    <row r="26" spans="1:124" x14ac:dyDescent="0.25">
      <c r="A26" s="1">
        <v>46059</v>
      </c>
      <c r="B26" s="21">
        <v>251.15</v>
      </c>
      <c r="C26" s="21">
        <v>326.67</v>
      </c>
      <c r="D26" s="22">
        <v>1.06880107956768E-2</v>
      </c>
      <c r="E26" s="22">
        <v>1.3467698204687101E-2</v>
      </c>
      <c r="F26" s="21">
        <v>0</v>
      </c>
      <c r="G26" s="21">
        <v>0.12</v>
      </c>
      <c r="H26" s="21">
        <v>0</v>
      </c>
      <c r="I26" s="21">
        <v>0.12</v>
      </c>
      <c r="J26" s="21">
        <v>0</v>
      </c>
      <c r="K26" s="21">
        <v>0</v>
      </c>
      <c r="L26" s="21">
        <v>251.15</v>
      </c>
      <c r="M26" s="21">
        <v>326.67</v>
      </c>
      <c r="N26" s="23">
        <v>1.3006967947441701</v>
      </c>
      <c r="O26" s="23">
        <v>1.3338063878300499</v>
      </c>
      <c r="P26" s="23">
        <v>1.2986098512236699</v>
      </c>
      <c r="Q26" s="23">
        <v>1.2970635711937499</v>
      </c>
      <c r="R26" s="21">
        <v>334.98547430351903</v>
      </c>
      <c r="S26" s="21">
        <v>326.03451631716501</v>
      </c>
      <c r="T26" s="21">
        <v>325.666592403008</v>
      </c>
      <c r="U26" s="22">
        <v>2.5136683570901E-2</v>
      </c>
      <c r="V26" s="22">
        <v>-1.94723299056628E-3</v>
      </c>
      <c r="W26" s="22">
        <v>-3.0763516872308301E-3</v>
      </c>
      <c r="X26" s="23">
        <v>1.3006967947441701</v>
      </c>
      <c r="Y26" s="23">
        <v>1.3338063878300499</v>
      </c>
      <c r="Z26" s="23">
        <v>1.2986098512236699</v>
      </c>
      <c r="AA26" s="23">
        <v>1.2970635711937499</v>
      </c>
      <c r="AB26" s="21">
        <v>334.98547430351903</v>
      </c>
      <c r="AC26" s="21">
        <v>326.03451631716501</v>
      </c>
      <c r="AD26" s="21">
        <v>325.666592403008</v>
      </c>
      <c r="AE26" s="22">
        <v>2.5136683570901E-2</v>
      </c>
      <c r="AF26" s="22">
        <v>-1.94723299056628E-3</v>
      </c>
      <c r="AG26" s="22">
        <v>-3.0763516872308301E-3</v>
      </c>
      <c r="AI26" s="5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16">
        <f t="shared" si="8"/>
        <v>0</v>
      </c>
      <c r="AP26" s="16">
        <f t="shared" si="9"/>
        <v>0</v>
      </c>
      <c r="AQ26" s="16">
        <f t="shared" si="16"/>
        <v>0</v>
      </c>
      <c r="AR26" s="10">
        <f t="shared" si="17"/>
        <v>0</v>
      </c>
      <c r="AT26" s="5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16">
        <f t="shared" si="12"/>
        <v>0</v>
      </c>
      <c r="BA26" s="16">
        <f t="shared" si="13"/>
        <v>0</v>
      </c>
      <c r="BB26" s="16">
        <f t="shared" si="20"/>
        <v>0</v>
      </c>
      <c r="BC26" s="10">
        <f t="shared" si="21"/>
        <v>0</v>
      </c>
      <c r="BE26" s="10">
        <f t="shared" si="22"/>
        <v>0</v>
      </c>
      <c r="BF26" s="10">
        <f t="shared" si="23"/>
        <v>0</v>
      </c>
      <c r="BH26" s="10"/>
      <c r="DL26" s="7"/>
      <c r="DM26" s="8"/>
      <c r="DN26" s="8"/>
      <c r="DO26" s="8"/>
      <c r="DP26" s="8"/>
      <c r="DR26" s="8"/>
      <c r="DS26" s="8"/>
      <c r="DT26" s="8"/>
    </row>
    <row r="27" spans="1:124" x14ac:dyDescent="0.25">
      <c r="A27" s="1">
        <v>46062</v>
      </c>
      <c r="B27" s="21">
        <v>248.14</v>
      </c>
      <c r="C27" s="21">
        <v>322.49</v>
      </c>
      <c r="D27" s="22">
        <v>-1.20572671813283E-2</v>
      </c>
      <c r="E27" s="22">
        <v>-1.28783590229404E-2</v>
      </c>
      <c r="F27" s="21">
        <v>0</v>
      </c>
      <c r="G27" s="21">
        <v>0.12</v>
      </c>
      <c r="H27" s="21">
        <v>0</v>
      </c>
      <c r="I27" s="21">
        <v>0.12</v>
      </c>
      <c r="J27" s="21">
        <v>0</v>
      </c>
      <c r="K27" s="21">
        <v>0</v>
      </c>
      <c r="L27" s="21">
        <v>248.14</v>
      </c>
      <c r="M27" s="21">
        <v>322.49</v>
      </c>
      <c r="N27" s="23">
        <v>1.29962924155718</v>
      </c>
      <c r="O27" s="23">
        <v>1.3338063878300499</v>
      </c>
      <c r="P27" s="23">
        <v>1.2987600702239499</v>
      </c>
      <c r="Q27" s="23">
        <v>1.29732838368895</v>
      </c>
      <c r="R27" s="21">
        <v>330.97071707614998</v>
      </c>
      <c r="S27" s="21">
        <v>322.23704848264202</v>
      </c>
      <c r="T27" s="21">
        <v>321.85335455601899</v>
      </c>
      <c r="U27" s="22">
        <v>2.5957775412513099E-2</v>
      </c>
      <c r="V27" s="22">
        <v>-7.8467789099796704E-4</v>
      </c>
      <c r="W27" s="22">
        <v>-1.9761068276847298E-3</v>
      </c>
      <c r="X27" s="23">
        <v>1.29962924155718</v>
      </c>
      <c r="Y27" s="23">
        <v>1.3338063878300499</v>
      </c>
      <c r="Z27" s="23">
        <v>1.2987600702239499</v>
      </c>
      <c r="AA27" s="23">
        <v>1.29732838368895</v>
      </c>
      <c r="AB27" s="21">
        <v>330.97071707614998</v>
      </c>
      <c r="AC27" s="21">
        <v>322.23704848264202</v>
      </c>
      <c r="AD27" s="21">
        <v>321.85335455601899</v>
      </c>
      <c r="AE27" s="22">
        <v>2.5957775412513099E-2</v>
      </c>
      <c r="AF27" s="22">
        <v>-7.8467789099796704E-4</v>
      </c>
      <c r="AG27" s="22">
        <v>-1.9761068276847298E-3</v>
      </c>
      <c r="AI27" s="5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16">
        <f t="shared" si="8"/>
        <v>0</v>
      </c>
      <c r="AP27" s="16">
        <f t="shared" si="9"/>
        <v>0</v>
      </c>
      <c r="AQ27" s="16">
        <f t="shared" si="16"/>
        <v>0</v>
      </c>
      <c r="AR27" s="10">
        <f t="shared" si="17"/>
        <v>0</v>
      </c>
      <c r="AT27" s="5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16">
        <f t="shared" si="12"/>
        <v>0</v>
      </c>
      <c r="BA27" s="16">
        <f t="shared" si="13"/>
        <v>0</v>
      </c>
      <c r="BB27" s="16">
        <f t="shared" si="20"/>
        <v>0</v>
      </c>
      <c r="BC27" s="10">
        <f t="shared" si="21"/>
        <v>0</v>
      </c>
      <c r="BE27" s="10">
        <f t="shared" si="22"/>
        <v>0</v>
      </c>
      <c r="BF27" s="10">
        <f t="shared" si="23"/>
        <v>0</v>
      </c>
      <c r="BH27" s="10"/>
      <c r="DL27" s="7"/>
      <c r="DM27" s="8"/>
      <c r="DN27" s="8"/>
      <c r="DO27" s="8"/>
      <c r="DP27" s="8"/>
      <c r="DR27" s="8"/>
      <c r="DS27" s="8"/>
      <c r="DT27" s="8"/>
    </row>
    <row r="28" spans="1:124" x14ac:dyDescent="0.25">
      <c r="A28" s="1">
        <v>46063</v>
      </c>
      <c r="B28" s="21">
        <v>247.87</v>
      </c>
      <c r="C28" s="21">
        <v>323.36</v>
      </c>
      <c r="D28" s="22">
        <v>-1.0886878355997E-3</v>
      </c>
      <c r="E28" s="22">
        <v>2.6941256521718802E-3</v>
      </c>
      <c r="F28" s="21">
        <v>0</v>
      </c>
      <c r="G28" s="21">
        <v>0.12</v>
      </c>
      <c r="H28" s="21">
        <v>0</v>
      </c>
      <c r="I28" s="21">
        <v>0.12</v>
      </c>
      <c r="J28" s="21">
        <v>0</v>
      </c>
      <c r="K28" s="21">
        <v>0</v>
      </c>
      <c r="L28" s="21">
        <v>247.87</v>
      </c>
      <c r="M28" s="21">
        <v>323.36</v>
      </c>
      <c r="N28" s="23">
        <v>1.3045548069552499</v>
      </c>
      <c r="O28" s="23">
        <v>1.3338063878300499</v>
      </c>
      <c r="P28" s="23">
        <v>1.2996727921668501</v>
      </c>
      <c r="Q28" s="23">
        <v>1.2976021893657299</v>
      </c>
      <c r="R28" s="21">
        <v>330.61058935143598</v>
      </c>
      <c r="S28" s="21">
        <v>321.923658606412</v>
      </c>
      <c r="T28" s="21">
        <v>321.56878646498097</v>
      </c>
      <c r="U28" s="22">
        <v>2.2174961924741301E-2</v>
      </c>
      <c r="V28" s="22">
        <v>-4.4518212932650597E-3</v>
      </c>
      <c r="W28" s="22">
        <v>-5.5547780727097E-3</v>
      </c>
      <c r="X28" s="23">
        <v>1.3045548069552499</v>
      </c>
      <c r="Y28" s="23">
        <v>1.3338063878300499</v>
      </c>
      <c r="Z28" s="23">
        <v>1.2996727921668501</v>
      </c>
      <c r="AA28" s="23">
        <v>1.2976021893657299</v>
      </c>
      <c r="AB28" s="21">
        <v>330.61058935143598</v>
      </c>
      <c r="AC28" s="21">
        <v>321.923658606412</v>
      </c>
      <c r="AD28" s="21">
        <v>321.56878646498097</v>
      </c>
      <c r="AE28" s="22">
        <v>2.2174961924741301E-2</v>
      </c>
      <c r="AF28" s="22">
        <v>-4.4518212932650597E-3</v>
      </c>
      <c r="AG28" s="22">
        <v>-5.5547780727097E-3</v>
      </c>
      <c r="AI28" s="5"/>
      <c r="AJ28">
        <f t="shared" si="6"/>
        <v>0</v>
      </c>
      <c r="AK28">
        <f t="shared" si="7"/>
        <v>0</v>
      </c>
      <c r="AL28">
        <f t="shared" si="14"/>
        <v>0</v>
      </c>
      <c r="AM28">
        <f t="shared" si="4"/>
        <v>1</v>
      </c>
      <c r="AN28">
        <f t="shared" si="15"/>
        <v>0</v>
      </c>
      <c r="AO28" s="16">
        <f t="shared" si="8"/>
        <v>0</v>
      </c>
      <c r="AP28" s="16">
        <f t="shared" si="9"/>
        <v>0</v>
      </c>
      <c r="AQ28" s="16">
        <f t="shared" si="16"/>
        <v>0</v>
      </c>
      <c r="AR28" s="10">
        <f t="shared" si="17"/>
        <v>0</v>
      </c>
      <c r="AT28" s="5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16">
        <f t="shared" si="12"/>
        <v>0</v>
      </c>
      <c r="BA28" s="16">
        <f t="shared" si="13"/>
        <v>0</v>
      </c>
      <c r="BB28" s="16">
        <f t="shared" si="20"/>
        <v>0</v>
      </c>
      <c r="BC28" s="10">
        <f t="shared" si="21"/>
        <v>0</v>
      </c>
      <c r="BE28" s="10">
        <f t="shared" si="22"/>
        <v>0</v>
      </c>
      <c r="BF28" s="10">
        <f t="shared" si="23"/>
        <v>0</v>
      </c>
      <c r="BH28" s="10"/>
      <c r="DL28" s="7"/>
      <c r="DM28" s="8"/>
      <c r="DN28" s="8"/>
      <c r="DO28" s="8"/>
      <c r="DP28" s="9"/>
      <c r="DR28" s="8"/>
      <c r="DS28" s="8"/>
      <c r="DT28" s="8"/>
    </row>
    <row r="29" spans="1:124" x14ac:dyDescent="0.25">
      <c r="A29" s="1">
        <v>46064</v>
      </c>
      <c r="B29" s="21">
        <v>246.99</v>
      </c>
      <c r="C29" s="21">
        <v>322.39999999999998</v>
      </c>
      <c r="D29" s="22">
        <v>-3.5565652006813099E-3</v>
      </c>
      <c r="E29" s="22">
        <v>-2.97324302283772E-3</v>
      </c>
      <c r="F29" s="21">
        <v>0</v>
      </c>
      <c r="G29" s="21">
        <v>0.12</v>
      </c>
      <c r="H29" s="21">
        <v>0</v>
      </c>
      <c r="I29" s="21">
        <v>0.12</v>
      </c>
      <c r="J29" s="21">
        <v>0</v>
      </c>
      <c r="K29" s="21">
        <v>0</v>
      </c>
      <c r="L29" s="21">
        <v>246.99</v>
      </c>
      <c r="M29" s="21">
        <v>322.39999999999998</v>
      </c>
      <c r="N29" s="23">
        <v>1.30531600469654</v>
      </c>
      <c r="O29" s="23">
        <v>1.3338063878300499</v>
      </c>
      <c r="P29" s="23">
        <v>1.3004082342672401</v>
      </c>
      <c r="Q29" s="23">
        <v>1.2978823775589401</v>
      </c>
      <c r="R29" s="21">
        <v>329.436839730146</v>
      </c>
      <c r="S29" s="21">
        <v>321.00618293729099</v>
      </c>
      <c r="T29" s="21">
        <v>320.49476475144098</v>
      </c>
      <c r="U29" s="22">
        <v>2.15916397468978E-2</v>
      </c>
      <c r="V29" s="22">
        <v>-4.3326262010693097E-3</v>
      </c>
      <c r="W29" s="22">
        <v>-5.9270690340465504E-3</v>
      </c>
      <c r="X29" s="23">
        <v>1.30531600469654</v>
      </c>
      <c r="Y29" s="23">
        <v>1.3338063878300499</v>
      </c>
      <c r="Z29" s="23">
        <v>1.3004082342672401</v>
      </c>
      <c r="AA29" s="23">
        <v>1.2978823775589401</v>
      </c>
      <c r="AB29" s="21">
        <v>329.436839730146</v>
      </c>
      <c r="AC29" s="21">
        <v>321.00618293729099</v>
      </c>
      <c r="AD29" s="21">
        <v>320.49476475144098</v>
      </c>
      <c r="AE29" s="22">
        <v>2.15916397468978E-2</v>
      </c>
      <c r="AF29" s="22">
        <v>-4.3326262010693097E-3</v>
      </c>
      <c r="AG29" s="22">
        <v>-5.9270690340465504E-3</v>
      </c>
      <c r="AI29" s="5"/>
      <c r="AJ29">
        <f t="shared" si="6"/>
        <v>0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16">
        <f t="shared" si="8"/>
        <v>0</v>
      </c>
      <c r="AP29" s="16">
        <f t="shared" si="9"/>
        <v>0</v>
      </c>
      <c r="AQ29" s="16">
        <f t="shared" si="16"/>
        <v>0</v>
      </c>
      <c r="AR29" s="10">
        <f t="shared" si="17"/>
        <v>0</v>
      </c>
      <c r="AT29" s="5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16">
        <f t="shared" si="12"/>
        <v>0</v>
      </c>
      <c r="BA29" s="16">
        <f t="shared" si="13"/>
        <v>0</v>
      </c>
      <c r="BB29" s="16">
        <f t="shared" si="20"/>
        <v>0</v>
      </c>
      <c r="BC29" s="10">
        <f t="shared" si="21"/>
        <v>0</v>
      </c>
      <c r="BE29" s="10">
        <f t="shared" si="22"/>
        <v>0</v>
      </c>
      <c r="BF29" s="10">
        <f t="shared" si="23"/>
        <v>0</v>
      </c>
      <c r="BH29" s="10"/>
      <c r="DL29" s="7"/>
      <c r="DM29" s="8"/>
      <c r="DN29" s="8"/>
      <c r="DO29" s="8"/>
      <c r="DP29" s="8"/>
      <c r="DR29" s="8"/>
      <c r="DS29" s="8"/>
      <c r="DT29" s="8"/>
    </row>
    <row r="30" spans="1:124" x14ac:dyDescent="0.25">
      <c r="A30" s="1">
        <v>46065</v>
      </c>
      <c r="B30" s="21">
        <v>250.34</v>
      </c>
      <c r="C30" s="21">
        <v>328.45</v>
      </c>
      <c r="D30" s="22">
        <v>1.3472143921433101E-2</v>
      </c>
      <c r="E30" s="22">
        <v>1.8591608706008601E-2</v>
      </c>
      <c r="F30" s="21">
        <v>0</v>
      </c>
      <c r="G30" s="21">
        <v>0.12</v>
      </c>
      <c r="H30" s="21">
        <v>0</v>
      </c>
      <c r="I30" s="21">
        <v>0.12</v>
      </c>
      <c r="J30" s="21">
        <v>0</v>
      </c>
      <c r="K30" s="21">
        <v>0</v>
      </c>
      <c r="L30" s="21">
        <v>250.34</v>
      </c>
      <c r="M30" s="21">
        <v>328.45</v>
      </c>
      <c r="N30" s="23">
        <v>1.31201565870416</v>
      </c>
      <c r="O30" s="23">
        <v>1.3338063878300499</v>
      </c>
      <c r="P30" s="23">
        <v>1.30127607418555</v>
      </c>
      <c r="Q30" s="23">
        <v>1.29858319365431</v>
      </c>
      <c r="R30" s="21">
        <v>333.90509112937701</v>
      </c>
      <c r="S30" s="21">
        <v>325.54419736646099</v>
      </c>
      <c r="T30" s="21">
        <v>324.911874398105</v>
      </c>
      <c r="U30" s="22">
        <v>1.6472174962321999E-2</v>
      </c>
      <c r="V30" s="22">
        <v>-8.8863839076547494E-3</v>
      </c>
      <c r="W30" s="22">
        <v>-1.0830629476233301E-2</v>
      </c>
      <c r="X30" s="23">
        <v>1.31201565870416</v>
      </c>
      <c r="Y30" s="23">
        <v>1.3338063878300499</v>
      </c>
      <c r="Z30" s="23">
        <v>1.30127607418555</v>
      </c>
      <c r="AA30" s="23">
        <v>1.29858319365431</v>
      </c>
      <c r="AB30" s="21">
        <v>333.90509112937701</v>
      </c>
      <c r="AC30" s="21">
        <v>325.54419736646099</v>
      </c>
      <c r="AD30" s="21">
        <v>324.911874398105</v>
      </c>
      <c r="AE30" s="22">
        <v>1.6472174962321999E-2</v>
      </c>
      <c r="AF30" s="22">
        <v>-8.8863839076547494E-3</v>
      </c>
      <c r="AG30" s="22">
        <v>-1.0830629476233301E-2</v>
      </c>
      <c r="AI30" s="5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16">
        <f t="shared" si="8"/>
        <v>0</v>
      </c>
      <c r="AP30" s="16">
        <f t="shared" si="9"/>
        <v>0</v>
      </c>
      <c r="AQ30" s="16">
        <f t="shared" si="16"/>
        <v>0</v>
      </c>
      <c r="AR30" s="10">
        <f t="shared" si="17"/>
        <v>0</v>
      </c>
      <c r="AT30" s="5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16">
        <f t="shared" si="12"/>
        <v>0</v>
      </c>
      <c r="BA30" s="16">
        <f t="shared" si="13"/>
        <v>0</v>
      </c>
      <c r="BB30" s="16">
        <f t="shared" si="20"/>
        <v>0</v>
      </c>
      <c r="BC30" s="10">
        <f t="shared" si="21"/>
        <v>0</v>
      </c>
      <c r="BE30" s="10">
        <f t="shared" si="22"/>
        <v>0</v>
      </c>
      <c r="BF30" s="10">
        <f t="shared" si="23"/>
        <v>0</v>
      </c>
      <c r="BH30" s="10"/>
      <c r="DL30" s="7"/>
      <c r="DM30" s="8"/>
      <c r="DN30" s="8"/>
      <c r="DO30" s="8"/>
      <c r="DP30" s="8"/>
      <c r="DR30" s="8"/>
      <c r="DS30" s="8"/>
      <c r="DT30" s="8"/>
    </row>
    <row r="31" spans="1:124" x14ac:dyDescent="0.25">
      <c r="A31" s="1">
        <v>46066</v>
      </c>
      <c r="B31" s="21">
        <v>252.91</v>
      </c>
      <c r="C31" s="21">
        <v>332.52</v>
      </c>
      <c r="D31" s="22">
        <v>1.02137003149846E-2</v>
      </c>
      <c r="E31" s="22">
        <v>1.2315389324405301E-2</v>
      </c>
      <c r="F31" s="21">
        <v>0</v>
      </c>
      <c r="G31" s="21">
        <v>0.12</v>
      </c>
      <c r="H31" s="21">
        <v>0</v>
      </c>
      <c r="I31" s="21">
        <v>0.12</v>
      </c>
      <c r="J31" s="21">
        <v>0</v>
      </c>
      <c r="K31" s="21">
        <v>0</v>
      </c>
      <c r="L31" s="21">
        <v>252.91</v>
      </c>
      <c r="M31" s="21">
        <v>332.52</v>
      </c>
      <c r="N31" s="23">
        <v>1.3147760072753101</v>
      </c>
      <c r="O31" s="23">
        <v>1.3338063878300499</v>
      </c>
      <c r="P31" s="23">
        <v>1.3027760638521599</v>
      </c>
      <c r="Q31" s="23">
        <v>1.29949021188647</v>
      </c>
      <c r="R31" s="21">
        <v>337.33297354609999</v>
      </c>
      <c r="S31" s="21">
        <v>329.105731922269</v>
      </c>
      <c r="T31" s="21">
        <v>328.424675507112</v>
      </c>
      <c r="U31" s="22">
        <v>1.4370485952901401E-2</v>
      </c>
      <c r="V31" s="22">
        <v>-1.0320935903038999E-2</v>
      </c>
      <c r="W31" s="22">
        <v>-1.2392495335167999E-2</v>
      </c>
      <c r="X31" s="23">
        <v>1.3147760072753101</v>
      </c>
      <c r="Y31" s="23">
        <v>1.3338063878300499</v>
      </c>
      <c r="Z31" s="23">
        <v>1.3027760638521599</v>
      </c>
      <c r="AA31" s="23">
        <v>1.29949021188647</v>
      </c>
      <c r="AB31" s="21">
        <v>337.33297354609999</v>
      </c>
      <c r="AC31" s="21">
        <v>329.105731922269</v>
      </c>
      <c r="AD31" s="21">
        <v>328.424675507112</v>
      </c>
      <c r="AE31" s="22">
        <v>1.4370485952901401E-2</v>
      </c>
      <c r="AF31" s="22">
        <v>-1.0320935903038999E-2</v>
      </c>
      <c r="AG31" s="22">
        <v>-1.2392495335167999E-2</v>
      </c>
      <c r="AI31" s="5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16">
        <f t="shared" si="8"/>
        <v>0</v>
      </c>
      <c r="AP31" s="16">
        <f t="shared" si="9"/>
        <v>0</v>
      </c>
      <c r="AQ31" s="16">
        <f t="shared" si="16"/>
        <v>0</v>
      </c>
      <c r="AR31" s="10">
        <f t="shared" si="17"/>
        <v>0</v>
      </c>
      <c r="AT31" s="5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16">
        <f t="shared" si="12"/>
        <v>0</v>
      </c>
      <c r="BA31" s="16">
        <f t="shared" si="13"/>
        <v>0</v>
      </c>
      <c r="BB31" s="16">
        <f t="shared" si="20"/>
        <v>0</v>
      </c>
      <c r="BC31" s="10">
        <f t="shared" si="21"/>
        <v>0</v>
      </c>
      <c r="BE31" s="10">
        <f t="shared" si="22"/>
        <v>0</v>
      </c>
      <c r="BF31" s="10">
        <f t="shared" si="23"/>
        <v>0</v>
      </c>
      <c r="BH31" s="10"/>
      <c r="DL31" s="7"/>
      <c r="DM31" s="8"/>
      <c r="DN31" s="8"/>
      <c r="DO31" s="8"/>
      <c r="DP31" s="8"/>
      <c r="DR31" s="8"/>
      <c r="DS31" s="8"/>
      <c r="DT31" s="8"/>
    </row>
    <row r="32" spans="1:124" x14ac:dyDescent="0.25">
      <c r="A32" s="1">
        <v>46070</v>
      </c>
      <c r="B32" s="21">
        <v>254.25</v>
      </c>
      <c r="C32" s="21">
        <v>337.21</v>
      </c>
      <c r="D32" s="22">
        <v>5.2843407138072401E-3</v>
      </c>
      <c r="E32" s="22">
        <v>1.40058730155928E-2</v>
      </c>
      <c r="F32" s="21">
        <v>0</v>
      </c>
      <c r="G32" s="21">
        <v>0.12</v>
      </c>
      <c r="H32" s="21">
        <v>0</v>
      </c>
      <c r="I32" s="21">
        <v>0.12</v>
      </c>
      <c r="J32" s="21">
        <v>0</v>
      </c>
      <c r="K32" s="21">
        <v>0</v>
      </c>
      <c r="L32" s="21">
        <v>254.25</v>
      </c>
      <c r="M32" s="21">
        <v>337.21</v>
      </c>
      <c r="N32" s="23">
        <v>1.32629301868239</v>
      </c>
      <c r="O32" s="23">
        <v>1.3338063878300499</v>
      </c>
      <c r="P32" s="23">
        <v>1.3061364087892999</v>
      </c>
      <c r="Q32" s="23">
        <v>1.3010882903850201</v>
      </c>
      <c r="R32" s="21">
        <v>339.12027410579202</v>
      </c>
      <c r="S32" s="21">
        <v>331.230814234413</v>
      </c>
      <c r="T32" s="21">
        <v>330.39538637213599</v>
      </c>
      <c r="U32" s="22">
        <v>5.64895365111567E-3</v>
      </c>
      <c r="V32" s="22">
        <v>-1.7890425347772399E-2</v>
      </c>
      <c r="W32" s="22">
        <v>-2.0415803893871199E-2</v>
      </c>
      <c r="X32" s="23">
        <v>1.32629301868239</v>
      </c>
      <c r="Y32" s="23">
        <v>1.3338063878300499</v>
      </c>
      <c r="Z32" s="23">
        <v>1.3061364087892999</v>
      </c>
      <c r="AA32" s="23">
        <v>1.3010882903850201</v>
      </c>
      <c r="AB32" s="21">
        <v>339.12027410579202</v>
      </c>
      <c r="AC32" s="21">
        <v>331.230814234413</v>
      </c>
      <c r="AD32" s="21">
        <v>330.39538637213599</v>
      </c>
      <c r="AE32" s="22">
        <v>5.64895365111567E-3</v>
      </c>
      <c r="AF32" s="22">
        <v>-1.7890425347772399E-2</v>
      </c>
      <c r="AG32" s="22">
        <v>-2.0415803893871199E-2</v>
      </c>
      <c r="AI32" s="5"/>
      <c r="AJ32">
        <f t="shared" si="6"/>
        <v>1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16">
        <f t="shared" si="8"/>
        <v>0</v>
      </c>
      <c r="AP32" s="16">
        <f t="shared" si="9"/>
        <v>0</v>
      </c>
      <c r="AQ32" s="16">
        <f t="shared" si="16"/>
        <v>0</v>
      </c>
      <c r="AR32" s="10">
        <f t="shared" si="17"/>
        <v>0</v>
      </c>
      <c r="AT32" s="5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16">
        <f t="shared" si="12"/>
        <v>0</v>
      </c>
      <c r="BA32" s="16">
        <f t="shared" si="13"/>
        <v>0</v>
      </c>
      <c r="BB32" s="16">
        <f t="shared" si="20"/>
        <v>0</v>
      </c>
      <c r="BC32" s="10">
        <f t="shared" si="21"/>
        <v>0</v>
      </c>
      <c r="BE32" s="10">
        <f t="shared" si="22"/>
        <v>0</v>
      </c>
      <c r="BF32" s="10">
        <f t="shared" si="23"/>
        <v>0</v>
      </c>
      <c r="BH32" s="10"/>
      <c r="DL32" s="7"/>
      <c r="DM32" s="8"/>
      <c r="DN32" s="8"/>
      <c r="DO32" s="8"/>
      <c r="DP32" s="8"/>
      <c r="DR32" s="8"/>
      <c r="DS32" s="8"/>
      <c r="DT32" s="8"/>
    </row>
    <row r="33" spans="1:124" x14ac:dyDescent="0.25">
      <c r="A33" s="1">
        <v>46071</v>
      </c>
      <c r="B33" s="21">
        <v>257.98</v>
      </c>
      <c r="C33" s="21">
        <v>342.22</v>
      </c>
      <c r="D33" s="22">
        <v>1.45640276083207E-2</v>
      </c>
      <c r="E33" s="22">
        <v>1.47479234253442E-2</v>
      </c>
      <c r="F33" s="21">
        <v>0</v>
      </c>
      <c r="G33" s="21">
        <v>0.12</v>
      </c>
      <c r="H33" s="21">
        <v>0</v>
      </c>
      <c r="I33" s="21">
        <v>0.12</v>
      </c>
      <c r="J33" s="21">
        <v>0</v>
      </c>
      <c r="K33" s="21">
        <v>0</v>
      </c>
      <c r="L33" s="21">
        <v>257.98</v>
      </c>
      <c r="M33" s="21">
        <v>342.22</v>
      </c>
      <c r="N33" s="23">
        <v>1.32653694084812</v>
      </c>
      <c r="O33" s="23">
        <v>1.3338063878300499</v>
      </c>
      <c r="P33" s="23">
        <v>1.3088208146884499</v>
      </c>
      <c r="Q33" s="23">
        <v>1.3029176085971199</v>
      </c>
      <c r="R33" s="21">
        <v>344.095371932398</v>
      </c>
      <c r="S33" s="21">
        <v>336.957070739465</v>
      </c>
      <c r="T33" s="21">
        <v>335.65475715352898</v>
      </c>
      <c r="U33" s="22">
        <v>5.4650578340921198E-3</v>
      </c>
      <c r="V33" s="22">
        <v>-1.54982693955905E-2</v>
      </c>
      <c r="W33" s="22">
        <v>-1.9370681860972301E-2</v>
      </c>
      <c r="X33" s="23">
        <v>1.32653694084812</v>
      </c>
      <c r="Y33" s="23">
        <v>1.3338063878300499</v>
      </c>
      <c r="Z33" s="23">
        <v>1.3088208146884499</v>
      </c>
      <c r="AA33" s="23">
        <v>1.3029176085971199</v>
      </c>
      <c r="AB33" s="21">
        <v>344.095371932398</v>
      </c>
      <c r="AC33" s="21">
        <v>336.957070739465</v>
      </c>
      <c r="AD33" s="21">
        <v>335.65475715352898</v>
      </c>
      <c r="AE33" s="22">
        <v>5.4650578340921198E-3</v>
      </c>
      <c r="AF33" s="22">
        <v>-1.54982693955905E-2</v>
      </c>
      <c r="AG33" s="22">
        <v>-1.9370681860972301E-2</v>
      </c>
      <c r="AI33" s="5"/>
      <c r="AJ33">
        <f t="shared" si="6"/>
        <v>1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16">
        <f t="shared" si="8"/>
        <v>1.45640276083207E-2</v>
      </c>
      <c r="AP33" s="16">
        <f t="shared" si="9"/>
        <v>-1.47479234253442E-2</v>
      </c>
      <c r="AQ33" s="16">
        <f t="shared" si="16"/>
        <v>-1.8389581702350083E-4</v>
      </c>
      <c r="AR33" s="10">
        <f t="shared" si="17"/>
        <v>-1.8389581702350083E-4</v>
      </c>
      <c r="AT33" s="5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16">
        <f t="shared" si="12"/>
        <v>0</v>
      </c>
      <c r="BA33" s="16">
        <f t="shared" si="13"/>
        <v>0</v>
      </c>
      <c r="BB33" s="16">
        <f t="shared" si="20"/>
        <v>0</v>
      </c>
      <c r="BC33" s="10">
        <f t="shared" si="21"/>
        <v>0</v>
      </c>
      <c r="BE33" s="10">
        <f t="shared" si="22"/>
        <v>-1.8389581702350083E-4</v>
      </c>
      <c r="BF33" s="10">
        <f t="shared" si="23"/>
        <v>-1.8389581702350083E-4</v>
      </c>
      <c r="BH33" s="10"/>
      <c r="DL33" s="7"/>
      <c r="DM33" s="8"/>
      <c r="DN33" s="8"/>
      <c r="DO33" s="8"/>
      <c r="DP33" s="8"/>
      <c r="DQ33" s="8"/>
      <c r="DR33" s="8"/>
      <c r="DS33" s="8"/>
      <c r="DT33" s="8"/>
    </row>
    <row r="34" spans="1:124" x14ac:dyDescent="0.25">
      <c r="A34" s="1">
        <v>46072</v>
      </c>
      <c r="B34" s="21">
        <v>260.2</v>
      </c>
      <c r="C34" s="21">
        <v>345.99</v>
      </c>
      <c r="D34" s="22">
        <v>8.5685035414147393E-3</v>
      </c>
      <c r="E34" s="22">
        <v>1.09560678021326E-2</v>
      </c>
      <c r="F34" s="21">
        <v>0</v>
      </c>
      <c r="G34" s="21">
        <v>0.12</v>
      </c>
      <c r="H34" s="21">
        <v>0</v>
      </c>
      <c r="I34" s="21">
        <v>0.12</v>
      </c>
      <c r="J34" s="21">
        <v>0</v>
      </c>
      <c r="K34" s="21">
        <v>0</v>
      </c>
      <c r="L34" s="21">
        <v>260.2</v>
      </c>
      <c r="M34" s="21">
        <v>345.99</v>
      </c>
      <c r="N34" s="23">
        <v>1.3297079169869299</v>
      </c>
      <c r="O34" s="23">
        <v>1.3338063878300499</v>
      </c>
      <c r="P34" s="23">
        <v>1.3116612675060499</v>
      </c>
      <c r="Q34" s="23">
        <v>1.30481347992938</v>
      </c>
      <c r="R34" s="21">
        <v>347.05642211338102</v>
      </c>
      <c r="S34" s="21">
        <v>340.55517598193501</v>
      </c>
      <c r="T34" s="21">
        <v>339.01916175697102</v>
      </c>
      <c r="U34" s="22">
        <v>3.0774935733743E-3</v>
      </c>
      <c r="V34" s="22">
        <v>-1.58327164442916E-2</v>
      </c>
      <c r="W34" s="22">
        <v>-2.03532427661011E-2</v>
      </c>
      <c r="X34" s="23">
        <v>1.3297079169869299</v>
      </c>
      <c r="Y34" s="23">
        <v>1.3338063878300499</v>
      </c>
      <c r="Z34" s="23">
        <v>1.3116612675060499</v>
      </c>
      <c r="AA34" s="23">
        <v>1.30481347992938</v>
      </c>
      <c r="AB34" s="21">
        <v>347.05642211338102</v>
      </c>
      <c r="AC34" s="21">
        <v>340.55517598193501</v>
      </c>
      <c r="AD34" s="21">
        <v>339.01916175697102</v>
      </c>
      <c r="AE34" s="22">
        <v>3.0774935733743E-3</v>
      </c>
      <c r="AF34" s="22">
        <v>-1.58327164442916E-2</v>
      </c>
      <c r="AG34" s="22">
        <v>-2.03532427661011E-2</v>
      </c>
      <c r="AI34" s="5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16">
        <f t="shared" si="8"/>
        <v>8.5685035414147393E-3</v>
      </c>
      <c r="AP34" s="16">
        <f t="shared" si="9"/>
        <v>-1.09560678021326E-2</v>
      </c>
      <c r="AQ34" s="16">
        <f t="shared" si="16"/>
        <v>-2.3875642607178605E-3</v>
      </c>
      <c r="AR34" s="10">
        <f t="shared" si="17"/>
        <v>-2.5714600777413613E-3</v>
      </c>
      <c r="AT34" s="5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16">
        <f t="shared" si="12"/>
        <v>0</v>
      </c>
      <c r="BA34" s="16">
        <f t="shared" si="13"/>
        <v>0</v>
      </c>
      <c r="BB34" s="16">
        <f t="shared" si="20"/>
        <v>0</v>
      </c>
      <c r="BC34" s="10">
        <f t="shared" si="21"/>
        <v>0</v>
      </c>
      <c r="BE34" s="10">
        <f t="shared" si="22"/>
        <v>-2.3875642607178605E-3</v>
      </c>
      <c r="BF34" s="10">
        <f t="shared" si="23"/>
        <v>-2.5714600777413613E-3</v>
      </c>
      <c r="BH34" s="10"/>
    </row>
    <row r="35" spans="1:124" x14ac:dyDescent="0.25">
      <c r="A35" s="1">
        <v>46073</v>
      </c>
      <c r="B35" s="21">
        <v>261.61</v>
      </c>
      <c r="C35" s="21">
        <v>351.66</v>
      </c>
      <c r="D35" s="22">
        <v>5.4042790737265298E-3</v>
      </c>
      <c r="E35" s="22">
        <v>1.6254926810435898E-2</v>
      </c>
      <c r="F35" s="21">
        <v>0</v>
      </c>
      <c r="G35" s="21">
        <v>0.12</v>
      </c>
      <c r="H35" s="21">
        <v>0</v>
      </c>
      <c r="I35" s="21">
        <v>0.12</v>
      </c>
      <c r="J35" s="21">
        <v>0</v>
      </c>
      <c r="K35" s="21">
        <v>0</v>
      </c>
      <c r="L35" s="21">
        <v>261.61</v>
      </c>
      <c r="M35" s="21">
        <v>351.66</v>
      </c>
      <c r="N35" s="23">
        <v>1.34421467069301</v>
      </c>
      <c r="O35" s="23">
        <v>1.3338063878300499</v>
      </c>
      <c r="P35" s="23">
        <v>1.3163741061143099</v>
      </c>
      <c r="Q35" s="23">
        <v>1.30727030274293</v>
      </c>
      <c r="R35" s="21">
        <v>348.937089120221</v>
      </c>
      <c r="S35" s="21">
        <v>343.14370419225799</v>
      </c>
      <c r="T35" s="21">
        <v>341.35225448432499</v>
      </c>
      <c r="U35" s="22">
        <v>-7.7731541633349202E-3</v>
      </c>
      <c r="V35" s="22">
        <v>-2.45154776311561E-2</v>
      </c>
      <c r="W35" s="22">
        <v>-2.9749851261858098E-2</v>
      </c>
      <c r="X35" s="23">
        <v>1.34421467069301</v>
      </c>
      <c r="Y35" s="23">
        <v>1.3338063878300499</v>
      </c>
      <c r="Z35" s="23">
        <v>1.3163741061143099</v>
      </c>
      <c r="AA35" s="23">
        <v>1.30727030274293</v>
      </c>
      <c r="AB35" s="21">
        <v>348.937089120221</v>
      </c>
      <c r="AC35" s="21">
        <v>343.14370419225799</v>
      </c>
      <c r="AD35" s="21">
        <v>341.35225448432499</v>
      </c>
      <c r="AE35" s="22">
        <v>-7.7731541633349202E-3</v>
      </c>
      <c r="AF35" s="22">
        <v>-2.45154776311561E-2</v>
      </c>
      <c r="AG35" s="22">
        <v>-2.9749851261858098E-2</v>
      </c>
      <c r="AI35" s="5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16">
        <f t="shared" si="8"/>
        <v>5.4042790737265298E-3</v>
      </c>
      <c r="AP35" s="16">
        <f t="shared" si="9"/>
        <v>-1.6254926810435898E-2</v>
      </c>
      <c r="AQ35" s="16">
        <f t="shared" si="16"/>
        <v>-1.0850647736709369E-2</v>
      </c>
      <c r="AR35" s="10">
        <f t="shared" si="17"/>
        <v>-1.342210781445073E-2</v>
      </c>
      <c r="AT35" s="5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16">
        <f t="shared" si="12"/>
        <v>0</v>
      </c>
      <c r="BA35" s="16">
        <f t="shared" si="13"/>
        <v>0</v>
      </c>
      <c r="BB35" s="16">
        <f t="shared" si="20"/>
        <v>0</v>
      </c>
      <c r="BC35" s="10">
        <f t="shared" si="21"/>
        <v>0</v>
      </c>
      <c r="BE35" s="10">
        <f t="shared" si="22"/>
        <v>-1.0850647736709369E-2</v>
      </c>
      <c r="BF35" s="10">
        <f t="shared" si="23"/>
        <v>-1.342210781445073E-2</v>
      </c>
      <c r="BH35" s="10"/>
    </row>
    <row r="36" spans="1:124" x14ac:dyDescent="0.25">
      <c r="A36" s="1">
        <v>46076</v>
      </c>
      <c r="B36" s="21">
        <v>258.86</v>
      </c>
      <c r="C36" s="21">
        <v>346.27</v>
      </c>
      <c r="D36" s="22">
        <v>-1.05674701378394E-2</v>
      </c>
      <c r="E36" s="22">
        <v>-1.54459821501374E-2</v>
      </c>
      <c r="F36" s="21">
        <v>0</v>
      </c>
      <c r="G36" s="21">
        <v>0.12</v>
      </c>
      <c r="H36" s="21">
        <v>0</v>
      </c>
      <c r="I36" s="21">
        <v>0.12</v>
      </c>
      <c r="J36" s="21">
        <v>0</v>
      </c>
      <c r="K36" s="21">
        <v>0</v>
      </c>
      <c r="L36" s="21">
        <v>258.86</v>
      </c>
      <c r="M36" s="21">
        <v>346.27</v>
      </c>
      <c r="N36" s="23">
        <v>1.33767287336784</v>
      </c>
      <c r="O36" s="23">
        <v>1.3338063878300499</v>
      </c>
      <c r="P36" s="23">
        <v>1.32007171397667</v>
      </c>
      <c r="Q36" s="23">
        <v>1.30934078260017</v>
      </c>
      <c r="R36" s="21">
        <v>345.26912155368899</v>
      </c>
      <c r="S36" s="21">
        <v>340.75660110874998</v>
      </c>
      <c r="T36" s="21">
        <v>338.39999056803498</v>
      </c>
      <c r="U36" s="22">
        <v>-2.89464215103681E-3</v>
      </c>
      <c r="V36" s="22">
        <v>-1.60503748845147E-2</v>
      </c>
      <c r="W36" s="22">
        <v>-2.2990217706423E-2</v>
      </c>
      <c r="X36" s="23">
        <v>1.33767287336784</v>
      </c>
      <c r="Y36" s="23">
        <v>1.3338063878300499</v>
      </c>
      <c r="Z36" s="23">
        <v>1.32007171397667</v>
      </c>
      <c r="AA36" s="23">
        <v>1.30934078260017</v>
      </c>
      <c r="AB36" s="21">
        <v>345.26912155368899</v>
      </c>
      <c r="AC36" s="21">
        <v>340.75660110874998</v>
      </c>
      <c r="AD36" s="21">
        <v>338.39999056803498</v>
      </c>
      <c r="AE36" s="22">
        <v>-2.89464215103681E-3</v>
      </c>
      <c r="AF36" s="22">
        <v>-1.60503748845147E-2</v>
      </c>
      <c r="AG36" s="22">
        <v>-2.2990217706423E-2</v>
      </c>
      <c r="AI36" s="5"/>
      <c r="AJ36">
        <f t="shared" si="6"/>
        <v>1</v>
      </c>
      <c r="AK36">
        <f t="shared" si="7"/>
        <v>0</v>
      </c>
      <c r="AL36">
        <f t="shared" si="14"/>
        <v>1</v>
      </c>
      <c r="AM36">
        <f t="shared" si="4"/>
        <v>1</v>
      </c>
      <c r="AN36">
        <f t="shared" si="15"/>
        <v>1</v>
      </c>
      <c r="AO36" s="16">
        <f t="shared" si="8"/>
        <v>-1.05674701378394E-2</v>
      </c>
      <c r="AP36" s="16">
        <f t="shared" si="9"/>
        <v>1.54459821501374E-2</v>
      </c>
      <c r="AQ36" s="16">
        <f t="shared" si="16"/>
        <v>4.8785120122979992E-3</v>
      </c>
      <c r="AR36" s="10">
        <f t="shared" si="17"/>
        <v>-8.5435958021527307E-3</v>
      </c>
      <c r="AT36" s="5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16">
        <f t="shared" si="12"/>
        <v>0</v>
      </c>
      <c r="BA36" s="16">
        <f t="shared" si="13"/>
        <v>0</v>
      </c>
      <c r="BB36" s="16">
        <f t="shared" si="20"/>
        <v>0</v>
      </c>
      <c r="BC36" s="10">
        <f t="shared" si="21"/>
        <v>0</v>
      </c>
      <c r="BE36" s="10">
        <f t="shared" si="22"/>
        <v>4.8785120122979992E-3</v>
      </c>
      <c r="BF36" s="10">
        <f t="shared" si="23"/>
        <v>-8.5435958021527307E-3</v>
      </c>
      <c r="BH36" s="10"/>
    </row>
    <row r="37" spans="1:124" x14ac:dyDescent="0.25">
      <c r="A37" s="1">
        <v>46077</v>
      </c>
      <c r="B37" s="21">
        <v>259.39</v>
      </c>
      <c r="C37" s="21">
        <v>350.64</v>
      </c>
      <c r="D37" s="22">
        <v>2.0453456238050901E-3</v>
      </c>
      <c r="E37" s="22">
        <v>1.2541238544298099E-2</v>
      </c>
      <c r="F37" s="21">
        <v>0</v>
      </c>
      <c r="G37" s="21">
        <v>0.12</v>
      </c>
      <c r="H37" s="21">
        <v>0</v>
      </c>
      <c r="I37" s="21">
        <v>0.12</v>
      </c>
      <c r="J37" s="21">
        <v>0</v>
      </c>
      <c r="K37" s="21">
        <v>0</v>
      </c>
      <c r="L37" s="21">
        <v>259.39</v>
      </c>
      <c r="M37" s="21">
        <v>350.64</v>
      </c>
      <c r="N37" s="23">
        <v>1.3517868846139001</v>
      </c>
      <c r="O37" s="23">
        <v>1.3338063878300499</v>
      </c>
      <c r="P37" s="23">
        <v>1.3252874782823501</v>
      </c>
      <c r="Q37" s="23">
        <v>1.31202377425315</v>
      </c>
      <c r="R37" s="21">
        <v>345.976038939239</v>
      </c>
      <c r="S37" s="21">
        <v>342.41340188841002</v>
      </c>
      <c r="T37" s="21">
        <v>339.62990559865898</v>
      </c>
      <c r="U37" s="22">
        <v>-1.33905350715298E-2</v>
      </c>
      <c r="V37" s="22">
        <v>-2.3741271579719999E-2</v>
      </c>
      <c r="W37" s="22">
        <v>-3.1903544305943797E-2</v>
      </c>
      <c r="X37" s="23">
        <v>1.3517868846139001</v>
      </c>
      <c r="Y37" s="23">
        <v>1.3338063878300499</v>
      </c>
      <c r="Z37" s="23">
        <v>1.3252874782823501</v>
      </c>
      <c r="AA37" s="23">
        <v>1.31202377425315</v>
      </c>
      <c r="AB37" s="21">
        <v>345.976038939239</v>
      </c>
      <c r="AC37" s="21">
        <v>342.41340188841002</v>
      </c>
      <c r="AD37" s="21">
        <v>339.62990559865898</v>
      </c>
      <c r="AE37" s="22">
        <v>-1.33905350715298E-2</v>
      </c>
      <c r="AF37" s="22">
        <v>-2.3741271579719999E-2</v>
      </c>
      <c r="AG37" s="22">
        <v>-3.1903544305943797E-2</v>
      </c>
      <c r="AI37" s="5"/>
      <c r="AJ37">
        <f t="shared" si="6"/>
        <v>1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16">
        <f t="shared" si="8"/>
        <v>2.0453456238050901E-3</v>
      </c>
      <c r="AP37" s="16">
        <f t="shared" si="9"/>
        <v>-1.2541238544298099E-2</v>
      </c>
      <c r="AQ37" s="16">
        <f t="shared" si="16"/>
        <v>-1.049589292049301E-2</v>
      </c>
      <c r="AR37" s="10">
        <f t="shared" si="17"/>
        <v>-1.9039488722645742E-2</v>
      </c>
      <c r="AT37" s="5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16">
        <f t="shared" si="12"/>
        <v>0</v>
      </c>
      <c r="BA37" s="16">
        <f t="shared" si="13"/>
        <v>0</v>
      </c>
      <c r="BB37" s="16">
        <f t="shared" si="20"/>
        <v>0</v>
      </c>
      <c r="BC37" s="10">
        <f t="shared" si="21"/>
        <v>0</v>
      </c>
      <c r="BE37" s="10">
        <f t="shared" si="22"/>
        <v>-1.049589292049301E-2</v>
      </c>
      <c r="BF37" s="10">
        <f t="shared" si="23"/>
        <v>-1.9039488722645742E-2</v>
      </c>
      <c r="BH37" s="10"/>
    </row>
    <row r="38" spans="1:124" x14ac:dyDescent="0.25">
      <c r="A38" s="1">
        <v>46078</v>
      </c>
      <c r="B38" s="21">
        <v>252.98</v>
      </c>
      <c r="C38" s="21">
        <v>344.72</v>
      </c>
      <c r="D38" s="22">
        <v>-2.5022286418701498E-2</v>
      </c>
      <c r="E38" s="22">
        <v>-1.7027562802970998E-2</v>
      </c>
      <c r="F38" s="21">
        <v>0</v>
      </c>
      <c r="G38" s="21">
        <v>0.12</v>
      </c>
      <c r="H38" s="21">
        <v>0</v>
      </c>
      <c r="I38" s="21">
        <v>0.12</v>
      </c>
      <c r="J38" s="21">
        <v>0</v>
      </c>
      <c r="K38" s="21">
        <v>0</v>
      </c>
      <c r="L38" s="21">
        <v>252.98</v>
      </c>
      <c r="M38" s="21">
        <v>344.72</v>
      </c>
      <c r="N38" s="23">
        <v>1.36263736263736</v>
      </c>
      <c r="O38" s="23">
        <v>1.3338063878300499</v>
      </c>
      <c r="P38" s="23">
        <v>1.33109573385056</v>
      </c>
      <c r="Q38" s="23">
        <v>1.3153842630087</v>
      </c>
      <c r="R38" s="21">
        <v>337.42633999324801</v>
      </c>
      <c r="S38" s="21">
        <v>335.27122625586901</v>
      </c>
      <c r="T38" s="21">
        <v>331.91577441056199</v>
      </c>
      <c r="U38" s="22">
        <v>-2.1385258687260499E-2</v>
      </c>
      <c r="V38" s="22">
        <v>-2.7792658442050401E-2</v>
      </c>
      <c r="W38" s="22">
        <v>-3.7851248110683897E-2</v>
      </c>
      <c r="X38" s="23">
        <v>1.36263736263736</v>
      </c>
      <c r="Y38" s="23">
        <v>1.3338063878300499</v>
      </c>
      <c r="Z38" s="23">
        <v>1.33109573385056</v>
      </c>
      <c r="AA38" s="23">
        <v>1.3153842630087</v>
      </c>
      <c r="AB38" s="21">
        <v>337.42633999324801</v>
      </c>
      <c r="AC38" s="21">
        <v>335.27122625586901</v>
      </c>
      <c r="AD38" s="21">
        <v>331.91577441056199</v>
      </c>
      <c r="AE38" s="22">
        <v>-2.1385258687260499E-2</v>
      </c>
      <c r="AF38" s="22">
        <v>-2.7792658442050401E-2</v>
      </c>
      <c r="AG38" s="22">
        <v>-3.7851248110683897E-2</v>
      </c>
      <c r="AI38" s="5"/>
      <c r="AJ38">
        <f t="shared" si="6"/>
        <v>1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16">
        <f t="shared" si="8"/>
        <v>-2.5022286418701498E-2</v>
      </c>
      <c r="AP38" s="16">
        <f t="shared" si="9"/>
        <v>1.7027562802970998E-2</v>
      </c>
      <c r="AQ38" s="16">
        <f t="shared" si="16"/>
        <v>-7.9947236157305E-3</v>
      </c>
      <c r="AR38" s="10">
        <f t="shared" si="17"/>
        <v>-2.7034212338376242E-2</v>
      </c>
      <c r="AT38" s="5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16">
        <f t="shared" si="12"/>
        <v>0</v>
      </c>
      <c r="BA38" s="16">
        <f t="shared" si="13"/>
        <v>0</v>
      </c>
      <c r="BB38" s="16">
        <f t="shared" si="20"/>
        <v>0</v>
      </c>
      <c r="BC38" s="10">
        <f t="shared" si="21"/>
        <v>0</v>
      </c>
      <c r="BE38" s="10">
        <f t="shared" si="22"/>
        <v>-7.9947236157305E-3</v>
      </c>
      <c r="BF38" s="10">
        <f t="shared" si="23"/>
        <v>-2.7034212338376242E-2</v>
      </c>
      <c r="BH38" s="10"/>
    </row>
    <row r="39" spans="1:124" x14ac:dyDescent="0.25">
      <c r="A39" s="1">
        <v>46079</v>
      </c>
      <c r="B39" s="21">
        <v>237.87</v>
      </c>
      <c r="C39" s="21">
        <v>312.98</v>
      </c>
      <c r="D39" s="22">
        <v>-6.1586128266978402E-2</v>
      </c>
      <c r="E39" s="22">
        <v>-9.65932025725567E-2</v>
      </c>
      <c r="F39" s="21">
        <v>0</v>
      </c>
      <c r="G39" s="21">
        <v>0.12</v>
      </c>
      <c r="H39" s="21">
        <v>0</v>
      </c>
      <c r="I39" s="21">
        <v>0.12</v>
      </c>
      <c r="J39" s="21">
        <v>0</v>
      </c>
      <c r="K39" s="21">
        <v>0</v>
      </c>
      <c r="L39" s="21">
        <v>237.87</v>
      </c>
      <c r="M39" s="21">
        <v>312.98</v>
      </c>
      <c r="N39" s="23">
        <v>1.31576070963131</v>
      </c>
      <c r="O39" s="23">
        <v>1.3338063878300499</v>
      </c>
      <c r="P39" s="23">
        <v>1.33214020434403</v>
      </c>
      <c r="Q39" s="23">
        <v>1.31627421930563</v>
      </c>
      <c r="R39" s="21">
        <v>317.272525473136</v>
      </c>
      <c r="S39" s="21">
        <v>316.627742211032</v>
      </c>
      <c r="T39" s="21">
        <v>312.89045464188098</v>
      </c>
      <c r="U39" s="22">
        <v>1.36218156183177E-2</v>
      </c>
      <c r="V39" s="22">
        <v>1.158747830267E-2</v>
      </c>
      <c r="W39" s="22">
        <v>-2.8614662368466E-4</v>
      </c>
      <c r="X39" s="23">
        <v>1.31576070963131</v>
      </c>
      <c r="Y39" s="23">
        <v>1.3338063878300499</v>
      </c>
      <c r="Z39" s="23">
        <v>1.33214020434403</v>
      </c>
      <c r="AA39" s="23">
        <v>1.31627421930563</v>
      </c>
      <c r="AB39" s="21">
        <v>317.272525473136</v>
      </c>
      <c r="AC39" s="21">
        <v>316.627742211032</v>
      </c>
      <c r="AD39" s="21">
        <v>312.89045464188098</v>
      </c>
      <c r="AE39" s="22">
        <v>1.36218156183177E-2</v>
      </c>
      <c r="AF39" s="22">
        <v>1.158747830267E-2</v>
      </c>
      <c r="AG39" s="22">
        <v>-2.8614662368466E-4</v>
      </c>
      <c r="AI39" s="5"/>
      <c r="AJ39">
        <f t="shared" si="6"/>
        <v>0</v>
      </c>
      <c r="AK39">
        <f t="shared" si="7"/>
        <v>1</v>
      </c>
      <c r="AL39">
        <f t="shared" si="14"/>
        <v>1</v>
      </c>
      <c r="AM39">
        <f t="shared" si="4"/>
        <v>1</v>
      </c>
      <c r="AN39">
        <f t="shared" si="15"/>
        <v>1</v>
      </c>
      <c r="AO39" s="16">
        <f t="shared" si="8"/>
        <v>-6.1586128266978402E-2</v>
      </c>
      <c r="AP39" s="16">
        <f t="shared" si="9"/>
        <v>9.65932025725567E-2</v>
      </c>
      <c r="AQ39" s="16">
        <f t="shared" si="16"/>
        <v>3.5007074305578298E-2</v>
      </c>
      <c r="AR39" s="10">
        <f t="shared" si="17"/>
        <v>7.9728619672020558E-3</v>
      </c>
      <c r="AT39" s="5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16">
        <f t="shared" si="12"/>
        <v>0</v>
      </c>
      <c r="BA39" s="16">
        <f t="shared" si="13"/>
        <v>0</v>
      </c>
      <c r="BB39" s="16">
        <f t="shared" si="20"/>
        <v>0</v>
      </c>
      <c r="BC39" s="10">
        <f t="shared" si="21"/>
        <v>0</v>
      </c>
      <c r="BE39" s="10">
        <f t="shared" si="22"/>
        <v>3.5007074305578298E-2</v>
      </c>
      <c r="BF39" s="10">
        <f t="shared" si="23"/>
        <v>7.9728619672020558E-3</v>
      </c>
      <c r="BH39" s="10"/>
    </row>
    <row r="40" spans="1:124" x14ac:dyDescent="0.25">
      <c r="A40" s="1">
        <v>46080</v>
      </c>
      <c r="B40" s="21">
        <v>240.11</v>
      </c>
      <c r="C40" s="21">
        <v>319.45999999999998</v>
      </c>
      <c r="D40" s="22">
        <v>9.3728457202680495E-3</v>
      </c>
      <c r="E40" s="22">
        <v>2.0492779626784599E-2</v>
      </c>
      <c r="F40" s="21">
        <v>0</v>
      </c>
      <c r="G40" s="21">
        <v>0.12</v>
      </c>
      <c r="H40" s="21">
        <v>0</v>
      </c>
      <c r="I40" s="21">
        <v>0.12</v>
      </c>
      <c r="J40" s="21">
        <v>0</v>
      </c>
      <c r="K40" s="21">
        <v>0</v>
      </c>
      <c r="L40" s="21">
        <v>240.11</v>
      </c>
      <c r="M40" s="21">
        <v>319.45999999999998</v>
      </c>
      <c r="N40" s="23">
        <v>1.33047353296405</v>
      </c>
      <c r="O40" s="23">
        <v>1.3338063878300499</v>
      </c>
      <c r="P40" s="23">
        <v>1.3339859917700201</v>
      </c>
      <c r="Q40" s="23">
        <v>1.3176310329777901</v>
      </c>
      <c r="R40" s="21">
        <v>320.26025178187501</v>
      </c>
      <c r="S40" s="21">
        <v>319.86018446504602</v>
      </c>
      <c r="T40" s="21">
        <v>316.05060279747698</v>
      </c>
      <c r="U40" s="22">
        <v>2.5018817118014798E-3</v>
      </c>
      <c r="V40" s="22">
        <v>1.2519064063279499E-3</v>
      </c>
      <c r="W40" s="22">
        <v>-1.07297341601548E-2</v>
      </c>
      <c r="X40" s="23">
        <v>1.33047353296405</v>
      </c>
      <c r="Y40" s="23">
        <v>1.3338063878300499</v>
      </c>
      <c r="Z40" s="23">
        <v>1.3339859917700201</v>
      </c>
      <c r="AA40" s="23">
        <v>1.3176310329777901</v>
      </c>
      <c r="AB40" s="21">
        <v>320.26025178187501</v>
      </c>
      <c r="AC40" s="21">
        <v>319.86018446504602</v>
      </c>
      <c r="AD40" s="21">
        <v>316.05060279747698</v>
      </c>
      <c r="AE40" s="22">
        <v>2.5018817118014798E-3</v>
      </c>
      <c r="AF40" s="22">
        <v>1.2519064063279499E-3</v>
      </c>
      <c r="AG40" s="22">
        <v>-1.07297341601548E-2</v>
      </c>
      <c r="AI40" s="5"/>
      <c r="AJ40">
        <f t="shared" si="6"/>
        <v>0</v>
      </c>
      <c r="AK40">
        <f t="shared" si="7"/>
        <v>0</v>
      </c>
      <c r="AL40">
        <f t="shared" si="14"/>
        <v>0</v>
      </c>
      <c r="AM40">
        <f t="shared" si="4"/>
        <v>1</v>
      </c>
      <c r="AN40">
        <f t="shared" si="15"/>
        <v>0</v>
      </c>
      <c r="AO40" s="16">
        <f t="shared" si="8"/>
        <v>0</v>
      </c>
      <c r="AP40" s="16">
        <f t="shared" si="9"/>
        <v>0</v>
      </c>
      <c r="AQ40" s="16">
        <f t="shared" si="16"/>
        <v>0</v>
      </c>
      <c r="AR40" s="10">
        <f t="shared" si="17"/>
        <v>7.9728619672020558E-3</v>
      </c>
      <c r="AT40" s="5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16">
        <f t="shared" si="12"/>
        <v>0</v>
      </c>
      <c r="BA40" s="16">
        <f t="shared" si="13"/>
        <v>0</v>
      </c>
      <c r="BB40" s="16">
        <f t="shared" si="20"/>
        <v>0</v>
      </c>
      <c r="BC40" s="10">
        <f t="shared" si="21"/>
        <v>0</v>
      </c>
      <c r="BE40" s="10">
        <f t="shared" si="22"/>
        <v>0</v>
      </c>
      <c r="BF40" s="10">
        <f t="shared" si="23"/>
        <v>7.9728619672020558E-3</v>
      </c>
      <c r="BH40" s="10"/>
    </row>
    <row r="41" spans="1:124" x14ac:dyDescent="0.25">
      <c r="A41" s="1">
        <v>46083</v>
      </c>
      <c r="B41" s="21">
        <v>246.39</v>
      </c>
      <c r="C41" s="21">
        <v>329.25</v>
      </c>
      <c r="D41" s="22">
        <v>2.5818494747525102E-2</v>
      </c>
      <c r="E41" s="22">
        <v>3.0185270261580001E-2</v>
      </c>
      <c r="F41" s="21">
        <v>0</v>
      </c>
      <c r="G41" s="21">
        <v>0.12</v>
      </c>
      <c r="H41" s="21">
        <v>0</v>
      </c>
      <c r="I41" s="21">
        <v>0.12</v>
      </c>
      <c r="J41" s="21">
        <v>0</v>
      </c>
      <c r="K41" s="21">
        <v>0</v>
      </c>
      <c r="L41" s="21">
        <v>246.39</v>
      </c>
      <c r="M41" s="21">
        <v>329.25</v>
      </c>
      <c r="N41" s="23">
        <v>1.3362961159137901</v>
      </c>
      <c r="O41" s="23">
        <v>1.3338063878300499</v>
      </c>
      <c r="P41" s="23">
        <v>1.3361380026338701</v>
      </c>
      <c r="Q41" s="23">
        <v>1.31945703324302</v>
      </c>
      <c r="R41" s="21">
        <v>328.63655589744798</v>
      </c>
      <c r="S41" s="21">
        <v>328.680808512216</v>
      </c>
      <c r="T41" s="21">
        <v>324.65111021539798</v>
      </c>
      <c r="U41" s="22">
        <v>-1.8648938022533901E-3</v>
      </c>
      <c r="V41" s="22">
        <v>-1.7302476869017001E-3</v>
      </c>
      <c r="W41" s="22">
        <v>-1.4066241944577E-2</v>
      </c>
      <c r="X41" s="23">
        <v>1.3362961159137901</v>
      </c>
      <c r="Y41" s="23">
        <v>1.3338063878300499</v>
      </c>
      <c r="Z41" s="23">
        <v>1.3361380026338701</v>
      </c>
      <c r="AA41" s="23">
        <v>1.31945703324302</v>
      </c>
      <c r="AB41" s="21">
        <v>328.63655589744798</v>
      </c>
      <c r="AC41" s="21">
        <v>328.680808512216</v>
      </c>
      <c r="AD41" s="21">
        <v>324.65111021539798</v>
      </c>
      <c r="AE41" s="22">
        <v>-1.8648938022533901E-3</v>
      </c>
      <c r="AF41" s="22">
        <v>-1.7302476869017001E-3</v>
      </c>
      <c r="AG41" s="22">
        <v>-1.4066241944577E-2</v>
      </c>
      <c r="AI41" s="5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16">
        <f t="shared" si="8"/>
        <v>0</v>
      </c>
      <c r="AP41" s="16">
        <f t="shared" si="9"/>
        <v>0</v>
      </c>
      <c r="AQ41" s="16">
        <f t="shared" si="16"/>
        <v>0</v>
      </c>
      <c r="AR41" s="10">
        <f t="shared" si="17"/>
        <v>7.9728619672020558E-3</v>
      </c>
      <c r="AT41" s="5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16">
        <f t="shared" si="12"/>
        <v>0</v>
      </c>
      <c r="BA41" s="16">
        <f t="shared" si="13"/>
        <v>0</v>
      </c>
      <c r="BB41" s="16">
        <f t="shared" si="20"/>
        <v>0</v>
      </c>
      <c r="BC41" s="10">
        <f t="shared" si="21"/>
        <v>0</v>
      </c>
      <c r="BE41" s="10">
        <f t="shared" si="22"/>
        <v>0</v>
      </c>
      <c r="BF41" s="10">
        <f t="shared" si="23"/>
        <v>7.9728619672020558E-3</v>
      </c>
      <c r="BH41" s="10"/>
    </row>
    <row r="42" spans="1:124" x14ac:dyDescent="0.25">
      <c r="A42" s="1">
        <v>46084</v>
      </c>
      <c r="B42" s="21">
        <v>244.51</v>
      </c>
      <c r="C42" s="21">
        <v>326.70999999999998</v>
      </c>
      <c r="D42" s="22">
        <v>-7.6594385461566496E-3</v>
      </c>
      <c r="E42" s="22">
        <v>-7.7444133632974099E-3</v>
      </c>
      <c r="F42" s="21">
        <v>0</v>
      </c>
      <c r="G42" s="21">
        <v>0.12</v>
      </c>
      <c r="H42" s="21">
        <v>0</v>
      </c>
      <c r="I42" s="21">
        <v>0.12</v>
      </c>
      <c r="J42" s="21">
        <v>0</v>
      </c>
      <c r="K42" s="21">
        <v>0</v>
      </c>
      <c r="L42" s="21">
        <v>244.51</v>
      </c>
      <c r="M42" s="21">
        <v>326.70999999999998</v>
      </c>
      <c r="N42" s="23">
        <v>1.3361825692200699</v>
      </c>
      <c r="O42" s="23">
        <v>1.3338063878300499</v>
      </c>
      <c r="P42" s="23">
        <v>1.3371269576876399</v>
      </c>
      <c r="Q42" s="23">
        <v>1.32163168323847</v>
      </c>
      <c r="R42" s="21">
        <v>326.12899988832697</v>
      </c>
      <c r="S42" s="21">
        <v>326.69910302400802</v>
      </c>
      <c r="T42" s="21">
        <v>322.62043919824998</v>
      </c>
      <c r="U42" s="22">
        <v>-1.7799189851126101E-3</v>
      </c>
      <c r="V42" s="22">
        <v>-3.3354221549078297E-5</v>
      </c>
      <c r="W42" s="22">
        <v>-1.25964058628845E-2</v>
      </c>
      <c r="X42" s="23">
        <v>1.3361825692200699</v>
      </c>
      <c r="Y42" s="23">
        <v>1.3338063878300499</v>
      </c>
      <c r="Z42" s="23">
        <v>1.3371269576876399</v>
      </c>
      <c r="AA42" s="23">
        <v>1.32163168323847</v>
      </c>
      <c r="AB42" s="21">
        <v>326.12899988832697</v>
      </c>
      <c r="AC42" s="21">
        <v>326.69910302400802</v>
      </c>
      <c r="AD42" s="21">
        <v>322.62043919824998</v>
      </c>
      <c r="AE42" s="22">
        <v>-1.7799189851126101E-3</v>
      </c>
      <c r="AF42" s="22">
        <v>-3.3354221549078297E-5</v>
      </c>
      <c r="AG42" s="22">
        <v>-1.25964058628845E-2</v>
      </c>
      <c r="AI42" s="5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16">
        <f t="shared" si="8"/>
        <v>0</v>
      </c>
      <c r="AP42" s="16">
        <f t="shared" si="9"/>
        <v>0</v>
      </c>
      <c r="AQ42" s="16">
        <f t="shared" si="16"/>
        <v>0</v>
      </c>
      <c r="AR42" s="10">
        <f t="shared" si="17"/>
        <v>7.9728619672020558E-3</v>
      </c>
      <c r="AT42" s="5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16">
        <f t="shared" si="12"/>
        <v>0</v>
      </c>
      <c r="BA42" s="16">
        <f t="shared" si="13"/>
        <v>0</v>
      </c>
      <c r="BB42" s="16">
        <f t="shared" si="20"/>
        <v>0</v>
      </c>
      <c r="BC42" s="10">
        <f t="shared" si="21"/>
        <v>0</v>
      </c>
      <c r="BE42" s="10">
        <f t="shared" si="22"/>
        <v>0</v>
      </c>
      <c r="BF42" s="10">
        <f t="shared" si="23"/>
        <v>7.9728619672020558E-3</v>
      </c>
      <c r="BH42" s="10"/>
    </row>
    <row r="43" spans="1:124" x14ac:dyDescent="0.25">
      <c r="A43" s="1">
        <v>46085</v>
      </c>
      <c r="B43" s="21">
        <v>243.7</v>
      </c>
      <c r="C43" s="21">
        <v>320.05</v>
      </c>
      <c r="D43" s="22">
        <v>-3.3182472428933902E-3</v>
      </c>
      <c r="E43" s="22">
        <v>-2.0595693672080601E-2</v>
      </c>
      <c r="F43" s="21">
        <v>0</v>
      </c>
      <c r="G43" s="21">
        <v>0.12</v>
      </c>
      <c r="H43" s="21">
        <v>0</v>
      </c>
      <c r="I43" s="21">
        <v>0.12</v>
      </c>
      <c r="J43" s="21">
        <v>0</v>
      </c>
      <c r="K43" s="21">
        <v>0</v>
      </c>
      <c r="L43" s="21">
        <v>243.7</v>
      </c>
      <c r="M43" s="21">
        <v>320.05</v>
      </c>
      <c r="N43" s="23">
        <v>1.3132950348789401</v>
      </c>
      <c r="O43" s="23">
        <v>1.3338063878300499</v>
      </c>
      <c r="P43" s="23">
        <v>1.33580276709072</v>
      </c>
      <c r="Q43" s="23">
        <v>1.3223117908895801</v>
      </c>
      <c r="R43" s="21">
        <v>325.04861671418502</v>
      </c>
      <c r="S43" s="21">
        <v>325.85783958847799</v>
      </c>
      <c r="T43" s="21">
        <v>322.08164120521599</v>
      </c>
      <c r="U43" s="22">
        <v>1.5497527444074601E-2</v>
      </c>
      <c r="V43" s="22">
        <v>1.7983977788425299E-2</v>
      </c>
      <c r="W43" s="22">
        <v>6.3278239350976701E-3</v>
      </c>
      <c r="X43" s="23">
        <v>1.3132950348789401</v>
      </c>
      <c r="Y43" s="23">
        <v>1.3338063878300499</v>
      </c>
      <c r="Z43" s="23">
        <v>1.33580276709072</v>
      </c>
      <c r="AA43" s="23">
        <v>1.3223117908895801</v>
      </c>
      <c r="AB43" s="21">
        <v>325.04861671418502</v>
      </c>
      <c r="AC43" s="21">
        <v>325.85783958847799</v>
      </c>
      <c r="AD43" s="21">
        <v>322.08164120521599</v>
      </c>
      <c r="AE43" s="22">
        <v>1.5497527444074601E-2</v>
      </c>
      <c r="AF43" s="22">
        <v>1.7983977788425299E-2</v>
      </c>
      <c r="AG43" s="22">
        <v>6.3278239350976701E-3</v>
      </c>
      <c r="AI43" s="5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16">
        <f t="shared" si="8"/>
        <v>0</v>
      </c>
      <c r="AP43" s="16">
        <f t="shared" si="9"/>
        <v>0</v>
      </c>
      <c r="AQ43" s="16">
        <f t="shared" si="16"/>
        <v>0</v>
      </c>
      <c r="AR43" s="10">
        <f t="shared" si="17"/>
        <v>7.9728619672020558E-3</v>
      </c>
      <c r="AT43" s="5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16">
        <f t="shared" si="12"/>
        <v>0</v>
      </c>
      <c r="BA43" s="16">
        <f t="shared" si="13"/>
        <v>0</v>
      </c>
      <c r="BB43" s="16">
        <f t="shared" si="20"/>
        <v>0</v>
      </c>
      <c r="BC43" s="10">
        <f t="shared" si="21"/>
        <v>0</v>
      </c>
      <c r="BE43" s="10">
        <f t="shared" si="22"/>
        <v>0</v>
      </c>
      <c r="BF43" s="10">
        <f t="shared" si="23"/>
        <v>7.9728619672020558E-3</v>
      </c>
      <c r="BH43" s="10"/>
    </row>
    <row r="44" spans="1:124" x14ac:dyDescent="0.25">
      <c r="A44" s="1">
        <v>46086</v>
      </c>
      <c r="B44" s="21">
        <v>234.76</v>
      </c>
      <c r="C44" s="21">
        <v>307.36</v>
      </c>
      <c r="D44" s="22">
        <v>-3.7374244941026702E-2</v>
      </c>
      <c r="E44" s="22">
        <v>-4.04575345677659E-2</v>
      </c>
      <c r="F44" s="21">
        <v>0</v>
      </c>
      <c r="G44" s="21">
        <v>0.12</v>
      </c>
      <c r="H44" s="21">
        <v>0</v>
      </c>
      <c r="I44" s="21">
        <v>0.12</v>
      </c>
      <c r="J44" s="21">
        <v>0</v>
      </c>
      <c r="K44" s="21">
        <v>0</v>
      </c>
      <c r="L44" s="21">
        <v>234.76</v>
      </c>
      <c r="M44" s="21">
        <v>307.36</v>
      </c>
      <c r="N44" s="23">
        <v>1.3092520020446401</v>
      </c>
      <c r="O44" s="23">
        <v>1.3338063878300499</v>
      </c>
      <c r="P44" s="23">
        <v>1.3337571755964901</v>
      </c>
      <c r="Q44" s="23">
        <v>1.3227092215512699</v>
      </c>
      <c r="R44" s="21">
        <v>313.12438760698399</v>
      </c>
      <c r="S44" s="21">
        <v>313.59305760221798</v>
      </c>
      <c r="T44" s="21">
        <v>310.42591602923898</v>
      </c>
      <c r="U44" s="22">
        <v>1.8580817070813601E-2</v>
      </c>
      <c r="V44" s="22">
        <v>2.0076451462934901E-2</v>
      </c>
      <c r="W44" s="22">
        <v>9.9255781657647205E-3</v>
      </c>
      <c r="X44" s="23">
        <v>1.3092520020446401</v>
      </c>
      <c r="Y44" s="23">
        <v>1.3338063878300499</v>
      </c>
      <c r="Z44" s="23">
        <v>1.3337571755964901</v>
      </c>
      <c r="AA44" s="23">
        <v>1.3227092215512699</v>
      </c>
      <c r="AB44" s="21">
        <v>313.12438760698399</v>
      </c>
      <c r="AC44" s="21">
        <v>313.59305760221798</v>
      </c>
      <c r="AD44" s="21">
        <v>310.42591602923898</v>
      </c>
      <c r="AE44" s="22">
        <v>1.8580817070813601E-2</v>
      </c>
      <c r="AF44" s="22">
        <v>2.0076451462934901E-2</v>
      </c>
      <c r="AG44" s="22">
        <v>9.9255781657647205E-3</v>
      </c>
      <c r="AI44" s="5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16">
        <f t="shared" si="8"/>
        <v>0</v>
      </c>
      <c r="AP44" s="16">
        <f t="shared" si="9"/>
        <v>0</v>
      </c>
      <c r="AQ44" s="16">
        <f t="shared" si="16"/>
        <v>0</v>
      </c>
      <c r="AR44" s="10">
        <f t="shared" si="17"/>
        <v>7.9728619672020558E-3</v>
      </c>
      <c r="AT44" s="5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16">
        <f t="shared" si="12"/>
        <v>0</v>
      </c>
      <c r="BA44" s="16">
        <f t="shared" si="13"/>
        <v>0</v>
      </c>
      <c r="BB44" s="16">
        <f t="shared" si="20"/>
        <v>0</v>
      </c>
      <c r="BC44" s="10">
        <f t="shared" si="21"/>
        <v>0</v>
      </c>
      <c r="BE44" s="10">
        <f t="shared" si="22"/>
        <v>0</v>
      </c>
      <c r="BF44" s="10">
        <f t="shared" si="23"/>
        <v>7.9728619672020558E-3</v>
      </c>
      <c r="BH44" s="10"/>
    </row>
    <row r="45" spans="1:124" x14ac:dyDescent="0.25">
      <c r="A45" s="1">
        <v>46087</v>
      </c>
      <c r="B45" s="21">
        <v>232.86</v>
      </c>
      <c r="C45" s="21">
        <v>303.73</v>
      </c>
      <c r="D45" s="22">
        <v>-8.1263010812636996E-3</v>
      </c>
      <c r="E45" s="22">
        <v>-1.18805501546738E-2</v>
      </c>
      <c r="F45" s="21">
        <v>0</v>
      </c>
      <c r="G45" s="21">
        <v>0.12</v>
      </c>
      <c r="H45" s="21">
        <v>0</v>
      </c>
      <c r="I45" s="21">
        <v>0.12</v>
      </c>
      <c r="J45" s="21">
        <v>0</v>
      </c>
      <c r="K45" s="21">
        <v>0</v>
      </c>
      <c r="L45" s="21">
        <v>232.86</v>
      </c>
      <c r="M45" s="21">
        <v>303.73</v>
      </c>
      <c r="N45" s="23">
        <v>1.3043459589452799</v>
      </c>
      <c r="O45" s="23">
        <v>1.3338063878300499</v>
      </c>
      <c r="P45" s="23">
        <v>1.32977030442172</v>
      </c>
      <c r="Q45" s="23">
        <v>1.3230722052680099</v>
      </c>
      <c r="R45" s="21">
        <v>310.59015547010699</v>
      </c>
      <c r="S45" s="21">
        <v>310.57869590939902</v>
      </c>
      <c r="T45" s="21">
        <v>308.006069330429</v>
      </c>
      <c r="U45" s="22">
        <v>2.23350661442238E-2</v>
      </c>
      <c r="V45" s="22">
        <v>2.22981693787676E-2</v>
      </c>
      <c r="W45" s="22">
        <v>1.3980339532127E-2</v>
      </c>
      <c r="X45" s="23">
        <v>1.3043459589452799</v>
      </c>
      <c r="Y45" s="23">
        <v>1.3338063878300499</v>
      </c>
      <c r="Z45" s="23">
        <v>1.32977030442172</v>
      </c>
      <c r="AA45" s="23">
        <v>1.3230722052680099</v>
      </c>
      <c r="AB45" s="21">
        <v>310.59015547010699</v>
      </c>
      <c r="AC45" s="21">
        <v>310.57869590939902</v>
      </c>
      <c r="AD45" s="21">
        <v>308.006069330429</v>
      </c>
      <c r="AE45" s="22">
        <v>2.23350661442238E-2</v>
      </c>
      <c r="AF45" s="22">
        <v>2.22981693787676E-2</v>
      </c>
      <c r="AG45" s="22">
        <v>1.3980339532127E-2</v>
      </c>
      <c r="AI45" s="5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16">
        <f t="shared" si="8"/>
        <v>0</v>
      </c>
      <c r="AP45" s="16">
        <f t="shared" si="9"/>
        <v>0</v>
      </c>
      <c r="AQ45" s="16">
        <f t="shared" si="16"/>
        <v>0</v>
      </c>
      <c r="AR45" s="10">
        <f t="shared" si="17"/>
        <v>7.9728619672020558E-3</v>
      </c>
      <c r="AT45" s="5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16">
        <f t="shared" si="12"/>
        <v>0</v>
      </c>
      <c r="BA45" s="16">
        <f t="shared" si="13"/>
        <v>0</v>
      </c>
      <c r="BB45" s="16">
        <f t="shared" si="20"/>
        <v>0</v>
      </c>
      <c r="BC45" s="10">
        <f t="shared" si="21"/>
        <v>0</v>
      </c>
      <c r="BE45" s="10">
        <f t="shared" si="22"/>
        <v>0</v>
      </c>
      <c r="BF45" s="10">
        <f t="shared" si="23"/>
        <v>7.9728619672020558E-3</v>
      </c>
      <c r="BH45" s="10"/>
    </row>
    <row r="46" spans="1:124" x14ac:dyDescent="0.25">
      <c r="A46" s="1">
        <v>46090</v>
      </c>
      <c r="B46" s="21">
        <v>234.09</v>
      </c>
      <c r="C46" s="21">
        <v>310.29000000000002</v>
      </c>
      <c r="D46" s="22">
        <v>5.2682421879095501E-3</v>
      </c>
      <c r="E46" s="22">
        <v>2.1368195192249199E-2</v>
      </c>
      <c r="F46" s="21">
        <v>0</v>
      </c>
      <c r="G46" s="21">
        <v>0.12</v>
      </c>
      <c r="H46" s="21">
        <v>0</v>
      </c>
      <c r="I46" s="21">
        <v>0.12</v>
      </c>
      <c r="J46" s="21">
        <v>0</v>
      </c>
      <c r="K46" s="21">
        <v>0</v>
      </c>
      <c r="L46" s="21">
        <v>234.09</v>
      </c>
      <c r="M46" s="21">
        <v>310.29000000000002</v>
      </c>
      <c r="N46" s="23">
        <v>1.32551582724593</v>
      </c>
      <c r="O46" s="23">
        <v>1.3338063878300499</v>
      </c>
      <c r="P46" s="23">
        <v>1.3285545998095301</v>
      </c>
      <c r="Q46" s="23">
        <v>1.3243131568930999</v>
      </c>
      <c r="R46" s="21">
        <v>312.230737327138</v>
      </c>
      <c r="S46" s="21">
        <v>311.28593056208098</v>
      </c>
      <c r="T46" s="21">
        <v>309.71797253119001</v>
      </c>
      <c r="U46" s="22">
        <v>6.2351131398841898E-3</v>
      </c>
      <c r="V46" s="22">
        <v>3.2045366153492499E-3</v>
      </c>
      <c r="W46" s="22">
        <v>-1.8452266953298999E-3</v>
      </c>
      <c r="X46" s="23">
        <v>1.32551582724593</v>
      </c>
      <c r="Y46" s="23">
        <v>1.3338063878300499</v>
      </c>
      <c r="Z46" s="23">
        <v>1.3285545998095301</v>
      </c>
      <c r="AA46" s="23">
        <v>1.3243131568930999</v>
      </c>
      <c r="AB46" s="21">
        <v>312.230737327138</v>
      </c>
      <c r="AC46" s="21">
        <v>311.28593056208098</v>
      </c>
      <c r="AD46" s="21">
        <v>309.71797253119001</v>
      </c>
      <c r="AE46" s="22">
        <v>6.2351131398841898E-3</v>
      </c>
      <c r="AF46" s="22">
        <v>3.2045366153492499E-3</v>
      </c>
      <c r="AG46" s="22">
        <v>-1.8452266953298999E-3</v>
      </c>
      <c r="AI46" s="5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16">
        <f t="shared" si="8"/>
        <v>0</v>
      </c>
      <c r="AP46" s="16">
        <f t="shared" si="9"/>
        <v>0</v>
      </c>
      <c r="AQ46" s="16">
        <f t="shared" si="16"/>
        <v>0</v>
      </c>
      <c r="AR46" s="10">
        <f t="shared" si="17"/>
        <v>7.9728619672020558E-3</v>
      </c>
      <c r="AT46" s="5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16">
        <f t="shared" si="12"/>
        <v>0</v>
      </c>
      <c r="BA46" s="16">
        <f t="shared" si="13"/>
        <v>0</v>
      </c>
      <c r="BB46" s="16">
        <f t="shared" si="20"/>
        <v>0</v>
      </c>
      <c r="BC46" s="10">
        <f t="shared" si="21"/>
        <v>0</v>
      </c>
      <c r="BE46" s="10">
        <f t="shared" si="22"/>
        <v>0</v>
      </c>
      <c r="BF46" s="10">
        <f t="shared" si="23"/>
        <v>7.9728619672020558E-3</v>
      </c>
      <c r="BH46" s="10"/>
    </row>
    <row r="47" spans="1:124" x14ac:dyDescent="0.25">
      <c r="A47" s="1">
        <v>46091</v>
      </c>
      <c r="B47" s="21">
        <v>231.8</v>
      </c>
      <c r="C47" s="21">
        <v>306.39999999999998</v>
      </c>
      <c r="D47" s="22">
        <v>-9.8307258911282305E-3</v>
      </c>
      <c r="E47" s="22">
        <v>-1.2615906191385799E-2</v>
      </c>
      <c r="F47" s="21">
        <v>0</v>
      </c>
      <c r="G47" s="21">
        <v>0.12</v>
      </c>
      <c r="H47" s="21">
        <v>0</v>
      </c>
      <c r="I47" s="21">
        <v>0.12</v>
      </c>
      <c r="J47" s="21">
        <v>0</v>
      </c>
      <c r="K47" s="21">
        <v>0</v>
      </c>
      <c r="L47" s="21">
        <v>231.8</v>
      </c>
      <c r="M47" s="21">
        <v>306.39999999999998</v>
      </c>
      <c r="N47" s="23">
        <v>1.3218291630716099</v>
      </c>
      <c r="O47" s="23">
        <v>1.3338063878300499</v>
      </c>
      <c r="P47" s="23">
        <v>1.3255588276553001</v>
      </c>
      <c r="Q47" s="23">
        <v>1.3254231529688201</v>
      </c>
      <c r="R47" s="21">
        <v>309.17632069900702</v>
      </c>
      <c r="S47" s="21">
        <v>307.95895623584897</v>
      </c>
      <c r="T47" s="21">
        <v>306.97578976782103</v>
      </c>
      <c r="U47" s="22">
        <v>9.0202934401419198E-3</v>
      </c>
      <c r="V47" s="22">
        <v>5.0750772528573504E-3</v>
      </c>
      <c r="W47" s="22">
        <v>1.87744591995901E-3</v>
      </c>
      <c r="X47" s="23">
        <v>1.3218291630716099</v>
      </c>
      <c r="Y47" s="23">
        <v>1.3338063878300499</v>
      </c>
      <c r="Z47" s="23">
        <v>1.3255588276553001</v>
      </c>
      <c r="AA47" s="23">
        <v>1.3254231529688201</v>
      </c>
      <c r="AB47" s="21">
        <v>309.17632069900702</v>
      </c>
      <c r="AC47" s="21">
        <v>307.95895623584897</v>
      </c>
      <c r="AD47" s="21">
        <v>306.97578976782103</v>
      </c>
      <c r="AE47" s="22">
        <v>9.0202934401419198E-3</v>
      </c>
      <c r="AF47" s="22">
        <v>5.0750772528573504E-3</v>
      </c>
      <c r="AG47" s="22">
        <v>1.87744591995901E-3</v>
      </c>
      <c r="AI47" s="5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16">
        <f t="shared" si="8"/>
        <v>0</v>
      </c>
      <c r="AP47" s="16">
        <f t="shared" si="9"/>
        <v>0</v>
      </c>
      <c r="AQ47" s="16">
        <f t="shared" si="16"/>
        <v>0</v>
      </c>
      <c r="AR47" s="10">
        <f t="shared" si="17"/>
        <v>7.9728619672020558E-3</v>
      </c>
      <c r="AT47" s="5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16">
        <f t="shared" si="12"/>
        <v>0</v>
      </c>
      <c r="BA47" s="16">
        <f t="shared" si="13"/>
        <v>0</v>
      </c>
      <c r="BB47" s="16">
        <f t="shared" si="20"/>
        <v>0</v>
      </c>
      <c r="BC47" s="10">
        <f t="shared" si="21"/>
        <v>0</v>
      </c>
      <c r="BE47" s="10">
        <f t="shared" si="22"/>
        <v>0</v>
      </c>
      <c r="BF47" s="10">
        <f t="shared" si="23"/>
        <v>7.9728619672020558E-3</v>
      </c>
      <c r="BH47" s="10"/>
    </row>
    <row r="48" spans="1:124" x14ac:dyDescent="0.25">
      <c r="A48" s="1">
        <v>46092</v>
      </c>
      <c r="B48" s="21">
        <v>232.94</v>
      </c>
      <c r="C48" s="21">
        <v>306.83999999999997</v>
      </c>
      <c r="D48" s="22">
        <v>4.9059787688544004E-3</v>
      </c>
      <c r="E48" s="22">
        <v>1.4350012246592801E-3</v>
      </c>
      <c r="F48" s="21">
        <v>0</v>
      </c>
      <c r="G48" s="21">
        <v>0.12</v>
      </c>
      <c r="H48" s="21">
        <v>0</v>
      </c>
      <c r="I48" s="21">
        <v>0.12</v>
      </c>
      <c r="J48" s="21">
        <v>0</v>
      </c>
      <c r="K48" s="21">
        <v>0</v>
      </c>
      <c r="L48" s="21">
        <v>232.94</v>
      </c>
      <c r="M48" s="21">
        <v>306.83999999999997</v>
      </c>
      <c r="N48" s="23">
        <v>1.3172490770155401</v>
      </c>
      <c r="O48" s="23">
        <v>1.3338063878300499</v>
      </c>
      <c r="P48" s="23">
        <v>1.32101999909312</v>
      </c>
      <c r="Q48" s="23">
        <v>1.3260578664718401</v>
      </c>
      <c r="R48" s="21">
        <v>310.69685998113403</v>
      </c>
      <c r="S48" s="21">
        <v>308.77567331402599</v>
      </c>
      <c r="T48" s="21">
        <v>308.74406925255801</v>
      </c>
      <c r="U48" s="22">
        <v>1.2491270984336601E-2</v>
      </c>
      <c r="V48" s="22">
        <v>6.2885978282120197E-3</v>
      </c>
      <c r="W48" s="22">
        <v>6.1862397680020401E-3</v>
      </c>
      <c r="X48" s="23">
        <v>1.3172490770155401</v>
      </c>
      <c r="Y48" s="23">
        <v>1.3338063878300499</v>
      </c>
      <c r="Z48" s="23">
        <v>1.32101999909312</v>
      </c>
      <c r="AA48" s="23">
        <v>1.3260578664718401</v>
      </c>
      <c r="AB48" s="21">
        <v>310.69685998113403</v>
      </c>
      <c r="AC48" s="21">
        <v>308.77567331402599</v>
      </c>
      <c r="AD48" s="21">
        <v>308.74406925255801</v>
      </c>
      <c r="AE48" s="22">
        <v>1.2491270984336601E-2</v>
      </c>
      <c r="AF48" s="22">
        <v>6.2885978282120197E-3</v>
      </c>
      <c r="AG48" s="22">
        <v>6.1862397680020401E-3</v>
      </c>
      <c r="AI48" s="5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16">
        <f t="shared" si="8"/>
        <v>0</v>
      </c>
      <c r="AP48" s="16">
        <f t="shared" si="9"/>
        <v>0</v>
      </c>
      <c r="AQ48" s="16">
        <f t="shared" si="16"/>
        <v>0</v>
      </c>
      <c r="AR48" s="10">
        <f t="shared" si="17"/>
        <v>7.9728619672020558E-3</v>
      </c>
      <c r="AT48" s="5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16">
        <f t="shared" si="12"/>
        <v>0</v>
      </c>
      <c r="BA48" s="16">
        <f t="shared" si="13"/>
        <v>0</v>
      </c>
      <c r="BB48" s="16">
        <f t="shared" si="20"/>
        <v>0</v>
      </c>
      <c r="BC48" s="10">
        <f t="shared" si="21"/>
        <v>0</v>
      </c>
      <c r="BE48" s="10">
        <f t="shared" si="22"/>
        <v>0</v>
      </c>
      <c r="BF48" s="10">
        <f t="shared" si="23"/>
        <v>7.9728619672020558E-3</v>
      </c>
      <c r="BH48" s="10"/>
    </row>
    <row r="49" spans="1:60" x14ac:dyDescent="0.25">
      <c r="A49" s="1">
        <v>46093</v>
      </c>
      <c r="B49" s="21">
        <v>223.07</v>
      </c>
      <c r="C49" s="21">
        <v>290</v>
      </c>
      <c r="D49" s="22">
        <v>-4.3295286125815298E-2</v>
      </c>
      <c r="E49" s="22">
        <v>-5.64455161105758E-2</v>
      </c>
      <c r="F49" s="21">
        <v>0</v>
      </c>
      <c r="G49" s="21">
        <v>0.12</v>
      </c>
      <c r="H49" s="21">
        <v>0</v>
      </c>
      <c r="I49" s="21">
        <v>0.12</v>
      </c>
      <c r="J49" s="21">
        <v>0</v>
      </c>
      <c r="K49" s="21">
        <v>0</v>
      </c>
      <c r="L49" s="21">
        <v>223.07</v>
      </c>
      <c r="M49" s="21">
        <v>290</v>
      </c>
      <c r="N49" s="23">
        <v>1.3000403460797001</v>
      </c>
      <c r="O49" s="23">
        <v>1.3338063878300499</v>
      </c>
      <c r="P49" s="23">
        <v>1.3194479627379501</v>
      </c>
      <c r="Q49" s="23">
        <v>1.32579408354099</v>
      </c>
      <c r="R49" s="21">
        <v>297.532190933251</v>
      </c>
      <c r="S49" s="21">
        <v>294.67993119770199</v>
      </c>
      <c r="T49" s="21">
        <v>295.80372827387299</v>
      </c>
      <c r="U49" s="22">
        <v>2.5641500969097199E-2</v>
      </c>
      <c r="V49" s="22">
        <v>1.6008865352670199E-2</v>
      </c>
      <c r="W49" s="22">
        <v>1.9815231252832698E-2</v>
      </c>
      <c r="X49" s="23">
        <v>1.3000403460797001</v>
      </c>
      <c r="Y49" s="23">
        <v>1.3338063878300499</v>
      </c>
      <c r="Z49" s="23">
        <v>1.3194479627379501</v>
      </c>
      <c r="AA49" s="23">
        <v>1.32579408354099</v>
      </c>
      <c r="AB49" s="21">
        <v>297.532190933251</v>
      </c>
      <c r="AC49" s="21">
        <v>294.67993119770199</v>
      </c>
      <c r="AD49" s="21">
        <v>295.80372827387299</v>
      </c>
      <c r="AE49" s="22">
        <v>2.5641500969097199E-2</v>
      </c>
      <c r="AF49" s="22">
        <v>1.6008865352670199E-2</v>
      </c>
      <c r="AG49" s="22">
        <v>1.9815231252832698E-2</v>
      </c>
      <c r="AI49" s="5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16">
        <f t="shared" si="8"/>
        <v>0</v>
      </c>
      <c r="AP49" s="16">
        <f t="shared" si="9"/>
        <v>0</v>
      </c>
      <c r="AQ49" s="16">
        <f t="shared" si="16"/>
        <v>0</v>
      </c>
      <c r="AR49" s="10">
        <f t="shared" si="17"/>
        <v>7.9728619672020558E-3</v>
      </c>
      <c r="AT49" s="5"/>
      <c r="AU49">
        <f t="shared" si="10"/>
        <v>1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16">
        <f t="shared" si="12"/>
        <v>0</v>
      </c>
      <c r="BA49" s="16">
        <f t="shared" si="13"/>
        <v>0</v>
      </c>
      <c r="BB49" s="16">
        <f t="shared" si="20"/>
        <v>0</v>
      </c>
      <c r="BC49" s="10">
        <f t="shared" si="21"/>
        <v>0</v>
      </c>
      <c r="BE49" s="10">
        <f t="shared" si="22"/>
        <v>0</v>
      </c>
      <c r="BF49" s="10">
        <f t="shared" si="23"/>
        <v>7.9728619672020558E-3</v>
      </c>
      <c r="BH49" s="10"/>
    </row>
    <row r="50" spans="1:60" x14ac:dyDescent="0.25">
      <c r="A50" s="1">
        <v>46094</v>
      </c>
      <c r="B50" s="21">
        <v>221.38</v>
      </c>
      <c r="C50" s="21">
        <v>288.45</v>
      </c>
      <c r="D50" s="22">
        <v>-7.6049415912126297E-3</v>
      </c>
      <c r="E50" s="22">
        <v>-5.3591622776212903E-3</v>
      </c>
      <c r="F50" s="21">
        <v>0</v>
      </c>
      <c r="G50" s="21">
        <v>0.12</v>
      </c>
      <c r="H50" s="21">
        <v>0</v>
      </c>
      <c r="I50" s="21">
        <v>0.12</v>
      </c>
      <c r="J50" s="21">
        <v>0</v>
      </c>
      <c r="K50" s="21">
        <v>0</v>
      </c>
      <c r="L50" s="21">
        <v>221.38</v>
      </c>
      <c r="M50" s="21">
        <v>288.45</v>
      </c>
      <c r="N50" s="23">
        <v>1.3029632306441401</v>
      </c>
      <c r="O50" s="23">
        <v>1.3338063878300499</v>
      </c>
      <c r="P50" s="23">
        <v>1.3166969325059601</v>
      </c>
      <c r="Q50" s="23">
        <v>1.32534146213799</v>
      </c>
      <c r="R50" s="21">
        <v>295.27805813781799</v>
      </c>
      <c r="S50" s="21">
        <v>292.09938999092901</v>
      </c>
      <c r="T50" s="21">
        <v>293.50429421430601</v>
      </c>
      <c r="U50" s="22">
        <v>2.3395721655505901E-2</v>
      </c>
      <c r="V50" s="22">
        <v>1.2572360331647599E-2</v>
      </c>
      <c r="W50" s="22">
        <v>1.73705095120745E-2</v>
      </c>
      <c r="X50" s="23">
        <v>1.3029632306441401</v>
      </c>
      <c r="Y50" s="23">
        <v>1.3338063878300499</v>
      </c>
      <c r="Z50" s="23">
        <v>1.3166969325059601</v>
      </c>
      <c r="AA50" s="23">
        <v>1.32534146213799</v>
      </c>
      <c r="AB50" s="21">
        <v>295.27805813781799</v>
      </c>
      <c r="AC50" s="21">
        <v>292.09938999092901</v>
      </c>
      <c r="AD50" s="21">
        <v>293.50429421430601</v>
      </c>
      <c r="AE50" s="22">
        <v>2.3395721655505901E-2</v>
      </c>
      <c r="AF50" s="22">
        <v>1.2572360331647599E-2</v>
      </c>
      <c r="AG50" s="22">
        <v>1.73705095120745E-2</v>
      </c>
      <c r="AI50" s="5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16">
        <f t="shared" si="8"/>
        <v>0</v>
      </c>
      <c r="AP50" s="16">
        <f t="shared" si="9"/>
        <v>0</v>
      </c>
      <c r="AQ50" s="16">
        <f t="shared" si="16"/>
        <v>0</v>
      </c>
      <c r="AR50" s="10">
        <f t="shared" si="17"/>
        <v>7.9728619672020558E-3</v>
      </c>
      <c r="AT50" s="5"/>
      <c r="AU50">
        <f t="shared" si="10"/>
        <v>1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16">
        <f t="shared" si="12"/>
        <v>7.6049415912126297E-3</v>
      </c>
      <c r="BA50" s="16">
        <f t="shared" si="13"/>
        <v>-5.3591622776212903E-3</v>
      </c>
      <c r="BB50" s="16">
        <f t="shared" si="20"/>
        <v>2.2457793135913394E-3</v>
      </c>
      <c r="BC50" s="10">
        <f t="shared" si="21"/>
        <v>2.2457793135913394E-3</v>
      </c>
      <c r="BE50" s="10">
        <f t="shared" si="22"/>
        <v>2.2457793135913394E-3</v>
      </c>
      <c r="BF50" s="10">
        <f t="shared" si="23"/>
        <v>1.0218641280793396E-2</v>
      </c>
      <c r="BH50" s="10"/>
    </row>
    <row r="51" spans="1:60" x14ac:dyDescent="0.25">
      <c r="A51" s="1">
        <v>46097</v>
      </c>
      <c r="B51" s="21">
        <v>223.93</v>
      </c>
      <c r="C51" s="21">
        <v>291.47000000000003</v>
      </c>
      <c r="D51" s="22">
        <v>1.1452821059262101E-2</v>
      </c>
      <c r="E51" s="22">
        <v>1.0415323839466299E-2</v>
      </c>
      <c r="F51" s="21">
        <v>0</v>
      </c>
      <c r="G51" s="21">
        <v>0.12</v>
      </c>
      <c r="H51" s="21">
        <v>0</v>
      </c>
      <c r="I51" s="21">
        <v>0.12</v>
      </c>
      <c r="J51" s="21">
        <v>0</v>
      </c>
      <c r="K51" s="21">
        <v>0</v>
      </c>
      <c r="L51" s="21">
        <v>223.93</v>
      </c>
      <c r="M51" s="21">
        <v>291.47000000000003</v>
      </c>
      <c r="N51" s="23">
        <v>1.30161211092752</v>
      </c>
      <c r="O51" s="23">
        <v>1.3338063878300499</v>
      </c>
      <c r="P51" s="23">
        <v>1.31322853200734</v>
      </c>
      <c r="Q51" s="23">
        <v>1.3246832673205999</v>
      </c>
      <c r="R51" s="21">
        <v>298.67926442678498</v>
      </c>
      <c r="S51" s="21">
        <v>294.84794409606098</v>
      </c>
      <c r="T51" s="21">
        <v>296.78371361656099</v>
      </c>
      <c r="U51" s="22">
        <v>2.4433218875301799E-2</v>
      </c>
      <c r="V51" s="22">
        <v>1.15226951684992E-2</v>
      </c>
      <c r="W51" s="22">
        <v>1.80665519857055E-2</v>
      </c>
      <c r="X51" s="23">
        <v>1.30161211092752</v>
      </c>
      <c r="Y51" s="23">
        <v>1.3338063878300499</v>
      </c>
      <c r="Z51" s="23">
        <v>1.31322853200734</v>
      </c>
      <c r="AA51" s="23">
        <v>1.3246832673205999</v>
      </c>
      <c r="AB51" s="21">
        <v>298.67926442678498</v>
      </c>
      <c r="AC51" s="21">
        <v>294.84794409606098</v>
      </c>
      <c r="AD51" s="21">
        <v>296.78371361656099</v>
      </c>
      <c r="AE51" s="22">
        <v>2.4433218875301799E-2</v>
      </c>
      <c r="AF51" s="22">
        <v>1.15226951684992E-2</v>
      </c>
      <c r="AG51" s="22">
        <v>1.80665519857055E-2</v>
      </c>
      <c r="AI51" s="5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16">
        <f t="shared" si="8"/>
        <v>0</v>
      </c>
      <c r="AP51" s="16">
        <f t="shared" si="9"/>
        <v>0</v>
      </c>
      <c r="AQ51" s="16">
        <f t="shared" si="16"/>
        <v>0</v>
      </c>
      <c r="AR51" s="10">
        <f t="shared" si="17"/>
        <v>7.9728619672020558E-3</v>
      </c>
      <c r="AT51" s="5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1</v>
      </c>
      <c r="AY51">
        <f t="shared" si="19"/>
        <v>1</v>
      </c>
      <c r="AZ51" s="16">
        <f t="shared" si="12"/>
        <v>-1.1452821059262101E-2</v>
      </c>
      <c r="BA51" s="16">
        <f t="shared" si="13"/>
        <v>1.0415323839466299E-2</v>
      </c>
      <c r="BB51" s="16">
        <f t="shared" si="20"/>
        <v>-1.0374972197958014E-3</v>
      </c>
      <c r="BC51" s="10">
        <f t="shared" si="21"/>
        <v>1.2082820937955379E-3</v>
      </c>
      <c r="BE51" s="10">
        <f t="shared" si="22"/>
        <v>-1.0374972197958014E-3</v>
      </c>
      <c r="BF51" s="10">
        <f t="shared" si="23"/>
        <v>9.1811440609975946E-3</v>
      </c>
      <c r="BH51" s="10"/>
    </row>
    <row r="52" spans="1:60" x14ac:dyDescent="0.25">
      <c r="A52" s="1">
        <v>46098</v>
      </c>
      <c r="B52" s="21">
        <v>225.17</v>
      </c>
      <c r="C52" s="21">
        <v>292.20999999999998</v>
      </c>
      <c r="D52" s="22">
        <v>5.52216945482863E-3</v>
      </c>
      <c r="E52" s="22">
        <v>2.5356373234753202E-3</v>
      </c>
      <c r="F52" s="21">
        <v>0</v>
      </c>
      <c r="G52" s="21">
        <v>0.12</v>
      </c>
      <c r="H52" s="21">
        <v>0</v>
      </c>
      <c r="I52" s="21">
        <v>0.12</v>
      </c>
      <c r="J52" s="21">
        <v>0</v>
      </c>
      <c r="K52" s="21">
        <v>0</v>
      </c>
      <c r="L52" s="21">
        <v>225.17</v>
      </c>
      <c r="M52" s="21">
        <v>292.20999999999998</v>
      </c>
      <c r="N52" s="23">
        <v>1.29773060354398</v>
      </c>
      <c r="O52" s="23">
        <v>1.3338063878300499</v>
      </c>
      <c r="P52" s="23">
        <v>1.30938333543973</v>
      </c>
      <c r="Q52" s="23">
        <v>1.3232551465636799</v>
      </c>
      <c r="R52" s="21">
        <v>300.33318434769399</v>
      </c>
      <c r="S52" s="21">
        <v>295.69966855209202</v>
      </c>
      <c r="T52" s="21">
        <v>298.27893130258099</v>
      </c>
      <c r="U52" s="22">
        <v>2.7419751006654999E-2</v>
      </c>
      <c r="V52" s="22">
        <v>1.1871584099480401E-2</v>
      </c>
      <c r="W52" s="22">
        <v>2.05563379368385E-2</v>
      </c>
      <c r="X52" s="23">
        <v>1.29773060354398</v>
      </c>
      <c r="Y52" s="23">
        <v>1.3338063878300499</v>
      </c>
      <c r="Z52" s="23">
        <v>1.30938333543973</v>
      </c>
      <c r="AA52" s="23">
        <v>1.3232551465636799</v>
      </c>
      <c r="AB52" s="21">
        <v>300.33318434769399</v>
      </c>
      <c r="AC52" s="21">
        <v>295.69966855209202</v>
      </c>
      <c r="AD52" s="21">
        <v>298.27893130258099</v>
      </c>
      <c r="AE52" s="22">
        <v>2.7419751006654999E-2</v>
      </c>
      <c r="AF52" s="22">
        <v>1.1871584099480401E-2</v>
      </c>
      <c r="AG52" s="22">
        <v>2.05563379368385E-2</v>
      </c>
      <c r="AI52" s="5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16">
        <f t="shared" si="8"/>
        <v>0</v>
      </c>
      <c r="AP52" s="16">
        <f t="shared" si="9"/>
        <v>0</v>
      </c>
      <c r="AQ52" s="16">
        <f t="shared" si="16"/>
        <v>0</v>
      </c>
      <c r="AR52" s="10">
        <f t="shared" si="17"/>
        <v>7.9728619672020558E-3</v>
      </c>
      <c r="AT52" s="5"/>
      <c r="AU52">
        <f t="shared" si="10"/>
        <v>1</v>
      </c>
      <c r="AV52">
        <f t="shared" si="11"/>
        <v>0</v>
      </c>
      <c r="AW52">
        <f t="shared" si="18"/>
        <v>1</v>
      </c>
      <c r="AX52">
        <f t="shared" si="5"/>
        <v>1</v>
      </c>
      <c r="AY52">
        <f t="shared" si="19"/>
        <v>1</v>
      </c>
      <c r="AZ52" s="16">
        <f t="shared" si="12"/>
        <v>-5.52216945482863E-3</v>
      </c>
      <c r="BA52" s="16">
        <f t="shared" si="13"/>
        <v>2.5356373234753202E-3</v>
      </c>
      <c r="BB52" s="16">
        <f t="shared" si="20"/>
        <v>-2.9865321313533098E-3</v>
      </c>
      <c r="BC52" s="10">
        <f t="shared" si="21"/>
        <v>-1.7782500375577719E-3</v>
      </c>
      <c r="BE52" s="10">
        <f t="shared" si="22"/>
        <v>-2.9865321313533098E-3</v>
      </c>
      <c r="BF52" s="10">
        <f t="shared" si="23"/>
        <v>6.1946119296442843E-3</v>
      </c>
      <c r="BH52" s="10"/>
    </row>
    <row r="53" spans="1:60" x14ac:dyDescent="0.25">
      <c r="A53" s="1">
        <v>46099</v>
      </c>
      <c r="B53" s="21">
        <v>221</v>
      </c>
      <c r="C53" s="21">
        <v>288.33</v>
      </c>
      <c r="D53" s="22">
        <v>-1.86929709538158E-2</v>
      </c>
      <c r="E53" s="22">
        <v>-1.3367064362537401E-2</v>
      </c>
      <c r="F53" s="21">
        <v>0</v>
      </c>
      <c r="G53" s="21">
        <v>0.12</v>
      </c>
      <c r="H53" s="21">
        <v>0</v>
      </c>
      <c r="I53" s="21">
        <v>0.12</v>
      </c>
      <c r="J53" s="21">
        <v>0</v>
      </c>
      <c r="K53" s="21">
        <v>0</v>
      </c>
      <c r="L53" s="21">
        <v>221</v>
      </c>
      <c r="M53" s="21">
        <v>288.33</v>
      </c>
      <c r="N53" s="23">
        <v>1.3046606334841599</v>
      </c>
      <c r="O53" s="23">
        <v>1.3338063878300499</v>
      </c>
      <c r="P53" s="23">
        <v>1.3085198953002499</v>
      </c>
      <c r="Q53" s="23">
        <v>1.3221613311954801</v>
      </c>
      <c r="R53" s="21">
        <v>294.77121171044303</v>
      </c>
      <c r="S53" s="21">
        <v>289.37371713217999</v>
      </c>
      <c r="T53" s="21">
        <v>292.43938739057398</v>
      </c>
      <c r="U53" s="22">
        <v>2.2093844415376599E-2</v>
      </c>
      <c r="V53" s="22">
        <v>3.6133340908448401E-3</v>
      </c>
      <c r="W53" s="22">
        <v>1.41517650987148E-2</v>
      </c>
      <c r="X53" s="23">
        <v>1.3046606334841599</v>
      </c>
      <c r="Y53" s="23">
        <v>1.3338063878300499</v>
      </c>
      <c r="Z53" s="23">
        <v>1.3085198953002499</v>
      </c>
      <c r="AA53" s="23">
        <v>1.3221613311954801</v>
      </c>
      <c r="AB53" s="21">
        <v>294.77121171044303</v>
      </c>
      <c r="AC53" s="21">
        <v>289.37371713217999</v>
      </c>
      <c r="AD53" s="21">
        <v>292.43938739057398</v>
      </c>
      <c r="AE53" s="22">
        <v>2.2093844415376599E-2</v>
      </c>
      <c r="AF53" s="22">
        <v>3.6133340908448401E-3</v>
      </c>
      <c r="AG53" s="22">
        <v>1.41517650987148E-2</v>
      </c>
      <c r="AI53" s="5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16">
        <f t="shared" si="8"/>
        <v>0</v>
      </c>
      <c r="AP53" s="16">
        <f t="shared" si="9"/>
        <v>0</v>
      </c>
      <c r="AQ53" s="16">
        <f t="shared" si="16"/>
        <v>0</v>
      </c>
      <c r="AR53" s="10">
        <f t="shared" si="17"/>
        <v>7.9728619672020558E-3</v>
      </c>
      <c r="AT53" s="5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16">
        <f t="shared" si="12"/>
        <v>1.86929709538158E-2</v>
      </c>
      <c r="BA53" s="16">
        <f t="shared" si="13"/>
        <v>-1.3367064362537401E-2</v>
      </c>
      <c r="BB53" s="16">
        <f t="shared" si="20"/>
        <v>5.3259065912783995E-3</v>
      </c>
      <c r="BC53" s="10">
        <f t="shared" si="21"/>
        <v>3.5476565537206277E-3</v>
      </c>
      <c r="BE53" s="10">
        <f t="shared" si="22"/>
        <v>5.3259065912783995E-3</v>
      </c>
      <c r="BF53" s="10">
        <f t="shared" si="23"/>
        <v>1.1520518520922684E-2</v>
      </c>
      <c r="BH53" s="10"/>
    </row>
    <row r="54" spans="1:60" x14ac:dyDescent="0.25">
      <c r="A54" s="1">
        <v>46100</v>
      </c>
      <c r="B54" s="21">
        <v>213.5</v>
      </c>
      <c r="C54" s="21">
        <v>277.16000000000003</v>
      </c>
      <c r="D54" s="22">
        <v>-3.45258688490735E-2</v>
      </c>
      <c r="E54" s="22">
        <v>-3.9510700744122003E-2</v>
      </c>
      <c r="F54" s="21">
        <v>0</v>
      </c>
      <c r="G54" s="21">
        <v>0.12</v>
      </c>
      <c r="H54" s="21">
        <v>0</v>
      </c>
      <c r="I54" s="21">
        <v>0.12</v>
      </c>
      <c r="J54" s="21">
        <v>0</v>
      </c>
      <c r="K54" s="21">
        <v>0</v>
      </c>
      <c r="L54" s="21">
        <v>213.5</v>
      </c>
      <c r="M54" s="21">
        <v>277.16000000000003</v>
      </c>
      <c r="N54" s="23">
        <v>1.29817330210772</v>
      </c>
      <c r="O54" s="23">
        <v>1.3338063878300499</v>
      </c>
      <c r="P54" s="23">
        <v>1.30741202530656</v>
      </c>
      <c r="Q54" s="23">
        <v>1.32058460045152</v>
      </c>
      <c r="R54" s="21">
        <v>284.76766380171699</v>
      </c>
      <c r="S54" s="21">
        <v>279.36899764660399</v>
      </c>
      <c r="T54" s="21">
        <v>282.28144421023597</v>
      </c>
      <c r="U54" s="22">
        <v>2.7078676310425199E-2</v>
      </c>
      <c r="V54" s="22">
        <v>7.9385234439925002E-3</v>
      </c>
      <c r="W54" s="22">
        <v>1.8309645593310098E-2</v>
      </c>
      <c r="X54" s="23">
        <v>1.29817330210772</v>
      </c>
      <c r="Y54" s="23">
        <v>1.3338063878300499</v>
      </c>
      <c r="Z54" s="23">
        <v>1.30741202530656</v>
      </c>
      <c r="AA54" s="23">
        <v>1.32058460045152</v>
      </c>
      <c r="AB54" s="21">
        <v>284.76766380171699</v>
      </c>
      <c r="AC54" s="21">
        <v>279.36899764660399</v>
      </c>
      <c r="AD54" s="21">
        <v>282.28144421023597</v>
      </c>
      <c r="AE54" s="22">
        <v>2.7078676310425199E-2</v>
      </c>
      <c r="AF54" s="22">
        <v>7.9385234439925002E-3</v>
      </c>
      <c r="AG54" s="22">
        <v>1.8309645593310098E-2</v>
      </c>
      <c r="AI54" s="5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16">
        <f t="shared" si="8"/>
        <v>0</v>
      </c>
      <c r="AP54" s="16">
        <f t="shared" si="9"/>
        <v>0</v>
      </c>
      <c r="AQ54" s="16">
        <f t="shared" si="16"/>
        <v>0</v>
      </c>
      <c r="AR54" s="10">
        <f t="shared" si="17"/>
        <v>7.9728619672020558E-3</v>
      </c>
      <c r="AT54" s="5"/>
      <c r="AU54">
        <f t="shared" si="10"/>
        <v>1</v>
      </c>
      <c r="AV54">
        <f t="shared" si="11"/>
        <v>0</v>
      </c>
      <c r="AW54">
        <f t="shared" si="18"/>
        <v>1</v>
      </c>
      <c r="AX54">
        <f t="shared" si="5"/>
        <v>1</v>
      </c>
      <c r="AY54">
        <f t="shared" si="19"/>
        <v>1</v>
      </c>
      <c r="AZ54" s="16">
        <f t="shared" si="12"/>
        <v>3.45258688490735E-2</v>
      </c>
      <c r="BA54" s="16">
        <f t="shared" si="13"/>
        <v>-3.9510700744122003E-2</v>
      </c>
      <c r="BB54" s="16">
        <f t="shared" si="20"/>
        <v>-4.9848318950485027E-3</v>
      </c>
      <c r="BC54" s="10">
        <f t="shared" si="21"/>
        <v>-1.437175341327875E-3</v>
      </c>
      <c r="BE54" s="10">
        <f t="shared" si="22"/>
        <v>-4.9848318950485027E-3</v>
      </c>
      <c r="BF54" s="10">
        <f t="shared" si="23"/>
        <v>6.5356866258741812E-3</v>
      </c>
      <c r="BH54" s="10"/>
    </row>
    <row r="55" spans="1:60" x14ac:dyDescent="0.25">
      <c r="A55" s="1">
        <v>46101</v>
      </c>
      <c r="B55" s="21">
        <v>209.42</v>
      </c>
      <c r="C55" s="21">
        <v>275.16000000000003</v>
      </c>
      <c r="D55" s="22">
        <v>-1.9295027809363201E-2</v>
      </c>
      <c r="E55" s="22">
        <v>-7.2422101013671497E-3</v>
      </c>
      <c r="F55" s="21">
        <v>0</v>
      </c>
      <c r="G55" s="21">
        <v>0.12</v>
      </c>
      <c r="H55" s="21">
        <v>0</v>
      </c>
      <c r="I55" s="21">
        <v>0.12</v>
      </c>
      <c r="J55" s="21">
        <v>0</v>
      </c>
      <c r="K55" s="21">
        <v>0</v>
      </c>
      <c r="L55" s="21">
        <v>209.42</v>
      </c>
      <c r="M55" s="21">
        <v>275.16000000000003</v>
      </c>
      <c r="N55" s="23">
        <v>1.3139146213351101</v>
      </c>
      <c r="O55" s="23">
        <v>1.3338063878300499</v>
      </c>
      <c r="P55" s="23">
        <v>1.30836889154554</v>
      </c>
      <c r="Q55" s="23">
        <v>1.31906959798363</v>
      </c>
      <c r="R55" s="21">
        <v>279.325733739371</v>
      </c>
      <c r="S55" s="21">
        <v>273.79822633970002</v>
      </c>
      <c r="T55" s="21">
        <v>276.55682702655901</v>
      </c>
      <c r="U55" s="22">
        <v>1.5025858602429099E-2</v>
      </c>
      <c r="V55" s="22">
        <v>-4.961311765644E-3</v>
      </c>
      <c r="W55" s="22">
        <v>5.0635758877121502E-3</v>
      </c>
      <c r="X55" s="23">
        <v>1.3139146213351101</v>
      </c>
      <c r="Y55" s="23">
        <v>1.3338063878300499</v>
      </c>
      <c r="Z55" s="23">
        <v>1.30836889154554</v>
      </c>
      <c r="AA55" s="23">
        <v>1.31906959798363</v>
      </c>
      <c r="AB55" s="21">
        <v>279.325733739371</v>
      </c>
      <c r="AC55" s="21">
        <v>273.79822633970002</v>
      </c>
      <c r="AD55" s="21">
        <v>276.55682702655901</v>
      </c>
      <c r="AE55" s="22">
        <v>1.5025858602429099E-2</v>
      </c>
      <c r="AF55" s="22">
        <v>-4.961311765644E-3</v>
      </c>
      <c r="AG55" s="22">
        <v>5.0635758877121502E-3</v>
      </c>
      <c r="AI55" s="5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16">
        <f t="shared" si="8"/>
        <v>0</v>
      </c>
      <c r="AP55" s="16">
        <f t="shared" si="9"/>
        <v>0</v>
      </c>
      <c r="AQ55" s="16">
        <f t="shared" si="16"/>
        <v>0</v>
      </c>
      <c r="AR55" s="10">
        <f t="shared" si="17"/>
        <v>7.9728619672020558E-3</v>
      </c>
      <c r="AT55" s="5"/>
      <c r="AU55">
        <f t="shared" si="10"/>
        <v>0</v>
      </c>
      <c r="AV55">
        <f t="shared" si="11"/>
        <v>0</v>
      </c>
      <c r="AW55">
        <f t="shared" si="18"/>
        <v>1</v>
      </c>
      <c r="AX55">
        <f t="shared" si="5"/>
        <v>1</v>
      </c>
      <c r="AY55">
        <f t="shared" si="19"/>
        <v>1</v>
      </c>
      <c r="AZ55" s="16">
        <f t="shared" si="12"/>
        <v>1.9295027809363201E-2</v>
      </c>
      <c r="BA55" s="16">
        <f t="shared" si="13"/>
        <v>-7.2422101013671497E-3</v>
      </c>
      <c r="BB55" s="16">
        <f t="shared" si="20"/>
        <v>1.2052817707996051E-2</v>
      </c>
      <c r="BC55" s="10">
        <f t="shared" si="21"/>
        <v>1.0615642366668177E-2</v>
      </c>
      <c r="BE55" s="10">
        <f t="shared" si="22"/>
        <v>1.2052817707996051E-2</v>
      </c>
      <c r="BF55" s="10">
        <f t="shared" si="23"/>
        <v>1.8588504333870232E-2</v>
      </c>
      <c r="BH55" s="10"/>
    </row>
    <row r="56" spans="1:60" x14ac:dyDescent="0.25">
      <c r="A56" s="1">
        <v>46104</v>
      </c>
      <c r="B56" s="21">
        <v>213.03</v>
      </c>
      <c r="C56" s="21">
        <v>279.64</v>
      </c>
      <c r="D56" s="22">
        <v>1.7091196002795898E-2</v>
      </c>
      <c r="E56" s="22">
        <v>1.61503149859708E-2</v>
      </c>
      <c r="F56" s="21">
        <v>0</v>
      </c>
      <c r="G56" s="21">
        <v>0.12</v>
      </c>
      <c r="H56" s="21">
        <v>0</v>
      </c>
      <c r="I56" s="21">
        <v>0.12</v>
      </c>
      <c r="J56" s="21">
        <v>0</v>
      </c>
      <c r="K56" s="21">
        <v>0</v>
      </c>
      <c r="L56" s="21">
        <v>213.03</v>
      </c>
      <c r="M56" s="21">
        <v>279.64</v>
      </c>
      <c r="N56" s="23">
        <v>1.3126789654039299</v>
      </c>
      <c r="O56" s="23">
        <v>1.3338063878300499</v>
      </c>
      <c r="P56" s="23">
        <v>1.30708520536134</v>
      </c>
      <c r="Q56" s="23">
        <v>1.31781990258543</v>
      </c>
      <c r="R56" s="21">
        <v>284.140774799437</v>
      </c>
      <c r="S56" s="21">
        <v>278.72182496594701</v>
      </c>
      <c r="T56" s="21">
        <v>281.00139645845297</v>
      </c>
      <c r="U56" s="22">
        <v>1.5966739619254201E-2</v>
      </c>
      <c r="V56" s="22">
        <v>-3.2888203333602799E-3</v>
      </c>
      <c r="W56" s="22">
        <v>4.8565772806502799E-3</v>
      </c>
      <c r="X56" s="23">
        <v>1.3126789654039299</v>
      </c>
      <c r="Y56" s="23">
        <v>1.3338063878300499</v>
      </c>
      <c r="Z56" s="23">
        <v>1.30708520536134</v>
      </c>
      <c r="AA56" s="23">
        <v>1.31781990258543</v>
      </c>
      <c r="AB56" s="21">
        <v>284.140774799437</v>
      </c>
      <c r="AC56" s="21">
        <v>278.72182496594701</v>
      </c>
      <c r="AD56" s="21">
        <v>281.00139645845297</v>
      </c>
      <c r="AE56" s="22">
        <v>1.5966739619254201E-2</v>
      </c>
      <c r="AF56" s="22">
        <v>-3.2888203333602799E-3</v>
      </c>
      <c r="AG56" s="22">
        <v>4.8565772806502799E-3</v>
      </c>
      <c r="AI56" s="5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16">
        <f t="shared" si="8"/>
        <v>0</v>
      </c>
      <c r="AP56" s="16">
        <f t="shared" si="9"/>
        <v>0</v>
      </c>
      <c r="AQ56" s="16">
        <f t="shared" si="16"/>
        <v>0</v>
      </c>
      <c r="AR56" s="10">
        <f t="shared" si="17"/>
        <v>7.9728619672020558E-3</v>
      </c>
      <c r="AT56" s="5"/>
      <c r="AU56">
        <f t="shared" si="10"/>
        <v>0</v>
      </c>
      <c r="AV56">
        <f t="shared" si="11"/>
        <v>1</v>
      </c>
      <c r="AW56">
        <f t="shared" si="18"/>
        <v>1</v>
      </c>
      <c r="AX56">
        <f t="shared" si="5"/>
        <v>1</v>
      </c>
      <c r="AY56">
        <f t="shared" si="19"/>
        <v>1</v>
      </c>
      <c r="AZ56" s="16">
        <f t="shared" si="12"/>
        <v>-1.7091196002795898E-2</v>
      </c>
      <c r="BA56" s="16">
        <f t="shared" si="13"/>
        <v>1.61503149859708E-2</v>
      </c>
      <c r="BB56" s="16">
        <f t="shared" si="20"/>
        <v>-9.4088101682509792E-4</v>
      </c>
      <c r="BC56" s="10">
        <f t="shared" si="21"/>
        <v>9.6747613498430786E-3</v>
      </c>
      <c r="BE56" s="10">
        <f t="shared" si="22"/>
        <v>-9.4088101682509792E-4</v>
      </c>
      <c r="BF56" s="10">
        <f t="shared" si="23"/>
        <v>1.7647623317045134E-2</v>
      </c>
      <c r="BH56" s="10"/>
    </row>
    <row r="57" spans="1:60" x14ac:dyDescent="0.25">
      <c r="A57" s="1">
        <v>46105</v>
      </c>
      <c r="B57" s="21">
        <v>212.81</v>
      </c>
      <c r="C57" s="21">
        <v>280.69</v>
      </c>
      <c r="D57" s="22">
        <v>-1.0332520175317E-3</v>
      </c>
      <c r="E57" s="22">
        <v>3.7477958668015099E-3</v>
      </c>
      <c r="F57" s="21">
        <v>0</v>
      </c>
      <c r="G57" s="21">
        <v>0.12</v>
      </c>
      <c r="H57" s="21">
        <v>0</v>
      </c>
      <c r="I57" s="21">
        <v>0.12</v>
      </c>
      <c r="J57" s="21">
        <v>0</v>
      </c>
      <c r="K57" s="21">
        <v>0</v>
      </c>
      <c r="L57" s="21">
        <v>212.81</v>
      </c>
      <c r="M57" s="21">
        <v>280.69</v>
      </c>
      <c r="N57" s="23">
        <v>1.31896997321554</v>
      </c>
      <c r="O57" s="23">
        <v>1.3338063878300499</v>
      </c>
      <c r="P57" s="23">
        <v>1.3067992863757301</v>
      </c>
      <c r="Q57" s="23">
        <v>1.3161790570155201</v>
      </c>
      <c r="R57" s="21">
        <v>283.84733739411399</v>
      </c>
      <c r="S57" s="21">
        <v>278.16080255294702</v>
      </c>
      <c r="T57" s="21">
        <v>280.44525346920699</v>
      </c>
      <c r="U57" s="22">
        <v>1.11856917349209E-2</v>
      </c>
      <c r="V57" s="22">
        <v>-9.0514845945931094E-3</v>
      </c>
      <c r="W57" s="22">
        <v>-8.7232639475000502E-4</v>
      </c>
      <c r="X57" s="23">
        <v>1.31896997321554</v>
      </c>
      <c r="Y57" s="23">
        <v>1.3338063878300499</v>
      </c>
      <c r="Z57" s="23">
        <v>1.3067992863757301</v>
      </c>
      <c r="AA57" s="23">
        <v>1.3161790570155201</v>
      </c>
      <c r="AB57" s="21">
        <v>283.84733739411399</v>
      </c>
      <c r="AC57" s="21">
        <v>278.16080255294702</v>
      </c>
      <c r="AD57" s="21">
        <v>280.44525346920699</v>
      </c>
      <c r="AE57" s="22">
        <v>1.11856917349209E-2</v>
      </c>
      <c r="AF57" s="22">
        <v>-9.0514845945931094E-3</v>
      </c>
      <c r="AG57" s="22">
        <v>-8.7232639475000502E-4</v>
      </c>
      <c r="AI57" s="5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16">
        <f t="shared" si="8"/>
        <v>0</v>
      </c>
      <c r="AP57" s="16">
        <f t="shared" si="9"/>
        <v>0</v>
      </c>
      <c r="AQ57" s="16">
        <f t="shared" si="16"/>
        <v>0</v>
      </c>
      <c r="AR57" s="10">
        <f t="shared" si="17"/>
        <v>7.9728619672020558E-3</v>
      </c>
      <c r="AT57" s="5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16">
        <f t="shared" si="12"/>
        <v>0</v>
      </c>
      <c r="BA57" s="16">
        <f t="shared" si="13"/>
        <v>0</v>
      </c>
      <c r="BB57" s="16">
        <f t="shared" si="20"/>
        <v>0</v>
      </c>
      <c r="BC57" s="10">
        <f t="shared" si="21"/>
        <v>9.6747613498430786E-3</v>
      </c>
      <c r="BE57" s="10">
        <f t="shared" si="22"/>
        <v>0</v>
      </c>
      <c r="BF57" s="10">
        <f t="shared" si="23"/>
        <v>1.7647623317045134E-2</v>
      </c>
      <c r="BH57" s="10"/>
    </row>
    <row r="58" spans="1:60" x14ac:dyDescent="0.25">
      <c r="A58" s="1">
        <v>46106</v>
      </c>
      <c r="B58" s="21">
        <v>213.05</v>
      </c>
      <c r="C58" s="21">
        <v>279.08999999999997</v>
      </c>
      <c r="D58" s="22">
        <v>1.1271311013408101E-3</v>
      </c>
      <c r="E58" s="22">
        <v>-5.7165470620090097E-3</v>
      </c>
      <c r="F58" s="21">
        <v>0</v>
      </c>
      <c r="G58" s="21">
        <v>0.12</v>
      </c>
      <c r="H58" s="21">
        <v>0</v>
      </c>
      <c r="I58" s="21">
        <v>0.12</v>
      </c>
      <c r="J58" s="21">
        <v>0</v>
      </c>
      <c r="K58" s="21">
        <v>0</v>
      </c>
      <c r="L58" s="21">
        <v>213.05</v>
      </c>
      <c r="M58" s="21">
        <v>279.08999999999997</v>
      </c>
      <c r="N58" s="23">
        <v>1.30997418446374</v>
      </c>
      <c r="O58" s="23">
        <v>1.3338063878300499</v>
      </c>
      <c r="P58" s="23">
        <v>1.30607179712055</v>
      </c>
      <c r="Q58" s="23">
        <v>1.31354589810683</v>
      </c>
      <c r="R58" s="21">
        <v>284.16745092719401</v>
      </c>
      <c r="S58" s="21">
        <v>278.41358796235102</v>
      </c>
      <c r="T58" s="21">
        <v>280.41194809715603</v>
      </c>
      <c r="U58" s="22">
        <v>1.8029369898270801E-2</v>
      </c>
      <c r="V58" s="22">
        <v>-2.4265758433202E-3</v>
      </c>
      <c r="W58" s="22">
        <v>4.72545470688065E-3</v>
      </c>
      <c r="X58" s="23">
        <v>1.30997418446374</v>
      </c>
      <c r="Y58" s="23">
        <v>1.3338063878300499</v>
      </c>
      <c r="Z58" s="23">
        <v>1.30607179712055</v>
      </c>
      <c r="AA58" s="23">
        <v>1.31354589810683</v>
      </c>
      <c r="AB58" s="21">
        <v>284.16745092719401</v>
      </c>
      <c r="AC58" s="21">
        <v>278.41358796235102</v>
      </c>
      <c r="AD58" s="21">
        <v>280.41194809715603</v>
      </c>
      <c r="AE58" s="22">
        <v>1.8029369898270801E-2</v>
      </c>
      <c r="AF58" s="22">
        <v>-2.4265758433202E-3</v>
      </c>
      <c r="AG58" s="22">
        <v>4.72545470688065E-3</v>
      </c>
      <c r="AI58" s="5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16">
        <f t="shared" si="8"/>
        <v>0</v>
      </c>
      <c r="AP58" s="16">
        <f t="shared" si="9"/>
        <v>0</v>
      </c>
      <c r="AQ58" s="16">
        <f t="shared" si="16"/>
        <v>0</v>
      </c>
      <c r="AR58" s="10">
        <f t="shared" si="17"/>
        <v>7.9728619672020558E-3</v>
      </c>
      <c r="AT58" s="5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16">
        <f t="shared" si="12"/>
        <v>0</v>
      </c>
      <c r="BA58" s="16">
        <f t="shared" si="13"/>
        <v>0</v>
      </c>
      <c r="BB58" s="16">
        <f t="shared" si="20"/>
        <v>0</v>
      </c>
      <c r="BC58" s="10">
        <f t="shared" si="21"/>
        <v>9.6747613498430786E-3</v>
      </c>
      <c r="BE58" s="10">
        <f t="shared" si="22"/>
        <v>0</v>
      </c>
      <c r="BF58" s="10">
        <f t="shared" si="23"/>
        <v>1.7647623317045134E-2</v>
      </c>
      <c r="BH58" s="10"/>
    </row>
    <row r="59" spans="1:60" x14ac:dyDescent="0.25">
      <c r="A59" s="1">
        <v>46107</v>
      </c>
      <c r="B59" s="21">
        <v>208.33</v>
      </c>
      <c r="C59" s="21">
        <v>272.64</v>
      </c>
      <c r="D59" s="22">
        <v>-2.24035190056305E-2</v>
      </c>
      <c r="E59" s="22">
        <v>-2.3382066807626001E-2</v>
      </c>
      <c r="F59" s="21">
        <v>0</v>
      </c>
      <c r="G59" s="21">
        <v>0.12</v>
      </c>
      <c r="H59" s="21">
        <v>0</v>
      </c>
      <c r="I59" s="21">
        <v>0.12</v>
      </c>
      <c r="J59" s="21">
        <v>0</v>
      </c>
      <c r="K59" s="21">
        <v>0</v>
      </c>
      <c r="L59" s="21">
        <v>208.33</v>
      </c>
      <c r="M59" s="21">
        <v>272.64</v>
      </c>
      <c r="N59" s="23">
        <v>1.3086929390870199</v>
      </c>
      <c r="O59" s="23">
        <v>1.3338063878300499</v>
      </c>
      <c r="P59" s="23">
        <v>1.3069370564212901</v>
      </c>
      <c r="Q59" s="23">
        <v>1.31319250957962</v>
      </c>
      <c r="R59" s="21">
        <v>277.87188477663602</v>
      </c>
      <c r="S59" s="21">
        <v>272.09393749412499</v>
      </c>
      <c r="T59" s="21">
        <v>273.65101695259699</v>
      </c>
      <c r="U59" s="22">
        <v>1.9007917700266198E-2</v>
      </c>
      <c r="V59" s="22">
        <v>-2.0048785331639798E-3</v>
      </c>
      <c r="W59" s="22">
        <v>3.70139019494106E-3</v>
      </c>
      <c r="X59" s="23">
        <v>1.3086929390870199</v>
      </c>
      <c r="Y59" s="23">
        <v>1.3338063878300499</v>
      </c>
      <c r="Z59" s="23">
        <v>1.3069370564212901</v>
      </c>
      <c r="AA59" s="23">
        <v>1.31319250957962</v>
      </c>
      <c r="AB59" s="21">
        <v>277.87188477663602</v>
      </c>
      <c r="AC59" s="21">
        <v>272.09393749412499</v>
      </c>
      <c r="AD59" s="21">
        <v>273.65101695259699</v>
      </c>
      <c r="AE59" s="22">
        <v>1.9007917700266198E-2</v>
      </c>
      <c r="AF59" s="22">
        <v>-2.0048785331639798E-3</v>
      </c>
      <c r="AG59" s="22">
        <v>3.70139019494106E-3</v>
      </c>
      <c r="AI59" s="5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16">
        <f t="shared" si="8"/>
        <v>0</v>
      </c>
      <c r="AP59" s="16">
        <f t="shared" si="9"/>
        <v>0</v>
      </c>
      <c r="AQ59" s="16">
        <f t="shared" si="16"/>
        <v>0</v>
      </c>
      <c r="AR59" s="10">
        <f t="shared" si="17"/>
        <v>7.9728619672020558E-3</v>
      </c>
      <c r="AT59" s="5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16">
        <f t="shared" si="12"/>
        <v>0</v>
      </c>
      <c r="BA59" s="16">
        <f t="shared" si="13"/>
        <v>0</v>
      </c>
      <c r="BB59" s="16">
        <f t="shared" si="20"/>
        <v>0</v>
      </c>
      <c r="BC59" s="10">
        <f t="shared" si="21"/>
        <v>9.6747613498430786E-3</v>
      </c>
      <c r="BE59" s="10">
        <f t="shared" si="22"/>
        <v>0</v>
      </c>
      <c r="BF59" s="10">
        <f t="shared" si="23"/>
        <v>1.7647623317045134E-2</v>
      </c>
      <c r="BH59" s="10"/>
    </row>
    <row r="60" spans="1:60" x14ac:dyDescent="0.25">
      <c r="A60" s="1">
        <v>46108</v>
      </c>
      <c r="B60" s="21">
        <v>207.78</v>
      </c>
      <c r="C60" s="21">
        <v>273.39</v>
      </c>
      <c r="D60" s="22">
        <v>-2.6435332979049199E-3</v>
      </c>
      <c r="E60" s="22">
        <v>2.7471035351943301E-3</v>
      </c>
      <c r="F60" s="21">
        <v>0</v>
      </c>
      <c r="G60" s="21">
        <v>0.12</v>
      </c>
      <c r="H60" s="21">
        <v>0</v>
      </c>
      <c r="I60" s="21">
        <v>0.12</v>
      </c>
      <c r="J60" s="21">
        <v>0</v>
      </c>
      <c r="K60" s="21">
        <v>0</v>
      </c>
      <c r="L60" s="21">
        <v>207.78</v>
      </c>
      <c r="M60" s="21">
        <v>273.39</v>
      </c>
      <c r="N60" s="23">
        <v>1.31576667629223</v>
      </c>
      <c r="O60" s="23">
        <v>1.3338063878300499</v>
      </c>
      <c r="P60" s="23">
        <v>1.3082174009860901</v>
      </c>
      <c r="Q60" s="23">
        <v>1.3124571667460301</v>
      </c>
      <c r="R60" s="21">
        <v>277.13829126332899</v>
      </c>
      <c r="S60" s="21">
        <v>271.55538158321502</v>
      </c>
      <c r="T60" s="21">
        <v>272.85513964045401</v>
      </c>
      <c r="U60" s="22">
        <v>1.3617280867167E-2</v>
      </c>
      <c r="V60" s="22">
        <v>-6.7332448720897999E-3</v>
      </c>
      <c r="W60" s="22">
        <v>-1.9583168495747802E-3</v>
      </c>
      <c r="X60" s="23">
        <v>1.31576667629223</v>
      </c>
      <c r="Y60" s="23">
        <v>1.3338063878300499</v>
      </c>
      <c r="Z60" s="23">
        <v>1.3082174009860901</v>
      </c>
      <c r="AA60" s="23">
        <v>1.3124571667460301</v>
      </c>
      <c r="AB60" s="21">
        <v>277.13829126332899</v>
      </c>
      <c r="AC60" s="21">
        <v>271.55538158321502</v>
      </c>
      <c r="AD60" s="21">
        <v>272.85513964045401</v>
      </c>
      <c r="AE60" s="22">
        <v>1.3617280867167E-2</v>
      </c>
      <c r="AF60" s="22">
        <v>-6.7332448720897999E-3</v>
      </c>
      <c r="AG60" s="22">
        <v>-1.9583168495747802E-3</v>
      </c>
      <c r="AI60" s="5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16">
        <f t="shared" si="8"/>
        <v>0</v>
      </c>
      <c r="AP60" s="16">
        <f t="shared" si="9"/>
        <v>0</v>
      </c>
      <c r="AQ60" s="16">
        <f t="shared" si="16"/>
        <v>0</v>
      </c>
      <c r="AR60" s="10">
        <f t="shared" si="17"/>
        <v>7.9728619672020558E-3</v>
      </c>
      <c r="AT60" s="5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16">
        <f t="shared" si="12"/>
        <v>0</v>
      </c>
      <c r="BA60" s="16">
        <f t="shared" si="13"/>
        <v>0</v>
      </c>
      <c r="BB60" s="16">
        <f t="shared" si="20"/>
        <v>0</v>
      </c>
      <c r="BC60" s="10">
        <f t="shared" si="21"/>
        <v>9.6747613498430786E-3</v>
      </c>
      <c r="BE60" s="10">
        <f t="shared" si="22"/>
        <v>0</v>
      </c>
      <c r="BF60" s="10">
        <f t="shared" si="23"/>
        <v>1.7647623317045134E-2</v>
      </c>
      <c r="BH60" s="10"/>
    </row>
    <row r="61" spans="1:60" x14ac:dyDescent="0.25">
      <c r="A61" s="1">
        <v>46111</v>
      </c>
      <c r="B61" s="21">
        <v>204.88</v>
      </c>
      <c r="C61" s="21">
        <v>265.02</v>
      </c>
      <c r="D61" s="22">
        <v>-1.40553857511158E-2</v>
      </c>
      <c r="E61" s="22">
        <v>-3.1094052339654999E-2</v>
      </c>
      <c r="F61" s="21">
        <v>0</v>
      </c>
      <c r="G61" s="21">
        <v>0.12</v>
      </c>
      <c r="H61" s="21">
        <v>0</v>
      </c>
      <c r="I61" s="21">
        <v>0.12</v>
      </c>
      <c r="J61" s="21">
        <v>0</v>
      </c>
      <c r="K61" s="21">
        <v>0</v>
      </c>
      <c r="L61" s="21">
        <v>204.88</v>
      </c>
      <c r="M61" s="21">
        <v>265.02</v>
      </c>
      <c r="N61" s="23">
        <v>1.2935376805935099</v>
      </c>
      <c r="O61" s="23">
        <v>1.3338063878300499</v>
      </c>
      <c r="P61" s="23">
        <v>1.3074099579526901</v>
      </c>
      <c r="Q61" s="23">
        <v>1.3103192449800101</v>
      </c>
      <c r="R61" s="21">
        <v>273.27025273862199</v>
      </c>
      <c r="S61" s="21">
        <v>268.02758111403199</v>
      </c>
      <c r="T61" s="21">
        <v>268.89622432292703</v>
      </c>
      <c r="U61" s="22">
        <v>3.0655947455706101E-2</v>
      </c>
      <c r="V61" s="22">
        <v>1.12845949836194E-2</v>
      </c>
      <c r="W61" s="22">
        <v>1.4520227145727999E-2</v>
      </c>
      <c r="X61" s="23">
        <v>1.2935376805935099</v>
      </c>
      <c r="Y61" s="23">
        <v>1.3338063878300499</v>
      </c>
      <c r="Z61" s="23">
        <v>1.3074099579526901</v>
      </c>
      <c r="AA61" s="23">
        <v>1.3103192449800101</v>
      </c>
      <c r="AB61" s="21">
        <v>273.27025273862199</v>
      </c>
      <c r="AC61" s="21">
        <v>268.02758111403199</v>
      </c>
      <c r="AD61" s="21">
        <v>268.89622432292703</v>
      </c>
      <c r="AE61" s="22">
        <v>3.0655947455706101E-2</v>
      </c>
      <c r="AF61" s="22">
        <v>1.12845949836194E-2</v>
      </c>
      <c r="AG61" s="22">
        <v>1.4520227145727999E-2</v>
      </c>
      <c r="AI61" s="5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16">
        <f t="shared" si="8"/>
        <v>0</v>
      </c>
      <c r="AP61" s="16">
        <f t="shared" si="9"/>
        <v>0</v>
      </c>
      <c r="AQ61" s="16">
        <f t="shared" si="16"/>
        <v>0</v>
      </c>
      <c r="AR61" s="10">
        <f t="shared" si="17"/>
        <v>7.9728619672020558E-3</v>
      </c>
      <c r="AT61" s="5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16">
        <f t="shared" si="12"/>
        <v>0</v>
      </c>
      <c r="BA61" s="16">
        <f t="shared" si="13"/>
        <v>0</v>
      </c>
      <c r="BB61" s="16">
        <f t="shared" si="20"/>
        <v>0</v>
      </c>
      <c r="BC61" s="10">
        <f t="shared" si="21"/>
        <v>9.6747613498430786E-3</v>
      </c>
      <c r="BE61" s="10">
        <f t="shared" si="22"/>
        <v>0</v>
      </c>
      <c r="BF61" s="10">
        <f t="shared" si="23"/>
        <v>1.7647623317045134E-2</v>
      </c>
      <c r="BH61" s="10"/>
    </row>
    <row r="62" spans="1:60" x14ac:dyDescent="0.25">
      <c r="A62" s="1">
        <v>46112</v>
      </c>
      <c r="B62" s="21">
        <v>211.09</v>
      </c>
      <c r="C62" s="21">
        <v>274.2</v>
      </c>
      <c r="D62" s="22">
        <v>2.98601409267093E-2</v>
      </c>
      <c r="E62" s="22">
        <v>3.4052472291723999E-2</v>
      </c>
      <c r="F62" s="21">
        <v>0</v>
      </c>
      <c r="G62" s="21">
        <v>0.12</v>
      </c>
      <c r="H62" s="21">
        <v>0</v>
      </c>
      <c r="I62" s="21">
        <v>0.12</v>
      </c>
      <c r="J62" s="21">
        <v>0</v>
      </c>
      <c r="K62" s="21">
        <v>0</v>
      </c>
      <c r="L62" s="21">
        <v>211.09</v>
      </c>
      <c r="M62" s="21">
        <v>274.2</v>
      </c>
      <c r="N62" s="23">
        <v>1.2989720024633999</v>
      </c>
      <c r="O62" s="23">
        <v>1.3338063878300499</v>
      </c>
      <c r="P62" s="23">
        <v>1.3075340978446399</v>
      </c>
      <c r="Q62" s="23">
        <v>1.3084587166421799</v>
      </c>
      <c r="R62" s="21">
        <v>281.553190407047</v>
      </c>
      <c r="S62" s="21">
        <v>275.98116802423499</v>
      </c>
      <c r="T62" s="21">
        <v>276.59528942283202</v>
      </c>
      <c r="U62" s="22">
        <v>2.6463616090691599E-2</v>
      </c>
      <c r="V62" s="22">
        <v>6.4748644647921998E-3</v>
      </c>
      <c r="W62" s="22">
        <v>8.6976216712098698E-3</v>
      </c>
      <c r="X62" s="23">
        <v>1.2989720024633999</v>
      </c>
      <c r="Y62" s="23">
        <v>1.3338063878300499</v>
      </c>
      <c r="Z62" s="23">
        <v>1.3075340978446399</v>
      </c>
      <c r="AA62" s="23">
        <v>1.3084587166421799</v>
      </c>
      <c r="AB62" s="21">
        <v>281.553190407047</v>
      </c>
      <c r="AC62" s="21">
        <v>275.98116802423499</v>
      </c>
      <c r="AD62" s="21">
        <v>276.59528942283202</v>
      </c>
      <c r="AE62" s="22">
        <v>2.6463616090691599E-2</v>
      </c>
      <c r="AF62" s="22">
        <v>6.4748644647921998E-3</v>
      </c>
      <c r="AG62" s="22">
        <v>8.6976216712098698E-3</v>
      </c>
      <c r="AI62" s="5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16">
        <f t="shared" si="8"/>
        <v>0</v>
      </c>
      <c r="AP62" s="16">
        <f t="shared" si="9"/>
        <v>0</v>
      </c>
      <c r="AQ62" s="16">
        <f t="shared" si="16"/>
        <v>0</v>
      </c>
      <c r="AR62" s="10">
        <f t="shared" si="17"/>
        <v>7.9728619672020558E-3</v>
      </c>
      <c r="AT62" s="5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16">
        <f t="shared" si="12"/>
        <v>0</v>
      </c>
      <c r="BA62" s="16">
        <f t="shared" si="13"/>
        <v>0</v>
      </c>
      <c r="BB62" s="16">
        <f t="shared" si="20"/>
        <v>0</v>
      </c>
      <c r="BC62" s="10">
        <f t="shared" si="21"/>
        <v>9.6747613498430786E-3</v>
      </c>
      <c r="BE62" s="10">
        <f t="shared" si="22"/>
        <v>0</v>
      </c>
      <c r="BF62" s="10">
        <f t="shared" si="23"/>
        <v>1.7647623317045134E-2</v>
      </c>
      <c r="BH62" s="10"/>
    </row>
    <row r="63" spans="1:60" x14ac:dyDescent="0.25">
      <c r="A63" s="1">
        <v>46113</v>
      </c>
      <c r="B63" s="21">
        <v>212.38</v>
      </c>
      <c r="C63" s="21">
        <v>275.48</v>
      </c>
      <c r="D63" s="22">
        <v>6.0925401577203797E-3</v>
      </c>
      <c r="E63" s="22">
        <v>4.6572635482836503E-3</v>
      </c>
      <c r="F63" s="21">
        <v>0</v>
      </c>
      <c r="G63" s="21">
        <v>0.12</v>
      </c>
      <c r="H63" s="21">
        <v>0</v>
      </c>
      <c r="I63" s="21">
        <v>0.12</v>
      </c>
      <c r="J63" s="21">
        <v>0</v>
      </c>
      <c r="K63" s="21">
        <v>0</v>
      </c>
      <c r="L63" s="21">
        <v>212.38</v>
      </c>
      <c r="M63" s="21">
        <v>275.48</v>
      </c>
      <c r="N63" s="23">
        <v>1.29710895564554</v>
      </c>
      <c r="O63" s="23">
        <v>1.3338063878300499</v>
      </c>
      <c r="P63" s="23">
        <v>1.3067789300607699</v>
      </c>
      <c r="Q63" s="23">
        <v>1.30764941268051</v>
      </c>
      <c r="R63" s="21">
        <v>283.27380064734803</v>
      </c>
      <c r="S63" s="21">
        <v>277.69409170024397</v>
      </c>
      <c r="T63" s="21">
        <v>277.890462240467</v>
      </c>
      <c r="U63" s="22">
        <v>2.7898892700128498E-2</v>
      </c>
      <c r="V63" s="22">
        <v>8.0050875735694308E-3</v>
      </c>
      <c r="W63" s="22">
        <v>8.7119846498370408E-3</v>
      </c>
      <c r="X63" s="23">
        <v>1.29710895564554</v>
      </c>
      <c r="Y63" s="23">
        <v>1.3338063878300499</v>
      </c>
      <c r="Z63" s="23">
        <v>1.3067789300607699</v>
      </c>
      <c r="AA63" s="23">
        <v>1.30764941268051</v>
      </c>
      <c r="AB63" s="21">
        <v>283.27380064734803</v>
      </c>
      <c r="AC63" s="21">
        <v>277.69409170024397</v>
      </c>
      <c r="AD63" s="21">
        <v>277.890462240467</v>
      </c>
      <c r="AE63" s="22">
        <v>2.7898892700128498E-2</v>
      </c>
      <c r="AF63" s="22">
        <v>8.0050875735694308E-3</v>
      </c>
      <c r="AG63" s="22">
        <v>8.7119846498370408E-3</v>
      </c>
      <c r="AI63" s="5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16">
        <f t="shared" si="8"/>
        <v>0</v>
      </c>
      <c r="AP63" s="16">
        <f t="shared" si="9"/>
        <v>0</v>
      </c>
      <c r="AQ63" s="16">
        <f t="shared" si="16"/>
        <v>0</v>
      </c>
      <c r="AR63" s="10">
        <f t="shared" si="17"/>
        <v>7.9728619672020558E-3</v>
      </c>
      <c r="AT63" s="5"/>
      <c r="AU63">
        <f t="shared" si="10"/>
        <v>0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16">
        <f t="shared" si="12"/>
        <v>0</v>
      </c>
      <c r="BA63" s="16">
        <f t="shared" si="13"/>
        <v>0</v>
      </c>
      <c r="BB63" s="16">
        <f t="shared" si="20"/>
        <v>0</v>
      </c>
      <c r="BC63" s="10">
        <f t="shared" si="21"/>
        <v>9.6747613498430786E-3</v>
      </c>
      <c r="BE63" s="10">
        <f t="shared" si="22"/>
        <v>0</v>
      </c>
      <c r="BF63" s="10">
        <f t="shared" si="23"/>
        <v>1.7647623317045134E-2</v>
      </c>
      <c r="BH63" s="10"/>
    </row>
    <row r="64" spans="1:60" x14ac:dyDescent="0.25">
      <c r="A64" s="1">
        <v>46114</v>
      </c>
      <c r="B64" s="21">
        <v>211.04</v>
      </c>
      <c r="C64" s="21">
        <v>271.77</v>
      </c>
      <c r="D64" s="22">
        <v>-6.3294340066950396E-3</v>
      </c>
      <c r="E64" s="22">
        <v>-1.3558910327191399E-2</v>
      </c>
      <c r="F64" s="21">
        <v>0</v>
      </c>
      <c r="G64" s="21">
        <v>0.12</v>
      </c>
      <c r="H64" s="21">
        <v>0</v>
      </c>
      <c r="I64" s="21">
        <v>0.12</v>
      </c>
      <c r="J64" s="21">
        <v>0</v>
      </c>
      <c r="K64" s="21">
        <v>0</v>
      </c>
      <c r="L64" s="21">
        <v>211.04</v>
      </c>
      <c r="M64" s="21">
        <v>271.77</v>
      </c>
      <c r="N64" s="23">
        <v>1.2877653525398001</v>
      </c>
      <c r="O64" s="23">
        <v>1.3338063878300499</v>
      </c>
      <c r="P64" s="23">
        <v>1.3057381351039801</v>
      </c>
      <c r="Q64" s="23">
        <v>1.30657508020527</v>
      </c>
      <c r="R64" s="21">
        <v>281.48650008765497</v>
      </c>
      <c r="S64" s="21">
        <v>275.78262540002601</v>
      </c>
      <c r="T64" s="21">
        <v>275.96633205209599</v>
      </c>
      <c r="U64" s="22">
        <v>3.51283690206248E-2</v>
      </c>
      <c r="V64" s="22">
        <v>1.46568459262441E-2</v>
      </c>
      <c r="W64" s="22">
        <v>1.53227526085375E-2</v>
      </c>
      <c r="X64" s="23">
        <v>1.2877653525398001</v>
      </c>
      <c r="Y64" s="23">
        <v>1.3338063878300499</v>
      </c>
      <c r="Z64" s="23">
        <v>1.3057381351039801</v>
      </c>
      <c r="AA64" s="23">
        <v>1.30657508020527</v>
      </c>
      <c r="AB64" s="21">
        <v>281.48650008765497</v>
      </c>
      <c r="AC64" s="21">
        <v>275.78262540002601</v>
      </c>
      <c r="AD64" s="21">
        <v>275.96633205209599</v>
      </c>
      <c r="AE64" s="22">
        <v>3.51283690206248E-2</v>
      </c>
      <c r="AF64" s="22">
        <v>1.46568459262441E-2</v>
      </c>
      <c r="AG64" s="22">
        <v>1.53227526085375E-2</v>
      </c>
      <c r="AI64" s="5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16">
        <f t="shared" si="8"/>
        <v>0</v>
      </c>
      <c r="AP64" s="16">
        <f t="shared" si="9"/>
        <v>0</v>
      </c>
      <c r="AQ64" s="16">
        <f t="shared" si="16"/>
        <v>0</v>
      </c>
      <c r="AR64" s="10">
        <f t="shared" si="17"/>
        <v>7.9728619672020558E-3</v>
      </c>
      <c r="AT64" s="5"/>
      <c r="AU64">
        <f t="shared" si="10"/>
        <v>1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16">
        <f t="shared" si="12"/>
        <v>0</v>
      </c>
      <c r="BA64" s="16">
        <f t="shared" si="13"/>
        <v>0</v>
      </c>
      <c r="BB64" s="16">
        <f t="shared" si="20"/>
        <v>0</v>
      </c>
      <c r="BC64" s="10">
        <f t="shared" si="21"/>
        <v>9.6747613498430786E-3</v>
      </c>
      <c r="BE64" s="10">
        <f t="shared" si="22"/>
        <v>0</v>
      </c>
      <c r="BF64" s="10">
        <f t="shared" si="23"/>
        <v>1.7647623317045134E-2</v>
      </c>
      <c r="BH64" s="10"/>
    </row>
    <row r="65" spans="1:60" x14ac:dyDescent="0.25">
      <c r="A65" s="1">
        <v>46118</v>
      </c>
      <c r="B65" s="21">
        <v>213.49</v>
      </c>
      <c r="C65" s="21">
        <v>276.77</v>
      </c>
      <c r="D65" s="22">
        <v>1.15423041952282E-2</v>
      </c>
      <c r="E65" s="22">
        <v>1.8230716017618699E-2</v>
      </c>
      <c r="F65" s="21">
        <v>0</v>
      </c>
      <c r="G65" s="21">
        <v>0.12</v>
      </c>
      <c r="H65" s="21">
        <v>0</v>
      </c>
      <c r="I65" s="21">
        <v>0.12</v>
      </c>
      <c r="J65" s="21">
        <v>0</v>
      </c>
      <c r="K65" s="21">
        <v>0</v>
      </c>
      <c r="L65" s="21">
        <v>213.49</v>
      </c>
      <c r="M65" s="21">
        <v>276.77</v>
      </c>
      <c r="N65" s="23">
        <v>1.2964073258700599</v>
      </c>
      <c r="O65" s="23">
        <v>1.3338063878300499</v>
      </c>
      <c r="P65" s="23">
        <v>1.3039874055574801</v>
      </c>
      <c r="Q65" s="23">
        <v>1.30617814855151</v>
      </c>
      <c r="R65" s="21">
        <v>284.754325737839</v>
      </c>
      <c r="S65" s="21">
        <v>278.76203446335001</v>
      </c>
      <c r="T65" s="21">
        <v>278.94071387302398</v>
      </c>
      <c r="U65" s="22">
        <v>2.8439957198234399E-2</v>
      </c>
      <c r="V65" s="22">
        <v>7.1716584381687903E-3</v>
      </c>
      <c r="W65" s="22">
        <v>7.8124277953956498E-3</v>
      </c>
      <c r="X65" s="23">
        <v>1.2964073258700599</v>
      </c>
      <c r="Y65" s="23">
        <v>1.3338063878300499</v>
      </c>
      <c r="Z65" s="23">
        <v>1.3039874055574801</v>
      </c>
      <c r="AA65" s="23">
        <v>1.30617814855151</v>
      </c>
      <c r="AB65" s="21">
        <v>284.754325737839</v>
      </c>
      <c r="AC65" s="21">
        <v>278.76203446335001</v>
      </c>
      <c r="AD65" s="21">
        <v>278.94071387302398</v>
      </c>
      <c r="AE65" s="22">
        <v>2.8439957198234399E-2</v>
      </c>
      <c r="AF65" s="22">
        <v>7.1716584381687903E-3</v>
      </c>
      <c r="AG65" s="22">
        <v>7.8124277953956498E-3</v>
      </c>
      <c r="AI65" s="5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16">
        <f t="shared" si="8"/>
        <v>0</v>
      </c>
      <c r="AP65" s="16">
        <f t="shared" si="9"/>
        <v>0</v>
      </c>
      <c r="AQ65" s="16">
        <f t="shared" si="16"/>
        <v>0</v>
      </c>
      <c r="AR65" s="10">
        <f t="shared" si="17"/>
        <v>7.9728619672020558E-3</v>
      </c>
      <c r="AT65" s="5"/>
      <c r="AU65">
        <f t="shared" si="10"/>
        <v>0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16">
        <f t="shared" si="12"/>
        <v>-1.15423041952282E-2</v>
      </c>
      <c r="BA65" s="16">
        <f t="shared" si="13"/>
        <v>1.8230716017618699E-2</v>
      </c>
      <c r="BB65" s="16">
        <f t="shared" si="20"/>
        <v>6.6884118223904995E-3</v>
      </c>
      <c r="BC65" s="10">
        <f t="shared" si="21"/>
        <v>1.6363173172233576E-2</v>
      </c>
      <c r="BE65" s="10">
        <f t="shared" si="22"/>
        <v>6.6884118223904995E-3</v>
      </c>
      <c r="BF65" s="10">
        <f t="shared" si="23"/>
        <v>2.4336035139435636E-2</v>
      </c>
      <c r="BH65" s="10"/>
    </row>
    <row r="66" spans="1:60" x14ac:dyDescent="0.25">
      <c r="A66" s="1">
        <v>46119</v>
      </c>
      <c r="B66" s="21">
        <v>212.43</v>
      </c>
      <c r="C66" s="21">
        <v>275.38</v>
      </c>
      <c r="D66" s="22">
        <v>-4.9774708324403401E-3</v>
      </c>
      <c r="E66" s="22">
        <v>-5.0348743506984598E-3</v>
      </c>
      <c r="F66" s="21">
        <v>0</v>
      </c>
      <c r="G66" s="21">
        <v>0.12</v>
      </c>
      <c r="H66" s="21">
        <v>0</v>
      </c>
      <c r="I66" s="21">
        <v>0.12</v>
      </c>
      <c r="J66" s="21">
        <v>0</v>
      </c>
      <c r="K66" s="21">
        <v>0</v>
      </c>
      <c r="L66" s="21">
        <v>212.43</v>
      </c>
      <c r="M66" s="21">
        <v>275.38</v>
      </c>
      <c r="N66" s="23">
        <v>1.2963329096643501</v>
      </c>
      <c r="O66" s="23">
        <v>1.3338063878300499</v>
      </c>
      <c r="P66" s="23">
        <v>1.30235279998352</v>
      </c>
      <c r="Q66" s="23">
        <v>1.30471900267243</v>
      </c>
      <c r="R66" s="21">
        <v>283.34049096673903</v>
      </c>
      <c r="S66" s="21">
        <v>277.00604456257503</v>
      </c>
      <c r="T66" s="21">
        <v>277.47142409679702</v>
      </c>
      <c r="U66" s="22">
        <v>2.84973607164925E-2</v>
      </c>
      <c r="V66" s="22">
        <v>5.8873654585700399E-3</v>
      </c>
      <c r="W66" s="22">
        <v>7.5659896400918098E-3</v>
      </c>
      <c r="X66" s="23">
        <v>1.2963329096643501</v>
      </c>
      <c r="Y66" s="23">
        <v>1.3338063878300499</v>
      </c>
      <c r="Z66" s="23">
        <v>1.30235279998352</v>
      </c>
      <c r="AA66" s="23">
        <v>1.30471900267243</v>
      </c>
      <c r="AB66" s="21">
        <v>283.34049096673903</v>
      </c>
      <c r="AC66" s="21">
        <v>277.00604456257503</v>
      </c>
      <c r="AD66" s="21">
        <v>277.47142409679702</v>
      </c>
      <c r="AE66" s="22">
        <v>2.84973607164925E-2</v>
      </c>
      <c r="AF66" s="22">
        <v>5.8873654585700399E-3</v>
      </c>
      <c r="AG66" s="22">
        <v>7.5659896400918098E-3</v>
      </c>
      <c r="AI66" s="5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16">
        <f t="shared" si="8"/>
        <v>0</v>
      </c>
      <c r="AP66" s="16">
        <f t="shared" si="9"/>
        <v>0</v>
      </c>
      <c r="AQ66" s="16">
        <f t="shared" si="16"/>
        <v>0</v>
      </c>
      <c r="AR66" s="10">
        <f t="shared" si="17"/>
        <v>7.9728619672020558E-3</v>
      </c>
      <c r="AT66" s="5"/>
      <c r="AU66">
        <f t="shared" si="10"/>
        <v>0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16">
        <f t="shared" si="12"/>
        <v>4.9774708324403401E-3</v>
      </c>
      <c r="BA66" s="16">
        <f t="shared" si="13"/>
        <v>-5.0348743506984598E-3</v>
      </c>
      <c r="BB66" s="16">
        <f t="shared" si="20"/>
        <v>-5.7403518258119721E-5</v>
      </c>
      <c r="BC66" s="10">
        <f t="shared" si="21"/>
        <v>1.6305769653975455E-2</v>
      </c>
      <c r="BE66" s="10">
        <f t="shared" si="22"/>
        <v>-5.7403518258119721E-5</v>
      </c>
      <c r="BF66" s="10">
        <f t="shared" si="23"/>
        <v>2.4278631621177514E-2</v>
      </c>
      <c r="BH66" s="10"/>
    </row>
    <row r="67" spans="1:60" x14ac:dyDescent="0.25">
      <c r="A67" s="1">
        <v>46120</v>
      </c>
      <c r="B67" s="21">
        <v>224.21</v>
      </c>
      <c r="C67" s="21">
        <v>293.33999999999997</v>
      </c>
      <c r="D67" s="22">
        <v>5.3970590344587899E-2</v>
      </c>
      <c r="E67" s="22">
        <v>6.3180383802382695E-2</v>
      </c>
      <c r="F67" s="21">
        <v>0</v>
      </c>
      <c r="G67" s="21">
        <v>0.12</v>
      </c>
      <c r="H67" s="21">
        <v>0</v>
      </c>
      <c r="I67" s="21">
        <v>0.12</v>
      </c>
      <c r="J67" s="21">
        <v>0</v>
      </c>
      <c r="K67" s="21">
        <v>0</v>
      </c>
      <c r="L67" s="21">
        <v>224.21</v>
      </c>
      <c r="M67" s="21">
        <v>293.33999999999997</v>
      </c>
      <c r="N67" s="23">
        <v>1.30832701485214</v>
      </c>
      <c r="O67" s="23">
        <v>1.3338063878300499</v>
      </c>
      <c r="P67" s="23">
        <v>1.30128850414718</v>
      </c>
      <c r="Q67" s="23">
        <v>1.3040438952614599</v>
      </c>
      <c r="R67" s="21">
        <v>299.05273021537698</v>
      </c>
      <c r="S67" s="21">
        <v>292.00052128430502</v>
      </c>
      <c r="T67" s="21">
        <v>292.53104758918602</v>
      </c>
      <c r="U67" s="22">
        <v>1.92875672586976E-2</v>
      </c>
      <c r="V67" s="22">
        <v>-4.5767583316956304E-3</v>
      </c>
      <c r="W67" s="22">
        <v>-2.7615391756875898E-3</v>
      </c>
      <c r="X67" s="23">
        <v>1.30832701485214</v>
      </c>
      <c r="Y67" s="23">
        <v>1.3338063878300499</v>
      </c>
      <c r="Z67" s="23">
        <v>1.30128850414718</v>
      </c>
      <c r="AA67" s="23">
        <v>1.3040438952614599</v>
      </c>
      <c r="AB67" s="21">
        <v>299.05273021537698</v>
      </c>
      <c r="AC67" s="21">
        <v>292.00052128430502</v>
      </c>
      <c r="AD67" s="21">
        <v>292.53104758918602</v>
      </c>
      <c r="AE67" s="22">
        <v>1.92875672586976E-2</v>
      </c>
      <c r="AF67" s="22">
        <v>-4.5767583316956304E-3</v>
      </c>
      <c r="AG67" s="22">
        <v>-2.7615391756875898E-3</v>
      </c>
      <c r="AI67" s="5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16">
        <f t="shared" si="8"/>
        <v>0</v>
      </c>
      <c r="AP67" s="16">
        <f t="shared" si="9"/>
        <v>0</v>
      </c>
      <c r="AQ67" s="16">
        <f t="shared" si="16"/>
        <v>0</v>
      </c>
      <c r="AR67" s="10">
        <f t="shared" si="17"/>
        <v>7.9728619672020558E-3</v>
      </c>
      <c r="AT67" s="5"/>
      <c r="AU67">
        <f t="shared" si="10"/>
        <v>0</v>
      </c>
      <c r="AV67">
        <f t="shared" si="11"/>
        <v>1</v>
      </c>
      <c r="AW67">
        <f t="shared" si="18"/>
        <v>1</v>
      </c>
      <c r="AX67">
        <f t="shared" si="5"/>
        <v>1</v>
      </c>
      <c r="AY67">
        <f t="shared" si="19"/>
        <v>1</v>
      </c>
      <c r="AZ67" s="16">
        <f t="shared" si="12"/>
        <v>-5.3970590344587899E-2</v>
      </c>
      <c r="BA67" s="16">
        <f t="shared" si="13"/>
        <v>6.3180383802382695E-2</v>
      </c>
      <c r="BB67" s="16">
        <f t="shared" si="20"/>
        <v>9.209793457794796E-3</v>
      </c>
      <c r="BC67" s="10">
        <f t="shared" si="21"/>
        <v>2.5515563111770251E-2</v>
      </c>
      <c r="BE67" s="10">
        <f t="shared" si="22"/>
        <v>9.209793457794796E-3</v>
      </c>
      <c r="BF67" s="10">
        <f t="shared" si="23"/>
        <v>3.348842507897231E-2</v>
      </c>
      <c r="BH67" s="10"/>
    </row>
    <row r="68" spans="1:60" x14ac:dyDescent="0.25">
      <c r="A68" s="1">
        <v>46121</v>
      </c>
      <c r="B68" s="21">
        <v>223.47</v>
      </c>
      <c r="C68" s="21">
        <v>293.22000000000003</v>
      </c>
      <c r="D68" s="22">
        <v>-3.3059358200854599E-3</v>
      </c>
      <c r="E68" s="22">
        <v>-4.0916530849050898E-4</v>
      </c>
      <c r="F68" s="21">
        <v>0</v>
      </c>
      <c r="G68" s="21">
        <v>0.12</v>
      </c>
      <c r="H68" s="21">
        <v>0</v>
      </c>
      <c r="I68" s="21">
        <v>0.12</v>
      </c>
      <c r="J68" s="21">
        <v>0</v>
      </c>
      <c r="K68" s="21">
        <v>0</v>
      </c>
      <c r="L68" s="21">
        <v>223.47</v>
      </c>
      <c r="M68" s="21">
        <v>293.22000000000003</v>
      </c>
      <c r="N68" s="23">
        <v>1.3121224325412799</v>
      </c>
      <c r="O68" s="23">
        <v>1.3338063878300499</v>
      </c>
      <c r="P68" s="23">
        <v>1.30150332895493</v>
      </c>
      <c r="Q68" s="23">
        <v>1.30378756303774</v>
      </c>
      <c r="R68" s="21">
        <v>298.06571348838298</v>
      </c>
      <c r="S68" s="21">
        <v>290.79894202177098</v>
      </c>
      <c r="T68" s="21">
        <v>291.414689274078</v>
      </c>
      <c r="U68" s="22">
        <v>1.6390796747102501E-2</v>
      </c>
      <c r="V68" s="22">
        <v>-8.2910730218458996E-3</v>
      </c>
      <c r="W68" s="22">
        <v>-6.1758787055926096E-3</v>
      </c>
      <c r="X68" s="23">
        <v>1.3121224325412799</v>
      </c>
      <c r="Y68" s="23">
        <v>1.3338063878300499</v>
      </c>
      <c r="Z68" s="23">
        <v>1.30150332895493</v>
      </c>
      <c r="AA68" s="23">
        <v>1.30378756303774</v>
      </c>
      <c r="AB68" s="21">
        <v>298.06571348838298</v>
      </c>
      <c r="AC68" s="21">
        <v>290.79894202177098</v>
      </c>
      <c r="AD68" s="21">
        <v>291.414689274078</v>
      </c>
      <c r="AE68" s="22">
        <v>1.6390796747102501E-2</v>
      </c>
      <c r="AF68" s="22">
        <v>-8.2910730218458996E-3</v>
      </c>
      <c r="AG68" s="22">
        <v>-6.1758787055926096E-3</v>
      </c>
      <c r="AI68" s="5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16">
        <f t="shared" si="8"/>
        <v>0</v>
      </c>
      <c r="AP68" s="16">
        <f t="shared" si="9"/>
        <v>0</v>
      </c>
      <c r="AQ68" s="16">
        <f t="shared" si="16"/>
        <v>0</v>
      </c>
      <c r="AR68" s="10">
        <f t="shared" si="17"/>
        <v>7.9728619672020558E-3</v>
      </c>
      <c r="AT68" s="5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16">
        <f t="shared" si="12"/>
        <v>0</v>
      </c>
      <c r="BA68" s="16">
        <f t="shared" si="13"/>
        <v>0</v>
      </c>
      <c r="BB68" s="16">
        <f t="shared" si="20"/>
        <v>0</v>
      </c>
      <c r="BC68" s="10">
        <f t="shared" si="21"/>
        <v>2.5515563111770251E-2</v>
      </c>
      <c r="BE68" s="10">
        <f t="shared" si="22"/>
        <v>0</v>
      </c>
      <c r="BF68" s="10">
        <f t="shared" si="23"/>
        <v>3.348842507897231E-2</v>
      </c>
      <c r="BH68" s="10"/>
    </row>
    <row r="69" spans="1:60" x14ac:dyDescent="0.25">
      <c r="A69" s="1">
        <v>46122</v>
      </c>
      <c r="B69" s="21">
        <v>219.79</v>
      </c>
      <c r="C69" s="21">
        <v>289.17</v>
      </c>
      <c r="D69" s="22">
        <v>-1.66046318271122E-2</v>
      </c>
      <c r="E69" s="22">
        <v>-1.3908430046132E-2</v>
      </c>
      <c r="F69" s="21">
        <v>0</v>
      </c>
      <c r="G69" s="21">
        <v>0.12</v>
      </c>
      <c r="H69" s="21">
        <v>0</v>
      </c>
      <c r="I69" s="21">
        <v>0.12</v>
      </c>
      <c r="J69" s="21">
        <v>0</v>
      </c>
      <c r="K69" s="21">
        <v>0</v>
      </c>
      <c r="L69" s="21">
        <v>219.79</v>
      </c>
      <c r="M69" s="21">
        <v>289.17</v>
      </c>
      <c r="N69" s="23">
        <v>1.3156649529095901</v>
      </c>
      <c r="O69" s="23">
        <v>1.3338063878300499</v>
      </c>
      <c r="P69" s="23">
        <v>1.30220053033719</v>
      </c>
      <c r="Q69" s="23">
        <v>1.30456879337924</v>
      </c>
      <c r="R69" s="21">
        <v>293.15730598116801</v>
      </c>
      <c r="S69" s="21">
        <v>286.057416671005</v>
      </c>
      <c r="T69" s="21">
        <v>286.55946848006602</v>
      </c>
      <c r="U69" s="22">
        <v>1.3694594966122299E-2</v>
      </c>
      <c r="V69" s="22">
        <v>-1.08222022023132E-2</v>
      </c>
      <c r="W69" s="22">
        <v>-9.0686669827765801E-3</v>
      </c>
      <c r="X69" s="23">
        <v>1.3156649529095901</v>
      </c>
      <c r="Y69" s="23">
        <v>1.3338063878300499</v>
      </c>
      <c r="Z69" s="23">
        <v>1.30220053033719</v>
      </c>
      <c r="AA69" s="23">
        <v>1.30456879337924</v>
      </c>
      <c r="AB69" s="21">
        <v>293.15730598116801</v>
      </c>
      <c r="AC69" s="21">
        <v>286.057416671005</v>
      </c>
      <c r="AD69" s="21">
        <v>286.55946848006602</v>
      </c>
      <c r="AE69" s="22">
        <v>1.3694594966122299E-2</v>
      </c>
      <c r="AF69" s="22">
        <v>-1.08222022023132E-2</v>
      </c>
      <c r="AG69" s="22">
        <v>-9.0686669827765801E-3</v>
      </c>
      <c r="AI69" s="5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16">
        <f t="shared" si="8"/>
        <v>0</v>
      </c>
      <c r="AP69" s="16">
        <f t="shared" si="9"/>
        <v>0</v>
      </c>
      <c r="AQ69" s="16">
        <f t="shared" si="16"/>
        <v>0</v>
      </c>
      <c r="AR69" s="10">
        <f t="shared" si="17"/>
        <v>7.9728619672020558E-3</v>
      </c>
      <c r="AT69" s="5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16">
        <f t="shared" si="12"/>
        <v>0</v>
      </c>
      <c r="BA69" s="16">
        <f t="shared" si="13"/>
        <v>0</v>
      </c>
      <c r="BB69" s="16">
        <f t="shared" si="20"/>
        <v>0</v>
      </c>
      <c r="BC69" s="10">
        <f t="shared" si="21"/>
        <v>2.5515563111770251E-2</v>
      </c>
      <c r="BE69" s="10">
        <f t="shared" si="22"/>
        <v>0</v>
      </c>
      <c r="BF69" s="10">
        <f t="shared" si="23"/>
        <v>3.348842507897231E-2</v>
      </c>
      <c r="BH69" s="10"/>
    </row>
    <row r="70" spans="1:60" x14ac:dyDescent="0.25">
      <c r="A70" s="1">
        <v>46125</v>
      </c>
      <c r="B70" s="21">
        <v>223.36</v>
      </c>
      <c r="C70" s="21">
        <v>293.79000000000002</v>
      </c>
      <c r="D70" s="22">
        <v>1.6112274544825299E-2</v>
      </c>
      <c r="E70" s="22">
        <v>1.58504759368263E-2</v>
      </c>
      <c r="F70" s="21">
        <v>0</v>
      </c>
      <c r="G70" s="21">
        <v>0.12</v>
      </c>
      <c r="H70" s="21">
        <v>0</v>
      </c>
      <c r="I70" s="21">
        <v>0.12</v>
      </c>
      <c r="J70" s="21">
        <v>0</v>
      </c>
      <c r="K70" s="21">
        <v>0</v>
      </c>
      <c r="L70" s="21">
        <v>223.36</v>
      </c>
      <c r="M70" s="21">
        <v>293.79000000000002</v>
      </c>
      <c r="N70" s="23">
        <v>1.31532055873925</v>
      </c>
      <c r="O70" s="23">
        <v>1.3338063878300499</v>
      </c>
      <c r="P70" s="23">
        <v>1.3021559185818901</v>
      </c>
      <c r="Q70" s="23">
        <v>1.3051866597839901</v>
      </c>
      <c r="R70" s="21">
        <v>297.91899478572202</v>
      </c>
      <c r="S70" s="21">
        <v>290.859510456115</v>
      </c>
      <c r="T70" s="21">
        <v>291.38848568918701</v>
      </c>
      <c r="U70" s="22">
        <v>1.3956393574121199E-2</v>
      </c>
      <c r="V70" s="22">
        <v>-1.00248577437886E-2</v>
      </c>
      <c r="W70" s="22">
        <v>-8.2078471843385608E-3</v>
      </c>
      <c r="X70" s="23">
        <v>1.31532055873925</v>
      </c>
      <c r="Y70" s="23">
        <v>1.3338063878300499</v>
      </c>
      <c r="Z70" s="23">
        <v>1.3021559185818901</v>
      </c>
      <c r="AA70" s="23">
        <v>1.3051866597839901</v>
      </c>
      <c r="AB70" s="21">
        <v>297.91899478572202</v>
      </c>
      <c r="AC70" s="21">
        <v>290.859510456115</v>
      </c>
      <c r="AD70" s="21">
        <v>291.38848568918701</v>
      </c>
      <c r="AE70" s="22">
        <v>1.3956393574121199E-2</v>
      </c>
      <c r="AF70" s="22">
        <v>-1.00248577437886E-2</v>
      </c>
      <c r="AG70" s="22">
        <v>-8.2078471843385608E-3</v>
      </c>
      <c r="AI70" s="5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16">
        <f t="shared" si="8"/>
        <v>0</v>
      </c>
      <c r="AP70" s="16">
        <f t="shared" si="9"/>
        <v>0</v>
      </c>
      <c r="AQ70" s="16">
        <f t="shared" si="16"/>
        <v>0</v>
      </c>
      <c r="AR70" s="10">
        <f t="shared" si="17"/>
        <v>7.9728619672020558E-3</v>
      </c>
      <c r="AT70" s="5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16">
        <f t="shared" si="12"/>
        <v>0</v>
      </c>
      <c r="BA70" s="16">
        <f t="shared" si="13"/>
        <v>0</v>
      </c>
      <c r="BB70" s="16">
        <f t="shared" si="20"/>
        <v>0</v>
      </c>
      <c r="BC70" s="10">
        <f t="shared" si="21"/>
        <v>2.5515563111770251E-2</v>
      </c>
      <c r="BE70" s="10">
        <f t="shared" si="22"/>
        <v>0</v>
      </c>
      <c r="BF70" s="10">
        <f t="shared" si="23"/>
        <v>3.348842507897231E-2</v>
      </c>
      <c r="BH70" s="10"/>
    </row>
    <row r="71" spans="1:60" x14ac:dyDescent="0.25">
      <c r="A71" s="1">
        <v>46126</v>
      </c>
      <c r="B71" s="21">
        <v>225.88</v>
      </c>
      <c r="C71" s="21">
        <v>299.99</v>
      </c>
      <c r="D71" s="22">
        <v>1.12190652306283E-2</v>
      </c>
      <c r="E71" s="22">
        <v>2.08839143664869E-2</v>
      </c>
      <c r="F71" s="21">
        <v>0</v>
      </c>
      <c r="G71" s="21">
        <v>0.12</v>
      </c>
      <c r="H71" s="21">
        <v>0</v>
      </c>
      <c r="I71" s="21">
        <v>0.12</v>
      </c>
      <c r="J71" s="21">
        <v>0</v>
      </c>
      <c r="K71" s="21">
        <v>0</v>
      </c>
      <c r="L71" s="21">
        <v>225.88</v>
      </c>
      <c r="M71" s="21">
        <v>299.99</v>
      </c>
      <c r="N71" s="23">
        <v>1.3280945634850301</v>
      </c>
      <c r="O71" s="23">
        <v>1.3338063878300499</v>
      </c>
      <c r="P71" s="23">
        <v>1.3056116068710399</v>
      </c>
      <c r="Q71" s="23">
        <v>1.30651078241187</v>
      </c>
      <c r="R71" s="21">
        <v>301.28018688305298</v>
      </c>
      <c r="S71" s="21">
        <v>294.13097888927803</v>
      </c>
      <c r="T71" s="21">
        <v>294.81556271200901</v>
      </c>
      <c r="U71" s="22">
        <v>4.2915444382626696E-3</v>
      </c>
      <c r="V71" s="22">
        <v>-1.9723966211023101E-2</v>
      </c>
      <c r="W71" s="22">
        <v>-1.73991910991999E-2</v>
      </c>
      <c r="X71" s="23">
        <v>1.3280945634850301</v>
      </c>
      <c r="Y71" s="23">
        <v>1.3338063878300499</v>
      </c>
      <c r="Z71" s="23">
        <v>1.3056116068710399</v>
      </c>
      <c r="AA71" s="23">
        <v>1.30651078241187</v>
      </c>
      <c r="AB71" s="21">
        <v>301.28018688305298</v>
      </c>
      <c r="AC71" s="21">
        <v>294.13097888927803</v>
      </c>
      <c r="AD71" s="21">
        <v>294.81556271200901</v>
      </c>
      <c r="AE71" s="22">
        <v>4.2915444382626696E-3</v>
      </c>
      <c r="AF71" s="22">
        <v>-1.9723966211023101E-2</v>
      </c>
      <c r="AG71" s="22">
        <v>-1.73991910991999E-2</v>
      </c>
      <c r="AI71" s="5"/>
      <c r="AJ71">
        <f t="shared" si="6"/>
        <v>1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16">
        <f t="shared" si="8"/>
        <v>0</v>
      </c>
      <c r="AP71" s="16">
        <f t="shared" si="9"/>
        <v>0</v>
      </c>
      <c r="AQ71" s="16">
        <f t="shared" si="16"/>
        <v>0</v>
      </c>
      <c r="AR71" s="10">
        <f t="shared" si="17"/>
        <v>7.9728619672020558E-3</v>
      </c>
      <c r="AT71" s="5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16">
        <f t="shared" si="12"/>
        <v>0</v>
      </c>
      <c r="BA71" s="16">
        <f t="shared" si="13"/>
        <v>0</v>
      </c>
      <c r="BB71" s="16">
        <f t="shared" si="20"/>
        <v>0</v>
      </c>
      <c r="BC71" s="10">
        <f t="shared" si="21"/>
        <v>2.5515563111770251E-2</v>
      </c>
      <c r="BE71" s="10">
        <f t="shared" si="22"/>
        <v>0</v>
      </c>
      <c r="BF71" s="10">
        <f t="shared" si="23"/>
        <v>3.348842507897231E-2</v>
      </c>
      <c r="BH71" s="10"/>
    </row>
    <row r="72" spans="1:60" x14ac:dyDescent="0.25">
      <c r="A72" s="1">
        <v>46127</v>
      </c>
      <c r="B72" s="21">
        <v>221.99</v>
      </c>
      <c r="C72" s="21">
        <v>292.36</v>
      </c>
      <c r="D72" s="22">
        <v>-1.73715489919599E-2</v>
      </c>
      <c r="E72" s="22">
        <v>-2.5763221155108901E-2</v>
      </c>
      <c r="F72" s="21">
        <v>0</v>
      </c>
      <c r="G72" s="21">
        <v>0.12</v>
      </c>
      <c r="H72" s="21">
        <v>0</v>
      </c>
      <c r="I72" s="21">
        <v>0.12</v>
      </c>
      <c r="J72" s="21">
        <v>0</v>
      </c>
      <c r="K72" s="21">
        <v>0</v>
      </c>
      <c r="L72" s="21">
        <v>221.99</v>
      </c>
      <c r="M72" s="21">
        <v>292.36</v>
      </c>
      <c r="N72" s="23">
        <v>1.3169962610928401</v>
      </c>
      <c r="O72" s="23">
        <v>1.3338063878300499</v>
      </c>
      <c r="P72" s="23">
        <v>1.30741403273399</v>
      </c>
      <c r="Q72" s="23">
        <v>1.30747406528931</v>
      </c>
      <c r="R72" s="21">
        <v>296.09168003439402</v>
      </c>
      <c r="S72" s="21">
        <v>289.83272060930398</v>
      </c>
      <c r="T72" s="21">
        <v>290.032328587611</v>
      </c>
      <c r="U72" s="22">
        <v>1.26832166014114E-2</v>
      </c>
      <c r="V72" s="22">
        <v>-8.6819885446525E-3</v>
      </c>
      <c r="W72" s="22">
        <v>-7.99352495655253E-3</v>
      </c>
      <c r="X72" s="23">
        <v>1.3169962610928401</v>
      </c>
      <c r="Y72" s="23">
        <v>1.3338063878300499</v>
      </c>
      <c r="Z72" s="23">
        <v>1.30741403273399</v>
      </c>
      <c r="AA72" s="23">
        <v>1.30747406528931</v>
      </c>
      <c r="AB72" s="21">
        <v>296.09168003439402</v>
      </c>
      <c r="AC72" s="21">
        <v>289.83272060930398</v>
      </c>
      <c r="AD72" s="21">
        <v>290.032328587611</v>
      </c>
      <c r="AE72" s="22">
        <v>1.26832166014114E-2</v>
      </c>
      <c r="AF72" s="22">
        <v>-8.6819885446525E-3</v>
      </c>
      <c r="AG72" s="22">
        <v>-7.99352495655253E-3</v>
      </c>
      <c r="AI72" s="5"/>
      <c r="AJ72">
        <f t="shared" si="6"/>
        <v>0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16">
        <f t="shared" si="8"/>
        <v>-1.73715489919599E-2</v>
      </c>
      <c r="AP72" s="16">
        <f t="shared" si="9"/>
        <v>2.5763221155108901E-2</v>
      </c>
      <c r="AQ72" s="16">
        <f t="shared" si="16"/>
        <v>8.3916721631490006E-3</v>
      </c>
      <c r="AR72" s="10">
        <f t="shared" si="17"/>
        <v>1.6364534130351056E-2</v>
      </c>
      <c r="AT72" s="5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16">
        <f t="shared" si="12"/>
        <v>0</v>
      </c>
      <c r="BA72" s="16">
        <f t="shared" si="13"/>
        <v>0</v>
      </c>
      <c r="BB72" s="16">
        <f t="shared" si="20"/>
        <v>0</v>
      </c>
      <c r="BC72" s="10">
        <f t="shared" si="21"/>
        <v>2.5515563111770251E-2</v>
      </c>
      <c r="BE72" s="10">
        <f t="shared" si="22"/>
        <v>8.3916721631490006E-3</v>
      </c>
      <c r="BF72" s="10">
        <f t="shared" si="23"/>
        <v>4.1880097242121314E-2</v>
      </c>
      <c r="BH72" s="10"/>
    </row>
    <row r="73" spans="1:60" x14ac:dyDescent="0.25">
      <c r="A73" s="1">
        <v>46128</v>
      </c>
      <c r="B73" s="21">
        <v>216.07</v>
      </c>
      <c r="C73" s="21">
        <v>284.66000000000003</v>
      </c>
      <c r="D73" s="22">
        <v>-2.70299065550971E-2</v>
      </c>
      <c r="E73" s="22">
        <v>-2.6690433969711599E-2</v>
      </c>
      <c r="F73" s="21">
        <v>0</v>
      </c>
      <c r="G73" s="21">
        <v>0.12</v>
      </c>
      <c r="H73" s="21">
        <v>0</v>
      </c>
      <c r="I73" s="21">
        <v>0.12</v>
      </c>
      <c r="J73" s="21">
        <v>0</v>
      </c>
      <c r="K73" s="21">
        <v>0</v>
      </c>
      <c r="L73" s="21">
        <v>216.07</v>
      </c>
      <c r="M73" s="21">
        <v>284.66000000000003</v>
      </c>
      <c r="N73" s="23">
        <v>1.31744342111352</v>
      </c>
      <c r="O73" s="23">
        <v>1.3338063878300499</v>
      </c>
      <c r="P73" s="23">
        <v>1.30944747928079</v>
      </c>
      <c r="Q73" s="23">
        <v>1.30811320467078</v>
      </c>
      <c r="R73" s="21">
        <v>288.19554621843997</v>
      </c>
      <c r="S73" s="21">
        <v>282.49295005283301</v>
      </c>
      <c r="T73" s="21">
        <v>282.50592128706199</v>
      </c>
      <c r="U73" s="22">
        <v>1.23437440160259E-2</v>
      </c>
      <c r="V73" s="22">
        <v>-7.6418909325692503E-3</v>
      </c>
      <c r="W73" s="22">
        <v>-7.5959749674616803E-3</v>
      </c>
      <c r="X73" s="23">
        <v>1.31744342111352</v>
      </c>
      <c r="Y73" s="23">
        <v>1.3338063878300499</v>
      </c>
      <c r="Z73" s="23">
        <v>1.30944747928079</v>
      </c>
      <c r="AA73" s="23">
        <v>1.30811320467078</v>
      </c>
      <c r="AB73" s="21">
        <v>288.19554621843997</v>
      </c>
      <c r="AC73" s="21">
        <v>282.49295005283301</v>
      </c>
      <c r="AD73" s="21">
        <v>282.50592128706199</v>
      </c>
      <c r="AE73" s="22">
        <v>1.23437440160259E-2</v>
      </c>
      <c r="AF73" s="22">
        <v>-7.6418909325692503E-3</v>
      </c>
      <c r="AG73" s="22">
        <v>-7.5959749674616803E-3</v>
      </c>
      <c r="AI73" s="5"/>
      <c r="AJ73">
        <f t="shared" si="6"/>
        <v>0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16">
        <f t="shared" si="8"/>
        <v>-2.70299065550971E-2</v>
      </c>
      <c r="AP73" s="16">
        <f t="shared" si="9"/>
        <v>2.6690433969711599E-2</v>
      </c>
      <c r="AQ73" s="16">
        <f t="shared" si="16"/>
        <v>-3.3947258538550087E-4</v>
      </c>
      <c r="AR73" s="10">
        <f t="shared" si="17"/>
        <v>1.6025061544965555E-2</v>
      </c>
      <c r="AT73" s="5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16">
        <f t="shared" si="12"/>
        <v>0</v>
      </c>
      <c r="BA73" s="16">
        <f t="shared" si="13"/>
        <v>0</v>
      </c>
      <c r="BB73" s="16">
        <f t="shared" si="20"/>
        <v>0</v>
      </c>
      <c r="BC73" s="10">
        <f t="shared" si="21"/>
        <v>2.5515563111770251E-2</v>
      </c>
      <c r="BE73" s="10">
        <f t="shared" si="22"/>
        <v>-3.3947258538550087E-4</v>
      </c>
      <c r="BF73" s="10">
        <f t="shared" si="23"/>
        <v>4.1540624656735817E-2</v>
      </c>
      <c r="BH73" s="10"/>
    </row>
    <row r="74" spans="1:60" x14ac:dyDescent="0.25">
      <c r="A74" s="1">
        <v>46129</v>
      </c>
      <c r="B74" s="21">
        <v>221.5</v>
      </c>
      <c r="C74" s="21">
        <v>291.57</v>
      </c>
      <c r="D74" s="22">
        <v>2.48201602276115E-2</v>
      </c>
      <c r="E74" s="22">
        <v>2.3984628541009599E-2</v>
      </c>
      <c r="F74" s="21">
        <v>0</v>
      </c>
      <c r="G74" s="21">
        <v>0.12</v>
      </c>
      <c r="H74" s="21">
        <v>0</v>
      </c>
      <c r="I74" s="21">
        <v>0.12</v>
      </c>
      <c r="J74" s="21">
        <v>0</v>
      </c>
      <c r="K74" s="21">
        <v>0</v>
      </c>
      <c r="L74" s="21">
        <v>221.5</v>
      </c>
      <c r="M74" s="21">
        <v>291.57</v>
      </c>
      <c r="N74" s="23">
        <v>1.31634311512415</v>
      </c>
      <c r="O74" s="23">
        <v>1.3338063878300499</v>
      </c>
      <c r="P74" s="23">
        <v>1.3123052555392201</v>
      </c>
      <c r="Q74" s="23">
        <v>1.3090216953216001</v>
      </c>
      <c r="R74" s="21">
        <v>295.43811490435797</v>
      </c>
      <c r="S74" s="21">
        <v>290.04261666069499</v>
      </c>
      <c r="T74" s="21">
        <v>289.74707483457797</v>
      </c>
      <c r="U74" s="22">
        <v>1.31792757026278E-2</v>
      </c>
      <c r="V74" s="22">
        <v>-5.2522479972533596E-3</v>
      </c>
      <c r="W74" s="22">
        <v>-6.2717274949022203E-3</v>
      </c>
      <c r="X74" s="23">
        <v>1.31634311512415</v>
      </c>
      <c r="Y74" s="23">
        <v>1.3338063878300499</v>
      </c>
      <c r="Z74" s="23">
        <v>1.3123052555392201</v>
      </c>
      <c r="AA74" s="23">
        <v>1.3090216953216001</v>
      </c>
      <c r="AB74" s="21">
        <v>295.43811490435797</v>
      </c>
      <c r="AC74" s="21">
        <v>290.04261666069499</v>
      </c>
      <c r="AD74" s="21">
        <v>289.74707483457797</v>
      </c>
      <c r="AE74" s="22">
        <v>1.31792757026278E-2</v>
      </c>
      <c r="AF74" s="22">
        <v>-5.2522479972533596E-3</v>
      </c>
      <c r="AG74" s="22">
        <v>-6.2717274949022203E-3</v>
      </c>
      <c r="AI74" s="5"/>
      <c r="AJ74">
        <f t="shared" si="6"/>
        <v>0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16">
        <f t="shared" si="8"/>
        <v>2.48201602276115E-2</v>
      </c>
      <c r="AP74" s="16">
        <f t="shared" si="9"/>
        <v>-2.3984628541009599E-2</v>
      </c>
      <c r="AQ74" s="16">
        <f t="shared" si="16"/>
        <v>8.355316866019008E-4</v>
      </c>
      <c r="AR74" s="10">
        <f t="shared" si="17"/>
        <v>1.6860593231567456E-2</v>
      </c>
      <c r="AT74" s="5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16">
        <f t="shared" si="12"/>
        <v>0</v>
      </c>
      <c r="BA74" s="16">
        <f t="shared" si="13"/>
        <v>0</v>
      </c>
      <c r="BB74" s="16">
        <f t="shared" si="20"/>
        <v>0</v>
      </c>
      <c r="BC74" s="10">
        <f t="shared" si="21"/>
        <v>2.5515563111770251E-2</v>
      </c>
      <c r="BE74" s="10">
        <f t="shared" si="22"/>
        <v>8.355316866019008E-4</v>
      </c>
      <c r="BF74" s="10">
        <f t="shared" si="23"/>
        <v>4.2376156343337718E-2</v>
      </c>
      <c r="BH74" s="10"/>
    </row>
    <row r="75" spans="1:60" x14ac:dyDescent="0.25">
      <c r="A75" s="1">
        <v>46132</v>
      </c>
      <c r="B75" s="21">
        <v>221.33</v>
      </c>
      <c r="C75" s="21">
        <v>292.19</v>
      </c>
      <c r="D75" s="22">
        <v>-7.6778903123657502E-4</v>
      </c>
      <c r="E75" s="22">
        <v>2.1241614126462399E-3</v>
      </c>
      <c r="F75" s="21">
        <v>0</v>
      </c>
      <c r="G75" s="21">
        <v>0.12</v>
      </c>
      <c r="H75" s="21">
        <v>0</v>
      </c>
      <c r="I75" s="21">
        <v>0.12</v>
      </c>
      <c r="J75" s="21">
        <v>0</v>
      </c>
      <c r="K75" s="21">
        <v>0</v>
      </c>
      <c r="L75" s="21">
        <v>221.33</v>
      </c>
      <c r="M75" s="21">
        <v>292.19</v>
      </c>
      <c r="N75" s="23">
        <v>1.32015542402747</v>
      </c>
      <c r="O75" s="23">
        <v>1.3338063878300499</v>
      </c>
      <c r="P75" s="23">
        <v>1.31468006535496</v>
      </c>
      <c r="Q75" s="23">
        <v>1.30933373545622</v>
      </c>
      <c r="R75" s="21">
        <v>295.21136781842699</v>
      </c>
      <c r="S75" s="21">
        <v>290.45252220849699</v>
      </c>
      <c r="T75" s="21">
        <v>289.72577182553101</v>
      </c>
      <c r="U75" s="22">
        <v>1.0287325258744999E-2</v>
      </c>
      <c r="V75" s="22">
        <v>-5.9641473994737999E-3</v>
      </c>
      <c r="W75" s="22">
        <v>-8.4694143856795696E-3</v>
      </c>
      <c r="X75" s="23">
        <v>1.32015542402747</v>
      </c>
      <c r="Y75" s="23">
        <v>1.3338063878300499</v>
      </c>
      <c r="Z75" s="23">
        <v>1.31468006535496</v>
      </c>
      <c r="AA75" s="23">
        <v>1.30933373545622</v>
      </c>
      <c r="AB75" s="21">
        <v>295.21136781842699</v>
      </c>
      <c r="AC75" s="21">
        <v>290.45252220849699</v>
      </c>
      <c r="AD75" s="21">
        <v>289.72577182553101</v>
      </c>
      <c r="AE75" s="22">
        <v>1.0287325258744999E-2</v>
      </c>
      <c r="AF75" s="22">
        <v>-5.9641473994737999E-3</v>
      </c>
      <c r="AG75" s="22">
        <v>-8.4694143856795696E-3</v>
      </c>
      <c r="AI75" s="5"/>
      <c r="AJ75">
        <f t="shared" si="6"/>
        <v>0</v>
      </c>
      <c r="AK75">
        <f t="shared" si="7"/>
        <v>0</v>
      </c>
      <c r="AL75">
        <f t="shared" si="14"/>
        <v>1</v>
      </c>
      <c r="AM75">
        <f t="shared" si="4"/>
        <v>1</v>
      </c>
      <c r="AN75">
        <f t="shared" si="15"/>
        <v>1</v>
      </c>
      <c r="AO75" s="16">
        <f t="shared" si="8"/>
        <v>-7.6778903123657502E-4</v>
      </c>
      <c r="AP75" s="16">
        <f t="shared" si="9"/>
        <v>-2.1241614126462399E-3</v>
      </c>
      <c r="AQ75" s="16">
        <f t="shared" si="16"/>
        <v>-2.891950443882815E-3</v>
      </c>
      <c r="AR75" s="10">
        <f t="shared" si="17"/>
        <v>1.3968642787684641E-2</v>
      </c>
      <c r="AT75" s="5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16">
        <f t="shared" si="12"/>
        <v>0</v>
      </c>
      <c r="BA75" s="16">
        <f t="shared" si="13"/>
        <v>0</v>
      </c>
      <c r="BB75" s="16">
        <f t="shared" si="20"/>
        <v>0</v>
      </c>
      <c r="BC75" s="10">
        <f t="shared" si="21"/>
        <v>2.5515563111770251E-2</v>
      </c>
      <c r="BE75" s="10">
        <f t="shared" si="22"/>
        <v>-2.891950443882815E-3</v>
      </c>
      <c r="BF75" s="10">
        <f t="shared" si="23"/>
        <v>3.9484205899454901E-2</v>
      </c>
      <c r="BH75" s="10"/>
    </row>
    <row r="76" spans="1:60" x14ac:dyDescent="0.25">
      <c r="A76" s="1">
        <v>46133</v>
      </c>
      <c r="B76" s="21">
        <v>211.49</v>
      </c>
      <c r="C76" s="21">
        <v>276.02</v>
      </c>
      <c r="D76" s="22">
        <v>-4.5477084409295203E-2</v>
      </c>
      <c r="E76" s="22">
        <v>-5.6930948736241202E-2</v>
      </c>
      <c r="F76" s="21">
        <v>0</v>
      </c>
      <c r="G76" s="21">
        <v>0.12</v>
      </c>
      <c r="H76" s="21">
        <v>0</v>
      </c>
      <c r="I76" s="21">
        <v>0.12</v>
      </c>
      <c r="J76" s="21">
        <v>0</v>
      </c>
      <c r="K76" s="21">
        <v>0</v>
      </c>
      <c r="L76" s="21">
        <v>211.49</v>
      </c>
      <c r="M76" s="21">
        <v>276.02</v>
      </c>
      <c r="N76" s="23">
        <v>1.3051208094945299</v>
      </c>
      <c r="O76" s="23">
        <v>1.3338063878300499</v>
      </c>
      <c r="P76" s="23">
        <v>1.31555885533798</v>
      </c>
      <c r="Q76" s="23">
        <v>1.30895582766075</v>
      </c>
      <c r="R76" s="21">
        <v>282.08671296217898</v>
      </c>
      <c r="S76" s="21">
        <v>278.04168702192197</v>
      </c>
      <c r="T76" s="21">
        <v>276.91099171163597</v>
      </c>
      <c r="U76" s="22">
        <v>2.1741189585691101E-2</v>
      </c>
      <c r="V76" s="22">
        <v>7.2977289051345401E-3</v>
      </c>
      <c r="W76" s="22">
        <v>3.22279812916145E-3</v>
      </c>
      <c r="X76" s="23">
        <v>1.3051208094945299</v>
      </c>
      <c r="Y76" s="23">
        <v>1.3338063878300499</v>
      </c>
      <c r="Z76" s="23">
        <v>1.31555885533798</v>
      </c>
      <c r="AA76" s="23">
        <v>1.30895582766075</v>
      </c>
      <c r="AB76" s="21">
        <v>282.08671296217898</v>
      </c>
      <c r="AC76" s="21">
        <v>278.04168702192197</v>
      </c>
      <c r="AD76" s="21">
        <v>276.91099171163597</v>
      </c>
      <c r="AE76" s="22">
        <v>2.1741189585691101E-2</v>
      </c>
      <c r="AF76" s="22">
        <v>7.2977289051345401E-3</v>
      </c>
      <c r="AG76" s="22">
        <v>3.22279812916145E-3</v>
      </c>
      <c r="AI76" s="5"/>
      <c r="AJ76">
        <f t="shared" si="6"/>
        <v>0</v>
      </c>
      <c r="AK76">
        <f t="shared" si="7"/>
        <v>1</v>
      </c>
      <c r="AL76">
        <f t="shared" si="14"/>
        <v>1</v>
      </c>
      <c r="AM76">
        <f t="shared" si="4"/>
        <v>1</v>
      </c>
      <c r="AN76">
        <f t="shared" si="15"/>
        <v>1</v>
      </c>
      <c r="AO76" s="16">
        <f t="shared" si="8"/>
        <v>-4.5477084409295203E-2</v>
      </c>
      <c r="AP76" s="16">
        <f t="shared" si="9"/>
        <v>5.6930948736241202E-2</v>
      </c>
      <c r="AQ76" s="16">
        <f t="shared" si="16"/>
        <v>1.1453864326945999E-2</v>
      </c>
      <c r="AR76" s="10">
        <f t="shared" si="17"/>
        <v>2.5422507114630642E-2</v>
      </c>
      <c r="AT76" s="5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16">
        <f t="shared" si="12"/>
        <v>0</v>
      </c>
      <c r="BA76" s="16">
        <f t="shared" si="13"/>
        <v>0</v>
      </c>
      <c r="BB76" s="16">
        <f t="shared" si="20"/>
        <v>0</v>
      </c>
      <c r="BC76" s="10">
        <f t="shared" si="21"/>
        <v>2.5515563111770251E-2</v>
      </c>
      <c r="BE76" s="10">
        <f t="shared" si="22"/>
        <v>1.1453864326945999E-2</v>
      </c>
      <c r="BF76" s="10">
        <f t="shared" si="23"/>
        <v>5.09380702264009E-2</v>
      </c>
      <c r="BH76" s="10"/>
    </row>
    <row r="77" spans="1:60" x14ac:dyDescent="0.25">
      <c r="A77" s="1">
        <v>46134</v>
      </c>
      <c r="B77" s="21">
        <v>207.39</v>
      </c>
      <c r="C77" s="21">
        <v>268.57</v>
      </c>
      <c r="D77" s="22">
        <v>-1.9576637419375299E-2</v>
      </c>
      <c r="E77" s="22">
        <v>-2.7361739254295098E-2</v>
      </c>
      <c r="F77" s="21">
        <v>0</v>
      </c>
      <c r="G77" s="21">
        <v>0.12</v>
      </c>
      <c r="H77" s="21">
        <v>0</v>
      </c>
      <c r="I77" s="21">
        <v>0.12</v>
      </c>
      <c r="J77" s="21">
        <v>0</v>
      </c>
      <c r="K77" s="21">
        <v>0</v>
      </c>
      <c r="L77" s="21">
        <v>207.39</v>
      </c>
      <c r="M77" s="21">
        <v>268.57</v>
      </c>
      <c r="N77" s="23">
        <v>1.29499975890833</v>
      </c>
      <c r="O77" s="23">
        <v>1.3338063878300499</v>
      </c>
      <c r="P77" s="23">
        <v>1.3142261297436</v>
      </c>
      <c r="Q77" s="23">
        <v>1.30775731694539</v>
      </c>
      <c r="R77" s="21">
        <v>276.61810677207598</v>
      </c>
      <c r="S77" s="21">
        <v>272.83375100854403</v>
      </c>
      <c r="T77" s="21">
        <v>271.46434909856299</v>
      </c>
      <c r="U77" s="22">
        <v>2.9526291420611198E-2</v>
      </c>
      <c r="V77" s="22">
        <v>1.5751051416741799E-2</v>
      </c>
      <c r="W77" s="22">
        <v>1.0719232275512299E-2</v>
      </c>
      <c r="X77" s="23">
        <v>1.29499975890833</v>
      </c>
      <c r="Y77" s="23">
        <v>1.3338063878300499</v>
      </c>
      <c r="Z77" s="23">
        <v>1.3142261297436</v>
      </c>
      <c r="AA77" s="23">
        <v>1.30775731694539</v>
      </c>
      <c r="AB77" s="21">
        <v>276.61810677207598</v>
      </c>
      <c r="AC77" s="21">
        <v>272.83375100854403</v>
      </c>
      <c r="AD77" s="21">
        <v>271.46434909856299</v>
      </c>
      <c r="AE77" s="22">
        <v>2.9526291420611198E-2</v>
      </c>
      <c r="AF77" s="22">
        <v>1.5751051416741799E-2</v>
      </c>
      <c r="AG77" s="22">
        <v>1.0719232275512299E-2</v>
      </c>
      <c r="AI77" s="5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16">
        <f t="shared" si="8"/>
        <v>0</v>
      </c>
      <c r="AP77" s="16">
        <f t="shared" si="9"/>
        <v>0</v>
      </c>
      <c r="AQ77" s="16">
        <f t="shared" si="16"/>
        <v>0</v>
      </c>
      <c r="AR77" s="10">
        <f t="shared" si="17"/>
        <v>2.5422507114630642E-2</v>
      </c>
      <c r="AT77" s="5"/>
      <c r="AU77">
        <f t="shared" si="10"/>
        <v>0</v>
      </c>
      <c r="AV77">
        <f t="shared" si="11"/>
        <v>0</v>
      </c>
      <c r="AW77">
        <f t="shared" si="18"/>
        <v>0</v>
      </c>
      <c r="AX77">
        <f t="shared" si="5"/>
        <v>1</v>
      </c>
      <c r="AY77">
        <f t="shared" si="19"/>
        <v>0</v>
      </c>
      <c r="AZ77" s="16">
        <f t="shared" si="12"/>
        <v>0</v>
      </c>
      <c r="BA77" s="16">
        <f t="shared" si="13"/>
        <v>0</v>
      </c>
      <c r="BB77" s="16">
        <f t="shared" si="20"/>
        <v>0</v>
      </c>
      <c r="BC77" s="10">
        <f t="shared" si="21"/>
        <v>2.5515563111770251E-2</v>
      </c>
      <c r="BE77" s="10">
        <f t="shared" si="22"/>
        <v>0</v>
      </c>
      <c r="BF77" s="10">
        <f t="shared" si="23"/>
        <v>5.09380702264009E-2</v>
      </c>
      <c r="BH77" s="10"/>
    </row>
    <row r="78" spans="1:60" x14ac:dyDescent="0.25">
      <c r="A78" s="1">
        <v>46135</v>
      </c>
      <c r="B78" s="21">
        <v>207.67</v>
      </c>
      <c r="C78" s="21">
        <v>268.74</v>
      </c>
      <c r="D78" s="22">
        <v>1.34920272960423E-3</v>
      </c>
      <c r="E78" s="22">
        <v>6.3278184166510796E-4</v>
      </c>
      <c r="F78" s="21">
        <v>0</v>
      </c>
      <c r="G78" s="21">
        <v>0.12</v>
      </c>
      <c r="H78" s="21">
        <v>0</v>
      </c>
      <c r="I78" s="21">
        <v>0.12</v>
      </c>
      <c r="J78" s="21">
        <v>0</v>
      </c>
      <c r="K78" s="21">
        <v>0</v>
      </c>
      <c r="L78" s="21">
        <v>207.67</v>
      </c>
      <c r="M78" s="21">
        <v>268.74</v>
      </c>
      <c r="N78" s="23">
        <v>1.2940723262868901</v>
      </c>
      <c r="O78" s="23">
        <v>1.3338063878300499</v>
      </c>
      <c r="P78" s="23">
        <v>1.3124211191181601</v>
      </c>
      <c r="Q78" s="23">
        <v>1.3069622240365499</v>
      </c>
      <c r="R78" s="21">
        <v>276.99157256066798</v>
      </c>
      <c r="S78" s="21">
        <v>272.92534036385399</v>
      </c>
      <c r="T78" s="21">
        <v>271.58196201004898</v>
      </c>
      <c r="U78" s="22">
        <v>3.0242712308550301E-2</v>
      </c>
      <c r="V78" s="22">
        <v>1.5453909814945E-2</v>
      </c>
      <c r="W78" s="22">
        <v>1.05196102248969E-2</v>
      </c>
      <c r="X78" s="23">
        <v>1.2940723262868901</v>
      </c>
      <c r="Y78" s="23">
        <v>1.3338063878300499</v>
      </c>
      <c r="Z78" s="23">
        <v>1.3124211191181601</v>
      </c>
      <c r="AA78" s="23">
        <v>1.3069622240365499</v>
      </c>
      <c r="AB78" s="21">
        <v>276.99157256066798</v>
      </c>
      <c r="AC78" s="21">
        <v>272.92534036385399</v>
      </c>
      <c r="AD78" s="21">
        <v>271.58196201004898</v>
      </c>
      <c r="AE78" s="22">
        <v>3.0242712308550301E-2</v>
      </c>
      <c r="AF78" s="22">
        <v>1.5453909814945E-2</v>
      </c>
      <c r="AG78" s="22">
        <v>1.05196102248969E-2</v>
      </c>
      <c r="AI78" s="5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16">
        <f t="shared" si="8"/>
        <v>0</v>
      </c>
      <c r="AP78" s="16">
        <f t="shared" si="9"/>
        <v>0</v>
      </c>
      <c r="AQ78" s="16">
        <f t="shared" si="16"/>
        <v>0</v>
      </c>
      <c r="AR78" s="10">
        <f t="shared" si="17"/>
        <v>2.5422507114630642E-2</v>
      </c>
      <c r="AT78" s="5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16">
        <f t="shared" si="12"/>
        <v>0</v>
      </c>
      <c r="BA78" s="16">
        <f t="shared" si="13"/>
        <v>0</v>
      </c>
      <c r="BB78" s="16">
        <f t="shared" si="20"/>
        <v>0</v>
      </c>
      <c r="BC78" s="10">
        <f t="shared" si="21"/>
        <v>2.5515563111770251E-2</v>
      </c>
      <c r="BE78" s="10">
        <f t="shared" si="22"/>
        <v>0</v>
      </c>
      <c r="BF78" s="10">
        <f t="shared" si="23"/>
        <v>5.09380702264009E-2</v>
      </c>
      <c r="BH78" s="10"/>
    </row>
    <row r="79" spans="1:60" x14ac:dyDescent="0.25">
      <c r="A79" s="1">
        <v>46136</v>
      </c>
      <c r="B79" s="21">
        <v>203.85</v>
      </c>
      <c r="C79" s="21">
        <v>264.04000000000002</v>
      </c>
      <c r="D79" s="22">
        <v>-1.85658520896251E-2</v>
      </c>
      <c r="E79" s="22">
        <v>-1.76437626266936E-2</v>
      </c>
      <c r="F79" s="21">
        <v>0</v>
      </c>
      <c r="G79" s="21">
        <v>0.12</v>
      </c>
      <c r="H79" s="21">
        <v>0</v>
      </c>
      <c r="I79" s="21">
        <v>0.12</v>
      </c>
      <c r="J79" s="21">
        <v>0</v>
      </c>
      <c r="K79" s="21">
        <v>0</v>
      </c>
      <c r="L79" s="21">
        <v>203.85</v>
      </c>
      <c r="M79" s="21">
        <v>264.04000000000002</v>
      </c>
      <c r="N79" s="23">
        <v>1.2952661270542001</v>
      </c>
      <c r="O79" s="23">
        <v>1.3338063878300499</v>
      </c>
      <c r="P79" s="23">
        <v>1.31038123653262</v>
      </c>
      <c r="Q79" s="23">
        <v>1.3062908834349101</v>
      </c>
      <c r="R79" s="21">
        <v>271.89643215915697</v>
      </c>
      <c r="S79" s="21">
        <v>267.53704513223801</v>
      </c>
      <c r="T79" s="21">
        <v>266.424249369851</v>
      </c>
      <c r="U79" s="22">
        <v>2.9320622845618701E-2</v>
      </c>
      <c r="V79" s="22">
        <v>1.31574364027805E-2</v>
      </c>
      <c r="W79" s="22">
        <v>8.9893538661384997E-3</v>
      </c>
      <c r="X79" s="23">
        <v>1.2952661270542001</v>
      </c>
      <c r="Y79" s="23">
        <v>1.3338063878300499</v>
      </c>
      <c r="Z79" s="23">
        <v>1.31038123653262</v>
      </c>
      <c r="AA79" s="23">
        <v>1.3062908834349101</v>
      </c>
      <c r="AB79" s="21">
        <v>271.89643215915697</v>
      </c>
      <c r="AC79" s="21">
        <v>267.53704513223801</v>
      </c>
      <c r="AD79" s="21">
        <v>266.424249369851</v>
      </c>
      <c r="AE79" s="22">
        <v>2.9320622845618701E-2</v>
      </c>
      <c r="AF79" s="22">
        <v>1.31574364027805E-2</v>
      </c>
      <c r="AG79" s="22">
        <v>8.9893538661384997E-3</v>
      </c>
      <c r="AI79" s="5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16">
        <f t="shared" si="8"/>
        <v>0</v>
      </c>
      <c r="AP79" s="16">
        <f t="shared" si="9"/>
        <v>0</v>
      </c>
      <c r="AQ79" s="16">
        <f t="shared" si="16"/>
        <v>0</v>
      </c>
      <c r="AR79" s="10">
        <f t="shared" si="17"/>
        <v>2.5422507114630642E-2</v>
      </c>
      <c r="AT79" s="5"/>
      <c r="AU79">
        <f t="shared" si="10"/>
        <v>0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16">
        <f t="shared" si="12"/>
        <v>0</v>
      </c>
      <c r="BA79" s="16">
        <f t="shared" si="13"/>
        <v>0</v>
      </c>
      <c r="BB79" s="16">
        <f t="shared" si="20"/>
        <v>0</v>
      </c>
      <c r="BC79" s="10">
        <f t="shared" si="21"/>
        <v>2.5515563111770251E-2</v>
      </c>
      <c r="BE79" s="10">
        <f t="shared" si="22"/>
        <v>0</v>
      </c>
      <c r="BF79" s="10">
        <f t="shared" si="23"/>
        <v>5.09380702264009E-2</v>
      </c>
      <c r="BH79" s="10"/>
    </row>
    <row r="80" spans="1:60" x14ac:dyDescent="0.25">
      <c r="A80" s="1">
        <v>46139</v>
      </c>
      <c r="B80" s="21">
        <v>205.52</v>
      </c>
      <c r="C80" s="21">
        <v>266.12</v>
      </c>
      <c r="D80" s="22">
        <v>8.1589235363657107E-3</v>
      </c>
      <c r="E80" s="22">
        <v>7.8467280531167097E-3</v>
      </c>
      <c r="F80" s="21">
        <v>0</v>
      </c>
      <c r="G80" s="21">
        <v>0.12</v>
      </c>
      <c r="H80" s="21">
        <v>0</v>
      </c>
      <c r="I80" s="21">
        <v>0.12</v>
      </c>
      <c r="J80" s="21">
        <v>0</v>
      </c>
      <c r="K80" s="21">
        <v>0</v>
      </c>
      <c r="L80" s="21">
        <v>205.52</v>
      </c>
      <c r="M80" s="21">
        <v>266.12</v>
      </c>
      <c r="N80" s="23">
        <v>1.29486181393538</v>
      </c>
      <c r="O80" s="23">
        <v>1.3338063878300499</v>
      </c>
      <c r="P80" s="23">
        <v>1.30833536205223</v>
      </c>
      <c r="Q80" s="23">
        <v>1.30524564031706</v>
      </c>
      <c r="R80" s="21">
        <v>274.12388882683302</v>
      </c>
      <c r="S80" s="21">
        <v>269.30955173218501</v>
      </c>
      <c r="T80" s="21">
        <v>268.46890236354199</v>
      </c>
      <c r="U80" s="22">
        <v>2.96328183288679E-2</v>
      </c>
      <c r="V80" s="22">
        <v>1.19141330567349E-2</v>
      </c>
      <c r="W80" s="22">
        <v>8.7877524925196494E-3</v>
      </c>
      <c r="X80" s="23">
        <v>1.29486181393538</v>
      </c>
      <c r="Y80" s="23">
        <v>1.3338063878300499</v>
      </c>
      <c r="Z80" s="23">
        <v>1.30833536205223</v>
      </c>
      <c r="AA80" s="23">
        <v>1.30524564031706</v>
      </c>
      <c r="AB80" s="21">
        <v>274.12388882683302</v>
      </c>
      <c r="AC80" s="21">
        <v>269.30955173218501</v>
      </c>
      <c r="AD80" s="21">
        <v>268.46890236354199</v>
      </c>
      <c r="AE80" s="22">
        <v>2.96328183288679E-2</v>
      </c>
      <c r="AF80" s="22">
        <v>1.19141330567349E-2</v>
      </c>
      <c r="AG80" s="22">
        <v>8.7877524925196494E-3</v>
      </c>
      <c r="AI80" s="5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16">
        <f t="shared" si="8"/>
        <v>0</v>
      </c>
      <c r="AP80" s="16">
        <f t="shared" si="9"/>
        <v>0</v>
      </c>
      <c r="AQ80" s="16">
        <f t="shared" si="16"/>
        <v>0</v>
      </c>
      <c r="AR80" s="10">
        <f t="shared" si="17"/>
        <v>2.5422507114630642E-2</v>
      </c>
      <c r="AT80" s="5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16">
        <f t="shared" si="12"/>
        <v>0</v>
      </c>
      <c r="BA80" s="16">
        <f t="shared" si="13"/>
        <v>0</v>
      </c>
      <c r="BB80" s="16">
        <f t="shared" si="20"/>
        <v>0</v>
      </c>
      <c r="BC80" s="10">
        <f t="shared" si="21"/>
        <v>2.5515563111770251E-2</v>
      </c>
      <c r="BE80" s="10">
        <f t="shared" si="22"/>
        <v>0</v>
      </c>
      <c r="BF80" s="10">
        <f t="shared" si="23"/>
        <v>5.09380702264009E-2</v>
      </c>
      <c r="BH80" s="10"/>
    </row>
    <row r="81" spans="1:60" x14ac:dyDescent="0.25">
      <c r="A81" s="1">
        <v>46140</v>
      </c>
      <c r="B81" s="21">
        <v>205.52</v>
      </c>
      <c r="C81" s="21">
        <v>263.88</v>
      </c>
      <c r="D81" s="22">
        <v>0</v>
      </c>
      <c r="E81" s="22">
        <v>-8.4528805190167196E-3</v>
      </c>
      <c r="F81" s="21">
        <v>0</v>
      </c>
      <c r="G81" s="21">
        <v>0.12</v>
      </c>
      <c r="H81" s="21">
        <v>0</v>
      </c>
      <c r="I81" s="21">
        <v>0.12</v>
      </c>
      <c r="J81" s="21">
        <v>0</v>
      </c>
      <c r="K81" s="21">
        <v>0</v>
      </c>
      <c r="L81" s="21">
        <v>205.52</v>
      </c>
      <c r="M81" s="21">
        <v>263.88</v>
      </c>
      <c r="N81" s="23">
        <v>1.28396263137407</v>
      </c>
      <c r="O81" s="23">
        <v>1.3338063878300499</v>
      </c>
      <c r="P81" s="23">
        <v>1.30392216884114</v>
      </c>
      <c r="Q81" s="23">
        <v>1.3047668878560901</v>
      </c>
      <c r="R81" s="21">
        <v>274.12388882683302</v>
      </c>
      <c r="S81" s="21">
        <v>268.88908360897602</v>
      </c>
      <c r="T81" s="21">
        <v>268.25408399796299</v>
      </c>
      <c r="U81" s="22">
        <v>3.80856988478845E-2</v>
      </c>
      <c r="V81" s="22">
        <v>1.8804511625194399E-2</v>
      </c>
      <c r="W81" s="22">
        <v>1.6440151636568701E-2</v>
      </c>
      <c r="X81" s="23">
        <v>1.28396263137407</v>
      </c>
      <c r="Y81" s="23">
        <v>1.3338063878300499</v>
      </c>
      <c r="Z81" s="23">
        <v>1.30392216884114</v>
      </c>
      <c r="AA81" s="23">
        <v>1.3047668878560901</v>
      </c>
      <c r="AB81" s="21">
        <v>274.12388882683302</v>
      </c>
      <c r="AC81" s="21">
        <v>268.88908360897602</v>
      </c>
      <c r="AD81" s="21">
        <v>268.25408399796299</v>
      </c>
      <c r="AE81" s="22">
        <v>3.80856988478845E-2</v>
      </c>
      <c r="AF81" s="22">
        <v>1.8804511625194399E-2</v>
      </c>
      <c r="AG81" s="22">
        <v>1.6440151636568701E-2</v>
      </c>
      <c r="AI81" s="5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16">
        <f t="shared" si="8"/>
        <v>0</v>
      </c>
      <c r="AP81" s="16">
        <f t="shared" si="9"/>
        <v>0</v>
      </c>
      <c r="AQ81" s="16">
        <f t="shared" si="16"/>
        <v>0</v>
      </c>
      <c r="AR81" s="10">
        <f t="shared" si="17"/>
        <v>2.5422507114630642E-2</v>
      </c>
      <c r="AT81" s="5"/>
      <c r="AU81">
        <f t="shared" si="10"/>
        <v>1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16">
        <f t="shared" si="12"/>
        <v>0</v>
      </c>
      <c r="BA81" s="16">
        <f t="shared" si="13"/>
        <v>0</v>
      </c>
      <c r="BB81" s="16">
        <f t="shared" si="20"/>
        <v>0</v>
      </c>
      <c r="BC81" s="10">
        <f t="shared" si="21"/>
        <v>2.5515563111770251E-2</v>
      </c>
      <c r="BE81" s="10">
        <f t="shared" si="22"/>
        <v>0</v>
      </c>
      <c r="BF81" s="10">
        <f t="shared" si="23"/>
        <v>5.09380702264009E-2</v>
      </c>
      <c r="BH81" s="10"/>
    </row>
    <row r="82" spans="1:60" x14ac:dyDescent="0.25">
      <c r="A82" s="1">
        <v>46141</v>
      </c>
      <c r="B82" s="21">
        <v>201.28</v>
      </c>
      <c r="C82" s="21">
        <v>260.99</v>
      </c>
      <c r="D82" s="22">
        <v>-2.0846379289552401E-2</v>
      </c>
      <c r="E82" s="22">
        <v>-1.1012361942228601E-2</v>
      </c>
      <c r="F82" s="21">
        <v>0</v>
      </c>
      <c r="G82" s="21">
        <v>0.12</v>
      </c>
      <c r="H82" s="21">
        <v>0</v>
      </c>
      <c r="I82" s="21">
        <v>0.12</v>
      </c>
      <c r="J82" s="21">
        <v>0</v>
      </c>
      <c r="K82" s="21">
        <v>0</v>
      </c>
      <c r="L82" s="21">
        <v>201.28</v>
      </c>
      <c r="M82" s="21">
        <v>260.99</v>
      </c>
      <c r="N82" s="23">
        <v>1.2966514308426</v>
      </c>
      <c r="O82" s="23">
        <v>1.3338063878300499</v>
      </c>
      <c r="P82" s="23">
        <v>1.3018876858161099</v>
      </c>
      <c r="Q82" s="23">
        <v>1.3046508592750501</v>
      </c>
      <c r="R82" s="21">
        <v>268.46854974243399</v>
      </c>
      <c r="S82" s="21">
        <v>262.45345414434502</v>
      </c>
      <c r="T82" s="21">
        <v>262.62347918767398</v>
      </c>
      <c r="U82" s="22">
        <v>2.8251681500560899E-2</v>
      </c>
      <c r="V82" s="22">
        <v>5.5916563512710899E-3</v>
      </c>
      <c r="W82" s="22">
        <v>6.23927592272431E-3</v>
      </c>
      <c r="X82" s="23">
        <v>1.2966514308426</v>
      </c>
      <c r="Y82" s="23">
        <v>1.3338063878300499</v>
      </c>
      <c r="Z82" s="23">
        <v>1.3018876858161099</v>
      </c>
      <c r="AA82" s="23">
        <v>1.3046508592750501</v>
      </c>
      <c r="AB82" s="21">
        <v>268.46854974243399</v>
      </c>
      <c r="AC82" s="21">
        <v>262.45345414434502</v>
      </c>
      <c r="AD82" s="21">
        <v>262.62347918767398</v>
      </c>
      <c r="AE82" s="22">
        <v>2.8251681500560899E-2</v>
      </c>
      <c r="AF82" s="22">
        <v>5.5916563512710899E-3</v>
      </c>
      <c r="AG82" s="22">
        <v>6.23927592272431E-3</v>
      </c>
      <c r="AI82" s="5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16">
        <f t="shared" si="8"/>
        <v>0</v>
      </c>
      <c r="AP82" s="16">
        <f t="shared" si="9"/>
        <v>0</v>
      </c>
      <c r="AQ82" s="16">
        <f t="shared" si="16"/>
        <v>0</v>
      </c>
      <c r="AR82" s="10">
        <f t="shared" si="17"/>
        <v>2.5422507114630642E-2</v>
      </c>
      <c r="AT82" s="5"/>
      <c r="AU82">
        <f t="shared" si="10"/>
        <v>0</v>
      </c>
      <c r="AV82">
        <f t="shared" si="11"/>
        <v>0</v>
      </c>
      <c r="AW82">
        <f t="shared" si="18"/>
        <v>1</v>
      </c>
      <c r="AX82">
        <f t="shared" si="5"/>
        <v>1</v>
      </c>
      <c r="AY82">
        <f t="shared" si="19"/>
        <v>1</v>
      </c>
      <c r="AZ82" s="16">
        <f t="shared" si="12"/>
        <v>2.0846379289552401E-2</v>
      </c>
      <c r="BA82" s="16">
        <f t="shared" si="13"/>
        <v>-1.1012361942228601E-2</v>
      </c>
      <c r="BB82" s="16">
        <f t="shared" si="20"/>
        <v>9.8340173473238004E-3</v>
      </c>
      <c r="BC82" s="10">
        <f t="shared" si="21"/>
        <v>3.5349580459094053E-2</v>
      </c>
      <c r="BE82" s="10">
        <f t="shared" si="22"/>
        <v>9.8340173473238004E-3</v>
      </c>
      <c r="BF82" s="10">
        <f t="shared" si="23"/>
        <v>6.0772087573724702E-2</v>
      </c>
      <c r="BH82" s="10"/>
    </row>
    <row r="83" spans="1:60" x14ac:dyDescent="0.25">
      <c r="A83" s="1">
        <v>46142</v>
      </c>
      <c r="B83" s="21">
        <v>209.02</v>
      </c>
      <c r="C83" s="21">
        <v>269.92</v>
      </c>
      <c r="D83" s="22">
        <v>3.7732967654281802E-2</v>
      </c>
      <c r="E83" s="22">
        <v>3.3643526385216803E-2</v>
      </c>
      <c r="F83" s="21">
        <v>0</v>
      </c>
      <c r="G83" s="21">
        <v>0.12</v>
      </c>
      <c r="H83" s="21">
        <v>0</v>
      </c>
      <c r="I83" s="21">
        <v>0.12</v>
      </c>
      <c r="J83" s="21">
        <v>0</v>
      </c>
      <c r="K83" s="21">
        <v>0</v>
      </c>
      <c r="L83" s="21">
        <v>209.02</v>
      </c>
      <c r="M83" s="21">
        <v>269.92</v>
      </c>
      <c r="N83" s="23">
        <v>1.2913596784996599</v>
      </c>
      <c r="O83" s="23">
        <v>1.3338063878300499</v>
      </c>
      <c r="P83" s="23">
        <v>1.2992793115547301</v>
      </c>
      <c r="Q83" s="23">
        <v>1.30436339541776</v>
      </c>
      <c r="R83" s="21">
        <v>278.79221118423902</v>
      </c>
      <c r="S83" s="21">
        <v>272.12056408928498</v>
      </c>
      <c r="T83" s="21">
        <v>272.69812260567198</v>
      </c>
      <c r="U83" s="22">
        <v>3.2341122769625801E-2</v>
      </c>
      <c r="V83" s="22">
        <v>8.1195996201861003E-3</v>
      </c>
      <c r="W83" s="22">
        <v>1.02397865625378E-2</v>
      </c>
      <c r="X83" s="23">
        <v>1.2913596784996599</v>
      </c>
      <c r="Y83" s="23">
        <v>1.3338063878300499</v>
      </c>
      <c r="Z83" s="23">
        <v>1.2992793115547301</v>
      </c>
      <c r="AA83" s="23">
        <v>1.30436339541776</v>
      </c>
      <c r="AB83" s="21">
        <v>278.79221118423902</v>
      </c>
      <c r="AC83" s="21">
        <v>272.12056408928498</v>
      </c>
      <c r="AD83" s="21">
        <v>272.69812260567198</v>
      </c>
      <c r="AE83" s="22">
        <v>3.2341122769625801E-2</v>
      </c>
      <c r="AF83" s="22">
        <v>8.1195996201861003E-3</v>
      </c>
      <c r="AG83" s="22">
        <v>1.02397865625378E-2</v>
      </c>
      <c r="AI83" s="5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16">
        <f t="shared" si="8"/>
        <v>0</v>
      </c>
      <c r="AP83" s="16">
        <f t="shared" si="9"/>
        <v>0</v>
      </c>
      <c r="AQ83" s="16">
        <f t="shared" si="16"/>
        <v>0</v>
      </c>
      <c r="AR83" s="10">
        <f t="shared" si="17"/>
        <v>2.5422507114630642E-2</v>
      </c>
      <c r="AT83" s="5"/>
      <c r="AU83">
        <f t="shared" si="10"/>
        <v>0</v>
      </c>
      <c r="AV83">
        <f t="shared" si="11"/>
        <v>0</v>
      </c>
      <c r="AW83">
        <f t="shared" si="18"/>
        <v>1</v>
      </c>
      <c r="AX83">
        <f t="shared" si="5"/>
        <v>1</v>
      </c>
      <c r="AY83">
        <f t="shared" si="19"/>
        <v>1</v>
      </c>
      <c r="AZ83" s="16">
        <f t="shared" si="12"/>
        <v>-3.7732967654281802E-2</v>
      </c>
      <c r="BA83" s="16">
        <f t="shared" si="13"/>
        <v>3.3643526385216803E-2</v>
      </c>
      <c r="BB83" s="16">
        <f t="shared" si="20"/>
        <v>-4.0894412690649987E-3</v>
      </c>
      <c r="BC83" s="10">
        <f t="shared" si="21"/>
        <v>3.1260139190029054E-2</v>
      </c>
      <c r="BE83" s="10">
        <f t="shared" si="22"/>
        <v>-4.0894412690649987E-3</v>
      </c>
      <c r="BF83" s="10">
        <f t="shared" si="23"/>
        <v>5.6682646304659703E-2</v>
      </c>
      <c r="BH83" s="10"/>
    </row>
    <row r="84" spans="1:60" x14ac:dyDescent="0.25">
      <c r="A84" s="1">
        <v>46143</v>
      </c>
      <c r="B84" s="21">
        <v>209.28</v>
      </c>
      <c r="C84" s="21">
        <v>268.33999999999997</v>
      </c>
      <c r="D84" s="22">
        <v>1.24312710247626E-3</v>
      </c>
      <c r="E84" s="22">
        <v>-5.8707856353327498E-3</v>
      </c>
      <c r="F84" s="21">
        <v>0</v>
      </c>
      <c r="G84" s="21">
        <v>0.12</v>
      </c>
      <c r="H84" s="21">
        <v>0</v>
      </c>
      <c r="I84" s="21">
        <v>0.12</v>
      </c>
      <c r="J84" s="21">
        <v>0</v>
      </c>
      <c r="K84" s="21">
        <v>0</v>
      </c>
      <c r="L84" s="21">
        <v>209.28</v>
      </c>
      <c r="M84" s="21">
        <v>268.33999999999997</v>
      </c>
      <c r="N84" s="23">
        <v>1.2822056574923499</v>
      </c>
      <c r="O84" s="23">
        <v>1.3338063878300499</v>
      </c>
      <c r="P84" s="23">
        <v>1.2958655657915501</v>
      </c>
      <c r="Q84" s="23">
        <v>1.3040854106653801</v>
      </c>
      <c r="R84" s="21">
        <v>279.13900084507401</v>
      </c>
      <c r="S84" s="21">
        <v>271.91317432217397</v>
      </c>
      <c r="T84" s="21">
        <v>272.97717139302898</v>
      </c>
      <c r="U84" s="22">
        <v>3.9455035507435003E-2</v>
      </c>
      <c r="V84" s="22">
        <v>1.32279701238317E-2</v>
      </c>
      <c r="W84" s="22">
        <v>1.7133337255225999E-2</v>
      </c>
      <c r="X84" s="23">
        <v>1.2822056574923499</v>
      </c>
      <c r="Y84" s="23">
        <v>1.3338063878300499</v>
      </c>
      <c r="Z84" s="23">
        <v>1.2958655657915501</v>
      </c>
      <c r="AA84" s="23">
        <v>1.3040854106653801</v>
      </c>
      <c r="AB84" s="21">
        <v>279.13900084507401</v>
      </c>
      <c r="AC84" s="21">
        <v>271.91317432217397</v>
      </c>
      <c r="AD84" s="21">
        <v>272.97717139302898</v>
      </c>
      <c r="AE84" s="22">
        <v>3.9455035507435003E-2</v>
      </c>
      <c r="AF84" s="22">
        <v>1.32279701238317E-2</v>
      </c>
      <c r="AG84" s="22">
        <v>1.7133337255225999E-2</v>
      </c>
      <c r="AI84" s="5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16">
        <f t="shared" si="8"/>
        <v>0</v>
      </c>
      <c r="AP84" s="16">
        <f t="shared" si="9"/>
        <v>0</v>
      </c>
      <c r="AQ84" s="16">
        <f t="shared" si="16"/>
        <v>0</v>
      </c>
      <c r="AR84" s="10">
        <f t="shared" si="17"/>
        <v>2.5422507114630642E-2</v>
      </c>
      <c r="AT84" s="5"/>
      <c r="AU84">
        <f t="shared" si="10"/>
        <v>1</v>
      </c>
      <c r="AV84">
        <f t="shared" si="11"/>
        <v>0</v>
      </c>
      <c r="AW84">
        <f t="shared" si="18"/>
        <v>1</v>
      </c>
      <c r="AX84">
        <f t="shared" si="5"/>
        <v>1</v>
      </c>
      <c r="AY84">
        <f t="shared" si="19"/>
        <v>1</v>
      </c>
      <c r="AZ84" s="16">
        <f t="shared" si="12"/>
        <v>-1.24312710247626E-3</v>
      </c>
      <c r="BA84" s="16">
        <f t="shared" si="13"/>
        <v>-5.8707856353327498E-3</v>
      </c>
      <c r="BB84" s="16">
        <f t="shared" si="20"/>
        <v>-7.1139127378090101E-3</v>
      </c>
      <c r="BC84" s="10">
        <f t="shared" si="21"/>
        <v>2.4146226452220046E-2</v>
      </c>
      <c r="BE84" s="10">
        <f t="shared" si="22"/>
        <v>-7.1139127378090101E-3</v>
      </c>
      <c r="BF84" s="10">
        <f t="shared" si="23"/>
        <v>4.9568733566850695E-2</v>
      </c>
      <c r="BH84" s="10"/>
    </row>
    <row r="85" spans="1:60" x14ac:dyDescent="0.25">
      <c r="A85" s="1">
        <v>46146</v>
      </c>
      <c r="B85" s="21">
        <v>209.61</v>
      </c>
      <c r="C85" s="21">
        <v>269.52</v>
      </c>
      <c r="D85" s="22">
        <v>1.5755929636352699E-3</v>
      </c>
      <c r="E85" s="22">
        <v>4.3877659359717897E-3</v>
      </c>
      <c r="F85" s="21">
        <v>0</v>
      </c>
      <c r="G85" s="21">
        <v>0.12</v>
      </c>
      <c r="H85" s="21">
        <v>0</v>
      </c>
      <c r="I85" s="21">
        <v>0.12</v>
      </c>
      <c r="J85" s="21">
        <v>0</v>
      </c>
      <c r="K85" s="21">
        <v>0</v>
      </c>
      <c r="L85" s="21">
        <v>209.61</v>
      </c>
      <c r="M85" s="21">
        <v>269.52</v>
      </c>
      <c r="N85" s="23">
        <v>1.2858165163875701</v>
      </c>
      <c r="O85" s="23">
        <v>1.3338063878300499</v>
      </c>
      <c r="P85" s="23">
        <v>1.29243167502756</v>
      </c>
      <c r="Q85" s="23">
        <v>1.30355587019126</v>
      </c>
      <c r="R85" s="21">
        <v>279.57915695305797</v>
      </c>
      <c r="S85" s="21">
        <v>271.62638124556702</v>
      </c>
      <c r="T85" s="21">
        <v>273.349342929572</v>
      </c>
      <c r="U85" s="22">
        <v>3.6642862535098103E-2</v>
      </c>
      <c r="V85" s="22">
        <v>7.7849245848060399E-3</v>
      </c>
      <c r="W85" s="22">
        <v>1.4108022470194499E-2</v>
      </c>
      <c r="X85" s="23">
        <v>1.2858165163875701</v>
      </c>
      <c r="Y85" s="23">
        <v>1.3338063878300499</v>
      </c>
      <c r="Z85" s="23">
        <v>1.29243167502756</v>
      </c>
      <c r="AA85" s="23">
        <v>1.30355587019126</v>
      </c>
      <c r="AB85" s="21">
        <v>279.57915695305797</v>
      </c>
      <c r="AC85" s="21">
        <v>271.62638124556702</v>
      </c>
      <c r="AD85" s="21">
        <v>273.349342929572</v>
      </c>
      <c r="AE85" s="22">
        <v>3.6642862535098103E-2</v>
      </c>
      <c r="AF85" s="22">
        <v>7.7849245848060399E-3</v>
      </c>
      <c r="AG85" s="22">
        <v>1.4108022470194499E-2</v>
      </c>
      <c r="AI85" s="5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16">
        <f t="shared" si="8"/>
        <v>0</v>
      </c>
      <c r="AP85" s="16">
        <f t="shared" si="9"/>
        <v>0</v>
      </c>
      <c r="AQ85" s="16">
        <f t="shared" si="16"/>
        <v>0</v>
      </c>
      <c r="AR85" s="10">
        <f t="shared" si="17"/>
        <v>2.5422507114630642E-2</v>
      </c>
      <c r="AT85" s="5"/>
      <c r="AU85">
        <f t="shared" si="10"/>
        <v>0</v>
      </c>
      <c r="AV85">
        <f t="shared" si="11"/>
        <v>0</v>
      </c>
      <c r="AW85">
        <f t="shared" si="18"/>
        <v>1</v>
      </c>
      <c r="AX85">
        <f t="shared" ref="AX85:AX148" si="25">IF(F86+H86&gt;0,0,1)</f>
        <v>1</v>
      </c>
      <c r="AY85">
        <f t="shared" si="19"/>
        <v>1</v>
      </c>
      <c r="AZ85" s="16">
        <f t="shared" si="12"/>
        <v>-1.5755929636352699E-3</v>
      </c>
      <c r="BA85" s="16">
        <f t="shared" si="13"/>
        <v>4.3877659359717897E-3</v>
      </c>
      <c r="BB85" s="16">
        <f t="shared" si="20"/>
        <v>2.8121729723365198E-3</v>
      </c>
      <c r="BC85" s="10">
        <f t="shared" si="21"/>
        <v>2.6958399424556564E-2</v>
      </c>
      <c r="BE85" s="10">
        <f t="shared" si="22"/>
        <v>2.8121729723365198E-3</v>
      </c>
      <c r="BF85" s="10">
        <f t="shared" si="23"/>
        <v>5.2380906539187214E-2</v>
      </c>
      <c r="BH85" s="10"/>
    </row>
    <row r="86" spans="1:60" x14ac:dyDescent="0.25">
      <c r="A86" s="1">
        <v>46147</v>
      </c>
      <c r="B86" s="21">
        <v>214.35</v>
      </c>
      <c r="C86" s="21">
        <v>277.33</v>
      </c>
      <c r="D86" s="22">
        <v>2.2361531811516899E-2</v>
      </c>
      <c r="E86" s="22">
        <v>2.8565533751800602E-2</v>
      </c>
      <c r="F86" s="21">
        <v>0</v>
      </c>
      <c r="G86" s="21">
        <v>0.12</v>
      </c>
      <c r="H86" s="21">
        <v>0</v>
      </c>
      <c r="I86" s="21">
        <v>0.12</v>
      </c>
      <c r="J86" s="21">
        <v>0</v>
      </c>
      <c r="K86" s="21">
        <v>0</v>
      </c>
      <c r="L86" s="21">
        <v>214.35</v>
      </c>
      <c r="M86" s="21">
        <v>277.33</v>
      </c>
      <c r="N86" s="23">
        <v>1.2938185211103299</v>
      </c>
      <c r="O86" s="23">
        <v>1.3338063878300499</v>
      </c>
      <c r="P86" s="23">
        <v>1.2913014461891399</v>
      </c>
      <c r="Q86" s="23">
        <v>1.3034301507635599</v>
      </c>
      <c r="R86" s="21">
        <v>285.90139923137298</v>
      </c>
      <c r="S86" s="21">
        <v>277.03272954215799</v>
      </c>
      <c r="T86" s="21">
        <v>279.41720077549701</v>
      </c>
      <c r="U86" s="22">
        <v>3.0438860594814598E-2</v>
      </c>
      <c r="V86" s="22">
        <v>-1.07247645086305E-3</v>
      </c>
      <c r="W86" s="22">
        <v>7.4978753401632502E-3</v>
      </c>
      <c r="X86" s="23">
        <v>1.2938185211103299</v>
      </c>
      <c r="Y86" s="23">
        <v>1.3338063878300499</v>
      </c>
      <c r="Z86" s="23">
        <v>1.2913014461891399</v>
      </c>
      <c r="AA86" s="23">
        <v>1.3034301507635599</v>
      </c>
      <c r="AB86" s="21">
        <v>285.90139923137298</v>
      </c>
      <c r="AC86" s="21">
        <v>277.03272954215799</v>
      </c>
      <c r="AD86" s="21">
        <v>279.41720077549701</v>
      </c>
      <c r="AE86" s="22">
        <v>3.0438860594814598E-2</v>
      </c>
      <c r="AF86" s="22">
        <v>-1.07247645086305E-3</v>
      </c>
      <c r="AG86" s="22">
        <v>7.4978753401632502E-3</v>
      </c>
      <c r="AI86" s="5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16">
        <f t="shared" ref="AO86:AO149" si="28">AN86*D86</f>
        <v>0</v>
      </c>
      <c r="AP86" s="16">
        <f t="shared" ref="AP86:AP149" si="29">-AN86*$E86</f>
        <v>0</v>
      </c>
      <c r="AQ86" s="16">
        <f t="shared" si="16"/>
        <v>0</v>
      </c>
      <c r="AR86" s="10">
        <f t="shared" si="17"/>
        <v>2.5422507114630642E-2</v>
      </c>
      <c r="AT86" s="5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1</v>
      </c>
      <c r="AX86">
        <f t="shared" si="25"/>
        <v>1</v>
      </c>
      <c r="AY86">
        <f t="shared" si="19"/>
        <v>1</v>
      </c>
      <c r="AZ86" s="16">
        <f t="shared" ref="AZ86:AZ149" si="32">-AY86*D86</f>
        <v>-2.2361531811516899E-2</v>
      </c>
      <c r="BA86" s="16">
        <f t="shared" ref="BA86:BA149" si="33">AY86*$E86</f>
        <v>2.8565533751800602E-2</v>
      </c>
      <c r="BB86" s="16">
        <f t="shared" si="20"/>
        <v>6.2040019402837022E-3</v>
      </c>
      <c r="BC86" s="10">
        <f t="shared" si="21"/>
        <v>3.3162401364840263E-2</v>
      </c>
      <c r="BE86" s="10">
        <f t="shared" si="22"/>
        <v>6.2040019402837022E-3</v>
      </c>
      <c r="BF86" s="10">
        <f t="shared" si="23"/>
        <v>5.8584908479470912E-2</v>
      </c>
      <c r="BH86" s="10"/>
    </row>
    <row r="87" spans="1:60" x14ac:dyDescent="0.25">
      <c r="A87" s="1">
        <v>46148</v>
      </c>
      <c r="B87" s="21">
        <v>225.19</v>
      </c>
      <c r="C87" s="21">
        <v>296.38</v>
      </c>
      <c r="D87" s="22">
        <v>4.9334297262262197E-2</v>
      </c>
      <c r="E87" s="22">
        <v>6.6434281911934304E-2</v>
      </c>
      <c r="F87" s="21">
        <v>0</v>
      </c>
      <c r="G87" s="21">
        <v>0.12</v>
      </c>
      <c r="H87" s="21">
        <v>0</v>
      </c>
      <c r="I87" s="21">
        <v>0.12</v>
      </c>
      <c r="J87" s="21">
        <v>0</v>
      </c>
      <c r="K87" s="21">
        <v>0</v>
      </c>
      <c r="L87" s="21">
        <v>225.19</v>
      </c>
      <c r="M87" s="21">
        <v>296.38</v>
      </c>
      <c r="N87" s="23">
        <v>1.3161330432079501</v>
      </c>
      <c r="O87" s="23">
        <v>1.3338063878300499</v>
      </c>
      <c r="P87" s="23">
        <v>1.2934147746191</v>
      </c>
      <c r="Q87" s="23">
        <v>1.3038204521813499</v>
      </c>
      <c r="R87" s="21">
        <v>300.359860475451</v>
      </c>
      <c r="S87" s="21">
        <v>290.78817266733301</v>
      </c>
      <c r="T87" s="21">
        <v>293.51943565044701</v>
      </c>
      <c r="U87" s="22">
        <v>1.33388759451423E-2</v>
      </c>
      <c r="V87" s="22">
        <v>-1.9047341637716798E-2</v>
      </c>
      <c r="W87" s="22">
        <v>-9.6985574122511794E-3</v>
      </c>
      <c r="X87" s="23">
        <v>1.3161330432079501</v>
      </c>
      <c r="Y87" s="23">
        <v>1.3338063878300499</v>
      </c>
      <c r="Z87" s="23">
        <v>1.2934147746191</v>
      </c>
      <c r="AA87" s="23">
        <v>1.3038204521813499</v>
      </c>
      <c r="AB87" s="21">
        <v>300.359860475451</v>
      </c>
      <c r="AC87" s="21">
        <v>290.78817266733301</v>
      </c>
      <c r="AD87" s="21">
        <v>293.51943565044701</v>
      </c>
      <c r="AE87" s="22">
        <v>1.33388759451423E-2</v>
      </c>
      <c r="AF87" s="22">
        <v>-1.9047341637716798E-2</v>
      </c>
      <c r="AG87" s="22">
        <v>-9.6985574122511794E-3</v>
      </c>
      <c r="AI87" s="5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16">
        <f t="shared" si="28"/>
        <v>0</v>
      </c>
      <c r="AP87" s="16">
        <f t="shared" si="29"/>
        <v>0</v>
      </c>
      <c r="AQ87" s="16">
        <f t="shared" ref="AQ87:AQ150" si="36">AO87+AP87</f>
        <v>0</v>
      </c>
      <c r="AR87" s="10">
        <f t="shared" ref="AR87:AR150" si="37">AR86+AQ87</f>
        <v>2.5422507114630642E-2</v>
      </c>
      <c r="AT87" s="5"/>
      <c r="AU87">
        <f t="shared" si="30"/>
        <v>0</v>
      </c>
      <c r="AV87">
        <f t="shared" si="31"/>
        <v>1</v>
      </c>
      <c r="AW87">
        <f t="shared" ref="AW87:AW150" si="38">AY87</f>
        <v>1</v>
      </c>
      <c r="AX87">
        <f t="shared" si="25"/>
        <v>1</v>
      </c>
      <c r="AY87">
        <f t="shared" ref="AY87:AY150" si="39">IF(AU86,1,IF(AV86,0,AW86))*AX86</f>
        <v>1</v>
      </c>
      <c r="AZ87" s="16">
        <f t="shared" si="32"/>
        <v>-4.9334297262262197E-2</v>
      </c>
      <c r="BA87" s="16">
        <f t="shared" si="33"/>
        <v>6.6434281911934304E-2</v>
      </c>
      <c r="BB87" s="16">
        <f t="shared" ref="BB87:BB150" si="40">AZ87+BA87</f>
        <v>1.7099984649672106E-2</v>
      </c>
      <c r="BC87" s="10">
        <f t="shared" ref="BC87:BC150" si="41">BC86+BB87</f>
        <v>5.026238601451237E-2</v>
      </c>
      <c r="BE87" s="10">
        <f t="shared" ref="BE87:BE150" si="42">AQ87+BB87</f>
        <v>1.7099984649672106E-2</v>
      </c>
      <c r="BF87" s="10">
        <f t="shared" ref="BF87:BF150" si="43">BF86+BE87</f>
        <v>7.5684893129143019E-2</v>
      </c>
      <c r="BH87" s="10"/>
    </row>
    <row r="88" spans="1:60" x14ac:dyDescent="0.25">
      <c r="A88" s="1">
        <v>46149</v>
      </c>
      <c r="B88" s="21">
        <v>220.73</v>
      </c>
      <c r="C88" s="21">
        <v>289.60000000000002</v>
      </c>
      <c r="D88" s="22">
        <v>-2.0004255153127901E-2</v>
      </c>
      <c r="E88" s="22">
        <v>-2.3141754250470999E-2</v>
      </c>
      <c r="F88" s="21">
        <v>0</v>
      </c>
      <c r="G88" s="21">
        <v>0.12</v>
      </c>
      <c r="H88" s="21">
        <v>0</v>
      </c>
      <c r="I88" s="21">
        <v>0.12</v>
      </c>
      <c r="J88" s="21">
        <v>0</v>
      </c>
      <c r="K88" s="21">
        <v>0</v>
      </c>
      <c r="L88" s="21">
        <v>220.73</v>
      </c>
      <c r="M88" s="21">
        <v>289.60000000000002</v>
      </c>
      <c r="N88" s="23">
        <v>1.3120101481447899</v>
      </c>
      <c r="O88" s="23">
        <v>1.3338063878300499</v>
      </c>
      <c r="P88" s="23">
        <v>1.2952085568048901</v>
      </c>
      <c r="Q88" s="23">
        <v>1.30381483796153</v>
      </c>
      <c r="R88" s="21">
        <v>294.41108398572902</v>
      </c>
      <c r="S88" s="21">
        <v>285.49544320167502</v>
      </c>
      <c r="T88" s="21">
        <v>287.79228840999002</v>
      </c>
      <c r="U88" s="22">
        <v>1.64763750424856E-2</v>
      </c>
      <c r="V88" s="22">
        <v>-1.4274592307581199E-2</v>
      </c>
      <c r="W88" s="22">
        <v>-6.2616613790973897E-3</v>
      </c>
      <c r="X88" s="23">
        <v>1.3120101481447899</v>
      </c>
      <c r="Y88" s="23">
        <v>1.3338063878300499</v>
      </c>
      <c r="Z88" s="23">
        <v>1.2952085568048901</v>
      </c>
      <c r="AA88" s="23">
        <v>1.30381483796153</v>
      </c>
      <c r="AB88" s="21">
        <v>294.41108398572902</v>
      </c>
      <c r="AC88" s="21">
        <v>285.49544320167502</v>
      </c>
      <c r="AD88" s="21">
        <v>287.79228840999002</v>
      </c>
      <c r="AE88" s="22">
        <v>1.64763750424856E-2</v>
      </c>
      <c r="AF88" s="22">
        <v>-1.4274592307581199E-2</v>
      </c>
      <c r="AG88" s="22">
        <v>-6.2616613790973897E-3</v>
      </c>
      <c r="AI88" s="5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16">
        <f t="shared" si="28"/>
        <v>0</v>
      </c>
      <c r="AP88" s="16">
        <f t="shared" si="29"/>
        <v>0</v>
      </c>
      <c r="AQ88" s="16">
        <f t="shared" si="36"/>
        <v>0</v>
      </c>
      <c r="AR88" s="10">
        <f t="shared" si="37"/>
        <v>2.5422507114630642E-2</v>
      </c>
      <c r="AT88" s="5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16">
        <f t="shared" si="32"/>
        <v>0</v>
      </c>
      <c r="BA88" s="16">
        <f t="shared" si="33"/>
        <v>0</v>
      </c>
      <c r="BB88" s="16">
        <f t="shared" si="40"/>
        <v>0</v>
      </c>
      <c r="BC88" s="10">
        <f t="shared" si="41"/>
        <v>5.026238601451237E-2</v>
      </c>
      <c r="BE88" s="10">
        <f t="shared" si="42"/>
        <v>0</v>
      </c>
      <c r="BF88" s="10">
        <f t="shared" si="43"/>
        <v>7.5684893129143019E-2</v>
      </c>
      <c r="BH88" s="10"/>
    </row>
    <row r="89" spans="1:60" x14ac:dyDescent="0.25">
      <c r="A89" s="1">
        <v>46150</v>
      </c>
      <c r="B89" s="21">
        <v>221.64</v>
      </c>
      <c r="C89" s="21">
        <v>292.52</v>
      </c>
      <c r="D89" s="22">
        <v>4.1142088460284498E-3</v>
      </c>
      <c r="E89" s="22">
        <v>1.00323798911889E-2</v>
      </c>
      <c r="F89" s="21">
        <v>0</v>
      </c>
      <c r="G89" s="21">
        <v>0.12</v>
      </c>
      <c r="H89" s="21">
        <v>0</v>
      </c>
      <c r="I89" s="21">
        <v>0.12</v>
      </c>
      <c r="J89" s="21">
        <v>0</v>
      </c>
      <c r="K89" s="21">
        <v>0</v>
      </c>
      <c r="L89" s="21">
        <v>221.64</v>
      </c>
      <c r="M89" s="21">
        <v>292.52</v>
      </c>
      <c r="N89" s="23">
        <v>1.3197978704205</v>
      </c>
      <c r="O89" s="23">
        <v>1.3338063878300499</v>
      </c>
      <c r="P89" s="23">
        <v>1.2976617311415199</v>
      </c>
      <c r="Q89" s="23">
        <v>1.3040214838370701</v>
      </c>
      <c r="R89" s="21">
        <v>295.624847798654</v>
      </c>
      <c r="S89" s="21">
        <v>287.07002453023699</v>
      </c>
      <c r="T89" s="21">
        <v>288.97752068579302</v>
      </c>
      <c r="U89" s="22">
        <v>1.05582039973249E-2</v>
      </c>
      <c r="V89" s="22">
        <v>-1.8806866493105302E-2</v>
      </c>
      <c r="W89" s="22">
        <v>-1.2184138409719899E-2</v>
      </c>
      <c r="X89" s="23">
        <v>1.3197978704205</v>
      </c>
      <c r="Y89" s="23">
        <v>1.3338063878300499</v>
      </c>
      <c r="Z89" s="23">
        <v>1.2976617311415199</v>
      </c>
      <c r="AA89" s="23">
        <v>1.3040214838370701</v>
      </c>
      <c r="AB89" s="21">
        <v>295.624847798654</v>
      </c>
      <c r="AC89" s="21">
        <v>287.07002453023699</v>
      </c>
      <c r="AD89" s="21">
        <v>288.97752068579302</v>
      </c>
      <c r="AE89" s="22">
        <v>1.05582039973249E-2</v>
      </c>
      <c r="AF89" s="22">
        <v>-1.8806866493105302E-2</v>
      </c>
      <c r="AG89" s="22">
        <v>-1.2184138409719899E-2</v>
      </c>
      <c r="AI89" s="5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16">
        <f t="shared" si="28"/>
        <v>0</v>
      </c>
      <c r="AP89" s="16">
        <f t="shared" si="29"/>
        <v>0</v>
      </c>
      <c r="AQ89" s="16">
        <f t="shared" si="36"/>
        <v>0</v>
      </c>
      <c r="AR89" s="10">
        <f t="shared" si="37"/>
        <v>2.5422507114630642E-2</v>
      </c>
      <c r="AT89" s="5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16">
        <f t="shared" si="32"/>
        <v>0</v>
      </c>
      <c r="BA89" s="16">
        <f t="shared" si="33"/>
        <v>0</v>
      </c>
      <c r="BB89" s="16">
        <f t="shared" si="40"/>
        <v>0</v>
      </c>
      <c r="BC89" s="10">
        <f t="shared" si="41"/>
        <v>5.026238601451237E-2</v>
      </c>
      <c r="BE89" s="10">
        <f t="shared" si="42"/>
        <v>0</v>
      </c>
      <c r="BF89" s="10">
        <f t="shared" si="43"/>
        <v>7.5684893129143019E-2</v>
      </c>
      <c r="BH89" s="10"/>
    </row>
    <row r="90" spans="1:60" x14ac:dyDescent="0.25">
      <c r="A90" s="1">
        <v>46153</v>
      </c>
      <c r="B90" s="21">
        <v>217.53</v>
      </c>
      <c r="C90" s="21">
        <v>289.77</v>
      </c>
      <c r="D90" s="22">
        <v>-1.8717671947537699E-2</v>
      </c>
      <c r="E90" s="22">
        <v>-9.4455355434362193E-3</v>
      </c>
      <c r="F90" s="21">
        <v>0</v>
      </c>
      <c r="G90" s="21">
        <v>0.12</v>
      </c>
      <c r="H90" s="21">
        <v>0</v>
      </c>
      <c r="I90" s="21">
        <v>0.12</v>
      </c>
      <c r="J90" s="21">
        <v>0</v>
      </c>
      <c r="K90" s="21">
        <v>0</v>
      </c>
      <c r="L90" s="21">
        <v>217.53</v>
      </c>
      <c r="M90" s="21">
        <v>289.77</v>
      </c>
      <c r="N90" s="23">
        <v>1.3320921252241</v>
      </c>
      <c r="O90" s="23">
        <v>1.3338063878300499</v>
      </c>
      <c r="P90" s="23">
        <v>1.30138476227039</v>
      </c>
      <c r="Q90" s="23">
        <v>1.30486006216131</v>
      </c>
      <c r="R90" s="21">
        <v>290.14290354467198</v>
      </c>
      <c r="S90" s="21">
        <v>282.28035637521498</v>
      </c>
      <c r="T90" s="21">
        <v>283.66379337907898</v>
      </c>
      <c r="U90" s="22">
        <v>1.28606759322331E-3</v>
      </c>
      <c r="V90" s="22">
        <v>-2.6186756239115799E-2</v>
      </c>
      <c r="W90" s="22">
        <v>-2.1297794103777998E-2</v>
      </c>
      <c r="X90" s="23">
        <v>1.3320921252241</v>
      </c>
      <c r="Y90" s="23">
        <v>1.3338063878300499</v>
      </c>
      <c r="Z90" s="23">
        <v>1.30138476227039</v>
      </c>
      <c r="AA90" s="23">
        <v>1.30486006216131</v>
      </c>
      <c r="AB90" s="21">
        <v>290.14290354467198</v>
      </c>
      <c r="AC90" s="21">
        <v>282.28035637521498</v>
      </c>
      <c r="AD90" s="21">
        <v>283.66379337907898</v>
      </c>
      <c r="AE90" s="22">
        <v>1.28606759322331E-3</v>
      </c>
      <c r="AF90" s="22">
        <v>-2.6186756239115799E-2</v>
      </c>
      <c r="AG90" s="22">
        <v>-2.1297794103777998E-2</v>
      </c>
      <c r="AI90" s="5"/>
      <c r="AJ90">
        <f t="shared" si="26"/>
        <v>1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16">
        <f t="shared" si="28"/>
        <v>0</v>
      </c>
      <c r="AP90" s="16">
        <f t="shared" si="29"/>
        <v>0</v>
      </c>
      <c r="AQ90" s="16">
        <f t="shared" si="36"/>
        <v>0</v>
      </c>
      <c r="AR90" s="10">
        <f t="shared" si="37"/>
        <v>2.5422507114630642E-2</v>
      </c>
      <c r="AT90" s="5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16">
        <f t="shared" si="32"/>
        <v>0</v>
      </c>
      <c r="BA90" s="16">
        <f t="shared" si="33"/>
        <v>0</v>
      </c>
      <c r="BB90" s="16">
        <f t="shared" si="40"/>
        <v>0</v>
      </c>
      <c r="BC90" s="10">
        <f t="shared" si="41"/>
        <v>5.026238601451237E-2</v>
      </c>
      <c r="BE90" s="10">
        <f t="shared" si="42"/>
        <v>0</v>
      </c>
      <c r="BF90" s="10">
        <f t="shared" si="43"/>
        <v>7.5684893129143019E-2</v>
      </c>
      <c r="BH90" s="10"/>
    </row>
    <row r="91" spans="1:60" x14ac:dyDescent="0.25">
      <c r="A91" s="1">
        <v>46154</v>
      </c>
      <c r="B91" s="21">
        <v>217.17</v>
      </c>
      <c r="C91" s="21">
        <v>287.67</v>
      </c>
      <c r="D91" s="22">
        <v>-1.65631507845135E-3</v>
      </c>
      <c r="E91" s="22">
        <v>-7.2735150256146497E-3</v>
      </c>
      <c r="F91" s="21">
        <v>0</v>
      </c>
      <c r="G91" s="21">
        <v>0.12</v>
      </c>
      <c r="H91" s="21">
        <v>0</v>
      </c>
      <c r="I91" s="21">
        <v>0.12</v>
      </c>
      <c r="J91" s="21">
        <v>0</v>
      </c>
      <c r="K91" s="21">
        <v>0</v>
      </c>
      <c r="L91" s="21">
        <v>217.17</v>
      </c>
      <c r="M91" s="21">
        <v>287.67</v>
      </c>
      <c r="N91" s="23">
        <v>1.32463047382235</v>
      </c>
      <c r="O91" s="23">
        <v>1.3338063878300499</v>
      </c>
      <c r="P91" s="23">
        <v>1.3054515465152201</v>
      </c>
      <c r="Q91" s="23">
        <v>1.30468685767818</v>
      </c>
      <c r="R91" s="21">
        <v>289.662733245053</v>
      </c>
      <c r="S91" s="21">
        <v>282.62172882226201</v>
      </c>
      <c r="T91" s="21">
        <v>283.37645969957299</v>
      </c>
      <c r="U91" s="22">
        <v>6.9032675403866697E-3</v>
      </c>
      <c r="V91" s="22">
        <v>-1.7704633571412599E-2</v>
      </c>
      <c r="W91" s="22">
        <v>-1.50377298959441E-2</v>
      </c>
      <c r="X91" s="23">
        <v>1.32463047382235</v>
      </c>
      <c r="Y91" s="23">
        <v>1.3338063878300499</v>
      </c>
      <c r="Z91" s="23">
        <v>1.3054515465152201</v>
      </c>
      <c r="AA91" s="23">
        <v>1.30468685767818</v>
      </c>
      <c r="AB91" s="21">
        <v>289.662733245053</v>
      </c>
      <c r="AC91" s="21">
        <v>282.62172882226201</v>
      </c>
      <c r="AD91" s="21">
        <v>283.37645969957299</v>
      </c>
      <c r="AE91" s="22">
        <v>6.9032675403866697E-3</v>
      </c>
      <c r="AF91" s="22">
        <v>-1.7704633571412599E-2</v>
      </c>
      <c r="AG91" s="22">
        <v>-1.50377298959441E-2</v>
      </c>
      <c r="AI91" s="5"/>
      <c r="AJ91">
        <f t="shared" si="26"/>
        <v>1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16">
        <f t="shared" si="28"/>
        <v>-1.65631507845135E-3</v>
      </c>
      <c r="AP91" s="16">
        <f t="shared" si="29"/>
        <v>7.2735150256146497E-3</v>
      </c>
      <c r="AQ91" s="16">
        <f t="shared" si="36"/>
        <v>5.6171999471632999E-3</v>
      </c>
      <c r="AR91" s="10">
        <f t="shared" si="37"/>
        <v>3.1039707061793941E-2</v>
      </c>
      <c r="AT91" s="5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16">
        <f t="shared" si="32"/>
        <v>0</v>
      </c>
      <c r="BA91" s="16">
        <f t="shared" si="33"/>
        <v>0</v>
      </c>
      <c r="BB91" s="16">
        <f t="shared" si="40"/>
        <v>0</v>
      </c>
      <c r="BC91" s="10">
        <f t="shared" si="41"/>
        <v>5.026238601451237E-2</v>
      </c>
      <c r="BE91" s="10">
        <f t="shared" si="42"/>
        <v>5.6171999471632999E-3</v>
      </c>
      <c r="BF91" s="10">
        <f t="shared" si="43"/>
        <v>8.1302093076306314E-2</v>
      </c>
      <c r="BH91" s="10"/>
    </row>
    <row r="92" spans="1:60" x14ac:dyDescent="0.25">
      <c r="A92" s="1">
        <v>46155</v>
      </c>
      <c r="B92" s="21">
        <v>218.7</v>
      </c>
      <c r="C92" s="21">
        <v>291.8</v>
      </c>
      <c r="D92" s="22">
        <v>7.0204707095624002E-3</v>
      </c>
      <c r="E92" s="22">
        <v>1.42546462549856E-2</v>
      </c>
      <c r="F92" s="21">
        <v>0</v>
      </c>
      <c r="G92" s="21">
        <v>0.12</v>
      </c>
      <c r="H92" s="21">
        <v>0</v>
      </c>
      <c r="I92" s="21">
        <v>0.12</v>
      </c>
      <c r="J92" s="21">
        <v>0</v>
      </c>
      <c r="K92" s="21">
        <v>0</v>
      </c>
      <c r="L92" s="21">
        <v>218.7</v>
      </c>
      <c r="M92" s="21">
        <v>291.8</v>
      </c>
      <c r="N92" s="23">
        <v>1.3342478280749801</v>
      </c>
      <c r="O92" s="23">
        <v>1.3338063878300499</v>
      </c>
      <c r="P92" s="23">
        <v>1.3092111862384599</v>
      </c>
      <c r="Q92" s="23">
        <v>1.3055494360272899</v>
      </c>
      <c r="R92" s="21">
        <v>291.70345701843399</v>
      </c>
      <c r="S92" s="21">
        <v>285.50225322287901</v>
      </c>
      <c r="T92" s="21">
        <v>285.33501577421799</v>
      </c>
      <c r="U92" s="22">
        <v>-3.3090800503665603E-4</v>
      </c>
      <c r="V92" s="22">
        <v>-2.1818714824535498E-2</v>
      </c>
      <c r="W92" s="22">
        <v>-2.2404652227464E-2</v>
      </c>
      <c r="X92" s="23">
        <v>1.3342478280749801</v>
      </c>
      <c r="Y92" s="23">
        <v>1.3338063878300499</v>
      </c>
      <c r="Z92" s="23">
        <v>1.3092111862384599</v>
      </c>
      <c r="AA92" s="23">
        <v>1.3055494360272899</v>
      </c>
      <c r="AB92" s="21">
        <v>291.70345701843399</v>
      </c>
      <c r="AC92" s="21">
        <v>285.50225322287901</v>
      </c>
      <c r="AD92" s="21">
        <v>285.33501577421799</v>
      </c>
      <c r="AE92" s="22">
        <v>-3.3090800503665603E-4</v>
      </c>
      <c r="AF92" s="22">
        <v>-2.1818714824535498E-2</v>
      </c>
      <c r="AG92" s="22">
        <v>-2.2404652227464E-2</v>
      </c>
      <c r="AI92" s="5"/>
      <c r="AJ92">
        <f t="shared" si="26"/>
        <v>1</v>
      </c>
      <c r="AK92">
        <f t="shared" si="27"/>
        <v>0</v>
      </c>
      <c r="AL92">
        <f t="shared" si="34"/>
        <v>1</v>
      </c>
      <c r="AM92">
        <f t="shared" si="24"/>
        <v>1</v>
      </c>
      <c r="AN92">
        <f t="shared" si="35"/>
        <v>1</v>
      </c>
      <c r="AO92" s="16">
        <f t="shared" si="28"/>
        <v>7.0204707095624002E-3</v>
      </c>
      <c r="AP92" s="16">
        <f t="shared" si="29"/>
        <v>-1.42546462549856E-2</v>
      </c>
      <c r="AQ92" s="16">
        <f t="shared" si="36"/>
        <v>-7.2341755454231995E-3</v>
      </c>
      <c r="AR92" s="10">
        <f t="shared" si="37"/>
        <v>2.3805531516370743E-2</v>
      </c>
      <c r="AT92" s="5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16">
        <f t="shared" si="32"/>
        <v>0</v>
      </c>
      <c r="BA92" s="16">
        <f t="shared" si="33"/>
        <v>0</v>
      </c>
      <c r="BB92" s="16">
        <f t="shared" si="40"/>
        <v>0</v>
      </c>
      <c r="BC92" s="10">
        <f t="shared" si="41"/>
        <v>5.026238601451237E-2</v>
      </c>
      <c r="BE92" s="10">
        <f t="shared" si="42"/>
        <v>-7.2341755454231995E-3</v>
      </c>
      <c r="BF92" s="10">
        <f t="shared" si="43"/>
        <v>7.4067917530883112E-2</v>
      </c>
      <c r="BH92" s="10"/>
    </row>
    <row r="93" spans="1:60" x14ac:dyDescent="0.25">
      <c r="A93" s="1">
        <v>46156</v>
      </c>
      <c r="B93" s="21">
        <v>222.5</v>
      </c>
      <c r="C93" s="21">
        <v>297.14999999999998</v>
      </c>
      <c r="D93" s="22">
        <v>1.7226173923572698E-2</v>
      </c>
      <c r="E93" s="22">
        <v>1.81684257239841E-2</v>
      </c>
      <c r="F93" s="21">
        <v>0</v>
      </c>
      <c r="G93" s="21">
        <v>0.12</v>
      </c>
      <c r="H93" s="21">
        <v>0</v>
      </c>
      <c r="I93" s="21">
        <v>0.12</v>
      </c>
      <c r="J93" s="21">
        <v>0</v>
      </c>
      <c r="K93" s="21">
        <v>0</v>
      </c>
      <c r="L93" s="21">
        <v>222.5</v>
      </c>
      <c r="M93" s="21">
        <v>297.14999999999998</v>
      </c>
      <c r="N93" s="23">
        <v>1.33550561797752</v>
      </c>
      <c r="O93" s="23">
        <v>1.3338063878300499</v>
      </c>
      <c r="P93" s="23">
        <v>1.3136257801862401</v>
      </c>
      <c r="Q93" s="23">
        <v>1.3064525458704901</v>
      </c>
      <c r="R93" s="21">
        <v>296.77192129218798</v>
      </c>
      <c r="S93" s="21">
        <v>291.29948893805698</v>
      </c>
      <c r="T93" s="21">
        <v>290.48474951607199</v>
      </c>
      <c r="U93" s="22">
        <v>-1.27315980544819E-3</v>
      </c>
      <c r="V93" s="22">
        <v>-1.9885152266746201E-2</v>
      </c>
      <c r="W93" s="22">
        <v>-2.2685984261656401E-2</v>
      </c>
      <c r="X93" s="23">
        <v>1.33550561797752</v>
      </c>
      <c r="Y93" s="23">
        <v>1.3338063878300499</v>
      </c>
      <c r="Z93" s="23">
        <v>1.3136257801862401</v>
      </c>
      <c r="AA93" s="23">
        <v>1.3064525458704901</v>
      </c>
      <c r="AB93" s="21">
        <v>296.77192129218798</v>
      </c>
      <c r="AC93" s="21">
        <v>291.29948893805698</v>
      </c>
      <c r="AD93" s="21">
        <v>290.48474951607199</v>
      </c>
      <c r="AE93" s="22">
        <v>-1.27315980544819E-3</v>
      </c>
      <c r="AF93" s="22">
        <v>-1.9885152266746201E-2</v>
      </c>
      <c r="AG93" s="22">
        <v>-2.2685984261656401E-2</v>
      </c>
      <c r="AI93" s="5"/>
      <c r="AJ93">
        <f t="shared" si="26"/>
        <v>1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16">
        <f t="shared" si="28"/>
        <v>1.7226173923572698E-2</v>
      </c>
      <c r="AP93" s="16">
        <f t="shared" si="29"/>
        <v>-1.81684257239841E-2</v>
      </c>
      <c r="AQ93" s="16">
        <f t="shared" si="36"/>
        <v>-9.4225180041140194E-4</v>
      </c>
      <c r="AR93" s="10">
        <f t="shared" si="37"/>
        <v>2.2863279715959341E-2</v>
      </c>
      <c r="AT93" s="5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16">
        <f t="shared" si="32"/>
        <v>0</v>
      </c>
      <c r="BA93" s="16">
        <f t="shared" si="33"/>
        <v>0</v>
      </c>
      <c r="BB93" s="16">
        <f t="shared" si="40"/>
        <v>0</v>
      </c>
      <c r="BC93" s="10">
        <f t="shared" si="41"/>
        <v>5.026238601451237E-2</v>
      </c>
      <c r="BE93" s="10">
        <f t="shared" si="42"/>
        <v>-9.4225180041140194E-4</v>
      </c>
      <c r="BF93" s="10">
        <f t="shared" si="43"/>
        <v>7.3125665730471717E-2</v>
      </c>
      <c r="BH93" s="10"/>
    </row>
    <row r="94" spans="1:60" x14ac:dyDescent="0.25">
      <c r="A94" s="1">
        <v>46157</v>
      </c>
      <c r="B94" s="21">
        <v>216.35</v>
      </c>
      <c r="C94" s="21">
        <v>288.83999999999997</v>
      </c>
      <c r="D94" s="22">
        <v>-2.8029634935401102E-2</v>
      </c>
      <c r="E94" s="22">
        <v>-2.8364160229688701E-2</v>
      </c>
      <c r="F94" s="21">
        <v>0</v>
      </c>
      <c r="G94" s="21">
        <v>0.12</v>
      </c>
      <c r="H94" s="21">
        <v>0</v>
      </c>
      <c r="I94" s="21">
        <v>0.12</v>
      </c>
      <c r="J94" s="21">
        <v>0</v>
      </c>
      <c r="K94" s="21">
        <v>0</v>
      </c>
      <c r="L94" s="21">
        <v>216.35</v>
      </c>
      <c r="M94" s="21">
        <v>288.83999999999997</v>
      </c>
      <c r="N94" s="23">
        <v>1.3350589322856401</v>
      </c>
      <c r="O94" s="23">
        <v>1.3338063878300499</v>
      </c>
      <c r="P94" s="23">
        <v>1.31891110766557</v>
      </c>
      <c r="Q94" s="23">
        <v>1.3073883367285599</v>
      </c>
      <c r="R94" s="21">
        <v>288.569012007033</v>
      </c>
      <c r="S94" s="21">
        <v>284.20293754329498</v>
      </c>
      <c r="T94" s="21">
        <v>282.65100829907999</v>
      </c>
      <c r="U94" s="22">
        <v>-9.3863451116052898E-4</v>
      </c>
      <c r="V94" s="22">
        <v>-1.61843497900944E-2</v>
      </c>
      <c r="W94" s="22">
        <v>-2.1659951161902599E-2</v>
      </c>
      <c r="X94" s="23">
        <v>1.3350589322856401</v>
      </c>
      <c r="Y94" s="23">
        <v>1.3338063878300499</v>
      </c>
      <c r="Z94" s="23">
        <v>1.31891110766557</v>
      </c>
      <c r="AA94" s="23">
        <v>1.3073883367285599</v>
      </c>
      <c r="AB94" s="21">
        <v>288.569012007033</v>
      </c>
      <c r="AC94" s="21">
        <v>284.20293754329498</v>
      </c>
      <c r="AD94" s="21">
        <v>282.65100829907999</v>
      </c>
      <c r="AE94" s="22">
        <v>-9.3863451116052898E-4</v>
      </c>
      <c r="AF94" s="22">
        <v>-1.61843497900944E-2</v>
      </c>
      <c r="AG94" s="22">
        <v>-2.1659951161902599E-2</v>
      </c>
      <c r="AI94" s="5"/>
      <c r="AJ94">
        <f t="shared" si="26"/>
        <v>1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16">
        <f t="shared" si="28"/>
        <v>-2.8029634935401102E-2</v>
      </c>
      <c r="AP94" s="16">
        <f t="shared" si="29"/>
        <v>2.8364160229688701E-2</v>
      </c>
      <c r="AQ94" s="16">
        <f t="shared" si="36"/>
        <v>3.3452529428759994E-4</v>
      </c>
      <c r="AR94" s="10">
        <f t="shared" si="37"/>
        <v>2.3197805010246941E-2</v>
      </c>
      <c r="AT94" s="5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16">
        <f t="shared" si="32"/>
        <v>0</v>
      </c>
      <c r="BA94" s="16">
        <f t="shared" si="33"/>
        <v>0</v>
      </c>
      <c r="BB94" s="16">
        <f t="shared" si="40"/>
        <v>0</v>
      </c>
      <c r="BC94" s="10">
        <f t="shared" si="41"/>
        <v>5.026238601451237E-2</v>
      </c>
      <c r="BE94" s="10">
        <f t="shared" si="42"/>
        <v>3.3452529428759994E-4</v>
      </c>
      <c r="BF94" s="10">
        <f t="shared" si="43"/>
        <v>7.3460191024759314E-2</v>
      </c>
      <c r="BH94" s="10"/>
    </row>
    <row r="95" spans="1:60" x14ac:dyDescent="0.25">
      <c r="A95" s="1">
        <v>46160</v>
      </c>
      <c r="B95" s="21">
        <v>218.32</v>
      </c>
      <c r="C95" s="21">
        <v>293.57</v>
      </c>
      <c r="D95" s="22">
        <v>9.0644097291891403E-3</v>
      </c>
      <c r="E95" s="22">
        <v>1.62432101001522E-2</v>
      </c>
      <c r="F95" s="21">
        <v>0</v>
      </c>
      <c r="G95" s="21">
        <v>0.12</v>
      </c>
      <c r="H95" s="21">
        <v>0</v>
      </c>
      <c r="I95" s="21">
        <v>0.12</v>
      </c>
      <c r="J95" s="21">
        <v>0</v>
      </c>
      <c r="K95" s="21">
        <v>0</v>
      </c>
      <c r="L95" s="21">
        <v>218.32</v>
      </c>
      <c r="M95" s="21">
        <v>293.57</v>
      </c>
      <c r="N95" s="23">
        <v>1.3446775375595399</v>
      </c>
      <c r="O95" s="23">
        <v>1.3338063878300499</v>
      </c>
      <c r="P95" s="23">
        <v>1.32479720978277</v>
      </c>
      <c r="Q95" s="23">
        <v>1.30861444240516</v>
      </c>
      <c r="R95" s="21">
        <v>291.196610591058</v>
      </c>
      <c r="S95" s="21">
        <v>287.94467302554898</v>
      </c>
      <c r="T95" s="21">
        <v>285.42902167457999</v>
      </c>
      <c r="U95" s="22">
        <v>-8.1174348821235198E-3</v>
      </c>
      <c r="V95" s="22">
        <v>-1.9347757552383001E-2</v>
      </c>
      <c r="W95" s="22">
        <v>-2.81227240927212E-2</v>
      </c>
      <c r="X95" s="23">
        <v>1.3446775375595399</v>
      </c>
      <c r="Y95" s="23">
        <v>1.3338063878300499</v>
      </c>
      <c r="Z95" s="23">
        <v>1.32479720978277</v>
      </c>
      <c r="AA95" s="23">
        <v>1.30861444240516</v>
      </c>
      <c r="AB95" s="21">
        <v>291.196610591058</v>
      </c>
      <c r="AC95" s="21">
        <v>287.94467302554898</v>
      </c>
      <c r="AD95" s="21">
        <v>285.42902167457999</v>
      </c>
      <c r="AE95" s="22">
        <v>-8.1174348821235198E-3</v>
      </c>
      <c r="AF95" s="22">
        <v>-1.9347757552383001E-2</v>
      </c>
      <c r="AG95" s="22">
        <v>-2.81227240927212E-2</v>
      </c>
      <c r="AI95" s="5"/>
      <c r="AJ95">
        <f t="shared" si="26"/>
        <v>1</v>
      </c>
      <c r="AK95">
        <f t="shared" si="27"/>
        <v>0</v>
      </c>
      <c r="AL95">
        <f t="shared" si="34"/>
        <v>1</v>
      </c>
      <c r="AM95">
        <f t="shared" si="24"/>
        <v>1</v>
      </c>
      <c r="AN95">
        <f t="shared" si="35"/>
        <v>1</v>
      </c>
      <c r="AO95" s="16">
        <f t="shared" si="28"/>
        <v>9.0644097291891403E-3</v>
      </c>
      <c r="AP95" s="16">
        <f t="shared" si="29"/>
        <v>-1.62432101001522E-2</v>
      </c>
      <c r="AQ95" s="16">
        <f t="shared" si="36"/>
        <v>-7.1788003709630597E-3</v>
      </c>
      <c r="AR95" s="10">
        <f t="shared" si="37"/>
        <v>1.6019004639283879E-2</v>
      </c>
      <c r="AT95" s="5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16">
        <f t="shared" si="32"/>
        <v>0</v>
      </c>
      <c r="BA95" s="16">
        <f t="shared" si="33"/>
        <v>0</v>
      </c>
      <c r="BB95" s="16">
        <f t="shared" si="40"/>
        <v>0</v>
      </c>
      <c r="BC95" s="10">
        <f t="shared" si="41"/>
        <v>5.026238601451237E-2</v>
      </c>
      <c r="BE95" s="10">
        <f t="shared" si="42"/>
        <v>-7.1788003709630597E-3</v>
      </c>
      <c r="BF95" s="10">
        <f t="shared" si="43"/>
        <v>6.6281390653796249E-2</v>
      </c>
      <c r="BH95" s="10"/>
    </row>
    <row r="96" spans="1:60" x14ac:dyDescent="0.25">
      <c r="A96" s="1">
        <v>46161</v>
      </c>
      <c r="B96" s="21">
        <v>217.96</v>
      </c>
      <c r="C96" s="21">
        <v>292.37</v>
      </c>
      <c r="D96" s="22">
        <v>-1.6503166851853099E-3</v>
      </c>
      <c r="E96" s="22">
        <v>-4.0959882503719897E-3</v>
      </c>
      <c r="F96" s="21">
        <v>0</v>
      </c>
      <c r="G96" s="21">
        <v>0.12</v>
      </c>
      <c r="H96" s="21">
        <v>0</v>
      </c>
      <c r="I96" s="21">
        <v>0.12</v>
      </c>
      <c r="J96" s="21">
        <v>0</v>
      </c>
      <c r="K96" s="21">
        <v>0</v>
      </c>
      <c r="L96" s="21">
        <v>217.96</v>
      </c>
      <c r="M96" s="21">
        <v>292.37</v>
      </c>
      <c r="N96" s="23">
        <v>1.3413929161314</v>
      </c>
      <c r="O96" s="23">
        <v>1.3338063878300499</v>
      </c>
      <c r="P96" s="23">
        <v>1.32955464928488</v>
      </c>
      <c r="Q96" s="23">
        <v>1.31042804773701</v>
      </c>
      <c r="R96" s="21">
        <v>290.71644029143903</v>
      </c>
      <c r="S96" s="21">
        <v>288.75279984425299</v>
      </c>
      <c r="T96" s="21">
        <v>285.22560386663002</v>
      </c>
      <c r="U96" s="22">
        <v>-5.6717633169368403E-3</v>
      </c>
      <c r="V96" s="22">
        <v>-1.24491652134519E-2</v>
      </c>
      <c r="W96" s="22">
        <v>-2.4739663793726802E-2</v>
      </c>
      <c r="X96" s="23">
        <v>1.3413929161314</v>
      </c>
      <c r="Y96" s="23">
        <v>1.3338063878300499</v>
      </c>
      <c r="Z96" s="23">
        <v>1.32955464928488</v>
      </c>
      <c r="AA96" s="23">
        <v>1.31042804773701</v>
      </c>
      <c r="AB96" s="21">
        <v>290.71644029143903</v>
      </c>
      <c r="AC96" s="21">
        <v>288.75279984425299</v>
      </c>
      <c r="AD96" s="21">
        <v>285.22560386663002</v>
      </c>
      <c r="AE96" s="22">
        <v>-5.6717633169368403E-3</v>
      </c>
      <c r="AF96" s="22">
        <v>-1.24491652134519E-2</v>
      </c>
      <c r="AG96" s="22">
        <v>-2.4739663793726802E-2</v>
      </c>
      <c r="AI96" s="5"/>
      <c r="AJ96">
        <f t="shared" si="26"/>
        <v>1</v>
      </c>
      <c r="AK96">
        <f t="shared" si="27"/>
        <v>0</v>
      </c>
      <c r="AL96">
        <f t="shared" si="34"/>
        <v>1</v>
      </c>
      <c r="AM96">
        <f t="shared" si="24"/>
        <v>1</v>
      </c>
      <c r="AN96">
        <f t="shared" si="35"/>
        <v>1</v>
      </c>
      <c r="AO96" s="16">
        <f t="shared" si="28"/>
        <v>-1.6503166851853099E-3</v>
      </c>
      <c r="AP96" s="16">
        <f t="shared" si="29"/>
        <v>4.0959882503719897E-3</v>
      </c>
      <c r="AQ96" s="16">
        <f t="shared" si="36"/>
        <v>2.4456715651866795E-3</v>
      </c>
      <c r="AR96" s="10">
        <f t="shared" si="37"/>
        <v>1.8464676204470558E-2</v>
      </c>
      <c r="AT96" s="5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16">
        <f t="shared" si="32"/>
        <v>0</v>
      </c>
      <c r="BA96" s="16">
        <f t="shared" si="33"/>
        <v>0</v>
      </c>
      <c r="BB96" s="16">
        <f t="shared" si="40"/>
        <v>0</v>
      </c>
      <c r="BC96" s="10">
        <f t="shared" si="41"/>
        <v>5.026238601451237E-2</v>
      </c>
      <c r="BE96" s="10">
        <f t="shared" si="42"/>
        <v>2.4456715651866795E-3</v>
      </c>
      <c r="BF96" s="10">
        <f t="shared" si="43"/>
        <v>6.8727062218982934E-2</v>
      </c>
      <c r="BH96" s="10"/>
    </row>
    <row r="97" spans="1:60" x14ac:dyDescent="0.25">
      <c r="A97" s="1">
        <v>46162</v>
      </c>
      <c r="B97" s="21">
        <v>223.78</v>
      </c>
      <c r="C97" s="21">
        <v>301.49</v>
      </c>
      <c r="D97" s="22">
        <v>2.6351866664677499E-2</v>
      </c>
      <c r="E97" s="22">
        <v>3.0716724688571399E-2</v>
      </c>
      <c r="F97" s="21">
        <v>0</v>
      </c>
      <c r="G97" s="21">
        <v>0.12</v>
      </c>
      <c r="H97" s="21">
        <v>0</v>
      </c>
      <c r="I97" s="21">
        <v>0.12</v>
      </c>
      <c r="J97" s="21">
        <v>0</v>
      </c>
      <c r="K97" s="21">
        <v>0</v>
      </c>
      <c r="L97" s="21">
        <v>223.78</v>
      </c>
      <c r="M97" s="21">
        <v>301.49</v>
      </c>
      <c r="N97" s="23">
        <v>1.34726070247564</v>
      </c>
      <c r="O97" s="23">
        <v>1.3338063878300499</v>
      </c>
      <c r="P97" s="23">
        <v>1.33266741521165</v>
      </c>
      <c r="Q97" s="23">
        <v>1.3130410949153699</v>
      </c>
      <c r="R97" s="21">
        <v>298.47919346860999</v>
      </c>
      <c r="S97" s="21">
        <v>297.52773941697001</v>
      </c>
      <c r="T97" s="21">
        <v>293.24758852258799</v>
      </c>
      <c r="U97" s="22">
        <v>-1.00366213408307E-2</v>
      </c>
      <c r="V97" s="22">
        <v>-1.32293857446713E-2</v>
      </c>
      <c r="W97" s="22">
        <v>-2.7719583903438899E-2</v>
      </c>
      <c r="X97" s="23">
        <v>1.34726070247564</v>
      </c>
      <c r="Y97" s="23">
        <v>1.3338063878300499</v>
      </c>
      <c r="Z97" s="23">
        <v>1.33266741521165</v>
      </c>
      <c r="AA97" s="23">
        <v>1.3130410949153699</v>
      </c>
      <c r="AB97" s="21">
        <v>298.47919346860999</v>
      </c>
      <c r="AC97" s="21">
        <v>297.52773941697001</v>
      </c>
      <c r="AD97" s="21">
        <v>293.24758852258799</v>
      </c>
      <c r="AE97" s="22">
        <v>-1.00366213408307E-2</v>
      </c>
      <c r="AF97" s="22">
        <v>-1.32293857446713E-2</v>
      </c>
      <c r="AG97" s="22">
        <v>-2.7719583903438899E-2</v>
      </c>
      <c r="AI97" s="5"/>
      <c r="AJ97">
        <f t="shared" si="26"/>
        <v>1</v>
      </c>
      <c r="AK97">
        <f t="shared" si="27"/>
        <v>0</v>
      </c>
      <c r="AL97">
        <f t="shared" si="34"/>
        <v>1</v>
      </c>
      <c r="AM97">
        <f t="shared" si="24"/>
        <v>1</v>
      </c>
      <c r="AN97">
        <f t="shared" si="35"/>
        <v>1</v>
      </c>
      <c r="AO97" s="16">
        <f t="shared" si="28"/>
        <v>2.6351866664677499E-2</v>
      </c>
      <c r="AP97" s="16">
        <f t="shared" si="29"/>
        <v>-3.0716724688571399E-2</v>
      </c>
      <c r="AQ97" s="16">
        <f t="shared" si="36"/>
        <v>-4.3648580238939E-3</v>
      </c>
      <c r="AR97" s="10">
        <f t="shared" si="37"/>
        <v>1.4099818180576658E-2</v>
      </c>
      <c r="AT97" s="5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16">
        <f t="shared" si="32"/>
        <v>0</v>
      </c>
      <c r="BA97" s="16">
        <f t="shared" si="33"/>
        <v>0</v>
      </c>
      <c r="BB97" s="16">
        <f t="shared" si="40"/>
        <v>0</v>
      </c>
      <c r="BC97" s="10">
        <f t="shared" si="41"/>
        <v>5.026238601451237E-2</v>
      </c>
      <c r="BE97" s="10">
        <f t="shared" si="42"/>
        <v>-4.3648580238939E-3</v>
      </c>
      <c r="BF97" s="10">
        <f t="shared" si="43"/>
        <v>6.4362204195089034E-2</v>
      </c>
      <c r="BH97" s="10"/>
    </row>
    <row r="98" spans="1:60" x14ac:dyDescent="0.25">
      <c r="A98" s="1">
        <v>46163</v>
      </c>
      <c r="B98" s="21">
        <v>223.85</v>
      </c>
      <c r="C98" s="21">
        <v>301.2</v>
      </c>
      <c r="D98" s="22">
        <v>3.1275830739934399E-4</v>
      </c>
      <c r="E98" s="22">
        <v>-9.6235219559407596E-4</v>
      </c>
      <c r="F98" s="21">
        <v>0</v>
      </c>
      <c r="G98" s="21">
        <v>0.12</v>
      </c>
      <c r="H98" s="21">
        <v>0</v>
      </c>
      <c r="I98" s="21">
        <v>0.12</v>
      </c>
      <c r="J98" s="21">
        <v>0</v>
      </c>
      <c r="K98" s="21">
        <v>0</v>
      </c>
      <c r="L98" s="21">
        <v>223.85</v>
      </c>
      <c r="M98" s="21">
        <v>301.2</v>
      </c>
      <c r="N98" s="23">
        <v>1.3455438909984301</v>
      </c>
      <c r="O98" s="23">
        <v>1.3338063878300499</v>
      </c>
      <c r="P98" s="23">
        <v>1.33602078949701</v>
      </c>
      <c r="Q98" s="23">
        <v>1.3156146731509499</v>
      </c>
      <c r="R98" s="21">
        <v>298.57255991575801</v>
      </c>
      <c r="S98" s="21">
        <v>298.31760089512801</v>
      </c>
      <c r="T98" s="21">
        <v>293.92424909680699</v>
      </c>
      <c r="U98" s="22">
        <v>-8.7615108378374194E-3</v>
      </c>
      <c r="V98" s="22">
        <v>-9.6158021392399907E-3</v>
      </c>
      <c r="W98" s="22">
        <v>-2.4452417919409102E-2</v>
      </c>
      <c r="X98" s="23">
        <v>1.3455438909984301</v>
      </c>
      <c r="Y98" s="23">
        <v>1.3338063878300499</v>
      </c>
      <c r="Z98" s="23">
        <v>1.33602078949701</v>
      </c>
      <c r="AA98" s="23">
        <v>1.3156146731509499</v>
      </c>
      <c r="AB98" s="21">
        <v>298.57255991575801</v>
      </c>
      <c r="AC98" s="21">
        <v>298.31760089512801</v>
      </c>
      <c r="AD98" s="21">
        <v>293.92424909680699</v>
      </c>
      <c r="AE98" s="22">
        <v>-8.7615108378374194E-3</v>
      </c>
      <c r="AF98" s="22">
        <v>-9.6158021392399907E-3</v>
      </c>
      <c r="AG98" s="22">
        <v>-2.4452417919409102E-2</v>
      </c>
      <c r="AI98" s="5"/>
      <c r="AJ98">
        <f t="shared" si="26"/>
        <v>1</v>
      </c>
      <c r="AK98">
        <f t="shared" si="27"/>
        <v>0</v>
      </c>
      <c r="AL98">
        <f t="shared" si="34"/>
        <v>1</v>
      </c>
      <c r="AM98">
        <f t="shared" si="24"/>
        <v>1</v>
      </c>
      <c r="AN98">
        <f t="shared" si="35"/>
        <v>1</v>
      </c>
      <c r="AO98" s="16">
        <f t="shared" si="28"/>
        <v>3.1275830739934399E-4</v>
      </c>
      <c r="AP98" s="16">
        <f t="shared" si="29"/>
        <v>9.6235219559407596E-4</v>
      </c>
      <c r="AQ98" s="16">
        <f t="shared" si="36"/>
        <v>1.27511050299342E-3</v>
      </c>
      <c r="AR98" s="10">
        <f t="shared" si="37"/>
        <v>1.5374928683570079E-2</v>
      </c>
      <c r="AT98" s="5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16">
        <f t="shared" si="32"/>
        <v>0</v>
      </c>
      <c r="BA98" s="16">
        <f t="shared" si="33"/>
        <v>0</v>
      </c>
      <c r="BB98" s="16">
        <f t="shared" si="40"/>
        <v>0</v>
      </c>
      <c r="BC98" s="10">
        <f t="shared" si="41"/>
        <v>5.026238601451237E-2</v>
      </c>
      <c r="BE98" s="10">
        <f t="shared" si="42"/>
        <v>1.27511050299342E-3</v>
      </c>
      <c r="BF98" s="10">
        <f t="shared" si="43"/>
        <v>6.5637314698082455E-2</v>
      </c>
      <c r="BH98" s="10"/>
    </row>
    <row r="99" spans="1:60" x14ac:dyDescent="0.25">
      <c r="A99" s="1">
        <v>46164</v>
      </c>
      <c r="B99" s="21">
        <v>224.04</v>
      </c>
      <c r="C99" s="21">
        <v>301.04000000000002</v>
      </c>
      <c r="D99" s="22">
        <v>8.4842265465706298E-4</v>
      </c>
      <c r="E99" s="22">
        <v>-5.3134964055656295E-4</v>
      </c>
      <c r="F99" s="21">
        <v>0</v>
      </c>
      <c r="G99" s="21">
        <v>0.12</v>
      </c>
      <c r="H99" s="21">
        <v>0</v>
      </c>
      <c r="I99" s="21">
        <v>0.12</v>
      </c>
      <c r="J99" s="21">
        <v>0</v>
      </c>
      <c r="K99" s="21">
        <v>0</v>
      </c>
      <c r="L99" s="21">
        <v>224.04</v>
      </c>
      <c r="M99" s="21">
        <v>301.04000000000002</v>
      </c>
      <c r="N99" s="23">
        <v>1.3436886270308801</v>
      </c>
      <c r="O99" s="23">
        <v>1.3338063878300499</v>
      </c>
      <c r="P99" s="23">
        <v>1.33840986515805</v>
      </c>
      <c r="Q99" s="23">
        <v>1.3180357981497799</v>
      </c>
      <c r="R99" s="21">
        <v>298.825983129446</v>
      </c>
      <c r="S99" s="21">
        <v>299.32209767891101</v>
      </c>
      <c r="T99" s="21">
        <v>294.75031137273999</v>
      </c>
      <c r="U99" s="22">
        <v>-7.3817385426237997E-3</v>
      </c>
      <c r="V99" s="22">
        <v>-5.7229029494075302E-3</v>
      </c>
      <c r="W99" s="22">
        <v>-2.1114550472195098E-2</v>
      </c>
      <c r="X99" s="23">
        <v>1.3436886270308801</v>
      </c>
      <c r="Y99" s="23">
        <v>1.3338063878300499</v>
      </c>
      <c r="Z99" s="23">
        <v>1.33840986515805</v>
      </c>
      <c r="AA99" s="23">
        <v>1.3180357981497799</v>
      </c>
      <c r="AB99" s="21">
        <v>298.825983129446</v>
      </c>
      <c r="AC99" s="21">
        <v>299.32209767891101</v>
      </c>
      <c r="AD99" s="21">
        <v>294.75031137273999</v>
      </c>
      <c r="AE99" s="22">
        <v>-7.3817385426237997E-3</v>
      </c>
      <c r="AF99" s="22">
        <v>-5.7229029494075302E-3</v>
      </c>
      <c r="AG99" s="22">
        <v>-2.1114550472195098E-2</v>
      </c>
      <c r="AI99" s="5"/>
      <c r="AJ99">
        <f t="shared" si="26"/>
        <v>1</v>
      </c>
      <c r="AK99">
        <f t="shared" si="27"/>
        <v>0</v>
      </c>
      <c r="AL99">
        <f t="shared" si="34"/>
        <v>1</v>
      </c>
      <c r="AM99">
        <f t="shared" si="24"/>
        <v>1</v>
      </c>
      <c r="AN99">
        <f t="shared" si="35"/>
        <v>1</v>
      </c>
      <c r="AO99" s="16">
        <f t="shared" si="28"/>
        <v>8.4842265465706298E-4</v>
      </c>
      <c r="AP99" s="16">
        <f t="shared" si="29"/>
        <v>5.3134964055656295E-4</v>
      </c>
      <c r="AQ99" s="16">
        <f t="shared" si="36"/>
        <v>1.3797722952136259E-3</v>
      </c>
      <c r="AR99" s="10">
        <f t="shared" si="37"/>
        <v>1.6754700978783704E-2</v>
      </c>
      <c r="AT99" s="5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16">
        <f t="shared" si="32"/>
        <v>0</v>
      </c>
      <c r="BA99" s="16">
        <f t="shared" si="33"/>
        <v>0</v>
      </c>
      <c r="BB99" s="16">
        <f t="shared" si="40"/>
        <v>0</v>
      </c>
      <c r="BC99" s="10">
        <f t="shared" si="41"/>
        <v>5.026238601451237E-2</v>
      </c>
      <c r="BE99" s="10">
        <f t="shared" si="42"/>
        <v>1.3797722952136259E-3</v>
      </c>
      <c r="BF99" s="10">
        <f t="shared" si="43"/>
        <v>6.7017086993296088E-2</v>
      </c>
      <c r="BH99" s="10"/>
    </row>
    <row r="100" spans="1:60" x14ac:dyDescent="0.25">
      <c r="A100" s="1">
        <v>46168</v>
      </c>
      <c r="B100" s="21">
        <v>228.89</v>
      </c>
      <c r="C100" s="21">
        <v>308.86</v>
      </c>
      <c r="D100" s="22">
        <v>2.14169314629254E-2</v>
      </c>
      <c r="E100" s="22">
        <v>2.5644953509673E-2</v>
      </c>
      <c r="F100" s="21">
        <v>0</v>
      </c>
      <c r="G100" s="21">
        <v>0.12</v>
      </c>
      <c r="H100" s="21">
        <v>0</v>
      </c>
      <c r="I100" s="21">
        <v>0.12</v>
      </c>
      <c r="J100" s="21">
        <v>0</v>
      </c>
      <c r="K100" s="21">
        <v>0</v>
      </c>
      <c r="L100" s="21">
        <v>228.89</v>
      </c>
      <c r="M100" s="21">
        <v>308.86</v>
      </c>
      <c r="N100" s="23">
        <v>1.3493817991174799</v>
      </c>
      <c r="O100" s="23">
        <v>1.3338063878300499</v>
      </c>
      <c r="P100" s="23">
        <v>1.34013883254739</v>
      </c>
      <c r="Q100" s="23">
        <v>1.3207617974088901</v>
      </c>
      <c r="R100" s="21">
        <v>305.29494411042202</v>
      </c>
      <c r="S100" s="21">
        <v>306.348634036026</v>
      </c>
      <c r="T100" s="21">
        <v>301.68521383850498</v>
      </c>
      <c r="U100" s="22">
        <v>-1.1609760589371401E-2</v>
      </c>
      <c r="V100" s="22">
        <v>-8.1643194677104101E-3</v>
      </c>
      <c r="W100" s="22">
        <v>-2.3503964315413399E-2</v>
      </c>
      <c r="X100" s="23">
        <v>1.3493817991174799</v>
      </c>
      <c r="Y100" s="23">
        <v>1.3338063878300499</v>
      </c>
      <c r="Z100" s="23">
        <v>1.34013883254739</v>
      </c>
      <c r="AA100" s="23">
        <v>1.3207617974088901</v>
      </c>
      <c r="AB100" s="21">
        <v>305.29494411042202</v>
      </c>
      <c r="AC100" s="21">
        <v>306.348634036026</v>
      </c>
      <c r="AD100" s="21">
        <v>301.68521383850498</v>
      </c>
      <c r="AE100" s="22">
        <v>-1.1609760589371401E-2</v>
      </c>
      <c r="AF100" s="22">
        <v>-8.1643194677104101E-3</v>
      </c>
      <c r="AG100" s="22">
        <v>-2.3503964315413399E-2</v>
      </c>
      <c r="AI100" s="5"/>
      <c r="AJ100">
        <f t="shared" si="26"/>
        <v>1</v>
      </c>
      <c r="AK100">
        <f t="shared" si="27"/>
        <v>0</v>
      </c>
      <c r="AL100">
        <f t="shared" si="34"/>
        <v>1</v>
      </c>
      <c r="AM100">
        <f t="shared" si="24"/>
        <v>1</v>
      </c>
      <c r="AN100">
        <f t="shared" si="35"/>
        <v>1</v>
      </c>
      <c r="AO100" s="16">
        <f t="shared" si="28"/>
        <v>2.14169314629254E-2</v>
      </c>
      <c r="AP100" s="16">
        <f t="shared" si="29"/>
        <v>-2.5644953509673E-2</v>
      </c>
      <c r="AQ100" s="16">
        <f t="shared" si="36"/>
        <v>-4.2280220467476003E-3</v>
      </c>
      <c r="AR100" s="10">
        <f t="shared" si="37"/>
        <v>1.2526678932036104E-2</v>
      </c>
      <c r="AT100" s="5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16">
        <f t="shared" si="32"/>
        <v>0</v>
      </c>
      <c r="BA100" s="16">
        <f t="shared" si="33"/>
        <v>0</v>
      </c>
      <c r="BB100" s="16">
        <f t="shared" si="40"/>
        <v>0</v>
      </c>
      <c r="BC100" s="10">
        <f t="shared" si="41"/>
        <v>5.026238601451237E-2</v>
      </c>
      <c r="BE100" s="10">
        <f t="shared" si="42"/>
        <v>-4.2280220467476003E-3</v>
      </c>
      <c r="BF100" s="10">
        <f t="shared" si="43"/>
        <v>6.2789064946548484E-2</v>
      </c>
      <c r="BH100" s="10"/>
    </row>
    <row r="101" spans="1:60" x14ac:dyDescent="0.25">
      <c r="A101" s="1">
        <v>46169</v>
      </c>
      <c r="B101" s="21">
        <v>229.79</v>
      </c>
      <c r="C101" s="21">
        <v>309.39999999999998</v>
      </c>
      <c r="D101" s="22">
        <v>3.9243095622880303E-3</v>
      </c>
      <c r="E101" s="22">
        <v>1.74683834411068E-3</v>
      </c>
      <c r="F101" s="21">
        <v>0</v>
      </c>
      <c r="G101" s="21">
        <v>0.12</v>
      </c>
      <c r="H101" s="21">
        <v>0</v>
      </c>
      <c r="I101" s="21">
        <v>0.12</v>
      </c>
      <c r="J101" s="21">
        <v>0</v>
      </c>
      <c r="K101" s="21">
        <v>0</v>
      </c>
      <c r="L101" s="21">
        <v>229.79</v>
      </c>
      <c r="M101" s="21">
        <v>309.39999999999998</v>
      </c>
      <c r="N101" s="23">
        <v>1.34644675573349</v>
      </c>
      <c r="O101" s="23">
        <v>1.3338063878300499</v>
      </c>
      <c r="P101" s="23">
        <v>1.3423204607385</v>
      </c>
      <c r="Q101" s="23">
        <v>1.32388600362686</v>
      </c>
      <c r="R101" s="21">
        <v>306.49536985946901</v>
      </c>
      <c r="S101" s="21">
        <v>307.950502331064</v>
      </c>
      <c r="T101" s="21">
        <v>303.49785342658902</v>
      </c>
      <c r="U101" s="22">
        <v>-9.43228937119415E-3</v>
      </c>
      <c r="V101" s="22">
        <v>-4.6958747974208603E-3</v>
      </c>
      <c r="W101" s="22">
        <v>-1.9260400393947601E-2</v>
      </c>
      <c r="X101" s="23">
        <v>1.34644675573349</v>
      </c>
      <c r="Y101" s="23">
        <v>1.3338063878300499</v>
      </c>
      <c r="Z101" s="23">
        <v>1.3423204607385</v>
      </c>
      <c r="AA101" s="23">
        <v>1.32388600362686</v>
      </c>
      <c r="AB101" s="21">
        <v>306.49536985946901</v>
      </c>
      <c r="AC101" s="21">
        <v>307.950502331064</v>
      </c>
      <c r="AD101" s="21">
        <v>303.49785342658902</v>
      </c>
      <c r="AE101" s="22">
        <v>-9.43228937119415E-3</v>
      </c>
      <c r="AF101" s="22">
        <v>-4.6958747974208603E-3</v>
      </c>
      <c r="AG101" s="22">
        <v>-1.9260400393947601E-2</v>
      </c>
      <c r="AI101" s="5"/>
      <c r="AJ101">
        <f t="shared" si="26"/>
        <v>1</v>
      </c>
      <c r="AK101">
        <f t="shared" si="27"/>
        <v>0</v>
      </c>
      <c r="AL101">
        <f t="shared" si="34"/>
        <v>1</v>
      </c>
      <c r="AM101">
        <f t="shared" si="24"/>
        <v>1</v>
      </c>
      <c r="AN101">
        <f t="shared" si="35"/>
        <v>1</v>
      </c>
      <c r="AO101" s="16">
        <f t="shared" si="28"/>
        <v>3.9243095622880303E-3</v>
      </c>
      <c r="AP101" s="16">
        <f t="shared" si="29"/>
        <v>-1.74683834411068E-3</v>
      </c>
      <c r="AQ101" s="16">
        <f t="shared" si="36"/>
        <v>2.1774712181773506E-3</v>
      </c>
      <c r="AR101" s="10">
        <f t="shared" si="37"/>
        <v>1.4704150150213455E-2</v>
      </c>
      <c r="AT101" s="5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16">
        <f t="shared" si="32"/>
        <v>0</v>
      </c>
      <c r="BA101" s="16">
        <f t="shared" si="33"/>
        <v>0</v>
      </c>
      <c r="BB101" s="16">
        <f t="shared" si="40"/>
        <v>0</v>
      </c>
      <c r="BC101" s="10">
        <f t="shared" si="41"/>
        <v>5.026238601451237E-2</v>
      </c>
      <c r="BE101" s="10">
        <f t="shared" si="42"/>
        <v>2.1774712181773506E-3</v>
      </c>
      <c r="BF101" s="10">
        <f t="shared" si="43"/>
        <v>6.4966536164725835E-2</v>
      </c>
      <c r="BH101" s="10"/>
    </row>
    <row r="102" spans="1:60" x14ac:dyDescent="0.25">
      <c r="A102" s="1">
        <v>46170</v>
      </c>
      <c r="B102" s="21">
        <v>257.36</v>
      </c>
      <c r="C102" s="21">
        <v>345.07</v>
      </c>
      <c r="D102" s="22">
        <v>0.11331003456392599</v>
      </c>
      <c r="E102" s="22">
        <v>0.109112356861991</v>
      </c>
      <c r="F102" s="21">
        <v>0</v>
      </c>
      <c r="G102" s="21">
        <v>0.12</v>
      </c>
      <c r="H102" s="21">
        <v>0</v>
      </c>
      <c r="I102" s="21">
        <v>0.12</v>
      </c>
      <c r="J102" s="21">
        <v>0</v>
      </c>
      <c r="K102" s="21">
        <v>0</v>
      </c>
      <c r="L102" s="21">
        <v>257.36</v>
      </c>
      <c r="M102" s="21">
        <v>345.07</v>
      </c>
      <c r="N102" s="23">
        <v>1.3408066521603901</v>
      </c>
      <c r="O102" s="23">
        <v>1.3338063878300499</v>
      </c>
      <c r="P102" s="23">
        <v>1.3429763431470401</v>
      </c>
      <c r="Q102" s="23">
        <v>1.32609376469275</v>
      </c>
      <c r="R102" s="21">
        <v>343.26841197194398</v>
      </c>
      <c r="S102" s="21">
        <v>345.45959377566101</v>
      </c>
      <c r="T102" s="21">
        <v>340.71530189341001</v>
      </c>
      <c r="U102" s="22">
        <v>-5.2346116692598803E-3</v>
      </c>
      <c r="V102" s="22">
        <v>1.1283913694984499E-3</v>
      </c>
      <c r="W102" s="22">
        <v>-1.27000582418949E-2</v>
      </c>
      <c r="X102" s="23">
        <v>1.3408066521603901</v>
      </c>
      <c r="Y102" s="23">
        <v>1.3338063878300499</v>
      </c>
      <c r="Z102" s="23">
        <v>1.3429763431470401</v>
      </c>
      <c r="AA102" s="23">
        <v>1.32609376469275</v>
      </c>
      <c r="AB102" s="21">
        <v>343.26841197194398</v>
      </c>
      <c r="AC102" s="21">
        <v>345.45959377566101</v>
      </c>
      <c r="AD102" s="21">
        <v>340.71530189341001</v>
      </c>
      <c r="AE102" s="22">
        <v>-5.2346116692598803E-3</v>
      </c>
      <c r="AF102" s="22">
        <v>1.1283913694984499E-3</v>
      </c>
      <c r="AG102" s="22">
        <v>-1.27000582418949E-2</v>
      </c>
      <c r="AI102" s="5"/>
      <c r="AJ102">
        <f t="shared" si="26"/>
        <v>0</v>
      </c>
      <c r="AK102">
        <f t="shared" si="27"/>
        <v>0</v>
      </c>
      <c r="AL102">
        <f t="shared" si="34"/>
        <v>1</v>
      </c>
      <c r="AM102">
        <f t="shared" si="24"/>
        <v>1</v>
      </c>
      <c r="AN102">
        <f t="shared" si="35"/>
        <v>1</v>
      </c>
      <c r="AO102" s="16">
        <f t="shared" si="28"/>
        <v>0.11331003456392599</v>
      </c>
      <c r="AP102" s="16">
        <f t="shared" si="29"/>
        <v>-0.109112356861991</v>
      </c>
      <c r="AQ102" s="16">
        <f t="shared" si="36"/>
        <v>4.1976777019349931E-3</v>
      </c>
      <c r="AR102" s="10">
        <f t="shared" si="37"/>
        <v>1.8901827852148449E-2</v>
      </c>
      <c r="AT102" s="5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16">
        <f t="shared" si="32"/>
        <v>0</v>
      </c>
      <c r="BA102" s="16">
        <f t="shared" si="33"/>
        <v>0</v>
      </c>
      <c r="BB102" s="16">
        <f t="shared" si="40"/>
        <v>0</v>
      </c>
      <c r="BC102" s="10">
        <f t="shared" si="41"/>
        <v>5.026238601451237E-2</v>
      </c>
      <c r="BE102" s="10">
        <f t="shared" si="42"/>
        <v>4.1976777019349931E-3</v>
      </c>
      <c r="BF102" s="10">
        <f t="shared" si="43"/>
        <v>6.9164213866660829E-2</v>
      </c>
      <c r="BH102" s="10"/>
    </row>
    <row r="103" spans="1:60" x14ac:dyDescent="0.25">
      <c r="A103" s="1">
        <v>46171</v>
      </c>
      <c r="B103" s="21">
        <v>259.81</v>
      </c>
      <c r="C103" s="21">
        <v>348.18</v>
      </c>
      <c r="D103" s="22">
        <v>9.4747117119992393E-3</v>
      </c>
      <c r="E103" s="22">
        <v>8.9722924296146197E-3</v>
      </c>
      <c r="F103" s="21">
        <v>0</v>
      </c>
      <c r="G103" s="21">
        <v>0.12</v>
      </c>
      <c r="H103" s="21">
        <v>0</v>
      </c>
      <c r="I103" s="21">
        <v>0.12</v>
      </c>
      <c r="J103" s="21">
        <v>0</v>
      </c>
      <c r="K103" s="21">
        <v>0</v>
      </c>
      <c r="L103" s="21">
        <v>259.81</v>
      </c>
      <c r="M103" s="21">
        <v>348.18</v>
      </c>
      <c r="N103" s="23">
        <v>1.3401331742427101</v>
      </c>
      <c r="O103" s="23">
        <v>1.3338063878300499</v>
      </c>
      <c r="P103" s="23">
        <v>1.34343909877356</v>
      </c>
      <c r="Q103" s="23">
        <v>1.3285324394799001</v>
      </c>
      <c r="R103" s="21">
        <v>346.53623762212698</v>
      </c>
      <c r="S103" s="21">
        <v>348.918683713034</v>
      </c>
      <c r="T103" s="21">
        <v>344.53242100482402</v>
      </c>
      <c r="U103" s="22">
        <v>-4.7321923868751696E-3</v>
      </c>
      <c r="V103" s="22">
        <v>2.1193096666920199E-3</v>
      </c>
      <c r="W103" s="22">
        <v>-1.05313910861625E-2</v>
      </c>
      <c r="X103" s="23">
        <v>1.3401331742427101</v>
      </c>
      <c r="Y103" s="23">
        <v>1.3338063878300499</v>
      </c>
      <c r="Z103" s="23">
        <v>1.34343909877356</v>
      </c>
      <c r="AA103" s="23">
        <v>1.3285324394799001</v>
      </c>
      <c r="AB103" s="21">
        <v>346.53623762212698</v>
      </c>
      <c r="AC103" s="21">
        <v>348.918683713034</v>
      </c>
      <c r="AD103" s="21">
        <v>344.53242100482402</v>
      </c>
      <c r="AE103" s="22">
        <v>-4.7321923868751696E-3</v>
      </c>
      <c r="AF103" s="22">
        <v>2.1193096666920199E-3</v>
      </c>
      <c r="AG103" s="22">
        <v>-1.05313910861625E-2</v>
      </c>
      <c r="AI103" s="5"/>
      <c r="AJ103">
        <f t="shared" si="26"/>
        <v>0</v>
      </c>
      <c r="AK103">
        <f t="shared" si="27"/>
        <v>0</v>
      </c>
      <c r="AL103">
        <f t="shared" si="34"/>
        <v>1</v>
      </c>
      <c r="AM103">
        <f t="shared" si="24"/>
        <v>1</v>
      </c>
      <c r="AN103">
        <f t="shared" si="35"/>
        <v>1</v>
      </c>
      <c r="AO103" s="16">
        <f t="shared" si="28"/>
        <v>9.4747117119992393E-3</v>
      </c>
      <c r="AP103" s="16">
        <f t="shared" si="29"/>
        <v>-8.9722924296146197E-3</v>
      </c>
      <c r="AQ103" s="16">
        <f t="shared" si="36"/>
        <v>5.0241928238461964E-4</v>
      </c>
      <c r="AR103" s="10">
        <f t="shared" si="37"/>
        <v>1.9404247134533068E-2</v>
      </c>
      <c r="AT103" s="5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16">
        <f t="shared" si="32"/>
        <v>0</v>
      </c>
      <c r="BA103" s="16">
        <f t="shared" si="33"/>
        <v>0</v>
      </c>
      <c r="BB103" s="16">
        <f t="shared" si="40"/>
        <v>0</v>
      </c>
      <c r="BC103" s="10">
        <f t="shared" si="41"/>
        <v>5.026238601451237E-2</v>
      </c>
      <c r="BE103" s="10">
        <f t="shared" si="42"/>
        <v>5.0241928238461964E-4</v>
      </c>
      <c r="BF103" s="10">
        <f t="shared" si="43"/>
        <v>6.9666633149045448E-2</v>
      </c>
      <c r="BH103" s="10"/>
    </row>
    <row r="104" spans="1:60" x14ac:dyDescent="0.25">
      <c r="A104" s="1">
        <v>46174</v>
      </c>
      <c r="B104" s="21">
        <v>245.93</v>
      </c>
      <c r="C104" s="21">
        <v>333.25</v>
      </c>
      <c r="D104" s="22">
        <v>-5.4903652048778499E-2</v>
      </c>
      <c r="E104" s="22">
        <v>-4.3826628371753898E-2</v>
      </c>
      <c r="F104" s="21">
        <v>0</v>
      </c>
      <c r="G104" s="21">
        <v>0.12</v>
      </c>
      <c r="H104" s="21">
        <v>0</v>
      </c>
      <c r="I104" s="21">
        <v>0.12</v>
      </c>
      <c r="J104" s="21">
        <v>0</v>
      </c>
      <c r="K104" s="21">
        <v>0</v>
      </c>
      <c r="L104" s="21">
        <v>245.93</v>
      </c>
      <c r="M104" s="21">
        <v>333.25</v>
      </c>
      <c r="N104" s="23">
        <v>1.3550603830358201</v>
      </c>
      <c r="O104" s="23">
        <v>1.3338063878300499</v>
      </c>
      <c r="P104" s="23">
        <v>1.34543924384858</v>
      </c>
      <c r="Q104" s="23">
        <v>1.3321751757570801</v>
      </c>
      <c r="R104" s="21">
        <v>328.02300495904598</v>
      </c>
      <c r="S104" s="21">
        <v>330.39197756138202</v>
      </c>
      <c r="T104" s="21">
        <v>326.72598284129299</v>
      </c>
      <c r="U104" s="22">
        <v>-1.5809216063899699E-2</v>
      </c>
      <c r="V104" s="22">
        <v>-8.6131986953334495E-3</v>
      </c>
      <c r="W104" s="22">
        <v>-1.9771112419576999E-2</v>
      </c>
      <c r="X104" s="23">
        <v>1.3550603830358201</v>
      </c>
      <c r="Y104" s="23">
        <v>1.3338063878300499</v>
      </c>
      <c r="Z104" s="23">
        <v>1.34543924384858</v>
      </c>
      <c r="AA104" s="23">
        <v>1.3321751757570801</v>
      </c>
      <c r="AB104" s="21">
        <v>328.02300495904598</v>
      </c>
      <c r="AC104" s="21">
        <v>330.39197756138202</v>
      </c>
      <c r="AD104" s="21">
        <v>326.72598284129299</v>
      </c>
      <c r="AE104" s="22">
        <v>-1.5809216063899699E-2</v>
      </c>
      <c r="AF104" s="22">
        <v>-8.6131986953334495E-3</v>
      </c>
      <c r="AG104" s="22">
        <v>-1.9771112419576999E-2</v>
      </c>
      <c r="AI104" s="5"/>
      <c r="AJ104">
        <f t="shared" si="26"/>
        <v>1</v>
      </c>
      <c r="AK104">
        <f t="shared" si="27"/>
        <v>0</v>
      </c>
      <c r="AL104">
        <f t="shared" si="34"/>
        <v>1</v>
      </c>
      <c r="AM104">
        <f t="shared" si="24"/>
        <v>1</v>
      </c>
      <c r="AN104">
        <f t="shared" si="35"/>
        <v>1</v>
      </c>
      <c r="AO104" s="16">
        <f t="shared" si="28"/>
        <v>-5.4903652048778499E-2</v>
      </c>
      <c r="AP104" s="16">
        <f t="shared" si="29"/>
        <v>4.3826628371753898E-2</v>
      </c>
      <c r="AQ104" s="16">
        <f t="shared" si="36"/>
        <v>-1.1077023677024601E-2</v>
      </c>
      <c r="AR104" s="10">
        <f t="shared" si="37"/>
        <v>8.3272234575084668E-3</v>
      </c>
      <c r="AT104" s="5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16">
        <f t="shared" si="32"/>
        <v>0</v>
      </c>
      <c r="BA104" s="16">
        <f t="shared" si="33"/>
        <v>0</v>
      </c>
      <c r="BB104" s="16">
        <f t="shared" si="40"/>
        <v>0</v>
      </c>
      <c r="BC104" s="10">
        <f t="shared" si="41"/>
        <v>5.026238601451237E-2</v>
      </c>
      <c r="BE104" s="10">
        <f t="shared" si="42"/>
        <v>-1.1077023677024601E-2</v>
      </c>
      <c r="BF104" s="10">
        <f t="shared" si="43"/>
        <v>5.8589609472020847E-2</v>
      </c>
      <c r="BH104" s="10"/>
    </row>
    <row r="105" spans="1:60" x14ac:dyDescent="0.25">
      <c r="A105" s="1">
        <v>46175</v>
      </c>
      <c r="B105" s="21">
        <v>244.77</v>
      </c>
      <c r="C105" s="21">
        <v>332.14</v>
      </c>
      <c r="D105" s="22">
        <v>-4.7279484851730598E-3</v>
      </c>
      <c r="E105" s="22">
        <v>-3.3363922802111001E-3</v>
      </c>
      <c r="F105" s="21">
        <v>0</v>
      </c>
      <c r="G105" s="21">
        <v>0.12</v>
      </c>
      <c r="H105" s="21">
        <v>0</v>
      </c>
      <c r="I105" s="21">
        <v>0.12</v>
      </c>
      <c r="J105" s="21">
        <v>0</v>
      </c>
      <c r="K105" s="21">
        <v>0</v>
      </c>
      <c r="L105" s="21">
        <v>244.77</v>
      </c>
      <c r="M105" s="21">
        <v>332.14</v>
      </c>
      <c r="N105" s="23">
        <v>1.3569473383176001</v>
      </c>
      <c r="O105" s="23">
        <v>1.3338063878300499</v>
      </c>
      <c r="P105" s="23">
        <v>1.3466662239243801</v>
      </c>
      <c r="Q105" s="23">
        <v>1.3357317168535801</v>
      </c>
      <c r="R105" s="21">
        <v>326.47578954916298</v>
      </c>
      <c r="S105" s="21">
        <v>329.32316371681702</v>
      </c>
      <c r="T105" s="21">
        <v>326.07651777005998</v>
      </c>
      <c r="U105" s="22">
        <v>-1.7200772268861901E-2</v>
      </c>
      <c r="V105" s="22">
        <v>-8.5170375780029492E-3</v>
      </c>
      <c r="W105" s="22">
        <v>-1.8424495867569401E-2</v>
      </c>
      <c r="X105" s="23">
        <v>1.3569473383176001</v>
      </c>
      <c r="Y105" s="23">
        <v>1.3338063878300499</v>
      </c>
      <c r="Z105" s="23">
        <v>1.3466662239243801</v>
      </c>
      <c r="AA105" s="23">
        <v>1.3357317168535801</v>
      </c>
      <c r="AB105" s="21">
        <v>326.47578954916298</v>
      </c>
      <c r="AC105" s="21">
        <v>329.32316371681702</v>
      </c>
      <c r="AD105" s="21">
        <v>326.07651777005998</v>
      </c>
      <c r="AE105" s="22">
        <v>-1.7200772268861901E-2</v>
      </c>
      <c r="AF105" s="22">
        <v>-8.5170375780029492E-3</v>
      </c>
      <c r="AG105" s="22">
        <v>-1.8424495867569401E-2</v>
      </c>
      <c r="AI105" s="5"/>
      <c r="AJ105">
        <f t="shared" si="26"/>
        <v>1</v>
      </c>
      <c r="AK105">
        <f t="shared" si="27"/>
        <v>0</v>
      </c>
      <c r="AL105">
        <f t="shared" si="34"/>
        <v>1</v>
      </c>
      <c r="AM105">
        <f t="shared" si="24"/>
        <v>1</v>
      </c>
      <c r="AN105">
        <f t="shared" si="35"/>
        <v>1</v>
      </c>
      <c r="AO105" s="16">
        <f t="shared" si="28"/>
        <v>-4.7279484851730598E-3</v>
      </c>
      <c r="AP105" s="16">
        <f t="shared" si="29"/>
        <v>3.3363922802111001E-3</v>
      </c>
      <c r="AQ105" s="16">
        <f t="shared" si="36"/>
        <v>-1.3915562049619597E-3</v>
      </c>
      <c r="AR105" s="10">
        <f t="shared" si="37"/>
        <v>6.9356672525465075E-3</v>
      </c>
      <c r="AT105" s="5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16">
        <f t="shared" si="32"/>
        <v>0</v>
      </c>
      <c r="BA105" s="16">
        <f t="shared" si="33"/>
        <v>0</v>
      </c>
      <c r="BB105" s="16">
        <f t="shared" si="40"/>
        <v>0</v>
      </c>
      <c r="BC105" s="10">
        <f t="shared" si="41"/>
        <v>5.026238601451237E-2</v>
      </c>
      <c r="BE105" s="10">
        <f t="shared" si="42"/>
        <v>-1.3915562049619597E-3</v>
      </c>
      <c r="BF105" s="10">
        <f t="shared" si="43"/>
        <v>5.7198053267058888E-2</v>
      </c>
      <c r="BH105" s="10"/>
    </row>
    <row r="106" spans="1:60" x14ac:dyDescent="0.25">
      <c r="A106" s="1">
        <v>46176</v>
      </c>
      <c r="B106" s="21">
        <v>242.26</v>
      </c>
      <c r="C106" s="21">
        <v>329.11</v>
      </c>
      <c r="D106" s="22">
        <v>-1.03074645201624E-2</v>
      </c>
      <c r="E106" s="22">
        <v>-9.1645253900128794E-3</v>
      </c>
      <c r="F106" s="21">
        <v>0</v>
      </c>
      <c r="G106" s="21">
        <v>0.12</v>
      </c>
      <c r="H106" s="21">
        <v>0</v>
      </c>
      <c r="I106" s="21">
        <v>0.12</v>
      </c>
      <c r="J106" s="21">
        <v>0</v>
      </c>
      <c r="K106" s="21">
        <v>0</v>
      </c>
      <c r="L106" s="21">
        <v>242.26</v>
      </c>
      <c r="M106" s="21">
        <v>329.11</v>
      </c>
      <c r="N106" s="23">
        <v>1.3584991331627101</v>
      </c>
      <c r="O106" s="23">
        <v>1.3338063878300499</v>
      </c>
      <c r="P106" s="23">
        <v>1.34837684562752</v>
      </c>
      <c r="Q106" s="23">
        <v>1.3389657474562</v>
      </c>
      <c r="R106" s="21">
        <v>323.12793551571002</v>
      </c>
      <c r="S106" s="21">
        <v>326.24335940792201</v>
      </c>
      <c r="T106" s="21">
        <v>323.59436572494798</v>
      </c>
      <c r="U106" s="22">
        <v>-1.8343711399011399E-2</v>
      </c>
      <c r="V106" s="22">
        <v>-8.7484372640613105E-3</v>
      </c>
      <c r="W106" s="22">
        <v>-1.6901267588996498E-2</v>
      </c>
      <c r="X106" s="23">
        <v>1.3584991331627101</v>
      </c>
      <c r="Y106" s="23">
        <v>1.3338063878300499</v>
      </c>
      <c r="Z106" s="23">
        <v>1.34837684562752</v>
      </c>
      <c r="AA106" s="23">
        <v>1.3389657474562</v>
      </c>
      <c r="AB106" s="21">
        <v>323.12793551571002</v>
      </c>
      <c r="AC106" s="21">
        <v>326.24335940792201</v>
      </c>
      <c r="AD106" s="21">
        <v>323.59436572494798</v>
      </c>
      <c r="AE106" s="22">
        <v>-1.8343711399011399E-2</v>
      </c>
      <c r="AF106" s="22">
        <v>-8.7484372640613105E-3</v>
      </c>
      <c r="AG106" s="22">
        <v>-1.6901267588996498E-2</v>
      </c>
      <c r="AI106" s="5"/>
      <c r="AJ106">
        <f t="shared" si="26"/>
        <v>1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16">
        <f t="shared" si="28"/>
        <v>-1.03074645201624E-2</v>
      </c>
      <c r="AP106" s="16">
        <f t="shared" si="29"/>
        <v>9.1645253900128794E-3</v>
      </c>
      <c r="AQ106" s="16">
        <f t="shared" si="36"/>
        <v>-1.1429391301495204E-3</v>
      </c>
      <c r="AR106" s="10">
        <f t="shared" si="37"/>
        <v>5.7927281223969871E-3</v>
      </c>
      <c r="AT106" s="5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16">
        <f t="shared" si="32"/>
        <v>0</v>
      </c>
      <c r="BA106" s="16">
        <f t="shared" si="33"/>
        <v>0</v>
      </c>
      <c r="BB106" s="16">
        <f t="shared" si="40"/>
        <v>0</v>
      </c>
      <c r="BC106" s="10">
        <f t="shared" si="41"/>
        <v>5.026238601451237E-2</v>
      </c>
      <c r="BE106" s="10">
        <f t="shared" si="42"/>
        <v>-1.1429391301495204E-3</v>
      </c>
      <c r="BF106" s="10">
        <f t="shared" si="43"/>
        <v>5.6055114136909369E-2</v>
      </c>
      <c r="BH106" s="10"/>
    </row>
    <row r="107" spans="1:60" x14ac:dyDescent="0.25">
      <c r="A107" s="1">
        <v>46177</v>
      </c>
      <c r="B107" s="21">
        <v>246.3</v>
      </c>
      <c r="C107" s="21">
        <v>332.97</v>
      </c>
      <c r="D107" s="22">
        <v>1.6538775537836201E-2</v>
      </c>
      <c r="E107" s="22">
        <v>1.16603544434037E-2</v>
      </c>
      <c r="F107" s="21">
        <v>0</v>
      </c>
      <c r="G107" s="21">
        <v>0.12</v>
      </c>
      <c r="H107" s="21">
        <v>0</v>
      </c>
      <c r="I107" s="21">
        <v>0.12</v>
      </c>
      <c r="J107" s="21">
        <v>0</v>
      </c>
      <c r="K107" s="21">
        <v>0</v>
      </c>
      <c r="L107" s="21">
        <v>246.3</v>
      </c>
      <c r="M107" s="21">
        <v>332.97</v>
      </c>
      <c r="N107" s="23">
        <v>1.35188794153471</v>
      </c>
      <c r="O107" s="23">
        <v>1.3338063878300499</v>
      </c>
      <c r="P107" s="23">
        <v>1.3488395695334201</v>
      </c>
      <c r="Q107" s="23">
        <v>1.3407534923725299</v>
      </c>
      <c r="R107" s="21">
        <v>328.51651332254301</v>
      </c>
      <c r="S107" s="21">
        <v>332.10521707805799</v>
      </c>
      <c r="T107" s="21">
        <v>329.787263598462</v>
      </c>
      <c r="U107" s="22">
        <v>-1.3465290304579099E-2</v>
      </c>
      <c r="V107" s="22">
        <v>-2.6005582138851498E-3</v>
      </c>
      <c r="W107" s="22">
        <v>-9.6046050135785103E-3</v>
      </c>
      <c r="X107" s="23">
        <v>1.35188794153471</v>
      </c>
      <c r="Y107" s="23">
        <v>1.3338063878300499</v>
      </c>
      <c r="Z107" s="23">
        <v>1.3488395695334201</v>
      </c>
      <c r="AA107" s="23">
        <v>1.3407534923725299</v>
      </c>
      <c r="AB107" s="21">
        <v>328.51651332254301</v>
      </c>
      <c r="AC107" s="21">
        <v>332.10521707805799</v>
      </c>
      <c r="AD107" s="21">
        <v>329.787263598462</v>
      </c>
      <c r="AE107" s="22">
        <v>-1.3465290304579099E-2</v>
      </c>
      <c r="AF107" s="22">
        <v>-2.6005582138851498E-3</v>
      </c>
      <c r="AG107" s="22">
        <v>-9.6046050135785103E-3</v>
      </c>
      <c r="AI107" s="5"/>
      <c r="AJ107">
        <f t="shared" si="26"/>
        <v>0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16">
        <f t="shared" si="28"/>
        <v>1.6538775537836201E-2</v>
      </c>
      <c r="AP107" s="16">
        <f t="shared" si="29"/>
        <v>-1.16603544434037E-2</v>
      </c>
      <c r="AQ107" s="16">
        <f t="shared" si="36"/>
        <v>4.8784210944325009E-3</v>
      </c>
      <c r="AR107" s="10">
        <f t="shared" si="37"/>
        <v>1.0671149216829488E-2</v>
      </c>
      <c r="AT107" s="5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16">
        <f t="shared" si="32"/>
        <v>0</v>
      </c>
      <c r="BA107" s="16">
        <f t="shared" si="33"/>
        <v>0</v>
      </c>
      <c r="BB107" s="16">
        <f t="shared" si="40"/>
        <v>0</v>
      </c>
      <c r="BC107" s="10">
        <f t="shared" si="41"/>
        <v>5.026238601451237E-2</v>
      </c>
      <c r="BE107" s="10">
        <f t="shared" si="42"/>
        <v>4.8784210944325009E-3</v>
      </c>
      <c r="BF107" s="10">
        <f t="shared" si="43"/>
        <v>6.0933535231341873E-2</v>
      </c>
      <c r="BH107" s="10"/>
    </row>
    <row r="108" spans="1:60" x14ac:dyDescent="0.25">
      <c r="A108" s="1">
        <v>46178</v>
      </c>
      <c r="B108" s="21">
        <v>243.5</v>
      </c>
      <c r="C108" s="21">
        <v>331.43</v>
      </c>
      <c r="D108" s="22">
        <v>-1.1433362603847801E-2</v>
      </c>
      <c r="E108" s="22">
        <v>-4.6357698914174699E-3</v>
      </c>
      <c r="F108" s="21">
        <v>0</v>
      </c>
      <c r="G108" s="21">
        <v>0.12</v>
      </c>
      <c r="H108" s="21">
        <v>0</v>
      </c>
      <c r="I108" s="21">
        <v>0.12</v>
      </c>
      <c r="J108" s="21">
        <v>0</v>
      </c>
      <c r="K108" s="21">
        <v>0</v>
      </c>
      <c r="L108" s="21">
        <v>243.5</v>
      </c>
      <c r="M108" s="21">
        <v>331.43</v>
      </c>
      <c r="N108" s="23">
        <v>1.3611088295687801</v>
      </c>
      <c r="O108" s="23">
        <v>1.3338063878300499</v>
      </c>
      <c r="P108" s="23">
        <v>1.3503960633904599</v>
      </c>
      <c r="Q108" s="23">
        <v>1.3432084264437301</v>
      </c>
      <c r="R108" s="21">
        <v>324.78185543661903</v>
      </c>
      <c r="S108" s="21">
        <v>328.44243518138899</v>
      </c>
      <c r="T108" s="21">
        <v>326.473475392713</v>
      </c>
      <c r="U108" s="22">
        <v>-2.0262883017009299E-2</v>
      </c>
      <c r="V108" s="22">
        <v>-9.0550387401037002E-3</v>
      </c>
      <c r="W108" s="22">
        <v>-1.50679197501723E-2</v>
      </c>
      <c r="X108" s="23">
        <v>1.3611088295687801</v>
      </c>
      <c r="Y108" s="23">
        <v>1.3338063878300499</v>
      </c>
      <c r="Z108" s="23">
        <v>1.3503960633904599</v>
      </c>
      <c r="AA108" s="23">
        <v>1.3432084264437301</v>
      </c>
      <c r="AB108" s="21">
        <v>324.78185543661903</v>
      </c>
      <c r="AC108" s="21">
        <v>328.44243518138899</v>
      </c>
      <c r="AD108" s="21">
        <v>326.473475392713</v>
      </c>
      <c r="AE108" s="22">
        <v>-2.0262883017009299E-2</v>
      </c>
      <c r="AF108" s="22">
        <v>-9.0550387401037002E-3</v>
      </c>
      <c r="AG108" s="22">
        <v>-1.50679197501723E-2</v>
      </c>
      <c r="AI108" s="5"/>
      <c r="AJ108">
        <f t="shared" si="26"/>
        <v>1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16">
        <f t="shared" si="28"/>
        <v>-1.1433362603847801E-2</v>
      </c>
      <c r="AP108" s="16">
        <f t="shared" si="29"/>
        <v>4.6357698914174699E-3</v>
      </c>
      <c r="AQ108" s="16">
        <f t="shared" si="36"/>
        <v>-6.7975927124303307E-3</v>
      </c>
      <c r="AR108" s="10">
        <f t="shared" si="37"/>
        <v>3.8735565043991572E-3</v>
      </c>
      <c r="AT108" s="5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16">
        <f t="shared" si="32"/>
        <v>0</v>
      </c>
      <c r="BA108" s="16">
        <f t="shared" si="33"/>
        <v>0</v>
      </c>
      <c r="BB108" s="16">
        <f t="shared" si="40"/>
        <v>0</v>
      </c>
      <c r="BC108" s="10">
        <f t="shared" si="41"/>
        <v>5.026238601451237E-2</v>
      </c>
      <c r="BE108" s="10">
        <f t="shared" si="42"/>
        <v>-6.7975927124303307E-3</v>
      </c>
      <c r="BF108" s="10">
        <f t="shared" si="43"/>
        <v>5.4135942518911545E-2</v>
      </c>
      <c r="BH108" s="10"/>
    </row>
    <row r="109" spans="1:60" x14ac:dyDescent="0.25">
      <c r="A109" s="1">
        <v>46181</v>
      </c>
      <c r="B109" s="21">
        <v>239.5</v>
      </c>
      <c r="C109" s="21">
        <v>323.5</v>
      </c>
      <c r="D109" s="22">
        <v>-1.65635256716745E-2</v>
      </c>
      <c r="E109" s="22">
        <v>-2.4217511999625199E-2</v>
      </c>
      <c r="F109" s="21">
        <v>0</v>
      </c>
      <c r="G109" s="21">
        <v>0.12</v>
      </c>
      <c r="H109" s="21">
        <v>0</v>
      </c>
      <c r="I109" s="21">
        <v>0.12</v>
      </c>
      <c r="J109" s="21">
        <v>0</v>
      </c>
      <c r="K109" s="21">
        <v>0</v>
      </c>
      <c r="L109" s="21">
        <v>239.5</v>
      </c>
      <c r="M109" s="21">
        <v>323.5</v>
      </c>
      <c r="N109" s="23">
        <v>1.3507306889352799</v>
      </c>
      <c r="O109" s="23">
        <v>1.3338063878300499</v>
      </c>
      <c r="P109" s="23">
        <v>1.3511002695809</v>
      </c>
      <c r="Q109" s="23">
        <v>1.3447550673694699</v>
      </c>
      <c r="R109" s="21">
        <v>319.44662988529899</v>
      </c>
      <c r="S109" s="21">
        <v>323.41985718201499</v>
      </c>
      <c r="T109" s="21">
        <v>321.69841813327503</v>
      </c>
      <c r="U109" s="22">
        <v>-1.2608896689058799E-2</v>
      </c>
      <c r="V109" s="22">
        <v>-2.4776737799731501E-4</v>
      </c>
      <c r="W109" s="22">
        <v>-5.5845969188956903E-3</v>
      </c>
      <c r="X109" s="23">
        <v>1.3507306889352799</v>
      </c>
      <c r="Y109" s="23">
        <v>1.3338063878300499</v>
      </c>
      <c r="Z109" s="23">
        <v>1.3511002695809</v>
      </c>
      <c r="AA109" s="23">
        <v>1.3447550673694699</v>
      </c>
      <c r="AB109" s="21">
        <v>319.44662988529899</v>
      </c>
      <c r="AC109" s="21">
        <v>323.41985718201499</v>
      </c>
      <c r="AD109" s="21">
        <v>321.69841813327503</v>
      </c>
      <c r="AE109" s="22">
        <v>-1.2608896689058799E-2</v>
      </c>
      <c r="AF109" s="22">
        <v>-2.4776737799731501E-4</v>
      </c>
      <c r="AG109" s="22">
        <v>-5.5845969188956903E-3</v>
      </c>
      <c r="AI109" s="5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16">
        <f t="shared" si="28"/>
        <v>-1.65635256716745E-2</v>
      </c>
      <c r="AP109" s="16">
        <f t="shared" si="29"/>
        <v>2.4217511999625199E-2</v>
      </c>
      <c r="AQ109" s="16">
        <f t="shared" si="36"/>
        <v>7.6539863279506994E-3</v>
      </c>
      <c r="AR109" s="10">
        <f t="shared" si="37"/>
        <v>1.1527542832349857E-2</v>
      </c>
      <c r="AT109" s="5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16">
        <f t="shared" si="32"/>
        <v>0</v>
      </c>
      <c r="BA109" s="16">
        <f t="shared" si="33"/>
        <v>0</v>
      </c>
      <c r="BB109" s="16">
        <f t="shared" si="40"/>
        <v>0</v>
      </c>
      <c r="BC109" s="10">
        <f t="shared" si="41"/>
        <v>5.026238601451237E-2</v>
      </c>
      <c r="BE109" s="10">
        <f t="shared" si="42"/>
        <v>7.6539863279506994E-3</v>
      </c>
      <c r="BF109" s="10">
        <f t="shared" si="43"/>
        <v>6.1789928846862241E-2</v>
      </c>
      <c r="BH109" s="10"/>
    </row>
    <row r="110" spans="1:60" x14ac:dyDescent="0.25">
      <c r="A110" s="1">
        <v>46182</v>
      </c>
      <c r="B110" s="21">
        <v>241.83</v>
      </c>
      <c r="C110" s="21">
        <v>326.42</v>
      </c>
      <c r="D110" s="22">
        <v>9.6815831126493695E-3</v>
      </c>
      <c r="E110" s="22">
        <v>8.9857817815944593E-3</v>
      </c>
      <c r="F110" s="21">
        <v>0</v>
      </c>
      <c r="G110" s="21">
        <v>0.12</v>
      </c>
      <c r="H110" s="21">
        <v>0</v>
      </c>
      <c r="I110" s="21">
        <v>0.12</v>
      </c>
      <c r="J110" s="21">
        <v>0</v>
      </c>
      <c r="K110" s="21">
        <v>0</v>
      </c>
      <c r="L110" s="21">
        <v>241.83</v>
      </c>
      <c r="M110" s="21">
        <v>326.42</v>
      </c>
      <c r="N110" s="23">
        <v>1.34979117561923</v>
      </c>
      <c r="O110" s="23">
        <v>1.3338063878300499</v>
      </c>
      <c r="P110" s="23">
        <v>1.35114120723107</v>
      </c>
      <c r="Q110" s="23">
        <v>1.34564001988923</v>
      </c>
      <c r="R110" s="21">
        <v>322.55439876894297</v>
      </c>
      <c r="S110" s="21">
        <v>326.73657819274899</v>
      </c>
      <c r="T110" s="21">
        <v>325.20211794196001</v>
      </c>
      <c r="U110" s="22">
        <v>-1.1913095358003899E-2</v>
      </c>
      <c r="V110" s="22">
        <v>9.6937925180534397E-4</v>
      </c>
      <c r="W110" s="22">
        <v>-3.7380053334452302E-3</v>
      </c>
      <c r="X110" s="23">
        <v>1.34979117561923</v>
      </c>
      <c r="Y110" s="23">
        <v>1.3338063878300499</v>
      </c>
      <c r="Z110" s="23">
        <v>1.35114120723107</v>
      </c>
      <c r="AA110" s="23">
        <v>1.34564001988923</v>
      </c>
      <c r="AB110" s="21">
        <v>322.55439876894297</v>
      </c>
      <c r="AC110" s="21">
        <v>326.73657819274899</v>
      </c>
      <c r="AD110" s="21">
        <v>325.20211794196001</v>
      </c>
      <c r="AE110" s="22">
        <v>-1.1913095358003899E-2</v>
      </c>
      <c r="AF110" s="22">
        <v>9.6937925180534397E-4</v>
      </c>
      <c r="AG110" s="22">
        <v>-3.7380053334452302E-3</v>
      </c>
      <c r="AI110" s="5"/>
      <c r="AJ110">
        <f t="shared" si="26"/>
        <v>0</v>
      </c>
      <c r="AK110">
        <f t="shared" si="27"/>
        <v>1</v>
      </c>
      <c r="AL110">
        <f t="shared" si="34"/>
        <v>1</v>
      </c>
      <c r="AM110">
        <f t="shared" si="24"/>
        <v>1</v>
      </c>
      <c r="AN110">
        <f t="shared" si="35"/>
        <v>1</v>
      </c>
      <c r="AO110" s="16">
        <f t="shared" si="28"/>
        <v>9.6815831126493695E-3</v>
      </c>
      <c r="AP110" s="16">
        <f t="shared" si="29"/>
        <v>-8.9857817815944593E-3</v>
      </c>
      <c r="AQ110" s="16">
        <f t="shared" si="36"/>
        <v>6.9580133105491028E-4</v>
      </c>
      <c r="AR110" s="10">
        <f t="shared" si="37"/>
        <v>1.2223344163404768E-2</v>
      </c>
      <c r="AT110" s="5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16">
        <f t="shared" si="32"/>
        <v>0</v>
      </c>
      <c r="BA110" s="16">
        <f t="shared" si="33"/>
        <v>0</v>
      </c>
      <c r="BB110" s="16">
        <f t="shared" si="40"/>
        <v>0</v>
      </c>
      <c r="BC110" s="10">
        <f t="shared" si="41"/>
        <v>5.026238601451237E-2</v>
      </c>
      <c r="BE110" s="10">
        <f t="shared" si="42"/>
        <v>6.9580133105491028E-4</v>
      </c>
      <c r="BF110" s="10">
        <f t="shared" si="43"/>
        <v>6.248573017791715E-2</v>
      </c>
      <c r="BH110" s="10"/>
    </row>
    <row r="111" spans="1:60" x14ac:dyDescent="0.25">
      <c r="A111" s="1">
        <v>46183</v>
      </c>
      <c r="B111" s="21">
        <v>237.45</v>
      </c>
      <c r="C111" s="21">
        <v>320.88</v>
      </c>
      <c r="D111" s="22">
        <v>-1.8277924968488402E-2</v>
      </c>
      <c r="E111" s="22">
        <v>-1.7117674260752402E-2</v>
      </c>
      <c r="F111" s="21">
        <v>0</v>
      </c>
      <c r="G111" s="21">
        <v>0.12</v>
      </c>
      <c r="H111" s="21">
        <v>0</v>
      </c>
      <c r="I111" s="21">
        <v>0.12</v>
      </c>
      <c r="J111" s="21">
        <v>0</v>
      </c>
      <c r="K111" s="21">
        <v>0</v>
      </c>
      <c r="L111" s="21">
        <v>237.45</v>
      </c>
      <c r="M111" s="21">
        <v>320.88</v>
      </c>
      <c r="N111" s="23">
        <v>1.35135818066961</v>
      </c>
      <c r="O111" s="23">
        <v>1.3338063878300499</v>
      </c>
      <c r="P111" s="23">
        <v>1.35163234972468</v>
      </c>
      <c r="Q111" s="23">
        <v>1.34697640523159</v>
      </c>
      <c r="R111" s="21">
        <v>316.712326790247</v>
      </c>
      <c r="S111" s="21">
        <v>320.82847965701899</v>
      </c>
      <c r="T111" s="21">
        <v>319.52222272269802</v>
      </c>
      <c r="U111" s="22">
        <v>-1.307334606574E-2</v>
      </c>
      <c r="V111" s="22">
        <v>-1.6057242416027699E-4</v>
      </c>
      <c r="W111" s="22">
        <v>-4.2403953753901297E-3</v>
      </c>
      <c r="X111" s="23">
        <v>1.35135818066961</v>
      </c>
      <c r="Y111" s="23">
        <v>1.3338063878300499</v>
      </c>
      <c r="Z111" s="23">
        <v>1.35163234972468</v>
      </c>
      <c r="AA111" s="23">
        <v>1.34697640523159</v>
      </c>
      <c r="AB111" s="21">
        <v>316.712326790247</v>
      </c>
      <c r="AC111" s="21">
        <v>320.82847965701899</v>
      </c>
      <c r="AD111" s="21">
        <v>319.52222272269802</v>
      </c>
      <c r="AE111" s="22">
        <v>-1.307334606574E-2</v>
      </c>
      <c r="AF111" s="22">
        <v>-1.6057242416027699E-4</v>
      </c>
      <c r="AG111" s="22">
        <v>-4.2403953753901297E-3</v>
      </c>
      <c r="AI111" s="5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16">
        <f t="shared" si="28"/>
        <v>0</v>
      </c>
      <c r="AP111" s="16">
        <f t="shared" si="29"/>
        <v>0</v>
      </c>
      <c r="AQ111" s="16">
        <f t="shared" si="36"/>
        <v>0</v>
      </c>
      <c r="AR111" s="10">
        <f t="shared" si="37"/>
        <v>1.2223344163404768E-2</v>
      </c>
      <c r="AT111" s="5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16">
        <f t="shared" si="32"/>
        <v>0</v>
      </c>
      <c r="BA111" s="16">
        <f t="shared" si="33"/>
        <v>0</v>
      </c>
      <c r="BB111" s="16">
        <f t="shared" si="40"/>
        <v>0</v>
      </c>
      <c r="BC111" s="10">
        <f t="shared" si="41"/>
        <v>5.026238601451237E-2</v>
      </c>
      <c r="BE111" s="10">
        <f t="shared" si="42"/>
        <v>0</v>
      </c>
      <c r="BF111" s="10">
        <f t="shared" si="43"/>
        <v>6.248573017791715E-2</v>
      </c>
      <c r="BH111" s="10"/>
    </row>
    <row r="112" spans="1:60" x14ac:dyDescent="0.25">
      <c r="A112" s="1">
        <v>46184</v>
      </c>
      <c r="B112" s="21">
        <v>251.05</v>
      </c>
      <c r="C112" s="21">
        <v>339.22</v>
      </c>
      <c r="D112" s="22">
        <v>5.56950474855838E-2</v>
      </c>
      <c r="E112" s="22">
        <v>5.5581642981895697E-2</v>
      </c>
      <c r="F112" s="21">
        <v>0</v>
      </c>
      <c r="G112" s="21">
        <v>0.12</v>
      </c>
      <c r="H112" s="21">
        <v>0</v>
      </c>
      <c r="I112" s="21">
        <v>0.12</v>
      </c>
      <c r="J112" s="21">
        <v>0</v>
      </c>
      <c r="K112" s="21">
        <v>0</v>
      </c>
      <c r="L112" s="21">
        <v>251.05</v>
      </c>
      <c r="M112" s="21">
        <v>339.22</v>
      </c>
      <c r="N112" s="23">
        <v>1.35120493925512</v>
      </c>
      <c r="O112" s="23">
        <v>1.3338063878300499</v>
      </c>
      <c r="P112" s="23">
        <v>1.35267217843416</v>
      </c>
      <c r="Q112" s="23">
        <v>1.3478242607905999</v>
      </c>
      <c r="R112" s="21">
        <v>334.852093664736</v>
      </c>
      <c r="S112" s="21">
        <v>339.32730139838299</v>
      </c>
      <c r="T112" s="21">
        <v>338.158426533392</v>
      </c>
      <c r="U112" s="22">
        <v>-1.29599415620518E-2</v>
      </c>
      <c r="V112" s="22">
        <v>3.1626800093829E-4</v>
      </c>
      <c r="W112" s="22">
        <v>-3.1343612200181699E-3</v>
      </c>
      <c r="X112" s="23">
        <v>1.35120493925512</v>
      </c>
      <c r="Y112" s="23">
        <v>1.3338063878300499</v>
      </c>
      <c r="Z112" s="23">
        <v>1.35267217843416</v>
      </c>
      <c r="AA112" s="23">
        <v>1.3478242607905999</v>
      </c>
      <c r="AB112" s="21">
        <v>334.852093664736</v>
      </c>
      <c r="AC112" s="21">
        <v>339.32730139838299</v>
      </c>
      <c r="AD112" s="21">
        <v>338.158426533392</v>
      </c>
      <c r="AE112" s="22">
        <v>-1.29599415620518E-2</v>
      </c>
      <c r="AF112" s="22">
        <v>3.1626800093829E-4</v>
      </c>
      <c r="AG112" s="22">
        <v>-3.1343612200181699E-3</v>
      </c>
      <c r="AI112" s="5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16">
        <f t="shared" si="28"/>
        <v>0</v>
      </c>
      <c r="AP112" s="16">
        <f t="shared" si="29"/>
        <v>0</v>
      </c>
      <c r="AQ112" s="16">
        <f t="shared" si="36"/>
        <v>0</v>
      </c>
      <c r="AR112" s="10">
        <f t="shared" si="37"/>
        <v>1.2223344163404768E-2</v>
      </c>
      <c r="AT112" s="5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16">
        <f t="shared" si="32"/>
        <v>0</v>
      </c>
      <c r="BA112" s="16">
        <f t="shared" si="33"/>
        <v>0</v>
      </c>
      <c r="BB112" s="16">
        <f t="shared" si="40"/>
        <v>0</v>
      </c>
      <c r="BC112" s="10">
        <f t="shared" si="41"/>
        <v>5.026238601451237E-2</v>
      </c>
      <c r="BE112" s="10">
        <f t="shared" si="42"/>
        <v>0</v>
      </c>
      <c r="BF112" s="10">
        <f t="shared" si="43"/>
        <v>6.248573017791715E-2</v>
      </c>
      <c r="BH112" s="10"/>
    </row>
    <row r="113" spans="1:60" x14ac:dyDescent="0.25">
      <c r="A113" s="1">
        <v>46185</v>
      </c>
      <c r="B113" s="21">
        <v>247.09</v>
      </c>
      <c r="C113" s="21">
        <v>331.61</v>
      </c>
      <c r="D113" s="22">
        <v>-1.58994797506288E-2</v>
      </c>
      <c r="E113" s="22">
        <v>-2.26892848218204E-2</v>
      </c>
      <c r="F113" s="21">
        <v>0</v>
      </c>
      <c r="G113" s="21">
        <v>0.12</v>
      </c>
      <c r="H113" s="21">
        <v>0</v>
      </c>
      <c r="I113" s="21">
        <v>0.12</v>
      </c>
      <c r="J113" s="21">
        <v>0</v>
      </c>
      <c r="K113" s="21">
        <v>0</v>
      </c>
      <c r="L113" s="21">
        <v>247.09</v>
      </c>
      <c r="M113" s="21">
        <v>331.61</v>
      </c>
      <c r="N113" s="23">
        <v>1.34206159698895</v>
      </c>
      <c r="O113" s="23">
        <v>1.3338063878300499</v>
      </c>
      <c r="P113" s="23">
        <v>1.35286502070878</v>
      </c>
      <c r="Q113" s="23">
        <v>1.34815205974117</v>
      </c>
      <c r="R113" s="21">
        <v>329.57022036892897</v>
      </c>
      <c r="S113" s="21">
        <v>334.231768569297</v>
      </c>
      <c r="T113" s="21">
        <v>333.03389659875</v>
      </c>
      <c r="U113" s="22">
        <v>-6.1701364908604396E-3</v>
      </c>
      <c r="V113" s="22">
        <v>7.8750905772893998E-3</v>
      </c>
      <c r="W113" s="22">
        <v>4.2846967659984098E-3</v>
      </c>
      <c r="X113" s="23">
        <v>1.34206159698895</v>
      </c>
      <c r="Y113" s="23">
        <v>1.3338063878300499</v>
      </c>
      <c r="Z113" s="23">
        <v>1.35286502070878</v>
      </c>
      <c r="AA113" s="23">
        <v>1.34815205974117</v>
      </c>
      <c r="AB113" s="21">
        <v>329.57022036892897</v>
      </c>
      <c r="AC113" s="21">
        <v>334.231768569297</v>
      </c>
      <c r="AD113" s="21">
        <v>333.03389659875</v>
      </c>
      <c r="AE113" s="22">
        <v>-6.1701364908604396E-3</v>
      </c>
      <c r="AF113" s="22">
        <v>7.8750905772893998E-3</v>
      </c>
      <c r="AG113" s="22">
        <v>4.2846967659984098E-3</v>
      </c>
      <c r="AI113" s="5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16">
        <f t="shared" si="28"/>
        <v>0</v>
      </c>
      <c r="AP113" s="16">
        <f t="shared" si="29"/>
        <v>0</v>
      </c>
      <c r="AQ113" s="16">
        <f t="shared" si="36"/>
        <v>0</v>
      </c>
      <c r="AR113" s="10">
        <f t="shared" si="37"/>
        <v>1.2223344163404768E-2</v>
      </c>
      <c r="AT113" s="5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16">
        <f t="shared" si="32"/>
        <v>0</v>
      </c>
      <c r="BA113" s="16">
        <f t="shared" si="33"/>
        <v>0</v>
      </c>
      <c r="BB113" s="16">
        <f t="shared" si="40"/>
        <v>0</v>
      </c>
      <c r="BC113" s="10">
        <f t="shared" si="41"/>
        <v>5.026238601451237E-2</v>
      </c>
      <c r="BE113" s="10">
        <f t="shared" si="42"/>
        <v>0</v>
      </c>
      <c r="BF113" s="10">
        <f t="shared" si="43"/>
        <v>6.248573017791715E-2</v>
      </c>
      <c r="BH113" s="10"/>
    </row>
    <row r="114" spans="1:60" x14ac:dyDescent="0.25">
      <c r="A114" s="1">
        <v>46188</v>
      </c>
      <c r="B114" s="21">
        <v>248.73</v>
      </c>
      <c r="C114" s="21">
        <v>336.18</v>
      </c>
      <c r="D114" s="22">
        <v>6.6153280661513103E-3</v>
      </c>
      <c r="E114" s="22">
        <v>1.36871511833755E-2</v>
      </c>
      <c r="F114" s="21">
        <v>0</v>
      </c>
      <c r="G114" s="21">
        <v>0.12</v>
      </c>
      <c r="H114" s="21">
        <v>0</v>
      </c>
      <c r="I114" s="21">
        <v>0.12</v>
      </c>
      <c r="J114" s="21">
        <v>0</v>
      </c>
      <c r="K114" s="21">
        <v>0</v>
      </c>
      <c r="L114" s="21">
        <v>248.73</v>
      </c>
      <c r="M114" s="21">
        <v>336.18</v>
      </c>
      <c r="N114" s="23">
        <v>1.3515860571704199</v>
      </c>
      <c r="O114" s="23">
        <v>1.3338063878300499</v>
      </c>
      <c r="P114" s="23">
        <v>1.35251758812224</v>
      </c>
      <c r="Q114" s="23">
        <v>1.3489784159854099</v>
      </c>
      <c r="R114" s="21">
        <v>331.75766284497001</v>
      </c>
      <c r="S114" s="21">
        <v>336.49811660089603</v>
      </c>
      <c r="T114" s="21">
        <v>335.32586181942202</v>
      </c>
      <c r="U114" s="22">
        <v>-1.32419596080845E-2</v>
      </c>
      <c r="V114" s="22">
        <v>9.45821238302761E-4</v>
      </c>
      <c r="W114" s="22">
        <v>-2.5439499184877999E-3</v>
      </c>
      <c r="X114" s="23">
        <v>1.3515860571704199</v>
      </c>
      <c r="Y114" s="23">
        <v>1.3338063878300499</v>
      </c>
      <c r="Z114" s="23">
        <v>1.35251758812224</v>
      </c>
      <c r="AA114" s="23">
        <v>1.3489784159854099</v>
      </c>
      <c r="AB114" s="21">
        <v>331.75766284497001</v>
      </c>
      <c r="AC114" s="21">
        <v>336.49811660089603</v>
      </c>
      <c r="AD114" s="21">
        <v>335.32586181942202</v>
      </c>
      <c r="AE114" s="22">
        <v>-1.32419596080845E-2</v>
      </c>
      <c r="AF114" s="22">
        <v>9.45821238302761E-4</v>
      </c>
      <c r="AG114" s="22">
        <v>-2.5439499184877999E-3</v>
      </c>
      <c r="AI114" s="5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16">
        <f t="shared" si="28"/>
        <v>0</v>
      </c>
      <c r="AP114" s="16">
        <f t="shared" si="29"/>
        <v>0</v>
      </c>
      <c r="AQ114" s="16">
        <f t="shared" si="36"/>
        <v>0</v>
      </c>
      <c r="AR114" s="10">
        <f t="shared" si="37"/>
        <v>1.2223344163404768E-2</v>
      </c>
      <c r="AT114" s="5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16">
        <f t="shared" si="32"/>
        <v>0</v>
      </c>
      <c r="BA114" s="16">
        <f t="shared" si="33"/>
        <v>0</v>
      </c>
      <c r="BB114" s="16">
        <f t="shared" si="40"/>
        <v>0</v>
      </c>
      <c r="BC114" s="10">
        <f t="shared" si="41"/>
        <v>5.026238601451237E-2</v>
      </c>
      <c r="BE114" s="10">
        <f t="shared" si="42"/>
        <v>0</v>
      </c>
      <c r="BF114" s="10">
        <f t="shared" si="43"/>
        <v>6.248573017791715E-2</v>
      </c>
      <c r="BH114" s="10"/>
    </row>
    <row r="115" spans="1:60" x14ac:dyDescent="0.25">
      <c r="A115" s="1">
        <v>46189</v>
      </c>
      <c r="B115" s="21">
        <v>248.11</v>
      </c>
      <c r="C115" s="21">
        <v>335.53</v>
      </c>
      <c r="D115" s="22">
        <v>-2.4957745826662899E-3</v>
      </c>
      <c r="E115" s="22">
        <v>-1.93535961318907E-3</v>
      </c>
      <c r="F115" s="21">
        <v>0</v>
      </c>
      <c r="G115" s="21">
        <v>0.12</v>
      </c>
      <c r="H115" s="21">
        <v>0</v>
      </c>
      <c r="I115" s="21">
        <v>0.12</v>
      </c>
      <c r="J115" s="21">
        <v>0</v>
      </c>
      <c r="K115" s="21">
        <v>0</v>
      </c>
      <c r="L115" s="21">
        <v>248.11</v>
      </c>
      <c r="M115" s="21">
        <v>335.53</v>
      </c>
      <c r="N115" s="23">
        <v>1.35234371851195</v>
      </c>
      <c r="O115" s="23">
        <v>1.3338063878300499</v>
      </c>
      <c r="P115" s="23">
        <v>1.3520572261416799</v>
      </c>
      <c r="Q115" s="23">
        <v>1.3493617250330301</v>
      </c>
      <c r="R115" s="21">
        <v>330.93070288451599</v>
      </c>
      <c r="S115" s="21">
        <v>335.57313878900999</v>
      </c>
      <c r="T115" s="21">
        <v>334.69503479014099</v>
      </c>
      <c r="U115" s="22">
        <v>-1.38023745775619E-2</v>
      </c>
      <c r="V115" s="22">
        <v>1.28560832386386E-4</v>
      </c>
      <c r="W115" s="22">
        <v>-2.4915978916832198E-3</v>
      </c>
      <c r="X115" s="23">
        <v>1.35234371851195</v>
      </c>
      <c r="Y115" s="23">
        <v>1.3338063878300499</v>
      </c>
      <c r="Z115" s="23">
        <v>1.3520572261416799</v>
      </c>
      <c r="AA115" s="23">
        <v>1.3493617250330301</v>
      </c>
      <c r="AB115" s="21">
        <v>330.93070288451599</v>
      </c>
      <c r="AC115" s="21">
        <v>335.57313878900999</v>
      </c>
      <c r="AD115" s="21">
        <v>334.69503479014099</v>
      </c>
      <c r="AE115" s="22">
        <v>-1.38023745775619E-2</v>
      </c>
      <c r="AF115" s="22">
        <v>1.28560832386386E-4</v>
      </c>
      <c r="AG115" s="22">
        <v>-2.4915978916832198E-3</v>
      </c>
      <c r="AI115" s="5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16">
        <f t="shared" si="28"/>
        <v>0</v>
      </c>
      <c r="AP115" s="16">
        <f t="shared" si="29"/>
        <v>0</v>
      </c>
      <c r="AQ115" s="16">
        <f t="shared" si="36"/>
        <v>0</v>
      </c>
      <c r="AR115" s="10">
        <f t="shared" si="37"/>
        <v>1.2223344163404768E-2</v>
      </c>
      <c r="AT115" s="5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16">
        <f t="shared" si="32"/>
        <v>0</v>
      </c>
      <c r="BA115" s="16">
        <f t="shared" si="33"/>
        <v>0</v>
      </c>
      <c r="BB115" s="16">
        <f t="shared" si="40"/>
        <v>0</v>
      </c>
      <c r="BC115" s="10">
        <f t="shared" si="41"/>
        <v>5.026238601451237E-2</v>
      </c>
      <c r="BE115" s="10">
        <f t="shared" si="42"/>
        <v>0</v>
      </c>
      <c r="BF115" s="10">
        <f t="shared" si="43"/>
        <v>6.248573017791715E-2</v>
      </c>
      <c r="BH115" s="10"/>
    </row>
    <row r="116" spans="1:60" x14ac:dyDescent="0.25">
      <c r="A116" s="1">
        <v>46190</v>
      </c>
      <c r="B116" s="21">
        <v>248.14</v>
      </c>
      <c r="C116" s="21">
        <v>337.33</v>
      </c>
      <c r="D116" s="22">
        <v>1.20906801154736E-4</v>
      </c>
      <c r="E116" s="22">
        <v>5.3503085154955497E-3</v>
      </c>
      <c r="F116" s="21">
        <v>0</v>
      </c>
      <c r="G116" s="21">
        <v>0.12</v>
      </c>
      <c r="H116" s="21">
        <v>0</v>
      </c>
      <c r="I116" s="21">
        <v>0.12</v>
      </c>
      <c r="J116" s="21">
        <v>0</v>
      </c>
      <c r="K116" s="21">
        <v>0</v>
      </c>
      <c r="L116" s="21">
        <v>248.14</v>
      </c>
      <c r="M116" s="21">
        <v>337.33</v>
      </c>
      <c r="N116" s="23">
        <v>1.3594341903764</v>
      </c>
      <c r="O116" s="23">
        <v>1.3338063878300499</v>
      </c>
      <c r="P116" s="23">
        <v>1.3521507318630399</v>
      </c>
      <c r="Q116" s="23">
        <v>1.35026378874528</v>
      </c>
      <c r="R116" s="21">
        <v>330.97071707614998</v>
      </c>
      <c r="S116" s="21">
        <v>335.49948009479601</v>
      </c>
      <c r="T116" s="21">
        <v>334.830618449697</v>
      </c>
      <c r="U116" s="22">
        <v>-1.90317762919026E-2</v>
      </c>
      <c r="V116" s="22">
        <v>-5.4412729399497496E-3</v>
      </c>
      <c r="W116" s="22">
        <v>-7.4368923177159096E-3</v>
      </c>
      <c r="X116" s="23">
        <v>1.3594341903764</v>
      </c>
      <c r="Y116" s="23">
        <v>1.3338063878300499</v>
      </c>
      <c r="Z116" s="23">
        <v>1.3521507318630399</v>
      </c>
      <c r="AA116" s="23">
        <v>1.35026378874528</v>
      </c>
      <c r="AB116" s="21">
        <v>330.97071707614998</v>
      </c>
      <c r="AC116" s="21">
        <v>335.49948009479601</v>
      </c>
      <c r="AD116" s="21">
        <v>334.830618449697</v>
      </c>
      <c r="AE116" s="22">
        <v>-1.90317762919026E-2</v>
      </c>
      <c r="AF116" s="22">
        <v>-5.4412729399497496E-3</v>
      </c>
      <c r="AG116" s="22">
        <v>-7.4368923177159096E-3</v>
      </c>
      <c r="AI116" s="5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16">
        <f t="shared" si="28"/>
        <v>0</v>
      </c>
      <c r="AP116" s="16">
        <f t="shared" si="29"/>
        <v>0</v>
      </c>
      <c r="AQ116" s="16">
        <f t="shared" si="36"/>
        <v>0</v>
      </c>
      <c r="AR116" s="10">
        <f t="shared" si="37"/>
        <v>1.2223344163404768E-2</v>
      </c>
      <c r="AT116" s="5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16">
        <f t="shared" si="32"/>
        <v>0</v>
      </c>
      <c r="BA116" s="16">
        <f t="shared" si="33"/>
        <v>0</v>
      </c>
      <c r="BB116" s="16">
        <f t="shared" si="40"/>
        <v>0</v>
      </c>
      <c r="BC116" s="10">
        <f t="shared" si="41"/>
        <v>5.026238601451237E-2</v>
      </c>
      <c r="BE116" s="10">
        <f t="shared" si="42"/>
        <v>0</v>
      </c>
      <c r="BF116" s="10">
        <f t="shared" si="43"/>
        <v>6.248573017791715E-2</v>
      </c>
      <c r="BH116" s="10"/>
    </row>
    <row r="117" spans="1:60" x14ac:dyDescent="0.25">
      <c r="A117" s="1">
        <v>46191</v>
      </c>
      <c r="B117" s="21">
        <v>247.58</v>
      </c>
      <c r="C117" s="21">
        <v>337.1</v>
      </c>
      <c r="D117" s="22">
        <v>-2.2593409110611999E-3</v>
      </c>
      <c r="E117" s="22">
        <v>-6.8205746753948902E-4</v>
      </c>
      <c r="F117" s="21">
        <v>0</v>
      </c>
      <c r="G117" s="21">
        <v>0.12</v>
      </c>
      <c r="H117" s="21">
        <v>0</v>
      </c>
      <c r="I117" s="21">
        <v>0.12</v>
      </c>
      <c r="J117" s="21">
        <v>0</v>
      </c>
      <c r="K117" s="21">
        <v>0</v>
      </c>
      <c r="L117" s="21">
        <v>247.58</v>
      </c>
      <c r="M117" s="21">
        <v>337.1</v>
      </c>
      <c r="N117" s="23">
        <v>1.36158009532272</v>
      </c>
      <c r="O117" s="23">
        <v>1.3338063878300499</v>
      </c>
      <c r="P117" s="23">
        <v>1.35311994724185</v>
      </c>
      <c r="Q117" s="23">
        <v>1.35097975838763</v>
      </c>
      <c r="R117" s="21">
        <v>330.22378549896598</v>
      </c>
      <c r="S117" s="21">
        <v>334.76547819465299</v>
      </c>
      <c r="T117" s="21">
        <v>334.29830881755697</v>
      </c>
      <c r="U117" s="22">
        <v>-2.06090597354242E-2</v>
      </c>
      <c r="V117" s="22">
        <v>-6.94940066552542E-3</v>
      </c>
      <c r="W117" s="22">
        <v>-8.3458877033433104E-3</v>
      </c>
      <c r="X117" s="23">
        <v>1.36158009532272</v>
      </c>
      <c r="Y117" s="23">
        <v>1.3338063878300499</v>
      </c>
      <c r="Z117" s="23">
        <v>1.35311994724185</v>
      </c>
      <c r="AA117" s="23">
        <v>1.35097975838763</v>
      </c>
      <c r="AB117" s="21">
        <v>330.22378549896598</v>
      </c>
      <c r="AC117" s="21">
        <v>334.76547819465299</v>
      </c>
      <c r="AD117" s="21">
        <v>334.29830881755697</v>
      </c>
      <c r="AE117" s="22">
        <v>-2.06090597354242E-2</v>
      </c>
      <c r="AF117" s="22">
        <v>-6.94940066552542E-3</v>
      </c>
      <c r="AG117" s="22">
        <v>-8.3458877033433104E-3</v>
      </c>
      <c r="AI117" s="5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16">
        <f t="shared" si="28"/>
        <v>0</v>
      </c>
      <c r="AP117" s="16">
        <f t="shared" si="29"/>
        <v>0</v>
      </c>
      <c r="AQ117" s="16">
        <f t="shared" si="36"/>
        <v>0</v>
      </c>
      <c r="AR117" s="10">
        <f t="shared" si="37"/>
        <v>1.2223344163404768E-2</v>
      </c>
      <c r="AT117" s="5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16">
        <f t="shared" si="32"/>
        <v>0</v>
      </c>
      <c r="BA117" s="16">
        <f t="shared" si="33"/>
        <v>0</v>
      </c>
      <c r="BB117" s="16">
        <f t="shared" si="40"/>
        <v>0</v>
      </c>
      <c r="BC117" s="10">
        <f t="shared" si="41"/>
        <v>5.026238601451237E-2</v>
      </c>
      <c r="BE117" s="10">
        <f t="shared" si="42"/>
        <v>0</v>
      </c>
      <c r="BF117" s="10">
        <f t="shared" si="43"/>
        <v>6.248573017791715E-2</v>
      </c>
      <c r="BH117" s="10"/>
    </row>
    <row r="118" spans="1:60" x14ac:dyDescent="0.25">
      <c r="A118" s="1">
        <v>46195</v>
      </c>
      <c r="B118" s="21">
        <v>242.12</v>
      </c>
      <c r="C118" s="21">
        <v>331.15</v>
      </c>
      <c r="D118" s="22">
        <v>-2.2300291080177701E-2</v>
      </c>
      <c r="E118" s="22">
        <v>-1.7808177309026701E-2</v>
      </c>
      <c r="F118" s="21">
        <v>0</v>
      </c>
      <c r="G118" s="21">
        <v>0.12</v>
      </c>
      <c r="H118" s="21">
        <v>0</v>
      </c>
      <c r="I118" s="21">
        <v>0.12</v>
      </c>
      <c r="J118" s="21">
        <v>0</v>
      </c>
      <c r="K118" s="21">
        <v>0</v>
      </c>
      <c r="L118" s="21">
        <v>242.12</v>
      </c>
      <c r="M118" s="21">
        <v>331.15</v>
      </c>
      <c r="N118" s="23">
        <v>1.3677102263340399</v>
      </c>
      <c r="O118" s="23">
        <v>1.3338063878300499</v>
      </c>
      <c r="P118" s="23">
        <v>1.35378008691837</v>
      </c>
      <c r="Q118" s="23">
        <v>1.35208807515441</v>
      </c>
      <c r="R118" s="21">
        <v>322.94120262141399</v>
      </c>
      <c r="S118" s="21">
        <v>327.617401626196</v>
      </c>
      <c r="T118" s="21">
        <v>327.09921910081499</v>
      </c>
      <c r="U118" s="22">
        <v>-2.51011735065753E-2</v>
      </c>
      <c r="V118" s="22">
        <v>-1.07249758457282E-2</v>
      </c>
      <c r="W118" s="22">
        <v>-1.2307897730327999E-2</v>
      </c>
      <c r="X118" s="23">
        <v>1.3677102263340399</v>
      </c>
      <c r="Y118" s="23">
        <v>1.3338063878300499</v>
      </c>
      <c r="Z118" s="23">
        <v>1.35378008691837</v>
      </c>
      <c r="AA118" s="23">
        <v>1.35208807515441</v>
      </c>
      <c r="AB118" s="21">
        <v>322.94120262141399</v>
      </c>
      <c r="AC118" s="21">
        <v>327.617401626196</v>
      </c>
      <c r="AD118" s="21">
        <v>327.09921910081499</v>
      </c>
      <c r="AE118" s="22">
        <v>-2.51011735065753E-2</v>
      </c>
      <c r="AF118" s="22">
        <v>-1.07249758457282E-2</v>
      </c>
      <c r="AG118" s="22">
        <v>-1.2307897730327999E-2</v>
      </c>
      <c r="AI118" s="5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16">
        <f t="shared" si="28"/>
        <v>0</v>
      </c>
      <c r="AP118" s="16">
        <f t="shared" si="29"/>
        <v>0</v>
      </c>
      <c r="AQ118" s="16">
        <f t="shared" si="36"/>
        <v>0</v>
      </c>
      <c r="AR118" s="10">
        <f t="shared" si="37"/>
        <v>1.2223344163404768E-2</v>
      </c>
      <c r="AT118" s="5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16">
        <f t="shared" si="32"/>
        <v>0</v>
      </c>
      <c r="BA118" s="16">
        <f t="shared" si="33"/>
        <v>0</v>
      </c>
      <c r="BB118" s="16">
        <f t="shared" si="40"/>
        <v>0</v>
      </c>
      <c r="BC118" s="10">
        <f t="shared" si="41"/>
        <v>5.026238601451237E-2</v>
      </c>
      <c r="BE118" s="10">
        <f t="shared" si="42"/>
        <v>0</v>
      </c>
      <c r="BF118" s="10">
        <f t="shared" si="43"/>
        <v>6.248573017791715E-2</v>
      </c>
      <c r="BH118" s="10"/>
    </row>
    <row r="119" spans="1:60" x14ac:dyDescent="0.25">
      <c r="A119" s="1">
        <v>46196</v>
      </c>
      <c r="B119" s="21">
        <v>246.24</v>
      </c>
      <c r="C119" s="21">
        <v>334.17</v>
      </c>
      <c r="D119" s="22">
        <v>1.6873199067082501E-2</v>
      </c>
      <c r="E119" s="22">
        <v>9.0784005942197397E-3</v>
      </c>
      <c r="F119" s="21">
        <v>0</v>
      </c>
      <c r="G119" s="21">
        <v>0.12</v>
      </c>
      <c r="H119" s="21">
        <v>0</v>
      </c>
      <c r="I119" s="21">
        <v>0.12</v>
      </c>
      <c r="J119" s="21">
        <v>0</v>
      </c>
      <c r="K119" s="21">
        <v>0</v>
      </c>
      <c r="L119" s="21">
        <v>246.24</v>
      </c>
      <c r="M119" s="21">
        <v>334.17</v>
      </c>
      <c r="N119" s="23">
        <v>1.35709064327485</v>
      </c>
      <c r="O119" s="23">
        <v>1.3338063878300499</v>
      </c>
      <c r="P119" s="23">
        <v>1.3544160823523299</v>
      </c>
      <c r="Q119" s="23">
        <v>1.3527581759666101</v>
      </c>
      <c r="R119" s="21">
        <v>328.43648493927299</v>
      </c>
      <c r="S119" s="21">
        <v>333.35480860278</v>
      </c>
      <c r="T119" s="21">
        <v>332.93816762602398</v>
      </c>
      <c r="U119" s="22">
        <v>-1.73063750337124E-2</v>
      </c>
      <c r="V119" s="22">
        <v>-2.4424314780911302E-3</v>
      </c>
      <c r="W119" s="22">
        <v>-3.6930555906826801E-3</v>
      </c>
      <c r="X119" s="23">
        <v>1.35709064327485</v>
      </c>
      <c r="Y119" s="23">
        <v>1.3338063878300499</v>
      </c>
      <c r="Z119" s="23">
        <v>1.3544160823523299</v>
      </c>
      <c r="AA119" s="23">
        <v>1.3527581759666101</v>
      </c>
      <c r="AB119" s="21">
        <v>328.43648493927299</v>
      </c>
      <c r="AC119" s="21">
        <v>333.35480860278</v>
      </c>
      <c r="AD119" s="21">
        <v>332.93816762602398</v>
      </c>
      <c r="AE119" s="22">
        <v>-1.73063750337124E-2</v>
      </c>
      <c r="AF119" s="22">
        <v>-2.4424314780911302E-3</v>
      </c>
      <c r="AG119" s="22">
        <v>-3.6930555906826801E-3</v>
      </c>
      <c r="AI119" s="5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16">
        <f t="shared" si="28"/>
        <v>0</v>
      </c>
      <c r="AP119" s="16">
        <f t="shared" si="29"/>
        <v>0</v>
      </c>
      <c r="AQ119" s="16">
        <f t="shared" si="36"/>
        <v>0</v>
      </c>
      <c r="AR119" s="10">
        <f t="shared" si="37"/>
        <v>1.2223344163404768E-2</v>
      </c>
      <c r="AT119" s="5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16">
        <f t="shared" si="32"/>
        <v>0</v>
      </c>
      <c r="BA119" s="16">
        <f t="shared" si="33"/>
        <v>0</v>
      </c>
      <c r="BB119" s="16">
        <f t="shared" si="40"/>
        <v>0</v>
      </c>
      <c r="BC119" s="10">
        <f t="shared" si="41"/>
        <v>5.026238601451237E-2</v>
      </c>
      <c r="BE119" s="10">
        <f t="shared" si="42"/>
        <v>0</v>
      </c>
      <c r="BF119" s="10">
        <f t="shared" si="43"/>
        <v>6.248573017791715E-2</v>
      </c>
      <c r="BH119" s="10"/>
    </row>
    <row r="120" spans="1:60" x14ac:dyDescent="0.25">
      <c r="A120" s="1">
        <v>46197</v>
      </c>
      <c r="B120" s="21">
        <v>245.97</v>
      </c>
      <c r="C120" s="21">
        <v>335.3</v>
      </c>
      <c r="D120" s="22">
        <v>-1.09709281437309E-3</v>
      </c>
      <c r="E120" s="22">
        <v>3.3758079469747601E-3</v>
      </c>
      <c r="F120" s="21">
        <v>0</v>
      </c>
      <c r="G120" s="21">
        <v>0.12</v>
      </c>
      <c r="H120" s="21">
        <v>0</v>
      </c>
      <c r="I120" s="21">
        <v>0.12</v>
      </c>
      <c r="J120" s="21">
        <v>0</v>
      </c>
      <c r="K120" s="21">
        <v>0</v>
      </c>
      <c r="L120" s="21">
        <v>245.97</v>
      </c>
      <c r="M120" s="21">
        <v>335.3</v>
      </c>
      <c r="N120" s="23">
        <v>1.36317437085823</v>
      </c>
      <c r="O120" s="23">
        <v>1.3338063878300499</v>
      </c>
      <c r="P120" s="23">
        <v>1.35575440187623</v>
      </c>
      <c r="Q120" s="23">
        <v>1.35344780455365</v>
      </c>
      <c r="R120" s="21">
        <v>328.07635721455898</v>
      </c>
      <c r="S120" s="21">
        <v>333.145723776203</v>
      </c>
      <c r="T120" s="21">
        <v>332.73792854250797</v>
      </c>
      <c r="U120" s="22">
        <v>-2.1779275795060199E-2</v>
      </c>
      <c r="V120" s="22">
        <v>-6.4456502770571401E-3</v>
      </c>
      <c r="W120" s="22">
        <v>-7.6704747137452999E-3</v>
      </c>
      <c r="X120" s="23">
        <v>1.36317437085823</v>
      </c>
      <c r="Y120" s="23">
        <v>1.3338063878300499</v>
      </c>
      <c r="Z120" s="23">
        <v>1.35575440187623</v>
      </c>
      <c r="AA120" s="23">
        <v>1.35344780455365</v>
      </c>
      <c r="AB120" s="21">
        <v>328.07635721455898</v>
      </c>
      <c r="AC120" s="21">
        <v>333.145723776203</v>
      </c>
      <c r="AD120" s="21">
        <v>332.73792854250797</v>
      </c>
      <c r="AE120" s="22">
        <v>-2.1779275795060199E-2</v>
      </c>
      <c r="AF120" s="22">
        <v>-6.4456502770571401E-3</v>
      </c>
      <c r="AG120" s="22">
        <v>-7.6704747137452999E-3</v>
      </c>
      <c r="AI120" s="5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16">
        <f t="shared" si="28"/>
        <v>0</v>
      </c>
      <c r="AP120" s="16">
        <f t="shared" si="29"/>
        <v>0</v>
      </c>
      <c r="AQ120" s="16">
        <f t="shared" si="36"/>
        <v>0</v>
      </c>
      <c r="AR120" s="10">
        <f t="shared" si="37"/>
        <v>1.2223344163404768E-2</v>
      </c>
      <c r="AT120" s="5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16">
        <f t="shared" si="32"/>
        <v>0</v>
      </c>
      <c r="BA120" s="16">
        <f t="shared" si="33"/>
        <v>0</v>
      </c>
      <c r="BB120" s="16">
        <f t="shared" si="40"/>
        <v>0</v>
      </c>
      <c r="BC120" s="10">
        <f t="shared" si="41"/>
        <v>5.026238601451237E-2</v>
      </c>
      <c r="BE120" s="10">
        <f t="shared" si="42"/>
        <v>0</v>
      </c>
      <c r="BF120" s="10">
        <f t="shared" si="43"/>
        <v>6.248573017791715E-2</v>
      </c>
      <c r="BH120" s="10"/>
    </row>
    <row r="121" spans="1:60" x14ac:dyDescent="0.25">
      <c r="A121" s="1">
        <v>46198</v>
      </c>
      <c r="B121" s="21">
        <v>257.47000000000003</v>
      </c>
      <c r="C121" s="21">
        <v>342.45</v>
      </c>
      <c r="D121" s="22">
        <v>4.5693631186008103E-2</v>
      </c>
      <c r="E121" s="22">
        <v>2.1100008171731199E-2</v>
      </c>
      <c r="F121" s="21">
        <v>0</v>
      </c>
      <c r="G121" s="21">
        <v>0.12</v>
      </c>
      <c r="H121" s="21">
        <v>0</v>
      </c>
      <c r="I121" s="21">
        <v>0.12</v>
      </c>
      <c r="J121" s="21">
        <v>0</v>
      </c>
      <c r="K121" s="21">
        <v>0</v>
      </c>
      <c r="L121" s="21">
        <v>257.47000000000003</v>
      </c>
      <c r="M121" s="21">
        <v>342.45</v>
      </c>
      <c r="N121" s="23">
        <v>1.3300578708199</v>
      </c>
      <c r="O121" s="23">
        <v>1.3338063878300499</v>
      </c>
      <c r="P121" s="23">
        <v>1.3536243708912601</v>
      </c>
      <c r="Q121" s="23">
        <v>1.3526283603079701</v>
      </c>
      <c r="R121" s="21">
        <v>343.415130674605</v>
      </c>
      <c r="S121" s="21">
        <v>349.06608585107301</v>
      </c>
      <c r="T121" s="21">
        <v>348.47220623842901</v>
      </c>
      <c r="U121" s="22">
        <v>2.8143472192167702E-3</v>
      </c>
      <c r="V121" s="22">
        <v>1.91356003720656E-2</v>
      </c>
      <c r="W121" s="22">
        <v>1.7432812832300301E-2</v>
      </c>
      <c r="X121" s="23">
        <v>1.3300578708199</v>
      </c>
      <c r="Y121" s="23">
        <v>1.3338063878300499</v>
      </c>
      <c r="Z121" s="23">
        <v>1.3536243708912601</v>
      </c>
      <c r="AA121" s="23">
        <v>1.3526283603079701</v>
      </c>
      <c r="AB121" s="21">
        <v>343.415130674605</v>
      </c>
      <c r="AC121" s="21">
        <v>349.06608585107301</v>
      </c>
      <c r="AD121" s="21">
        <v>348.47220623842901</v>
      </c>
      <c r="AE121" s="22">
        <v>2.8143472192167702E-3</v>
      </c>
      <c r="AF121" s="22">
        <v>1.91356003720656E-2</v>
      </c>
      <c r="AG121" s="22">
        <v>1.7432812832300301E-2</v>
      </c>
      <c r="AI121" s="5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16">
        <f t="shared" si="28"/>
        <v>0</v>
      </c>
      <c r="AP121" s="16">
        <f t="shared" si="29"/>
        <v>0</v>
      </c>
      <c r="AQ121" s="16">
        <f t="shared" si="36"/>
        <v>0</v>
      </c>
      <c r="AR121" s="10">
        <f t="shared" si="37"/>
        <v>1.2223344163404768E-2</v>
      </c>
      <c r="AT121" s="5"/>
      <c r="AU121">
        <f t="shared" si="30"/>
        <v>1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16">
        <f t="shared" si="32"/>
        <v>0</v>
      </c>
      <c r="BA121" s="16">
        <f t="shared" si="33"/>
        <v>0</v>
      </c>
      <c r="BB121" s="16">
        <f t="shared" si="40"/>
        <v>0</v>
      </c>
      <c r="BC121" s="10">
        <f t="shared" si="41"/>
        <v>5.026238601451237E-2</v>
      </c>
      <c r="BE121" s="10">
        <f t="shared" si="42"/>
        <v>0</v>
      </c>
      <c r="BF121" s="10">
        <f t="shared" si="43"/>
        <v>6.248573017791715E-2</v>
      </c>
      <c r="BH121" s="10"/>
    </row>
    <row r="122" spans="1:60" x14ac:dyDescent="0.25">
      <c r="A122" s="1">
        <v>46199</v>
      </c>
      <c r="B122" s="21">
        <v>254.74</v>
      </c>
      <c r="C122" s="21">
        <v>345.21</v>
      </c>
      <c r="D122" s="22">
        <v>-1.06597913005907E-2</v>
      </c>
      <c r="E122" s="22">
        <v>8.0272658595626108E-3</v>
      </c>
      <c r="F122" s="21">
        <v>0</v>
      </c>
      <c r="G122" s="21">
        <v>0.12</v>
      </c>
      <c r="H122" s="21">
        <v>0</v>
      </c>
      <c r="I122" s="21">
        <v>0.12</v>
      </c>
      <c r="J122" s="21">
        <v>0</v>
      </c>
      <c r="K122" s="21">
        <v>0</v>
      </c>
      <c r="L122" s="21">
        <v>254.74</v>
      </c>
      <c r="M122" s="21">
        <v>345.21</v>
      </c>
      <c r="N122" s="23">
        <v>1.35514642380466</v>
      </c>
      <c r="O122" s="23">
        <v>1.3338063878300499</v>
      </c>
      <c r="P122" s="23">
        <v>1.35401851934621</v>
      </c>
      <c r="Q122" s="23">
        <v>1.3533453488901801</v>
      </c>
      <c r="R122" s="21">
        <v>339.77383923582897</v>
      </c>
      <c r="S122" s="21">
        <v>344.82227224083999</v>
      </c>
      <c r="T122" s="21">
        <v>344.56854850485303</v>
      </c>
      <c r="U122" s="22">
        <v>-1.5872709940936799E-2</v>
      </c>
      <c r="V122" s="22">
        <v>-1.12379613407487E-3</v>
      </c>
      <c r="W122" s="22">
        <v>-1.8598771488116199E-3</v>
      </c>
      <c r="X122" s="23">
        <v>1.35514642380466</v>
      </c>
      <c r="Y122" s="23">
        <v>1.3338063878300499</v>
      </c>
      <c r="Z122" s="23">
        <v>1.35401851934621</v>
      </c>
      <c r="AA122" s="23">
        <v>1.3533453488901801</v>
      </c>
      <c r="AB122" s="21">
        <v>339.77383923582897</v>
      </c>
      <c r="AC122" s="21">
        <v>344.82227224083999</v>
      </c>
      <c r="AD122" s="21">
        <v>344.56854850485303</v>
      </c>
      <c r="AE122" s="22">
        <v>-1.5872709940936799E-2</v>
      </c>
      <c r="AF122" s="22">
        <v>-1.12379613407487E-3</v>
      </c>
      <c r="AG122" s="22">
        <v>-1.8598771488116199E-3</v>
      </c>
      <c r="AI122" s="5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16">
        <f t="shared" si="28"/>
        <v>0</v>
      </c>
      <c r="AP122" s="16">
        <f t="shared" si="29"/>
        <v>0</v>
      </c>
      <c r="AQ122" s="16">
        <f t="shared" si="36"/>
        <v>0</v>
      </c>
      <c r="AR122" s="10">
        <f t="shared" si="37"/>
        <v>1.2223344163404768E-2</v>
      </c>
      <c r="AT122" s="5"/>
      <c r="AU122">
        <f t="shared" si="30"/>
        <v>0</v>
      </c>
      <c r="AV122">
        <f t="shared" si="31"/>
        <v>1</v>
      </c>
      <c r="AW122">
        <f t="shared" si="38"/>
        <v>1</v>
      </c>
      <c r="AX122">
        <f t="shared" si="25"/>
        <v>1</v>
      </c>
      <c r="AY122">
        <f t="shared" si="39"/>
        <v>1</v>
      </c>
      <c r="AZ122" s="16">
        <f t="shared" si="32"/>
        <v>1.06597913005907E-2</v>
      </c>
      <c r="BA122" s="16">
        <f t="shared" si="33"/>
        <v>8.0272658595626108E-3</v>
      </c>
      <c r="BB122" s="16">
        <f t="shared" si="40"/>
        <v>1.8687057160153311E-2</v>
      </c>
      <c r="BC122" s="10">
        <f t="shared" si="41"/>
        <v>6.8949443174665684E-2</v>
      </c>
      <c r="BE122" s="10">
        <f t="shared" si="42"/>
        <v>1.8687057160153311E-2</v>
      </c>
      <c r="BF122" s="10">
        <f t="shared" si="43"/>
        <v>8.1172787338070457E-2</v>
      </c>
      <c r="BH122" s="10"/>
    </row>
    <row r="123" spans="1:60" x14ac:dyDescent="0.25">
      <c r="A123" s="1">
        <v>46202</v>
      </c>
      <c r="B123" s="21">
        <v>254.48</v>
      </c>
      <c r="C123" s="21">
        <v>350.44</v>
      </c>
      <c r="D123" s="22">
        <v>-1.02116972072483E-3</v>
      </c>
      <c r="E123" s="22">
        <v>1.5036580294686099E-2</v>
      </c>
      <c r="F123" s="21">
        <v>0</v>
      </c>
      <c r="G123" s="21">
        <v>0.12</v>
      </c>
      <c r="H123" s="21">
        <v>0</v>
      </c>
      <c r="I123" s="21">
        <v>0.12</v>
      </c>
      <c r="J123" s="21">
        <v>0</v>
      </c>
      <c r="K123" s="21">
        <v>0</v>
      </c>
      <c r="L123" s="21">
        <v>254.48</v>
      </c>
      <c r="M123" s="21">
        <v>350.44</v>
      </c>
      <c r="N123" s="23">
        <v>1.3770826784030099</v>
      </c>
      <c r="O123" s="23">
        <v>1.3338063878300499</v>
      </c>
      <c r="P123" s="23">
        <v>1.3575206274876199</v>
      </c>
      <c r="Q123" s="23">
        <v>1.3551928240982001</v>
      </c>
      <c r="R123" s="21">
        <v>339.42704957499302</v>
      </c>
      <c r="S123" s="21">
        <v>344.57063280322399</v>
      </c>
      <c r="T123" s="21">
        <v>344.39932438557503</v>
      </c>
      <c r="U123" s="22">
        <v>-3.1930459956347801E-2</v>
      </c>
      <c r="V123" s="22">
        <v>-1.68904084524443E-2</v>
      </c>
      <c r="W123" s="22">
        <v>-1.7387696960869E-2</v>
      </c>
      <c r="X123" s="23">
        <v>1.3770826784030099</v>
      </c>
      <c r="Y123" s="23">
        <v>1.3338063878300499</v>
      </c>
      <c r="Z123" s="23">
        <v>1.3575206274876199</v>
      </c>
      <c r="AA123" s="23">
        <v>1.3551928240982001</v>
      </c>
      <c r="AB123" s="21">
        <v>339.42704957499302</v>
      </c>
      <c r="AC123" s="21">
        <v>344.57063280322399</v>
      </c>
      <c r="AD123" s="21">
        <v>344.39932438557503</v>
      </c>
      <c r="AE123" s="22">
        <v>-3.1930459956347801E-2</v>
      </c>
      <c r="AF123" s="22">
        <v>-1.68904084524443E-2</v>
      </c>
      <c r="AG123" s="22">
        <v>-1.7387696960869E-2</v>
      </c>
      <c r="AI123" s="5"/>
      <c r="AJ123">
        <f t="shared" si="26"/>
        <v>1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16">
        <f t="shared" si="28"/>
        <v>0</v>
      </c>
      <c r="AP123" s="16">
        <f t="shared" si="29"/>
        <v>0</v>
      </c>
      <c r="AQ123" s="16">
        <f t="shared" si="36"/>
        <v>0</v>
      </c>
      <c r="AR123" s="10">
        <f t="shared" si="37"/>
        <v>1.2223344163404768E-2</v>
      </c>
      <c r="AT123" s="5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16">
        <f t="shared" si="32"/>
        <v>0</v>
      </c>
      <c r="BA123" s="16">
        <f t="shared" si="33"/>
        <v>0</v>
      </c>
      <c r="BB123" s="16">
        <f t="shared" si="40"/>
        <v>0</v>
      </c>
      <c r="BC123" s="10">
        <f t="shared" si="41"/>
        <v>6.8949443174665684E-2</v>
      </c>
      <c r="BE123" s="10">
        <f t="shared" si="42"/>
        <v>0</v>
      </c>
      <c r="BF123" s="10">
        <f t="shared" si="43"/>
        <v>8.1172787338070457E-2</v>
      </c>
      <c r="BH123" s="10"/>
    </row>
    <row r="124" spans="1:60" x14ac:dyDescent="0.25">
      <c r="A124" s="1">
        <v>46203</v>
      </c>
      <c r="B124" s="21">
        <v>257.91000000000003</v>
      </c>
      <c r="C124" s="21">
        <v>356.19</v>
      </c>
      <c r="D124" s="22">
        <v>1.33884394135738E-2</v>
      </c>
      <c r="E124" s="22">
        <v>1.6274788547647401E-2</v>
      </c>
      <c r="F124" s="21">
        <v>0</v>
      </c>
      <c r="G124" s="21">
        <v>0.12</v>
      </c>
      <c r="H124" s="21">
        <v>0</v>
      </c>
      <c r="I124" s="21">
        <v>0.12</v>
      </c>
      <c r="J124" s="21">
        <v>0</v>
      </c>
      <c r="K124" s="21">
        <v>0</v>
      </c>
      <c r="L124" s="21">
        <v>257.91000000000003</v>
      </c>
      <c r="M124" s="21">
        <v>356.19</v>
      </c>
      <c r="N124" s="23">
        <v>1.38106316156798</v>
      </c>
      <c r="O124" s="23">
        <v>1.3338063878300499</v>
      </c>
      <c r="P124" s="23">
        <v>1.3604683379273701</v>
      </c>
      <c r="Q124" s="23">
        <v>1.3564929630248099</v>
      </c>
      <c r="R124" s="21">
        <v>344.00200548524998</v>
      </c>
      <c r="S124" s="21">
        <v>350.11814503533202</v>
      </c>
      <c r="T124" s="21">
        <v>349.51778126316702</v>
      </c>
      <c r="U124" s="22">
        <v>-3.4816809090421501E-2</v>
      </c>
      <c r="V124" s="22">
        <v>-1.7193641578172301E-2</v>
      </c>
      <c r="W124" s="22">
        <v>-1.8909859676635599E-2</v>
      </c>
      <c r="X124" s="23">
        <v>1.38106316156798</v>
      </c>
      <c r="Y124" s="23">
        <v>1.3338063878300499</v>
      </c>
      <c r="Z124" s="23">
        <v>1.3604683379273701</v>
      </c>
      <c r="AA124" s="23">
        <v>1.3564929630248099</v>
      </c>
      <c r="AB124" s="21">
        <v>344.00200548524998</v>
      </c>
      <c r="AC124" s="21">
        <v>350.11814503533202</v>
      </c>
      <c r="AD124" s="21">
        <v>349.51778126316702</v>
      </c>
      <c r="AE124" s="22">
        <v>-3.4816809090421501E-2</v>
      </c>
      <c r="AF124" s="22">
        <v>-1.7193641578172301E-2</v>
      </c>
      <c r="AG124" s="22">
        <v>-1.8909859676635599E-2</v>
      </c>
      <c r="AI124" s="5"/>
      <c r="AJ124">
        <f t="shared" si="26"/>
        <v>1</v>
      </c>
      <c r="AK124">
        <f t="shared" si="27"/>
        <v>0</v>
      </c>
      <c r="AL124">
        <f t="shared" si="34"/>
        <v>1</v>
      </c>
      <c r="AM124">
        <f t="shared" si="24"/>
        <v>0</v>
      </c>
      <c r="AN124">
        <f t="shared" si="35"/>
        <v>1</v>
      </c>
      <c r="AO124" s="16">
        <f t="shared" si="28"/>
        <v>1.33884394135738E-2</v>
      </c>
      <c r="AP124" s="16">
        <f t="shared" si="29"/>
        <v>-1.6274788547647401E-2</v>
      </c>
      <c r="AQ124" s="16">
        <f t="shared" si="36"/>
        <v>-2.886349134073601E-3</v>
      </c>
      <c r="AR124" s="10">
        <f t="shared" si="37"/>
        <v>9.3369950293311667E-3</v>
      </c>
      <c r="AT124" s="5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16">
        <f t="shared" si="32"/>
        <v>0</v>
      </c>
      <c r="BA124" s="16">
        <f t="shared" si="33"/>
        <v>0</v>
      </c>
      <c r="BB124" s="16">
        <f t="shared" si="40"/>
        <v>0</v>
      </c>
      <c r="BC124" s="10">
        <f t="shared" si="41"/>
        <v>6.8949443174665684E-2</v>
      </c>
      <c r="BE124" s="10">
        <f t="shared" si="42"/>
        <v>-2.886349134073601E-3</v>
      </c>
      <c r="BF124" s="10">
        <f t="shared" si="43"/>
        <v>7.8286438203996861E-2</v>
      </c>
      <c r="BH124" s="10"/>
    </row>
    <row r="125" spans="1:60" x14ac:dyDescent="0.25">
      <c r="A125" s="1">
        <v>46204</v>
      </c>
      <c r="B125" s="21">
        <v>261.64999999999998</v>
      </c>
      <c r="C125" s="21">
        <v>359.7</v>
      </c>
      <c r="D125" s="22">
        <v>1.43970459637542E-2</v>
      </c>
      <c r="E125" s="22">
        <v>9.8060543557676808E-3</v>
      </c>
      <c r="F125" s="21">
        <v>0.13</v>
      </c>
      <c r="G125" s="21">
        <v>0.25</v>
      </c>
      <c r="H125" s="21">
        <v>0.13</v>
      </c>
      <c r="I125" s="21">
        <v>0.25</v>
      </c>
      <c r="J125" s="21">
        <v>0</v>
      </c>
      <c r="K125" s="21">
        <v>0</v>
      </c>
      <c r="L125" s="21">
        <v>261.64999999999998</v>
      </c>
      <c r="M125" s="21">
        <v>359.7</v>
      </c>
      <c r="N125" s="23">
        <v>1.37473724441047</v>
      </c>
      <c r="O125" s="23">
        <v>1.3338063878300499</v>
      </c>
      <c r="P125" s="23">
        <v>1.36270769051723</v>
      </c>
      <c r="Q125" s="23">
        <v>1.35738245832945</v>
      </c>
      <c r="R125" s="21">
        <v>348.99044137573497</v>
      </c>
      <c r="S125" s="21">
        <v>355.96654061869799</v>
      </c>
      <c r="T125" s="21">
        <v>354.92638377544199</v>
      </c>
      <c r="U125" s="22">
        <v>-3.0225817482434799E-2</v>
      </c>
      <c r="V125" s="22">
        <v>-1.0433611292732899E-2</v>
      </c>
      <c r="W125" s="22">
        <v>-1.3359952376862201E-2</v>
      </c>
      <c r="X125" s="23">
        <v>1.37473724441047</v>
      </c>
      <c r="Y125" s="23">
        <v>1.3338063878300499</v>
      </c>
      <c r="Z125" s="23">
        <v>1.36270769051723</v>
      </c>
      <c r="AA125" s="23">
        <v>1.35738245832945</v>
      </c>
      <c r="AB125" s="21">
        <v>348.99044137573497</v>
      </c>
      <c r="AC125" s="21">
        <v>355.96654061869799</v>
      </c>
      <c r="AD125" s="21">
        <v>354.92638377544199</v>
      </c>
      <c r="AE125" s="22">
        <v>-3.0225817482434799E-2</v>
      </c>
      <c r="AF125" s="22">
        <v>-1.0433611292732899E-2</v>
      </c>
      <c r="AG125" s="22">
        <v>-1.3359952376862201E-2</v>
      </c>
      <c r="AI125" s="5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16">
        <f t="shared" si="28"/>
        <v>0</v>
      </c>
      <c r="AP125" s="16">
        <f t="shared" si="29"/>
        <v>0</v>
      </c>
      <c r="AQ125" s="16">
        <f t="shared" si="36"/>
        <v>0</v>
      </c>
      <c r="AR125" s="10">
        <f t="shared" si="37"/>
        <v>9.3369950293311667E-3</v>
      </c>
      <c r="AT125" s="5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16">
        <f t="shared" si="32"/>
        <v>0</v>
      </c>
      <c r="BA125" s="16">
        <f t="shared" si="33"/>
        <v>0</v>
      </c>
      <c r="BB125" s="16">
        <f t="shared" si="40"/>
        <v>0</v>
      </c>
      <c r="BC125" s="10">
        <f t="shared" si="41"/>
        <v>6.8949443174665684E-2</v>
      </c>
      <c r="BE125" s="10">
        <f t="shared" si="42"/>
        <v>0</v>
      </c>
      <c r="BF125" s="10">
        <f t="shared" si="43"/>
        <v>7.8286438203996861E-2</v>
      </c>
      <c r="BH125" s="10"/>
    </row>
    <row r="126" spans="1:60" x14ac:dyDescent="0.25">
      <c r="A126" s="1">
        <v>46205</v>
      </c>
      <c r="B126" s="21">
        <v>261.7</v>
      </c>
      <c r="C126" s="21">
        <v>362.09</v>
      </c>
      <c r="D126" s="22">
        <v>1.9107671788350599E-4</v>
      </c>
      <c r="E126" s="22">
        <v>6.6224490081947304E-3</v>
      </c>
      <c r="F126" s="21">
        <v>0</v>
      </c>
      <c r="G126" s="21">
        <v>0.25</v>
      </c>
      <c r="H126" s="21">
        <v>0</v>
      </c>
      <c r="I126" s="21">
        <v>0.25</v>
      </c>
      <c r="J126" s="21">
        <v>0</v>
      </c>
      <c r="K126" s="21">
        <v>0</v>
      </c>
      <c r="L126" s="21">
        <v>261.7</v>
      </c>
      <c r="M126" s="21">
        <v>362.09</v>
      </c>
      <c r="N126" s="23">
        <v>1.38360718379824</v>
      </c>
      <c r="O126" s="23">
        <v>1.3338063878300499</v>
      </c>
      <c r="P126" s="23">
        <v>1.36512498985941</v>
      </c>
      <c r="Q126" s="23">
        <v>1.35863786086123</v>
      </c>
      <c r="R126" s="21">
        <v>349.05713169512597</v>
      </c>
      <c r="S126" s="21">
        <v>356.62060260835898</v>
      </c>
      <c r="T126" s="21">
        <v>355.22698934481798</v>
      </c>
      <c r="U126" s="22">
        <v>-3.66571897727462E-2</v>
      </c>
      <c r="V126" s="22">
        <v>-1.5220320828060199E-2</v>
      </c>
      <c r="W126" s="22">
        <v>-1.9135807962540999E-2</v>
      </c>
      <c r="X126" s="23">
        <v>1.38360718379824</v>
      </c>
      <c r="Y126" s="23">
        <v>1.3338063878300499</v>
      </c>
      <c r="Z126" s="23">
        <v>1.36512498985941</v>
      </c>
      <c r="AA126" s="23">
        <v>1.35863786086123</v>
      </c>
      <c r="AB126" s="21">
        <v>349.05713169512597</v>
      </c>
      <c r="AC126" s="21">
        <v>356.62060260835898</v>
      </c>
      <c r="AD126" s="21">
        <v>355.22698934481798</v>
      </c>
      <c r="AE126" s="22">
        <v>-3.66571897727462E-2</v>
      </c>
      <c r="AF126" s="22">
        <v>-1.5220320828060199E-2</v>
      </c>
      <c r="AG126" s="22">
        <v>-1.9135807962540999E-2</v>
      </c>
      <c r="AI126" s="5"/>
      <c r="AJ126">
        <f t="shared" si="26"/>
        <v>1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16">
        <f t="shared" si="28"/>
        <v>0</v>
      </c>
      <c r="AP126" s="16">
        <f t="shared" si="29"/>
        <v>0</v>
      </c>
      <c r="AQ126" s="16">
        <f t="shared" si="36"/>
        <v>0</v>
      </c>
      <c r="AR126" s="10">
        <f t="shared" si="37"/>
        <v>9.3369950293311667E-3</v>
      </c>
      <c r="AT126" s="5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16">
        <f t="shared" si="32"/>
        <v>0</v>
      </c>
      <c r="BA126" s="16">
        <f t="shared" si="33"/>
        <v>0</v>
      </c>
      <c r="BB126" s="16">
        <f t="shared" si="40"/>
        <v>0</v>
      </c>
      <c r="BC126" s="10">
        <f t="shared" si="41"/>
        <v>6.8949443174665684E-2</v>
      </c>
      <c r="BE126" s="10">
        <f t="shared" si="42"/>
        <v>0</v>
      </c>
      <c r="BF126" s="10">
        <f t="shared" si="43"/>
        <v>7.8286438203996861E-2</v>
      </c>
      <c r="BH126" s="10"/>
    </row>
    <row r="127" spans="1:60" x14ac:dyDescent="0.25">
      <c r="A127" s="1">
        <v>46209</v>
      </c>
      <c r="B127" s="21">
        <v>262.63</v>
      </c>
      <c r="C127" s="21">
        <v>365.31</v>
      </c>
      <c r="D127" s="22">
        <v>3.5473880009032998E-3</v>
      </c>
      <c r="E127" s="22">
        <v>8.8535084772529207E-3</v>
      </c>
      <c r="F127" s="21">
        <v>0</v>
      </c>
      <c r="G127" s="21">
        <v>0.25</v>
      </c>
      <c r="H127" s="21">
        <v>0</v>
      </c>
      <c r="I127" s="21">
        <v>0.25</v>
      </c>
      <c r="J127" s="21">
        <v>0</v>
      </c>
      <c r="K127" s="21">
        <v>0</v>
      </c>
      <c r="L127" s="21">
        <v>262.63</v>
      </c>
      <c r="M127" s="21">
        <v>365.31</v>
      </c>
      <c r="N127" s="23">
        <v>1.39096828237444</v>
      </c>
      <c r="O127" s="23">
        <v>1.3338063878300499</v>
      </c>
      <c r="P127" s="23">
        <v>1.36806380856458</v>
      </c>
      <c r="Q127" s="23">
        <v>1.36059187790321</v>
      </c>
      <c r="R127" s="21">
        <v>350.29757163580803</v>
      </c>
      <c r="S127" s="21">
        <v>358.52277608677798</v>
      </c>
      <c r="T127" s="21">
        <v>356.81906139798502</v>
      </c>
      <c r="U127" s="22">
        <v>-4.1963310249095699E-2</v>
      </c>
      <c r="V127" s="22">
        <v>-1.8754118542586799E-2</v>
      </c>
      <c r="W127" s="22">
        <v>-2.3517485707508199E-2</v>
      </c>
      <c r="X127" s="23">
        <v>1.39096828237444</v>
      </c>
      <c r="Y127" s="23">
        <v>1.3338063878300499</v>
      </c>
      <c r="Z127" s="23">
        <v>1.36806380856458</v>
      </c>
      <c r="AA127" s="23">
        <v>1.36059187790321</v>
      </c>
      <c r="AB127" s="21">
        <v>350.29757163580803</v>
      </c>
      <c r="AC127" s="21">
        <v>358.52277608677798</v>
      </c>
      <c r="AD127" s="21">
        <v>356.81906139798502</v>
      </c>
      <c r="AE127" s="22">
        <v>-4.1963310249095699E-2</v>
      </c>
      <c r="AF127" s="22">
        <v>-1.8754118542586799E-2</v>
      </c>
      <c r="AG127" s="22">
        <v>-2.3517485707508199E-2</v>
      </c>
      <c r="AI127" s="5"/>
      <c r="AJ127">
        <f t="shared" si="26"/>
        <v>1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16">
        <f t="shared" si="28"/>
        <v>3.5473880009032998E-3</v>
      </c>
      <c r="AP127" s="16">
        <f t="shared" si="29"/>
        <v>-8.8535084772529207E-3</v>
      </c>
      <c r="AQ127" s="16">
        <f t="shared" si="36"/>
        <v>-5.3061204763496204E-3</v>
      </c>
      <c r="AR127" s="10">
        <f t="shared" si="37"/>
        <v>4.0308745529815462E-3</v>
      </c>
      <c r="AT127" s="5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16">
        <f t="shared" si="32"/>
        <v>0</v>
      </c>
      <c r="BA127" s="16">
        <f t="shared" si="33"/>
        <v>0</v>
      </c>
      <c r="BB127" s="16">
        <f t="shared" si="40"/>
        <v>0</v>
      </c>
      <c r="BC127" s="10">
        <f t="shared" si="41"/>
        <v>6.8949443174665684E-2</v>
      </c>
      <c r="BE127" s="10">
        <f t="shared" si="42"/>
        <v>-5.3061204763496204E-3</v>
      </c>
      <c r="BF127" s="10">
        <f t="shared" si="43"/>
        <v>7.2980317727647237E-2</v>
      </c>
      <c r="BH127" s="10"/>
    </row>
    <row r="128" spans="1:60" x14ac:dyDescent="0.25">
      <c r="A128" s="1">
        <v>46210</v>
      </c>
      <c r="B128" s="21">
        <v>257.57</v>
      </c>
      <c r="C128" s="21">
        <v>358.02</v>
      </c>
      <c r="D128" s="22">
        <v>-1.94546697160831E-2</v>
      </c>
      <c r="E128" s="22">
        <v>-2.01574574249802E-2</v>
      </c>
      <c r="F128" s="21">
        <v>0</v>
      </c>
      <c r="G128" s="21">
        <v>0.25</v>
      </c>
      <c r="H128" s="21">
        <v>0</v>
      </c>
      <c r="I128" s="21">
        <v>0.25</v>
      </c>
      <c r="J128" s="21">
        <v>0</v>
      </c>
      <c r="K128" s="21">
        <v>0</v>
      </c>
      <c r="L128" s="21">
        <v>257.57</v>
      </c>
      <c r="M128" s="21">
        <v>358.02</v>
      </c>
      <c r="N128" s="23">
        <v>1.38999107038863</v>
      </c>
      <c r="O128" s="23">
        <v>1.3338063878300499</v>
      </c>
      <c r="P128" s="23">
        <v>1.3702918929700401</v>
      </c>
      <c r="Q128" s="23">
        <v>1.36203598994421</v>
      </c>
      <c r="R128" s="21">
        <v>343.54851131338802</v>
      </c>
      <c r="S128" s="21">
        <v>352.37219517198002</v>
      </c>
      <c r="T128" s="21">
        <v>350.44764999153199</v>
      </c>
      <c r="U128" s="22">
        <v>-4.1260522540198401E-2</v>
      </c>
      <c r="V128" s="22">
        <v>-1.5900861140985899E-2</v>
      </c>
      <c r="W128" s="22">
        <v>-2.1377513526504299E-2</v>
      </c>
      <c r="X128" s="23">
        <v>1.38999107038863</v>
      </c>
      <c r="Y128" s="23">
        <v>1.3338063878300499</v>
      </c>
      <c r="Z128" s="23">
        <v>1.3702918929700401</v>
      </c>
      <c r="AA128" s="23">
        <v>1.36203598994421</v>
      </c>
      <c r="AB128" s="21">
        <v>343.54851131338802</v>
      </c>
      <c r="AC128" s="21">
        <v>352.37219517198002</v>
      </c>
      <c r="AD128" s="21">
        <v>350.44764999153199</v>
      </c>
      <c r="AE128" s="22">
        <v>-4.1260522540198401E-2</v>
      </c>
      <c r="AF128" s="22">
        <v>-1.5900861140985899E-2</v>
      </c>
      <c r="AG128" s="22">
        <v>-2.1377513526504299E-2</v>
      </c>
      <c r="AI128" s="5"/>
      <c r="AJ128">
        <f t="shared" si="26"/>
        <v>1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16">
        <f t="shared" si="28"/>
        <v>-1.94546697160831E-2</v>
      </c>
      <c r="AP128" s="16">
        <f t="shared" si="29"/>
        <v>2.01574574249802E-2</v>
      </c>
      <c r="AQ128" s="16">
        <f t="shared" si="36"/>
        <v>7.027877088971006E-4</v>
      </c>
      <c r="AR128" s="10">
        <f t="shared" si="37"/>
        <v>4.7336622618786468E-3</v>
      </c>
      <c r="AT128" s="5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16">
        <f t="shared" si="32"/>
        <v>0</v>
      </c>
      <c r="BA128" s="16">
        <f t="shared" si="33"/>
        <v>0</v>
      </c>
      <c r="BB128" s="16">
        <f t="shared" si="40"/>
        <v>0</v>
      </c>
      <c r="BC128" s="10">
        <f t="shared" si="41"/>
        <v>6.8949443174665684E-2</v>
      </c>
      <c r="BE128" s="10">
        <f t="shared" si="42"/>
        <v>7.027877088971006E-4</v>
      </c>
      <c r="BF128" s="10">
        <f t="shared" si="43"/>
        <v>7.3683105436544341E-2</v>
      </c>
      <c r="BH128" s="10"/>
    </row>
    <row r="129" spans="1:60" x14ac:dyDescent="0.25">
      <c r="A129" s="1">
        <v>46211</v>
      </c>
      <c r="B129" s="21">
        <v>251.03</v>
      </c>
      <c r="C129" s="21">
        <v>347.78</v>
      </c>
      <c r="D129" s="22">
        <v>-2.57190739189605E-2</v>
      </c>
      <c r="E129" s="22">
        <v>-2.9018754808122701E-2</v>
      </c>
      <c r="F129" s="21">
        <v>0</v>
      </c>
      <c r="G129" s="21">
        <v>0.25</v>
      </c>
      <c r="H129" s="21">
        <v>0</v>
      </c>
      <c r="I129" s="21">
        <v>0.25</v>
      </c>
      <c r="J129" s="21">
        <v>0</v>
      </c>
      <c r="K129" s="21">
        <v>0</v>
      </c>
      <c r="L129" s="21">
        <v>251.03</v>
      </c>
      <c r="M129" s="21">
        <v>347.78</v>
      </c>
      <c r="N129" s="23">
        <v>1.3854121021391801</v>
      </c>
      <c r="O129" s="23">
        <v>1.3338063878300499</v>
      </c>
      <c r="P129" s="23">
        <v>1.3731240388564701</v>
      </c>
      <c r="Q129" s="23">
        <v>1.3637700606044001</v>
      </c>
      <c r="R129" s="21">
        <v>334.82541753697899</v>
      </c>
      <c r="S129" s="21">
        <v>343.98437389227001</v>
      </c>
      <c r="T129" s="21">
        <v>341.91189455569503</v>
      </c>
      <c r="U129" s="22">
        <v>-3.7960841651036303E-2</v>
      </c>
      <c r="V129" s="22">
        <v>-1.09738643440307E-2</v>
      </c>
      <c r="W129" s="22">
        <v>-1.7017010338802398E-2</v>
      </c>
      <c r="X129" s="23">
        <v>1.3854121021391801</v>
      </c>
      <c r="Y129" s="23">
        <v>1.3338063878300499</v>
      </c>
      <c r="Z129" s="23">
        <v>1.3731240388564701</v>
      </c>
      <c r="AA129" s="23">
        <v>1.3637700606044001</v>
      </c>
      <c r="AB129" s="21">
        <v>334.82541753697899</v>
      </c>
      <c r="AC129" s="21">
        <v>343.98437389227001</v>
      </c>
      <c r="AD129" s="21">
        <v>341.91189455569503</v>
      </c>
      <c r="AE129" s="22">
        <v>-3.7960841651036303E-2</v>
      </c>
      <c r="AF129" s="22">
        <v>-1.09738643440307E-2</v>
      </c>
      <c r="AG129" s="22">
        <v>-1.7017010338802398E-2</v>
      </c>
      <c r="AI129" s="5"/>
      <c r="AJ129">
        <f t="shared" si="26"/>
        <v>1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16">
        <f t="shared" si="28"/>
        <v>-2.57190739189605E-2</v>
      </c>
      <c r="AP129" s="16">
        <f t="shared" si="29"/>
        <v>2.9018754808122701E-2</v>
      </c>
      <c r="AQ129" s="16">
        <f t="shared" si="36"/>
        <v>3.2996808891622015E-3</v>
      </c>
      <c r="AR129" s="10">
        <f t="shared" si="37"/>
        <v>8.0333431510408483E-3</v>
      </c>
      <c r="AT129" s="5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16">
        <f t="shared" si="32"/>
        <v>0</v>
      </c>
      <c r="BA129" s="16">
        <f t="shared" si="33"/>
        <v>0</v>
      </c>
      <c r="BB129" s="16">
        <f t="shared" si="40"/>
        <v>0</v>
      </c>
      <c r="BC129" s="10">
        <f t="shared" si="41"/>
        <v>6.8949443174665684E-2</v>
      </c>
      <c r="BE129" s="10">
        <f t="shared" si="42"/>
        <v>3.2996808891622015E-3</v>
      </c>
      <c r="BF129" s="10">
        <f t="shared" si="43"/>
        <v>7.6982786325706543E-2</v>
      </c>
      <c r="BH129" s="10"/>
    </row>
    <row r="130" spans="1:60" x14ac:dyDescent="0.25">
      <c r="A130" s="1">
        <v>46212</v>
      </c>
      <c r="B130" s="21">
        <v>253.27</v>
      </c>
      <c r="C130" s="21">
        <v>352.13</v>
      </c>
      <c r="D130" s="22">
        <v>8.8836594550979094E-3</v>
      </c>
      <c r="E130" s="22">
        <v>1.2430329644819301E-2</v>
      </c>
      <c r="F130" s="21">
        <v>0</v>
      </c>
      <c r="G130" s="21">
        <v>0.25</v>
      </c>
      <c r="H130" s="21">
        <v>0</v>
      </c>
      <c r="I130" s="21">
        <v>0.25</v>
      </c>
      <c r="J130" s="21">
        <v>0</v>
      </c>
      <c r="K130" s="21">
        <v>0</v>
      </c>
      <c r="L130" s="21">
        <v>253.27</v>
      </c>
      <c r="M130" s="21">
        <v>352.13</v>
      </c>
      <c r="N130" s="23">
        <v>1.3903344257116901</v>
      </c>
      <c r="O130" s="23">
        <v>1.3338063878300499</v>
      </c>
      <c r="P130" s="23">
        <v>1.3758400443418199</v>
      </c>
      <c r="Q130" s="23">
        <v>1.3657972231090201</v>
      </c>
      <c r="R130" s="21">
        <v>337.81314384571903</v>
      </c>
      <c r="S130" s="21">
        <v>347.77112532118002</v>
      </c>
      <c r="T130" s="21">
        <v>345.40204324927703</v>
      </c>
      <c r="U130" s="22">
        <v>-4.1507511840757599E-2</v>
      </c>
      <c r="V130" s="22">
        <v>-1.2455848053163699E-2</v>
      </c>
      <c r="W130" s="22">
        <v>-1.9291344300655999E-2</v>
      </c>
      <c r="X130" s="23">
        <v>1.3903344257116901</v>
      </c>
      <c r="Y130" s="23">
        <v>1.3338063878300499</v>
      </c>
      <c r="Z130" s="23">
        <v>1.3758400443418199</v>
      </c>
      <c r="AA130" s="23">
        <v>1.3657972231090201</v>
      </c>
      <c r="AB130" s="21">
        <v>337.81314384571903</v>
      </c>
      <c r="AC130" s="21">
        <v>347.77112532118002</v>
      </c>
      <c r="AD130" s="21">
        <v>345.40204324927703</v>
      </c>
      <c r="AE130" s="22">
        <v>-4.1507511840757599E-2</v>
      </c>
      <c r="AF130" s="22">
        <v>-1.2455848053163699E-2</v>
      </c>
      <c r="AG130" s="22">
        <v>-1.9291344300655999E-2</v>
      </c>
      <c r="AI130" s="5"/>
      <c r="AJ130">
        <f t="shared" si="26"/>
        <v>1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16">
        <f t="shared" si="28"/>
        <v>8.8836594550979094E-3</v>
      </c>
      <c r="AP130" s="16">
        <f t="shared" si="29"/>
        <v>-1.2430329644819301E-2</v>
      </c>
      <c r="AQ130" s="16">
        <f t="shared" si="36"/>
        <v>-3.5466701897213914E-3</v>
      </c>
      <c r="AR130" s="10">
        <f t="shared" si="37"/>
        <v>4.4866729613194569E-3</v>
      </c>
      <c r="AT130" s="5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16">
        <f t="shared" si="32"/>
        <v>0</v>
      </c>
      <c r="BA130" s="16">
        <f t="shared" si="33"/>
        <v>0</v>
      </c>
      <c r="BB130" s="16">
        <f t="shared" si="40"/>
        <v>0</v>
      </c>
      <c r="BC130" s="10">
        <f t="shared" si="41"/>
        <v>6.8949443174665684E-2</v>
      </c>
      <c r="BE130" s="10">
        <f t="shared" si="42"/>
        <v>-3.5466701897213914E-3</v>
      </c>
      <c r="BF130" s="10">
        <f t="shared" si="43"/>
        <v>7.3436116135985149E-2</v>
      </c>
      <c r="BH130" s="10"/>
    </row>
    <row r="131" spans="1:60" x14ac:dyDescent="0.25">
      <c r="A131" s="1">
        <v>46213</v>
      </c>
      <c r="B131" s="21">
        <v>254.07</v>
      </c>
      <c r="C131" s="21">
        <v>350.92</v>
      </c>
      <c r="D131" s="22">
        <v>3.1537062445595701E-3</v>
      </c>
      <c r="E131" s="22">
        <v>-3.44214833855891E-3</v>
      </c>
      <c r="F131" s="21">
        <v>0</v>
      </c>
      <c r="G131" s="21">
        <v>0.25</v>
      </c>
      <c r="H131" s="21">
        <v>0</v>
      </c>
      <c r="I131" s="21">
        <v>0.25</v>
      </c>
      <c r="J131" s="21">
        <v>0</v>
      </c>
      <c r="K131" s="21">
        <v>0</v>
      </c>
      <c r="L131" s="21">
        <v>254.07</v>
      </c>
      <c r="M131" s="21">
        <v>350.92</v>
      </c>
      <c r="N131" s="23">
        <v>1.3811941590900101</v>
      </c>
      <c r="O131" s="23">
        <v>1.3338063878300499</v>
      </c>
      <c r="P131" s="23">
        <v>1.3809536731688301</v>
      </c>
      <c r="Q131" s="23">
        <v>1.36728902203004</v>
      </c>
      <c r="R131" s="21">
        <v>338.88018895598299</v>
      </c>
      <c r="S131" s="21">
        <v>349.55968006592701</v>
      </c>
      <c r="T131" s="21">
        <v>347.00810047531002</v>
      </c>
      <c r="U131" s="22">
        <v>-3.49116572576392E-2</v>
      </c>
      <c r="V131" s="22">
        <v>-3.8839717492067899E-3</v>
      </c>
      <c r="W131" s="22">
        <v>-1.12101532765448E-2</v>
      </c>
      <c r="X131" s="23">
        <v>1.3811941590900101</v>
      </c>
      <c r="Y131" s="23">
        <v>1.3338063878300499</v>
      </c>
      <c r="Z131" s="23">
        <v>1.3809536731688301</v>
      </c>
      <c r="AA131" s="23">
        <v>1.36728902203004</v>
      </c>
      <c r="AB131" s="21">
        <v>338.88018895598299</v>
      </c>
      <c r="AC131" s="21">
        <v>349.55968006592701</v>
      </c>
      <c r="AD131" s="21">
        <v>347.00810047531002</v>
      </c>
      <c r="AE131" s="22">
        <v>-3.49116572576392E-2</v>
      </c>
      <c r="AF131" s="22">
        <v>-3.8839717492067899E-3</v>
      </c>
      <c r="AG131" s="22">
        <v>-1.12101532765448E-2</v>
      </c>
      <c r="AI131" s="5"/>
      <c r="AJ131">
        <f t="shared" si="26"/>
        <v>0</v>
      </c>
      <c r="AK131">
        <f t="shared" si="27"/>
        <v>0</v>
      </c>
      <c r="AL131">
        <f t="shared" si="34"/>
        <v>1</v>
      </c>
      <c r="AM131">
        <f t="shared" si="24"/>
        <v>1</v>
      </c>
      <c r="AN131">
        <f t="shared" si="35"/>
        <v>1</v>
      </c>
      <c r="AO131" s="16">
        <f t="shared" si="28"/>
        <v>3.1537062445595701E-3</v>
      </c>
      <c r="AP131" s="16">
        <f t="shared" si="29"/>
        <v>3.44214833855891E-3</v>
      </c>
      <c r="AQ131" s="16">
        <f t="shared" si="36"/>
        <v>6.5958545831184805E-3</v>
      </c>
      <c r="AR131" s="10">
        <f t="shared" si="37"/>
        <v>1.1082527544437937E-2</v>
      </c>
      <c r="AT131" s="5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16">
        <f t="shared" si="32"/>
        <v>0</v>
      </c>
      <c r="BA131" s="16">
        <f t="shared" si="33"/>
        <v>0</v>
      </c>
      <c r="BB131" s="16">
        <f t="shared" si="40"/>
        <v>0</v>
      </c>
      <c r="BC131" s="10">
        <f t="shared" si="41"/>
        <v>6.8949443174665684E-2</v>
      </c>
      <c r="BE131" s="10">
        <f t="shared" si="42"/>
        <v>6.5958545831184805E-3</v>
      </c>
      <c r="BF131" s="10">
        <f t="shared" si="43"/>
        <v>8.0031970719103632E-2</v>
      </c>
      <c r="BH131" s="10"/>
    </row>
    <row r="132" spans="1:60" x14ac:dyDescent="0.25">
      <c r="A132" s="1">
        <v>46216</v>
      </c>
      <c r="B132" s="21">
        <v>249.3</v>
      </c>
      <c r="C132" s="21">
        <v>344.11</v>
      </c>
      <c r="D132" s="22">
        <v>-1.8952829072105E-2</v>
      </c>
      <c r="E132" s="22">
        <v>-1.9596903559636399E-2</v>
      </c>
      <c r="F132" s="21">
        <v>0</v>
      </c>
      <c r="G132" s="21">
        <v>0.25</v>
      </c>
      <c r="H132" s="21">
        <v>0</v>
      </c>
      <c r="I132" s="21">
        <v>0.25</v>
      </c>
      <c r="J132" s="21">
        <v>0</v>
      </c>
      <c r="K132" s="21">
        <v>0</v>
      </c>
      <c r="L132" s="21">
        <v>249.3</v>
      </c>
      <c r="M132" s="21">
        <v>344.11</v>
      </c>
      <c r="N132" s="23">
        <v>1.38030485359005</v>
      </c>
      <c r="O132" s="23">
        <v>1.3338063878300499</v>
      </c>
      <c r="P132" s="23">
        <v>1.38346951614737</v>
      </c>
      <c r="Q132" s="23">
        <v>1.36874401774679</v>
      </c>
      <c r="R132" s="21">
        <v>332.51793248603298</v>
      </c>
      <c r="S132" s="21">
        <v>344.27175072098998</v>
      </c>
      <c r="T132" s="21">
        <v>340.86515319209099</v>
      </c>
      <c r="U132" s="22">
        <v>-3.4267582770107802E-2</v>
      </c>
      <c r="V132" s="22">
        <v>4.6994483452830201E-4</v>
      </c>
      <c r="W132" s="22">
        <v>-9.4744198105792092E-3</v>
      </c>
      <c r="X132" s="23">
        <v>1.38030485359005</v>
      </c>
      <c r="Y132" s="23">
        <v>1.3338063878300499</v>
      </c>
      <c r="Z132" s="23">
        <v>1.38346951614737</v>
      </c>
      <c r="AA132" s="23">
        <v>1.36874401774679</v>
      </c>
      <c r="AB132" s="21">
        <v>332.51793248603298</v>
      </c>
      <c r="AC132" s="21">
        <v>344.27175072098998</v>
      </c>
      <c r="AD132" s="21">
        <v>340.86515319209099</v>
      </c>
      <c r="AE132" s="22">
        <v>-3.4267582770107802E-2</v>
      </c>
      <c r="AF132" s="22">
        <v>4.6994483452830201E-4</v>
      </c>
      <c r="AG132" s="22">
        <v>-9.4744198105792092E-3</v>
      </c>
      <c r="AI132" s="5"/>
      <c r="AJ132">
        <f t="shared" si="26"/>
        <v>0</v>
      </c>
      <c r="AK132">
        <f t="shared" si="27"/>
        <v>0</v>
      </c>
      <c r="AL132">
        <f t="shared" si="34"/>
        <v>1</v>
      </c>
      <c r="AM132">
        <f t="shared" si="24"/>
        <v>1</v>
      </c>
      <c r="AN132">
        <f t="shared" si="35"/>
        <v>1</v>
      </c>
      <c r="AO132" s="16">
        <f t="shared" si="28"/>
        <v>-1.8952829072105E-2</v>
      </c>
      <c r="AP132" s="16">
        <f t="shared" si="29"/>
        <v>1.9596903559636399E-2</v>
      </c>
      <c r="AQ132" s="16">
        <f t="shared" si="36"/>
        <v>6.4407448753139862E-4</v>
      </c>
      <c r="AR132" s="10">
        <f t="shared" si="37"/>
        <v>1.1726602031969336E-2</v>
      </c>
      <c r="AT132" s="5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16">
        <f t="shared" si="32"/>
        <v>0</v>
      </c>
      <c r="BA132" s="16">
        <f t="shared" si="33"/>
        <v>0</v>
      </c>
      <c r="BB132" s="16">
        <f t="shared" si="40"/>
        <v>0</v>
      </c>
      <c r="BC132" s="10">
        <f t="shared" si="41"/>
        <v>6.8949443174665684E-2</v>
      </c>
      <c r="BE132" s="10">
        <f t="shared" si="42"/>
        <v>6.4407448753139862E-4</v>
      </c>
      <c r="BF132" s="10">
        <f t="shared" si="43"/>
        <v>8.067604520663503E-2</v>
      </c>
      <c r="BH132" s="10"/>
    </row>
    <row r="133" spans="1:60" x14ac:dyDescent="0.25">
      <c r="A133" s="1">
        <v>46217</v>
      </c>
      <c r="B133" s="21">
        <v>249.7</v>
      </c>
      <c r="C133" s="21">
        <v>345.61</v>
      </c>
      <c r="D133" s="22">
        <v>1.60320675621531E-3</v>
      </c>
      <c r="E133" s="22">
        <v>4.34959799592475E-3</v>
      </c>
      <c r="F133" s="21">
        <v>0</v>
      </c>
      <c r="G133" s="21">
        <v>0.25</v>
      </c>
      <c r="H133" s="21">
        <v>0</v>
      </c>
      <c r="I133" s="21">
        <v>0.25</v>
      </c>
      <c r="J133" s="21">
        <v>0</v>
      </c>
      <c r="K133" s="21">
        <v>0</v>
      </c>
      <c r="L133" s="21">
        <v>249.7</v>
      </c>
      <c r="M133" s="21">
        <v>345.61</v>
      </c>
      <c r="N133" s="23">
        <v>1.3841009211053199</v>
      </c>
      <c r="O133" s="23">
        <v>1.3338063878300499</v>
      </c>
      <c r="P133" s="23">
        <v>1.3841713404175999</v>
      </c>
      <c r="Q133" s="23">
        <v>1.3708459839526099</v>
      </c>
      <c r="R133" s="21">
        <v>333.05145504116501</v>
      </c>
      <c r="S133" s="21">
        <v>345.45233818199898</v>
      </c>
      <c r="T133" s="21">
        <v>341.77538123137401</v>
      </c>
      <c r="U133" s="22">
        <v>-3.7013974009817298E-2</v>
      </c>
      <c r="V133" s="22">
        <v>-4.5628827393763501E-4</v>
      </c>
      <c r="W133" s="22">
        <v>-1.1157230433570101E-2</v>
      </c>
      <c r="X133" s="23">
        <v>1.3841009211053199</v>
      </c>
      <c r="Y133" s="23">
        <v>1.3338063878300499</v>
      </c>
      <c r="Z133" s="23">
        <v>1.3841713404175999</v>
      </c>
      <c r="AA133" s="23">
        <v>1.3708459839526099</v>
      </c>
      <c r="AB133" s="21">
        <v>333.05145504116501</v>
      </c>
      <c r="AC133" s="21">
        <v>345.45233818199898</v>
      </c>
      <c r="AD133" s="21">
        <v>341.77538123137401</v>
      </c>
      <c r="AE133" s="22">
        <v>-3.7013974009817298E-2</v>
      </c>
      <c r="AF133" s="22">
        <v>-4.5628827393763501E-4</v>
      </c>
      <c r="AG133" s="22">
        <v>-1.1157230433570101E-2</v>
      </c>
      <c r="AI133" s="5"/>
      <c r="AJ133">
        <f t="shared" si="26"/>
        <v>0</v>
      </c>
      <c r="AK133">
        <f t="shared" si="27"/>
        <v>0</v>
      </c>
      <c r="AL133">
        <f t="shared" si="34"/>
        <v>1</v>
      </c>
      <c r="AM133">
        <f t="shared" si="24"/>
        <v>1</v>
      </c>
      <c r="AN133">
        <f t="shared" si="35"/>
        <v>1</v>
      </c>
      <c r="AO133" s="16">
        <f t="shared" si="28"/>
        <v>1.60320675621531E-3</v>
      </c>
      <c r="AP133" s="16">
        <f t="shared" si="29"/>
        <v>-4.34959799592475E-3</v>
      </c>
      <c r="AQ133" s="16">
        <f t="shared" si="36"/>
        <v>-2.7463912397094397E-3</v>
      </c>
      <c r="AR133" s="10">
        <f t="shared" si="37"/>
        <v>8.9802107922598955E-3</v>
      </c>
      <c r="AT133" s="5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16">
        <f t="shared" si="32"/>
        <v>0</v>
      </c>
      <c r="BA133" s="16">
        <f t="shared" si="33"/>
        <v>0</v>
      </c>
      <c r="BB133" s="16">
        <f t="shared" si="40"/>
        <v>0</v>
      </c>
      <c r="BC133" s="10">
        <f t="shared" si="41"/>
        <v>6.8949443174665684E-2</v>
      </c>
      <c r="BE133" s="10">
        <f t="shared" si="42"/>
        <v>-2.7463912397094397E-3</v>
      </c>
      <c r="BF133" s="10">
        <f t="shared" si="43"/>
        <v>7.7929653966925597E-2</v>
      </c>
      <c r="BH133" s="10"/>
    </row>
    <row r="134" spans="1:60" x14ac:dyDescent="0.25">
      <c r="A134" s="1">
        <v>46218</v>
      </c>
      <c r="B134" s="21">
        <v>253.2</v>
      </c>
      <c r="C134" s="21">
        <v>351.59</v>
      </c>
      <c r="D134" s="22">
        <v>1.3919492984293499E-2</v>
      </c>
      <c r="E134" s="22">
        <v>1.7154752299391899E-2</v>
      </c>
      <c r="F134" s="21">
        <v>0</v>
      </c>
      <c r="G134" s="21">
        <v>0.25</v>
      </c>
      <c r="H134" s="21">
        <v>0</v>
      </c>
      <c r="I134" s="21">
        <v>0.25</v>
      </c>
      <c r="J134" s="21">
        <v>0</v>
      </c>
      <c r="K134" s="21">
        <v>0</v>
      </c>
      <c r="L134" s="21">
        <v>253.2</v>
      </c>
      <c r="M134" s="21">
        <v>351.59</v>
      </c>
      <c r="N134" s="23">
        <v>1.3885860979462801</v>
      </c>
      <c r="O134" s="23">
        <v>1.3338063878300499</v>
      </c>
      <c r="P134" s="23">
        <v>1.3849236340554301</v>
      </c>
      <c r="Q134" s="23">
        <v>1.3726959859914001</v>
      </c>
      <c r="R134" s="21">
        <v>337.71977739857101</v>
      </c>
      <c r="S134" s="21">
        <v>350.472183393737</v>
      </c>
      <c r="T134" s="21">
        <v>347.09820313680098</v>
      </c>
      <c r="U134" s="22">
        <v>-4.0249233324915798E-2</v>
      </c>
      <c r="V134" s="22">
        <v>-3.1843833132884801E-3</v>
      </c>
      <c r="W134" s="22">
        <v>-1.2857977929762799E-2</v>
      </c>
      <c r="X134" s="23">
        <v>1.3885860979462801</v>
      </c>
      <c r="Y134" s="23">
        <v>1.3338063878300499</v>
      </c>
      <c r="Z134" s="23">
        <v>1.3849236340554301</v>
      </c>
      <c r="AA134" s="23">
        <v>1.3726959859914001</v>
      </c>
      <c r="AB134" s="21">
        <v>337.71977739857101</v>
      </c>
      <c r="AC134" s="21">
        <v>350.472183393737</v>
      </c>
      <c r="AD134" s="21">
        <v>347.09820313680098</v>
      </c>
      <c r="AE134" s="22">
        <v>-4.0249233324915798E-2</v>
      </c>
      <c r="AF134" s="22">
        <v>-3.1843833132884801E-3</v>
      </c>
      <c r="AG134" s="22">
        <v>-1.2857977929762799E-2</v>
      </c>
      <c r="AI134" s="5"/>
      <c r="AJ134">
        <f t="shared" si="26"/>
        <v>0</v>
      </c>
      <c r="AK134">
        <f t="shared" si="27"/>
        <v>0</v>
      </c>
      <c r="AL134">
        <f t="shared" si="34"/>
        <v>1</v>
      </c>
      <c r="AM134">
        <f t="shared" si="24"/>
        <v>1</v>
      </c>
      <c r="AN134">
        <f t="shared" si="35"/>
        <v>1</v>
      </c>
      <c r="AO134" s="16">
        <f t="shared" si="28"/>
        <v>1.3919492984293499E-2</v>
      </c>
      <c r="AP134" s="16">
        <f t="shared" si="29"/>
        <v>-1.7154752299391899E-2</v>
      </c>
      <c r="AQ134" s="16">
        <f t="shared" si="36"/>
        <v>-3.2352593150983995E-3</v>
      </c>
      <c r="AR134" s="10">
        <f t="shared" si="37"/>
        <v>5.744951477161496E-3</v>
      </c>
      <c r="AT134" s="5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16">
        <f t="shared" si="32"/>
        <v>0</v>
      </c>
      <c r="BA134" s="16">
        <f t="shared" si="33"/>
        <v>0</v>
      </c>
      <c r="BB134" s="16">
        <f t="shared" si="40"/>
        <v>0</v>
      </c>
      <c r="BC134" s="10">
        <f t="shared" si="41"/>
        <v>6.8949443174665684E-2</v>
      </c>
      <c r="BE134" s="10">
        <f t="shared" si="42"/>
        <v>-3.2352593150983995E-3</v>
      </c>
      <c r="BF134" s="10">
        <f t="shared" si="43"/>
        <v>7.4694394651827201E-2</v>
      </c>
      <c r="BH134" s="10"/>
    </row>
    <row r="135" spans="1:60" x14ac:dyDescent="0.25">
      <c r="A135" s="1">
        <v>46219</v>
      </c>
      <c r="B135" s="21">
        <v>250.24</v>
      </c>
      <c r="C135" s="21">
        <v>344.03</v>
      </c>
      <c r="D135" s="22">
        <v>-1.1759232913074799E-2</v>
      </c>
      <c r="E135" s="22">
        <v>-2.1736861122649598E-2</v>
      </c>
      <c r="F135" s="21">
        <v>0</v>
      </c>
      <c r="G135" s="21">
        <v>0.25</v>
      </c>
      <c r="H135" s="21">
        <v>0</v>
      </c>
      <c r="I135" s="21">
        <v>0.25</v>
      </c>
      <c r="J135" s="21">
        <v>0</v>
      </c>
      <c r="K135" s="21">
        <v>0</v>
      </c>
      <c r="L135" s="21">
        <v>250.24</v>
      </c>
      <c r="M135" s="21">
        <v>344.03</v>
      </c>
      <c r="N135" s="23">
        <v>1.3748001918158499</v>
      </c>
      <c r="O135" s="23">
        <v>1.3338063878300499</v>
      </c>
      <c r="P135" s="23">
        <v>1.38492992879597</v>
      </c>
      <c r="Q135" s="23">
        <v>1.3738188096566</v>
      </c>
      <c r="R135" s="21">
        <v>333.77171049059399</v>
      </c>
      <c r="S135" s="21">
        <v>346.56329018603202</v>
      </c>
      <c r="T135" s="21">
        <v>343.50344353448901</v>
      </c>
      <c r="U135" s="22">
        <v>-3.0271605115340799E-2</v>
      </c>
      <c r="V135" s="22">
        <v>7.3365947367744098E-3</v>
      </c>
      <c r="W135" s="22">
        <v>-1.53172641538244E-3</v>
      </c>
      <c r="X135" s="23">
        <v>1.3748001918158499</v>
      </c>
      <c r="Y135" s="23">
        <v>1.3338063878300499</v>
      </c>
      <c r="Z135" s="23">
        <v>1.38492992879597</v>
      </c>
      <c r="AA135" s="23">
        <v>1.3738188096566</v>
      </c>
      <c r="AB135" s="21">
        <v>333.77171049059399</v>
      </c>
      <c r="AC135" s="21">
        <v>346.56329018603202</v>
      </c>
      <c r="AD135" s="21">
        <v>343.50344353448901</v>
      </c>
      <c r="AE135" s="22">
        <v>-3.0271605115340799E-2</v>
      </c>
      <c r="AF135" s="22">
        <v>7.3365947367744098E-3</v>
      </c>
      <c r="AG135" s="22">
        <v>-1.53172641538244E-3</v>
      </c>
      <c r="AI135" s="5"/>
      <c r="AJ135">
        <f t="shared" si="26"/>
        <v>0</v>
      </c>
      <c r="AK135">
        <f t="shared" si="27"/>
        <v>1</v>
      </c>
      <c r="AL135">
        <f t="shared" si="34"/>
        <v>1</v>
      </c>
      <c r="AM135">
        <f t="shared" si="24"/>
        <v>1</v>
      </c>
      <c r="AN135">
        <f t="shared" si="35"/>
        <v>1</v>
      </c>
      <c r="AO135" s="16">
        <f t="shared" si="28"/>
        <v>-1.1759232913074799E-2</v>
      </c>
      <c r="AP135" s="16">
        <f t="shared" si="29"/>
        <v>2.1736861122649598E-2</v>
      </c>
      <c r="AQ135" s="16">
        <f t="shared" si="36"/>
        <v>9.977628209574799E-3</v>
      </c>
      <c r="AR135" s="10">
        <f t="shared" si="37"/>
        <v>1.5722579686736293E-2</v>
      </c>
      <c r="AT135" s="5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16">
        <f t="shared" si="32"/>
        <v>0</v>
      </c>
      <c r="BA135" s="16">
        <f t="shared" si="33"/>
        <v>0</v>
      </c>
      <c r="BB135" s="16">
        <f t="shared" si="40"/>
        <v>0</v>
      </c>
      <c r="BC135" s="10">
        <f t="shared" si="41"/>
        <v>6.8949443174665684E-2</v>
      </c>
      <c r="BE135" s="10">
        <f t="shared" si="42"/>
        <v>9.977628209574799E-3</v>
      </c>
      <c r="BF135" s="10">
        <f t="shared" si="43"/>
        <v>8.4672022861402005E-2</v>
      </c>
      <c r="BH135" s="10"/>
    </row>
    <row r="136" spans="1:60" x14ac:dyDescent="0.25">
      <c r="A136" s="1">
        <v>46220</v>
      </c>
      <c r="B136" s="21">
        <v>250.07</v>
      </c>
      <c r="C136" s="21">
        <v>342.66</v>
      </c>
      <c r="D136" s="22">
        <v>-6.7957868738410105E-4</v>
      </c>
      <c r="E136" s="22">
        <v>-3.9901609683870498E-3</v>
      </c>
      <c r="F136" s="21">
        <v>0</v>
      </c>
      <c r="G136" s="21">
        <v>0.25</v>
      </c>
      <c r="H136" s="21">
        <v>0</v>
      </c>
      <c r="I136" s="21">
        <v>0.25</v>
      </c>
      <c r="J136" s="21">
        <v>0</v>
      </c>
      <c r="K136" s="21">
        <v>0</v>
      </c>
      <c r="L136" s="21">
        <v>250.07</v>
      </c>
      <c r="M136" s="21">
        <v>342.66</v>
      </c>
      <c r="N136" s="23">
        <v>1.37025632822809</v>
      </c>
      <c r="O136" s="23">
        <v>1.3338063878300499</v>
      </c>
      <c r="P136" s="23">
        <v>1.38359484323895</v>
      </c>
      <c r="Q136" s="23">
        <v>1.37435991654918</v>
      </c>
      <c r="R136" s="21">
        <v>333.54496340466198</v>
      </c>
      <c r="S136" s="21">
        <v>346.32942729400901</v>
      </c>
      <c r="T136" s="21">
        <v>343.55086973082598</v>
      </c>
      <c r="U136" s="22">
        <v>-2.6961022834337801E-2</v>
      </c>
      <c r="V136" s="22">
        <v>1.0651722197076999E-2</v>
      </c>
      <c r="W136" s="22">
        <v>2.5964911680245099E-3</v>
      </c>
      <c r="X136" s="23">
        <v>1.37025632822809</v>
      </c>
      <c r="Y136" s="23">
        <v>1.3338063878300499</v>
      </c>
      <c r="Z136" s="23">
        <v>1.38359484323895</v>
      </c>
      <c r="AA136" s="23">
        <v>1.37435991654918</v>
      </c>
      <c r="AB136" s="21">
        <v>333.54496340466198</v>
      </c>
      <c r="AC136" s="21">
        <v>346.32942729400901</v>
      </c>
      <c r="AD136" s="21">
        <v>343.55086973082598</v>
      </c>
      <c r="AE136" s="22">
        <v>-2.6961022834337801E-2</v>
      </c>
      <c r="AF136" s="22">
        <v>1.0651722197076999E-2</v>
      </c>
      <c r="AG136" s="22">
        <v>2.5964911680245099E-3</v>
      </c>
      <c r="AI136" s="5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16">
        <f t="shared" si="28"/>
        <v>0</v>
      </c>
      <c r="AP136" s="16">
        <f t="shared" si="29"/>
        <v>0</v>
      </c>
      <c r="AQ136" s="16">
        <f t="shared" si="36"/>
        <v>0</v>
      </c>
      <c r="AR136" s="10">
        <f t="shared" si="37"/>
        <v>1.5722579686736293E-2</v>
      </c>
      <c r="AT136" s="5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16">
        <f t="shared" si="32"/>
        <v>0</v>
      </c>
      <c r="BA136" s="16">
        <f t="shared" si="33"/>
        <v>0</v>
      </c>
      <c r="BB136" s="16">
        <f t="shared" si="40"/>
        <v>0</v>
      </c>
      <c r="BC136" s="10">
        <f t="shared" si="41"/>
        <v>6.8949443174665684E-2</v>
      </c>
      <c r="BE136" s="10">
        <f t="shared" si="42"/>
        <v>0</v>
      </c>
      <c r="BF136" s="10">
        <f t="shared" si="43"/>
        <v>8.4672022861402005E-2</v>
      </c>
      <c r="BH136" s="10"/>
    </row>
    <row r="137" spans="1:60" x14ac:dyDescent="0.25">
      <c r="A137" s="1">
        <v>46223</v>
      </c>
      <c r="B137" s="21">
        <v>248.18</v>
      </c>
      <c r="C137" s="21">
        <v>340.44</v>
      </c>
      <c r="D137" s="22">
        <v>-7.5865893230886699E-3</v>
      </c>
      <c r="E137" s="22">
        <v>-6.4998032960663504E-3</v>
      </c>
      <c r="F137" s="21">
        <v>0</v>
      </c>
      <c r="G137" s="21">
        <v>0.25</v>
      </c>
      <c r="H137" s="21">
        <v>0</v>
      </c>
      <c r="I137" s="21">
        <v>0.25</v>
      </c>
      <c r="J137" s="21">
        <v>0</v>
      </c>
      <c r="K137" s="21">
        <v>0</v>
      </c>
      <c r="L137" s="21">
        <v>248.18</v>
      </c>
      <c r="M137" s="21">
        <v>340.44</v>
      </c>
      <c r="N137" s="23">
        <v>1.3717463131598</v>
      </c>
      <c r="O137" s="23">
        <v>1.3338063878300499</v>
      </c>
      <c r="P137" s="23">
        <v>1.38167264631749</v>
      </c>
      <c r="Q137" s="23">
        <v>1.37486822744104</v>
      </c>
      <c r="R137" s="21">
        <v>331.02406933166401</v>
      </c>
      <c r="S137" s="21">
        <v>343.38056819504402</v>
      </c>
      <c r="T137" s="21">
        <v>341.08864408917702</v>
      </c>
      <c r="U137" s="22">
        <v>-2.8047808861360098E-2</v>
      </c>
      <c r="V137" s="22">
        <v>8.6004617510478804E-3</v>
      </c>
      <c r="W137" s="22">
        <v>1.9034982334364E-3</v>
      </c>
      <c r="X137" s="23">
        <v>1.3717463131598</v>
      </c>
      <c r="Y137" s="23">
        <v>1.3338063878300499</v>
      </c>
      <c r="Z137" s="23">
        <v>1.38167264631749</v>
      </c>
      <c r="AA137" s="23">
        <v>1.37486822744104</v>
      </c>
      <c r="AB137" s="21">
        <v>331.02406933166401</v>
      </c>
      <c r="AC137" s="21">
        <v>343.38056819504402</v>
      </c>
      <c r="AD137" s="21">
        <v>341.08864408917702</v>
      </c>
      <c r="AE137" s="22">
        <v>-2.8047808861360098E-2</v>
      </c>
      <c r="AF137" s="22">
        <v>8.6004617510478804E-3</v>
      </c>
      <c r="AG137" s="22">
        <v>1.9034982334364E-3</v>
      </c>
      <c r="AI137" s="5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16">
        <f t="shared" si="28"/>
        <v>0</v>
      </c>
      <c r="AP137" s="16">
        <f t="shared" si="29"/>
        <v>0</v>
      </c>
      <c r="AQ137" s="16">
        <f t="shared" si="36"/>
        <v>0</v>
      </c>
      <c r="AR137" s="10">
        <f t="shared" si="37"/>
        <v>1.5722579686736293E-2</v>
      </c>
      <c r="AT137" s="5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16">
        <f t="shared" si="32"/>
        <v>0</v>
      </c>
      <c r="BA137" s="16">
        <f t="shared" si="33"/>
        <v>0</v>
      </c>
      <c r="BB137" s="16">
        <f t="shared" si="40"/>
        <v>0</v>
      </c>
      <c r="BC137" s="10">
        <f t="shared" si="41"/>
        <v>6.8949443174665684E-2</v>
      </c>
      <c r="BE137" s="10">
        <f t="shared" si="42"/>
        <v>0</v>
      </c>
      <c r="BF137" s="10">
        <f t="shared" si="43"/>
        <v>8.4672022861402005E-2</v>
      </c>
      <c r="BH137" s="10"/>
    </row>
    <row r="138" spans="1:60" x14ac:dyDescent="0.25">
      <c r="A138" s="1">
        <v>46224</v>
      </c>
      <c r="B138" s="21">
        <v>247.64</v>
      </c>
      <c r="C138" s="21">
        <v>340.4</v>
      </c>
      <c r="D138" s="22">
        <v>-2.1782106954422301E-3</v>
      </c>
      <c r="E138" s="22">
        <v>-1.17501909541293E-4</v>
      </c>
      <c r="F138" s="21">
        <v>0</v>
      </c>
      <c r="G138" s="21">
        <v>0.25</v>
      </c>
      <c r="H138" s="21">
        <v>0</v>
      </c>
      <c r="I138" s="21">
        <v>0.25</v>
      </c>
      <c r="J138" s="21">
        <v>0</v>
      </c>
      <c r="K138" s="21">
        <v>0</v>
      </c>
      <c r="L138" s="21">
        <v>247.64</v>
      </c>
      <c r="M138" s="21">
        <v>340.4</v>
      </c>
      <c r="N138" s="23">
        <v>1.3745759974156</v>
      </c>
      <c r="O138" s="23">
        <v>1.3338063878300499</v>
      </c>
      <c r="P138" s="23">
        <v>1.38013113902019</v>
      </c>
      <c r="Q138" s="23">
        <v>1.3752115159951099</v>
      </c>
      <c r="R138" s="21">
        <v>330.30381388223498</v>
      </c>
      <c r="S138" s="21">
        <v>342.15741413406403</v>
      </c>
      <c r="T138" s="21">
        <v>340.472367843499</v>
      </c>
      <c r="U138" s="22">
        <v>-3.01085176472611E-2</v>
      </c>
      <c r="V138" s="22">
        <v>5.1495097150300101E-3</v>
      </c>
      <c r="W138" s="22">
        <v>2.1257388958517701E-4</v>
      </c>
      <c r="X138" s="23">
        <v>1.3745759974156</v>
      </c>
      <c r="Y138" s="23">
        <v>1.3338063878300499</v>
      </c>
      <c r="Z138" s="23">
        <v>1.38013113902019</v>
      </c>
      <c r="AA138" s="23">
        <v>1.3752115159951099</v>
      </c>
      <c r="AB138" s="21">
        <v>330.30381388223498</v>
      </c>
      <c r="AC138" s="21">
        <v>342.15741413406403</v>
      </c>
      <c r="AD138" s="21">
        <v>340.472367843499</v>
      </c>
      <c r="AE138" s="22">
        <v>-3.01085176472611E-2</v>
      </c>
      <c r="AF138" s="22">
        <v>5.1495097150300101E-3</v>
      </c>
      <c r="AG138" s="22">
        <v>2.1257388958517701E-4</v>
      </c>
      <c r="AI138" s="5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16">
        <f t="shared" si="28"/>
        <v>0</v>
      </c>
      <c r="AP138" s="16">
        <f t="shared" si="29"/>
        <v>0</v>
      </c>
      <c r="AQ138" s="16">
        <f t="shared" si="36"/>
        <v>0</v>
      </c>
      <c r="AR138" s="10">
        <f t="shared" si="37"/>
        <v>1.5722579686736293E-2</v>
      </c>
      <c r="AT138" s="5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16">
        <f t="shared" si="32"/>
        <v>0</v>
      </c>
      <c r="BA138" s="16">
        <f t="shared" si="33"/>
        <v>0</v>
      </c>
      <c r="BB138" s="16">
        <f t="shared" si="40"/>
        <v>0</v>
      </c>
      <c r="BC138" s="10">
        <f t="shared" si="41"/>
        <v>6.8949443174665684E-2</v>
      </c>
      <c r="BE138" s="10">
        <f t="shared" si="42"/>
        <v>0</v>
      </c>
      <c r="BF138" s="10">
        <f t="shared" si="43"/>
        <v>8.4672022861402005E-2</v>
      </c>
      <c r="BH138" s="10"/>
    </row>
    <row r="139" spans="1:60" x14ac:dyDescent="0.25">
      <c r="A139" s="1">
        <v>46225</v>
      </c>
      <c r="B139" s="21">
        <v>244.25</v>
      </c>
      <c r="C139" s="21">
        <v>335.24</v>
      </c>
      <c r="D139" s="22">
        <v>-1.37837877281391E-2</v>
      </c>
      <c r="E139" s="22">
        <v>-1.5274703468513401E-2</v>
      </c>
      <c r="F139" s="21">
        <v>0</v>
      </c>
      <c r="G139" s="21">
        <v>0.25</v>
      </c>
      <c r="H139" s="21">
        <v>0</v>
      </c>
      <c r="I139" s="21">
        <v>0.25</v>
      </c>
      <c r="J139" s="21">
        <v>0</v>
      </c>
      <c r="K139" s="21">
        <v>0</v>
      </c>
      <c r="L139" s="21">
        <v>244.25</v>
      </c>
      <c r="M139" s="21">
        <v>335.24</v>
      </c>
      <c r="N139" s="23">
        <v>1.37252814738996</v>
      </c>
      <c r="O139" s="23">
        <v>1.3338063878300499</v>
      </c>
      <c r="P139" s="23">
        <v>1.3788427435452699</v>
      </c>
      <c r="Q139" s="23">
        <v>1.3759833912008701</v>
      </c>
      <c r="R139" s="21">
        <v>325.78221022749199</v>
      </c>
      <c r="S139" s="21">
        <v>337.09703070568099</v>
      </c>
      <c r="T139" s="21">
        <v>335.89541278180701</v>
      </c>
      <c r="U139" s="22">
        <v>-2.8617601906886701E-2</v>
      </c>
      <c r="V139" s="22">
        <v>5.5241206219006399E-3</v>
      </c>
      <c r="W139" s="22">
        <v>1.9531467947599399E-3</v>
      </c>
      <c r="X139" s="23">
        <v>1.37252814738996</v>
      </c>
      <c r="Y139" s="23">
        <v>1.3338063878300499</v>
      </c>
      <c r="Z139" s="23">
        <v>1.3788427435452699</v>
      </c>
      <c r="AA139" s="23">
        <v>1.3759833912008701</v>
      </c>
      <c r="AB139" s="21">
        <v>325.78221022749199</v>
      </c>
      <c r="AC139" s="21">
        <v>337.09703070568099</v>
      </c>
      <c r="AD139" s="21">
        <v>335.89541278180701</v>
      </c>
      <c r="AE139" s="22">
        <v>-2.8617601906886701E-2</v>
      </c>
      <c r="AF139" s="22">
        <v>5.5241206219006399E-3</v>
      </c>
      <c r="AG139" s="22">
        <v>1.9531467947599399E-3</v>
      </c>
      <c r="AI139" s="5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16">
        <f t="shared" si="28"/>
        <v>0</v>
      </c>
      <c r="AP139" s="16">
        <f t="shared" si="29"/>
        <v>0</v>
      </c>
      <c r="AQ139" s="16">
        <f t="shared" si="36"/>
        <v>0</v>
      </c>
      <c r="AR139" s="10">
        <f t="shared" si="37"/>
        <v>1.5722579686736293E-2</v>
      </c>
      <c r="AT139" s="5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16">
        <f t="shared" si="32"/>
        <v>0</v>
      </c>
      <c r="BA139" s="16">
        <f t="shared" si="33"/>
        <v>0</v>
      </c>
      <c r="BB139" s="16">
        <f t="shared" si="40"/>
        <v>0</v>
      </c>
      <c r="BC139" s="10">
        <f t="shared" si="41"/>
        <v>6.8949443174665684E-2</v>
      </c>
      <c r="BE139" s="10">
        <f t="shared" si="42"/>
        <v>0</v>
      </c>
      <c r="BF139" s="10">
        <f t="shared" si="43"/>
        <v>8.4672022861402005E-2</v>
      </c>
      <c r="BH139" s="10"/>
    </row>
    <row r="140" spans="1:60" x14ac:dyDescent="0.25">
      <c r="A140" s="1">
        <v>46226</v>
      </c>
      <c r="B140" s="21">
        <v>248.87</v>
      </c>
      <c r="C140" s="21">
        <v>340.54</v>
      </c>
      <c r="D140" s="22">
        <v>1.87383808528226E-2</v>
      </c>
      <c r="E140" s="22">
        <v>1.5685899761792299E-2</v>
      </c>
      <c r="F140" s="21">
        <v>0</v>
      </c>
      <c r="G140" s="21">
        <v>0.25</v>
      </c>
      <c r="H140" s="21">
        <v>0</v>
      </c>
      <c r="I140" s="21">
        <v>0.25</v>
      </c>
      <c r="J140" s="21">
        <v>0</v>
      </c>
      <c r="K140" s="21">
        <v>0</v>
      </c>
      <c r="L140" s="21">
        <v>248.87</v>
      </c>
      <c r="M140" s="21">
        <v>340.54</v>
      </c>
      <c r="N140" s="23">
        <v>1.36834491903403</v>
      </c>
      <c r="O140" s="23">
        <v>1.3338063878300499</v>
      </c>
      <c r="P140" s="23">
        <v>1.3766437928774999</v>
      </c>
      <c r="Q140" s="23">
        <v>1.3762419186096599</v>
      </c>
      <c r="R140" s="21">
        <v>331.94439573926599</v>
      </c>
      <c r="S140" s="21">
        <v>343.15259358611098</v>
      </c>
      <c r="T140" s="21">
        <v>342.44098656816101</v>
      </c>
      <c r="U140" s="22">
        <v>-2.5565120815856698E-2</v>
      </c>
      <c r="V140" s="22">
        <v>7.6426345038037996E-3</v>
      </c>
      <c r="W140" s="22">
        <v>5.5667478733193903E-3</v>
      </c>
      <c r="X140" s="23">
        <v>1.36834491903403</v>
      </c>
      <c r="Y140" s="23">
        <v>1.3338063878300499</v>
      </c>
      <c r="Z140" s="23">
        <v>1.3766437928774999</v>
      </c>
      <c r="AA140" s="23">
        <v>1.3762419186096599</v>
      </c>
      <c r="AB140" s="21">
        <v>331.94439573926599</v>
      </c>
      <c r="AC140" s="21">
        <v>343.15259358611098</v>
      </c>
      <c r="AD140" s="21">
        <v>342.44098656816101</v>
      </c>
      <c r="AE140" s="22">
        <v>-2.5565120815856698E-2</v>
      </c>
      <c r="AF140" s="22">
        <v>7.6426345038037996E-3</v>
      </c>
      <c r="AG140" s="22">
        <v>5.5667478733193903E-3</v>
      </c>
      <c r="AI140" s="5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16">
        <f t="shared" si="28"/>
        <v>0</v>
      </c>
      <c r="AP140" s="16">
        <f t="shared" si="29"/>
        <v>0</v>
      </c>
      <c r="AQ140" s="16">
        <f t="shared" si="36"/>
        <v>0</v>
      </c>
      <c r="AR140" s="10">
        <f t="shared" si="37"/>
        <v>1.5722579686736293E-2</v>
      </c>
      <c r="AT140" s="5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16">
        <f t="shared" si="32"/>
        <v>0</v>
      </c>
      <c r="BA140" s="16">
        <f t="shared" si="33"/>
        <v>0</v>
      </c>
      <c r="BB140" s="16">
        <f t="shared" si="40"/>
        <v>0</v>
      </c>
      <c r="BC140" s="10">
        <f t="shared" si="41"/>
        <v>6.8949443174665684E-2</v>
      </c>
      <c r="BE140" s="10">
        <f t="shared" si="42"/>
        <v>0</v>
      </c>
      <c r="BF140" s="10">
        <f t="shared" si="43"/>
        <v>8.4672022861402005E-2</v>
      </c>
      <c r="BH140" s="10"/>
    </row>
    <row r="141" spans="1:60" x14ac:dyDescent="0.25">
      <c r="A141" s="1">
        <v>46227</v>
      </c>
      <c r="B141" s="21">
        <v>253.4</v>
      </c>
      <c r="C141" s="21">
        <v>349.61</v>
      </c>
      <c r="D141" s="22">
        <v>1.8038596111323999E-2</v>
      </c>
      <c r="E141" s="22">
        <v>2.6285654498785501E-2</v>
      </c>
      <c r="F141" s="21">
        <v>0</v>
      </c>
      <c r="G141" s="21">
        <v>0.25</v>
      </c>
      <c r="H141" s="21">
        <v>0</v>
      </c>
      <c r="I141" s="21">
        <v>0.25</v>
      </c>
      <c r="J141" s="21">
        <v>0</v>
      </c>
      <c r="K141" s="21">
        <v>0</v>
      </c>
      <c r="L141" s="21">
        <v>253.4</v>
      </c>
      <c r="M141" s="21">
        <v>349.61</v>
      </c>
      <c r="N141" s="23">
        <v>1.3796764009471101</v>
      </c>
      <c r="O141" s="23">
        <v>1.3338063878300499</v>
      </c>
      <c r="P141" s="23">
        <v>1.37649201706321</v>
      </c>
      <c r="Q141" s="23">
        <v>1.3787228451160201</v>
      </c>
      <c r="R141" s="21">
        <v>337.986538676137</v>
      </c>
      <c r="S141" s="21">
        <v>348.84153711515899</v>
      </c>
      <c r="T141" s="21">
        <v>348.73970217568802</v>
      </c>
      <c r="U141" s="22">
        <v>-3.3812179203318297E-2</v>
      </c>
      <c r="V141" s="22">
        <v>-2.2004767806668201E-3</v>
      </c>
      <c r="W141" s="22">
        <v>-2.4924426033072601E-3</v>
      </c>
      <c r="X141" s="23">
        <v>1.3796764009471101</v>
      </c>
      <c r="Y141" s="23">
        <v>1.3338063878300499</v>
      </c>
      <c r="Z141" s="23">
        <v>1.37649201706321</v>
      </c>
      <c r="AA141" s="23">
        <v>1.3787228451160201</v>
      </c>
      <c r="AB141" s="21">
        <v>337.986538676137</v>
      </c>
      <c r="AC141" s="21">
        <v>348.84153711515899</v>
      </c>
      <c r="AD141" s="21">
        <v>348.73970217568802</v>
      </c>
      <c r="AE141" s="22">
        <v>-3.3812179203318297E-2</v>
      </c>
      <c r="AF141" s="22">
        <v>-2.2004767806668201E-3</v>
      </c>
      <c r="AG141" s="22">
        <v>-2.4924426033072601E-3</v>
      </c>
      <c r="AI141" s="5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16">
        <f t="shared" si="28"/>
        <v>0</v>
      </c>
      <c r="AP141" s="16">
        <f t="shared" si="29"/>
        <v>0</v>
      </c>
      <c r="AQ141" s="16">
        <f t="shared" si="36"/>
        <v>0</v>
      </c>
      <c r="AR141" s="10">
        <f t="shared" si="37"/>
        <v>1.5722579686736293E-2</v>
      </c>
      <c r="AT141" s="5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16">
        <f t="shared" si="32"/>
        <v>0</v>
      </c>
      <c r="BA141" s="16">
        <f t="shared" si="33"/>
        <v>0</v>
      </c>
      <c r="BB141" s="16">
        <f t="shared" si="40"/>
        <v>0</v>
      </c>
      <c r="BC141" s="10">
        <f t="shared" si="41"/>
        <v>6.8949443174665684E-2</v>
      </c>
      <c r="BE141" s="10">
        <f t="shared" si="42"/>
        <v>0</v>
      </c>
      <c r="BF141" s="10">
        <f t="shared" si="43"/>
        <v>8.4672022861402005E-2</v>
      </c>
      <c r="BH141" s="10"/>
    </row>
    <row r="142" spans="1:60" x14ac:dyDescent="0.25">
      <c r="A142" s="1">
        <v>46230</v>
      </c>
      <c r="B142" s="21">
        <v>259.42</v>
      </c>
      <c r="C142" s="21">
        <v>357.15</v>
      </c>
      <c r="D142" s="22">
        <v>2.3479102025488401E-2</v>
      </c>
      <c r="E142" s="22">
        <v>2.13376141096977E-2</v>
      </c>
      <c r="F142" s="21">
        <v>0</v>
      </c>
      <c r="G142" s="21">
        <v>0.25</v>
      </c>
      <c r="H142" s="21">
        <v>0</v>
      </c>
      <c r="I142" s="21">
        <v>0.25</v>
      </c>
      <c r="J142" s="21">
        <v>0</v>
      </c>
      <c r="K142" s="21">
        <v>0</v>
      </c>
      <c r="L142" s="21">
        <v>259.42</v>
      </c>
      <c r="M142" s="21">
        <v>357.15</v>
      </c>
      <c r="N142" s="23">
        <v>1.37672500192737</v>
      </c>
      <c r="O142" s="23">
        <v>1.3338063878300499</v>
      </c>
      <c r="P142" s="23">
        <v>1.3761340318969399</v>
      </c>
      <c r="Q142" s="23">
        <v>1.37980177402216</v>
      </c>
      <c r="R142" s="21">
        <v>346.01605313087401</v>
      </c>
      <c r="S142" s="21">
        <v>357.08955906653898</v>
      </c>
      <c r="T142" s="21">
        <v>357.668280479999</v>
      </c>
      <c r="U142" s="22">
        <v>-3.1670691287527697E-2</v>
      </c>
      <c r="V142" s="22">
        <v>-1.6924555028595799E-4</v>
      </c>
      <c r="W142" s="22">
        <v>1.45010441107193E-3</v>
      </c>
      <c r="X142" s="23">
        <v>1.37672500192737</v>
      </c>
      <c r="Y142" s="23">
        <v>1.3338063878300499</v>
      </c>
      <c r="Z142" s="23">
        <v>1.3761340318969399</v>
      </c>
      <c r="AA142" s="23">
        <v>1.37980177402216</v>
      </c>
      <c r="AB142" s="21">
        <v>346.01605313087401</v>
      </c>
      <c r="AC142" s="21">
        <v>357.08955906653898</v>
      </c>
      <c r="AD142" s="21">
        <v>357.668280479999</v>
      </c>
      <c r="AE142" s="22">
        <v>-3.1670691287527697E-2</v>
      </c>
      <c r="AF142" s="22">
        <v>-1.6924555028595799E-4</v>
      </c>
      <c r="AG142" s="22">
        <v>1.45010441107193E-3</v>
      </c>
      <c r="AI142" s="5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16">
        <f t="shared" si="28"/>
        <v>0</v>
      </c>
      <c r="AP142" s="16">
        <f t="shared" si="29"/>
        <v>0</v>
      </c>
      <c r="AQ142" s="16">
        <f t="shared" si="36"/>
        <v>0</v>
      </c>
      <c r="AR142" s="10">
        <f t="shared" si="37"/>
        <v>1.5722579686736293E-2</v>
      </c>
      <c r="AT142" s="5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16">
        <f t="shared" si="32"/>
        <v>0</v>
      </c>
      <c r="BA142" s="16">
        <f t="shared" si="33"/>
        <v>0</v>
      </c>
      <c r="BB142" s="16">
        <f t="shared" si="40"/>
        <v>0</v>
      </c>
      <c r="BC142" s="10">
        <f t="shared" si="41"/>
        <v>6.8949443174665684E-2</v>
      </c>
      <c r="BE142" s="10">
        <f t="shared" si="42"/>
        <v>0</v>
      </c>
      <c r="BF142" s="10">
        <f t="shared" si="43"/>
        <v>8.4672022861402005E-2</v>
      </c>
      <c r="BH142" s="10"/>
    </row>
    <row r="143" spans="1:60" x14ac:dyDescent="0.25">
      <c r="A143" s="1">
        <v>46231</v>
      </c>
      <c r="B143" s="21">
        <v>263.25</v>
      </c>
      <c r="C143" s="21">
        <v>363.44</v>
      </c>
      <c r="D143" s="22">
        <v>1.4655781101557699E-2</v>
      </c>
      <c r="E143" s="22">
        <v>1.7458359850166399E-2</v>
      </c>
      <c r="F143" s="21">
        <v>0</v>
      </c>
      <c r="G143" s="21">
        <v>0.25</v>
      </c>
      <c r="H143" s="21">
        <v>0</v>
      </c>
      <c r="I143" s="21">
        <v>0.25</v>
      </c>
      <c r="J143" s="21">
        <v>0</v>
      </c>
      <c r="K143" s="21">
        <v>0</v>
      </c>
      <c r="L143" s="21">
        <v>263.25</v>
      </c>
      <c r="M143" s="21">
        <v>363.44</v>
      </c>
      <c r="N143" s="23">
        <v>1.38058879392212</v>
      </c>
      <c r="O143" s="23">
        <v>1.3338063878300499</v>
      </c>
      <c r="P143" s="23">
        <v>1.3757828191786201</v>
      </c>
      <c r="Q143" s="23">
        <v>1.3799770797981099</v>
      </c>
      <c r="R143" s="21">
        <v>351.12453159626301</v>
      </c>
      <c r="S143" s="21">
        <v>362.26728389687099</v>
      </c>
      <c r="T143" s="21">
        <v>363.232817011333</v>
      </c>
      <c r="U143" s="22">
        <v>-3.44732700361364E-2</v>
      </c>
      <c r="V143" s="22">
        <v>-3.2319287678040298E-3</v>
      </c>
      <c r="W143" s="22">
        <v>-5.7022359837866001E-4</v>
      </c>
      <c r="X143" s="23">
        <v>1.38058879392212</v>
      </c>
      <c r="Y143" s="23">
        <v>1.3338063878300499</v>
      </c>
      <c r="Z143" s="23">
        <v>1.3757828191786201</v>
      </c>
      <c r="AA143" s="23">
        <v>1.3799770797981099</v>
      </c>
      <c r="AB143" s="21">
        <v>351.12453159626301</v>
      </c>
      <c r="AC143" s="21">
        <v>362.26728389687099</v>
      </c>
      <c r="AD143" s="21">
        <v>363.232817011333</v>
      </c>
      <c r="AE143" s="22">
        <v>-3.44732700361364E-2</v>
      </c>
      <c r="AF143" s="22">
        <v>-3.2319287678040298E-3</v>
      </c>
      <c r="AG143" s="22">
        <v>-5.7022359837866001E-4</v>
      </c>
      <c r="AI143" s="5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16">
        <f t="shared" si="28"/>
        <v>0</v>
      </c>
      <c r="AP143" s="16">
        <f t="shared" si="29"/>
        <v>0</v>
      </c>
      <c r="AQ143" s="16">
        <f t="shared" si="36"/>
        <v>0</v>
      </c>
      <c r="AR143" s="10">
        <f t="shared" si="37"/>
        <v>1.5722579686736293E-2</v>
      </c>
      <c r="AT143" s="5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16">
        <f t="shared" si="32"/>
        <v>0</v>
      </c>
      <c r="BA143" s="16">
        <f t="shared" si="33"/>
        <v>0</v>
      </c>
      <c r="BB143" s="16">
        <f t="shared" si="40"/>
        <v>0</v>
      </c>
      <c r="BC143" s="10">
        <f t="shared" si="41"/>
        <v>6.8949443174665684E-2</v>
      </c>
      <c r="BE143" s="10">
        <f t="shared" si="42"/>
        <v>0</v>
      </c>
      <c r="BF143" s="10">
        <f t="shared" si="43"/>
        <v>8.4672022861402005E-2</v>
      </c>
      <c r="BH143" s="10"/>
    </row>
    <row r="144" spans="1:60" x14ac:dyDescent="0.25">
      <c r="A144" s="1">
        <v>46232</v>
      </c>
      <c r="B144" s="21">
        <v>257.36</v>
      </c>
      <c r="C144" s="21">
        <v>355.23</v>
      </c>
      <c r="D144" s="22">
        <v>-2.2628268083313901E-2</v>
      </c>
      <c r="E144" s="22">
        <v>-2.2848754440172599E-2</v>
      </c>
      <c r="F144" s="21">
        <v>0</v>
      </c>
      <c r="G144" s="21">
        <v>0.25</v>
      </c>
      <c r="H144" s="21">
        <v>0</v>
      </c>
      <c r="I144" s="21">
        <v>0.25</v>
      </c>
      <c r="J144" s="21">
        <v>0</v>
      </c>
      <c r="K144" s="21">
        <v>0</v>
      </c>
      <c r="L144" s="21">
        <v>257.36</v>
      </c>
      <c r="M144" s="21">
        <v>355.23</v>
      </c>
      <c r="N144" s="23">
        <v>1.3802844264842999</v>
      </c>
      <c r="O144" s="23">
        <v>1.3338063878300499</v>
      </c>
      <c r="P144" s="23">
        <v>1.37495265203242</v>
      </c>
      <c r="Q144" s="23">
        <v>1.3799381430439299</v>
      </c>
      <c r="R144" s="21">
        <v>343.26841197194398</v>
      </c>
      <c r="S144" s="21">
        <v>354.07146634381098</v>
      </c>
      <c r="T144" s="21">
        <v>355.15090125684299</v>
      </c>
      <c r="U144" s="22">
        <v>-3.4252783679277699E-2</v>
      </c>
      <c r="V144" s="22">
        <v>-3.2666919255443499E-3</v>
      </c>
      <c r="W144" s="22">
        <v>-2.22693890964001E-4</v>
      </c>
      <c r="X144" s="23">
        <v>1.3802844264842999</v>
      </c>
      <c r="Y144" s="23">
        <v>1.3338063878300499</v>
      </c>
      <c r="Z144" s="23">
        <v>1.37495265203242</v>
      </c>
      <c r="AA144" s="23">
        <v>1.3799381430439299</v>
      </c>
      <c r="AB144" s="21">
        <v>343.26841197194398</v>
      </c>
      <c r="AC144" s="21">
        <v>354.07146634381098</v>
      </c>
      <c r="AD144" s="21">
        <v>355.15090125684299</v>
      </c>
      <c r="AE144" s="22">
        <v>-3.4252783679277699E-2</v>
      </c>
      <c r="AF144" s="22">
        <v>-3.2666919255443499E-3</v>
      </c>
      <c r="AG144" s="22">
        <v>-2.22693890964001E-4</v>
      </c>
      <c r="AI144" s="5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16">
        <f t="shared" si="28"/>
        <v>0</v>
      </c>
      <c r="AP144" s="16">
        <f t="shared" si="29"/>
        <v>0</v>
      </c>
      <c r="AQ144" s="16">
        <f t="shared" si="36"/>
        <v>0</v>
      </c>
      <c r="AR144" s="10">
        <f t="shared" si="37"/>
        <v>1.5722579686736293E-2</v>
      </c>
      <c r="AT144" s="5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16">
        <f t="shared" si="32"/>
        <v>0</v>
      </c>
      <c r="BA144" s="16">
        <f t="shared" si="33"/>
        <v>0</v>
      </c>
      <c r="BB144" s="16">
        <f t="shared" si="40"/>
        <v>0</v>
      </c>
      <c r="BC144" s="10">
        <f t="shared" si="41"/>
        <v>6.8949443174665684E-2</v>
      </c>
      <c r="BE144" s="10">
        <f t="shared" si="42"/>
        <v>0</v>
      </c>
      <c r="BF144" s="10">
        <f t="shared" si="43"/>
        <v>8.4672022861402005E-2</v>
      </c>
      <c r="BH144" s="10"/>
    </row>
    <row r="145" spans="1:60" x14ac:dyDescent="0.25">
      <c r="A145" s="1">
        <v>46233</v>
      </c>
      <c r="B145" s="21">
        <v>256.14999999999998</v>
      </c>
      <c r="C145" s="21">
        <v>354.17</v>
      </c>
      <c r="D145" s="22">
        <v>-4.71267254555972E-3</v>
      </c>
      <c r="E145" s="22">
        <v>-2.98844316009745E-3</v>
      </c>
      <c r="F145" s="21">
        <v>0</v>
      </c>
      <c r="G145" s="21">
        <v>0.25</v>
      </c>
      <c r="H145" s="21">
        <v>0</v>
      </c>
      <c r="I145" s="21">
        <v>0.25</v>
      </c>
      <c r="J145" s="21">
        <v>0</v>
      </c>
      <c r="K145" s="21">
        <v>0</v>
      </c>
      <c r="L145" s="21">
        <v>256.14999999999998</v>
      </c>
      <c r="M145" s="21">
        <v>354.17</v>
      </c>
      <c r="N145" s="23">
        <v>1.3826664064024901</v>
      </c>
      <c r="O145" s="23">
        <v>1.3338063878300499</v>
      </c>
      <c r="P145" s="23">
        <v>1.37573927349109</v>
      </c>
      <c r="Q145" s="23">
        <v>1.38033460114353</v>
      </c>
      <c r="R145" s="21">
        <v>341.65450624266902</v>
      </c>
      <c r="S145" s="21">
        <v>352.194121818106</v>
      </c>
      <c r="T145" s="21">
        <v>353.47115534070298</v>
      </c>
      <c r="U145" s="22">
        <v>-3.5977013064739903E-2</v>
      </c>
      <c r="V145" s="22">
        <v>-5.5945178255325098E-3</v>
      </c>
      <c r="W145" s="22">
        <v>-1.9751391823822099E-3</v>
      </c>
      <c r="X145" s="23">
        <v>1.3826664064024901</v>
      </c>
      <c r="Y145" s="23">
        <v>1.3338063878300499</v>
      </c>
      <c r="Z145" s="23">
        <v>1.37573927349109</v>
      </c>
      <c r="AA145" s="23">
        <v>1.38033460114353</v>
      </c>
      <c r="AB145" s="21">
        <v>341.65450624266902</v>
      </c>
      <c r="AC145" s="21">
        <v>352.194121818106</v>
      </c>
      <c r="AD145" s="21">
        <v>353.47115534070298</v>
      </c>
      <c r="AE145" s="22">
        <v>-3.5977013064739903E-2</v>
      </c>
      <c r="AF145" s="22">
        <v>-5.5945178255325098E-3</v>
      </c>
      <c r="AG145" s="22">
        <v>-1.9751391823822099E-3</v>
      </c>
      <c r="AI145" s="5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16">
        <f t="shared" si="28"/>
        <v>0</v>
      </c>
      <c r="AP145" s="16">
        <f t="shared" si="29"/>
        <v>0</v>
      </c>
      <c r="AQ145" s="16">
        <f t="shared" si="36"/>
        <v>0</v>
      </c>
      <c r="AR145" s="10">
        <f t="shared" si="37"/>
        <v>1.5722579686736293E-2</v>
      </c>
      <c r="AT145" s="5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16">
        <f t="shared" si="32"/>
        <v>0</v>
      </c>
      <c r="BA145" s="16">
        <f t="shared" si="33"/>
        <v>0</v>
      </c>
      <c r="BB145" s="16">
        <f t="shared" si="40"/>
        <v>0</v>
      </c>
      <c r="BC145" s="10">
        <f t="shared" si="41"/>
        <v>6.8949443174665684E-2</v>
      </c>
      <c r="BE145" s="10">
        <f t="shared" si="42"/>
        <v>0</v>
      </c>
      <c r="BF145" s="10">
        <f t="shared" si="43"/>
        <v>8.4672022861402005E-2</v>
      </c>
      <c r="BH145" s="10"/>
    </row>
    <row r="146" spans="1:60" x14ac:dyDescent="0.25">
      <c r="A146" s="1">
        <v>46234</v>
      </c>
      <c r="B146" s="21">
        <v>257.27999999999997</v>
      </c>
      <c r="C146" s="21">
        <v>356.36</v>
      </c>
      <c r="D146" s="22">
        <v>4.4017756053902199E-3</v>
      </c>
      <c r="E146" s="22">
        <v>6.1644320015654197E-3</v>
      </c>
      <c r="F146" s="21">
        <v>0</v>
      </c>
      <c r="G146" s="21">
        <v>0.25</v>
      </c>
      <c r="H146" s="21">
        <v>0</v>
      </c>
      <c r="I146" s="21">
        <v>0.25</v>
      </c>
      <c r="J146" s="21">
        <v>0</v>
      </c>
      <c r="K146" s="21">
        <v>0</v>
      </c>
      <c r="L146" s="21">
        <v>257.27999999999997</v>
      </c>
      <c r="M146" s="21">
        <v>356.36</v>
      </c>
      <c r="N146" s="23">
        <v>1.38510572139303</v>
      </c>
      <c r="O146" s="23">
        <v>1.3338063878300499</v>
      </c>
      <c r="P146" s="23">
        <v>1.37722421280758</v>
      </c>
      <c r="Q146" s="23">
        <v>1.38040952802327</v>
      </c>
      <c r="R146" s="21">
        <v>343.161707460917</v>
      </c>
      <c r="S146" s="21">
        <v>353.95020028378798</v>
      </c>
      <c r="T146" s="21">
        <v>355.13248618220803</v>
      </c>
      <c r="U146" s="22">
        <v>-3.7739669460914997E-2</v>
      </c>
      <c r="V146" s="22">
        <v>-6.7852297790685998E-3</v>
      </c>
      <c r="W146" s="22">
        <v>-3.4505354857550601E-3</v>
      </c>
      <c r="X146" s="23">
        <v>1.38510572139303</v>
      </c>
      <c r="Y146" s="23">
        <v>1.3338063878300499</v>
      </c>
      <c r="Z146" s="23">
        <v>1.37722421280758</v>
      </c>
      <c r="AA146" s="23">
        <v>1.38040952802327</v>
      </c>
      <c r="AB146" s="21">
        <v>343.161707460917</v>
      </c>
      <c r="AC146" s="21">
        <v>353.95020028378798</v>
      </c>
      <c r="AD146" s="21">
        <v>355.13248618220803</v>
      </c>
      <c r="AE146" s="22">
        <v>-3.7739669460914997E-2</v>
      </c>
      <c r="AF146" s="22">
        <v>-6.7852297790685998E-3</v>
      </c>
      <c r="AG146" s="22">
        <v>-3.4505354857550601E-3</v>
      </c>
      <c r="AI146" s="5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16">
        <f t="shared" si="28"/>
        <v>0</v>
      </c>
      <c r="AP146" s="16">
        <f t="shared" si="29"/>
        <v>0</v>
      </c>
      <c r="AQ146" s="16">
        <f t="shared" si="36"/>
        <v>0</v>
      </c>
      <c r="AR146" s="10">
        <f t="shared" si="37"/>
        <v>1.5722579686736293E-2</v>
      </c>
      <c r="AT146" s="5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16">
        <f t="shared" si="32"/>
        <v>0</v>
      </c>
      <c r="BA146" s="16">
        <f t="shared" si="33"/>
        <v>0</v>
      </c>
      <c r="BB146" s="16">
        <f t="shared" si="40"/>
        <v>0</v>
      </c>
      <c r="BC146" s="10">
        <f t="shared" si="41"/>
        <v>6.8949443174665684E-2</v>
      </c>
      <c r="BE146" s="10">
        <f t="shared" si="42"/>
        <v>0</v>
      </c>
      <c r="BF146" s="10">
        <f t="shared" si="43"/>
        <v>8.4672022861402005E-2</v>
      </c>
      <c r="BH146" s="10"/>
    </row>
    <row r="147" spans="1:60" x14ac:dyDescent="0.25">
      <c r="A147" s="1">
        <v>46237</v>
      </c>
      <c r="B147" s="21">
        <v>261.82</v>
      </c>
      <c r="C147" s="21">
        <v>360.44</v>
      </c>
      <c r="D147" s="22">
        <v>1.7492258761351499E-2</v>
      </c>
      <c r="E147" s="22">
        <v>1.1384051514393499E-2</v>
      </c>
      <c r="F147" s="21">
        <v>0</v>
      </c>
      <c r="G147" s="21">
        <v>0.25</v>
      </c>
      <c r="H147" s="21">
        <v>0</v>
      </c>
      <c r="I147" s="21">
        <v>0.25</v>
      </c>
      <c r="J147" s="21">
        <v>0</v>
      </c>
      <c r="K147" s="21">
        <v>0</v>
      </c>
      <c r="L147" s="21">
        <v>261.82</v>
      </c>
      <c r="M147" s="21">
        <v>360.44</v>
      </c>
      <c r="N147" s="23">
        <v>1.37667099534031</v>
      </c>
      <c r="O147" s="23">
        <v>1.3338063878300499</v>
      </c>
      <c r="P147" s="23">
        <v>1.3777166810256301</v>
      </c>
      <c r="Q147" s="23">
        <v>1.3796946636715599</v>
      </c>
      <c r="R147" s="21">
        <v>349.21718846166601</v>
      </c>
      <c r="S147" s="21">
        <v>360.58484339728199</v>
      </c>
      <c r="T147" s="21">
        <v>361.41882262705298</v>
      </c>
      <c r="U147" s="22">
        <v>-3.1631462213956997E-2</v>
      </c>
      <c r="V147" s="22">
        <v>4.0177089751380598E-4</v>
      </c>
      <c r="W147" s="22">
        <v>2.7119519670118701E-3</v>
      </c>
      <c r="X147" s="23">
        <v>1.37667099534031</v>
      </c>
      <c r="Y147" s="23">
        <v>1.3338063878300499</v>
      </c>
      <c r="Z147" s="23">
        <v>1.3777166810256301</v>
      </c>
      <c r="AA147" s="23">
        <v>1.3796946636715599</v>
      </c>
      <c r="AB147" s="21">
        <v>349.21718846166601</v>
      </c>
      <c r="AC147" s="21">
        <v>360.58484339728199</v>
      </c>
      <c r="AD147" s="21">
        <v>361.41882262705298</v>
      </c>
      <c r="AE147" s="22">
        <v>-3.1631462213956997E-2</v>
      </c>
      <c r="AF147" s="22">
        <v>4.0177089751380598E-4</v>
      </c>
      <c r="AG147" s="22">
        <v>2.7119519670118701E-3</v>
      </c>
      <c r="AI147" s="5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16">
        <f t="shared" si="28"/>
        <v>0</v>
      </c>
      <c r="AP147" s="16">
        <f t="shared" si="29"/>
        <v>0</v>
      </c>
      <c r="AQ147" s="16">
        <f t="shared" si="36"/>
        <v>0</v>
      </c>
      <c r="AR147" s="10">
        <f t="shared" si="37"/>
        <v>1.5722579686736293E-2</v>
      </c>
      <c r="AT147" s="5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16">
        <f t="shared" si="32"/>
        <v>0</v>
      </c>
      <c r="BA147" s="16">
        <f t="shared" si="33"/>
        <v>0</v>
      </c>
      <c r="BB147" s="16">
        <f t="shared" si="40"/>
        <v>0</v>
      </c>
      <c r="BC147" s="10">
        <f t="shared" si="41"/>
        <v>6.8949443174665684E-2</v>
      </c>
      <c r="BE147" s="10">
        <f t="shared" si="42"/>
        <v>0</v>
      </c>
      <c r="BF147" s="10">
        <f t="shared" si="43"/>
        <v>8.4672022861402005E-2</v>
      </c>
      <c r="BH147" s="10"/>
    </row>
    <row r="148" spans="1:60" x14ac:dyDescent="0.25">
      <c r="A148" s="1">
        <v>46238</v>
      </c>
      <c r="B148" s="21">
        <v>265.95999999999998</v>
      </c>
      <c r="C148" s="21">
        <v>367.66</v>
      </c>
      <c r="D148" s="22">
        <v>1.5688676782301E-2</v>
      </c>
      <c r="E148" s="22">
        <v>1.9833090687889101E-2</v>
      </c>
      <c r="F148" s="21">
        <v>0</v>
      </c>
      <c r="G148" s="21">
        <v>0.25</v>
      </c>
      <c r="H148" s="21">
        <v>0</v>
      </c>
      <c r="I148" s="21">
        <v>0.25</v>
      </c>
      <c r="J148" s="21">
        <v>0</v>
      </c>
      <c r="K148" s="21">
        <v>0</v>
      </c>
      <c r="L148" s="21">
        <v>265.95999999999998</v>
      </c>
      <c r="M148" s="21">
        <v>367.66</v>
      </c>
      <c r="N148" s="23">
        <v>1.38238832907204</v>
      </c>
      <c r="O148" s="23">
        <v>1.3338063878300499</v>
      </c>
      <c r="P148" s="23">
        <v>1.3784979141912801</v>
      </c>
      <c r="Q148" s="23">
        <v>1.3793145266057301</v>
      </c>
      <c r="R148" s="21">
        <v>354.73914690728202</v>
      </c>
      <c r="S148" s="21">
        <v>366.41752848557798</v>
      </c>
      <c r="T148" s="21">
        <v>366.94359275008901</v>
      </c>
      <c r="U148" s="22">
        <v>-3.5775876119544997E-2</v>
      </c>
      <c r="V148" s="22">
        <v>-3.38512664581843E-3</v>
      </c>
      <c r="W148" s="22">
        <v>-1.95046004157719E-3</v>
      </c>
      <c r="X148" s="23">
        <v>1.38238832907204</v>
      </c>
      <c r="Y148" s="23">
        <v>1.3338063878300499</v>
      </c>
      <c r="Z148" s="23">
        <v>1.3784979141912801</v>
      </c>
      <c r="AA148" s="23">
        <v>1.3793145266057301</v>
      </c>
      <c r="AB148" s="21">
        <v>354.73914690728202</v>
      </c>
      <c r="AC148" s="21">
        <v>366.41752848557798</v>
      </c>
      <c r="AD148" s="21">
        <v>366.94359275008901</v>
      </c>
      <c r="AE148" s="22">
        <v>-3.5775876119544997E-2</v>
      </c>
      <c r="AF148" s="22">
        <v>-3.38512664581843E-3</v>
      </c>
      <c r="AG148" s="22">
        <v>-1.95046004157719E-3</v>
      </c>
      <c r="AI148" s="5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16">
        <f t="shared" si="28"/>
        <v>0</v>
      </c>
      <c r="AP148" s="16">
        <f t="shared" si="29"/>
        <v>0</v>
      </c>
      <c r="AQ148" s="16">
        <f t="shared" si="36"/>
        <v>0</v>
      </c>
      <c r="AR148" s="10">
        <f t="shared" si="37"/>
        <v>1.5722579686736293E-2</v>
      </c>
      <c r="AT148" s="5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16">
        <f t="shared" si="32"/>
        <v>0</v>
      </c>
      <c r="BA148" s="16">
        <f t="shared" si="33"/>
        <v>0</v>
      </c>
      <c r="BB148" s="16">
        <f t="shared" si="40"/>
        <v>0</v>
      </c>
      <c r="BC148" s="10">
        <f t="shared" si="41"/>
        <v>6.8949443174665684E-2</v>
      </c>
      <c r="BE148" s="10">
        <f t="shared" si="42"/>
        <v>0</v>
      </c>
      <c r="BF148" s="10">
        <f t="shared" si="43"/>
        <v>8.4672022861402005E-2</v>
      </c>
      <c r="BH148" s="10"/>
    </row>
    <row r="149" spans="1:60" x14ac:dyDescent="0.25">
      <c r="A149" s="1">
        <v>46239</v>
      </c>
      <c r="B149" s="21">
        <v>266.45999999999998</v>
      </c>
      <c r="C149" s="21">
        <v>366.8</v>
      </c>
      <c r="D149" s="22">
        <v>1.8782169978117499E-3</v>
      </c>
      <c r="E149" s="22">
        <v>-2.3418576724158701E-3</v>
      </c>
      <c r="F149" s="21">
        <v>0</v>
      </c>
      <c r="G149" s="21">
        <v>0.25</v>
      </c>
      <c r="H149" s="21">
        <v>0</v>
      </c>
      <c r="I149" s="21">
        <v>0.25</v>
      </c>
      <c r="J149" s="21">
        <v>0</v>
      </c>
      <c r="K149" s="21">
        <v>0</v>
      </c>
      <c r="L149" s="21">
        <v>266.45999999999998</v>
      </c>
      <c r="M149" s="21">
        <v>366.8</v>
      </c>
      <c r="N149" s="23">
        <v>1.37656683930045</v>
      </c>
      <c r="O149" s="23">
        <v>1.3338063878300499</v>
      </c>
      <c r="P149" s="23">
        <v>1.37890178338233</v>
      </c>
      <c r="Q149" s="23">
        <v>1.3788722634638</v>
      </c>
      <c r="R149" s="21">
        <v>355.40605010119702</v>
      </c>
      <c r="S149" s="21">
        <v>367.31455421540801</v>
      </c>
      <c r="T149" s="21">
        <v>367.53214875936402</v>
      </c>
      <c r="U149" s="22">
        <v>-3.1555801449317397E-2</v>
      </c>
      <c r="V149" s="22">
        <v>1.4018365300581799E-3</v>
      </c>
      <c r="W149" s="22">
        <v>1.99405406178147E-3</v>
      </c>
      <c r="X149" s="23">
        <v>1.37656683930045</v>
      </c>
      <c r="Y149" s="23">
        <v>1.3338063878300499</v>
      </c>
      <c r="Z149" s="23">
        <v>1.37890178338233</v>
      </c>
      <c r="AA149" s="23">
        <v>1.3788722634638</v>
      </c>
      <c r="AB149" s="21">
        <v>355.40605010119702</v>
      </c>
      <c r="AC149" s="21">
        <v>367.31455421540801</v>
      </c>
      <c r="AD149" s="21">
        <v>367.53214875936402</v>
      </c>
      <c r="AE149" s="22">
        <v>-3.1555801449317397E-2</v>
      </c>
      <c r="AF149" s="22">
        <v>1.4018365300581799E-3</v>
      </c>
      <c r="AG149" s="22">
        <v>1.99405406178147E-3</v>
      </c>
      <c r="AI149" s="5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16">
        <f t="shared" si="28"/>
        <v>0</v>
      </c>
      <c r="AP149" s="16">
        <f t="shared" si="29"/>
        <v>0</v>
      </c>
      <c r="AQ149" s="16">
        <f t="shared" si="36"/>
        <v>0</v>
      </c>
      <c r="AR149" s="10">
        <f t="shared" si="37"/>
        <v>1.5722579686736293E-2</v>
      </c>
      <c r="AT149" s="5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16">
        <f t="shared" si="32"/>
        <v>0</v>
      </c>
      <c r="BA149" s="16">
        <f t="shared" si="33"/>
        <v>0</v>
      </c>
      <c r="BB149" s="16">
        <f t="shared" si="40"/>
        <v>0</v>
      </c>
      <c r="BC149" s="10">
        <f t="shared" si="41"/>
        <v>6.8949443174665684E-2</v>
      </c>
      <c r="BE149" s="10">
        <f t="shared" si="42"/>
        <v>0</v>
      </c>
      <c r="BF149" s="10">
        <f t="shared" si="43"/>
        <v>8.4672022861402005E-2</v>
      </c>
      <c r="BH149" s="10"/>
    </row>
    <row r="150" spans="1:60" x14ac:dyDescent="0.25">
      <c r="A150" s="1">
        <v>46240</v>
      </c>
      <c r="B150" s="21">
        <v>263.93</v>
      </c>
      <c r="C150" s="21">
        <v>363.29</v>
      </c>
      <c r="D150" s="22">
        <v>-9.5402220597791999E-3</v>
      </c>
      <c r="E150" s="22">
        <v>-9.6153269950374695E-3</v>
      </c>
      <c r="F150" s="21">
        <v>0</v>
      </c>
      <c r="G150" s="21">
        <v>0.25</v>
      </c>
      <c r="H150" s="21">
        <v>0</v>
      </c>
      <c r="I150" s="21">
        <v>0.25</v>
      </c>
      <c r="J150" s="21">
        <v>0</v>
      </c>
      <c r="K150" s="21">
        <v>0</v>
      </c>
      <c r="L150" s="21">
        <v>263.93</v>
      </c>
      <c r="M150" s="21">
        <v>363.29</v>
      </c>
      <c r="N150" s="23">
        <v>1.37646345621945</v>
      </c>
      <c r="O150" s="23">
        <v>1.3338063878300499</v>
      </c>
      <c r="P150" s="23">
        <v>1.37971363710087</v>
      </c>
      <c r="Q150" s="23">
        <v>1.37817871498918</v>
      </c>
      <c r="R150" s="21">
        <v>352.03151993998699</v>
      </c>
      <c r="S150" s="21">
        <v>363.93354768809797</v>
      </c>
      <c r="T150" s="21">
        <v>363.92575649600002</v>
      </c>
      <c r="U150" s="22">
        <v>-3.14806965140592E-2</v>
      </c>
      <c r="V150" s="22">
        <v>1.7698762866933701E-3</v>
      </c>
      <c r="W150" s="22">
        <v>1.7484677753147101E-3</v>
      </c>
      <c r="X150" s="23">
        <v>1.37646345621945</v>
      </c>
      <c r="Y150" s="23">
        <v>1.3338063878300499</v>
      </c>
      <c r="Z150" s="23">
        <v>1.37971363710087</v>
      </c>
      <c r="AA150" s="23">
        <v>1.37817871498918</v>
      </c>
      <c r="AB150" s="21">
        <v>352.03151993998699</v>
      </c>
      <c r="AC150" s="21">
        <v>363.93354768809797</v>
      </c>
      <c r="AD150" s="21">
        <v>363.92575649600002</v>
      </c>
      <c r="AE150" s="22">
        <v>-3.14806965140592E-2</v>
      </c>
      <c r="AF150" s="22">
        <v>1.7698762866933701E-3</v>
      </c>
      <c r="AG150" s="22">
        <v>1.7484677753147101E-3</v>
      </c>
      <c r="AI150" s="5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16">
        <f t="shared" ref="AO150:AO176" si="48">AN150*D150</f>
        <v>0</v>
      </c>
      <c r="AP150" s="16">
        <f t="shared" ref="AP150:AP176" si="49">-AN150*$E150</f>
        <v>0</v>
      </c>
      <c r="AQ150" s="16">
        <f t="shared" si="36"/>
        <v>0</v>
      </c>
      <c r="AR150" s="10">
        <f t="shared" si="37"/>
        <v>1.5722579686736293E-2</v>
      </c>
      <c r="AT150" s="5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16">
        <f t="shared" ref="AZ150:AZ176" si="52">-AY150*D150</f>
        <v>0</v>
      </c>
      <c r="BA150" s="16">
        <f t="shared" ref="BA150:BA176" si="53">AY150*$E150</f>
        <v>0</v>
      </c>
      <c r="BB150" s="16">
        <f t="shared" si="40"/>
        <v>0</v>
      </c>
      <c r="BC150" s="10">
        <f t="shared" si="41"/>
        <v>6.8949443174665684E-2</v>
      </c>
      <c r="BE150" s="10">
        <f t="shared" si="42"/>
        <v>0</v>
      </c>
      <c r="BF150" s="10">
        <f t="shared" si="43"/>
        <v>8.4672022861402005E-2</v>
      </c>
      <c r="BH150" s="10"/>
    </row>
    <row r="151" spans="1:60" x14ac:dyDescent="0.25">
      <c r="A151" s="1">
        <v>46241</v>
      </c>
      <c r="B151" s="21">
        <v>266.31</v>
      </c>
      <c r="C151" s="21">
        <v>367.58</v>
      </c>
      <c r="D151" s="22">
        <v>8.9771272760511105E-3</v>
      </c>
      <c r="E151" s="22">
        <v>1.17395686500555E-2</v>
      </c>
      <c r="F151" s="21">
        <v>0</v>
      </c>
      <c r="G151" s="21">
        <v>0.25</v>
      </c>
      <c r="H151" s="21">
        <v>0</v>
      </c>
      <c r="I151" s="21">
        <v>0.25</v>
      </c>
      <c r="J151" s="21">
        <v>0</v>
      </c>
      <c r="K151" s="21">
        <v>0</v>
      </c>
      <c r="L151" s="21">
        <v>266.31</v>
      </c>
      <c r="M151" s="21">
        <v>367.58</v>
      </c>
      <c r="N151" s="23">
        <v>1.38027111261312</v>
      </c>
      <c r="O151" s="23">
        <v>1.3338063878300499</v>
      </c>
      <c r="P151" s="23">
        <v>1.37977310826747</v>
      </c>
      <c r="Q151" s="23">
        <v>1.37813256266534</v>
      </c>
      <c r="R151" s="21">
        <v>355.205979143023</v>
      </c>
      <c r="S151" s="21">
        <v>367.43153869633301</v>
      </c>
      <c r="T151" s="21">
        <v>367.02277358877001</v>
      </c>
      <c r="U151" s="22">
        <v>-3.4243137888063699E-2</v>
      </c>
      <c r="V151" s="22">
        <v>-4.0397000011472E-4</v>
      </c>
      <c r="W151" s="22">
        <v>-1.51708253259179E-3</v>
      </c>
      <c r="X151" s="23">
        <v>1.38027111261312</v>
      </c>
      <c r="Y151" s="23">
        <v>1.3338063878300499</v>
      </c>
      <c r="Z151" s="23">
        <v>1.37977310826747</v>
      </c>
      <c r="AA151" s="23">
        <v>1.37813256266534</v>
      </c>
      <c r="AB151" s="21">
        <v>355.205979143023</v>
      </c>
      <c r="AC151" s="21">
        <v>367.43153869633301</v>
      </c>
      <c r="AD151" s="21">
        <v>367.02277358877001</v>
      </c>
      <c r="AE151" s="22">
        <v>-3.4243137888063699E-2</v>
      </c>
      <c r="AF151" s="22">
        <v>-4.0397000011472E-4</v>
      </c>
      <c r="AG151" s="22">
        <v>-1.51708253259179E-3</v>
      </c>
      <c r="AI151" s="5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16">
        <f t="shared" si="48"/>
        <v>0</v>
      </c>
      <c r="AP151" s="16">
        <f t="shared" si="49"/>
        <v>0</v>
      </c>
      <c r="AQ151" s="16">
        <f t="shared" ref="AQ151:AQ176" si="56">AO151+AP151</f>
        <v>0</v>
      </c>
      <c r="AR151" s="10">
        <f t="shared" ref="AR151:AR176" si="57">AR150+AQ151</f>
        <v>1.5722579686736293E-2</v>
      </c>
      <c r="AT151" s="5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16">
        <f t="shared" si="52"/>
        <v>0</v>
      </c>
      <c r="BA151" s="16">
        <f t="shared" si="53"/>
        <v>0</v>
      </c>
      <c r="BB151" s="16">
        <f t="shared" ref="BB151:BB176" si="60">AZ151+BA151</f>
        <v>0</v>
      </c>
      <c r="BC151" s="10">
        <f t="shared" ref="BC151:BC176" si="61">BC150+BB151</f>
        <v>6.8949443174665684E-2</v>
      </c>
      <c r="BE151" s="10">
        <f t="shared" ref="BE151:BE176" si="62">AQ151+BB151</f>
        <v>0</v>
      </c>
      <c r="BF151" s="10">
        <f t="shared" ref="BF151:BF176" si="63">BF150+BE151</f>
        <v>8.4672022861402005E-2</v>
      </c>
      <c r="BH151" s="10"/>
    </row>
    <row r="152" spans="1:60" x14ac:dyDescent="0.25">
      <c r="A152" s="1">
        <v>46244</v>
      </c>
      <c r="B152" s="21">
        <v>265.08</v>
      </c>
      <c r="C152" s="21">
        <v>363.94</v>
      </c>
      <c r="D152" s="22">
        <v>-4.6293765283116298E-3</v>
      </c>
      <c r="E152" s="22">
        <v>-9.9519631522313606E-3</v>
      </c>
      <c r="F152" s="21">
        <v>0</v>
      </c>
      <c r="G152" s="21">
        <v>0.25</v>
      </c>
      <c r="H152" s="21">
        <v>0</v>
      </c>
      <c r="I152" s="21">
        <v>0.25</v>
      </c>
      <c r="J152" s="21">
        <v>0</v>
      </c>
      <c r="K152" s="21">
        <v>0</v>
      </c>
      <c r="L152" s="21">
        <v>265.08</v>
      </c>
      <c r="M152" s="21">
        <v>363.94</v>
      </c>
      <c r="N152" s="23">
        <v>1.37294401690055</v>
      </c>
      <c r="O152" s="23">
        <v>1.3338063878300499</v>
      </c>
      <c r="P152" s="23">
        <v>1.37939500976479</v>
      </c>
      <c r="Q152" s="23">
        <v>1.37776452083086</v>
      </c>
      <c r="R152" s="21">
        <v>353.56539728599199</v>
      </c>
      <c r="S152" s="21">
        <v>365.750255539541</v>
      </c>
      <c r="T152" s="21">
        <v>365.315379711329</v>
      </c>
      <c r="U152" s="22">
        <v>-2.89205512641439E-2</v>
      </c>
      <c r="V152" s="22">
        <v>4.9617196875968803E-3</v>
      </c>
      <c r="W152" s="22">
        <v>3.7720156212676399E-3</v>
      </c>
      <c r="X152" s="23">
        <v>1.37294401690055</v>
      </c>
      <c r="Y152" s="23">
        <v>1.3338063878300499</v>
      </c>
      <c r="Z152" s="23">
        <v>1.37939500976479</v>
      </c>
      <c r="AA152" s="23">
        <v>1.37776452083086</v>
      </c>
      <c r="AB152" s="21">
        <v>353.56539728599199</v>
      </c>
      <c r="AC152" s="21">
        <v>365.750255539541</v>
      </c>
      <c r="AD152" s="21">
        <v>365.315379711329</v>
      </c>
      <c r="AE152" s="22">
        <v>-2.89205512641439E-2</v>
      </c>
      <c r="AF152" s="22">
        <v>4.9617196875968803E-3</v>
      </c>
      <c r="AG152" s="22">
        <v>3.7720156212676399E-3</v>
      </c>
      <c r="AI152" s="5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16">
        <f t="shared" si="48"/>
        <v>0</v>
      </c>
      <c r="AP152" s="16">
        <f t="shared" si="49"/>
        <v>0</v>
      </c>
      <c r="AQ152" s="16">
        <f t="shared" si="56"/>
        <v>0</v>
      </c>
      <c r="AR152" s="10">
        <f t="shared" si="57"/>
        <v>1.5722579686736293E-2</v>
      </c>
      <c r="AT152" s="5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16">
        <f t="shared" si="52"/>
        <v>0</v>
      </c>
      <c r="BA152" s="16">
        <f t="shared" si="53"/>
        <v>0</v>
      </c>
      <c r="BB152" s="16">
        <f t="shared" si="60"/>
        <v>0</v>
      </c>
      <c r="BC152" s="10">
        <f t="shared" si="61"/>
        <v>6.8949443174665684E-2</v>
      </c>
      <c r="BE152" s="10">
        <f t="shared" si="62"/>
        <v>0</v>
      </c>
      <c r="BF152" s="10">
        <f t="shared" si="63"/>
        <v>8.4672022861402005E-2</v>
      </c>
      <c r="BH152" s="10"/>
    </row>
    <row r="153" spans="1:60" x14ac:dyDescent="0.25">
      <c r="A153" s="1">
        <v>46245</v>
      </c>
      <c r="B153" s="21">
        <v>264.72000000000003</v>
      </c>
      <c r="C153" s="21">
        <v>366.92</v>
      </c>
      <c r="D153" s="22">
        <v>-1.3590036066692E-3</v>
      </c>
      <c r="E153" s="22">
        <v>8.1548217563582395E-3</v>
      </c>
      <c r="F153" s="21">
        <v>0</v>
      </c>
      <c r="G153" s="21">
        <v>0.25</v>
      </c>
      <c r="H153" s="21">
        <v>0</v>
      </c>
      <c r="I153" s="21">
        <v>0.25</v>
      </c>
      <c r="J153" s="21">
        <v>0</v>
      </c>
      <c r="K153" s="21">
        <v>0</v>
      </c>
      <c r="L153" s="21">
        <v>264.72000000000003</v>
      </c>
      <c r="M153" s="21">
        <v>366.92</v>
      </c>
      <c r="N153" s="23">
        <v>1.38606829857963</v>
      </c>
      <c r="O153" s="23">
        <v>1.3338063878300499</v>
      </c>
      <c r="P153" s="23">
        <v>1.37994296023054</v>
      </c>
      <c r="Q153" s="23">
        <v>1.3778628897045799</v>
      </c>
      <c r="R153" s="21">
        <v>353.08522698637302</v>
      </c>
      <c r="S153" s="21">
        <v>365.15344698493499</v>
      </c>
      <c r="T153" s="21">
        <v>364.72182395434697</v>
      </c>
      <c r="U153" s="22">
        <v>-3.8434376627171397E-2</v>
      </c>
      <c r="V153" s="22">
        <v>-4.82617270496556E-3</v>
      </c>
      <c r="W153" s="22">
        <v>-6.0089037772130703E-3</v>
      </c>
      <c r="X153" s="23">
        <v>1.38606829857963</v>
      </c>
      <c r="Y153" s="23">
        <v>1.3338063878300499</v>
      </c>
      <c r="Z153" s="23">
        <v>1.37994296023054</v>
      </c>
      <c r="AA153" s="23">
        <v>1.3778628897045799</v>
      </c>
      <c r="AB153" s="21">
        <v>353.08522698637302</v>
      </c>
      <c r="AC153" s="21">
        <v>365.15344698493499</v>
      </c>
      <c r="AD153" s="21">
        <v>364.72182395434697</v>
      </c>
      <c r="AE153" s="22">
        <v>-3.8434376627171397E-2</v>
      </c>
      <c r="AF153" s="22">
        <v>-4.82617270496556E-3</v>
      </c>
      <c r="AG153" s="22">
        <v>-6.0089037772130703E-3</v>
      </c>
      <c r="AI153" s="5"/>
      <c r="AJ153">
        <f t="shared" si="46"/>
        <v>0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16">
        <f t="shared" si="48"/>
        <v>0</v>
      </c>
      <c r="AP153" s="16">
        <f t="shared" si="49"/>
        <v>0</v>
      </c>
      <c r="AQ153" s="16">
        <f t="shared" si="56"/>
        <v>0</v>
      </c>
      <c r="AR153" s="10">
        <f t="shared" si="57"/>
        <v>1.5722579686736293E-2</v>
      </c>
      <c r="AT153" s="5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16">
        <f t="shared" si="52"/>
        <v>0</v>
      </c>
      <c r="BA153" s="16">
        <f t="shared" si="53"/>
        <v>0</v>
      </c>
      <c r="BB153" s="16">
        <f t="shared" si="60"/>
        <v>0</v>
      </c>
      <c r="BC153" s="10">
        <f t="shared" si="61"/>
        <v>6.8949443174665684E-2</v>
      </c>
      <c r="BE153" s="10">
        <f t="shared" si="62"/>
        <v>0</v>
      </c>
      <c r="BF153" s="10">
        <f t="shared" si="63"/>
        <v>8.4672022861402005E-2</v>
      </c>
      <c r="BH153" s="10"/>
    </row>
    <row r="154" spans="1:60" x14ac:dyDescent="0.25">
      <c r="A154" s="1">
        <v>46246</v>
      </c>
      <c r="B154" s="21">
        <v>272.20999999999998</v>
      </c>
      <c r="C154" s="21">
        <v>373.1</v>
      </c>
      <c r="D154" s="22">
        <v>2.7901163622069101E-2</v>
      </c>
      <c r="E154" s="22">
        <v>1.6702639585657399E-2</v>
      </c>
      <c r="F154" s="21">
        <v>0</v>
      </c>
      <c r="G154" s="21">
        <v>0.25</v>
      </c>
      <c r="H154" s="21">
        <v>0</v>
      </c>
      <c r="I154" s="21">
        <v>0.25</v>
      </c>
      <c r="J154" s="21">
        <v>0</v>
      </c>
      <c r="K154" s="21">
        <v>0</v>
      </c>
      <c r="L154" s="21">
        <v>272.20999999999998</v>
      </c>
      <c r="M154" s="21">
        <v>373.1</v>
      </c>
      <c r="N154" s="23">
        <v>1.3706329671944399</v>
      </c>
      <c r="O154" s="23">
        <v>1.3338063878300499</v>
      </c>
      <c r="P154" s="23">
        <v>1.3789778143015501</v>
      </c>
      <c r="Q154" s="23">
        <v>1.3769652331669899</v>
      </c>
      <c r="R154" s="21">
        <v>363.07543683121997</v>
      </c>
      <c r="S154" s="21">
        <v>375.634273204355</v>
      </c>
      <c r="T154" s="21">
        <v>375.06805720648401</v>
      </c>
      <c r="U154" s="22">
        <v>-2.7235852590759699E-2</v>
      </c>
      <c r="V154" s="22">
        <v>6.7695121569134398E-3</v>
      </c>
      <c r="W154" s="22">
        <v>5.2610151606872196E-3</v>
      </c>
      <c r="X154" s="23">
        <v>1.3706329671944399</v>
      </c>
      <c r="Y154" s="23">
        <v>1.3338063878300499</v>
      </c>
      <c r="Z154" s="23">
        <v>1.3789778143015501</v>
      </c>
      <c r="AA154" s="23">
        <v>1.3769652331669899</v>
      </c>
      <c r="AB154" s="21">
        <v>363.07543683121997</v>
      </c>
      <c r="AC154" s="21">
        <v>375.634273204355</v>
      </c>
      <c r="AD154" s="21">
        <v>375.06805720648401</v>
      </c>
      <c r="AE154" s="22">
        <v>-2.7235852590759699E-2</v>
      </c>
      <c r="AF154" s="22">
        <v>6.7695121569134398E-3</v>
      </c>
      <c r="AG154" s="22">
        <v>5.2610151606872196E-3</v>
      </c>
      <c r="AI154" s="5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16">
        <f t="shared" si="48"/>
        <v>0</v>
      </c>
      <c r="AP154" s="16">
        <f t="shared" si="49"/>
        <v>0</v>
      </c>
      <c r="AQ154" s="16">
        <f t="shared" si="56"/>
        <v>0</v>
      </c>
      <c r="AR154" s="10">
        <f t="shared" si="57"/>
        <v>1.5722579686736293E-2</v>
      </c>
      <c r="AT154" s="5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16">
        <f t="shared" si="52"/>
        <v>0</v>
      </c>
      <c r="BA154" s="16">
        <f t="shared" si="53"/>
        <v>0</v>
      </c>
      <c r="BB154" s="16">
        <f t="shared" si="60"/>
        <v>0</v>
      </c>
      <c r="BC154" s="10">
        <f t="shared" si="61"/>
        <v>6.8949443174665684E-2</v>
      </c>
      <c r="BE154" s="10">
        <f t="shared" si="62"/>
        <v>0</v>
      </c>
      <c r="BF154" s="10">
        <f t="shared" si="63"/>
        <v>8.4672022861402005E-2</v>
      </c>
      <c r="BH154" s="10"/>
    </row>
    <row r="155" spans="1:60" x14ac:dyDescent="0.25">
      <c r="A155" s="1">
        <v>46247</v>
      </c>
      <c r="B155" s="21">
        <v>272.49</v>
      </c>
      <c r="C155" s="21">
        <v>371.56</v>
      </c>
      <c r="D155" s="22">
        <v>1.0280889468060001E-3</v>
      </c>
      <c r="E155" s="22">
        <v>-4.1361217077921604E-3</v>
      </c>
      <c r="F155" s="21">
        <v>0</v>
      </c>
      <c r="G155" s="21">
        <v>0.25</v>
      </c>
      <c r="H155" s="21">
        <v>0</v>
      </c>
      <c r="I155" s="21">
        <v>0.25</v>
      </c>
      <c r="J155" s="21">
        <v>0</v>
      </c>
      <c r="K155" s="21">
        <v>0</v>
      </c>
      <c r="L155" s="21">
        <v>272.49</v>
      </c>
      <c r="M155" s="21">
        <v>371.56</v>
      </c>
      <c r="N155" s="23">
        <v>1.36357297515505</v>
      </c>
      <c r="O155" s="23">
        <v>1.3338063878300499</v>
      </c>
      <c r="P155" s="23">
        <v>1.37706847117681</v>
      </c>
      <c r="Q155" s="23">
        <v>1.37640387233395</v>
      </c>
      <c r="R155" s="21">
        <v>363.44890261981197</v>
      </c>
      <c r="S155" s="21">
        <v>375.75766461902998</v>
      </c>
      <c r="T155" s="21">
        <v>375.20925638567297</v>
      </c>
      <c r="U155" s="22">
        <v>-2.20716419361617E-2</v>
      </c>
      <c r="V155" s="22">
        <v>1.123406809343E-2</v>
      </c>
      <c r="W155" s="22">
        <v>9.7735288459467901E-3</v>
      </c>
      <c r="X155" s="23">
        <v>1.36357297515505</v>
      </c>
      <c r="Y155" s="23">
        <v>1.3338063878300499</v>
      </c>
      <c r="Z155" s="23">
        <v>1.37706847117681</v>
      </c>
      <c r="AA155" s="23">
        <v>1.37640387233395</v>
      </c>
      <c r="AB155" s="21">
        <v>363.44890261981197</v>
      </c>
      <c r="AC155" s="21">
        <v>375.75766461902998</v>
      </c>
      <c r="AD155" s="21">
        <v>375.20925638567297</v>
      </c>
      <c r="AE155" s="22">
        <v>-2.20716419361617E-2</v>
      </c>
      <c r="AF155" s="22">
        <v>1.123406809343E-2</v>
      </c>
      <c r="AG155" s="22">
        <v>9.7735288459467901E-3</v>
      </c>
      <c r="AI155" s="5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16">
        <f t="shared" si="48"/>
        <v>0</v>
      </c>
      <c r="AP155" s="16">
        <f t="shared" si="49"/>
        <v>0</v>
      </c>
      <c r="AQ155" s="16">
        <f t="shared" si="56"/>
        <v>0</v>
      </c>
      <c r="AR155" s="10">
        <f t="shared" si="57"/>
        <v>1.5722579686736293E-2</v>
      </c>
      <c r="AT155" s="5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16">
        <f t="shared" si="52"/>
        <v>0</v>
      </c>
      <c r="BA155" s="16">
        <f t="shared" si="53"/>
        <v>0</v>
      </c>
      <c r="BB155" s="16">
        <f t="shared" si="60"/>
        <v>0</v>
      </c>
      <c r="BC155" s="10">
        <f t="shared" si="61"/>
        <v>6.8949443174665684E-2</v>
      </c>
      <c r="BE155" s="10">
        <f t="shared" si="62"/>
        <v>0</v>
      </c>
      <c r="BF155" s="10">
        <f t="shared" si="63"/>
        <v>8.4672022861402005E-2</v>
      </c>
      <c r="BH155" s="10"/>
    </row>
    <row r="156" spans="1:60" x14ac:dyDescent="0.25">
      <c r="A156" s="1">
        <v>46248</v>
      </c>
      <c r="B156" s="21">
        <v>274.99</v>
      </c>
      <c r="C156" s="21">
        <v>374.67</v>
      </c>
      <c r="D156" s="22">
        <v>9.1328171868028194E-3</v>
      </c>
      <c r="E156" s="22">
        <v>8.3352800237834392E-3</v>
      </c>
      <c r="F156" s="21">
        <v>0</v>
      </c>
      <c r="G156" s="21">
        <v>0.25</v>
      </c>
      <c r="H156" s="21">
        <v>0</v>
      </c>
      <c r="I156" s="21">
        <v>0.25</v>
      </c>
      <c r="J156" s="21">
        <v>0</v>
      </c>
      <c r="K156" s="21">
        <v>0</v>
      </c>
      <c r="L156" s="21">
        <v>274.99</v>
      </c>
      <c r="M156" s="21">
        <v>374.67</v>
      </c>
      <c r="N156" s="23">
        <v>1.3624859085784899</v>
      </c>
      <c r="O156" s="23">
        <v>1.3338063878300499</v>
      </c>
      <c r="P156" s="23">
        <v>1.37480648989535</v>
      </c>
      <c r="Q156" s="23">
        <v>1.3760153513514699</v>
      </c>
      <c r="R156" s="21">
        <v>366.78341858938802</v>
      </c>
      <c r="S156" s="21">
        <v>378.68005888891099</v>
      </c>
      <c r="T156" s="21">
        <v>378.49730085311302</v>
      </c>
      <c r="U156" s="22">
        <v>-2.1274104773142202E-2</v>
      </c>
      <c r="V156" s="22">
        <v>1.06460382285896E-2</v>
      </c>
      <c r="W156" s="22">
        <v>1.01633031415052E-2</v>
      </c>
      <c r="X156" s="23">
        <v>1.3624859085784899</v>
      </c>
      <c r="Y156" s="23">
        <v>1.3338063878300499</v>
      </c>
      <c r="Z156" s="23">
        <v>1.37480648989535</v>
      </c>
      <c r="AA156" s="23">
        <v>1.3760153513514699</v>
      </c>
      <c r="AB156" s="21">
        <v>366.78341858938802</v>
      </c>
      <c r="AC156" s="21">
        <v>378.68005888891099</v>
      </c>
      <c r="AD156" s="21">
        <v>378.49730085311302</v>
      </c>
      <c r="AE156" s="22">
        <v>-2.1274104773142202E-2</v>
      </c>
      <c r="AF156" s="22">
        <v>1.06460382285896E-2</v>
      </c>
      <c r="AG156" s="22">
        <v>1.01633031415052E-2</v>
      </c>
      <c r="AI156" s="5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16">
        <f t="shared" si="48"/>
        <v>0</v>
      </c>
      <c r="AP156" s="16">
        <f t="shared" si="49"/>
        <v>0</v>
      </c>
      <c r="AQ156" s="16">
        <f t="shared" si="56"/>
        <v>0</v>
      </c>
      <c r="AR156" s="10">
        <f t="shared" si="57"/>
        <v>1.5722579686736293E-2</v>
      </c>
      <c r="AT156" s="5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16">
        <f t="shared" si="52"/>
        <v>0</v>
      </c>
      <c r="BA156" s="16">
        <f t="shared" si="53"/>
        <v>0</v>
      </c>
      <c r="BB156" s="16">
        <f t="shared" si="60"/>
        <v>0</v>
      </c>
      <c r="BC156" s="10">
        <f t="shared" si="61"/>
        <v>6.8949443174665684E-2</v>
      </c>
      <c r="BE156" s="10">
        <f t="shared" si="62"/>
        <v>0</v>
      </c>
      <c r="BF156" s="10">
        <f t="shared" si="63"/>
        <v>8.4672022861402005E-2</v>
      </c>
      <c r="BH156" s="10"/>
    </row>
    <row r="157" spans="1:60" x14ac:dyDescent="0.25">
      <c r="A157" s="1">
        <v>46251</v>
      </c>
      <c r="B157" s="21">
        <v>270.60000000000002</v>
      </c>
      <c r="C157" s="21">
        <v>371.28</v>
      </c>
      <c r="D157" s="22">
        <v>-1.6093017632346801E-2</v>
      </c>
      <c r="E157" s="22">
        <v>-9.0891436101832295E-3</v>
      </c>
      <c r="F157" s="21">
        <v>0</v>
      </c>
      <c r="G157" s="21">
        <v>0.25</v>
      </c>
      <c r="H157" s="21">
        <v>0</v>
      </c>
      <c r="I157" s="21">
        <v>0.25</v>
      </c>
      <c r="J157" s="21">
        <v>0</v>
      </c>
      <c r="K157" s="21">
        <v>0</v>
      </c>
      <c r="L157" s="21">
        <v>270.60000000000002</v>
      </c>
      <c r="M157" s="21">
        <v>371.28</v>
      </c>
      <c r="N157" s="23">
        <v>1.3720620842572</v>
      </c>
      <c r="O157" s="23">
        <v>1.3338063878300499</v>
      </c>
      <c r="P157" s="23">
        <v>1.3743455987870401</v>
      </c>
      <c r="Q157" s="23">
        <v>1.3760311399063401</v>
      </c>
      <c r="R157" s="21">
        <v>360.928008546814</v>
      </c>
      <c r="S157" s="21">
        <v>372.02263616568302</v>
      </c>
      <c r="T157" s="21">
        <v>372.34975407570801</v>
      </c>
      <c r="U157" s="22">
        <v>-2.82779787953059E-2</v>
      </c>
      <c r="V157" s="22">
        <v>1.99820739669685E-3</v>
      </c>
      <c r="W157" s="22">
        <v>2.8771167581160099E-3</v>
      </c>
      <c r="X157" s="23">
        <v>1.3720620842572</v>
      </c>
      <c r="Y157" s="23">
        <v>1.3338063878300499</v>
      </c>
      <c r="Z157" s="23">
        <v>1.3743455987870401</v>
      </c>
      <c r="AA157" s="23">
        <v>1.3760311399063401</v>
      </c>
      <c r="AB157" s="21">
        <v>360.928008546814</v>
      </c>
      <c r="AC157" s="21">
        <v>372.02263616568302</v>
      </c>
      <c r="AD157" s="21">
        <v>372.34975407570801</v>
      </c>
      <c r="AE157" s="22">
        <v>-2.82779787953059E-2</v>
      </c>
      <c r="AF157" s="22">
        <v>1.99820739669685E-3</v>
      </c>
      <c r="AG157" s="22">
        <v>2.8771167581160099E-3</v>
      </c>
      <c r="AI157" s="5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16">
        <f t="shared" si="48"/>
        <v>0</v>
      </c>
      <c r="AP157" s="16">
        <f t="shared" si="49"/>
        <v>0</v>
      </c>
      <c r="AQ157" s="16">
        <f t="shared" si="56"/>
        <v>0</v>
      </c>
      <c r="AR157" s="10">
        <f t="shared" si="57"/>
        <v>1.5722579686736293E-2</v>
      </c>
      <c r="AT157" s="5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16">
        <f t="shared" si="52"/>
        <v>0</v>
      </c>
      <c r="BA157" s="16">
        <f t="shared" si="53"/>
        <v>0</v>
      </c>
      <c r="BB157" s="16">
        <f t="shared" si="60"/>
        <v>0</v>
      </c>
      <c r="BC157" s="10">
        <f t="shared" si="61"/>
        <v>6.8949443174665684E-2</v>
      </c>
      <c r="BE157" s="10">
        <f t="shared" si="62"/>
        <v>0</v>
      </c>
      <c r="BF157" s="10">
        <f t="shared" si="63"/>
        <v>8.4672022861402005E-2</v>
      </c>
      <c r="BH157" s="10"/>
    </row>
    <row r="158" spans="1:60" x14ac:dyDescent="0.25">
      <c r="A158" s="1">
        <v>46252</v>
      </c>
      <c r="B158" s="21">
        <v>268.77999999999997</v>
      </c>
      <c r="C158" s="21">
        <v>368.01</v>
      </c>
      <c r="D158" s="22">
        <v>-6.7485146177697604E-3</v>
      </c>
      <c r="E158" s="22">
        <v>-8.8463832201500208E-3</v>
      </c>
      <c r="F158" s="21">
        <v>0</v>
      </c>
      <c r="G158" s="21">
        <v>0.25</v>
      </c>
      <c r="H158" s="21">
        <v>0</v>
      </c>
      <c r="I158" s="21">
        <v>0.25</v>
      </c>
      <c r="J158" s="21">
        <v>0</v>
      </c>
      <c r="K158" s="21">
        <v>0</v>
      </c>
      <c r="L158" s="21">
        <v>268.77999999999997</v>
      </c>
      <c r="M158" s="21">
        <v>368.01</v>
      </c>
      <c r="N158" s="23">
        <v>1.36918669543864</v>
      </c>
      <c r="O158" s="23">
        <v>1.3338063878300499</v>
      </c>
      <c r="P158" s="23">
        <v>1.3730254354236999</v>
      </c>
      <c r="Q158" s="23">
        <v>1.3757616748074899</v>
      </c>
      <c r="R158" s="21">
        <v>358.50048092096301</v>
      </c>
      <c r="S158" s="21">
        <v>369.396610041982</v>
      </c>
      <c r="T158" s="21">
        <v>369.84964978402598</v>
      </c>
      <c r="U158" s="22">
        <v>-2.6180110192925599E-2</v>
      </c>
      <c r="V158" s="22">
        <v>3.7607790800557E-3</v>
      </c>
      <c r="W158" s="22">
        <v>4.98645940711587E-3</v>
      </c>
      <c r="X158" s="23">
        <v>1.36918669543864</v>
      </c>
      <c r="Y158" s="23">
        <v>1.3338063878300499</v>
      </c>
      <c r="Z158" s="23">
        <v>1.3730254354236999</v>
      </c>
      <c r="AA158" s="23">
        <v>1.3757616748074899</v>
      </c>
      <c r="AB158" s="21">
        <v>358.50048092096301</v>
      </c>
      <c r="AC158" s="21">
        <v>369.396610041982</v>
      </c>
      <c r="AD158" s="21">
        <v>369.84964978402598</v>
      </c>
      <c r="AE158" s="22">
        <v>-2.6180110192925599E-2</v>
      </c>
      <c r="AF158" s="22">
        <v>3.7607790800557E-3</v>
      </c>
      <c r="AG158" s="22">
        <v>4.98645940711587E-3</v>
      </c>
      <c r="AI158" s="5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16">
        <f t="shared" si="48"/>
        <v>0</v>
      </c>
      <c r="AP158" s="16">
        <f t="shared" si="49"/>
        <v>0</v>
      </c>
      <c r="AQ158" s="16">
        <f t="shared" si="56"/>
        <v>0</v>
      </c>
      <c r="AR158" s="10">
        <f t="shared" si="57"/>
        <v>1.5722579686736293E-2</v>
      </c>
      <c r="AT158" s="5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16">
        <f t="shared" si="52"/>
        <v>0</v>
      </c>
      <c r="BA158" s="16">
        <f t="shared" si="53"/>
        <v>0</v>
      </c>
      <c r="BB158" s="16">
        <f t="shared" si="60"/>
        <v>0</v>
      </c>
      <c r="BC158" s="10">
        <f t="shared" si="61"/>
        <v>6.8949443174665684E-2</v>
      </c>
      <c r="BE158" s="10">
        <f t="shared" si="62"/>
        <v>0</v>
      </c>
      <c r="BF158" s="10">
        <f t="shared" si="63"/>
        <v>8.4672022861402005E-2</v>
      </c>
      <c r="BH158" s="10"/>
    </row>
    <row r="159" spans="1:60" x14ac:dyDescent="0.25">
      <c r="A159" s="1">
        <v>46253</v>
      </c>
      <c r="B159" s="21">
        <v>264.39</v>
      </c>
      <c r="C159" s="21">
        <v>363.42</v>
      </c>
      <c r="D159" s="22">
        <v>-1.6467915339239299E-2</v>
      </c>
      <c r="E159" s="22">
        <v>-1.25509214918594E-2</v>
      </c>
      <c r="F159" s="21">
        <v>0</v>
      </c>
      <c r="G159" s="21">
        <v>0.25</v>
      </c>
      <c r="H159" s="21">
        <v>0</v>
      </c>
      <c r="I159" s="21">
        <v>0.25</v>
      </c>
      <c r="J159" s="21">
        <v>0</v>
      </c>
      <c r="K159" s="21">
        <v>0</v>
      </c>
      <c r="L159" s="21">
        <v>264.39</v>
      </c>
      <c r="M159" s="21">
        <v>363.42</v>
      </c>
      <c r="N159" s="23">
        <v>1.37456030863497</v>
      </c>
      <c r="O159" s="23">
        <v>1.3338063878300499</v>
      </c>
      <c r="P159" s="23">
        <v>1.37282478235715</v>
      </c>
      <c r="Q159" s="23">
        <v>1.3758632828697399</v>
      </c>
      <c r="R159" s="21">
        <v>352.64507087838899</v>
      </c>
      <c r="S159" s="21">
        <v>363.014194871673</v>
      </c>
      <c r="T159" s="21">
        <v>363.73762920235299</v>
      </c>
      <c r="U159" s="22">
        <v>-3.0097104040305599E-2</v>
      </c>
      <c r="V159" s="22">
        <v>-1.1172523909347401E-3</v>
      </c>
      <c r="W159" s="22">
        <v>8.7361862077461503E-4</v>
      </c>
      <c r="X159" s="23">
        <v>1.37456030863497</v>
      </c>
      <c r="Y159" s="23">
        <v>1.3338063878300499</v>
      </c>
      <c r="Z159" s="23">
        <v>1.37282478235715</v>
      </c>
      <c r="AA159" s="23">
        <v>1.3758632828697399</v>
      </c>
      <c r="AB159" s="21">
        <v>352.64507087838899</v>
      </c>
      <c r="AC159" s="21">
        <v>363.014194871673</v>
      </c>
      <c r="AD159" s="21">
        <v>363.73762920235299</v>
      </c>
      <c r="AE159" s="22">
        <v>-3.0097104040305599E-2</v>
      </c>
      <c r="AF159" s="22">
        <v>-1.1172523909347401E-3</v>
      </c>
      <c r="AG159" s="22">
        <v>8.7361862077461503E-4</v>
      </c>
      <c r="AI159" s="5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16">
        <f t="shared" si="48"/>
        <v>0</v>
      </c>
      <c r="AP159" s="16">
        <f t="shared" si="49"/>
        <v>0</v>
      </c>
      <c r="AQ159" s="16">
        <f t="shared" si="56"/>
        <v>0</v>
      </c>
      <c r="AR159" s="10">
        <f t="shared" si="57"/>
        <v>1.5722579686736293E-2</v>
      </c>
      <c r="AT159" s="5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16">
        <f t="shared" si="52"/>
        <v>0</v>
      </c>
      <c r="BA159" s="16">
        <f t="shared" si="53"/>
        <v>0</v>
      </c>
      <c r="BB159" s="16">
        <f t="shared" si="60"/>
        <v>0</v>
      </c>
      <c r="BC159" s="10">
        <f t="shared" si="61"/>
        <v>6.8949443174665684E-2</v>
      </c>
      <c r="BE159" s="10">
        <f t="shared" si="62"/>
        <v>0</v>
      </c>
      <c r="BF159" s="10">
        <f t="shared" si="63"/>
        <v>8.4672022861402005E-2</v>
      </c>
      <c r="BH159" s="10"/>
    </row>
    <row r="160" spans="1:60" x14ac:dyDescent="0.25">
      <c r="A160" s="1">
        <v>46254</v>
      </c>
      <c r="B160" s="21">
        <v>257.92</v>
      </c>
      <c r="C160" s="21">
        <v>350.58</v>
      </c>
      <c r="D160" s="22">
        <v>-2.4775826461415101E-2</v>
      </c>
      <c r="E160" s="22">
        <v>-3.5970264426510197E-2</v>
      </c>
      <c r="F160" s="21">
        <v>0</v>
      </c>
      <c r="G160" s="21">
        <v>0.25</v>
      </c>
      <c r="H160" s="21">
        <v>0</v>
      </c>
      <c r="I160" s="21">
        <v>0.25</v>
      </c>
      <c r="J160" s="21">
        <v>0</v>
      </c>
      <c r="K160" s="21">
        <v>0</v>
      </c>
      <c r="L160" s="21">
        <v>257.92</v>
      </c>
      <c r="M160" s="21">
        <v>350.58</v>
      </c>
      <c r="N160" s="23">
        <v>1.35925868486352</v>
      </c>
      <c r="O160" s="23">
        <v>1.3338063878300499</v>
      </c>
      <c r="P160" s="23">
        <v>1.3711043052215599</v>
      </c>
      <c r="Q160" s="23">
        <v>1.3754089711612101</v>
      </c>
      <c r="R160" s="21">
        <v>344.01534354912798</v>
      </c>
      <c r="S160" s="21">
        <v>354.07896786555801</v>
      </c>
      <c r="T160" s="21">
        <v>354.86265791776401</v>
      </c>
      <c r="U160" s="22">
        <v>-1.89026660752105E-2</v>
      </c>
      <c r="V160" s="22">
        <v>9.9310355288252106E-3</v>
      </c>
      <c r="W160" s="22">
        <v>1.21419097190976E-2</v>
      </c>
      <c r="X160" s="23">
        <v>1.35925868486352</v>
      </c>
      <c r="Y160" s="23">
        <v>1.3338063878300499</v>
      </c>
      <c r="Z160" s="23">
        <v>1.3711043052215599</v>
      </c>
      <c r="AA160" s="23">
        <v>1.3754089711612101</v>
      </c>
      <c r="AB160" s="21">
        <v>344.01534354912798</v>
      </c>
      <c r="AC160" s="21">
        <v>354.07896786555801</v>
      </c>
      <c r="AD160" s="21">
        <v>354.86265791776401</v>
      </c>
      <c r="AE160" s="22">
        <v>-1.89026660752105E-2</v>
      </c>
      <c r="AF160" s="22">
        <v>9.9310355288252106E-3</v>
      </c>
      <c r="AG160" s="22">
        <v>1.21419097190976E-2</v>
      </c>
      <c r="AI160" s="5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16">
        <f t="shared" si="48"/>
        <v>0</v>
      </c>
      <c r="AP160" s="16">
        <f t="shared" si="49"/>
        <v>0</v>
      </c>
      <c r="AQ160" s="16">
        <f t="shared" si="56"/>
        <v>0</v>
      </c>
      <c r="AR160" s="10">
        <f t="shared" si="57"/>
        <v>1.5722579686736293E-2</v>
      </c>
      <c r="AT160" s="5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16">
        <f t="shared" si="52"/>
        <v>0</v>
      </c>
      <c r="BA160" s="16">
        <f t="shared" si="53"/>
        <v>0</v>
      </c>
      <c r="BB160" s="16">
        <f t="shared" si="60"/>
        <v>0</v>
      </c>
      <c r="BC160" s="10">
        <f t="shared" si="61"/>
        <v>6.8949443174665684E-2</v>
      </c>
      <c r="BE160" s="10">
        <f t="shared" si="62"/>
        <v>0</v>
      </c>
      <c r="BF160" s="10">
        <f t="shared" si="63"/>
        <v>8.4672022861402005E-2</v>
      </c>
      <c r="BH160" s="10"/>
    </row>
    <row r="161" spans="1:60" x14ac:dyDescent="0.25">
      <c r="A161" s="1">
        <v>46255</v>
      </c>
      <c r="B161" s="21">
        <v>261</v>
      </c>
      <c r="C161" s="21">
        <v>355.04</v>
      </c>
      <c r="D161" s="22">
        <v>1.18709480044299E-2</v>
      </c>
      <c r="E161" s="22">
        <v>1.2641533389883299E-2</v>
      </c>
      <c r="F161" s="21">
        <v>0</v>
      </c>
      <c r="G161" s="21">
        <v>0.25</v>
      </c>
      <c r="H161" s="21">
        <v>0</v>
      </c>
      <c r="I161" s="21">
        <v>0.25</v>
      </c>
      <c r="J161" s="21">
        <v>0</v>
      </c>
      <c r="K161" s="21">
        <v>0</v>
      </c>
      <c r="L161" s="21">
        <v>261</v>
      </c>
      <c r="M161" s="21">
        <v>355.04</v>
      </c>
      <c r="N161" s="23">
        <v>1.3603065134099599</v>
      </c>
      <c r="O161" s="23">
        <v>1.3338063878300499</v>
      </c>
      <c r="P161" s="23">
        <v>1.36910784530124</v>
      </c>
      <c r="Q161" s="23">
        <v>1.3744404767843601</v>
      </c>
      <c r="R161" s="21">
        <v>348.12346722364498</v>
      </c>
      <c r="S161" s="21">
        <v>357.85822366282798</v>
      </c>
      <c r="T161" s="21">
        <v>358.98174147307799</v>
      </c>
      <c r="U161" s="22">
        <v>-1.9673251460663899E-2</v>
      </c>
      <c r="V161" s="22">
        <v>7.9064254902959097E-3</v>
      </c>
      <c r="W161" s="22">
        <v>1.10410686041438E-2</v>
      </c>
      <c r="X161" s="23">
        <v>1.3603065134099599</v>
      </c>
      <c r="Y161" s="23">
        <v>1.3338063878300499</v>
      </c>
      <c r="Z161" s="23">
        <v>1.36910784530124</v>
      </c>
      <c r="AA161" s="23">
        <v>1.3744404767843601</v>
      </c>
      <c r="AB161" s="21">
        <v>348.12346722364498</v>
      </c>
      <c r="AC161" s="21">
        <v>357.85822366282798</v>
      </c>
      <c r="AD161" s="21">
        <v>358.98174147307799</v>
      </c>
      <c r="AE161" s="22">
        <v>-1.9673251460663899E-2</v>
      </c>
      <c r="AF161" s="22">
        <v>7.9064254902959097E-3</v>
      </c>
      <c r="AG161" s="22">
        <v>1.10410686041438E-2</v>
      </c>
      <c r="AI161" s="5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16">
        <f t="shared" si="48"/>
        <v>0</v>
      </c>
      <c r="AP161" s="16">
        <f t="shared" si="49"/>
        <v>0</v>
      </c>
      <c r="AQ161" s="16">
        <f t="shared" si="56"/>
        <v>0</v>
      </c>
      <c r="AR161" s="10">
        <f t="shared" si="57"/>
        <v>1.5722579686736293E-2</v>
      </c>
      <c r="AT161" s="5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16">
        <f t="shared" si="52"/>
        <v>0</v>
      </c>
      <c r="BA161" s="16">
        <f t="shared" si="53"/>
        <v>0</v>
      </c>
      <c r="BB161" s="16">
        <f t="shared" si="60"/>
        <v>0</v>
      </c>
      <c r="BC161" s="10">
        <f t="shared" si="61"/>
        <v>6.8949443174665684E-2</v>
      </c>
      <c r="BE161" s="10">
        <f t="shared" si="62"/>
        <v>0</v>
      </c>
      <c r="BF161" s="10">
        <f t="shared" si="63"/>
        <v>8.4672022861402005E-2</v>
      </c>
      <c r="BH161" s="10"/>
    </row>
    <row r="162" spans="1:60" x14ac:dyDescent="0.25">
      <c r="A162" s="1">
        <v>46258</v>
      </c>
      <c r="B162" s="21">
        <v>259.23</v>
      </c>
      <c r="C162" s="21">
        <v>352.67</v>
      </c>
      <c r="D162" s="22">
        <v>-6.8047088012757702E-3</v>
      </c>
      <c r="E162" s="22">
        <v>-6.6976836829755497E-3</v>
      </c>
      <c r="F162" s="21">
        <v>0</v>
      </c>
      <c r="G162" s="21">
        <v>0.25</v>
      </c>
      <c r="H162" s="21">
        <v>0</v>
      </c>
      <c r="I162" s="21">
        <v>0.25</v>
      </c>
      <c r="J162" s="21">
        <v>0</v>
      </c>
      <c r="K162" s="21">
        <v>0</v>
      </c>
      <c r="L162" s="21">
        <v>259.23</v>
      </c>
      <c r="M162" s="21">
        <v>352.67</v>
      </c>
      <c r="N162" s="23">
        <v>1.36045210816649</v>
      </c>
      <c r="O162" s="23">
        <v>1.3338063878300499</v>
      </c>
      <c r="P162" s="23">
        <v>1.3678586544278399</v>
      </c>
      <c r="Q162" s="23">
        <v>1.3736268320963101</v>
      </c>
      <c r="R162" s="21">
        <v>345.76262991718602</v>
      </c>
      <c r="S162" s="21">
        <v>354.91382673744198</v>
      </c>
      <c r="T162" s="21">
        <v>356.29620479680898</v>
      </c>
      <c r="U162" s="22">
        <v>-1.9780276578963901E-2</v>
      </c>
      <c r="V162" s="22">
        <v>6.3422429229324298E-3</v>
      </c>
      <c r="W162" s="22">
        <v>1.0229645346791501E-2</v>
      </c>
      <c r="X162" s="23">
        <v>1.36045210816649</v>
      </c>
      <c r="Y162" s="23">
        <v>1.3338063878300499</v>
      </c>
      <c r="Z162" s="23">
        <v>1.3678586544278399</v>
      </c>
      <c r="AA162" s="23">
        <v>1.3736268320963101</v>
      </c>
      <c r="AB162" s="21">
        <v>345.76262991718602</v>
      </c>
      <c r="AC162" s="21">
        <v>354.91382673744198</v>
      </c>
      <c r="AD162" s="21">
        <v>356.29620479680898</v>
      </c>
      <c r="AE162" s="22">
        <v>-1.9780276578963901E-2</v>
      </c>
      <c r="AF162" s="22">
        <v>6.3422429229324298E-3</v>
      </c>
      <c r="AG162" s="22">
        <v>1.0229645346791501E-2</v>
      </c>
      <c r="AI162" s="5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16">
        <f t="shared" si="48"/>
        <v>0</v>
      </c>
      <c r="AP162" s="16">
        <f t="shared" si="49"/>
        <v>0</v>
      </c>
      <c r="AQ162" s="16">
        <f t="shared" si="56"/>
        <v>0</v>
      </c>
      <c r="AR162" s="10">
        <f t="shared" si="57"/>
        <v>1.5722579686736293E-2</v>
      </c>
      <c r="AT162" s="5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16">
        <f t="shared" si="52"/>
        <v>0</v>
      </c>
      <c r="BA162" s="16">
        <f t="shared" si="53"/>
        <v>0</v>
      </c>
      <c r="BB162" s="16">
        <f t="shared" si="60"/>
        <v>0</v>
      </c>
      <c r="BC162" s="10">
        <f t="shared" si="61"/>
        <v>6.8949443174665684E-2</v>
      </c>
      <c r="BE162" s="10">
        <f t="shared" si="62"/>
        <v>0</v>
      </c>
      <c r="BF162" s="10">
        <f t="shared" si="63"/>
        <v>8.4672022861402005E-2</v>
      </c>
      <c r="BH162" s="10"/>
    </row>
    <row r="163" spans="1:60" x14ac:dyDescent="0.25">
      <c r="A163" s="1">
        <v>46259</v>
      </c>
      <c r="B163" s="21">
        <v>257.10000000000002</v>
      </c>
      <c r="C163" s="21">
        <v>351.05</v>
      </c>
      <c r="D163" s="22">
        <v>-8.2505842495738304E-3</v>
      </c>
      <c r="E163" s="22">
        <v>-4.60411203805046E-3</v>
      </c>
      <c r="F163" s="21">
        <v>0</v>
      </c>
      <c r="G163" s="21">
        <v>0.25</v>
      </c>
      <c r="H163" s="21">
        <v>0</v>
      </c>
      <c r="I163" s="21">
        <v>0.25</v>
      </c>
      <c r="J163" s="21">
        <v>0</v>
      </c>
      <c r="K163" s="21">
        <v>0</v>
      </c>
      <c r="L163" s="21">
        <v>257.10000000000002</v>
      </c>
      <c r="M163" s="21">
        <v>351.05</v>
      </c>
      <c r="N163" s="23">
        <v>1.3654220147802401</v>
      </c>
      <c r="O163" s="23">
        <v>1.3338063878300499</v>
      </c>
      <c r="P163" s="23">
        <v>1.3657940260479</v>
      </c>
      <c r="Q163" s="23">
        <v>1.3728684931392201</v>
      </c>
      <c r="R163" s="21">
        <v>342.92162231110802</v>
      </c>
      <c r="S163" s="21">
        <v>351.67646005339799</v>
      </c>
      <c r="T163" s="21">
        <v>353.15945853196303</v>
      </c>
      <c r="U163" s="22">
        <v>-2.3426748790487398E-2</v>
      </c>
      <c r="V163" s="22">
        <v>1.7829418841130899E-3</v>
      </c>
      <c r="W163" s="22">
        <v>5.9910153600998004E-3</v>
      </c>
      <c r="X163" s="23">
        <v>1.3654220147802401</v>
      </c>
      <c r="Y163" s="23">
        <v>1.3338063878300499</v>
      </c>
      <c r="Z163" s="23">
        <v>1.3657940260479</v>
      </c>
      <c r="AA163" s="23">
        <v>1.3728684931392201</v>
      </c>
      <c r="AB163" s="21">
        <v>342.92162231110802</v>
      </c>
      <c r="AC163" s="21">
        <v>351.67646005339799</v>
      </c>
      <c r="AD163" s="21">
        <v>353.15945853196303</v>
      </c>
      <c r="AE163" s="22">
        <v>-2.3426748790487398E-2</v>
      </c>
      <c r="AF163" s="22">
        <v>1.7829418841130899E-3</v>
      </c>
      <c r="AG163" s="22">
        <v>5.9910153600998004E-3</v>
      </c>
      <c r="AI163" s="5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16">
        <f t="shared" si="48"/>
        <v>0</v>
      </c>
      <c r="AP163" s="16">
        <f t="shared" si="49"/>
        <v>0</v>
      </c>
      <c r="AQ163" s="16">
        <f t="shared" si="56"/>
        <v>0</v>
      </c>
      <c r="AR163" s="10">
        <f t="shared" si="57"/>
        <v>1.5722579686736293E-2</v>
      </c>
      <c r="AT163" s="5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16">
        <f t="shared" si="52"/>
        <v>0</v>
      </c>
      <c r="BA163" s="16">
        <f t="shared" si="53"/>
        <v>0</v>
      </c>
      <c r="BB163" s="16">
        <f t="shared" si="60"/>
        <v>0</v>
      </c>
      <c r="BC163" s="10">
        <f t="shared" si="61"/>
        <v>6.8949443174665684E-2</v>
      </c>
      <c r="BE163" s="10">
        <f t="shared" si="62"/>
        <v>0</v>
      </c>
      <c r="BF163" s="10">
        <f t="shared" si="63"/>
        <v>8.4672022861402005E-2</v>
      </c>
      <c r="BH163" s="10"/>
    </row>
    <row r="164" spans="1:60" x14ac:dyDescent="0.25">
      <c r="A164" s="1">
        <v>46260</v>
      </c>
      <c r="B164" s="21">
        <v>255.84</v>
      </c>
      <c r="C164" s="21">
        <v>346.15</v>
      </c>
      <c r="D164" s="22">
        <v>-4.9128651861997498E-3</v>
      </c>
      <c r="E164" s="22">
        <v>-1.40564563392235E-2</v>
      </c>
      <c r="F164" s="21">
        <v>0</v>
      </c>
      <c r="G164" s="21">
        <v>0.25</v>
      </c>
      <c r="H164" s="21">
        <v>0</v>
      </c>
      <c r="I164" s="21">
        <v>0.25</v>
      </c>
      <c r="J164" s="21">
        <v>0</v>
      </c>
      <c r="K164" s="21">
        <v>0</v>
      </c>
      <c r="L164" s="21">
        <v>255.84</v>
      </c>
      <c r="M164" s="21">
        <v>346.15</v>
      </c>
      <c r="N164" s="23">
        <v>1.35299405878674</v>
      </c>
      <c r="O164" s="23">
        <v>1.3338063878300499</v>
      </c>
      <c r="P164" s="23">
        <v>1.36403013520713</v>
      </c>
      <c r="Q164" s="23">
        <v>1.37150397475434</v>
      </c>
      <c r="R164" s="21">
        <v>341.24102626244201</v>
      </c>
      <c r="S164" s="21">
        <v>349.42474362409502</v>
      </c>
      <c r="T164" s="21">
        <v>351.23467528473799</v>
      </c>
      <c r="U164" s="22">
        <v>-1.4283157637463699E-2</v>
      </c>
      <c r="V164" s="22">
        <v>9.4160055387055401E-3</v>
      </c>
      <c r="W164" s="22">
        <v>1.45823834895503E-2</v>
      </c>
      <c r="X164" s="23">
        <v>1.35299405878674</v>
      </c>
      <c r="Y164" s="23">
        <v>1.3338063878300499</v>
      </c>
      <c r="Z164" s="23">
        <v>1.36403013520713</v>
      </c>
      <c r="AA164" s="23">
        <v>1.37150397475434</v>
      </c>
      <c r="AB164" s="21">
        <v>341.24102626244201</v>
      </c>
      <c r="AC164" s="21">
        <v>349.42474362409502</v>
      </c>
      <c r="AD164" s="21">
        <v>351.23467528473799</v>
      </c>
      <c r="AE164" s="22">
        <v>-1.4283157637463699E-2</v>
      </c>
      <c r="AF164" s="22">
        <v>9.4160055387055401E-3</v>
      </c>
      <c r="AG164" s="22">
        <v>1.45823834895503E-2</v>
      </c>
      <c r="AI164" s="5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16">
        <f t="shared" si="48"/>
        <v>0</v>
      </c>
      <c r="AP164" s="16">
        <f t="shared" si="49"/>
        <v>0</v>
      </c>
      <c r="AQ164" s="16">
        <f t="shared" si="56"/>
        <v>0</v>
      </c>
      <c r="AR164" s="10">
        <f t="shared" si="57"/>
        <v>1.5722579686736293E-2</v>
      </c>
      <c r="AT164" s="5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16">
        <f t="shared" si="52"/>
        <v>0</v>
      </c>
      <c r="BA164" s="16">
        <f t="shared" si="53"/>
        <v>0</v>
      </c>
      <c r="BB164" s="16">
        <f t="shared" si="60"/>
        <v>0</v>
      </c>
      <c r="BC164" s="10">
        <f t="shared" si="61"/>
        <v>6.8949443174665684E-2</v>
      </c>
      <c r="BE164" s="10">
        <f t="shared" si="62"/>
        <v>0</v>
      </c>
      <c r="BF164" s="10">
        <f t="shared" si="63"/>
        <v>8.4672022861402005E-2</v>
      </c>
      <c r="BH164" s="10"/>
    </row>
    <row r="165" spans="1:60" x14ac:dyDescent="0.25">
      <c r="A165" s="1">
        <v>46261</v>
      </c>
      <c r="B165" s="21">
        <v>251.01</v>
      </c>
      <c r="C165" s="21">
        <v>337.01</v>
      </c>
      <c r="D165" s="22">
        <v>-1.9059470110027101E-2</v>
      </c>
      <c r="E165" s="22">
        <v>-2.6759603621420401E-2</v>
      </c>
      <c r="F165" s="21">
        <v>0</v>
      </c>
      <c r="G165" s="21">
        <v>0.25</v>
      </c>
      <c r="H165" s="21">
        <v>0</v>
      </c>
      <c r="I165" s="21">
        <v>0.25</v>
      </c>
      <c r="J165" s="21">
        <v>0</v>
      </c>
      <c r="K165" s="21">
        <v>0</v>
      </c>
      <c r="L165" s="21">
        <v>251.01</v>
      </c>
      <c r="M165" s="21">
        <v>337.01</v>
      </c>
      <c r="N165" s="23">
        <v>1.3426158320385599</v>
      </c>
      <c r="O165" s="23">
        <v>1.3338063878300499</v>
      </c>
      <c r="P165" s="23">
        <v>1.36193442089548</v>
      </c>
      <c r="Q165" s="23">
        <v>1.3695014460361401</v>
      </c>
      <c r="R165" s="21">
        <v>334.798741409223</v>
      </c>
      <c r="S165" s="21">
        <v>342.385204238342</v>
      </c>
      <c r="T165" s="21">
        <v>344.26121270308698</v>
      </c>
      <c r="U165" s="22">
        <v>-6.5830241260703198E-3</v>
      </c>
      <c r="V165" s="22">
        <v>1.58238279105824E-2</v>
      </c>
      <c r="W165" s="22">
        <v>2.1288104971757201E-2</v>
      </c>
      <c r="X165" s="23">
        <v>1.3426158320385599</v>
      </c>
      <c r="Y165" s="23">
        <v>1.3338063878300499</v>
      </c>
      <c r="Z165" s="23">
        <v>1.36193442089548</v>
      </c>
      <c r="AA165" s="23">
        <v>1.3695014460361401</v>
      </c>
      <c r="AB165" s="21">
        <v>334.798741409223</v>
      </c>
      <c r="AC165" s="21">
        <v>342.385204238342</v>
      </c>
      <c r="AD165" s="21">
        <v>344.26121270308698</v>
      </c>
      <c r="AE165" s="22">
        <v>-6.5830241260703198E-3</v>
      </c>
      <c r="AF165" s="22">
        <v>1.58238279105824E-2</v>
      </c>
      <c r="AG165" s="22">
        <v>2.1288104971757201E-2</v>
      </c>
      <c r="AI165" s="5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16">
        <f t="shared" si="48"/>
        <v>0</v>
      </c>
      <c r="AP165" s="16">
        <f t="shared" si="49"/>
        <v>0</v>
      </c>
      <c r="AQ165" s="16">
        <f t="shared" si="56"/>
        <v>0</v>
      </c>
      <c r="AR165" s="10">
        <f t="shared" si="57"/>
        <v>1.5722579686736293E-2</v>
      </c>
      <c r="AT165" s="5"/>
      <c r="AU165">
        <f t="shared" si="50"/>
        <v>1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16">
        <f t="shared" si="52"/>
        <v>0</v>
      </c>
      <c r="BA165" s="16">
        <f t="shared" si="53"/>
        <v>0</v>
      </c>
      <c r="BB165" s="16">
        <f t="shared" si="60"/>
        <v>0</v>
      </c>
      <c r="BC165" s="10">
        <f t="shared" si="61"/>
        <v>6.8949443174665684E-2</v>
      </c>
      <c r="BE165" s="10">
        <f t="shared" si="62"/>
        <v>0</v>
      </c>
      <c r="BF165" s="10">
        <f t="shared" si="63"/>
        <v>8.4672022861402005E-2</v>
      </c>
      <c r="BH165" s="10"/>
    </row>
    <row r="166" spans="1:60" x14ac:dyDescent="0.25">
      <c r="A166" s="1">
        <v>46262</v>
      </c>
      <c r="B166" s="21">
        <v>250.06</v>
      </c>
      <c r="C166" s="21">
        <v>336.53</v>
      </c>
      <c r="D166" s="22">
        <v>-3.7918899087633299E-3</v>
      </c>
      <c r="E166" s="22">
        <v>-1.4253053456656801E-3</v>
      </c>
      <c r="F166" s="21">
        <v>0</v>
      </c>
      <c r="G166" s="21">
        <v>0.25</v>
      </c>
      <c r="H166" s="21">
        <v>0</v>
      </c>
      <c r="I166" s="21">
        <v>0.25</v>
      </c>
      <c r="J166" s="21">
        <v>0</v>
      </c>
      <c r="K166" s="21">
        <v>0</v>
      </c>
      <c r="L166" s="21">
        <v>250.06</v>
      </c>
      <c r="M166" s="21">
        <v>336.53</v>
      </c>
      <c r="N166" s="23">
        <v>1.3457970087179001</v>
      </c>
      <c r="O166" s="23">
        <v>1.3338063878300499</v>
      </c>
      <c r="P166" s="23">
        <v>1.36026553090942</v>
      </c>
      <c r="Q166" s="23">
        <v>1.3675360104023899</v>
      </c>
      <c r="R166" s="21">
        <v>333.53162534078399</v>
      </c>
      <c r="S166" s="21">
        <v>340.56532128912397</v>
      </c>
      <c r="T166" s="21">
        <v>342.45753159579903</v>
      </c>
      <c r="U166" s="22">
        <v>-8.9496086891679705E-3</v>
      </c>
      <c r="V166" s="22">
        <v>1.1919648355761901E-2</v>
      </c>
      <c r="W166" s="22">
        <v>1.7460356516541101E-2</v>
      </c>
      <c r="X166" s="23">
        <v>1.3457970087179001</v>
      </c>
      <c r="Y166" s="23">
        <v>1.3338063878300499</v>
      </c>
      <c r="Z166" s="23">
        <v>1.36026553090942</v>
      </c>
      <c r="AA166" s="23">
        <v>1.3675360104023899</v>
      </c>
      <c r="AB166" s="21">
        <v>333.53162534078399</v>
      </c>
      <c r="AC166" s="21">
        <v>340.56532128912397</v>
      </c>
      <c r="AD166" s="21">
        <v>342.45753159579903</v>
      </c>
      <c r="AE166" s="22">
        <v>-8.9496086891679705E-3</v>
      </c>
      <c r="AF166" s="22">
        <v>1.1919648355761901E-2</v>
      </c>
      <c r="AG166" s="22">
        <v>1.7460356516541101E-2</v>
      </c>
      <c r="AI166" s="5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16">
        <f t="shared" si="48"/>
        <v>0</v>
      </c>
      <c r="AP166" s="16">
        <f t="shared" si="49"/>
        <v>0</v>
      </c>
      <c r="AQ166" s="16">
        <f t="shared" si="56"/>
        <v>0</v>
      </c>
      <c r="AR166" s="10">
        <f t="shared" si="57"/>
        <v>1.5722579686736293E-2</v>
      </c>
      <c r="AT166" s="5"/>
      <c r="AU166">
        <f t="shared" si="50"/>
        <v>1</v>
      </c>
      <c r="AV166">
        <f t="shared" si="51"/>
        <v>0</v>
      </c>
      <c r="AW166">
        <f t="shared" si="58"/>
        <v>1</v>
      </c>
      <c r="AX166">
        <f t="shared" si="45"/>
        <v>1</v>
      </c>
      <c r="AY166">
        <f t="shared" si="59"/>
        <v>1</v>
      </c>
      <c r="AZ166" s="16">
        <f t="shared" si="52"/>
        <v>3.7918899087633299E-3</v>
      </c>
      <c r="BA166" s="16">
        <f t="shared" si="53"/>
        <v>-1.4253053456656801E-3</v>
      </c>
      <c r="BB166" s="16">
        <f t="shared" si="60"/>
        <v>2.3665845630976498E-3</v>
      </c>
      <c r="BC166" s="10">
        <f t="shared" si="61"/>
        <v>7.1316027737763327E-2</v>
      </c>
      <c r="BE166" s="10">
        <f t="shared" si="62"/>
        <v>2.3665845630976498E-3</v>
      </c>
      <c r="BF166" s="10">
        <f t="shared" si="63"/>
        <v>8.7038607424499648E-2</v>
      </c>
      <c r="BH166" s="10"/>
    </row>
    <row r="167" spans="1:60" x14ac:dyDescent="0.25">
      <c r="A167" s="1">
        <v>46265</v>
      </c>
      <c r="B167" s="21">
        <v>244.17</v>
      </c>
      <c r="C167" s="21">
        <v>331.15</v>
      </c>
      <c r="D167" s="22">
        <v>-2.3836185059793801E-2</v>
      </c>
      <c r="E167" s="22">
        <v>-1.6115853225959799E-2</v>
      </c>
      <c r="F167" s="21">
        <v>0</v>
      </c>
      <c r="G167" s="21">
        <v>0.25</v>
      </c>
      <c r="H167" s="21">
        <v>0</v>
      </c>
      <c r="I167" s="21">
        <v>0.25</v>
      </c>
      <c r="J167" s="21">
        <v>0</v>
      </c>
      <c r="K167" s="21">
        <v>0</v>
      </c>
      <c r="L167" s="21">
        <v>244.17</v>
      </c>
      <c r="M167" s="21">
        <v>331.15</v>
      </c>
      <c r="N167" s="23">
        <v>1.35622721874104</v>
      </c>
      <c r="O167" s="23">
        <v>1.3338063878300499</v>
      </c>
      <c r="P167" s="23">
        <v>1.3586820443578</v>
      </c>
      <c r="Q167" s="23">
        <v>1.36651382157242</v>
      </c>
      <c r="R167" s="21">
        <v>325.67550571646501</v>
      </c>
      <c r="S167" s="21">
        <v>332.13603468215399</v>
      </c>
      <c r="T167" s="21">
        <v>333.91126765995102</v>
      </c>
      <c r="U167" s="22">
        <v>-1.6669940523002202E-2</v>
      </c>
      <c r="V167" s="22">
        <v>2.9731830822908299E-3</v>
      </c>
      <c r="W167" s="22">
        <v>8.3038470615646696E-3</v>
      </c>
      <c r="X167" s="23">
        <v>1.35622721874104</v>
      </c>
      <c r="Y167" s="23">
        <v>1.3338063878300499</v>
      </c>
      <c r="Z167" s="23">
        <v>1.3586820443578</v>
      </c>
      <c r="AA167" s="23">
        <v>1.36651382157242</v>
      </c>
      <c r="AB167" s="21">
        <v>325.67550571646501</v>
      </c>
      <c r="AC167" s="21">
        <v>332.13603468215399</v>
      </c>
      <c r="AD167" s="21">
        <v>333.91126765995102</v>
      </c>
      <c r="AE167" s="22">
        <v>-1.6669940523002202E-2</v>
      </c>
      <c r="AF167" s="22">
        <v>2.9731830822908299E-3</v>
      </c>
      <c r="AG167" s="22">
        <v>8.3038470615646696E-3</v>
      </c>
      <c r="AI167" s="5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16">
        <f t="shared" si="48"/>
        <v>0</v>
      </c>
      <c r="AP167" s="16">
        <f t="shared" si="49"/>
        <v>0</v>
      </c>
      <c r="AQ167" s="16">
        <f t="shared" si="56"/>
        <v>0</v>
      </c>
      <c r="AR167" s="10">
        <f t="shared" si="57"/>
        <v>1.5722579686736293E-2</v>
      </c>
      <c r="AT167" s="5"/>
      <c r="AU167">
        <f t="shared" si="50"/>
        <v>0</v>
      </c>
      <c r="AV167">
        <f t="shared" si="51"/>
        <v>0</v>
      </c>
      <c r="AW167">
        <f t="shared" si="58"/>
        <v>1</v>
      </c>
      <c r="AX167">
        <f t="shared" si="45"/>
        <v>1</v>
      </c>
      <c r="AY167">
        <f t="shared" si="59"/>
        <v>1</v>
      </c>
      <c r="AZ167" s="16">
        <f t="shared" si="52"/>
        <v>2.3836185059793801E-2</v>
      </c>
      <c r="BA167" s="16">
        <f t="shared" si="53"/>
        <v>-1.6115853225959799E-2</v>
      </c>
      <c r="BB167" s="16">
        <f t="shared" si="60"/>
        <v>7.7203318338340023E-3</v>
      </c>
      <c r="BC167" s="10">
        <f t="shared" si="61"/>
        <v>7.9036359571597326E-2</v>
      </c>
      <c r="BE167" s="10">
        <f t="shared" si="62"/>
        <v>7.7203318338340023E-3</v>
      </c>
      <c r="BF167" s="10">
        <f t="shared" si="63"/>
        <v>9.4758939258333647E-2</v>
      </c>
      <c r="BH167" s="10"/>
    </row>
    <row r="168" spans="1:60" x14ac:dyDescent="0.25">
      <c r="A168" s="1">
        <v>46266</v>
      </c>
      <c r="B168" s="21">
        <v>242</v>
      </c>
      <c r="C168" s="21">
        <v>325.14999999999998</v>
      </c>
      <c r="D168" s="22">
        <v>-8.9269778503732796E-3</v>
      </c>
      <c r="E168" s="22">
        <v>-1.8284830615827599E-2</v>
      </c>
      <c r="F168" s="21">
        <v>0</v>
      </c>
      <c r="G168" s="21">
        <v>0.25</v>
      </c>
      <c r="H168" s="21">
        <v>0</v>
      </c>
      <c r="I168" s="21">
        <v>0.25</v>
      </c>
      <c r="J168" s="21">
        <v>0</v>
      </c>
      <c r="K168" s="21">
        <v>0</v>
      </c>
      <c r="L168" s="21">
        <v>242</v>
      </c>
      <c r="M168" s="21">
        <v>325.14999999999998</v>
      </c>
      <c r="N168" s="23">
        <v>1.3435950413223099</v>
      </c>
      <c r="O168" s="23">
        <v>1.3338063878300499</v>
      </c>
      <c r="P168" s="23">
        <v>1.3561228789461699</v>
      </c>
      <c r="Q168" s="23">
        <v>1.3645741571849399</v>
      </c>
      <c r="R168" s="21">
        <v>322.78114585487401</v>
      </c>
      <c r="S168" s="21">
        <v>328.801054734589</v>
      </c>
      <c r="T168" s="21">
        <v>330.69634482052697</v>
      </c>
      <c r="U168" s="22">
        <v>-7.3120877575476896E-3</v>
      </c>
      <c r="V168" s="22">
        <v>1.1166256691980099E-2</v>
      </c>
      <c r="W168" s="22">
        <v>1.6913952755523199E-2</v>
      </c>
      <c r="X168" s="23">
        <v>1.3435950413223099</v>
      </c>
      <c r="Y168" s="23">
        <v>1.3338063878300499</v>
      </c>
      <c r="Z168" s="23">
        <v>1.3561228789461699</v>
      </c>
      <c r="AA168" s="23">
        <v>1.3645741571849399</v>
      </c>
      <c r="AB168" s="21">
        <v>322.78114585487401</v>
      </c>
      <c r="AC168" s="21">
        <v>328.801054734589</v>
      </c>
      <c r="AD168" s="21">
        <v>330.69634482052697</v>
      </c>
      <c r="AE168" s="22">
        <v>-7.3120877575476896E-3</v>
      </c>
      <c r="AF168" s="22">
        <v>1.1166256691980099E-2</v>
      </c>
      <c r="AG168" s="22">
        <v>1.6913952755523199E-2</v>
      </c>
      <c r="AI168" s="5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16">
        <f t="shared" si="48"/>
        <v>0</v>
      </c>
      <c r="AP168" s="16">
        <f t="shared" si="49"/>
        <v>0</v>
      </c>
      <c r="AQ168" s="16">
        <f t="shared" si="56"/>
        <v>0</v>
      </c>
      <c r="AR168" s="10">
        <f t="shared" si="57"/>
        <v>1.5722579686736293E-2</v>
      </c>
      <c r="AT168" s="5"/>
      <c r="AU168">
        <f t="shared" si="50"/>
        <v>1</v>
      </c>
      <c r="AV168">
        <f t="shared" si="51"/>
        <v>0</v>
      </c>
      <c r="AW168">
        <f t="shared" si="58"/>
        <v>1</v>
      </c>
      <c r="AX168">
        <f t="shared" si="45"/>
        <v>1</v>
      </c>
      <c r="AY168">
        <f t="shared" si="59"/>
        <v>1</v>
      </c>
      <c r="AZ168" s="16">
        <f t="shared" si="52"/>
        <v>8.9269778503732796E-3</v>
      </c>
      <c r="BA168" s="16">
        <f t="shared" si="53"/>
        <v>-1.8284830615827599E-2</v>
      </c>
      <c r="BB168" s="16">
        <f t="shared" si="60"/>
        <v>-9.3578527654543196E-3</v>
      </c>
      <c r="BC168" s="10">
        <f t="shared" si="61"/>
        <v>6.9678506806143001E-2</v>
      </c>
      <c r="BE168" s="10">
        <f t="shared" si="62"/>
        <v>-9.3578527654543196E-3</v>
      </c>
      <c r="BF168" s="10">
        <f t="shared" si="63"/>
        <v>8.5401086492879322E-2</v>
      </c>
      <c r="BH168" s="10"/>
    </row>
    <row r="169" spans="1:60" x14ac:dyDescent="0.25">
      <c r="A169" s="1">
        <v>46267</v>
      </c>
      <c r="B169" s="21">
        <v>239.83</v>
      </c>
      <c r="C169" s="21">
        <v>322.89999999999998</v>
      </c>
      <c r="D169" s="22">
        <v>-9.0073871346123494E-3</v>
      </c>
      <c r="E169" s="22">
        <v>-6.9439365509312801E-3</v>
      </c>
      <c r="F169" s="21">
        <v>0</v>
      </c>
      <c r="G169" s="21">
        <v>0.25</v>
      </c>
      <c r="H169" s="21">
        <v>0</v>
      </c>
      <c r="I169" s="21">
        <v>0.25</v>
      </c>
      <c r="J169" s="21">
        <v>0</v>
      </c>
      <c r="K169" s="21">
        <v>0</v>
      </c>
      <c r="L169" s="21">
        <v>239.83</v>
      </c>
      <c r="M169" s="21">
        <v>322.89999999999998</v>
      </c>
      <c r="N169" s="23">
        <v>1.3463703456615099</v>
      </c>
      <c r="O169" s="23">
        <v>1.3338063878300499</v>
      </c>
      <c r="P169" s="23">
        <v>1.3533038826488299</v>
      </c>
      <c r="Q169" s="23">
        <v>1.3630643325029901</v>
      </c>
      <c r="R169" s="21">
        <v>319.88678599328301</v>
      </c>
      <c r="S169" s="21">
        <v>325.23895005766099</v>
      </c>
      <c r="T169" s="21">
        <v>327.26582011766402</v>
      </c>
      <c r="U169" s="22">
        <v>-9.3755383412288396E-3</v>
      </c>
      <c r="V169" s="22">
        <v>7.2174653622929701E-3</v>
      </c>
      <c r="W169" s="22">
        <v>1.34300684628583E-2</v>
      </c>
      <c r="X169" s="23">
        <v>1.3463703456615099</v>
      </c>
      <c r="Y169" s="23">
        <v>1.3338063878300499</v>
      </c>
      <c r="Z169" s="23">
        <v>1.3533038826488299</v>
      </c>
      <c r="AA169" s="23">
        <v>1.3630643325029901</v>
      </c>
      <c r="AB169" s="21">
        <v>319.88678599328301</v>
      </c>
      <c r="AC169" s="21">
        <v>325.23895005766099</v>
      </c>
      <c r="AD169" s="21">
        <v>327.26582011766402</v>
      </c>
      <c r="AE169" s="22">
        <v>-9.3755383412288396E-3</v>
      </c>
      <c r="AF169" s="22">
        <v>7.2174653622929701E-3</v>
      </c>
      <c r="AG169" s="22">
        <v>1.34300684628583E-2</v>
      </c>
      <c r="AI169" s="5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16">
        <f t="shared" si="48"/>
        <v>0</v>
      </c>
      <c r="AP169" s="16">
        <f t="shared" si="49"/>
        <v>0</v>
      </c>
      <c r="AQ169" s="16">
        <f t="shared" si="56"/>
        <v>0</v>
      </c>
      <c r="AR169" s="10">
        <f t="shared" si="57"/>
        <v>1.5722579686736293E-2</v>
      </c>
      <c r="AT169" s="5"/>
      <c r="AU169">
        <f t="shared" si="50"/>
        <v>0</v>
      </c>
      <c r="AV169">
        <f t="shared" si="51"/>
        <v>0</v>
      </c>
      <c r="AW169">
        <f t="shared" si="58"/>
        <v>1</v>
      </c>
      <c r="AX169">
        <f t="shared" si="45"/>
        <v>1</v>
      </c>
      <c r="AY169">
        <f t="shared" si="59"/>
        <v>1</v>
      </c>
      <c r="AZ169" s="16">
        <f t="shared" si="52"/>
        <v>9.0073871346123494E-3</v>
      </c>
      <c r="BA169" s="16">
        <f t="shared" si="53"/>
        <v>-6.9439365509312801E-3</v>
      </c>
      <c r="BB169" s="16">
        <f t="shared" si="60"/>
        <v>2.0634505836810693E-3</v>
      </c>
      <c r="BC169" s="10">
        <f t="shared" si="61"/>
        <v>7.1741957389824071E-2</v>
      </c>
      <c r="BE169" s="10">
        <f t="shared" si="62"/>
        <v>2.0634505836810693E-3</v>
      </c>
      <c r="BF169" s="10">
        <f t="shared" si="63"/>
        <v>8.7464537076560392E-2</v>
      </c>
      <c r="BH169" s="10"/>
    </row>
    <row r="170" spans="1:60" x14ac:dyDescent="0.25">
      <c r="A170" s="1">
        <v>46268</v>
      </c>
      <c r="B170" s="21">
        <v>239.26</v>
      </c>
      <c r="C170" s="21">
        <v>325.7</v>
      </c>
      <c r="D170" s="22">
        <v>-2.3795122793159001E-3</v>
      </c>
      <c r="E170" s="22">
        <v>8.6340345179582098E-3</v>
      </c>
      <c r="F170" s="21">
        <v>0</v>
      </c>
      <c r="G170" s="21">
        <v>0.25</v>
      </c>
      <c r="H170" s="21">
        <v>0</v>
      </c>
      <c r="I170" s="21">
        <v>0.25</v>
      </c>
      <c r="J170" s="21">
        <v>0</v>
      </c>
      <c r="K170" s="21">
        <v>0</v>
      </c>
      <c r="L170" s="21">
        <v>239.26</v>
      </c>
      <c r="M170" s="21">
        <v>325.7</v>
      </c>
      <c r="N170" s="23">
        <v>1.3612806152302901</v>
      </c>
      <c r="O170" s="23">
        <v>1.3338063878300499</v>
      </c>
      <c r="P170" s="23">
        <v>1.3535060756855</v>
      </c>
      <c r="Q170" s="23">
        <v>1.3623051904535299</v>
      </c>
      <c r="R170" s="21">
        <v>319.12651635221999</v>
      </c>
      <c r="S170" s="21">
        <v>323.79148696255902</v>
      </c>
      <c r="T170" s="21">
        <v>326.12677219466599</v>
      </c>
      <c r="U170" s="22">
        <v>-2.0389085138503099E-2</v>
      </c>
      <c r="V170" s="22">
        <v>-5.8769624202194897E-3</v>
      </c>
      <c r="W170" s="22">
        <v>1.3094652562720499E-3</v>
      </c>
      <c r="X170" s="23">
        <v>1.3612806152302901</v>
      </c>
      <c r="Y170" s="23">
        <v>1.3338063878300499</v>
      </c>
      <c r="Z170" s="23">
        <v>1.3535060756855</v>
      </c>
      <c r="AA170" s="23">
        <v>1.3623051904535299</v>
      </c>
      <c r="AB170" s="21">
        <v>319.12651635221999</v>
      </c>
      <c r="AC170" s="21">
        <v>323.79148696255902</v>
      </c>
      <c r="AD170" s="21">
        <v>326.12677219466599</v>
      </c>
      <c r="AE170" s="22">
        <v>-2.0389085138503099E-2</v>
      </c>
      <c r="AF170" s="22">
        <v>-5.8769624202194897E-3</v>
      </c>
      <c r="AG170" s="22">
        <v>1.3094652562720499E-3</v>
      </c>
      <c r="AI170" s="5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16">
        <f t="shared" si="48"/>
        <v>0</v>
      </c>
      <c r="AP170" s="16">
        <f t="shared" si="49"/>
        <v>0</v>
      </c>
      <c r="AQ170" s="16">
        <f t="shared" si="56"/>
        <v>0</v>
      </c>
      <c r="AR170" s="10">
        <f t="shared" si="57"/>
        <v>1.5722579686736293E-2</v>
      </c>
      <c r="AT170" s="5"/>
      <c r="AU170">
        <f t="shared" si="50"/>
        <v>0</v>
      </c>
      <c r="AV170">
        <f t="shared" si="51"/>
        <v>1</v>
      </c>
      <c r="AW170">
        <f t="shared" si="58"/>
        <v>1</v>
      </c>
      <c r="AX170">
        <f t="shared" si="45"/>
        <v>1</v>
      </c>
      <c r="AY170">
        <f t="shared" si="59"/>
        <v>1</v>
      </c>
      <c r="AZ170" s="16">
        <f t="shared" si="52"/>
        <v>2.3795122793159001E-3</v>
      </c>
      <c r="BA170" s="16">
        <f t="shared" si="53"/>
        <v>8.6340345179582098E-3</v>
      </c>
      <c r="BB170" s="16">
        <f t="shared" si="60"/>
        <v>1.101354679727411E-2</v>
      </c>
      <c r="BC170" s="10">
        <f t="shared" si="61"/>
        <v>8.2755504187098178E-2</v>
      </c>
      <c r="BE170" s="10">
        <f t="shared" si="62"/>
        <v>1.101354679727411E-2</v>
      </c>
      <c r="BF170" s="10">
        <f t="shared" si="63"/>
        <v>9.8478083873834499E-2</v>
      </c>
      <c r="BH170" s="10"/>
    </row>
    <row r="171" spans="1:60" x14ac:dyDescent="0.25">
      <c r="A171" s="1">
        <v>46269</v>
      </c>
      <c r="B171" s="21">
        <v>240.18</v>
      </c>
      <c r="C171" s="21">
        <v>325.48</v>
      </c>
      <c r="D171" s="22">
        <v>3.83781548977915E-3</v>
      </c>
      <c r="E171" s="22">
        <v>-6.7569645373120402E-4</v>
      </c>
      <c r="F171" s="21">
        <v>0</v>
      </c>
      <c r="G171" s="21">
        <v>0.25</v>
      </c>
      <c r="H171" s="21">
        <v>0</v>
      </c>
      <c r="I171" s="21">
        <v>0.25</v>
      </c>
      <c r="J171" s="21">
        <v>0</v>
      </c>
      <c r="K171" s="21">
        <v>0</v>
      </c>
      <c r="L171" s="21">
        <v>240.18</v>
      </c>
      <c r="M171" s="21">
        <v>325.48</v>
      </c>
      <c r="N171" s="23">
        <v>1.3551503039387101</v>
      </c>
      <c r="O171" s="23">
        <v>1.3338063878300499</v>
      </c>
      <c r="P171" s="23">
        <v>1.35299045473838</v>
      </c>
      <c r="Q171" s="23">
        <v>1.3610491500198101</v>
      </c>
      <c r="R171" s="21">
        <v>320.35361822902303</v>
      </c>
      <c r="S171" s="21">
        <v>325.08508925814499</v>
      </c>
      <c r="T171" s="21">
        <v>327.19846064312998</v>
      </c>
      <c r="U171" s="22">
        <v>-1.5875573194992599E-2</v>
      </c>
      <c r="V171" s="22">
        <v>-1.21405466380378E-3</v>
      </c>
      <c r="W171" s="22">
        <v>5.2658842531585603E-3</v>
      </c>
      <c r="X171" s="23">
        <v>1.3551503039387101</v>
      </c>
      <c r="Y171" s="23">
        <v>1.3338063878300499</v>
      </c>
      <c r="Z171" s="23">
        <v>1.35299045473838</v>
      </c>
      <c r="AA171" s="23">
        <v>1.3610491500198101</v>
      </c>
      <c r="AB171" s="21">
        <v>320.35361822902303</v>
      </c>
      <c r="AC171" s="21">
        <v>325.08508925814499</v>
      </c>
      <c r="AD171" s="21">
        <v>327.19846064312998</v>
      </c>
      <c r="AE171" s="22">
        <v>-1.5875573194992599E-2</v>
      </c>
      <c r="AF171" s="22">
        <v>-1.21405466380378E-3</v>
      </c>
      <c r="AG171" s="22">
        <v>5.2658842531585603E-3</v>
      </c>
      <c r="AI171" s="5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16">
        <f t="shared" si="48"/>
        <v>0</v>
      </c>
      <c r="AP171" s="16">
        <f t="shared" si="49"/>
        <v>0</v>
      </c>
      <c r="AQ171" s="16">
        <f t="shared" si="56"/>
        <v>0</v>
      </c>
      <c r="AR171" s="10">
        <f t="shared" si="57"/>
        <v>1.5722579686736293E-2</v>
      </c>
      <c r="AT171" s="5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16">
        <f t="shared" si="52"/>
        <v>0</v>
      </c>
      <c r="BA171" s="16">
        <f t="shared" si="53"/>
        <v>0</v>
      </c>
      <c r="BB171" s="16">
        <f t="shared" si="60"/>
        <v>0</v>
      </c>
      <c r="BC171" s="10">
        <f t="shared" si="61"/>
        <v>8.2755504187098178E-2</v>
      </c>
      <c r="BE171" s="10">
        <f t="shared" si="62"/>
        <v>0</v>
      </c>
      <c r="BF171" s="10">
        <f t="shared" si="63"/>
        <v>9.8478083873834499E-2</v>
      </c>
      <c r="BH171" s="10"/>
    </row>
    <row r="172" spans="1:60" x14ac:dyDescent="0.25">
      <c r="A172" s="1">
        <v>46273</v>
      </c>
      <c r="B172" s="21">
        <v>235.04</v>
      </c>
      <c r="C172" s="21">
        <v>316.10000000000002</v>
      </c>
      <c r="D172" s="22">
        <v>-2.1632929806970101E-2</v>
      </c>
      <c r="E172" s="22">
        <v>-2.9242396606884401E-2</v>
      </c>
      <c r="F172" s="21">
        <v>0</v>
      </c>
      <c r="G172" s="21">
        <v>0.25</v>
      </c>
      <c r="H172" s="21">
        <v>0</v>
      </c>
      <c r="I172" s="21">
        <v>0.25</v>
      </c>
      <c r="J172" s="21">
        <v>0</v>
      </c>
      <c r="K172" s="21">
        <v>0</v>
      </c>
      <c r="L172" s="21">
        <v>235.04</v>
      </c>
      <c r="M172" s="21">
        <v>316.10000000000002</v>
      </c>
      <c r="N172" s="23">
        <v>1.3448774676650701</v>
      </c>
      <c r="O172" s="23">
        <v>1.3338063878300499</v>
      </c>
      <c r="P172" s="23">
        <v>1.3514329906882401</v>
      </c>
      <c r="Q172" s="23">
        <v>1.3596458225580399</v>
      </c>
      <c r="R172" s="21">
        <v>313.49785339557701</v>
      </c>
      <c r="S172" s="21">
        <v>318.00687648170901</v>
      </c>
      <c r="T172" s="21">
        <v>319.90099222065697</v>
      </c>
      <c r="U172" s="22">
        <v>-8.2661063950783195E-3</v>
      </c>
      <c r="V172" s="22">
        <v>6.0143874811244896E-3</v>
      </c>
      <c r="W172" s="22">
        <v>1.1952929387912901E-2</v>
      </c>
      <c r="X172" s="23">
        <v>1.3448774676650701</v>
      </c>
      <c r="Y172" s="23">
        <v>1.3338063878300499</v>
      </c>
      <c r="Z172" s="23">
        <v>1.3514329906882401</v>
      </c>
      <c r="AA172" s="23">
        <v>1.3596458225580399</v>
      </c>
      <c r="AB172" s="21">
        <v>313.49785339557701</v>
      </c>
      <c r="AC172" s="21">
        <v>318.00687648170901</v>
      </c>
      <c r="AD172" s="21">
        <v>319.90099222065697</v>
      </c>
      <c r="AE172" s="22">
        <v>-8.2661063950783195E-3</v>
      </c>
      <c r="AF172" s="22">
        <v>6.0143874811244896E-3</v>
      </c>
      <c r="AG172" s="22">
        <v>1.1952929387912901E-2</v>
      </c>
      <c r="AI172" s="5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16">
        <f t="shared" si="48"/>
        <v>0</v>
      </c>
      <c r="AP172" s="16">
        <f t="shared" si="49"/>
        <v>0</v>
      </c>
      <c r="AQ172" s="16">
        <f t="shared" si="56"/>
        <v>0</v>
      </c>
      <c r="AR172" s="10">
        <f t="shared" si="57"/>
        <v>1.5722579686736293E-2</v>
      </c>
      <c r="AT172" s="5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16">
        <f t="shared" si="52"/>
        <v>0</v>
      </c>
      <c r="BA172" s="16">
        <f t="shared" si="53"/>
        <v>0</v>
      </c>
      <c r="BB172" s="16">
        <f t="shared" si="60"/>
        <v>0</v>
      </c>
      <c r="BC172" s="10">
        <f t="shared" si="61"/>
        <v>8.2755504187098178E-2</v>
      </c>
      <c r="BE172" s="10">
        <f t="shared" si="62"/>
        <v>0</v>
      </c>
      <c r="BF172" s="10">
        <f t="shared" si="63"/>
        <v>9.8478083873834499E-2</v>
      </c>
      <c r="BH172" s="10"/>
    </row>
    <row r="173" spans="1:60" x14ac:dyDescent="0.25">
      <c r="A173" s="1">
        <v>46274</v>
      </c>
      <c r="B173" s="21">
        <v>232.48</v>
      </c>
      <c r="C173" s="21">
        <v>312.32</v>
      </c>
      <c r="D173" s="22">
        <v>-1.09515126035944E-2</v>
      </c>
      <c r="E173" s="22">
        <v>-1.20303159968444E-2</v>
      </c>
      <c r="F173" s="21">
        <v>0</v>
      </c>
      <c r="G173" s="21">
        <v>0.25</v>
      </c>
      <c r="H173" s="21">
        <v>0</v>
      </c>
      <c r="I173" s="21">
        <v>0.25</v>
      </c>
      <c r="J173" s="21">
        <v>0</v>
      </c>
      <c r="K173" s="21">
        <v>0</v>
      </c>
      <c r="L173" s="21">
        <v>232.48</v>
      </c>
      <c r="M173" s="21">
        <v>312.32</v>
      </c>
      <c r="N173" s="23">
        <v>1.3434273916035699</v>
      </c>
      <c r="O173" s="23">
        <v>1.3338063878300499</v>
      </c>
      <c r="P173" s="23">
        <v>1.3492335283705701</v>
      </c>
      <c r="Q173" s="23">
        <v>1.3575137772092301</v>
      </c>
      <c r="R173" s="21">
        <v>310.08330904273203</v>
      </c>
      <c r="S173" s="21">
        <v>314.18114167520201</v>
      </c>
      <c r="T173" s="21">
        <v>316.09046082829298</v>
      </c>
      <c r="U173" s="22">
        <v>-7.1873030018283499E-3</v>
      </c>
      <c r="V173" s="22">
        <v>5.9414006656661501E-3</v>
      </c>
      <c r="W173" s="22">
        <v>1.20001378391584E-2</v>
      </c>
      <c r="X173" s="23">
        <v>1.3434273916035699</v>
      </c>
      <c r="Y173" s="23">
        <v>1.3338063878300499</v>
      </c>
      <c r="Z173" s="23">
        <v>1.3492335283705701</v>
      </c>
      <c r="AA173" s="23">
        <v>1.3575137772092301</v>
      </c>
      <c r="AB173" s="21">
        <v>310.08330904273203</v>
      </c>
      <c r="AC173" s="21">
        <v>314.18114167520201</v>
      </c>
      <c r="AD173" s="21">
        <v>316.09046082829298</v>
      </c>
      <c r="AE173" s="22">
        <v>-7.1873030018283499E-3</v>
      </c>
      <c r="AF173" s="22">
        <v>5.9414006656661501E-3</v>
      </c>
      <c r="AG173" s="22">
        <v>1.20001378391584E-2</v>
      </c>
      <c r="AI173" s="5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16">
        <f t="shared" si="48"/>
        <v>0</v>
      </c>
      <c r="AP173" s="16">
        <f t="shared" si="49"/>
        <v>0</v>
      </c>
      <c r="AQ173" s="16">
        <f t="shared" si="56"/>
        <v>0</v>
      </c>
      <c r="AR173" s="10">
        <f t="shared" si="57"/>
        <v>1.5722579686736293E-2</v>
      </c>
      <c r="AT173" s="5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16">
        <f t="shared" si="52"/>
        <v>0</v>
      </c>
      <c r="BA173" s="16">
        <f t="shared" si="53"/>
        <v>0</v>
      </c>
      <c r="BB173" s="16">
        <f t="shared" si="60"/>
        <v>0</v>
      </c>
      <c r="BC173" s="10">
        <f t="shared" si="61"/>
        <v>8.2755504187098178E-2</v>
      </c>
      <c r="BE173" s="10">
        <f t="shared" si="62"/>
        <v>0</v>
      </c>
      <c r="BF173" s="10">
        <f t="shared" si="63"/>
        <v>9.8478083873834499E-2</v>
      </c>
      <c r="BH173" s="10"/>
    </row>
    <row r="174" spans="1:60" x14ac:dyDescent="0.25">
      <c r="A174" s="1">
        <v>46275</v>
      </c>
      <c r="B174" s="21">
        <v>232.34</v>
      </c>
      <c r="C174" s="21">
        <v>312.49</v>
      </c>
      <c r="D174" s="22">
        <v>-6.0238373664399402E-4</v>
      </c>
      <c r="E174" s="22">
        <v>5.4416543971760401E-4</v>
      </c>
      <c r="F174" s="21">
        <v>0</v>
      </c>
      <c r="G174" s="21">
        <v>0.25</v>
      </c>
      <c r="H174" s="21">
        <v>0</v>
      </c>
      <c r="I174" s="21">
        <v>0.25</v>
      </c>
      <c r="J174" s="21">
        <v>0</v>
      </c>
      <c r="K174" s="21">
        <v>0</v>
      </c>
      <c r="L174" s="21">
        <v>232.34</v>
      </c>
      <c r="M174" s="21">
        <v>312.49</v>
      </c>
      <c r="N174" s="23">
        <v>1.3449685805285301</v>
      </c>
      <c r="O174" s="23">
        <v>1.3338063878300499</v>
      </c>
      <c r="P174" s="23">
        <v>1.3484309805447501</v>
      </c>
      <c r="Q174" s="23">
        <v>1.3562305578759399</v>
      </c>
      <c r="R174" s="21">
        <v>309.896576148436</v>
      </c>
      <c r="S174" s="21">
        <v>313.48091798161897</v>
      </c>
      <c r="T174" s="21">
        <v>315.40475099679401</v>
      </c>
      <c r="U174" s="22">
        <v>-8.33385217819008E-3</v>
      </c>
      <c r="V174" s="22">
        <v>3.16602187378221E-3</v>
      </c>
      <c r="W174" s="22">
        <v>9.2842691524184194E-3</v>
      </c>
      <c r="X174" s="23">
        <v>1.3449685805285301</v>
      </c>
      <c r="Y174" s="23">
        <v>1.3338063878300499</v>
      </c>
      <c r="Z174" s="23">
        <v>1.3484309805447501</v>
      </c>
      <c r="AA174" s="23">
        <v>1.3562305578759399</v>
      </c>
      <c r="AB174" s="21">
        <v>309.896576148436</v>
      </c>
      <c r="AC174" s="21">
        <v>313.48091798161897</v>
      </c>
      <c r="AD174" s="21">
        <v>315.40475099679401</v>
      </c>
      <c r="AE174" s="22">
        <v>-8.33385217819008E-3</v>
      </c>
      <c r="AF174" s="22">
        <v>3.16602187378221E-3</v>
      </c>
      <c r="AG174" s="22">
        <v>9.2842691524184194E-3</v>
      </c>
      <c r="AI174" s="5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16">
        <f t="shared" si="48"/>
        <v>0</v>
      </c>
      <c r="AP174" s="16">
        <f t="shared" si="49"/>
        <v>0</v>
      </c>
      <c r="AQ174" s="16">
        <f t="shared" si="56"/>
        <v>0</v>
      </c>
      <c r="AR174" s="10">
        <f t="shared" si="57"/>
        <v>1.5722579686736293E-2</v>
      </c>
      <c r="AT174" s="5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16">
        <f t="shared" si="52"/>
        <v>0</v>
      </c>
      <c r="BA174" s="16">
        <f t="shared" si="53"/>
        <v>0</v>
      </c>
      <c r="BB174" s="16">
        <f t="shared" si="60"/>
        <v>0</v>
      </c>
      <c r="BC174" s="10">
        <f t="shared" si="61"/>
        <v>8.2755504187098178E-2</v>
      </c>
      <c r="BE174" s="10">
        <f t="shared" si="62"/>
        <v>0</v>
      </c>
      <c r="BF174" s="10">
        <f t="shared" si="63"/>
        <v>9.8478083873834499E-2</v>
      </c>
      <c r="BH174" s="10"/>
    </row>
    <row r="175" spans="1:60" x14ac:dyDescent="0.25">
      <c r="A175" s="1">
        <v>46276</v>
      </c>
      <c r="B175" s="21">
        <v>235.25</v>
      </c>
      <c r="C175" s="21">
        <v>316</v>
      </c>
      <c r="D175" s="22">
        <v>1.24469623801603E-2</v>
      </c>
      <c r="E175" s="22">
        <v>1.11697449224668E-2</v>
      </c>
      <c r="F175" s="21">
        <v>0</v>
      </c>
      <c r="G175" s="21">
        <v>0.25</v>
      </c>
      <c r="H175" s="21">
        <v>0</v>
      </c>
      <c r="I175" s="21">
        <v>0.25</v>
      </c>
      <c r="J175" s="21">
        <v>0</v>
      </c>
      <c r="K175" s="21">
        <v>0</v>
      </c>
      <c r="L175" s="21">
        <v>235.25</v>
      </c>
      <c r="M175" s="21">
        <v>316</v>
      </c>
      <c r="N175" s="23">
        <v>1.34325185972369</v>
      </c>
      <c r="O175" s="23">
        <v>1.3338063878300499</v>
      </c>
      <c r="P175" s="23">
        <v>1.34849458331326</v>
      </c>
      <c r="Q175" s="23">
        <v>1.35521450210437</v>
      </c>
      <c r="R175" s="21">
        <v>313.777952737021</v>
      </c>
      <c r="S175" s="21">
        <v>317.21838817315302</v>
      </c>
      <c r="T175" s="21">
        <v>319.05323874031501</v>
      </c>
      <c r="U175" s="22">
        <v>-7.0566347204965201E-3</v>
      </c>
      <c r="V175" s="22">
        <v>3.8482447746324101E-3</v>
      </c>
      <c r="W175" s="22">
        <v>9.6157678757816702E-3</v>
      </c>
      <c r="X175" s="23">
        <v>1.34325185972369</v>
      </c>
      <c r="Y175" s="23">
        <v>1.3338063878300499</v>
      </c>
      <c r="Z175" s="23">
        <v>1.34849458331326</v>
      </c>
      <c r="AA175" s="23">
        <v>1.35521450210437</v>
      </c>
      <c r="AB175" s="21">
        <v>313.777952737021</v>
      </c>
      <c r="AC175" s="21">
        <v>317.21838817315302</v>
      </c>
      <c r="AD175" s="21">
        <v>319.05323874031501</v>
      </c>
      <c r="AE175" s="22">
        <v>-7.0566347204965201E-3</v>
      </c>
      <c r="AF175" s="22">
        <v>3.8482447746324101E-3</v>
      </c>
      <c r="AG175" s="22">
        <v>9.6157678757816702E-3</v>
      </c>
      <c r="AI175" s="5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16">
        <f t="shared" si="48"/>
        <v>0</v>
      </c>
      <c r="AP175" s="16">
        <f t="shared" si="49"/>
        <v>0</v>
      </c>
      <c r="AQ175" s="16">
        <f t="shared" si="56"/>
        <v>0</v>
      </c>
      <c r="AR175" s="10">
        <f t="shared" si="57"/>
        <v>1.5722579686736293E-2</v>
      </c>
      <c r="AT175" s="5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16">
        <f t="shared" si="52"/>
        <v>0</v>
      </c>
      <c r="BA175" s="16">
        <f t="shared" si="53"/>
        <v>0</v>
      </c>
      <c r="BB175" s="16">
        <f t="shared" si="60"/>
        <v>0</v>
      </c>
      <c r="BC175" s="10">
        <f t="shared" si="61"/>
        <v>8.2755504187098178E-2</v>
      </c>
      <c r="BE175" s="10">
        <f t="shared" si="62"/>
        <v>0</v>
      </c>
      <c r="BF175" s="10">
        <f t="shared" si="63"/>
        <v>9.8478083873834499E-2</v>
      </c>
      <c r="BH175" s="10"/>
    </row>
    <row r="176" spans="1:60" x14ac:dyDescent="0.25">
      <c r="A176" s="1">
        <v>46279</v>
      </c>
      <c r="B176" s="21">
        <v>227.73</v>
      </c>
      <c r="C176" s="21">
        <v>303.75</v>
      </c>
      <c r="D176" s="22">
        <v>-3.2488061768702503E-2</v>
      </c>
      <c r="E176" s="22">
        <v>-3.9537218932153798E-2</v>
      </c>
      <c r="F176" s="21">
        <v>0</v>
      </c>
      <c r="G176" s="21">
        <v>0.25</v>
      </c>
      <c r="H176" s="21">
        <v>0</v>
      </c>
      <c r="I176" s="21">
        <v>0.25</v>
      </c>
      <c r="J176" s="21">
        <v>0</v>
      </c>
      <c r="K176" s="21">
        <v>0</v>
      </c>
      <c r="L176" s="21">
        <v>227.73</v>
      </c>
      <c r="M176" s="21">
        <v>303.75</v>
      </c>
      <c r="N176" s="23">
        <v>1.3338163614806999</v>
      </c>
      <c r="O176" s="23">
        <v>1.3338063878300499</v>
      </c>
      <c r="P176" s="23">
        <v>1.34729651858954</v>
      </c>
      <c r="Q176" s="23">
        <v>1.3537810247494799</v>
      </c>
      <c r="R176" s="21">
        <v>303.74772870053903</v>
      </c>
      <c r="S176" s="21">
        <v>307.09267145793001</v>
      </c>
      <c r="T176" s="21">
        <v>308.62299856422902</v>
      </c>
      <c r="U176" s="22">
        <v>-7.4775570452221803E-6</v>
      </c>
      <c r="V176" s="22">
        <v>1.0944568807928099E-2</v>
      </c>
      <c r="W176" s="22">
        <v>1.59154679809855E-2</v>
      </c>
      <c r="X176" s="23">
        <v>1.3338163614806999</v>
      </c>
      <c r="Y176" s="23">
        <v>1.3338063878300499</v>
      </c>
      <c r="Z176" s="23">
        <v>1.34729651858954</v>
      </c>
      <c r="AA176" s="23">
        <v>1.3537810247494799</v>
      </c>
      <c r="AB176" s="21">
        <v>303.74772870053903</v>
      </c>
      <c r="AC176" s="21">
        <v>307.09267145793001</v>
      </c>
      <c r="AD176" s="21">
        <v>308.62299856422902</v>
      </c>
      <c r="AE176" s="22">
        <v>-7.4775570452221803E-6</v>
      </c>
      <c r="AF176" s="22">
        <v>1.0944568807928099E-2</v>
      </c>
      <c r="AG176" s="22">
        <v>1.59154679809855E-2</v>
      </c>
      <c r="AI176" s="5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16">
        <f t="shared" si="48"/>
        <v>0</v>
      </c>
      <c r="AP176" s="16">
        <f t="shared" si="49"/>
        <v>0</v>
      </c>
      <c r="AQ176" s="16">
        <f t="shared" si="56"/>
        <v>0</v>
      </c>
      <c r="AR176" s="10">
        <f t="shared" si="57"/>
        <v>1.5722579686736293E-2</v>
      </c>
      <c r="AT176" s="5"/>
      <c r="AU176">
        <f t="shared" si="50"/>
        <v>1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16">
        <f t="shared" si="52"/>
        <v>0</v>
      </c>
      <c r="BA176" s="16">
        <f t="shared" si="53"/>
        <v>0</v>
      </c>
      <c r="BB176" s="16">
        <f t="shared" si="60"/>
        <v>0</v>
      </c>
      <c r="BC176" s="10">
        <f t="shared" si="61"/>
        <v>8.2755504187098178E-2</v>
      </c>
      <c r="BE176" s="10">
        <f t="shared" si="62"/>
        <v>0</v>
      </c>
      <c r="BF176" s="10">
        <f t="shared" si="63"/>
        <v>9.8478083873834499E-2</v>
      </c>
      <c r="BH176" s="10"/>
    </row>
    <row r="177" spans="85:100" x14ac:dyDescent="0.25">
      <c r="CG177" s="16"/>
      <c r="CH177" s="16"/>
      <c r="CI177" s="16"/>
      <c r="CJ177" s="10"/>
      <c r="CL177" s="16"/>
      <c r="CS177" s="16"/>
      <c r="CT177" s="16"/>
      <c r="CU177" s="16"/>
      <c r="CV177" s="10"/>
    </row>
    <row r="178" spans="85:100" x14ac:dyDescent="0.25">
      <c r="CG178" s="16"/>
      <c r="CH178" s="16"/>
      <c r="CI178" s="16"/>
      <c r="CJ178" s="10"/>
      <c r="CL178" s="16"/>
      <c r="CS178" s="16"/>
      <c r="CT178" s="16"/>
      <c r="CU178" s="16"/>
      <c r="CV178" s="10"/>
    </row>
    <row r="179" spans="85:100" x14ac:dyDescent="0.25">
      <c r="CG179" s="16"/>
      <c r="CH179" s="16"/>
      <c r="CI179" s="16"/>
      <c r="CJ179" s="10"/>
      <c r="CL179" s="16"/>
      <c r="CS179" s="16"/>
      <c r="CT179" s="16"/>
      <c r="CU179" s="16"/>
      <c r="CV179" s="1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2026-09-19T23:49:31Z</dcterms:created>
  <dcterms:modified xsi:type="dcterms:W3CDTF">2026-09-21T16:52:00Z</dcterms:modified>
</cp:coreProperties>
</file>