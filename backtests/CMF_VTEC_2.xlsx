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E34A04BC-3A32-4872-B4FB-01F5FA2B2D78}" xr6:coauthVersionLast="47" xr6:coauthVersionMax="47" xr10:uidLastSave="{00000000-0000-0000-0000-000000000000}"/>
  <bookViews>
    <workbookView xWindow="28680" yWindow="-120" windowWidth="29040" windowHeight="15720" xr2:uid="{5576D8B7-B294-41C8-9182-5753FFE198A4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M175" i="1"/>
  <c r="AK175" i="1"/>
  <c r="AJ175" i="1"/>
  <c r="AN176" i="1" s="1"/>
  <c r="AX174" i="1"/>
  <c r="AV174" i="1"/>
  <c r="AU174" i="1"/>
  <c r="AM174" i="1"/>
  <c r="AK174" i="1"/>
  <c r="AJ174" i="1"/>
  <c r="AX173" i="1"/>
  <c r="AV173" i="1"/>
  <c r="AU173" i="1"/>
  <c r="AY174" i="1" s="1"/>
  <c r="AM173" i="1"/>
  <c r="AK173" i="1"/>
  <c r="AJ173" i="1"/>
  <c r="AX172" i="1"/>
  <c r="AV172" i="1"/>
  <c r="AU172" i="1"/>
  <c r="AM172" i="1"/>
  <c r="AK172" i="1"/>
  <c r="AJ172" i="1"/>
  <c r="AN173" i="1" s="1"/>
  <c r="AX171" i="1"/>
  <c r="AV171" i="1"/>
  <c r="AU171" i="1"/>
  <c r="AY172" i="1" s="1"/>
  <c r="AM171" i="1"/>
  <c r="AK171" i="1"/>
  <c r="AJ171" i="1"/>
  <c r="AX170" i="1"/>
  <c r="AV170" i="1"/>
  <c r="AU170" i="1"/>
  <c r="AM170" i="1"/>
  <c r="AK170" i="1"/>
  <c r="AJ170" i="1"/>
  <c r="AN171" i="1" s="1"/>
  <c r="AX169" i="1"/>
  <c r="AV169" i="1"/>
  <c r="AU169" i="1"/>
  <c r="AY170" i="1" s="1"/>
  <c r="AM169" i="1"/>
  <c r="AK169" i="1"/>
  <c r="AJ169" i="1"/>
  <c r="AN170" i="1" s="1"/>
  <c r="AX168" i="1"/>
  <c r="AV168" i="1"/>
  <c r="AU168" i="1"/>
  <c r="AY169" i="1" s="1"/>
  <c r="AM168" i="1"/>
  <c r="AK168" i="1"/>
  <c r="AJ168" i="1"/>
  <c r="AN169" i="1" s="1"/>
  <c r="AX167" i="1"/>
  <c r="AV167" i="1"/>
  <c r="AU167" i="1"/>
  <c r="AY168" i="1" s="1"/>
  <c r="AM167" i="1"/>
  <c r="AK167" i="1"/>
  <c r="AJ167" i="1"/>
  <c r="AX166" i="1"/>
  <c r="AV166" i="1"/>
  <c r="AU166" i="1"/>
  <c r="AY167" i="1" s="1"/>
  <c r="AM166" i="1"/>
  <c r="AK166" i="1"/>
  <c r="AJ166" i="1"/>
  <c r="AN167" i="1" s="1"/>
  <c r="AX165" i="1"/>
  <c r="AV165" i="1"/>
  <c r="AU165" i="1"/>
  <c r="AM165" i="1"/>
  <c r="AK165" i="1"/>
  <c r="AJ165" i="1"/>
  <c r="AN166" i="1" s="1"/>
  <c r="AX164" i="1"/>
  <c r="AV164" i="1"/>
  <c r="AU164" i="1"/>
  <c r="AM164" i="1"/>
  <c r="AK164" i="1"/>
  <c r="AJ164" i="1"/>
  <c r="AX163" i="1"/>
  <c r="AV163" i="1"/>
  <c r="AU163" i="1"/>
  <c r="AM163" i="1"/>
  <c r="AK163" i="1"/>
  <c r="AJ163" i="1"/>
  <c r="AN164" i="1" s="1"/>
  <c r="AX162" i="1"/>
  <c r="AV162" i="1"/>
  <c r="AU162" i="1"/>
  <c r="AY163" i="1" s="1"/>
  <c r="AM162" i="1"/>
  <c r="AK162" i="1"/>
  <c r="AJ162" i="1"/>
  <c r="AX161" i="1"/>
  <c r="AV161" i="1"/>
  <c r="AU161" i="1"/>
  <c r="AM161" i="1"/>
  <c r="AK161" i="1"/>
  <c r="AJ161" i="1"/>
  <c r="AN162" i="1" s="1"/>
  <c r="AX160" i="1"/>
  <c r="AV160" i="1"/>
  <c r="AU160" i="1"/>
  <c r="AM160" i="1"/>
  <c r="AK160" i="1"/>
  <c r="AJ160" i="1"/>
  <c r="AN161" i="1" s="1"/>
  <c r="AX159" i="1"/>
  <c r="AV159" i="1"/>
  <c r="AU159" i="1"/>
  <c r="AY160" i="1" s="1"/>
  <c r="AM159" i="1"/>
  <c r="AK159" i="1"/>
  <c r="AJ159" i="1"/>
  <c r="AX158" i="1"/>
  <c r="AV158" i="1"/>
  <c r="AU158" i="1"/>
  <c r="AM158" i="1"/>
  <c r="AK158" i="1"/>
  <c r="AJ158" i="1"/>
  <c r="AN159" i="1" s="1"/>
  <c r="AX157" i="1"/>
  <c r="AV157" i="1"/>
  <c r="AU157" i="1"/>
  <c r="AY158" i="1" s="1"/>
  <c r="AM157" i="1"/>
  <c r="AK157" i="1"/>
  <c r="AJ157" i="1"/>
  <c r="AX156" i="1"/>
  <c r="AV156" i="1"/>
  <c r="AU156" i="1"/>
  <c r="AY157" i="1" s="1"/>
  <c r="AM156" i="1"/>
  <c r="AK156" i="1"/>
  <c r="AJ156" i="1"/>
  <c r="AX155" i="1"/>
  <c r="AV155" i="1"/>
  <c r="AU155" i="1"/>
  <c r="AY156" i="1" s="1"/>
  <c r="AM155" i="1"/>
  <c r="AK155" i="1"/>
  <c r="AJ155" i="1"/>
  <c r="AX154" i="1"/>
  <c r="AV154" i="1"/>
  <c r="AU154" i="1"/>
  <c r="AY155" i="1" s="1"/>
  <c r="AM154" i="1"/>
  <c r="AK154" i="1"/>
  <c r="AJ154" i="1"/>
  <c r="AX153" i="1"/>
  <c r="AV153" i="1"/>
  <c r="AU153" i="1"/>
  <c r="AY154" i="1" s="1"/>
  <c r="AM153" i="1"/>
  <c r="AK153" i="1"/>
  <c r="AJ153" i="1"/>
  <c r="AX152" i="1"/>
  <c r="AV152" i="1"/>
  <c r="AU152" i="1"/>
  <c r="AM152" i="1"/>
  <c r="AK152" i="1"/>
  <c r="AJ152" i="1"/>
  <c r="AX151" i="1"/>
  <c r="AV151" i="1"/>
  <c r="AU151" i="1"/>
  <c r="AY152" i="1" s="1"/>
  <c r="AM151" i="1"/>
  <c r="AK151" i="1"/>
  <c r="AJ151" i="1"/>
  <c r="AX150" i="1"/>
  <c r="AV150" i="1"/>
  <c r="AU150" i="1"/>
  <c r="AY151" i="1" s="1"/>
  <c r="AM150" i="1"/>
  <c r="AK150" i="1"/>
  <c r="AJ150" i="1"/>
  <c r="AX149" i="1"/>
  <c r="AV149" i="1"/>
  <c r="AU149" i="1"/>
  <c r="AY150" i="1" s="1"/>
  <c r="AM149" i="1"/>
  <c r="AK149" i="1"/>
  <c r="AJ149" i="1"/>
  <c r="AX148" i="1"/>
  <c r="AV148" i="1"/>
  <c r="AU148" i="1"/>
  <c r="AY149" i="1" s="1"/>
  <c r="AM148" i="1"/>
  <c r="AK148" i="1"/>
  <c r="AJ148" i="1"/>
  <c r="AX147" i="1"/>
  <c r="AV147" i="1"/>
  <c r="AU147" i="1"/>
  <c r="AM147" i="1"/>
  <c r="AK147" i="1"/>
  <c r="AJ147" i="1"/>
  <c r="AN148" i="1" s="1"/>
  <c r="AX146" i="1"/>
  <c r="AV146" i="1"/>
  <c r="AU146" i="1"/>
  <c r="AY147" i="1" s="1"/>
  <c r="AM146" i="1"/>
  <c r="AK146" i="1"/>
  <c r="AJ146" i="1"/>
  <c r="AX145" i="1"/>
  <c r="AV145" i="1"/>
  <c r="AU145" i="1"/>
  <c r="AM145" i="1"/>
  <c r="AK145" i="1"/>
  <c r="AJ145" i="1"/>
  <c r="AX144" i="1"/>
  <c r="AV144" i="1"/>
  <c r="AU144" i="1"/>
  <c r="AY145" i="1" s="1"/>
  <c r="AM144" i="1"/>
  <c r="AK144" i="1"/>
  <c r="AJ144" i="1"/>
  <c r="AN145" i="1" s="1"/>
  <c r="AX143" i="1"/>
  <c r="AV143" i="1"/>
  <c r="AU143" i="1"/>
  <c r="AM143" i="1"/>
  <c r="AK143" i="1"/>
  <c r="AJ143" i="1"/>
  <c r="AX142" i="1"/>
  <c r="AV142" i="1"/>
  <c r="AU142" i="1"/>
  <c r="AM142" i="1"/>
  <c r="AK142" i="1"/>
  <c r="AJ142" i="1"/>
  <c r="AX141" i="1"/>
  <c r="AV141" i="1"/>
  <c r="AU141" i="1"/>
  <c r="AY142" i="1" s="1"/>
  <c r="AM141" i="1"/>
  <c r="AK141" i="1"/>
  <c r="AJ141" i="1"/>
  <c r="AX140" i="1"/>
  <c r="AV140" i="1"/>
  <c r="AU140" i="1"/>
  <c r="AM140" i="1"/>
  <c r="AK140" i="1"/>
  <c r="AJ140" i="1"/>
  <c r="AN141" i="1" s="1"/>
  <c r="AX139" i="1"/>
  <c r="AV139" i="1"/>
  <c r="AU139" i="1"/>
  <c r="AM139" i="1"/>
  <c r="AK139" i="1"/>
  <c r="AJ139" i="1"/>
  <c r="AN140" i="1" s="1"/>
  <c r="AX138" i="1"/>
  <c r="AV138" i="1"/>
  <c r="AU138" i="1"/>
  <c r="AM138" i="1"/>
  <c r="AK138" i="1"/>
  <c r="AJ138" i="1"/>
  <c r="AN139" i="1" s="1"/>
  <c r="AX137" i="1"/>
  <c r="AV137" i="1"/>
  <c r="AU137" i="1"/>
  <c r="AM137" i="1"/>
  <c r="AK137" i="1"/>
  <c r="AJ137" i="1"/>
  <c r="AN138" i="1" s="1"/>
  <c r="AX136" i="1"/>
  <c r="AV136" i="1"/>
  <c r="AU136" i="1"/>
  <c r="AY137" i="1" s="1"/>
  <c r="AM136" i="1"/>
  <c r="AK136" i="1"/>
  <c r="AJ136" i="1"/>
  <c r="AX135" i="1"/>
  <c r="AV135" i="1"/>
  <c r="AU135" i="1"/>
  <c r="AY136" i="1" s="1"/>
  <c r="AM135" i="1"/>
  <c r="AK135" i="1"/>
  <c r="AJ135" i="1"/>
  <c r="AX134" i="1"/>
  <c r="AV134" i="1"/>
  <c r="AU134" i="1"/>
  <c r="AM134" i="1"/>
  <c r="AK134" i="1"/>
  <c r="AJ134" i="1"/>
  <c r="AX133" i="1"/>
  <c r="AV133" i="1"/>
  <c r="AU133" i="1"/>
  <c r="AY134" i="1" s="1"/>
  <c r="AM133" i="1"/>
  <c r="AK133" i="1"/>
  <c r="AJ133" i="1"/>
  <c r="AX132" i="1"/>
  <c r="AV132" i="1"/>
  <c r="AU132" i="1"/>
  <c r="AM132" i="1"/>
  <c r="AK132" i="1"/>
  <c r="AJ132" i="1"/>
  <c r="AX131" i="1"/>
  <c r="AV131" i="1"/>
  <c r="AU131" i="1"/>
  <c r="AY132" i="1" s="1"/>
  <c r="AM131" i="1"/>
  <c r="AK131" i="1"/>
  <c r="AJ131" i="1"/>
  <c r="AX130" i="1"/>
  <c r="AV130" i="1"/>
  <c r="AU130" i="1"/>
  <c r="AY131" i="1" s="1"/>
  <c r="AM130" i="1"/>
  <c r="AK130" i="1"/>
  <c r="AJ130" i="1"/>
  <c r="AX129" i="1"/>
  <c r="AV129" i="1"/>
  <c r="AU129" i="1"/>
  <c r="AY130" i="1" s="1"/>
  <c r="AM129" i="1"/>
  <c r="AK129" i="1"/>
  <c r="AJ129" i="1"/>
  <c r="AX128" i="1"/>
  <c r="AV128" i="1"/>
  <c r="AU128" i="1"/>
  <c r="AM128" i="1"/>
  <c r="AK128" i="1"/>
  <c r="AJ128" i="1"/>
  <c r="AN129" i="1" s="1"/>
  <c r="AX127" i="1"/>
  <c r="AV127" i="1"/>
  <c r="AU127" i="1"/>
  <c r="AY128" i="1" s="1"/>
  <c r="AM127" i="1"/>
  <c r="AK127" i="1"/>
  <c r="AJ127" i="1"/>
  <c r="AX126" i="1"/>
  <c r="AV126" i="1"/>
  <c r="AU126" i="1"/>
  <c r="AM126" i="1"/>
  <c r="AK126" i="1"/>
  <c r="AJ126" i="1"/>
  <c r="AN127" i="1" s="1"/>
  <c r="AX125" i="1"/>
  <c r="AV125" i="1"/>
  <c r="AU125" i="1"/>
  <c r="AY126" i="1" s="1"/>
  <c r="AM125" i="1"/>
  <c r="AK125" i="1"/>
  <c r="AJ125" i="1"/>
  <c r="AX124" i="1"/>
  <c r="AV124" i="1"/>
  <c r="AU124" i="1"/>
  <c r="AM124" i="1"/>
  <c r="AK124" i="1"/>
  <c r="AJ124" i="1"/>
  <c r="AX123" i="1"/>
  <c r="AV123" i="1"/>
  <c r="AU123" i="1"/>
  <c r="AY124" i="1" s="1"/>
  <c r="AM123" i="1"/>
  <c r="AK123" i="1"/>
  <c r="AJ123" i="1"/>
  <c r="AX122" i="1"/>
  <c r="AV122" i="1"/>
  <c r="AU122" i="1"/>
  <c r="AY123" i="1" s="1"/>
  <c r="AM122" i="1"/>
  <c r="AK122" i="1"/>
  <c r="AJ122" i="1"/>
  <c r="AX121" i="1"/>
  <c r="AV121" i="1"/>
  <c r="AU121" i="1"/>
  <c r="AY122" i="1" s="1"/>
  <c r="AM121" i="1"/>
  <c r="AK121" i="1"/>
  <c r="AJ121" i="1"/>
  <c r="AX120" i="1"/>
  <c r="AV120" i="1"/>
  <c r="AU120" i="1"/>
  <c r="AM120" i="1"/>
  <c r="AK120" i="1"/>
  <c r="AJ120" i="1"/>
  <c r="AX119" i="1"/>
  <c r="AV119" i="1"/>
  <c r="AU119" i="1"/>
  <c r="AY120" i="1" s="1"/>
  <c r="AM119" i="1"/>
  <c r="AK119" i="1"/>
  <c r="AJ119" i="1"/>
  <c r="AX118" i="1"/>
  <c r="AV118" i="1"/>
  <c r="AU118" i="1"/>
  <c r="AY119" i="1" s="1"/>
  <c r="AM118" i="1"/>
  <c r="AK118" i="1"/>
  <c r="AJ118" i="1"/>
  <c r="AX117" i="1"/>
  <c r="AV117" i="1"/>
  <c r="AU117" i="1"/>
  <c r="AM117" i="1"/>
  <c r="AK117" i="1"/>
  <c r="AJ117" i="1"/>
  <c r="AN118" i="1" s="1"/>
  <c r="AX116" i="1"/>
  <c r="AV116" i="1"/>
  <c r="AU116" i="1"/>
  <c r="AY117" i="1" s="1"/>
  <c r="AM116" i="1"/>
  <c r="AK116" i="1"/>
  <c r="AJ116" i="1"/>
  <c r="AX115" i="1"/>
  <c r="AV115" i="1"/>
  <c r="AU115" i="1"/>
  <c r="AY116" i="1" s="1"/>
  <c r="AM115" i="1"/>
  <c r="AK115" i="1"/>
  <c r="AJ115" i="1"/>
  <c r="AX114" i="1"/>
  <c r="AV114" i="1"/>
  <c r="AU114" i="1"/>
  <c r="AY115" i="1" s="1"/>
  <c r="AM114" i="1"/>
  <c r="AK114" i="1"/>
  <c r="AJ114" i="1"/>
  <c r="AX113" i="1"/>
  <c r="AV113" i="1"/>
  <c r="AU113" i="1"/>
  <c r="AY114" i="1" s="1"/>
  <c r="AM113" i="1"/>
  <c r="AK113" i="1"/>
  <c r="AJ113" i="1"/>
  <c r="AX112" i="1"/>
  <c r="AV112" i="1"/>
  <c r="AU112" i="1"/>
  <c r="AY113" i="1" s="1"/>
  <c r="AM112" i="1"/>
  <c r="AK112" i="1"/>
  <c r="AJ112" i="1"/>
  <c r="AX111" i="1"/>
  <c r="AV111" i="1"/>
  <c r="AU111" i="1"/>
  <c r="AY112" i="1" s="1"/>
  <c r="AM111" i="1"/>
  <c r="AK111" i="1"/>
  <c r="AJ111" i="1"/>
  <c r="AX110" i="1"/>
  <c r="AV110" i="1"/>
  <c r="AU110" i="1"/>
  <c r="AM110" i="1"/>
  <c r="AK110" i="1"/>
  <c r="AJ110" i="1"/>
  <c r="AX109" i="1"/>
  <c r="AV109" i="1"/>
  <c r="AU109" i="1"/>
  <c r="AY110" i="1" s="1"/>
  <c r="AM109" i="1"/>
  <c r="AK109" i="1"/>
  <c r="AJ109" i="1"/>
  <c r="AX108" i="1"/>
  <c r="AV108" i="1"/>
  <c r="AU108" i="1"/>
  <c r="AY109" i="1" s="1"/>
  <c r="AM108" i="1"/>
  <c r="AK108" i="1"/>
  <c r="AJ108" i="1"/>
  <c r="AX107" i="1"/>
  <c r="AV107" i="1"/>
  <c r="AU107" i="1"/>
  <c r="AM107" i="1"/>
  <c r="AK107" i="1"/>
  <c r="AJ107" i="1"/>
  <c r="AN108" i="1" s="1"/>
  <c r="AX106" i="1"/>
  <c r="AV106" i="1"/>
  <c r="AU106" i="1"/>
  <c r="AM106" i="1"/>
  <c r="AK106" i="1"/>
  <c r="AJ106" i="1"/>
  <c r="AX105" i="1"/>
  <c r="AV105" i="1"/>
  <c r="AU105" i="1"/>
  <c r="AY106" i="1" s="1"/>
  <c r="AM105" i="1"/>
  <c r="AK105" i="1"/>
  <c r="AJ105" i="1"/>
  <c r="AX104" i="1"/>
  <c r="AV104" i="1"/>
  <c r="AU104" i="1"/>
  <c r="AY105" i="1" s="1"/>
  <c r="AM104" i="1"/>
  <c r="AK104" i="1"/>
  <c r="AJ104" i="1"/>
  <c r="AX103" i="1"/>
  <c r="AV103" i="1"/>
  <c r="AU103" i="1"/>
  <c r="AY104" i="1" s="1"/>
  <c r="AM103" i="1"/>
  <c r="AK103" i="1"/>
  <c r="AJ103" i="1"/>
  <c r="AX102" i="1"/>
  <c r="AV102" i="1"/>
  <c r="AU102" i="1"/>
  <c r="AY103" i="1" s="1"/>
  <c r="AM102" i="1"/>
  <c r="AK102" i="1"/>
  <c r="AJ102" i="1"/>
  <c r="AX101" i="1"/>
  <c r="AV101" i="1"/>
  <c r="AU101" i="1"/>
  <c r="AY102" i="1" s="1"/>
  <c r="AM101" i="1"/>
  <c r="AK101" i="1"/>
  <c r="AJ101" i="1"/>
  <c r="AX100" i="1"/>
  <c r="AV100" i="1"/>
  <c r="AU100" i="1"/>
  <c r="AM100" i="1"/>
  <c r="AK100" i="1"/>
  <c r="AJ100" i="1"/>
  <c r="AN101" i="1" s="1"/>
  <c r="AX99" i="1"/>
  <c r="AV99" i="1"/>
  <c r="AU99" i="1"/>
  <c r="AM99" i="1"/>
  <c r="AK99" i="1"/>
  <c r="AJ99" i="1"/>
  <c r="AN100" i="1" s="1"/>
  <c r="AX98" i="1"/>
  <c r="AV98" i="1"/>
  <c r="AU98" i="1"/>
  <c r="AM98" i="1"/>
  <c r="AK98" i="1"/>
  <c r="AJ98" i="1"/>
  <c r="AX97" i="1"/>
  <c r="AV97" i="1"/>
  <c r="AU97" i="1"/>
  <c r="AY98" i="1" s="1"/>
  <c r="AM97" i="1"/>
  <c r="AK97" i="1"/>
  <c r="AJ97" i="1"/>
  <c r="AX96" i="1"/>
  <c r="AV96" i="1"/>
  <c r="AU96" i="1"/>
  <c r="AM96" i="1"/>
  <c r="AK96" i="1"/>
  <c r="AJ96" i="1"/>
  <c r="AN97" i="1" s="1"/>
  <c r="AX95" i="1"/>
  <c r="AV95" i="1"/>
  <c r="AU95" i="1"/>
  <c r="AM95" i="1"/>
  <c r="AK95" i="1"/>
  <c r="AJ95" i="1"/>
  <c r="AN96" i="1" s="1"/>
  <c r="AX94" i="1"/>
  <c r="AV94" i="1"/>
  <c r="AU94" i="1"/>
  <c r="AM94" i="1"/>
  <c r="AK94" i="1"/>
  <c r="AJ94" i="1"/>
  <c r="AN95" i="1" s="1"/>
  <c r="AX93" i="1"/>
  <c r="AV93" i="1"/>
  <c r="AU93" i="1"/>
  <c r="AM93" i="1"/>
  <c r="AK93" i="1"/>
  <c r="AJ93" i="1"/>
  <c r="AN94" i="1" s="1"/>
  <c r="AX92" i="1"/>
  <c r="AV92" i="1"/>
  <c r="AU92" i="1"/>
  <c r="AY93" i="1" s="1"/>
  <c r="AM92" i="1"/>
  <c r="AK92" i="1"/>
  <c r="AJ92" i="1"/>
  <c r="AX91" i="1"/>
  <c r="AV91" i="1"/>
  <c r="AU91" i="1"/>
  <c r="AM91" i="1"/>
  <c r="AK91" i="1"/>
  <c r="AJ91" i="1"/>
  <c r="AX90" i="1"/>
  <c r="AV90" i="1"/>
  <c r="AU90" i="1"/>
  <c r="AM90" i="1"/>
  <c r="AK90" i="1"/>
  <c r="AJ90" i="1"/>
  <c r="AN91" i="1" s="1"/>
  <c r="AX89" i="1"/>
  <c r="AV89" i="1"/>
  <c r="AU89" i="1"/>
  <c r="AM89" i="1"/>
  <c r="AK89" i="1"/>
  <c r="AJ89" i="1"/>
  <c r="AN90" i="1" s="1"/>
  <c r="AX88" i="1"/>
  <c r="AV88" i="1"/>
  <c r="AU88" i="1"/>
  <c r="AM88" i="1"/>
  <c r="AK88" i="1"/>
  <c r="AJ88" i="1"/>
  <c r="AX87" i="1"/>
  <c r="AV87" i="1"/>
  <c r="AU87" i="1"/>
  <c r="AM87" i="1"/>
  <c r="AK87" i="1"/>
  <c r="AJ87" i="1"/>
  <c r="AN88" i="1" s="1"/>
  <c r="AX86" i="1"/>
  <c r="AV86" i="1"/>
  <c r="AU86" i="1"/>
  <c r="AY87" i="1" s="1"/>
  <c r="AM86" i="1"/>
  <c r="AK86" i="1"/>
  <c r="AJ86" i="1"/>
  <c r="AX85" i="1"/>
  <c r="AV85" i="1"/>
  <c r="AU85" i="1"/>
  <c r="AM85" i="1"/>
  <c r="AK85" i="1"/>
  <c r="AJ85" i="1"/>
  <c r="AN86" i="1" s="1"/>
  <c r="AX84" i="1"/>
  <c r="AV84" i="1"/>
  <c r="AU84" i="1"/>
  <c r="AM84" i="1"/>
  <c r="AK84" i="1"/>
  <c r="AJ84" i="1"/>
  <c r="AX83" i="1"/>
  <c r="AV83" i="1"/>
  <c r="AU83" i="1"/>
  <c r="AM83" i="1"/>
  <c r="AK83" i="1"/>
  <c r="AJ83" i="1"/>
  <c r="AX82" i="1"/>
  <c r="AV82" i="1"/>
  <c r="AU82" i="1"/>
  <c r="AY83" i="1" s="1"/>
  <c r="AM82" i="1"/>
  <c r="AK82" i="1"/>
  <c r="AJ82" i="1"/>
  <c r="AX81" i="1"/>
  <c r="AV81" i="1"/>
  <c r="AU81" i="1"/>
  <c r="AM81" i="1"/>
  <c r="AK81" i="1"/>
  <c r="AJ81" i="1"/>
  <c r="AN82" i="1" s="1"/>
  <c r="AX80" i="1"/>
  <c r="AV80" i="1"/>
  <c r="AU80" i="1"/>
  <c r="AM80" i="1"/>
  <c r="AK80" i="1"/>
  <c r="AJ80" i="1"/>
  <c r="AN81" i="1" s="1"/>
  <c r="AX79" i="1"/>
  <c r="AV79" i="1"/>
  <c r="AU79" i="1"/>
  <c r="AM79" i="1"/>
  <c r="AK79" i="1"/>
  <c r="AJ79" i="1"/>
  <c r="AX78" i="1"/>
  <c r="AV78" i="1"/>
  <c r="AU78" i="1"/>
  <c r="AM78" i="1"/>
  <c r="AK78" i="1"/>
  <c r="AJ78" i="1"/>
  <c r="AN79" i="1" s="1"/>
  <c r="AX77" i="1"/>
  <c r="AV77" i="1"/>
  <c r="AU77" i="1"/>
  <c r="AY78" i="1" s="1"/>
  <c r="AM77" i="1"/>
  <c r="AK77" i="1"/>
  <c r="AJ77" i="1"/>
  <c r="AX76" i="1"/>
  <c r="AV76" i="1"/>
  <c r="AU76" i="1"/>
  <c r="AY77" i="1" s="1"/>
  <c r="AM76" i="1"/>
  <c r="AK76" i="1"/>
  <c r="AJ76" i="1"/>
  <c r="AX75" i="1"/>
  <c r="AV75" i="1"/>
  <c r="AU75" i="1"/>
  <c r="AM75" i="1"/>
  <c r="AK75" i="1"/>
  <c r="AJ75" i="1"/>
  <c r="AX74" i="1"/>
  <c r="AV74" i="1"/>
  <c r="AU74" i="1"/>
  <c r="AM74" i="1"/>
  <c r="AK74" i="1"/>
  <c r="AJ74" i="1"/>
  <c r="AN75" i="1" s="1"/>
  <c r="AX73" i="1"/>
  <c r="AV73" i="1"/>
  <c r="AU73" i="1"/>
  <c r="AM73" i="1"/>
  <c r="AK73" i="1"/>
  <c r="AJ73" i="1"/>
  <c r="AX72" i="1"/>
  <c r="AV72" i="1"/>
  <c r="AU72" i="1"/>
  <c r="AY73" i="1" s="1"/>
  <c r="AM72" i="1"/>
  <c r="AK72" i="1"/>
  <c r="AJ72" i="1"/>
  <c r="AX71" i="1"/>
  <c r="AV71" i="1"/>
  <c r="AU71" i="1"/>
  <c r="AM71" i="1"/>
  <c r="AK71" i="1"/>
  <c r="AJ71" i="1"/>
  <c r="AX70" i="1"/>
  <c r="AV70" i="1"/>
  <c r="AU70" i="1"/>
  <c r="AY71" i="1" s="1"/>
  <c r="AM70" i="1"/>
  <c r="AK70" i="1"/>
  <c r="AJ70" i="1"/>
  <c r="AX69" i="1"/>
  <c r="AV69" i="1"/>
  <c r="AU69" i="1"/>
  <c r="AY70" i="1" s="1"/>
  <c r="AM69" i="1"/>
  <c r="AK69" i="1"/>
  <c r="AJ69" i="1"/>
  <c r="AX68" i="1"/>
  <c r="AV68" i="1"/>
  <c r="AU68" i="1"/>
  <c r="AY69" i="1" s="1"/>
  <c r="AM68" i="1"/>
  <c r="AK68" i="1"/>
  <c r="AJ68" i="1"/>
  <c r="AX67" i="1"/>
  <c r="AV67" i="1"/>
  <c r="AU67" i="1"/>
  <c r="AM67" i="1"/>
  <c r="AK67" i="1"/>
  <c r="AJ67" i="1"/>
  <c r="AN68" i="1" s="1"/>
  <c r="AX66" i="1"/>
  <c r="AV66" i="1"/>
  <c r="AU66" i="1"/>
  <c r="AY67" i="1" s="1"/>
  <c r="AM66" i="1"/>
  <c r="AK66" i="1"/>
  <c r="AJ66" i="1"/>
  <c r="AX65" i="1"/>
  <c r="AV65" i="1"/>
  <c r="AU65" i="1"/>
  <c r="AM65" i="1"/>
  <c r="AK65" i="1"/>
  <c r="AJ65" i="1"/>
  <c r="AN66" i="1" s="1"/>
  <c r="AX64" i="1"/>
  <c r="AV64" i="1"/>
  <c r="AU64" i="1"/>
  <c r="AM64" i="1"/>
  <c r="AK64" i="1"/>
  <c r="AJ64" i="1"/>
  <c r="AX63" i="1"/>
  <c r="AV63" i="1"/>
  <c r="AU63" i="1"/>
  <c r="AM63" i="1"/>
  <c r="AK63" i="1"/>
  <c r="AJ63" i="1"/>
  <c r="AN64" i="1" s="1"/>
  <c r="AX62" i="1"/>
  <c r="AV62" i="1"/>
  <c r="AU62" i="1"/>
  <c r="AM62" i="1"/>
  <c r="AK62" i="1"/>
  <c r="AJ62" i="1"/>
  <c r="AN63" i="1" s="1"/>
  <c r="AX61" i="1"/>
  <c r="AV61" i="1"/>
  <c r="AU61" i="1"/>
  <c r="AM61" i="1"/>
  <c r="AK61" i="1"/>
  <c r="AJ61" i="1"/>
  <c r="AX60" i="1"/>
  <c r="AV60" i="1"/>
  <c r="AU60" i="1"/>
  <c r="AY61" i="1" s="1"/>
  <c r="AM60" i="1"/>
  <c r="AK60" i="1"/>
  <c r="AJ60" i="1"/>
  <c r="AX59" i="1"/>
  <c r="AV59" i="1"/>
  <c r="AU59" i="1"/>
  <c r="AM59" i="1"/>
  <c r="AK59" i="1"/>
  <c r="AJ59" i="1"/>
  <c r="AN60" i="1" s="1"/>
  <c r="AX58" i="1"/>
  <c r="AV58" i="1"/>
  <c r="AU58" i="1"/>
  <c r="AM58" i="1"/>
  <c r="AK58" i="1"/>
  <c r="AJ58" i="1"/>
  <c r="AX57" i="1"/>
  <c r="AV57" i="1"/>
  <c r="AU57" i="1"/>
  <c r="AY58" i="1" s="1"/>
  <c r="AM57" i="1"/>
  <c r="AK57" i="1"/>
  <c r="AJ57" i="1"/>
  <c r="AN58" i="1" s="1"/>
  <c r="AX56" i="1"/>
  <c r="AV56" i="1"/>
  <c r="AU56" i="1"/>
  <c r="AM56" i="1"/>
  <c r="AK56" i="1"/>
  <c r="AJ56" i="1"/>
  <c r="AN57" i="1" s="1"/>
  <c r="AX55" i="1"/>
  <c r="AV55" i="1"/>
  <c r="AU55" i="1"/>
  <c r="AM55" i="1"/>
  <c r="AK55" i="1"/>
  <c r="AJ55" i="1"/>
  <c r="AX54" i="1"/>
  <c r="AV54" i="1"/>
  <c r="AU54" i="1"/>
  <c r="AM54" i="1"/>
  <c r="AK54" i="1"/>
  <c r="AJ54" i="1"/>
  <c r="AN55" i="1" s="1"/>
  <c r="AX53" i="1"/>
  <c r="AV53" i="1"/>
  <c r="AU53" i="1"/>
  <c r="AY54" i="1" s="1"/>
  <c r="AM53" i="1"/>
  <c r="AK53" i="1"/>
  <c r="AJ53" i="1"/>
  <c r="AX52" i="1"/>
  <c r="AV52" i="1"/>
  <c r="AU52" i="1"/>
  <c r="AM52" i="1"/>
  <c r="AK52" i="1"/>
  <c r="AJ52" i="1"/>
  <c r="AN53" i="1" s="1"/>
  <c r="AX51" i="1"/>
  <c r="AV51" i="1"/>
  <c r="AU51" i="1"/>
  <c r="AM51" i="1"/>
  <c r="AK51" i="1"/>
  <c r="AJ51" i="1"/>
  <c r="AN52" i="1" s="1"/>
  <c r="AX50" i="1"/>
  <c r="AV50" i="1"/>
  <c r="AU50" i="1"/>
  <c r="AM50" i="1"/>
  <c r="AK50" i="1"/>
  <c r="AJ50" i="1"/>
  <c r="AN51" i="1" s="1"/>
  <c r="AX49" i="1"/>
  <c r="AV49" i="1"/>
  <c r="AU49" i="1"/>
  <c r="AM49" i="1"/>
  <c r="AK49" i="1"/>
  <c r="AJ49" i="1"/>
  <c r="AX48" i="1"/>
  <c r="AV48" i="1"/>
  <c r="AU48" i="1"/>
  <c r="AM48" i="1"/>
  <c r="AK48" i="1"/>
  <c r="AJ48" i="1"/>
  <c r="AN49" i="1" s="1"/>
  <c r="AX47" i="1"/>
  <c r="AV47" i="1"/>
  <c r="AU47" i="1"/>
  <c r="AY48" i="1" s="1"/>
  <c r="AM47" i="1"/>
  <c r="AK47" i="1"/>
  <c r="AJ47" i="1"/>
  <c r="AX46" i="1"/>
  <c r="AV46" i="1"/>
  <c r="AU46" i="1"/>
  <c r="AM46" i="1"/>
  <c r="AK46" i="1"/>
  <c r="AJ46" i="1"/>
  <c r="AN47" i="1" s="1"/>
  <c r="AX45" i="1"/>
  <c r="AV45" i="1"/>
  <c r="AU45" i="1"/>
  <c r="AM45" i="1"/>
  <c r="AK45" i="1"/>
  <c r="AJ45" i="1"/>
  <c r="AX44" i="1"/>
  <c r="AV44" i="1"/>
  <c r="AU44" i="1"/>
  <c r="AM44" i="1"/>
  <c r="AK44" i="1"/>
  <c r="AJ44" i="1"/>
  <c r="AN45" i="1" s="1"/>
  <c r="AX43" i="1"/>
  <c r="AV43" i="1"/>
  <c r="AU43" i="1"/>
  <c r="AM43" i="1"/>
  <c r="AK43" i="1"/>
  <c r="AJ43" i="1"/>
  <c r="AN44" i="1" s="1"/>
  <c r="AX42" i="1"/>
  <c r="AV42" i="1"/>
  <c r="AU42" i="1"/>
  <c r="AY43" i="1" s="1"/>
  <c r="AM42" i="1"/>
  <c r="AK42" i="1"/>
  <c r="AJ42" i="1"/>
  <c r="AX41" i="1"/>
  <c r="AV41" i="1"/>
  <c r="AU41" i="1"/>
  <c r="AM41" i="1"/>
  <c r="AK41" i="1"/>
  <c r="AJ41" i="1"/>
  <c r="AX40" i="1"/>
  <c r="AV40" i="1"/>
  <c r="AU40" i="1"/>
  <c r="AM40" i="1"/>
  <c r="AK40" i="1"/>
  <c r="AJ40" i="1"/>
  <c r="AN41" i="1" s="1"/>
  <c r="AX39" i="1"/>
  <c r="AV39" i="1"/>
  <c r="AU39" i="1"/>
  <c r="AM39" i="1"/>
  <c r="AK39" i="1"/>
  <c r="AJ39" i="1"/>
  <c r="AN40" i="1" s="1"/>
  <c r="AX38" i="1"/>
  <c r="AV38" i="1"/>
  <c r="AU38" i="1"/>
  <c r="AM38" i="1"/>
  <c r="AK38" i="1"/>
  <c r="AJ38" i="1"/>
  <c r="AN39" i="1" s="1"/>
  <c r="AX37" i="1"/>
  <c r="AV37" i="1"/>
  <c r="AU37" i="1"/>
  <c r="AM37" i="1"/>
  <c r="AK37" i="1"/>
  <c r="AJ37" i="1"/>
  <c r="AX36" i="1"/>
  <c r="AV36" i="1"/>
  <c r="AU36" i="1"/>
  <c r="AM36" i="1"/>
  <c r="AK36" i="1"/>
  <c r="AJ36" i="1"/>
  <c r="AX35" i="1"/>
  <c r="AV35" i="1"/>
  <c r="AU35" i="1"/>
  <c r="AY36" i="1" s="1"/>
  <c r="AM35" i="1"/>
  <c r="AK35" i="1"/>
  <c r="AJ35" i="1"/>
  <c r="AX34" i="1"/>
  <c r="AV34" i="1"/>
  <c r="AU34" i="1"/>
  <c r="AM34" i="1"/>
  <c r="AK34" i="1"/>
  <c r="AJ34" i="1"/>
  <c r="AX33" i="1"/>
  <c r="AV33" i="1"/>
  <c r="AU33" i="1"/>
  <c r="AM33" i="1"/>
  <c r="AK33" i="1"/>
  <c r="AJ33" i="1"/>
  <c r="AX32" i="1"/>
  <c r="AV32" i="1"/>
  <c r="AU32" i="1"/>
  <c r="AY33" i="1" s="1"/>
  <c r="AM32" i="1"/>
  <c r="AK32" i="1"/>
  <c r="AJ32" i="1"/>
  <c r="AX31" i="1"/>
  <c r="AV31" i="1"/>
  <c r="AU31" i="1"/>
  <c r="AM31" i="1"/>
  <c r="AK31" i="1"/>
  <c r="AJ31" i="1"/>
  <c r="AN32" i="1" s="1"/>
  <c r="AX30" i="1"/>
  <c r="AV30" i="1"/>
  <c r="AU30" i="1"/>
  <c r="AM30" i="1"/>
  <c r="AK30" i="1"/>
  <c r="AJ30" i="1"/>
  <c r="AN31" i="1" s="1"/>
  <c r="AX29" i="1"/>
  <c r="AV29" i="1"/>
  <c r="AU29" i="1"/>
  <c r="AM29" i="1"/>
  <c r="AK29" i="1"/>
  <c r="AJ29" i="1"/>
  <c r="AN30" i="1" s="1"/>
  <c r="AX28" i="1"/>
  <c r="AV28" i="1"/>
  <c r="AU28" i="1"/>
  <c r="AM28" i="1"/>
  <c r="AK28" i="1"/>
  <c r="AJ28" i="1"/>
  <c r="AN29" i="1" s="1"/>
  <c r="AX27" i="1"/>
  <c r="AV27" i="1"/>
  <c r="AU27" i="1"/>
  <c r="AY28" i="1" s="1"/>
  <c r="AM27" i="1"/>
  <c r="AK27" i="1"/>
  <c r="AJ27" i="1"/>
  <c r="AX26" i="1"/>
  <c r="AV26" i="1"/>
  <c r="AU26" i="1"/>
  <c r="AM26" i="1"/>
  <c r="AK26" i="1"/>
  <c r="AJ26" i="1"/>
  <c r="AN27" i="1" s="1"/>
  <c r="AX25" i="1"/>
  <c r="AV25" i="1"/>
  <c r="AU25" i="1"/>
  <c r="AY26" i="1" s="1"/>
  <c r="AM25" i="1"/>
  <c r="AK25" i="1"/>
  <c r="AJ25" i="1"/>
  <c r="AX24" i="1"/>
  <c r="AV24" i="1"/>
  <c r="AU24" i="1"/>
  <c r="AY25" i="1" s="1"/>
  <c r="AM24" i="1"/>
  <c r="AK24" i="1"/>
  <c r="AJ24" i="1"/>
  <c r="AX23" i="1"/>
  <c r="AV23" i="1"/>
  <c r="AU23" i="1"/>
  <c r="AM23" i="1"/>
  <c r="AK23" i="1"/>
  <c r="AJ23" i="1"/>
  <c r="AX22" i="1"/>
  <c r="AW22" i="1"/>
  <c r="AV22" i="1"/>
  <c r="AU22" i="1"/>
  <c r="AY23" i="1" s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N133" i="1" l="1"/>
  <c r="AN62" i="1"/>
  <c r="AY125" i="1"/>
  <c r="AY56" i="1"/>
  <c r="AY50" i="1"/>
  <c r="AY46" i="1"/>
  <c r="AY37" i="1"/>
  <c r="AY35" i="1"/>
  <c r="AY34" i="1"/>
  <c r="AY24" i="1"/>
  <c r="AY107" i="1"/>
  <c r="AY85" i="1"/>
  <c r="AY65" i="1"/>
  <c r="AY99" i="1"/>
  <c r="AY38" i="1"/>
  <c r="AY84" i="1"/>
  <c r="AY121" i="1"/>
  <c r="AY76" i="1"/>
  <c r="AY42" i="1"/>
  <c r="AY80" i="1"/>
  <c r="AY74" i="1"/>
  <c r="AY72" i="1"/>
  <c r="AY59" i="1"/>
  <c r="AN143" i="1"/>
  <c r="AN144" i="1"/>
  <c r="AN111" i="1"/>
  <c r="AN175" i="1"/>
  <c r="AN165" i="1"/>
  <c r="AN135" i="1"/>
  <c r="AN92" i="1"/>
  <c r="AN89" i="1"/>
  <c r="AY148" i="1"/>
  <c r="AY153" i="1"/>
  <c r="AY146" i="1"/>
  <c r="AO176" i="1"/>
  <c r="AP176" i="1"/>
  <c r="AL176" i="1"/>
  <c r="AO175" i="1"/>
  <c r="AP175" i="1"/>
  <c r="AL175" i="1"/>
  <c r="AZ174" i="1"/>
  <c r="BA174" i="1"/>
  <c r="AW174" i="1"/>
  <c r="AY175" i="1" s="1"/>
  <c r="AO173" i="1"/>
  <c r="AP173" i="1"/>
  <c r="AL173" i="1"/>
  <c r="AN174" i="1" s="1"/>
  <c r="AZ172" i="1"/>
  <c r="BA172" i="1"/>
  <c r="AW172" i="1"/>
  <c r="AY173" i="1" s="1"/>
  <c r="AO171" i="1"/>
  <c r="AP171" i="1"/>
  <c r="AL171" i="1"/>
  <c r="AN172" i="1" s="1"/>
  <c r="AZ170" i="1"/>
  <c r="BA170" i="1"/>
  <c r="AW170" i="1"/>
  <c r="AY171" i="1" s="1"/>
  <c r="AO170" i="1"/>
  <c r="AP170" i="1"/>
  <c r="AL170" i="1"/>
  <c r="AZ169" i="1"/>
  <c r="BA169" i="1"/>
  <c r="AW169" i="1"/>
  <c r="AO169" i="1"/>
  <c r="AP169" i="1"/>
  <c r="AL169" i="1"/>
  <c r="AZ168" i="1"/>
  <c r="BA168" i="1"/>
  <c r="AW168" i="1"/>
  <c r="AZ167" i="1"/>
  <c r="BA167" i="1"/>
  <c r="AW167" i="1"/>
  <c r="AO167" i="1"/>
  <c r="AP167" i="1"/>
  <c r="AL167" i="1"/>
  <c r="AN168" i="1" s="1"/>
  <c r="AP166" i="1"/>
  <c r="AO166" i="1"/>
  <c r="AQ166" i="1" s="1"/>
  <c r="AL166" i="1"/>
  <c r="AP165" i="1"/>
  <c r="AL165" i="1"/>
  <c r="AO165" i="1"/>
  <c r="AO164" i="1"/>
  <c r="AL164" i="1"/>
  <c r="AP164" i="1"/>
  <c r="AW163" i="1"/>
  <c r="AY164" i="1" s="1"/>
  <c r="AZ163" i="1"/>
  <c r="BA163" i="1"/>
  <c r="AP162" i="1"/>
  <c r="AL162" i="1"/>
  <c r="AN163" i="1" s="1"/>
  <c r="AO162" i="1"/>
  <c r="AQ162" i="1" s="1"/>
  <c r="AP161" i="1"/>
  <c r="AL161" i="1"/>
  <c r="AO161" i="1"/>
  <c r="AQ161" i="1" s="1"/>
  <c r="BA160" i="1"/>
  <c r="AW160" i="1"/>
  <c r="AY161" i="1" s="1"/>
  <c r="AZ160" i="1"/>
  <c r="BB160" i="1" s="1"/>
  <c r="AP159" i="1"/>
  <c r="AO159" i="1"/>
  <c r="AL159" i="1"/>
  <c r="AN160" i="1" s="1"/>
  <c r="AW158" i="1"/>
  <c r="AY159" i="1" s="1"/>
  <c r="AZ158" i="1"/>
  <c r="BA158" i="1"/>
  <c r="AZ157" i="1"/>
  <c r="AW157" i="1"/>
  <c r="BA157" i="1"/>
  <c r="AW156" i="1"/>
  <c r="AZ156" i="1"/>
  <c r="BA156" i="1"/>
  <c r="AW155" i="1"/>
  <c r="BA155" i="1"/>
  <c r="AZ155" i="1"/>
  <c r="BA154" i="1"/>
  <c r="AW154" i="1"/>
  <c r="AZ154" i="1"/>
  <c r="BA153" i="1"/>
  <c r="AW153" i="1"/>
  <c r="AZ153" i="1"/>
  <c r="BB153" i="1" s="1"/>
  <c r="BA152" i="1"/>
  <c r="AW152" i="1"/>
  <c r="AZ152" i="1"/>
  <c r="BB152" i="1" s="1"/>
  <c r="AZ151" i="1"/>
  <c r="BA151" i="1"/>
  <c r="AW151" i="1"/>
  <c r="AZ150" i="1"/>
  <c r="AW150" i="1"/>
  <c r="BA150" i="1"/>
  <c r="AZ149" i="1"/>
  <c r="BA149" i="1"/>
  <c r="AW149" i="1"/>
  <c r="BA148" i="1"/>
  <c r="AZ148" i="1"/>
  <c r="BB148" i="1" s="1"/>
  <c r="AW148" i="1"/>
  <c r="AO148" i="1"/>
  <c r="AP148" i="1"/>
  <c r="AL148" i="1"/>
  <c r="AN149" i="1" s="1"/>
  <c r="AW147" i="1"/>
  <c r="AZ147" i="1"/>
  <c r="BA147" i="1"/>
  <c r="BA146" i="1"/>
  <c r="AZ146" i="1"/>
  <c r="BB146" i="1" s="1"/>
  <c r="AW146" i="1"/>
  <c r="AW145" i="1"/>
  <c r="AZ145" i="1"/>
  <c r="BA145" i="1"/>
  <c r="AL145" i="1"/>
  <c r="AN146" i="1" s="1"/>
  <c r="AP145" i="1"/>
  <c r="AO145" i="1"/>
  <c r="AP144" i="1"/>
  <c r="AL144" i="1"/>
  <c r="AO144" i="1"/>
  <c r="AQ144" i="1" s="1"/>
  <c r="AO143" i="1"/>
  <c r="AP143" i="1"/>
  <c r="AL143" i="1"/>
  <c r="AZ142" i="1"/>
  <c r="BA142" i="1"/>
  <c r="AW142" i="1"/>
  <c r="AY143" i="1" s="1"/>
  <c r="AP141" i="1"/>
  <c r="AO141" i="1"/>
  <c r="AQ141" i="1" s="1"/>
  <c r="AL141" i="1"/>
  <c r="AN142" i="1" s="1"/>
  <c r="AL140" i="1"/>
  <c r="AO140" i="1"/>
  <c r="AP140" i="1"/>
  <c r="AP139" i="1"/>
  <c r="AL139" i="1"/>
  <c r="AO139" i="1"/>
  <c r="AQ139" i="1" s="1"/>
  <c r="AO138" i="1"/>
  <c r="AP138" i="1"/>
  <c r="AL138" i="1"/>
  <c r="AW137" i="1"/>
  <c r="AY138" i="1" s="1"/>
  <c r="AZ137" i="1"/>
  <c r="BA137" i="1"/>
  <c r="BA136" i="1"/>
  <c r="AW136" i="1"/>
  <c r="AZ136" i="1"/>
  <c r="BB136" i="1" s="1"/>
  <c r="AP135" i="1"/>
  <c r="AO135" i="1"/>
  <c r="AQ135" i="1" s="1"/>
  <c r="AL135" i="1"/>
  <c r="AN136" i="1" s="1"/>
  <c r="BA134" i="1"/>
  <c r="AW134" i="1"/>
  <c r="AY135" i="1" s="1"/>
  <c r="AZ134" i="1"/>
  <c r="BB134" i="1" s="1"/>
  <c r="AL133" i="1"/>
  <c r="AN134" i="1" s="1"/>
  <c r="AO133" i="1"/>
  <c r="AP133" i="1"/>
  <c r="AZ132" i="1"/>
  <c r="AW132" i="1"/>
  <c r="AY133" i="1" s="1"/>
  <c r="BA132" i="1"/>
  <c r="AW131" i="1"/>
  <c r="BA131" i="1"/>
  <c r="AZ131" i="1"/>
  <c r="BA130" i="1"/>
  <c r="AZ130" i="1"/>
  <c r="BB130" i="1" s="1"/>
  <c r="AW130" i="1"/>
  <c r="AL129" i="1"/>
  <c r="AN130" i="1" s="1"/>
  <c r="AP129" i="1"/>
  <c r="AO129" i="1"/>
  <c r="AW128" i="1"/>
  <c r="AY129" i="1" s="1"/>
  <c r="AZ128" i="1"/>
  <c r="BA128" i="1"/>
  <c r="AO127" i="1"/>
  <c r="AL127" i="1"/>
  <c r="AN128" i="1" s="1"/>
  <c r="AP127" i="1"/>
  <c r="AW126" i="1"/>
  <c r="AY127" i="1" s="1"/>
  <c r="AZ126" i="1"/>
  <c r="BA126" i="1"/>
  <c r="AZ124" i="1"/>
  <c r="AW124" i="1"/>
  <c r="BA124" i="1"/>
  <c r="AZ123" i="1"/>
  <c r="BA123" i="1"/>
  <c r="AW123" i="1"/>
  <c r="AW122" i="1"/>
  <c r="AZ122" i="1"/>
  <c r="BA122" i="1"/>
  <c r="BA120" i="1"/>
  <c r="AW120" i="1"/>
  <c r="AZ120" i="1"/>
  <c r="BB120" i="1" s="1"/>
  <c r="AZ119" i="1"/>
  <c r="AW119" i="1"/>
  <c r="BA119" i="1"/>
  <c r="AL118" i="1"/>
  <c r="AN119" i="1" s="1"/>
  <c r="AP118" i="1"/>
  <c r="AO118" i="1"/>
  <c r="AQ118" i="1" s="1"/>
  <c r="AW117" i="1"/>
  <c r="AY118" i="1" s="1"/>
  <c r="AZ117" i="1"/>
  <c r="BA117" i="1"/>
  <c r="AZ116" i="1"/>
  <c r="BA116" i="1"/>
  <c r="AW116" i="1"/>
  <c r="AW115" i="1"/>
  <c r="AZ115" i="1"/>
  <c r="BA115" i="1"/>
  <c r="AW114" i="1"/>
  <c r="BA114" i="1"/>
  <c r="AZ114" i="1"/>
  <c r="BB114" i="1" s="1"/>
  <c r="AW113" i="1"/>
  <c r="AZ113" i="1"/>
  <c r="BA113" i="1"/>
  <c r="AW112" i="1"/>
  <c r="BA112" i="1"/>
  <c r="AZ112" i="1"/>
  <c r="BB112" i="1" s="1"/>
  <c r="AO111" i="1"/>
  <c r="AL111" i="1"/>
  <c r="AN112" i="1" s="1"/>
  <c r="AP111" i="1"/>
  <c r="AW110" i="1"/>
  <c r="AY111" i="1" s="1"/>
  <c r="BA110" i="1"/>
  <c r="AZ110" i="1"/>
  <c r="BB110" i="1" s="1"/>
  <c r="AW109" i="1"/>
  <c r="AZ109" i="1"/>
  <c r="BA109" i="1"/>
  <c r="AO108" i="1"/>
  <c r="AL108" i="1"/>
  <c r="AN109" i="1" s="1"/>
  <c r="AP108" i="1"/>
  <c r="AZ107" i="1"/>
  <c r="BA107" i="1"/>
  <c r="AW107" i="1"/>
  <c r="AY108" i="1" s="1"/>
  <c r="AW106" i="1"/>
  <c r="BA106" i="1"/>
  <c r="AZ106" i="1"/>
  <c r="BB106" i="1" s="1"/>
  <c r="BA105" i="1"/>
  <c r="AZ105" i="1"/>
  <c r="BB105" i="1" s="1"/>
  <c r="AW105" i="1"/>
  <c r="BA104" i="1"/>
  <c r="AZ104" i="1"/>
  <c r="BB104" i="1" s="1"/>
  <c r="AW104" i="1"/>
  <c r="AZ103" i="1"/>
  <c r="BA103" i="1"/>
  <c r="AW103" i="1"/>
  <c r="AZ102" i="1"/>
  <c r="AW102" i="1"/>
  <c r="BA102" i="1"/>
  <c r="AL101" i="1"/>
  <c r="AN102" i="1" s="1"/>
  <c r="AO101" i="1"/>
  <c r="AP101" i="1"/>
  <c r="AL100" i="1"/>
  <c r="AP100" i="1"/>
  <c r="AO100" i="1"/>
  <c r="AQ100" i="1" s="1"/>
  <c r="AW98" i="1"/>
  <c r="AZ98" i="1"/>
  <c r="BA98" i="1"/>
  <c r="AP97" i="1"/>
  <c r="AL97" i="1"/>
  <c r="AN98" i="1" s="1"/>
  <c r="AO97" i="1"/>
  <c r="AQ97" i="1" s="1"/>
  <c r="AP96" i="1"/>
  <c r="AL96" i="1"/>
  <c r="AO96" i="1"/>
  <c r="AP95" i="1"/>
  <c r="AO95" i="1"/>
  <c r="AQ95" i="1" s="1"/>
  <c r="AL95" i="1"/>
  <c r="AL94" i="1"/>
  <c r="AO94" i="1"/>
  <c r="AP94" i="1"/>
  <c r="BA93" i="1"/>
  <c r="AW93" i="1"/>
  <c r="AY94" i="1" s="1"/>
  <c r="AZ93" i="1"/>
  <c r="BB93" i="1" s="1"/>
  <c r="AP92" i="1"/>
  <c r="AL92" i="1"/>
  <c r="AN93" i="1" s="1"/>
  <c r="AO92" i="1"/>
  <c r="AQ92" i="1" s="1"/>
  <c r="AP91" i="1"/>
  <c r="AL91" i="1"/>
  <c r="AO91" i="1"/>
  <c r="AQ91" i="1" s="1"/>
  <c r="AO90" i="1"/>
  <c r="AP90" i="1"/>
  <c r="AL90" i="1"/>
  <c r="AO89" i="1"/>
  <c r="AL89" i="1"/>
  <c r="AP89" i="1"/>
  <c r="AP88" i="1"/>
  <c r="AL88" i="1"/>
  <c r="AO88" i="1"/>
  <c r="AQ88" i="1" s="1"/>
  <c r="AZ87" i="1"/>
  <c r="BA87" i="1"/>
  <c r="AW87" i="1"/>
  <c r="AY88" i="1" s="1"/>
  <c r="AL86" i="1"/>
  <c r="AN87" i="1" s="1"/>
  <c r="AO86" i="1"/>
  <c r="AP86" i="1"/>
  <c r="AW85" i="1"/>
  <c r="AY86" i="1" s="1"/>
  <c r="BA85" i="1"/>
  <c r="AZ85" i="1"/>
  <c r="BB85" i="1" s="1"/>
  <c r="AW83" i="1"/>
  <c r="BA83" i="1"/>
  <c r="AZ83" i="1"/>
  <c r="BB83" i="1" s="1"/>
  <c r="AL82" i="1"/>
  <c r="AN83" i="1" s="1"/>
  <c r="AO82" i="1"/>
  <c r="AP82" i="1"/>
  <c r="AL81" i="1"/>
  <c r="AO81" i="1"/>
  <c r="AP81" i="1"/>
  <c r="AP79" i="1"/>
  <c r="AO79" i="1"/>
  <c r="AL79" i="1"/>
  <c r="AN80" i="1" s="1"/>
  <c r="AW78" i="1"/>
  <c r="AY79" i="1" s="1"/>
  <c r="AZ78" i="1"/>
  <c r="BA78" i="1"/>
  <c r="AW77" i="1"/>
  <c r="AZ77" i="1"/>
  <c r="BA77" i="1"/>
  <c r="AL75" i="1"/>
  <c r="AN76" i="1" s="1"/>
  <c r="AP75" i="1"/>
  <c r="AO75" i="1"/>
  <c r="AQ75" i="1" s="1"/>
  <c r="AZ73" i="1"/>
  <c r="AW73" i="1"/>
  <c r="BA73" i="1"/>
  <c r="AW71" i="1"/>
  <c r="AZ71" i="1"/>
  <c r="BA71" i="1"/>
  <c r="AW70" i="1"/>
  <c r="AZ70" i="1"/>
  <c r="BA70" i="1"/>
  <c r="AW69" i="1"/>
  <c r="AZ69" i="1"/>
  <c r="BA69" i="1"/>
  <c r="AP68" i="1"/>
  <c r="AL68" i="1"/>
  <c r="AN69" i="1" s="1"/>
  <c r="AO68" i="1"/>
  <c r="AQ68" i="1" s="1"/>
  <c r="BA67" i="1"/>
  <c r="AW67" i="1"/>
  <c r="AY68" i="1" s="1"/>
  <c r="AZ67" i="1"/>
  <c r="AP66" i="1"/>
  <c r="AL66" i="1"/>
  <c r="AN67" i="1" s="1"/>
  <c r="AO66" i="1"/>
  <c r="AQ66" i="1" s="1"/>
  <c r="AP64" i="1"/>
  <c r="AL64" i="1"/>
  <c r="AN65" i="1" s="1"/>
  <c r="AO64" i="1"/>
  <c r="AO63" i="1"/>
  <c r="AL63" i="1"/>
  <c r="AP63" i="1"/>
  <c r="AL62" i="1"/>
  <c r="AP62" i="1"/>
  <c r="AO62" i="1"/>
  <c r="AW61" i="1"/>
  <c r="AY62" i="1" s="1"/>
  <c r="BA61" i="1"/>
  <c r="AZ61" i="1"/>
  <c r="BB61" i="1" s="1"/>
  <c r="AP60" i="1"/>
  <c r="AL60" i="1"/>
  <c r="AN61" i="1" s="1"/>
  <c r="AO60" i="1"/>
  <c r="AQ60" i="1" s="1"/>
  <c r="AZ58" i="1"/>
  <c r="BA58" i="1"/>
  <c r="AW58" i="1"/>
  <c r="AO58" i="1"/>
  <c r="AP58" i="1"/>
  <c r="AL58" i="1"/>
  <c r="AN59" i="1" s="1"/>
  <c r="AL57" i="1"/>
  <c r="AO57" i="1"/>
  <c r="AP57" i="1"/>
  <c r="AL55" i="1"/>
  <c r="AN56" i="1" s="1"/>
  <c r="AO55" i="1"/>
  <c r="AP55" i="1"/>
  <c r="AW54" i="1"/>
  <c r="AY55" i="1" s="1"/>
  <c r="AZ54" i="1"/>
  <c r="BA54" i="1"/>
  <c r="AP53" i="1"/>
  <c r="AL53" i="1"/>
  <c r="AN54" i="1" s="1"/>
  <c r="AO53" i="1"/>
  <c r="AQ53" i="1" s="1"/>
  <c r="AO52" i="1"/>
  <c r="AL52" i="1"/>
  <c r="AP52" i="1"/>
  <c r="AL51" i="1"/>
  <c r="AO51" i="1"/>
  <c r="AP51" i="1"/>
  <c r="AL49" i="1"/>
  <c r="AN50" i="1" s="1"/>
  <c r="AP49" i="1"/>
  <c r="AO49" i="1"/>
  <c r="AQ49" i="1" s="1"/>
  <c r="AW48" i="1"/>
  <c r="AY49" i="1" s="1"/>
  <c r="AZ48" i="1"/>
  <c r="BA48" i="1"/>
  <c r="AP47" i="1"/>
  <c r="AO47" i="1"/>
  <c r="AQ47" i="1" s="1"/>
  <c r="AL47" i="1"/>
  <c r="AN48" i="1" s="1"/>
  <c r="AO45" i="1"/>
  <c r="AP45" i="1"/>
  <c r="AL45" i="1"/>
  <c r="AN46" i="1" s="1"/>
  <c r="AL44" i="1"/>
  <c r="AP44" i="1"/>
  <c r="AO44" i="1"/>
  <c r="BA43" i="1"/>
  <c r="AZ43" i="1"/>
  <c r="BB43" i="1" s="1"/>
  <c r="AW43" i="1"/>
  <c r="AY44" i="1" s="1"/>
  <c r="AP41" i="1"/>
  <c r="AL41" i="1"/>
  <c r="AN42" i="1" s="1"/>
  <c r="AO41" i="1"/>
  <c r="AQ41" i="1" s="1"/>
  <c r="AP40" i="1"/>
  <c r="AL40" i="1"/>
  <c r="AO40" i="1"/>
  <c r="AQ40" i="1" s="1"/>
  <c r="AO39" i="1"/>
  <c r="AP39" i="1"/>
  <c r="AL39" i="1"/>
  <c r="AZ36" i="1"/>
  <c r="AW36" i="1"/>
  <c r="BA36" i="1"/>
  <c r="AW33" i="1"/>
  <c r="AZ33" i="1"/>
  <c r="BA33" i="1"/>
  <c r="AO32" i="1"/>
  <c r="AL32" i="1"/>
  <c r="AN33" i="1" s="1"/>
  <c r="AP32" i="1"/>
  <c r="AL31" i="1"/>
  <c r="AP31" i="1"/>
  <c r="AO31" i="1"/>
  <c r="AQ31" i="1" s="1"/>
  <c r="AP30" i="1"/>
  <c r="AL30" i="1"/>
  <c r="AO30" i="1"/>
  <c r="AQ30" i="1" s="1"/>
  <c r="AP29" i="1"/>
  <c r="AL29" i="1"/>
  <c r="AO29" i="1"/>
  <c r="AQ29" i="1" s="1"/>
  <c r="BA28" i="1"/>
  <c r="AW28" i="1"/>
  <c r="AY29" i="1" s="1"/>
  <c r="AZ28" i="1"/>
  <c r="BB28" i="1" s="1"/>
  <c r="AP27" i="1"/>
  <c r="AL27" i="1"/>
  <c r="AN28" i="1" s="1"/>
  <c r="AO27" i="1"/>
  <c r="AQ27" i="1" s="1"/>
  <c r="BA26" i="1"/>
  <c r="AW26" i="1"/>
  <c r="AY27" i="1" s="1"/>
  <c r="AZ26" i="1"/>
  <c r="BB26" i="1" s="1"/>
  <c r="AW25" i="1"/>
  <c r="AZ25" i="1"/>
  <c r="BA25" i="1"/>
  <c r="AW23" i="1"/>
  <c r="AZ23" i="1"/>
  <c r="BA23" i="1"/>
  <c r="AL23" i="1"/>
  <c r="AN24" i="1" s="1"/>
  <c r="AO23" i="1"/>
  <c r="AP23" i="1"/>
  <c r="BA22" i="1"/>
  <c r="AZ22" i="1"/>
  <c r="BB22" i="1" s="1"/>
  <c r="AP22" i="1"/>
  <c r="AO22" i="1"/>
  <c r="AQ22" i="1" s="1"/>
  <c r="AP174" i="1" l="1"/>
  <c r="AO174" i="1"/>
  <c r="AL174" i="1"/>
  <c r="AL172" i="1"/>
  <c r="AP172" i="1"/>
  <c r="AO172" i="1"/>
  <c r="AP168" i="1"/>
  <c r="AL168" i="1"/>
  <c r="AO168" i="1"/>
  <c r="AP163" i="1"/>
  <c r="AL163" i="1"/>
  <c r="AO163" i="1"/>
  <c r="AQ163" i="1" s="1"/>
  <c r="AO160" i="1"/>
  <c r="AL160" i="1"/>
  <c r="AP160" i="1"/>
  <c r="AO149" i="1"/>
  <c r="AP149" i="1"/>
  <c r="AL149" i="1"/>
  <c r="AN150" i="1" s="1"/>
  <c r="AP146" i="1"/>
  <c r="AL146" i="1"/>
  <c r="AN147" i="1" s="1"/>
  <c r="AO146" i="1"/>
  <c r="AO142" i="1"/>
  <c r="AL142" i="1"/>
  <c r="AP142" i="1"/>
  <c r="AP136" i="1"/>
  <c r="AO136" i="1"/>
  <c r="AQ136" i="1" s="1"/>
  <c r="AL136" i="1"/>
  <c r="AN137" i="1" s="1"/>
  <c r="AO134" i="1"/>
  <c r="AP134" i="1"/>
  <c r="AL134" i="1"/>
  <c r="AL130" i="1"/>
  <c r="AN131" i="1" s="1"/>
  <c r="AP130" i="1"/>
  <c r="AO130" i="1"/>
  <c r="AP128" i="1"/>
  <c r="AL128" i="1"/>
  <c r="AO128" i="1"/>
  <c r="AP119" i="1"/>
  <c r="AO119" i="1"/>
  <c r="AQ119" i="1" s="1"/>
  <c r="AL119" i="1"/>
  <c r="AN120" i="1" s="1"/>
  <c r="AP112" i="1"/>
  <c r="AL112" i="1"/>
  <c r="AN113" i="1" s="1"/>
  <c r="AO112" i="1"/>
  <c r="AO109" i="1"/>
  <c r="AL109" i="1"/>
  <c r="AN110" i="1" s="1"/>
  <c r="AP109" i="1"/>
  <c r="AL102" i="1"/>
  <c r="AN103" i="1" s="1"/>
  <c r="AO102" i="1"/>
  <c r="AP102" i="1"/>
  <c r="AP98" i="1"/>
  <c r="AO98" i="1"/>
  <c r="AQ98" i="1" s="1"/>
  <c r="BE98" i="1" s="1"/>
  <c r="AL98" i="1"/>
  <c r="AN99" i="1" s="1"/>
  <c r="AO93" i="1"/>
  <c r="AP93" i="1"/>
  <c r="AL93" i="1"/>
  <c r="AP87" i="1"/>
  <c r="AL87" i="1"/>
  <c r="AO87" i="1"/>
  <c r="AQ87" i="1" s="1"/>
  <c r="AO83" i="1"/>
  <c r="AQ83" i="1" s="1"/>
  <c r="BE83" i="1" s="1"/>
  <c r="AP83" i="1"/>
  <c r="AL83" i="1"/>
  <c r="AN84" i="1" s="1"/>
  <c r="AL80" i="1"/>
  <c r="AO80" i="1"/>
  <c r="AQ80" i="1" s="1"/>
  <c r="AP80" i="1"/>
  <c r="AL76" i="1"/>
  <c r="AN77" i="1" s="1"/>
  <c r="AP76" i="1"/>
  <c r="AO76" i="1"/>
  <c r="AQ76" i="1" s="1"/>
  <c r="AP69" i="1"/>
  <c r="AO69" i="1"/>
  <c r="AQ69" i="1" s="1"/>
  <c r="BE69" i="1" s="1"/>
  <c r="AL69" i="1"/>
  <c r="AN70" i="1" s="1"/>
  <c r="AO67" i="1"/>
  <c r="AL67" i="1"/>
  <c r="AP67" i="1"/>
  <c r="AL65" i="1"/>
  <c r="AO65" i="1"/>
  <c r="AQ65" i="1" s="1"/>
  <c r="AP65" i="1"/>
  <c r="AL61" i="1"/>
  <c r="AO61" i="1"/>
  <c r="AP61" i="1"/>
  <c r="AO56" i="1"/>
  <c r="AQ56" i="1" s="1"/>
  <c r="BE56" i="1" s="1"/>
  <c r="AL56" i="1"/>
  <c r="AP56" i="1"/>
  <c r="AL54" i="1"/>
  <c r="AP54" i="1"/>
  <c r="AO54" i="1"/>
  <c r="AQ54" i="1" s="1"/>
  <c r="AO50" i="1"/>
  <c r="AQ50" i="1" s="1"/>
  <c r="BE50" i="1" s="1"/>
  <c r="AP50" i="1"/>
  <c r="AL50" i="1"/>
  <c r="AO48" i="1"/>
  <c r="AL48" i="1"/>
  <c r="AP48" i="1"/>
  <c r="AP46" i="1"/>
  <c r="AO46" i="1"/>
  <c r="AQ46" i="1" s="1"/>
  <c r="BE46" i="1" s="1"/>
  <c r="AL46" i="1"/>
  <c r="AO42" i="1"/>
  <c r="AQ42" i="1" s="1"/>
  <c r="AP42" i="1"/>
  <c r="AL42" i="1"/>
  <c r="AN43" i="1" s="1"/>
  <c r="AP33" i="1"/>
  <c r="AL33" i="1"/>
  <c r="AN34" i="1" s="1"/>
  <c r="AO33" i="1"/>
  <c r="AQ33" i="1" s="1"/>
  <c r="AP28" i="1"/>
  <c r="AL28" i="1"/>
  <c r="AO28" i="1"/>
  <c r="AQ28" i="1" s="1"/>
  <c r="AL24" i="1"/>
  <c r="AN25" i="1" s="1"/>
  <c r="AP24" i="1"/>
  <c r="AO24" i="1"/>
  <c r="AQ62" i="1"/>
  <c r="AQ67" i="1"/>
  <c r="AQ146" i="1"/>
  <c r="AQ142" i="1"/>
  <c r="AQ64" i="1"/>
  <c r="AQ145" i="1"/>
  <c r="AQ159" i="1"/>
  <c r="AQ129" i="1"/>
  <c r="AZ127" i="1"/>
  <c r="AW127" i="1"/>
  <c r="BA127" i="1"/>
  <c r="BE146" i="1"/>
  <c r="AW125" i="1"/>
  <c r="AZ125" i="1"/>
  <c r="BA125" i="1"/>
  <c r="AW56" i="1"/>
  <c r="AY57" i="1" s="1"/>
  <c r="BA56" i="1"/>
  <c r="AZ56" i="1"/>
  <c r="BB56" i="1" s="1"/>
  <c r="BA50" i="1"/>
  <c r="AW50" i="1"/>
  <c r="AY51" i="1" s="1"/>
  <c r="AZ50" i="1"/>
  <c r="BA46" i="1"/>
  <c r="AZ46" i="1"/>
  <c r="AW46" i="1"/>
  <c r="AY47" i="1" s="1"/>
  <c r="AW37" i="1"/>
  <c r="BA37" i="1"/>
  <c r="AZ37" i="1"/>
  <c r="BB37" i="1" s="1"/>
  <c r="AW35" i="1"/>
  <c r="BA35" i="1"/>
  <c r="AZ35" i="1"/>
  <c r="BB35" i="1" s="1"/>
  <c r="BA29" i="1"/>
  <c r="AW29" i="1"/>
  <c r="AY30" i="1" s="1"/>
  <c r="AZ29" i="1"/>
  <c r="AW34" i="1"/>
  <c r="AZ34" i="1"/>
  <c r="BA34" i="1"/>
  <c r="BA24" i="1"/>
  <c r="AZ24" i="1"/>
  <c r="AW24" i="1"/>
  <c r="BA65" i="1"/>
  <c r="AZ65" i="1"/>
  <c r="BB65" i="1" s="1"/>
  <c r="AW65" i="1"/>
  <c r="AY66" i="1" s="1"/>
  <c r="AZ55" i="1"/>
  <c r="AW55" i="1"/>
  <c r="BA55" i="1"/>
  <c r="AW38" i="1"/>
  <c r="AY39" i="1" s="1"/>
  <c r="AZ38" i="1"/>
  <c r="BA38" i="1"/>
  <c r="AZ42" i="1"/>
  <c r="AW42" i="1"/>
  <c r="BA42" i="1"/>
  <c r="AZ59" i="1"/>
  <c r="BB59" i="1" s="1"/>
  <c r="AW59" i="1"/>
  <c r="AY60" i="1" s="1"/>
  <c r="BA59" i="1"/>
  <c r="BA175" i="1"/>
  <c r="AZ175" i="1"/>
  <c r="AW175" i="1"/>
  <c r="AY176" i="1" s="1"/>
  <c r="BA173" i="1"/>
  <c r="AZ173" i="1"/>
  <c r="AW173" i="1"/>
  <c r="BA171" i="1"/>
  <c r="AZ171" i="1"/>
  <c r="AW171" i="1"/>
  <c r="BA164" i="1"/>
  <c r="AW164" i="1"/>
  <c r="AY165" i="1" s="1"/>
  <c r="AZ164" i="1"/>
  <c r="AW161" i="1"/>
  <c r="AY162" i="1" s="1"/>
  <c r="AZ161" i="1"/>
  <c r="BA161" i="1"/>
  <c r="BA159" i="1"/>
  <c r="AZ159" i="1"/>
  <c r="BB159" i="1" s="1"/>
  <c r="AW159" i="1"/>
  <c r="BA143" i="1"/>
  <c r="AZ143" i="1"/>
  <c r="BB143" i="1" s="1"/>
  <c r="AW143" i="1"/>
  <c r="AY144" i="1" s="1"/>
  <c r="BA138" i="1"/>
  <c r="AW138" i="1"/>
  <c r="AY139" i="1" s="1"/>
  <c r="AZ138" i="1"/>
  <c r="BA135" i="1"/>
  <c r="AZ135" i="1"/>
  <c r="BB135" i="1" s="1"/>
  <c r="AW135" i="1"/>
  <c r="AZ133" i="1"/>
  <c r="BA133" i="1"/>
  <c r="AW133" i="1"/>
  <c r="AZ129" i="1"/>
  <c r="BA129" i="1"/>
  <c r="AW129" i="1"/>
  <c r="BA118" i="1"/>
  <c r="AZ118" i="1"/>
  <c r="AW118" i="1"/>
  <c r="BA111" i="1"/>
  <c r="AZ111" i="1"/>
  <c r="AW111" i="1"/>
  <c r="AW108" i="1"/>
  <c r="AZ108" i="1"/>
  <c r="BA108" i="1"/>
  <c r="AW94" i="1"/>
  <c r="AY95" i="1" s="1"/>
  <c r="BA94" i="1"/>
  <c r="AZ94" i="1"/>
  <c r="AW88" i="1"/>
  <c r="AY89" i="1" s="1"/>
  <c r="AZ88" i="1"/>
  <c r="BA88" i="1"/>
  <c r="AW86" i="1"/>
  <c r="AZ86" i="1"/>
  <c r="BA86" i="1"/>
  <c r="AZ79" i="1"/>
  <c r="AW79" i="1"/>
  <c r="BA79" i="1"/>
  <c r="AZ49" i="1"/>
  <c r="BB49" i="1" s="1"/>
  <c r="BA49" i="1"/>
  <c r="AW49" i="1"/>
  <c r="BA44" i="1"/>
  <c r="AZ44" i="1"/>
  <c r="AW44" i="1"/>
  <c r="AY45" i="1" s="1"/>
  <c r="AZ27" i="1"/>
  <c r="BB27" i="1" s="1"/>
  <c r="BA27" i="1"/>
  <c r="AW27" i="1"/>
  <c r="BB138" i="1"/>
  <c r="BA99" i="1"/>
  <c r="AW99" i="1"/>
  <c r="AY100" i="1" s="1"/>
  <c r="AZ99" i="1"/>
  <c r="BB99" i="1" s="1"/>
  <c r="AW84" i="1"/>
  <c r="AZ84" i="1"/>
  <c r="BA84" i="1"/>
  <c r="AZ121" i="1"/>
  <c r="BA121" i="1"/>
  <c r="AW121" i="1"/>
  <c r="AZ76" i="1"/>
  <c r="AW76" i="1"/>
  <c r="BA76" i="1"/>
  <c r="BA80" i="1"/>
  <c r="AZ80" i="1"/>
  <c r="BB80" i="1" s="1"/>
  <c r="BE80" i="1" s="1"/>
  <c r="AW80" i="1"/>
  <c r="AY81" i="1" s="1"/>
  <c r="AZ74" i="1"/>
  <c r="AW74" i="1"/>
  <c r="AY75" i="1" s="1"/>
  <c r="BA74" i="1"/>
  <c r="AW72" i="1"/>
  <c r="BA72" i="1"/>
  <c r="AZ72" i="1"/>
  <c r="BB72" i="1" s="1"/>
  <c r="AZ68" i="1"/>
  <c r="AW68" i="1"/>
  <c r="BA68" i="1"/>
  <c r="BE136" i="1"/>
  <c r="BB131" i="1"/>
  <c r="BB67" i="1"/>
  <c r="BE159" i="1"/>
  <c r="BB155" i="1"/>
  <c r="BE28" i="1"/>
  <c r="BB70" i="1"/>
  <c r="BE67" i="1"/>
  <c r="BE65" i="1"/>
  <c r="BE27" i="1"/>
  <c r="BB24" i="1"/>
  <c r="BB154" i="1"/>
  <c r="BE135" i="1"/>
  <c r="BB69" i="1"/>
  <c r="BE49" i="1"/>
  <c r="AQ102" i="1"/>
  <c r="AQ79" i="1"/>
  <c r="AP59" i="1"/>
  <c r="AL59" i="1"/>
  <c r="AO59" i="1"/>
  <c r="AQ59" i="1" s="1"/>
  <c r="BE59" i="1" s="1"/>
  <c r="AQ165" i="1"/>
  <c r="BB68" i="1"/>
  <c r="BE68" i="1" s="1"/>
  <c r="AQ44" i="1"/>
  <c r="AQ96" i="1"/>
  <c r="BB23" i="1"/>
  <c r="BB25" i="1"/>
  <c r="BB119" i="1"/>
  <c r="AQ24" i="1"/>
  <c r="BE24" i="1" s="1"/>
  <c r="BB121" i="1"/>
  <c r="AW176" i="1"/>
  <c r="BA176" i="1"/>
  <c r="AZ176" i="1"/>
  <c r="BB176" i="1" s="1"/>
  <c r="AW62" i="1"/>
  <c r="AY63" i="1" s="1"/>
  <c r="AZ62" i="1"/>
  <c r="BA62" i="1"/>
  <c r="BC22" i="1"/>
  <c r="BC23" i="1" s="1"/>
  <c r="BC24" i="1" s="1"/>
  <c r="BC25" i="1" s="1"/>
  <c r="BC26" i="1" s="1"/>
  <c r="BC27" i="1" s="1"/>
  <c r="BC28" i="1" s="1"/>
  <c r="AR22" i="1"/>
  <c r="BE22" i="1"/>
  <c r="AQ176" i="1"/>
  <c r="BE176" i="1" s="1"/>
  <c r="BB175" i="1"/>
  <c r="AQ175" i="1"/>
  <c r="BB174" i="1"/>
  <c r="AQ174" i="1"/>
  <c r="BE174" i="1" s="1"/>
  <c r="BB173" i="1"/>
  <c r="AQ173" i="1"/>
  <c r="BB172" i="1"/>
  <c r="AQ172" i="1"/>
  <c r="BB171" i="1"/>
  <c r="AQ171" i="1"/>
  <c r="BB170" i="1"/>
  <c r="AQ170" i="1"/>
  <c r="BB169" i="1"/>
  <c r="AQ169" i="1"/>
  <c r="BE169" i="1" s="1"/>
  <c r="BB168" i="1"/>
  <c r="AQ168" i="1"/>
  <c r="BE168" i="1" s="1"/>
  <c r="BB167" i="1"/>
  <c r="AQ167" i="1"/>
  <c r="BE167" i="1" s="1"/>
  <c r="BB164" i="1"/>
  <c r="AQ164" i="1"/>
  <c r="BB163" i="1"/>
  <c r="BE163" i="1" s="1"/>
  <c r="BB158" i="1"/>
  <c r="BB157" i="1"/>
  <c r="BB156" i="1"/>
  <c r="BB151" i="1"/>
  <c r="BB150" i="1"/>
  <c r="BB149" i="1"/>
  <c r="AQ148" i="1"/>
  <c r="BE148" i="1" s="1"/>
  <c r="BB147" i="1"/>
  <c r="BB145" i="1"/>
  <c r="BE145" i="1" s="1"/>
  <c r="AQ143" i="1"/>
  <c r="BE143" i="1" s="1"/>
  <c r="BB142" i="1"/>
  <c r="BE142" i="1" s="1"/>
  <c r="AQ140" i="1"/>
  <c r="AQ138" i="1"/>
  <c r="BE138" i="1" s="1"/>
  <c r="BB137" i="1"/>
  <c r="BB133" i="1"/>
  <c r="AQ133" i="1"/>
  <c r="BE133" i="1" s="1"/>
  <c r="BB132" i="1"/>
  <c r="AQ130" i="1"/>
  <c r="BE130" i="1" s="1"/>
  <c r="BB128" i="1"/>
  <c r="AQ128" i="1"/>
  <c r="BE128" i="1" s="1"/>
  <c r="AQ127" i="1"/>
  <c r="BB125" i="1"/>
  <c r="BB126" i="1"/>
  <c r="BB123" i="1"/>
  <c r="BB122" i="1"/>
  <c r="AQ63" i="1"/>
  <c r="AQ23" i="1"/>
  <c r="BB118" i="1"/>
  <c r="BE118" i="1" s="1"/>
  <c r="BB117" i="1"/>
  <c r="BB116" i="1"/>
  <c r="BB115" i="1"/>
  <c r="BB113" i="1"/>
  <c r="AQ112" i="1"/>
  <c r="BE112" i="1" s="1"/>
  <c r="BB111" i="1"/>
  <c r="AQ111" i="1"/>
  <c r="BE111" i="1" s="1"/>
  <c r="BB109" i="1"/>
  <c r="AQ108" i="1"/>
  <c r="BB107" i="1"/>
  <c r="BB103" i="1"/>
  <c r="BB102" i="1"/>
  <c r="AQ101" i="1"/>
  <c r="BB98" i="1"/>
  <c r="BB94" i="1"/>
  <c r="AQ94" i="1"/>
  <c r="BE94" i="1" s="1"/>
  <c r="AQ90" i="1"/>
  <c r="AQ89" i="1"/>
  <c r="BB87" i="1"/>
  <c r="AQ86" i="1"/>
  <c r="BB84" i="1"/>
  <c r="AQ82" i="1"/>
  <c r="AQ81" i="1"/>
  <c r="BB78" i="1"/>
  <c r="BB77" i="1"/>
  <c r="BB76" i="1"/>
  <c r="BB74" i="1"/>
  <c r="BB73" i="1"/>
  <c r="BB71" i="1"/>
  <c r="BB58" i="1"/>
  <c r="AQ58" i="1"/>
  <c r="BE58" i="1" s="1"/>
  <c r="AQ57" i="1"/>
  <c r="BB55" i="1"/>
  <c r="AQ55" i="1"/>
  <c r="BE55" i="1" s="1"/>
  <c r="BB54" i="1"/>
  <c r="AQ52" i="1"/>
  <c r="AQ51" i="1"/>
  <c r="BB50" i="1"/>
  <c r="BB48" i="1"/>
  <c r="BB46" i="1"/>
  <c r="AQ45" i="1"/>
  <c r="BB44" i="1"/>
  <c r="BB42" i="1"/>
  <c r="AQ39" i="1"/>
  <c r="BB36" i="1"/>
  <c r="BB34" i="1"/>
  <c r="BB33" i="1"/>
  <c r="AQ32" i="1"/>
  <c r="BB29" i="1"/>
  <c r="BE29" i="1" s="1"/>
  <c r="BB124" i="1"/>
  <c r="AQ48" i="1" l="1"/>
  <c r="BE48" i="1" s="1"/>
  <c r="AL150" i="1"/>
  <c r="AN151" i="1" s="1"/>
  <c r="AO150" i="1"/>
  <c r="AP150" i="1"/>
  <c r="AP147" i="1"/>
  <c r="AL147" i="1"/>
  <c r="AO147" i="1"/>
  <c r="AQ147" i="1" s="1"/>
  <c r="AO137" i="1"/>
  <c r="AL137" i="1"/>
  <c r="AP137" i="1"/>
  <c r="AP131" i="1"/>
  <c r="AO131" i="1"/>
  <c r="AQ131" i="1" s="1"/>
  <c r="BE131" i="1" s="1"/>
  <c r="AL131" i="1"/>
  <c r="AN132" i="1" s="1"/>
  <c r="AL120" i="1"/>
  <c r="AN121" i="1" s="1"/>
  <c r="AO120" i="1"/>
  <c r="AP120" i="1"/>
  <c r="AP113" i="1"/>
  <c r="AL113" i="1"/>
  <c r="AN114" i="1" s="1"/>
  <c r="AO113" i="1"/>
  <c r="AQ113" i="1" s="1"/>
  <c r="BE113" i="1" s="1"/>
  <c r="AO110" i="1"/>
  <c r="AL110" i="1"/>
  <c r="AP110" i="1"/>
  <c r="AO103" i="1"/>
  <c r="AP103" i="1"/>
  <c r="AL103" i="1"/>
  <c r="AN104" i="1" s="1"/>
  <c r="AP99" i="1"/>
  <c r="AO99" i="1"/>
  <c r="AQ99" i="1" s="1"/>
  <c r="BE99" i="1" s="1"/>
  <c r="AL99" i="1"/>
  <c r="AO84" i="1"/>
  <c r="AL84" i="1"/>
  <c r="AN85" i="1" s="1"/>
  <c r="AP84" i="1"/>
  <c r="AL77" i="1"/>
  <c r="AN78" i="1" s="1"/>
  <c r="AO77" i="1"/>
  <c r="AP77" i="1"/>
  <c r="AP70" i="1"/>
  <c r="AL70" i="1"/>
  <c r="AN71" i="1" s="1"/>
  <c r="AO70" i="1"/>
  <c r="AQ70" i="1" s="1"/>
  <c r="BE70" i="1" s="1"/>
  <c r="AP43" i="1"/>
  <c r="AO43" i="1"/>
  <c r="AQ43" i="1" s="1"/>
  <c r="BE43" i="1" s="1"/>
  <c r="AL43" i="1"/>
  <c r="AO34" i="1"/>
  <c r="AP34" i="1"/>
  <c r="AL34" i="1"/>
  <c r="AN35" i="1" s="1"/>
  <c r="AP25" i="1"/>
  <c r="AO25" i="1"/>
  <c r="AQ25" i="1" s="1"/>
  <c r="AL25" i="1"/>
  <c r="AN26" i="1" s="1"/>
  <c r="BE102" i="1"/>
  <c r="BE44" i="1"/>
  <c r="BE42" i="1"/>
  <c r="AQ160" i="1"/>
  <c r="BE160" i="1" s="1"/>
  <c r="AQ93" i="1"/>
  <c r="BE93" i="1" s="1"/>
  <c r="AQ61" i="1"/>
  <c r="BE61" i="1" s="1"/>
  <c r="BE25" i="1"/>
  <c r="AQ149" i="1"/>
  <c r="BE149" i="1" s="1"/>
  <c r="AQ134" i="1"/>
  <c r="BE134" i="1" s="1"/>
  <c r="AQ109" i="1"/>
  <c r="BE109" i="1" s="1"/>
  <c r="BB86" i="1"/>
  <c r="BE86" i="1" s="1"/>
  <c r="BB127" i="1"/>
  <c r="BE127" i="1" s="1"/>
  <c r="BE170" i="1"/>
  <c r="BB79" i="1"/>
  <c r="BE79" i="1" s="1"/>
  <c r="AW57" i="1"/>
  <c r="AZ57" i="1"/>
  <c r="BA57" i="1"/>
  <c r="AW51" i="1"/>
  <c r="AY52" i="1" s="1"/>
  <c r="BA51" i="1"/>
  <c r="AZ51" i="1"/>
  <c r="BB51" i="1" s="1"/>
  <c r="AW47" i="1"/>
  <c r="BA47" i="1"/>
  <c r="AZ47" i="1"/>
  <c r="AZ30" i="1"/>
  <c r="AW30" i="1"/>
  <c r="AY31" i="1" s="1"/>
  <c r="BA30" i="1"/>
  <c r="BA66" i="1"/>
  <c r="AZ66" i="1"/>
  <c r="BB66" i="1" s="1"/>
  <c r="BE66" i="1" s="1"/>
  <c r="AW66" i="1"/>
  <c r="AZ39" i="1"/>
  <c r="AW39" i="1"/>
  <c r="AY40" i="1" s="1"/>
  <c r="BA39" i="1"/>
  <c r="AW60" i="1"/>
  <c r="AZ60" i="1"/>
  <c r="BA60" i="1"/>
  <c r="AZ165" i="1"/>
  <c r="AW165" i="1"/>
  <c r="AY166" i="1" s="1"/>
  <c r="BA165" i="1"/>
  <c r="BA162" i="1"/>
  <c r="AW162" i="1"/>
  <c r="AZ162" i="1"/>
  <c r="BB162" i="1" s="1"/>
  <c r="BE162" i="1" s="1"/>
  <c r="BA144" i="1"/>
  <c r="AZ144" i="1"/>
  <c r="BB144" i="1" s="1"/>
  <c r="BE144" i="1" s="1"/>
  <c r="AW144" i="1"/>
  <c r="AZ139" i="1"/>
  <c r="BA139" i="1"/>
  <c r="AW139" i="1"/>
  <c r="AY140" i="1" s="1"/>
  <c r="BA95" i="1"/>
  <c r="AW95" i="1"/>
  <c r="AY96" i="1" s="1"/>
  <c r="AZ95" i="1"/>
  <c r="BB95" i="1" s="1"/>
  <c r="BE95" i="1" s="1"/>
  <c r="AZ89" i="1"/>
  <c r="AW89" i="1"/>
  <c r="AY90" i="1" s="1"/>
  <c r="BA89" i="1"/>
  <c r="BA45" i="1"/>
  <c r="AZ45" i="1"/>
  <c r="BB45" i="1" s="1"/>
  <c r="BE45" i="1" s="1"/>
  <c r="AW45" i="1"/>
  <c r="BE119" i="1"/>
  <c r="BE51" i="1"/>
  <c r="BB38" i="1"/>
  <c r="BB161" i="1"/>
  <c r="BE161" i="1" s="1"/>
  <c r="BB108" i="1"/>
  <c r="BE108" i="1" s="1"/>
  <c r="BB88" i="1"/>
  <c r="BE88" i="1" s="1"/>
  <c r="BE164" i="1"/>
  <c r="BB129" i="1"/>
  <c r="BE129" i="1" s="1"/>
  <c r="BE147" i="1"/>
  <c r="AZ100" i="1"/>
  <c r="AW100" i="1"/>
  <c r="AY101" i="1" s="1"/>
  <c r="BA100" i="1"/>
  <c r="BA81" i="1"/>
  <c r="AZ81" i="1"/>
  <c r="BB81" i="1" s="1"/>
  <c r="BE81" i="1" s="1"/>
  <c r="AW81" i="1"/>
  <c r="AY82" i="1" s="1"/>
  <c r="AZ75" i="1"/>
  <c r="AW75" i="1"/>
  <c r="BA75" i="1"/>
  <c r="AZ63" i="1"/>
  <c r="AW63" i="1"/>
  <c r="AY64" i="1" s="1"/>
  <c r="BA63" i="1"/>
  <c r="BE76" i="1"/>
  <c r="BE33" i="1"/>
  <c r="BE87" i="1"/>
  <c r="BE173" i="1"/>
  <c r="BE171" i="1"/>
  <c r="BC29" i="1"/>
  <c r="BE54" i="1"/>
  <c r="BE175" i="1"/>
  <c r="BE172" i="1"/>
  <c r="BF22" i="1"/>
  <c r="BB62" i="1"/>
  <c r="BE62" i="1" s="1"/>
  <c r="AR23" i="1"/>
  <c r="AR24" i="1" s="1"/>
  <c r="AR25" i="1" s="1"/>
  <c r="BE23" i="1"/>
  <c r="AP151" i="1" l="1"/>
  <c r="AO151" i="1"/>
  <c r="AL151" i="1"/>
  <c r="AN152" i="1" s="1"/>
  <c r="AL132" i="1"/>
  <c r="AP132" i="1"/>
  <c r="AO132" i="1"/>
  <c r="AQ132" i="1" s="1"/>
  <c r="BE132" i="1" s="1"/>
  <c r="AO121" i="1"/>
  <c r="AP121" i="1"/>
  <c r="AL121" i="1"/>
  <c r="AN122" i="1" s="1"/>
  <c r="AO114" i="1"/>
  <c r="AL114" i="1"/>
  <c r="AN115" i="1" s="1"/>
  <c r="AP114" i="1"/>
  <c r="AO104" i="1"/>
  <c r="AL104" i="1"/>
  <c r="AN105" i="1" s="1"/>
  <c r="AP104" i="1"/>
  <c r="AP85" i="1"/>
  <c r="AO85" i="1"/>
  <c r="AQ85" i="1" s="1"/>
  <c r="BE85" i="1" s="1"/>
  <c r="AL85" i="1"/>
  <c r="AO78" i="1"/>
  <c r="AP78" i="1"/>
  <c r="AL78" i="1"/>
  <c r="AL71" i="1"/>
  <c r="AN72" i="1" s="1"/>
  <c r="AP71" i="1"/>
  <c r="AO71" i="1"/>
  <c r="AQ71" i="1" s="1"/>
  <c r="BE71" i="1" s="1"/>
  <c r="AL35" i="1"/>
  <c r="AN36" i="1" s="1"/>
  <c r="AP35" i="1"/>
  <c r="AO35" i="1"/>
  <c r="AQ35" i="1" s="1"/>
  <c r="BE35" i="1" s="1"/>
  <c r="AL26" i="1"/>
  <c r="AP26" i="1"/>
  <c r="AO26" i="1"/>
  <c r="AQ26" i="1" s="1"/>
  <c r="AQ150" i="1"/>
  <c r="BE150" i="1" s="1"/>
  <c r="AQ137" i="1"/>
  <c r="BE137" i="1" s="1"/>
  <c r="AQ120" i="1"/>
  <c r="BE120" i="1" s="1"/>
  <c r="AQ110" i="1"/>
  <c r="BE110" i="1" s="1"/>
  <c r="AQ103" i="1"/>
  <c r="BE103" i="1" s="1"/>
  <c r="AQ84" i="1"/>
  <c r="BE84" i="1" s="1"/>
  <c r="AQ77" i="1"/>
  <c r="BE77" i="1" s="1"/>
  <c r="AQ34" i="1"/>
  <c r="BE34" i="1" s="1"/>
  <c r="BB89" i="1"/>
  <c r="BE89" i="1" s="1"/>
  <c r="BB60" i="1"/>
  <c r="BE60" i="1" s="1"/>
  <c r="BB139" i="1"/>
  <c r="BE139" i="1" s="1"/>
  <c r="AW52" i="1"/>
  <c r="AY53" i="1" s="1"/>
  <c r="AZ52" i="1"/>
  <c r="BA52" i="1"/>
  <c r="BA31" i="1"/>
  <c r="AZ31" i="1"/>
  <c r="BB31" i="1" s="1"/>
  <c r="BE31" i="1" s="1"/>
  <c r="AW31" i="1"/>
  <c r="AY32" i="1" s="1"/>
  <c r="AW40" i="1"/>
  <c r="AY41" i="1" s="1"/>
  <c r="BA40" i="1"/>
  <c r="AZ40" i="1"/>
  <c r="BB40" i="1" s="1"/>
  <c r="BE40" i="1" s="1"/>
  <c r="AW166" i="1"/>
  <c r="AZ166" i="1"/>
  <c r="BA166" i="1"/>
  <c r="AZ140" i="1"/>
  <c r="AW140" i="1"/>
  <c r="AY141" i="1" s="1"/>
  <c r="BA140" i="1"/>
  <c r="BA96" i="1"/>
  <c r="AW96" i="1"/>
  <c r="AY97" i="1" s="1"/>
  <c r="AZ96" i="1"/>
  <c r="BB96" i="1" s="1"/>
  <c r="BE96" i="1" s="1"/>
  <c r="AW90" i="1"/>
  <c r="AY91" i="1" s="1"/>
  <c r="AZ90" i="1"/>
  <c r="BA90" i="1"/>
  <c r="AW101" i="1"/>
  <c r="AZ101" i="1"/>
  <c r="BA101" i="1"/>
  <c r="AZ82" i="1"/>
  <c r="AW82" i="1"/>
  <c r="BA82" i="1"/>
  <c r="BA64" i="1"/>
  <c r="AZ64" i="1"/>
  <c r="BB64" i="1" s="1"/>
  <c r="BE64" i="1" s="1"/>
  <c r="AW64" i="1"/>
  <c r="BB47" i="1"/>
  <c r="BE47" i="1" s="1"/>
  <c r="BB39" i="1"/>
  <c r="BE39" i="1" s="1"/>
  <c r="BB75" i="1"/>
  <c r="BE75" i="1" s="1"/>
  <c r="BB57" i="1"/>
  <c r="BE57" i="1" s="1"/>
  <c r="BB30" i="1"/>
  <c r="BB165" i="1"/>
  <c r="BE165" i="1" s="1"/>
  <c r="BB100" i="1"/>
  <c r="BE100" i="1" s="1"/>
  <c r="BB63" i="1"/>
  <c r="BE63" i="1" s="1"/>
  <c r="BF23" i="1"/>
  <c r="BF24" i="1" s="1"/>
  <c r="BF25" i="1" s="1"/>
  <c r="AQ121" i="1" l="1"/>
  <c r="BE121" i="1" s="1"/>
  <c r="AO152" i="1"/>
  <c r="AL152" i="1"/>
  <c r="AN153" i="1" s="1"/>
  <c r="AP152" i="1"/>
  <c r="AL122" i="1"/>
  <c r="AN123" i="1" s="1"/>
  <c r="AP122" i="1"/>
  <c r="AO122" i="1"/>
  <c r="AQ122" i="1" s="1"/>
  <c r="BE122" i="1" s="1"/>
  <c r="AO115" i="1"/>
  <c r="AL115" i="1"/>
  <c r="AN116" i="1" s="1"/>
  <c r="AP115" i="1"/>
  <c r="AP105" i="1"/>
  <c r="AL105" i="1"/>
  <c r="AN106" i="1" s="1"/>
  <c r="AO105" i="1"/>
  <c r="AQ105" i="1" s="1"/>
  <c r="BE105" i="1" s="1"/>
  <c r="AL72" i="1"/>
  <c r="AN73" i="1" s="1"/>
  <c r="AP72" i="1"/>
  <c r="AO72" i="1"/>
  <c r="AQ72" i="1" s="1"/>
  <c r="BE72" i="1" s="1"/>
  <c r="AO36" i="1"/>
  <c r="AL36" i="1"/>
  <c r="AN37" i="1" s="1"/>
  <c r="AP36" i="1"/>
  <c r="AR26" i="1"/>
  <c r="AR27" i="1" s="1"/>
  <c r="AR28" i="1" s="1"/>
  <c r="AR29" i="1" s="1"/>
  <c r="AR30" i="1" s="1"/>
  <c r="AR31" i="1" s="1"/>
  <c r="AR32" i="1" s="1"/>
  <c r="AR33" i="1" s="1"/>
  <c r="AR34" i="1" s="1"/>
  <c r="AR35" i="1" s="1"/>
  <c r="BE26" i="1"/>
  <c r="BF26" i="1" s="1"/>
  <c r="BF27" i="1" s="1"/>
  <c r="BF28" i="1" s="1"/>
  <c r="BF29" i="1" s="1"/>
  <c r="AQ151" i="1"/>
  <c r="BE151" i="1" s="1"/>
  <c r="AQ78" i="1"/>
  <c r="BE78" i="1" s="1"/>
  <c r="AQ114" i="1"/>
  <c r="BE114" i="1" s="1"/>
  <c r="AQ104" i="1"/>
  <c r="BE104" i="1" s="1"/>
  <c r="BB166" i="1"/>
  <c r="BE166" i="1" s="1"/>
  <c r="AW53" i="1"/>
  <c r="BA53" i="1"/>
  <c r="AZ53" i="1"/>
  <c r="BB53" i="1" s="1"/>
  <c r="BE53" i="1" s="1"/>
  <c r="AW32" i="1"/>
  <c r="AZ32" i="1"/>
  <c r="BA32" i="1"/>
  <c r="AW41" i="1"/>
  <c r="BA41" i="1"/>
  <c r="AZ41" i="1"/>
  <c r="BB41" i="1" s="1"/>
  <c r="BE41" i="1" s="1"/>
  <c r="BA141" i="1"/>
  <c r="AZ141" i="1"/>
  <c r="BB141" i="1" s="1"/>
  <c r="BE141" i="1" s="1"/>
  <c r="AW141" i="1"/>
  <c r="BA97" i="1"/>
  <c r="AZ97" i="1"/>
  <c r="BB97" i="1" s="1"/>
  <c r="BE97" i="1" s="1"/>
  <c r="AW97" i="1"/>
  <c r="BA91" i="1"/>
  <c r="AW91" i="1"/>
  <c r="AY92" i="1" s="1"/>
  <c r="AZ91" i="1"/>
  <c r="BB91" i="1" s="1"/>
  <c r="BC30" i="1"/>
  <c r="BC31" i="1" s="1"/>
  <c r="BE30" i="1"/>
  <c r="BF30" i="1" s="1"/>
  <c r="BF31" i="1" s="1"/>
  <c r="BB90" i="1"/>
  <c r="BE90" i="1" s="1"/>
  <c r="BB52" i="1"/>
  <c r="BE52" i="1" s="1"/>
  <c r="BB140" i="1"/>
  <c r="BE140" i="1" s="1"/>
  <c r="BB101" i="1"/>
  <c r="BE101" i="1" s="1"/>
  <c r="BB82" i="1"/>
  <c r="BE82" i="1" s="1"/>
  <c r="BE91" i="1"/>
  <c r="AL153" i="1" l="1"/>
  <c r="AN154" i="1" s="1"/>
  <c r="AP153" i="1"/>
  <c r="AO153" i="1"/>
  <c r="AQ153" i="1" s="1"/>
  <c r="BE153" i="1" s="1"/>
  <c r="AO123" i="1"/>
  <c r="AP123" i="1"/>
  <c r="AL123" i="1"/>
  <c r="AN124" i="1" s="1"/>
  <c r="AO116" i="1"/>
  <c r="AP116" i="1"/>
  <c r="AL116" i="1"/>
  <c r="AN117" i="1" s="1"/>
  <c r="AL106" i="1"/>
  <c r="AN107" i="1" s="1"/>
  <c r="AO106" i="1"/>
  <c r="AP106" i="1"/>
  <c r="AO73" i="1"/>
  <c r="AP73" i="1"/>
  <c r="AL73" i="1"/>
  <c r="AN74" i="1" s="1"/>
  <c r="AO37" i="1"/>
  <c r="AL37" i="1"/>
  <c r="AN38" i="1" s="1"/>
  <c r="AP37" i="1"/>
  <c r="AQ152" i="1"/>
  <c r="BE152" i="1" s="1"/>
  <c r="AQ115" i="1"/>
  <c r="BE115" i="1" s="1"/>
  <c r="AQ36" i="1"/>
  <c r="BA92" i="1"/>
  <c r="AZ92" i="1"/>
  <c r="BB92" i="1" s="1"/>
  <c r="BE92" i="1" s="1"/>
  <c r="AW92" i="1"/>
  <c r="BB32" i="1"/>
  <c r="AO154" i="1" l="1"/>
  <c r="AP154" i="1"/>
  <c r="AL154" i="1"/>
  <c r="AN155" i="1" s="1"/>
  <c r="AO124" i="1"/>
  <c r="AP124" i="1"/>
  <c r="AL124" i="1"/>
  <c r="AN125" i="1" s="1"/>
  <c r="AP117" i="1"/>
  <c r="AL117" i="1"/>
  <c r="AO117" i="1"/>
  <c r="AO107" i="1"/>
  <c r="AP107" i="1"/>
  <c r="AL107" i="1"/>
  <c r="AP74" i="1"/>
  <c r="AL74" i="1"/>
  <c r="AO74" i="1"/>
  <c r="AQ74" i="1" s="1"/>
  <c r="BE74" i="1" s="1"/>
  <c r="AO38" i="1"/>
  <c r="AL38" i="1"/>
  <c r="AP38" i="1"/>
  <c r="AR36" i="1"/>
  <c r="BE36" i="1"/>
  <c r="AQ123" i="1"/>
  <c r="BE123" i="1" s="1"/>
  <c r="AQ116" i="1"/>
  <c r="BE116" i="1" s="1"/>
  <c r="AQ106" i="1"/>
  <c r="BE106" i="1" s="1"/>
  <c r="AQ73" i="1"/>
  <c r="BE73" i="1" s="1"/>
  <c r="AQ37" i="1"/>
  <c r="BE37" i="1" s="1"/>
  <c r="BB14" i="1"/>
  <c r="BB19" i="1"/>
  <c r="BB15" i="1"/>
  <c r="BC32" i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32" i="1"/>
  <c r="AR37" i="1" l="1"/>
  <c r="AP155" i="1"/>
  <c r="AL155" i="1"/>
  <c r="AN156" i="1" s="1"/>
  <c r="AO155" i="1"/>
  <c r="AQ155" i="1" s="1"/>
  <c r="BE155" i="1" s="1"/>
  <c r="AP125" i="1"/>
  <c r="AL125" i="1"/>
  <c r="AN126" i="1" s="1"/>
  <c r="AO125" i="1"/>
  <c r="AQ125" i="1" s="1"/>
  <c r="BE125" i="1" s="1"/>
  <c r="AQ154" i="1"/>
  <c r="BE154" i="1" s="1"/>
  <c r="AQ124" i="1"/>
  <c r="BE124" i="1" s="1"/>
  <c r="AQ117" i="1"/>
  <c r="BE117" i="1" s="1"/>
  <c r="AQ107" i="1"/>
  <c r="BE107" i="1" s="1"/>
  <c r="AQ38" i="1"/>
  <c r="BF32" i="1"/>
  <c r="BF33" i="1" s="1"/>
  <c r="BF34" i="1" s="1"/>
  <c r="BF35" i="1" s="1"/>
  <c r="BF36" i="1" s="1"/>
  <c r="BF37" i="1" s="1"/>
  <c r="BB16" i="1"/>
  <c r="AT1" i="1" s="1"/>
  <c r="AL156" i="1" l="1"/>
  <c r="AN157" i="1" s="1"/>
  <c r="AP156" i="1"/>
  <c r="AO156" i="1"/>
  <c r="AQ156" i="1" s="1"/>
  <c r="BE156" i="1" s="1"/>
  <c r="AP126" i="1"/>
  <c r="AO126" i="1"/>
  <c r="AQ126" i="1" s="1"/>
  <c r="AL126" i="1"/>
  <c r="AR38" i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BE38" i="1"/>
  <c r="AO157" i="1" l="1"/>
  <c r="AL157" i="1"/>
  <c r="AN158" i="1" s="1"/>
  <c r="AP157" i="1"/>
  <c r="BF38" i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E126" i="1"/>
  <c r="AO158" i="1" l="1"/>
  <c r="AL158" i="1"/>
  <c r="AP158" i="1"/>
  <c r="AQ157" i="1"/>
  <c r="BE157" i="1" l="1"/>
  <c r="AR157" i="1"/>
  <c r="AQ15" i="1"/>
  <c r="AQ158" i="1"/>
  <c r="AR158" i="1" l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F157" i="1"/>
  <c r="BE158" i="1"/>
  <c r="AQ19" i="1"/>
  <c r="AQ14" i="1"/>
  <c r="AQ16" i="1" s="1"/>
  <c r="AI1" i="1" s="1"/>
  <c r="BF158" i="1" l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4" i="1"/>
  <c r="BE18" i="1"/>
  <c r="BE15" i="1"/>
  <c r="BE16" i="1" l="1"/>
</calcChain>
</file>

<file path=xl/sharedStrings.xml><?xml version="1.0" encoding="utf-8"?>
<sst xmlns="http://schemas.openxmlformats.org/spreadsheetml/2006/main" count="74" uniqueCount="53">
  <si>
    <t>date</t>
  </si>
  <si>
    <t>CMF</t>
  </si>
  <si>
    <t>VTEC</t>
  </si>
  <si>
    <t>CMF log rtn</t>
  </si>
  <si>
    <t>VTEC log rtn</t>
  </si>
  <si>
    <t>CMF div</t>
  </si>
  <si>
    <t>CMF div cumsum</t>
  </si>
  <si>
    <t>VTEC div</t>
  </si>
  <si>
    <t>VTEC div cumsum</t>
  </si>
  <si>
    <t>CMF div adjustment</t>
  </si>
  <si>
    <t>VTEC div adjustment</t>
  </si>
  <si>
    <t>CMF*</t>
  </si>
  <si>
    <t>VTEC*</t>
  </si>
  <si>
    <t>VTEC/CMF</t>
  </si>
  <si>
    <t>VTEC/CMF avg</t>
  </si>
  <si>
    <t>VTEC/CMF 10 dma</t>
  </si>
  <si>
    <t>VTEC/CMF 20 dma</t>
  </si>
  <si>
    <t>CMF x avg</t>
  </si>
  <si>
    <t>CMF x 10 dma</t>
  </si>
  <si>
    <t>CMF x 20 dma</t>
  </si>
  <si>
    <t>log diff CMF x avg / VTEC</t>
  </si>
  <si>
    <t>log diff CMF x 10 dma / VTEC</t>
  </si>
  <si>
    <t>log diff CMF x 20 dma / VTEC</t>
  </si>
  <si>
    <t>VTEC*/CMF*</t>
  </si>
  <si>
    <t>VTEC*/CMF* avg</t>
  </si>
  <si>
    <t>VTEC*/CMF* 10 dma</t>
  </si>
  <si>
    <t>VTEC*/CMF* 20 dma</t>
  </si>
  <si>
    <t>CMF* x avg</t>
  </si>
  <si>
    <t>CMF* x 10 dma</t>
  </si>
  <si>
    <t>CMF* x 20 dma</t>
  </si>
  <si>
    <t>log diff CMF* x avg / VTEC*</t>
  </si>
  <si>
    <t>log diff CMF* x 10 dma / VTEC*</t>
  </si>
  <si>
    <t>log diff CMF* x 20 dma / VTEC*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</si>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</sst>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VTEC/CMF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1.74415850230319</c:v>
                </c:pt>
                <c:pt idx="1">
                  <c:v>1.74415850230319</c:v>
                </c:pt>
                <c:pt idx="2">
                  <c:v>1.74415850230319</c:v>
                </c:pt>
                <c:pt idx="3">
                  <c:v>1.74415850230319</c:v>
                </c:pt>
                <c:pt idx="4">
                  <c:v>1.74415850230319</c:v>
                </c:pt>
                <c:pt idx="5">
                  <c:v>1.74415850230319</c:v>
                </c:pt>
                <c:pt idx="6">
                  <c:v>1.74415850230319</c:v>
                </c:pt>
                <c:pt idx="7">
                  <c:v>1.74415850230319</c:v>
                </c:pt>
                <c:pt idx="8">
                  <c:v>1.74415850230319</c:v>
                </c:pt>
                <c:pt idx="9">
                  <c:v>1.74415850230319</c:v>
                </c:pt>
                <c:pt idx="10">
                  <c:v>1.74415850230319</c:v>
                </c:pt>
                <c:pt idx="11">
                  <c:v>1.74415850230319</c:v>
                </c:pt>
                <c:pt idx="12">
                  <c:v>1.74415850230319</c:v>
                </c:pt>
                <c:pt idx="13">
                  <c:v>1.74415850230319</c:v>
                </c:pt>
                <c:pt idx="14">
                  <c:v>1.74415850230319</c:v>
                </c:pt>
                <c:pt idx="15">
                  <c:v>1.74415850230319</c:v>
                </c:pt>
                <c:pt idx="16">
                  <c:v>1.74415850230319</c:v>
                </c:pt>
                <c:pt idx="17">
                  <c:v>1.74415850230319</c:v>
                </c:pt>
                <c:pt idx="18">
                  <c:v>1.74415850230319</c:v>
                </c:pt>
                <c:pt idx="19">
                  <c:v>1.74415850230319</c:v>
                </c:pt>
                <c:pt idx="20">
                  <c:v>1.74415850230319</c:v>
                </c:pt>
                <c:pt idx="21">
                  <c:v>1.74415850230319</c:v>
                </c:pt>
                <c:pt idx="22">
                  <c:v>1.74415850230319</c:v>
                </c:pt>
                <c:pt idx="23">
                  <c:v>1.74415850230319</c:v>
                </c:pt>
                <c:pt idx="24">
                  <c:v>1.74415850230319</c:v>
                </c:pt>
                <c:pt idx="25">
                  <c:v>1.74415850230319</c:v>
                </c:pt>
                <c:pt idx="26">
                  <c:v>1.74415850230319</c:v>
                </c:pt>
                <c:pt idx="27">
                  <c:v>1.74415850230319</c:v>
                </c:pt>
                <c:pt idx="28">
                  <c:v>1.74415850230319</c:v>
                </c:pt>
                <c:pt idx="29">
                  <c:v>1.74415850230319</c:v>
                </c:pt>
                <c:pt idx="30">
                  <c:v>1.74415850230319</c:v>
                </c:pt>
                <c:pt idx="31">
                  <c:v>1.74415850230319</c:v>
                </c:pt>
                <c:pt idx="32">
                  <c:v>1.74415850230319</c:v>
                </c:pt>
                <c:pt idx="33">
                  <c:v>1.74415850230319</c:v>
                </c:pt>
                <c:pt idx="34">
                  <c:v>1.74415850230319</c:v>
                </c:pt>
                <c:pt idx="35">
                  <c:v>1.74415850230319</c:v>
                </c:pt>
                <c:pt idx="36">
                  <c:v>1.74415850230319</c:v>
                </c:pt>
                <c:pt idx="37">
                  <c:v>1.74415850230319</c:v>
                </c:pt>
                <c:pt idx="38">
                  <c:v>1.74415850230319</c:v>
                </c:pt>
                <c:pt idx="39">
                  <c:v>1.74415850230319</c:v>
                </c:pt>
                <c:pt idx="40">
                  <c:v>1.74415850230319</c:v>
                </c:pt>
                <c:pt idx="41">
                  <c:v>1.74415850230319</c:v>
                </c:pt>
                <c:pt idx="42">
                  <c:v>1.74415850230319</c:v>
                </c:pt>
                <c:pt idx="43">
                  <c:v>1.74415850230319</c:v>
                </c:pt>
                <c:pt idx="44">
                  <c:v>1.74415850230319</c:v>
                </c:pt>
                <c:pt idx="45">
                  <c:v>1.74415850230319</c:v>
                </c:pt>
                <c:pt idx="46">
                  <c:v>1.74415850230319</c:v>
                </c:pt>
                <c:pt idx="47">
                  <c:v>1.74415850230319</c:v>
                </c:pt>
                <c:pt idx="48">
                  <c:v>1.74415850230319</c:v>
                </c:pt>
                <c:pt idx="49">
                  <c:v>1.74415850230319</c:v>
                </c:pt>
                <c:pt idx="50">
                  <c:v>1.74415850230319</c:v>
                </c:pt>
                <c:pt idx="51">
                  <c:v>1.74415850230319</c:v>
                </c:pt>
                <c:pt idx="52">
                  <c:v>1.74415850230319</c:v>
                </c:pt>
                <c:pt idx="53">
                  <c:v>1.74415850230319</c:v>
                </c:pt>
                <c:pt idx="54">
                  <c:v>1.74415850230319</c:v>
                </c:pt>
                <c:pt idx="55">
                  <c:v>1.74415850230319</c:v>
                </c:pt>
                <c:pt idx="56">
                  <c:v>1.74415850230319</c:v>
                </c:pt>
                <c:pt idx="57">
                  <c:v>1.74415850230319</c:v>
                </c:pt>
                <c:pt idx="58">
                  <c:v>1.74415850230319</c:v>
                </c:pt>
                <c:pt idx="59">
                  <c:v>1.74415850230319</c:v>
                </c:pt>
                <c:pt idx="60">
                  <c:v>1.74415850230319</c:v>
                </c:pt>
                <c:pt idx="61">
                  <c:v>1.74415850230319</c:v>
                </c:pt>
                <c:pt idx="62">
                  <c:v>1.74415850230319</c:v>
                </c:pt>
                <c:pt idx="63">
                  <c:v>1.74415850230319</c:v>
                </c:pt>
                <c:pt idx="64">
                  <c:v>1.74415850230319</c:v>
                </c:pt>
                <c:pt idx="65">
                  <c:v>1.74415850230319</c:v>
                </c:pt>
                <c:pt idx="66">
                  <c:v>1.74415850230319</c:v>
                </c:pt>
                <c:pt idx="67">
                  <c:v>1.74415850230319</c:v>
                </c:pt>
                <c:pt idx="68">
                  <c:v>1.74415850230319</c:v>
                </c:pt>
                <c:pt idx="69">
                  <c:v>1.74415850230319</c:v>
                </c:pt>
                <c:pt idx="70">
                  <c:v>1.74415850230319</c:v>
                </c:pt>
                <c:pt idx="71">
                  <c:v>1.74415850230319</c:v>
                </c:pt>
                <c:pt idx="72">
                  <c:v>1.74415850230319</c:v>
                </c:pt>
                <c:pt idx="73">
                  <c:v>1.74415850230319</c:v>
                </c:pt>
                <c:pt idx="74">
                  <c:v>1.74415850230319</c:v>
                </c:pt>
                <c:pt idx="75">
                  <c:v>1.74415850230319</c:v>
                </c:pt>
                <c:pt idx="76">
                  <c:v>1.74415850230319</c:v>
                </c:pt>
                <c:pt idx="77">
                  <c:v>1.74415850230319</c:v>
                </c:pt>
                <c:pt idx="78">
                  <c:v>1.74415850230319</c:v>
                </c:pt>
                <c:pt idx="79">
                  <c:v>1.74415850230319</c:v>
                </c:pt>
                <c:pt idx="80">
                  <c:v>1.74415850230319</c:v>
                </c:pt>
                <c:pt idx="81">
                  <c:v>1.74415850230319</c:v>
                </c:pt>
                <c:pt idx="82">
                  <c:v>1.74415850230319</c:v>
                </c:pt>
                <c:pt idx="83">
                  <c:v>1.74415850230319</c:v>
                </c:pt>
                <c:pt idx="84">
                  <c:v>1.74415850230319</c:v>
                </c:pt>
                <c:pt idx="85">
                  <c:v>1.74415850230319</c:v>
                </c:pt>
                <c:pt idx="86">
                  <c:v>1.74415850230319</c:v>
                </c:pt>
                <c:pt idx="87">
                  <c:v>1.74415850230319</c:v>
                </c:pt>
                <c:pt idx="88">
                  <c:v>1.74415850230319</c:v>
                </c:pt>
                <c:pt idx="89">
                  <c:v>1.74415850230319</c:v>
                </c:pt>
                <c:pt idx="90">
                  <c:v>1.74415850230319</c:v>
                </c:pt>
                <c:pt idx="91">
                  <c:v>1.74415850230319</c:v>
                </c:pt>
                <c:pt idx="92">
                  <c:v>1.74415850230319</c:v>
                </c:pt>
                <c:pt idx="93">
                  <c:v>1.74415850230319</c:v>
                </c:pt>
                <c:pt idx="94">
                  <c:v>1.74415850230319</c:v>
                </c:pt>
                <c:pt idx="95">
                  <c:v>1.74415850230319</c:v>
                </c:pt>
                <c:pt idx="96">
                  <c:v>1.74415850230319</c:v>
                </c:pt>
                <c:pt idx="97">
                  <c:v>1.74415850230319</c:v>
                </c:pt>
                <c:pt idx="98">
                  <c:v>1.74415850230319</c:v>
                </c:pt>
                <c:pt idx="99">
                  <c:v>1.74415850230319</c:v>
                </c:pt>
                <c:pt idx="100">
                  <c:v>1.74415850230319</c:v>
                </c:pt>
                <c:pt idx="101">
                  <c:v>1.74415850230319</c:v>
                </c:pt>
                <c:pt idx="102">
                  <c:v>1.74415850230319</c:v>
                </c:pt>
                <c:pt idx="103">
                  <c:v>1.74415850230319</c:v>
                </c:pt>
                <c:pt idx="104">
                  <c:v>1.74415850230319</c:v>
                </c:pt>
                <c:pt idx="105">
                  <c:v>1.74415850230319</c:v>
                </c:pt>
                <c:pt idx="106">
                  <c:v>1.74415850230319</c:v>
                </c:pt>
                <c:pt idx="107">
                  <c:v>1.74415850230319</c:v>
                </c:pt>
                <c:pt idx="108">
                  <c:v>1.74415850230319</c:v>
                </c:pt>
                <c:pt idx="109">
                  <c:v>1.74415850230319</c:v>
                </c:pt>
                <c:pt idx="110">
                  <c:v>1.74415850230319</c:v>
                </c:pt>
                <c:pt idx="111">
                  <c:v>1.74415850230319</c:v>
                </c:pt>
                <c:pt idx="112">
                  <c:v>1.74415850230319</c:v>
                </c:pt>
                <c:pt idx="113">
                  <c:v>1.74415850230319</c:v>
                </c:pt>
                <c:pt idx="114">
                  <c:v>1.74415850230319</c:v>
                </c:pt>
                <c:pt idx="115">
                  <c:v>1.74415850230319</c:v>
                </c:pt>
                <c:pt idx="116">
                  <c:v>1.74415850230319</c:v>
                </c:pt>
                <c:pt idx="117">
                  <c:v>1.74415850230319</c:v>
                </c:pt>
                <c:pt idx="118">
                  <c:v>1.74415850230319</c:v>
                </c:pt>
                <c:pt idx="119">
                  <c:v>1.74415850230319</c:v>
                </c:pt>
                <c:pt idx="120">
                  <c:v>1.74415850230319</c:v>
                </c:pt>
                <c:pt idx="121">
                  <c:v>1.74415850230319</c:v>
                </c:pt>
                <c:pt idx="122">
                  <c:v>1.74415850230319</c:v>
                </c:pt>
                <c:pt idx="123">
                  <c:v>1.74415850230319</c:v>
                </c:pt>
                <c:pt idx="124">
                  <c:v>1.74415850230319</c:v>
                </c:pt>
                <c:pt idx="125">
                  <c:v>1.74415850230319</c:v>
                </c:pt>
                <c:pt idx="126">
                  <c:v>1.74415850230319</c:v>
                </c:pt>
                <c:pt idx="127">
                  <c:v>1.74415850230319</c:v>
                </c:pt>
                <c:pt idx="128">
                  <c:v>1.74415850230319</c:v>
                </c:pt>
                <c:pt idx="129">
                  <c:v>1.74415850230319</c:v>
                </c:pt>
                <c:pt idx="130">
                  <c:v>1.74415850230319</c:v>
                </c:pt>
                <c:pt idx="131">
                  <c:v>1.74415850230319</c:v>
                </c:pt>
                <c:pt idx="132">
                  <c:v>1.74415850230319</c:v>
                </c:pt>
                <c:pt idx="133">
                  <c:v>1.74415850230319</c:v>
                </c:pt>
                <c:pt idx="134">
                  <c:v>1.74415850230319</c:v>
                </c:pt>
                <c:pt idx="135">
                  <c:v>1.74415850230319</c:v>
                </c:pt>
                <c:pt idx="136">
                  <c:v>1.74415850230319</c:v>
                </c:pt>
                <c:pt idx="137">
                  <c:v>1.74415850230319</c:v>
                </c:pt>
                <c:pt idx="138">
                  <c:v>1.74415850230319</c:v>
                </c:pt>
                <c:pt idx="139">
                  <c:v>1.74415850230319</c:v>
                </c:pt>
                <c:pt idx="140">
                  <c:v>1.74415850230319</c:v>
                </c:pt>
                <c:pt idx="141">
                  <c:v>1.74415850230319</c:v>
                </c:pt>
                <c:pt idx="142">
                  <c:v>1.74415850230319</c:v>
                </c:pt>
                <c:pt idx="143">
                  <c:v>1.74415850230319</c:v>
                </c:pt>
                <c:pt idx="144">
                  <c:v>1.74415850230319</c:v>
                </c:pt>
                <c:pt idx="145">
                  <c:v>1.74415850230319</c:v>
                </c:pt>
                <c:pt idx="146">
                  <c:v>1.74415850230319</c:v>
                </c:pt>
                <c:pt idx="147">
                  <c:v>1.74415850230319</c:v>
                </c:pt>
                <c:pt idx="148">
                  <c:v>1.74415850230319</c:v>
                </c:pt>
                <c:pt idx="149">
                  <c:v>1.74415850230319</c:v>
                </c:pt>
                <c:pt idx="150">
                  <c:v>1.74415850230319</c:v>
                </c:pt>
                <c:pt idx="151">
                  <c:v>1.74415850230319</c:v>
                </c:pt>
                <c:pt idx="152">
                  <c:v>1.74415850230319</c:v>
                </c:pt>
                <c:pt idx="153">
                  <c:v>1.74415850230319</c:v>
                </c:pt>
                <c:pt idx="154">
                  <c:v>1.74415850230319</c:v>
                </c:pt>
                <c:pt idx="155">
                  <c:v>1.74415850230319</c:v>
                </c:pt>
                <c:pt idx="156">
                  <c:v>1.74415850230319</c:v>
                </c:pt>
                <c:pt idx="157">
                  <c:v>1.74415850230319</c:v>
                </c:pt>
                <c:pt idx="158">
                  <c:v>1.74415850230319</c:v>
                </c:pt>
                <c:pt idx="159">
                  <c:v>1.74415850230319</c:v>
                </c:pt>
                <c:pt idx="160">
                  <c:v>1.74415850230319</c:v>
                </c:pt>
                <c:pt idx="161">
                  <c:v>1.74415850230319</c:v>
                </c:pt>
                <c:pt idx="162">
                  <c:v>1.74415850230319</c:v>
                </c:pt>
                <c:pt idx="163">
                  <c:v>1.74415850230319</c:v>
                </c:pt>
                <c:pt idx="164">
                  <c:v>1.74415850230319</c:v>
                </c:pt>
                <c:pt idx="165">
                  <c:v>1.74415850230319</c:v>
                </c:pt>
                <c:pt idx="166">
                  <c:v>1.74415850230319</c:v>
                </c:pt>
                <c:pt idx="167">
                  <c:v>1.74415850230319</c:v>
                </c:pt>
                <c:pt idx="168">
                  <c:v>1.74415850230319</c:v>
                </c:pt>
                <c:pt idx="169">
                  <c:v>1.74415850230319</c:v>
                </c:pt>
                <c:pt idx="170">
                  <c:v>1.74415850230319</c:v>
                </c:pt>
                <c:pt idx="171">
                  <c:v>1.74415850230319</c:v>
                </c:pt>
                <c:pt idx="172">
                  <c:v>1.74415850230319</c:v>
                </c:pt>
                <c:pt idx="173">
                  <c:v>1.74415850230319</c:v>
                </c:pt>
                <c:pt idx="174">
                  <c:v>1.74415850230319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68-462A-BD55-B46A0F592B01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VTEC/CMF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1.74427358789669</c:v>
                </c:pt>
                <c:pt idx="10">
                  <c:v>1.74425539992931</c:v>
                </c:pt>
                <c:pt idx="11">
                  <c:v>1.7444814804443201</c:v>
                </c:pt>
                <c:pt idx="12">
                  <c:v>1.7444396912264</c:v>
                </c:pt>
                <c:pt idx="13">
                  <c:v>1.7443099966387901</c:v>
                </c:pt>
                <c:pt idx="14">
                  <c:v>1.74414156777948</c:v>
                </c:pt>
                <c:pt idx="15">
                  <c:v>1.74419793016771</c:v>
                </c:pt>
                <c:pt idx="16">
                  <c:v>1.7441806231410599</c:v>
                </c:pt>
                <c:pt idx="17">
                  <c:v>1.7441592848935701</c:v>
                </c:pt>
                <c:pt idx="18">
                  <c:v>1.74403824045296</c:v>
                </c:pt>
                <c:pt idx="19">
                  <c:v>1.7440342472253301</c:v>
                </c:pt>
                <c:pt idx="20">
                  <c:v>1.7440765270428999</c:v>
                </c:pt>
                <c:pt idx="21">
                  <c:v>1.7438483331271899</c:v>
                </c:pt>
                <c:pt idx="22">
                  <c:v>1.7439831429599999</c:v>
                </c:pt>
                <c:pt idx="23">
                  <c:v>1.7441320769314901</c:v>
                </c:pt>
                <c:pt idx="24">
                  <c:v>1.7441989971559699</c:v>
                </c:pt>
                <c:pt idx="25">
                  <c:v>1.7442742649176499</c:v>
                </c:pt>
                <c:pt idx="26">
                  <c:v>1.74410030917534</c:v>
                </c:pt>
                <c:pt idx="27">
                  <c:v>1.74398998462471</c:v>
                </c:pt>
                <c:pt idx="28">
                  <c:v>1.7439068779763101</c:v>
                </c:pt>
                <c:pt idx="29">
                  <c:v>1.7439010991468999</c:v>
                </c:pt>
                <c:pt idx="30">
                  <c:v>1.7438492374071699</c:v>
                </c:pt>
                <c:pt idx="31">
                  <c:v>1.7438742800543501</c:v>
                </c:pt>
                <c:pt idx="32">
                  <c:v>1.7437871896404</c:v>
                </c:pt>
                <c:pt idx="33">
                  <c:v>1.74376427218688</c:v>
                </c:pt>
                <c:pt idx="34">
                  <c:v>1.7438490241990701</c:v>
                </c:pt>
                <c:pt idx="35">
                  <c:v>1.7439380378515399</c:v>
                </c:pt>
                <c:pt idx="36">
                  <c:v>1.7440101482844299</c:v>
                </c:pt>
                <c:pt idx="37">
                  <c:v>1.7440186936519699</c:v>
                </c:pt>
                <c:pt idx="38">
                  <c:v>1.7440479317201101</c:v>
                </c:pt>
                <c:pt idx="39">
                  <c:v>1.7441375421121801</c:v>
                </c:pt>
                <c:pt idx="40">
                  <c:v>1.74425017626858</c:v>
                </c:pt>
                <c:pt idx="41">
                  <c:v>1.7441346241376701</c:v>
                </c:pt>
                <c:pt idx="42">
                  <c:v>1.7440957859561701</c:v>
                </c:pt>
                <c:pt idx="43">
                  <c:v>1.7441558596131199</c:v>
                </c:pt>
                <c:pt idx="44">
                  <c:v>1.7440170633885601</c:v>
                </c:pt>
                <c:pt idx="45">
                  <c:v>1.7440503320827301</c:v>
                </c:pt>
                <c:pt idx="46">
                  <c:v>1.74409280848058</c:v>
                </c:pt>
                <c:pt idx="47">
                  <c:v>1.7442325678914701</c:v>
                </c:pt>
                <c:pt idx="48">
                  <c:v>1.7442866502141501</c:v>
                </c:pt>
                <c:pt idx="49">
                  <c:v>1.7441462593663699</c:v>
                </c:pt>
                <c:pt idx="50">
                  <c:v>1.7439267342087901</c:v>
                </c:pt>
                <c:pt idx="51">
                  <c:v>1.74397850485281</c:v>
                </c:pt>
                <c:pt idx="52">
                  <c:v>1.7440254241114601</c:v>
                </c:pt>
                <c:pt idx="53">
                  <c:v>1.74408300761699</c:v>
                </c:pt>
                <c:pt idx="54">
                  <c:v>1.7439870452875299</c:v>
                </c:pt>
                <c:pt idx="55">
                  <c:v>1.74410224941916</c:v>
                </c:pt>
                <c:pt idx="56">
                  <c:v>1.74423044366451</c:v>
                </c:pt>
                <c:pt idx="57">
                  <c:v>1.7441583682594699</c:v>
                </c:pt>
                <c:pt idx="58">
                  <c:v>1.7441887709749599</c:v>
                </c:pt>
                <c:pt idx="59">
                  <c:v>1.7441176174826001</c:v>
                </c:pt>
                <c:pt idx="60">
                  <c:v>1.7440700458877401</c:v>
                </c:pt>
                <c:pt idx="61">
                  <c:v>1.7439108622577899</c:v>
                </c:pt>
                <c:pt idx="62">
                  <c:v>1.7438854332407701</c:v>
                </c:pt>
                <c:pt idx="63">
                  <c:v>1.7436494670396301</c:v>
                </c:pt>
                <c:pt idx="64">
                  <c:v>1.7438465099309399</c:v>
                </c:pt>
                <c:pt idx="65">
                  <c:v>1.7435183057705801</c:v>
                </c:pt>
                <c:pt idx="66">
                  <c:v>1.7433924125552001</c:v>
                </c:pt>
                <c:pt idx="67">
                  <c:v>1.74341654457317</c:v>
                </c:pt>
                <c:pt idx="68">
                  <c:v>1.7434112389426399</c:v>
                </c:pt>
                <c:pt idx="69">
                  <c:v>1.7435810623958301</c:v>
                </c:pt>
                <c:pt idx="70">
                  <c:v>1.74387015711295</c:v>
                </c:pt>
                <c:pt idx="71">
                  <c:v>1.74403297340915</c:v>
                </c:pt>
                <c:pt idx="72">
                  <c:v>1.7440426755740699</c:v>
                </c:pt>
                <c:pt idx="73">
                  <c:v>1.7441926262913301</c:v>
                </c:pt>
                <c:pt idx="74">
                  <c:v>1.74419686250246</c:v>
                </c:pt>
                <c:pt idx="75">
                  <c:v>1.74433449804741</c:v>
                </c:pt>
                <c:pt idx="76">
                  <c:v>1.74425815007115</c:v>
                </c:pt>
                <c:pt idx="77">
                  <c:v>1.74423869238243</c:v>
                </c:pt>
                <c:pt idx="78">
                  <c:v>1.7441966219721099</c:v>
                </c:pt>
                <c:pt idx="79">
                  <c:v>1.74411441044874</c:v>
                </c:pt>
                <c:pt idx="80">
                  <c:v>1.74401410639063</c:v>
                </c:pt>
                <c:pt idx="81">
                  <c:v>1.74406198753507</c:v>
                </c:pt>
                <c:pt idx="82">
                  <c:v>1.7441460319391699</c:v>
                </c:pt>
                <c:pt idx="83">
                  <c:v>1.7440725639947401</c:v>
                </c:pt>
                <c:pt idx="84">
                  <c:v>1.74404342224399</c:v>
                </c:pt>
                <c:pt idx="85">
                  <c:v>1.7438843038177401</c:v>
                </c:pt>
                <c:pt idx="86">
                  <c:v>1.7438594222249399</c:v>
                </c:pt>
                <c:pt idx="87">
                  <c:v>1.7436258930278199</c:v>
                </c:pt>
                <c:pt idx="88">
                  <c:v>1.7434310937065001</c:v>
                </c:pt>
                <c:pt idx="89">
                  <c:v>1.7434363256843499</c:v>
                </c:pt>
                <c:pt idx="90">
                  <c:v>1.74338993404288</c:v>
                </c:pt>
                <c:pt idx="91">
                  <c:v>1.7432164202698199</c:v>
                </c:pt>
                <c:pt idx="92">
                  <c:v>1.7430590541518201</c:v>
                </c:pt>
                <c:pt idx="93">
                  <c:v>1.74284881927029</c:v>
                </c:pt>
                <c:pt idx="94">
                  <c:v>1.7425705673059</c:v>
                </c:pt>
                <c:pt idx="95">
                  <c:v>1.7426482339510101</c:v>
                </c:pt>
                <c:pt idx="96">
                  <c:v>1.7427040458785099</c:v>
                </c:pt>
                <c:pt idx="97">
                  <c:v>1.7428429486425201</c:v>
                </c:pt>
                <c:pt idx="98">
                  <c:v>1.74296328191758</c:v>
                </c:pt>
                <c:pt idx="99">
                  <c:v>1.74304226871006</c:v>
                </c:pt>
                <c:pt idx="100">
                  <c:v>1.7430228654209401</c:v>
                </c:pt>
                <c:pt idx="101">
                  <c:v>1.74319675951138</c:v>
                </c:pt>
                <c:pt idx="102">
                  <c:v>1.7433113824020701</c:v>
                </c:pt>
                <c:pt idx="103">
                  <c:v>1.74356759304812</c:v>
                </c:pt>
                <c:pt idx="104">
                  <c:v>1.74382594916375</c:v>
                </c:pt>
                <c:pt idx="105">
                  <c:v>1.7437238460195501</c:v>
                </c:pt>
                <c:pt idx="106">
                  <c:v>1.7437428601882601</c:v>
                </c:pt>
                <c:pt idx="107">
                  <c:v>1.7438398886650599</c:v>
                </c:pt>
                <c:pt idx="108">
                  <c:v>1.74384778867457</c:v>
                </c:pt>
                <c:pt idx="109">
                  <c:v>1.74390103757959</c:v>
                </c:pt>
                <c:pt idx="110">
                  <c:v>1.7438844660870401</c:v>
                </c:pt>
                <c:pt idx="111">
                  <c:v>1.74384918784607</c:v>
                </c:pt>
                <c:pt idx="112">
                  <c:v>1.7438244529696101</c:v>
                </c:pt>
                <c:pt idx="113">
                  <c:v>1.74376852941194</c:v>
                </c:pt>
                <c:pt idx="114">
                  <c:v>1.74379490221045</c:v>
                </c:pt>
                <c:pt idx="115">
                  <c:v>1.7438485855117101</c:v>
                </c:pt>
                <c:pt idx="116">
                  <c:v>1.74392487094294</c:v>
                </c:pt>
                <c:pt idx="117">
                  <c:v>1.7439961373883299</c:v>
                </c:pt>
                <c:pt idx="118">
                  <c:v>1.7441630127476999</c:v>
                </c:pt>
                <c:pt idx="119">
                  <c:v>1.74420516565882</c:v>
                </c:pt>
                <c:pt idx="120">
                  <c:v>1.7443253579665099</c:v>
                </c:pt>
                <c:pt idx="121">
                  <c:v>1.7444241829537299</c:v>
                </c:pt>
                <c:pt idx="122">
                  <c:v>1.74455701304127</c:v>
                </c:pt>
                <c:pt idx="123">
                  <c:v>1.7445886421413701</c:v>
                </c:pt>
                <c:pt idx="124">
                  <c:v>1.74450862848274</c:v>
                </c:pt>
                <c:pt idx="125">
                  <c:v>1.7445963944642799</c:v>
                </c:pt>
                <c:pt idx="126">
                  <c:v>1.74453975395206</c:v>
                </c:pt>
                <c:pt idx="127">
                  <c:v>1.7445037842853499</c:v>
                </c:pt>
                <c:pt idx="128">
                  <c:v>1.7444544659568699</c:v>
                </c:pt>
                <c:pt idx="129">
                  <c:v>1.74447019088277</c:v>
                </c:pt>
                <c:pt idx="130">
                  <c:v>1.7443674414496599</c:v>
                </c:pt>
                <c:pt idx="131">
                  <c:v>1.7442819998830801</c:v>
                </c:pt>
                <c:pt idx="132">
                  <c:v>1.74416090493749</c:v>
                </c:pt>
                <c:pt idx="133">
                  <c:v>1.7442837644621101</c:v>
                </c:pt>
                <c:pt idx="134">
                  <c:v>1.74438784262939</c:v>
                </c:pt>
                <c:pt idx="135">
                  <c:v>1.74438254056835</c:v>
                </c:pt>
                <c:pt idx="136">
                  <c:v>1.74437726642265</c:v>
                </c:pt>
                <c:pt idx="137">
                  <c:v>1.7443369921424301</c:v>
                </c:pt>
                <c:pt idx="138">
                  <c:v>1.74423495514423</c:v>
                </c:pt>
                <c:pt idx="139">
                  <c:v>1.7441439364493401</c:v>
                </c:pt>
                <c:pt idx="140">
                  <c:v>1.7440572668776899</c:v>
                </c:pt>
                <c:pt idx="141">
                  <c:v>1.74387503077026</c:v>
                </c:pt>
                <c:pt idx="142">
                  <c:v>1.7441597262470301</c:v>
                </c:pt>
                <c:pt idx="143">
                  <c:v>1.74417272649664</c:v>
                </c:pt>
                <c:pt idx="144">
                  <c:v>1.74424671605992</c:v>
                </c:pt>
                <c:pt idx="145">
                  <c:v>1.7444834536881799</c:v>
                </c:pt>
                <c:pt idx="146">
                  <c:v>1.74468651169546</c:v>
                </c:pt>
                <c:pt idx="147">
                  <c:v>1.74475131001724</c:v>
                </c:pt>
                <c:pt idx="148">
                  <c:v>1.7449080113347999</c:v>
                </c:pt>
                <c:pt idx="149">
                  <c:v>1.74492429697782</c:v>
                </c:pt>
                <c:pt idx="150">
                  <c:v>1.7451371025823399</c:v>
                </c:pt>
                <c:pt idx="151">
                  <c:v>1.7453890366446301</c:v>
                </c:pt>
                <c:pt idx="152">
                  <c:v>1.74520573416943</c:v>
                </c:pt>
                <c:pt idx="153">
                  <c:v>1.7451779822787901</c:v>
                </c:pt>
                <c:pt idx="154">
                  <c:v>1.7451803145445901</c:v>
                </c:pt>
                <c:pt idx="155">
                  <c:v>1.7450231760066699</c:v>
                </c:pt>
                <c:pt idx="156">
                  <c:v>1.74487235854238</c:v>
                </c:pt>
                <c:pt idx="157">
                  <c:v>1.7448764913117201</c:v>
                </c:pt>
                <c:pt idx="158">
                  <c:v>1.74469901425341</c:v>
                </c:pt>
                <c:pt idx="159">
                  <c:v>1.7446428124590501</c:v>
                </c:pt>
                <c:pt idx="160">
                  <c:v>1.7446448593341699</c:v>
                </c:pt>
                <c:pt idx="161">
                  <c:v>1.74452314405689</c:v>
                </c:pt>
                <c:pt idx="162">
                  <c:v>1.7443784153333299</c:v>
                </c:pt>
                <c:pt idx="163">
                  <c:v>1.7443030125825301</c:v>
                </c:pt>
                <c:pt idx="164">
                  <c:v>1.74448509417815</c:v>
                </c:pt>
                <c:pt idx="165">
                  <c:v>1.74463221197464</c:v>
                </c:pt>
                <c:pt idx="166">
                  <c:v>1.7450276938767899</c:v>
                </c:pt>
                <c:pt idx="167">
                  <c:v>1.7453599540221201</c:v>
                </c:pt>
                <c:pt idx="168">
                  <c:v>1.74554677809282</c:v>
                </c:pt>
                <c:pt idx="169">
                  <c:v>1.7458027757443699</c:v>
                </c:pt>
                <c:pt idx="170">
                  <c:v>1.74568382582704</c:v>
                </c:pt>
                <c:pt idx="171">
                  <c:v>1.7458382553818099</c:v>
                </c:pt>
                <c:pt idx="172">
                  <c:v>1.74596738957093</c:v>
                </c:pt>
                <c:pt idx="173">
                  <c:v>1.74570804294082</c:v>
                </c:pt>
                <c:pt idx="174">
                  <c:v>1.74530062661852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68-462A-BD55-B46A0F592B01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VTEC/CMF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1.7441539175610099</c:v>
                </c:pt>
                <c:pt idx="20">
                  <c:v>1.7441659634861</c:v>
                </c:pt>
                <c:pt idx="21">
                  <c:v>1.7441649067857601</c:v>
                </c:pt>
                <c:pt idx="22">
                  <c:v>1.7442114170931999</c:v>
                </c:pt>
                <c:pt idx="23">
                  <c:v>1.7442210367851401</c:v>
                </c:pt>
                <c:pt idx="24">
                  <c:v>1.7441702824677201</c:v>
                </c:pt>
                <c:pt idx="25">
                  <c:v>1.7442360975426801</c:v>
                </c:pt>
                <c:pt idx="26">
                  <c:v>1.7441404661582001</c:v>
                </c:pt>
                <c:pt idx="27">
                  <c:v>1.74407463475914</c:v>
                </c:pt>
                <c:pt idx="28">
                  <c:v>1.74397255921464</c:v>
                </c:pt>
                <c:pt idx="29">
                  <c:v>1.74396767318612</c:v>
                </c:pt>
                <c:pt idx="30">
                  <c:v>1.7439628822250299</c:v>
                </c:pt>
                <c:pt idx="31">
                  <c:v>1.74386130659077</c:v>
                </c:pt>
                <c:pt idx="32">
                  <c:v>1.7438851663002</c:v>
                </c:pt>
                <c:pt idx="33">
                  <c:v>1.74394817455919</c:v>
                </c:pt>
                <c:pt idx="34">
                  <c:v>1.74402401067752</c:v>
                </c:pt>
                <c:pt idx="35">
                  <c:v>1.7441061513845999</c:v>
                </c:pt>
                <c:pt idx="36">
                  <c:v>1.7440552287298801</c:v>
                </c:pt>
                <c:pt idx="37">
                  <c:v>1.74400433913834</c:v>
                </c:pt>
                <c:pt idx="38">
                  <c:v>1.74397740484821</c:v>
                </c:pt>
                <c:pt idx="39">
                  <c:v>1.74401932062954</c:v>
                </c:pt>
                <c:pt idx="40">
                  <c:v>1.74404970683787</c:v>
                </c:pt>
                <c:pt idx="41">
                  <c:v>1.7440044520960101</c:v>
                </c:pt>
                <c:pt idx="42">
                  <c:v>1.74394148779828</c:v>
                </c:pt>
                <c:pt idx="43">
                  <c:v>1.7439600659000001</c:v>
                </c:pt>
                <c:pt idx="44">
                  <c:v>1.7439330437938101</c:v>
                </c:pt>
                <c:pt idx="45">
                  <c:v>1.7439941849671401</c:v>
                </c:pt>
                <c:pt idx="46">
                  <c:v>1.7440514783825101</c:v>
                </c:pt>
                <c:pt idx="47">
                  <c:v>1.7441256307717199</c:v>
                </c:pt>
                <c:pt idx="48">
                  <c:v>1.74416729096713</c:v>
                </c:pt>
                <c:pt idx="49">
                  <c:v>1.74414190073928</c:v>
                </c:pt>
                <c:pt idx="50">
                  <c:v>1.7440884552386799</c:v>
                </c:pt>
                <c:pt idx="51">
                  <c:v>1.7440565644952399</c:v>
                </c:pt>
                <c:pt idx="52">
                  <c:v>1.7440606050338101</c:v>
                </c:pt>
                <c:pt idx="53">
                  <c:v>1.7441194336150601</c:v>
                </c:pt>
                <c:pt idx="54">
                  <c:v>1.7440020543380399</c:v>
                </c:pt>
                <c:pt idx="55">
                  <c:v>1.7440762907509499</c:v>
                </c:pt>
                <c:pt idx="56">
                  <c:v>1.7441616260725401</c:v>
                </c:pt>
                <c:pt idx="57">
                  <c:v>1.7441954680754701</c:v>
                </c:pt>
                <c:pt idx="58">
                  <c:v>1.7442377105945599</c:v>
                </c:pt>
                <c:pt idx="59">
                  <c:v>1.74413193842448</c:v>
                </c:pt>
                <c:pt idx="60">
                  <c:v>1.7439983900482701</c:v>
                </c:pt>
                <c:pt idx="61">
                  <c:v>1.7439446835553001</c:v>
                </c:pt>
                <c:pt idx="62">
                  <c:v>1.7439554286761101</c:v>
                </c:pt>
                <c:pt idx="63">
                  <c:v>1.74386623732831</c:v>
                </c:pt>
                <c:pt idx="64">
                  <c:v>1.7439167776092299</c:v>
                </c:pt>
                <c:pt idx="65">
                  <c:v>1.7438102775948701</c:v>
                </c:pt>
                <c:pt idx="66">
                  <c:v>1.74381142810985</c:v>
                </c:pt>
                <c:pt idx="67">
                  <c:v>1.74378745641632</c:v>
                </c:pt>
                <c:pt idx="68">
                  <c:v>1.7438000049588001</c:v>
                </c:pt>
                <c:pt idx="69">
                  <c:v>1.7438493399392101</c:v>
                </c:pt>
                <c:pt idx="70">
                  <c:v>1.7439701015003499</c:v>
                </c:pt>
                <c:pt idx="71">
                  <c:v>1.7439719178334701</c:v>
                </c:pt>
                <c:pt idx="72">
                  <c:v>1.74396405440742</c:v>
                </c:pt>
                <c:pt idx="73">
                  <c:v>1.74392104666548</c:v>
                </c:pt>
                <c:pt idx="74">
                  <c:v>1.7440216862167</c:v>
                </c:pt>
                <c:pt idx="75">
                  <c:v>1.74392640190899</c:v>
                </c:pt>
                <c:pt idx="76">
                  <c:v>1.7438252813131701</c:v>
                </c:pt>
                <c:pt idx="77">
                  <c:v>1.7438276184778001</c:v>
                </c:pt>
                <c:pt idx="78">
                  <c:v>1.74380393045738</c:v>
                </c:pt>
                <c:pt idx="79">
                  <c:v>1.74384773642228</c:v>
                </c:pt>
                <c:pt idx="80">
                  <c:v>1.74394213175179</c:v>
                </c:pt>
                <c:pt idx="81">
                  <c:v>1.74404748047211</c:v>
                </c:pt>
                <c:pt idx="82">
                  <c:v>1.74409435375662</c:v>
                </c:pt>
                <c:pt idx="83">
                  <c:v>1.74413259514303</c:v>
                </c:pt>
                <c:pt idx="84">
                  <c:v>1.74412014237323</c:v>
                </c:pt>
                <c:pt idx="85">
                  <c:v>1.7441094009325699</c:v>
                </c:pt>
                <c:pt idx="86">
                  <c:v>1.7440587861480401</c:v>
                </c:pt>
                <c:pt idx="87">
                  <c:v>1.74393229270512</c:v>
                </c:pt>
                <c:pt idx="88">
                  <c:v>1.7438138578393001</c:v>
                </c:pt>
                <c:pt idx="89">
                  <c:v>1.74377536806654</c:v>
                </c:pt>
                <c:pt idx="90">
                  <c:v>1.7437020202167499</c:v>
                </c:pt>
                <c:pt idx="91">
                  <c:v>1.74363920390245</c:v>
                </c:pt>
                <c:pt idx="92">
                  <c:v>1.7436025430455</c:v>
                </c:pt>
                <c:pt idx="93">
                  <c:v>1.7434606916325099</c:v>
                </c:pt>
                <c:pt idx="94">
                  <c:v>1.74330699477494</c:v>
                </c:pt>
                <c:pt idx="95">
                  <c:v>1.7432662688843801</c:v>
                </c:pt>
                <c:pt idx="96">
                  <c:v>1.7432817340517299</c:v>
                </c:pt>
                <c:pt idx="97">
                  <c:v>1.74323442083517</c:v>
                </c:pt>
                <c:pt idx="98">
                  <c:v>1.74319718781204</c:v>
                </c:pt>
                <c:pt idx="99">
                  <c:v>1.7432392971971999</c:v>
                </c:pt>
                <c:pt idx="100">
                  <c:v>1.7432063997319101</c:v>
                </c:pt>
                <c:pt idx="101">
                  <c:v>1.7432065898906</c:v>
                </c:pt>
                <c:pt idx="102">
                  <c:v>1.7431852182769501</c:v>
                </c:pt>
                <c:pt idx="103">
                  <c:v>1.7432082061592</c:v>
                </c:pt>
                <c:pt idx="104">
                  <c:v>1.74319825823482</c:v>
                </c:pt>
                <c:pt idx="105">
                  <c:v>1.7431860399852801</c:v>
                </c:pt>
                <c:pt idx="106">
                  <c:v>1.7432234530333901</c:v>
                </c:pt>
                <c:pt idx="107">
                  <c:v>1.7433414186537901</c:v>
                </c:pt>
                <c:pt idx="108">
                  <c:v>1.74340553529608</c:v>
                </c:pt>
                <c:pt idx="109">
                  <c:v>1.74347165314483</c:v>
                </c:pt>
                <c:pt idx="110">
                  <c:v>1.7434536657539901</c:v>
                </c:pt>
                <c:pt idx="111">
                  <c:v>1.7435229736787301</c:v>
                </c:pt>
                <c:pt idx="112">
                  <c:v>1.7435679176858401</c:v>
                </c:pt>
                <c:pt idx="113">
                  <c:v>1.7436680612300299</c:v>
                </c:pt>
                <c:pt idx="114">
                  <c:v>1.7438104256871001</c:v>
                </c:pt>
                <c:pt idx="115">
                  <c:v>1.7437862157656301</c:v>
                </c:pt>
                <c:pt idx="116">
                  <c:v>1.7438338655656</c:v>
                </c:pt>
                <c:pt idx="117">
                  <c:v>1.74391801302669</c:v>
                </c:pt>
                <c:pt idx="118">
                  <c:v>1.7440054007111301</c:v>
                </c:pt>
                <c:pt idx="119">
                  <c:v>1.7440531016192</c:v>
                </c:pt>
                <c:pt idx="120">
                  <c:v>1.74410491202677</c:v>
                </c:pt>
                <c:pt idx="121">
                  <c:v>1.7441366853999001</c:v>
                </c:pt>
                <c:pt idx="122">
                  <c:v>1.74419073300544</c:v>
                </c:pt>
                <c:pt idx="123">
                  <c:v>1.7441785857766601</c:v>
                </c:pt>
                <c:pt idx="124">
                  <c:v>1.7441517653466001</c:v>
                </c:pt>
                <c:pt idx="125">
                  <c:v>1.7442224899879999</c:v>
                </c:pt>
                <c:pt idx="126">
                  <c:v>1.7442323124475001</c:v>
                </c:pt>
                <c:pt idx="127">
                  <c:v>1.74424996083684</c:v>
                </c:pt>
                <c:pt idx="128">
                  <c:v>1.74430873935228</c:v>
                </c:pt>
                <c:pt idx="129">
                  <c:v>1.74433767827079</c:v>
                </c:pt>
                <c:pt idx="130">
                  <c:v>1.7443463997080899</c:v>
                </c:pt>
                <c:pt idx="131">
                  <c:v>1.7443530914184</c:v>
                </c:pt>
                <c:pt idx="132">
                  <c:v>1.74435895898938</c:v>
                </c:pt>
                <c:pt idx="133">
                  <c:v>1.74443620330174</c:v>
                </c:pt>
                <c:pt idx="134">
                  <c:v>1.74444823555606</c:v>
                </c:pt>
                <c:pt idx="135">
                  <c:v>1.7444894675163201</c:v>
                </c:pt>
                <c:pt idx="136">
                  <c:v>1.74445851018735</c:v>
                </c:pt>
                <c:pt idx="137">
                  <c:v>1.74442038821389</c:v>
                </c:pt>
                <c:pt idx="138">
                  <c:v>1.7443447105505501</c:v>
                </c:pt>
                <c:pt idx="139">
                  <c:v>1.74430706366606</c:v>
                </c:pt>
                <c:pt idx="140">
                  <c:v>1.74421235416367</c:v>
                </c:pt>
                <c:pt idx="141">
                  <c:v>1.74407851532667</c:v>
                </c:pt>
                <c:pt idx="142">
                  <c:v>1.74416031559226</c:v>
                </c:pt>
                <c:pt idx="143">
                  <c:v>1.7442282454793701</c:v>
                </c:pt>
                <c:pt idx="144">
                  <c:v>1.74431727934465</c:v>
                </c:pt>
                <c:pt idx="145">
                  <c:v>1.7444329971282699</c:v>
                </c:pt>
                <c:pt idx="146">
                  <c:v>1.74453188905906</c:v>
                </c:pt>
                <c:pt idx="147">
                  <c:v>1.7445441510798401</c:v>
                </c:pt>
                <c:pt idx="148">
                  <c:v>1.7445714832395101</c:v>
                </c:pt>
                <c:pt idx="149">
                  <c:v>1.7445341167135799</c:v>
                </c:pt>
                <c:pt idx="150">
                  <c:v>1.7445971847300099</c:v>
                </c:pt>
                <c:pt idx="151">
                  <c:v>1.7446320337074499</c:v>
                </c:pt>
                <c:pt idx="152">
                  <c:v>1.7446827302082299</c:v>
                </c:pt>
                <c:pt idx="153">
                  <c:v>1.74467535438771</c:v>
                </c:pt>
                <c:pt idx="154">
                  <c:v>1.7447135153022499</c:v>
                </c:pt>
                <c:pt idx="155">
                  <c:v>1.7447533148474299</c:v>
                </c:pt>
                <c:pt idx="156">
                  <c:v>1.7447794351189201</c:v>
                </c:pt>
                <c:pt idx="157">
                  <c:v>1.7448139006644801</c:v>
                </c:pt>
                <c:pt idx="158">
                  <c:v>1.7448035127941099</c:v>
                </c:pt>
                <c:pt idx="159">
                  <c:v>1.7447835547184301</c:v>
                </c:pt>
                <c:pt idx="160">
                  <c:v>1.74489098095825</c:v>
                </c:pt>
                <c:pt idx="161">
                  <c:v>1.7449560903507599</c:v>
                </c:pt>
                <c:pt idx="162">
                  <c:v>1.7447920747513801</c:v>
                </c:pt>
                <c:pt idx="163">
                  <c:v>1.74474049743066</c:v>
                </c:pt>
                <c:pt idx="164">
                  <c:v>1.7448327043613701</c:v>
                </c:pt>
                <c:pt idx="165">
                  <c:v>1.74482769399066</c:v>
                </c:pt>
                <c:pt idx="166">
                  <c:v>1.7449500262095801</c:v>
                </c:pt>
                <c:pt idx="167">
                  <c:v>1.74511822266692</c:v>
                </c:pt>
                <c:pt idx="168">
                  <c:v>1.74512289617312</c:v>
                </c:pt>
                <c:pt idx="169">
                  <c:v>1.74522279410171</c:v>
                </c:pt>
                <c:pt idx="170">
                  <c:v>1.74516434258061</c:v>
                </c:pt>
                <c:pt idx="171">
                  <c:v>1.74518069971935</c:v>
                </c:pt>
                <c:pt idx="172">
                  <c:v>1.7451729024521301</c:v>
                </c:pt>
                <c:pt idx="173">
                  <c:v>1.7450055277616801</c:v>
                </c:pt>
                <c:pt idx="174">
                  <c:v>1.74489286039833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68-462A-BD55-B46A0F592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CMF* x 10 dma / VTEC*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6.1713257478969498E-5</c:v>
                </c:pt>
                <c:pt idx="11">
                  <c:v>-1.4013289237392501E-3</c:v>
                </c:pt>
                <c:pt idx="12">
                  <c:v>6.0806048068601996E-4</c:v>
                </c:pt>
                <c:pt idx="13">
                  <c:v>8.3379152231710099E-4</c:v>
                </c:pt>
                <c:pt idx="14">
                  <c:v>5.6073294392021303E-4</c:v>
                </c:pt>
                <c:pt idx="15">
                  <c:v>4.3604588072007101E-4</c:v>
                </c:pt>
                <c:pt idx="16">
                  <c:v>-1.01638213001099E-4</c:v>
                </c:pt>
                <c:pt idx="17">
                  <c:v>-1.13791621587886E-4</c:v>
                </c:pt>
                <c:pt idx="18">
                  <c:v>1.46062167257958E-4</c:v>
                </c:pt>
                <c:pt idx="19">
                  <c:v>1.96237897678701E-4</c:v>
                </c:pt>
                <c:pt idx="20">
                  <c:v>-4.1776324365016198E-4</c:v>
                </c:pt>
                <c:pt idx="21">
                  <c:v>-2.86657360290474E-4</c:v>
                </c:pt>
                <c:pt idx="22">
                  <c:v>-6.0737813195225999E-4</c:v>
                </c:pt>
                <c:pt idx="23">
                  <c:v>-3.51861802774735E-4</c:v>
                </c:pt>
                <c:pt idx="24">
                  <c:v>1.4464469390729501E-5</c:v>
                </c:pt>
                <c:pt idx="25">
                  <c:v>-1.28647714885527E-5</c:v>
                </c:pt>
                <c:pt idx="26">
                  <c:v>8.9770887641120803E-4</c:v>
                </c:pt>
                <c:pt idx="27">
                  <c:v>4.4169667286032198E-4</c:v>
                </c:pt>
                <c:pt idx="28">
                  <c:v>5.0457306095784697E-4</c:v>
                </c:pt>
                <c:pt idx="29">
                  <c:v>1.4399511597967899E-4</c:v>
                </c:pt>
                <c:pt idx="30">
                  <c:v>-9.6286331324357699E-5</c:v>
                </c:pt>
                <c:pt idx="31">
                  <c:v>-4.6903226430114198E-4</c:v>
                </c:pt>
                <c:pt idx="32">
                  <c:v>-1.3451362803605399E-5</c:v>
                </c:pt>
                <c:pt idx="33">
                  <c:v>-2.62140737952292E-4</c:v>
                </c:pt>
                <c:pt idx="34">
                  <c:v>-6.2002951086775296E-4</c:v>
                </c:pt>
                <c:pt idx="35">
                  <c:v>-6.7164583456730796E-4</c:v>
                </c:pt>
                <c:pt idx="36">
                  <c:v>3.32842870898054E-4</c:v>
                </c:pt>
                <c:pt idx="37">
                  <c:v>3.7150450851743398E-4</c:v>
                </c:pt>
                <c:pt idx="38">
                  <c:v>3.73795597014595E-4</c:v>
                </c:pt>
                <c:pt idx="39">
                  <c:v>-3.64289550146987E-4</c:v>
                </c:pt>
                <c:pt idx="40">
                  <c:v>-6.8302947798382703E-4</c:v>
                </c:pt>
                <c:pt idx="41">
                  <c:v>3.4964612412900098E-4</c:v>
                </c:pt>
                <c:pt idx="42">
                  <c:v>2.9482068763728701E-4</c:v>
                </c:pt>
                <c:pt idx="43">
                  <c:v>-4.8132207313348002E-4</c:v>
                </c:pt>
                <c:pt idx="44">
                  <c:v>3.5224748411993401E-4</c:v>
                </c:pt>
                <c:pt idx="45">
                  <c:v>-7.9995700888651502E-4</c:v>
                </c:pt>
                <c:pt idx="46">
                  <c:v>1.25703328950579E-4</c:v>
                </c:pt>
                <c:pt idx="47">
                  <c:v>-3.9940472630570499E-4</c:v>
                </c:pt>
                <c:pt idx="48">
                  <c:v>1.76151031126324E-4</c:v>
                </c:pt>
                <c:pt idx="49">
                  <c:v>6.5919037010378804E-4</c:v>
                </c:pt>
                <c:pt idx="50">
                  <c:v>6.5308738871028098E-4</c:v>
                </c:pt>
                <c:pt idx="51">
                  <c:v>-6.0726916368163901E-5</c:v>
                </c:pt>
                <c:pt idx="52">
                  <c:v>-1.1068369808802401E-6</c:v>
                </c:pt>
                <c:pt idx="53">
                  <c:v>-7.9897478709870895E-4</c:v>
                </c:pt>
                <c:pt idx="54">
                  <c:v>9.0140243872515997E-4</c:v>
                </c:pt>
                <c:pt idx="55">
                  <c:v>-1.44003341027537E-3</c:v>
                </c:pt>
                <c:pt idx="56">
                  <c:v>-5.4984614806644896E-4</c:v>
                </c:pt>
                <c:pt idx="57">
                  <c:v>1.07888654787496E-4</c:v>
                </c:pt>
                <c:pt idx="58">
                  <c:v>-3.1580050063834798E-5</c:v>
                </c:pt>
                <c:pt idx="59">
                  <c:v>1.00912504979798E-3</c:v>
                </c:pt>
                <c:pt idx="60">
                  <c:v>9.0841254852887005E-4</c:v>
                </c:pt>
                <c:pt idx="61">
                  <c:v>7.9460651621187099E-4</c:v>
                </c:pt>
                <c:pt idx="62">
                  <c:v>-1.3261514945468499E-5</c:v>
                </c:pt>
                <c:pt idx="63">
                  <c:v>3.6227638363225701E-4</c:v>
                </c:pt>
                <c:pt idx="64">
                  <c:v>-5.6048253321858404E-4</c:v>
                </c:pt>
                <c:pt idx="65">
                  <c:v>2.7499842699281099E-4</c:v>
                </c:pt>
                <c:pt idx="66">
                  <c:v>-2.2748688846449601E-4</c:v>
                </c:pt>
                <c:pt idx="67">
                  <c:v>-5.5677388898648403E-4</c:v>
                </c:pt>
                <c:pt idx="68">
                  <c:v>-4.60190507412039E-4</c:v>
                </c:pt>
                <c:pt idx="69">
                  <c:v>-4.2703960751386402E-4</c:v>
                </c:pt>
                <c:pt idx="70">
                  <c:v>-1.0567352220429501E-3</c:v>
                </c:pt>
                <c:pt idx="71">
                  <c:v>-1.11848373009097E-4</c:v>
                </c:pt>
                <c:pt idx="72">
                  <c:v>1.21658105692842E-4</c:v>
                </c:pt>
                <c:pt idx="73">
                  <c:v>-2.9442566771656402E-4</c:v>
                </c:pt>
                <c:pt idx="74">
                  <c:v>-1.8221594899554E-4</c:v>
                </c:pt>
                <c:pt idx="75">
                  <c:v>-2.3054467451148899E-4</c:v>
                </c:pt>
                <c:pt idx="76">
                  <c:v>7.3680134403618196E-4</c:v>
                </c:pt>
                <c:pt idx="77">
                  <c:v>9.9119268053862999E-5</c:v>
                </c:pt>
                <c:pt idx="78">
                  <c:v>2.8592972040961898E-4</c:v>
                </c:pt>
                <c:pt idx="79">
                  <c:v>5.1312955093694101E-4</c:v>
                </c:pt>
                <c:pt idx="80">
                  <c:v>-1.70914898148689E-4</c:v>
                </c:pt>
                <c:pt idx="81">
                  <c:v>-3.03939718140612E-4</c:v>
                </c:pt>
                <c:pt idx="82">
                  <c:v>-4.8934728173875798E-4</c:v>
                </c:pt>
                <c:pt idx="83">
                  <c:v>4.66142188595495E-5</c:v>
                </c:pt>
                <c:pt idx="84">
                  <c:v>-2.0432120661834199E-4</c:v>
                </c:pt>
                <c:pt idx="85">
                  <c:v>4.8229417796660101E-4</c:v>
                </c:pt>
                <c:pt idx="86">
                  <c:v>5.3135531928546402E-4</c:v>
                </c:pt>
                <c:pt idx="87">
                  <c:v>1.12488165060881E-3</c:v>
                </c:pt>
                <c:pt idx="88">
                  <c:v>9.8449740542439694E-4</c:v>
                </c:pt>
                <c:pt idx="89">
                  <c:v>2.5968450740298699E-6</c:v>
                </c:pt>
                <c:pt idx="90">
                  <c:v>-3.2206688230532101E-4</c:v>
                </c:pt>
                <c:pt idx="91">
                  <c:v>3.1237073466300103E-4</c:v>
                </c:pt>
                <c:pt idx="92">
                  <c:v>6.9585855671315506E-5</c:v>
                </c:pt>
                <c:pt idx="93">
                  <c:v>7.5495185072948297E-4</c:v>
                </c:pt>
                <c:pt idx="94">
                  <c:v>7.9669889037126899E-4</c:v>
                </c:pt>
                <c:pt idx="95">
                  <c:v>-6.9396094020590399E-4</c:v>
                </c:pt>
                <c:pt idx="96">
                  <c:v>-4.0054127503785699E-4</c:v>
                </c:pt>
                <c:pt idx="97">
                  <c:v>-2.4766966162302698E-4</c:v>
                </c:pt>
                <c:pt idx="98">
                  <c:v>-8.3336337499412697E-5</c:v>
                </c:pt>
                <c:pt idx="99">
                  <c:v>-6.6432916565997702E-4</c:v>
                </c:pt>
                <c:pt idx="100">
                  <c:v>-4.0192649913570498E-4</c:v>
                </c:pt>
                <c:pt idx="101">
                  <c:v>-8.6381007373875697E-4</c:v>
                </c:pt>
                <c:pt idx="102">
                  <c:v>-7.5090652914369595E-4</c:v>
                </c:pt>
                <c:pt idx="103">
                  <c:v>-6.9860020298841499E-4</c:v>
                </c:pt>
                <c:pt idx="104">
                  <c:v>-3.8812362943379299E-4</c:v>
                </c:pt>
                <c:pt idx="105">
                  <c:v>4.8660020049996901E-4</c:v>
                </c:pt>
                <c:pt idx="106">
                  <c:v>5.7862363366026303E-6</c:v>
                </c:pt>
                <c:pt idx="107">
                  <c:v>-2.8905661138744099E-4</c:v>
                </c:pt>
                <c:pt idx="108">
                  <c:v>3.70505006884424E-4</c:v>
                </c:pt>
                <c:pt idx="109">
                  <c:v>-5.1531112246579604E-4</c:v>
                </c:pt>
                <c:pt idx="110">
                  <c:v>1.4374347942931E-4</c:v>
                </c:pt>
                <c:pt idx="111">
                  <c:v>-1.93962717246486E-4</c:v>
                </c:pt>
                <c:pt idx="112">
                  <c:v>-7.7474379661175203E-5</c:v>
                </c:pt>
                <c:pt idx="113">
                  <c:v>5.5357005615800297E-5</c:v>
                </c:pt>
                <c:pt idx="114">
                  <c:v>-2.9374407440875598E-4</c:v>
                </c:pt>
                <c:pt idx="115">
                  <c:v>2.79657953294819E-4</c:v>
                </c:pt>
                <c:pt idx="116">
                  <c:v>-2.5583652572917998E-4</c:v>
                </c:pt>
                <c:pt idx="117">
                  <c:v>-5.06603469768076E-4</c:v>
                </c:pt>
                <c:pt idx="118">
                  <c:v>-4.1964255746457799E-4</c:v>
                </c:pt>
                <c:pt idx="119">
                  <c:v>-5.2361387476301303E-4</c:v>
                </c:pt>
                <c:pt idx="120">
                  <c:v>-3.3006628481701102E-4</c:v>
                </c:pt>
                <c:pt idx="121">
                  <c:v>-4.8518767396343198E-4</c:v>
                </c:pt>
                <c:pt idx="122">
                  <c:v>-5.0286593737556401E-4</c:v>
                </c:pt>
                <c:pt idx="123">
                  <c:v>1.58135530178007E-4</c:v>
                </c:pt>
                <c:pt idx="124">
                  <c:v>5.0471015856780397E-4</c:v>
                </c:pt>
                <c:pt idx="125">
                  <c:v>8.0081277678769499E-5</c:v>
                </c:pt>
                <c:pt idx="126">
                  <c:v>3.9284333550223199E-4</c:v>
                </c:pt>
                <c:pt idx="127">
                  <c:v>-3.72544852846128E-5</c:v>
                </c:pt>
                <c:pt idx="128">
                  <c:v>7.7478377160035495E-5</c:v>
                </c:pt>
                <c:pt idx="129">
                  <c:v>-5.0254360076714495E-4</c:v>
                </c:pt>
                <c:pt idx="130">
                  <c:v>3.5726372804142399E-4</c:v>
                </c:pt>
                <c:pt idx="131">
                  <c:v>-7.8476572816479097E-6</c:v>
                </c:pt>
                <c:pt idx="132">
                  <c:v>8.4439607861138197E-5</c:v>
                </c:pt>
                <c:pt idx="133">
                  <c:v>-6.3155915119120698E-4</c:v>
                </c:pt>
                <c:pt idx="134">
                  <c:v>-1.4137576161201901E-4</c:v>
                </c:pt>
                <c:pt idx="135">
                  <c:v>1.4264974695867599E-4</c:v>
                </c:pt>
                <c:pt idx="136">
                  <c:v>3.90683648138192E-4</c:v>
                </c:pt>
                <c:pt idx="137">
                  <c:v>1.7410002971090301E-4</c:v>
                </c:pt>
                <c:pt idx="138">
                  <c:v>6.1763311119876301E-4</c:v>
                </c:pt>
                <c:pt idx="139">
                  <c:v>-6.5826408188472406E-5</c:v>
                </c:pt>
                <c:pt idx="140">
                  <c:v>6.9950559617118404E-4</c:v>
                </c:pt>
                <c:pt idx="141">
                  <c:v>8.7150227745008604E-4</c:v>
                </c:pt>
                <c:pt idx="142">
                  <c:v>-1.73938552033692E-3</c:v>
                </c:pt>
                <c:pt idx="143">
                  <c:v>-7.0496332337576396E-4</c:v>
                </c:pt>
                <c:pt idx="144">
                  <c:v>-6.2106598156272104E-4</c:v>
                </c:pt>
                <c:pt idx="145">
                  <c:v>-1.38559871139177E-3</c:v>
                </c:pt>
                <c:pt idx="146">
                  <c:v>-7.9691531326241203E-4</c:v>
                </c:pt>
                <c:pt idx="147">
                  <c:v>-1.02049365265555E-4</c:v>
                </c:pt>
                <c:pt idx="148">
                  <c:v>-1.02813194441373E-4</c:v>
                </c:pt>
                <c:pt idx="149">
                  <c:v>1.6393727562120101E-4</c:v>
                </c:pt>
                <c:pt idx="150">
                  <c:v>-1.11660389291538E-4</c:v>
                </c:pt>
                <c:pt idx="151">
                  <c:v>1.8234957783790099E-5</c:v>
                </c:pt>
                <c:pt idx="152">
                  <c:v>1.21401886189052E-4</c:v>
                </c:pt>
                <c:pt idx="153">
                  <c:v>2.6333089345333602E-5</c:v>
                </c:pt>
                <c:pt idx="154">
                  <c:v>-7.3579839778075795E-5</c:v>
                </c:pt>
                <c:pt idx="155">
                  <c:v>1.42420602431823E-4</c:v>
                </c:pt>
                <c:pt idx="156">
                  <c:v>4.5611170797871698E-4</c:v>
                </c:pt>
                <c:pt idx="157">
                  <c:v>6.8132926578234798E-5</c:v>
                </c:pt>
                <c:pt idx="158">
                  <c:v>1.0435192653872299E-3</c:v>
                </c:pt>
                <c:pt idx="159">
                  <c:v>4.2422934078579502E-4</c:v>
                </c:pt>
                <c:pt idx="160">
                  <c:v>-2.2986783713978601E-4</c:v>
                </c:pt>
                <c:pt idx="161">
                  <c:v>4.6708009118361001E-4</c:v>
                </c:pt>
                <c:pt idx="162">
                  <c:v>4.7697767383128798E-4</c:v>
                </c:pt>
                <c:pt idx="163">
                  <c:v>5.85632632545967E-7</c:v>
                </c:pt>
                <c:pt idx="164">
                  <c:v>-1.58482385424544E-3</c:v>
                </c:pt>
                <c:pt idx="165">
                  <c:v>-1.08020570978885E-3</c:v>
                </c:pt>
                <c:pt idx="166">
                  <c:v>-2.0820223448191001E-3</c:v>
                </c:pt>
                <c:pt idx="167">
                  <c:v>-1.79928871152576E-3</c:v>
                </c:pt>
                <c:pt idx="168">
                  <c:v>1.83240400887464E-4</c:v>
                </c:pt>
                <c:pt idx="169">
                  <c:v>-6.0619905672474499E-4</c:v>
                </c:pt>
                <c:pt idx="170">
                  <c:v>1.0316138822285899E-3</c:v>
                </c:pt>
                <c:pt idx="171">
                  <c:v>1.2824836216797201E-4</c:v>
                </c:pt>
                <c:pt idx="172">
                  <c:v>4.4033758351224602E-4</c:v>
                </c:pt>
                <c:pt idx="173">
                  <c:v>2.3173184458343001E-3</c:v>
                </c:pt>
                <c:pt idx="174">
                  <c:v>1.4741896997622201E-3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D3-4C9A-8566-473805189837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CMF* x 20 dma / VTEC*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-3.4914863338806397E-4</c:v>
                </c:pt>
                <c:pt idx="21">
                  <c:v>-2.4037420996689E-4</c:v>
                </c:pt>
                <c:pt idx="22">
                  <c:v>-4.3585917202536599E-4</c:v>
                </c:pt>
                <c:pt idx="23">
                  <c:v>-2.3595559420469699E-4</c:v>
                </c:pt>
                <c:pt idx="24">
                  <c:v>4.5504871572488697E-5</c:v>
                </c:pt>
                <c:pt idx="25">
                  <c:v>-5.4308467774748897E-5</c:v>
                </c:pt>
                <c:pt idx="26">
                  <c:v>8.4584048102868395E-4</c:v>
                </c:pt>
                <c:pt idx="27">
                  <c:v>4.2962790973305101E-4</c:v>
                </c:pt>
                <c:pt idx="28">
                  <c:v>5.1295080038392404E-4</c:v>
                </c:pt>
                <c:pt idx="29">
                  <c:v>1.36429427248027E-4</c:v>
                </c:pt>
                <c:pt idx="30">
                  <c:v>-1.0836490027801701E-4</c:v>
                </c:pt>
                <c:pt idx="31">
                  <c:v>-4.4912433599922298E-4</c:v>
                </c:pt>
                <c:pt idx="32">
                  <c:v>-6.1092457482223806E-5</c:v>
                </c:pt>
                <c:pt idx="33">
                  <c:v>-2.41216388198163E-4</c:v>
                </c:pt>
                <c:pt idx="34">
                  <c:v>-5.4483740545047002E-4</c:v>
                </c:pt>
                <c:pt idx="35">
                  <c:v>-5.9646543009729601E-4</c:v>
                </c:pt>
                <c:pt idx="36">
                  <c:v>4.0917465431904398E-4</c:v>
                </c:pt>
                <c:pt idx="37">
                  <c:v>3.8247231178471401E-4</c:v>
                </c:pt>
                <c:pt idx="38">
                  <c:v>3.55788067585481E-4</c:v>
                </c:pt>
                <c:pt idx="39">
                  <c:v>-4.0938970676296301E-4</c:v>
                </c:pt>
                <c:pt idx="40">
                  <c:v>-7.5468538531629802E-4</c:v>
                </c:pt>
                <c:pt idx="41">
                  <c:v>2.26612092391445E-4</c:v>
                </c:pt>
                <c:pt idx="42">
                  <c:v>2.07542418111866E-4</c:v>
                </c:pt>
                <c:pt idx="43">
                  <c:v>-5.86853957247936E-4</c:v>
                </c:pt>
                <c:pt idx="44">
                  <c:v>2.1862021645714099E-4</c:v>
                </c:pt>
                <c:pt idx="45">
                  <c:v>-8.7412463697815197E-4</c:v>
                </c:pt>
                <c:pt idx="46">
                  <c:v>6.3124610966203506E-5</c:v>
                </c:pt>
                <c:pt idx="47">
                  <c:v>-4.5799472227042802E-4</c:v>
                </c:pt>
                <c:pt idx="48">
                  <c:v>7.5575569850682301E-5</c:v>
                </c:pt>
                <c:pt idx="49">
                  <c:v>5.4701950756847297E-4</c:v>
                </c:pt>
                <c:pt idx="50">
                  <c:v>6.1078403623132996E-4</c:v>
                </c:pt>
                <c:pt idx="51">
                  <c:v>-3.9386410358464398E-6</c:v>
                </c:pt>
                <c:pt idx="52">
                  <c:v>1.2212684428293E-5</c:v>
                </c:pt>
                <c:pt idx="53">
                  <c:v>-8.0580170043153404E-4</c:v>
                </c:pt>
                <c:pt idx="54">
                  <c:v>8.9951803122882202E-4</c:v>
                </c:pt>
                <c:pt idx="55">
                  <c:v>-1.44991634234383E-3</c:v>
                </c:pt>
                <c:pt idx="56">
                  <c:v>-5.7891481951930803E-4</c:v>
                </c:pt>
                <c:pt idx="57">
                  <c:v>5.8740937237626203E-5</c:v>
                </c:pt>
                <c:pt idx="58">
                  <c:v>-1.5876000720456601E-5</c:v>
                </c:pt>
                <c:pt idx="59">
                  <c:v>1.0359461464039699E-3</c:v>
                </c:pt>
                <c:pt idx="60">
                  <c:v>9.1544873505101498E-4</c:v>
                </c:pt>
                <c:pt idx="61">
                  <c:v>7.5252557287143603E-4</c:v>
                </c:pt>
                <c:pt idx="62">
                  <c:v>-1.9606079871561499E-6</c:v>
                </c:pt>
                <c:pt idx="63">
                  <c:v>3.87562360634583E-4</c:v>
                </c:pt>
                <c:pt idx="64">
                  <c:v>-4.5800651132497E-4</c:v>
                </c:pt>
                <c:pt idx="65">
                  <c:v>2.8737741073171699E-4</c:v>
                </c:pt>
                <c:pt idx="66">
                  <c:v>-9.5022700188591798E-5</c:v>
                </c:pt>
                <c:pt idx="67">
                  <c:v>-3.5822934092207302E-4</c:v>
                </c:pt>
                <c:pt idx="68">
                  <c:v>-2.95490399863403E-4</c:v>
                </c:pt>
                <c:pt idx="69">
                  <c:v>-2.5848715446790001E-4</c:v>
                </c:pt>
                <c:pt idx="70">
                  <c:v>-9.6330019656292105E-4</c:v>
                </c:pt>
                <c:pt idx="71">
                  <c:v>-1.2079863895986601E-4</c:v>
                </c:pt>
                <c:pt idx="72">
                  <c:v>2.7968528032647701E-5</c:v>
                </c:pt>
                <c:pt idx="73">
                  <c:v>-3.9126032689551298E-4</c:v>
                </c:pt>
                <c:pt idx="74">
                  <c:v>-3.8215654198281202E-4</c:v>
                </c:pt>
                <c:pt idx="75">
                  <c:v>-3.6873966920292098E-4</c:v>
                </c:pt>
                <c:pt idx="76">
                  <c:v>4.7249309148858102E-4</c:v>
                </c:pt>
                <c:pt idx="77">
                  <c:v>-1.72797352259068E-4</c:v>
                </c:pt>
                <c:pt idx="78">
                  <c:v>3.2993329594009197E-5</c:v>
                </c:pt>
                <c:pt idx="79">
                  <c:v>2.7716021758335301E-4</c:v>
                </c:pt>
                <c:pt idx="80">
                  <c:v>-3.2855223566920498E-4</c:v>
                </c:pt>
                <c:pt idx="81">
                  <c:v>-3.4412747504710799E-4</c:v>
                </c:pt>
                <c:pt idx="82">
                  <c:v>-4.9696188657476995E-4</c:v>
                </c:pt>
                <c:pt idx="83">
                  <c:v>1.0306993903075101E-5</c:v>
                </c:pt>
                <c:pt idx="84">
                  <c:v>-1.84694664525339E-4</c:v>
                </c:pt>
                <c:pt idx="85">
                  <c:v>5.0386122909035203E-4</c:v>
                </c:pt>
                <c:pt idx="86">
                  <c:v>6.2981290624532498E-4</c:v>
                </c:pt>
                <c:pt idx="87">
                  <c:v>1.20114123467112E-3</c:v>
                </c:pt>
                <c:pt idx="88">
                  <c:v>1.11404908824928E-3</c:v>
                </c:pt>
                <c:pt idx="89">
                  <c:v>1.68007288888649E-4</c:v>
                </c:pt>
                <c:pt idx="90">
                  <c:v>-1.8905007463621999E-4</c:v>
                </c:pt>
                <c:pt idx="91">
                  <c:v>4.22590309738279E-4</c:v>
                </c:pt>
                <c:pt idx="92">
                  <c:v>2.3528166518818101E-4</c:v>
                </c:pt>
                <c:pt idx="93">
                  <c:v>9.9651294610622002E-4</c:v>
                </c:pt>
                <c:pt idx="94">
                  <c:v>1.0844137727616899E-3</c:v>
                </c:pt>
                <c:pt idx="95">
                  <c:v>-3.2825423977444899E-4</c:v>
                </c:pt>
                <c:pt idx="96">
                  <c:v>-9.4909608554798102E-5</c:v>
                </c:pt>
                <c:pt idx="97">
                  <c:v>4.2344226949127697E-5</c:v>
                </c:pt>
                <c:pt idx="98">
                  <c:v>1.08145213017857E-4</c:v>
                </c:pt>
                <c:pt idx="99">
                  <c:v>-5.5495608394199301E-4</c:v>
                </c:pt>
                <c:pt idx="100">
                  <c:v>-3.0598770490184102E-4</c:v>
                </c:pt>
                <c:pt idx="101">
                  <c:v>-7.6801366810835402E-4</c:v>
                </c:pt>
                <c:pt idx="102">
                  <c:v>-7.4620348844463399E-4</c:v>
                </c:pt>
                <c:pt idx="103">
                  <c:v>-7.7899419278724296E-4</c:v>
                </c:pt>
                <c:pt idx="104">
                  <c:v>-6.0876270178133996E-4</c:v>
                </c:pt>
                <c:pt idx="105">
                  <c:v>1.05919035613962E-4</c:v>
                </c:pt>
                <c:pt idx="106">
                  <c:v>-3.3170435246567898E-4</c:v>
                </c:pt>
                <c:pt idx="107">
                  <c:v>-6.2394446485051103E-4</c:v>
                </c:pt>
                <c:pt idx="108">
                  <c:v>3.9678612207193897E-5</c:v>
                </c:pt>
                <c:pt idx="109">
                  <c:v>-8.2230080834516195E-4</c:v>
                </c:pt>
                <c:pt idx="110">
                  <c:v>-1.6408580828244801E-4</c:v>
                </c:pt>
                <c:pt idx="111">
                  <c:v>-5.10895725339056E-4</c:v>
                </c:pt>
                <c:pt idx="112">
                  <c:v>-3.4338210927439399E-4</c:v>
                </c:pt>
                <c:pt idx="113">
                  <c:v>-1.62917182162468E-4</c:v>
                </c:pt>
                <c:pt idx="114">
                  <c:v>-4.1546267289522501E-4</c:v>
                </c:pt>
                <c:pt idx="115">
                  <c:v>2.31744220528948E-4</c:v>
                </c:pt>
                <c:pt idx="116">
                  <c:v>-3.3982705261838497E-4</c:v>
                </c:pt>
                <c:pt idx="117">
                  <c:v>-5.9863793604669497E-4</c:v>
                </c:pt>
                <c:pt idx="118">
                  <c:v>-4.9620516888915895E-4</c:v>
                </c:pt>
                <c:pt idx="119">
                  <c:v>-6.3694124588838704E-4</c:v>
                </c:pt>
                <c:pt idx="120">
                  <c:v>-4.3188922929073101E-4</c:v>
                </c:pt>
                <c:pt idx="121">
                  <c:v>-6.1737539529291405E-4</c:v>
                </c:pt>
                <c:pt idx="122">
                  <c:v>-6.64629621131392E-4</c:v>
                </c:pt>
                <c:pt idx="123">
                  <c:v>-4.8149017420784402E-5</c:v>
                </c:pt>
                <c:pt idx="124">
                  <c:v>2.67076053191727E-4</c:v>
                </c:pt>
                <c:pt idx="125">
                  <c:v>-1.3395176316024501E-4</c:v>
                </c:pt>
                <c:pt idx="126">
                  <c:v>1.6257466562225999E-4</c:v>
                </c:pt>
                <c:pt idx="127">
                  <c:v>-2.3664707371470799E-4</c:v>
                </c:pt>
                <c:pt idx="128">
                  <c:v>-9.8305219668841197E-5</c:v>
                </c:pt>
                <c:pt idx="129">
                  <c:v>-6.2389986742386399E-4</c:v>
                </c:pt>
                <c:pt idx="130">
                  <c:v>2.3657346330032599E-4</c:v>
                </c:pt>
                <c:pt idx="131">
                  <c:v>-7.2377014144979799E-5</c:v>
                </c:pt>
                <c:pt idx="132">
                  <c:v>6.5111569201517199E-5</c:v>
                </c:pt>
                <c:pt idx="133">
                  <c:v>-5.85997259902581E-4</c:v>
                </c:pt>
                <c:pt idx="134">
                  <c:v>-1.15265289015052E-4</c:v>
                </c:pt>
                <c:pt idx="135">
                  <c:v>1.2292109524918201E-4</c:v>
                </c:pt>
                <c:pt idx="136">
                  <c:v>4.0348135691418199E-4</c:v>
                </c:pt>
                <c:pt idx="137">
                  <c:v>1.7866724967762301E-4</c:v>
                </c:pt>
                <c:pt idx="138">
                  <c:v>6.2969778754532195E-4</c:v>
                </c:pt>
                <c:pt idx="139">
                  <c:v>-3.2831891784608301E-5</c:v>
                </c:pt>
                <c:pt idx="140">
                  <c:v>7.68732895955444E-4</c:v>
                </c:pt>
                <c:pt idx="141">
                  <c:v>9.4245957764605597E-4</c:v>
                </c:pt>
                <c:pt idx="142">
                  <c:v>-1.6347954391427899E-3</c:v>
                </c:pt>
                <c:pt idx="143">
                  <c:v>-7.0861867930348905E-4</c:v>
                </c:pt>
                <c:pt idx="144">
                  <c:v>-5.9382209510919204E-4</c:v>
                </c:pt>
                <c:pt idx="145">
                  <c:v>-1.3499351699351801E-3</c:v>
                </c:pt>
                <c:pt idx="146">
                  <c:v>-8.3529577129861905E-4</c:v>
                </c:pt>
                <c:pt idx="147">
                  <c:v>-2.0482110331427E-4</c:v>
                </c:pt>
                <c:pt idx="148">
                  <c:v>-2.4068582178739001E-4</c:v>
                </c:pt>
                <c:pt idx="149">
                  <c:v>-5.19154510498749E-5</c:v>
                </c:pt>
                <c:pt idx="150">
                  <c:v>-3.6274539175769203E-4</c:v>
                </c:pt>
                <c:pt idx="151">
                  <c:v>-3.2247750694769801E-4</c:v>
                </c:pt>
                <c:pt idx="152">
                  <c:v>-3.4698033789342899E-4</c:v>
                </c:pt>
                <c:pt idx="153">
                  <c:v>-3.1509097371038399E-4</c:v>
                </c:pt>
                <c:pt idx="154">
                  <c:v>-4.0855109021080399E-4</c:v>
                </c:pt>
                <c:pt idx="155">
                  <c:v>-1.7741568053705899E-4</c:v>
                </c:pt>
                <c:pt idx="156">
                  <c:v>2.53561087460664E-4</c:v>
                </c:pt>
                <c:pt idx="157">
                  <c:v>-2.8814350318458601E-5</c:v>
                </c:pt>
                <c:pt idx="158">
                  <c:v>9.6946529322655402E-4</c:v>
                </c:pt>
                <c:pt idx="159">
                  <c:v>4.4984759800541398E-4</c:v>
                </c:pt>
                <c:pt idx="160">
                  <c:v>-1.7857949393861101E-4</c:v>
                </c:pt>
                <c:pt idx="161">
                  <c:v>5.8322188711508504E-4</c:v>
                </c:pt>
                <c:pt idx="162">
                  <c:v>7.0386535318448299E-4</c:v>
                </c:pt>
                <c:pt idx="163">
                  <c:v>2.2172768017536399E-4</c:v>
                </c:pt>
                <c:pt idx="164">
                  <c:v>-1.34526500420118E-3</c:v>
                </c:pt>
                <c:pt idx="165">
                  <c:v>-8.8618996536622696E-4</c:v>
                </c:pt>
                <c:pt idx="166">
                  <c:v>-1.9742047565838999E-3</c:v>
                </c:pt>
                <c:pt idx="167">
                  <c:v>-1.8500893335806701E-3</c:v>
                </c:pt>
                <c:pt idx="168">
                  <c:v>3.51136173110383E-5</c:v>
                </c:pt>
                <c:pt idx="169">
                  <c:v>-8.6197073560703805E-4</c:v>
                </c:pt>
                <c:pt idx="170">
                  <c:v>6.8321452182305202E-4</c:v>
                </c:pt>
                <c:pt idx="171">
                  <c:v>-1.91171106747249E-4</c:v>
                </c:pt>
                <c:pt idx="172">
                  <c:v>3.8039335050220701E-5</c:v>
                </c:pt>
                <c:pt idx="173">
                  <c:v>1.8325611477814901E-3</c:v>
                </c:pt>
                <c:pt idx="174">
                  <c:v>1.0358248905999799E-3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D3-4C9A-8566-473805189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VTEC*/CMF*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1.74495402592864</c:v>
                </c:pt>
                <c:pt idx="1">
                  <c:v>1.74495402592864</c:v>
                </c:pt>
                <c:pt idx="2">
                  <c:v>1.74495402592864</c:v>
                </c:pt>
                <c:pt idx="3">
                  <c:v>1.74495402592864</c:v>
                </c:pt>
                <c:pt idx="4">
                  <c:v>1.74495402592864</c:v>
                </c:pt>
                <c:pt idx="5">
                  <c:v>1.74495402592864</c:v>
                </c:pt>
                <c:pt idx="6">
                  <c:v>1.74495402592864</c:v>
                </c:pt>
                <c:pt idx="7">
                  <c:v>1.74495402592864</c:v>
                </c:pt>
                <c:pt idx="8">
                  <c:v>1.74495402592864</c:v>
                </c:pt>
                <c:pt idx="9">
                  <c:v>1.74495402592864</c:v>
                </c:pt>
                <c:pt idx="10">
                  <c:v>1.74495402592864</c:v>
                </c:pt>
                <c:pt idx="11">
                  <c:v>1.74495402592864</c:v>
                </c:pt>
                <c:pt idx="12">
                  <c:v>1.74495402592864</c:v>
                </c:pt>
                <c:pt idx="13">
                  <c:v>1.74495402592864</c:v>
                </c:pt>
                <c:pt idx="14">
                  <c:v>1.74495402592864</c:v>
                </c:pt>
                <c:pt idx="15">
                  <c:v>1.74495402592864</c:v>
                </c:pt>
                <c:pt idx="16">
                  <c:v>1.74495402592864</c:v>
                </c:pt>
                <c:pt idx="17">
                  <c:v>1.74495402592864</c:v>
                </c:pt>
                <c:pt idx="18">
                  <c:v>1.74495402592864</c:v>
                </c:pt>
                <c:pt idx="19">
                  <c:v>1.74495402592864</c:v>
                </c:pt>
                <c:pt idx="20">
                  <c:v>1.74495402592864</c:v>
                </c:pt>
                <c:pt idx="21">
                  <c:v>1.74495402592864</c:v>
                </c:pt>
                <c:pt idx="22">
                  <c:v>1.74495402592864</c:v>
                </c:pt>
                <c:pt idx="23">
                  <c:v>1.74495402592864</c:v>
                </c:pt>
                <c:pt idx="24">
                  <c:v>1.74495402592864</c:v>
                </c:pt>
                <c:pt idx="25">
                  <c:v>1.74495402592864</c:v>
                </c:pt>
                <c:pt idx="26">
                  <c:v>1.74495402592864</c:v>
                </c:pt>
                <c:pt idx="27">
                  <c:v>1.74495402592864</c:v>
                </c:pt>
                <c:pt idx="28">
                  <c:v>1.74495402592864</c:v>
                </c:pt>
                <c:pt idx="29">
                  <c:v>1.74495402592864</c:v>
                </c:pt>
                <c:pt idx="30">
                  <c:v>1.74495402592864</c:v>
                </c:pt>
                <c:pt idx="31">
                  <c:v>1.74495402592864</c:v>
                </c:pt>
                <c:pt idx="32">
                  <c:v>1.74495402592864</c:v>
                </c:pt>
                <c:pt idx="33">
                  <c:v>1.74495402592864</c:v>
                </c:pt>
                <c:pt idx="34">
                  <c:v>1.74495402592864</c:v>
                </c:pt>
                <c:pt idx="35">
                  <c:v>1.74495402592864</c:v>
                </c:pt>
                <c:pt idx="36">
                  <c:v>1.74495402592864</c:v>
                </c:pt>
                <c:pt idx="37">
                  <c:v>1.74495402592864</c:v>
                </c:pt>
                <c:pt idx="38">
                  <c:v>1.74495402592864</c:v>
                </c:pt>
                <c:pt idx="39">
                  <c:v>1.74495402592864</c:v>
                </c:pt>
                <c:pt idx="40">
                  <c:v>1.74495402592864</c:v>
                </c:pt>
                <c:pt idx="41">
                  <c:v>1.74495402592864</c:v>
                </c:pt>
                <c:pt idx="42">
                  <c:v>1.74495402592864</c:v>
                </c:pt>
                <c:pt idx="43">
                  <c:v>1.74495402592864</c:v>
                </c:pt>
                <c:pt idx="44">
                  <c:v>1.74495402592864</c:v>
                </c:pt>
                <c:pt idx="45">
                  <c:v>1.74495402592864</c:v>
                </c:pt>
                <c:pt idx="46">
                  <c:v>1.74495402592864</c:v>
                </c:pt>
                <c:pt idx="47">
                  <c:v>1.74495402592864</c:v>
                </c:pt>
                <c:pt idx="48">
                  <c:v>1.74495402592864</c:v>
                </c:pt>
                <c:pt idx="49">
                  <c:v>1.74495402592864</c:v>
                </c:pt>
                <c:pt idx="50">
                  <c:v>1.74495402592864</c:v>
                </c:pt>
                <c:pt idx="51">
                  <c:v>1.74495402592864</c:v>
                </c:pt>
                <c:pt idx="52">
                  <c:v>1.74495402592864</c:v>
                </c:pt>
                <c:pt idx="53">
                  <c:v>1.74495402592864</c:v>
                </c:pt>
                <c:pt idx="54">
                  <c:v>1.74495402592864</c:v>
                </c:pt>
                <c:pt idx="55">
                  <c:v>1.74495402592864</c:v>
                </c:pt>
                <c:pt idx="56">
                  <c:v>1.74495402592864</c:v>
                </c:pt>
                <c:pt idx="57">
                  <c:v>1.74495402592864</c:v>
                </c:pt>
                <c:pt idx="58">
                  <c:v>1.74495402592864</c:v>
                </c:pt>
                <c:pt idx="59">
                  <c:v>1.74495402592864</c:v>
                </c:pt>
                <c:pt idx="60">
                  <c:v>1.74495402592864</c:v>
                </c:pt>
                <c:pt idx="61">
                  <c:v>1.74495402592864</c:v>
                </c:pt>
                <c:pt idx="62">
                  <c:v>1.74495402592864</c:v>
                </c:pt>
                <c:pt idx="63">
                  <c:v>1.74495402592864</c:v>
                </c:pt>
                <c:pt idx="64">
                  <c:v>1.74495402592864</c:v>
                </c:pt>
                <c:pt idx="65">
                  <c:v>1.74495402592864</c:v>
                </c:pt>
                <c:pt idx="66">
                  <c:v>1.74495402592864</c:v>
                </c:pt>
                <c:pt idx="67">
                  <c:v>1.74495402592864</c:v>
                </c:pt>
                <c:pt idx="68">
                  <c:v>1.74495402592864</c:v>
                </c:pt>
                <c:pt idx="69">
                  <c:v>1.74495402592864</c:v>
                </c:pt>
                <c:pt idx="70">
                  <c:v>1.74495402592864</c:v>
                </c:pt>
                <c:pt idx="71">
                  <c:v>1.74495402592864</c:v>
                </c:pt>
                <c:pt idx="72">
                  <c:v>1.74495402592864</c:v>
                </c:pt>
                <c:pt idx="73">
                  <c:v>1.74495402592864</c:v>
                </c:pt>
                <c:pt idx="74">
                  <c:v>1.74495402592864</c:v>
                </c:pt>
                <c:pt idx="75">
                  <c:v>1.74495402592864</c:v>
                </c:pt>
                <c:pt idx="76">
                  <c:v>1.74495402592864</c:v>
                </c:pt>
                <c:pt idx="77">
                  <c:v>1.74495402592864</c:v>
                </c:pt>
                <c:pt idx="78">
                  <c:v>1.74495402592864</c:v>
                </c:pt>
                <c:pt idx="79">
                  <c:v>1.74495402592864</c:v>
                </c:pt>
                <c:pt idx="80">
                  <c:v>1.74495402592864</c:v>
                </c:pt>
                <c:pt idx="81">
                  <c:v>1.74495402592864</c:v>
                </c:pt>
                <c:pt idx="82">
                  <c:v>1.74495402592864</c:v>
                </c:pt>
                <c:pt idx="83">
                  <c:v>1.74495402592864</c:v>
                </c:pt>
                <c:pt idx="84">
                  <c:v>1.74495402592864</c:v>
                </c:pt>
                <c:pt idx="85">
                  <c:v>1.74495402592864</c:v>
                </c:pt>
                <c:pt idx="86">
                  <c:v>1.74495402592864</c:v>
                </c:pt>
                <c:pt idx="87">
                  <c:v>1.74495402592864</c:v>
                </c:pt>
                <c:pt idx="88">
                  <c:v>1.74495402592864</c:v>
                </c:pt>
                <c:pt idx="89">
                  <c:v>1.74495402592864</c:v>
                </c:pt>
                <c:pt idx="90">
                  <c:v>1.74495402592864</c:v>
                </c:pt>
                <c:pt idx="91">
                  <c:v>1.74495402592864</c:v>
                </c:pt>
                <c:pt idx="92">
                  <c:v>1.74495402592864</c:v>
                </c:pt>
                <c:pt idx="93">
                  <c:v>1.74495402592864</c:v>
                </c:pt>
                <c:pt idx="94">
                  <c:v>1.74495402592864</c:v>
                </c:pt>
                <c:pt idx="95">
                  <c:v>1.74495402592864</c:v>
                </c:pt>
                <c:pt idx="96">
                  <c:v>1.74495402592864</c:v>
                </c:pt>
                <c:pt idx="97">
                  <c:v>1.74495402592864</c:v>
                </c:pt>
                <c:pt idx="98">
                  <c:v>1.74495402592864</c:v>
                </c:pt>
                <c:pt idx="99">
                  <c:v>1.74495402592864</c:v>
                </c:pt>
                <c:pt idx="100">
                  <c:v>1.74495402592864</c:v>
                </c:pt>
                <c:pt idx="101">
                  <c:v>1.74495402592864</c:v>
                </c:pt>
                <c:pt idx="102">
                  <c:v>1.74495402592864</c:v>
                </c:pt>
                <c:pt idx="103">
                  <c:v>1.74495402592864</c:v>
                </c:pt>
                <c:pt idx="104">
                  <c:v>1.74495402592864</c:v>
                </c:pt>
                <c:pt idx="105">
                  <c:v>1.74495402592864</c:v>
                </c:pt>
                <c:pt idx="106">
                  <c:v>1.74495402592864</c:v>
                </c:pt>
                <c:pt idx="107">
                  <c:v>1.74495402592864</c:v>
                </c:pt>
                <c:pt idx="108">
                  <c:v>1.74495402592864</c:v>
                </c:pt>
                <c:pt idx="109">
                  <c:v>1.74495402592864</c:v>
                </c:pt>
                <c:pt idx="110">
                  <c:v>1.74495402592864</c:v>
                </c:pt>
                <c:pt idx="111">
                  <c:v>1.74495402592864</c:v>
                </c:pt>
                <c:pt idx="112">
                  <c:v>1.74495402592864</c:v>
                </c:pt>
                <c:pt idx="113">
                  <c:v>1.74495402592864</c:v>
                </c:pt>
                <c:pt idx="114">
                  <c:v>1.74495402592864</c:v>
                </c:pt>
                <c:pt idx="115">
                  <c:v>1.74495402592864</c:v>
                </c:pt>
                <c:pt idx="116">
                  <c:v>1.74495402592864</c:v>
                </c:pt>
                <c:pt idx="117">
                  <c:v>1.74495402592864</c:v>
                </c:pt>
                <c:pt idx="118">
                  <c:v>1.74495402592864</c:v>
                </c:pt>
                <c:pt idx="119">
                  <c:v>1.74495402592864</c:v>
                </c:pt>
                <c:pt idx="120">
                  <c:v>1.74495402592864</c:v>
                </c:pt>
                <c:pt idx="121">
                  <c:v>1.74495402592864</c:v>
                </c:pt>
                <c:pt idx="122">
                  <c:v>1.74495402592864</c:v>
                </c:pt>
                <c:pt idx="123">
                  <c:v>1.74495402592864</c:v>
                </c:pt>
                <c:pt idx="124">
                  <c:v>1.74495402592864</c:v>
                </c:pt>
                <c:pt idx="125">
                  <c:v>1.74495402592864</c:v>
                </c:pt>
                <c:pt idx="126">
                  <c:v>1.74495402592864</c:v>
                </c:pt>
                <c:pt idx="127">
                  <c:v>1.74495402592864</c:v>
                </c:pt>
                <c:pt idx="128">
                  <c:v>1.74495402592864</c:v>
                </c:pt>
                <c:pt idx="129">
                  <c:v>1.74495402592864</c:v>
                </c:pt>
                <c:pt idx="130">
                  <c:v>1.74495402592864</c:v>
                </c:pt>
                <c:pt idx="131">
                  <c:v>1.74495402592864</c:v>
                </c:pt>
                <c:pt idx="132">
                  <c:v>1.74495402592864</c:v>
                </c:pt>
                <c:pt idx="133">
                  <c:v>1.74495402592864</c:v>
                </c:pt>
                <c:pt idx="134">
                  <c:v>1.74495402592864</c:v>
                </c:pt>
                <c:pt idx="135">
                  <c:v>1.74495402592864</c:v>
                </c:pt>
                <c:pt idx="136">
                  <c:v>1.74495402592864</c:v>
                </c:pt>
                <c:pt idx="137">
                  <c:v>1.74495402592864</c:v>
                </c:pt>
                <c:pt idx="138">
                  <c:v>1.74495402592864</c:v>
                </c:pt>
                <c:pt idx="139">
                  <c:v>1.74495402592864</c:v>
                </c:pt>
                <c:pt idx="140">
                  <c:v>1.74495402592864</c:v>
                </c:pt>
                <c:pt idx="141">
                  <c:v>1.74495402592864</c:v>
                </c:pt>
                <c:pt idx="142">
                  <c:v>1.74495402592864</c:v>
                </c:pt>
                <c:pt idx="143">
                  <c:v>1.74495402592864</c:v>
                </c:pt>
                <c:pt idx="144">
                  <c:v>1.74495402592864</c:v>
                </c:pt>
                <c:pt idx="145">
                  <c:v>1.74495402592864</c:v>
                </c:pt>
                <c:pt idx="146">
                  <c:v>1.74495402592864</c:v>
                </c:pt>
                <c:pt idx="147">
                  <c:v>1.74495402592864</c:v>
                </c:pt>
                <c:pt idx="148">
                  <c:v>1.74495402592864</c:v>
                </c:pt>
                <c:pt idx="149">
                  <c:v>1.74495402592864</c:v>
                </c:pt>
                <c:pt idx="150">
                  <c:v>1.74495402592864</c:v>
                </c:pt>
                <c:pt idx="151">
                  <c:v>1.74495402592864</c:v>
                </c:pt>
                <c:pt idx="152">
                  <c:v>1.74495402592864</c:v>
                </c:pt>
                <c:pt idx="153">
                  <c:v>1.74495402592864</c:v>
                </c:pt>
                <c:pt idx="154">
                  <c:v>1.74495402592864</c:v>
                </c:pt>
                <c:pt idx="155">
                  <c:v>1.74495402592864</c:v>
                </c:pt>
                <c:pt idx="156">
                  <c:v>1.74495402592864</c:v>
                </c:pt>
                <c:pt idx="157">
                  <c:v>1.74495402592864</c:v>
                </c:pt>
                <c:pt idx="158">
                  <c:v>1.74495402592864</c:v>
                </c:pt>
                <c:pt idx="159">
                  <c:v>1.74495402592864</c:v>
                </c:pt>
                <c:pt idx="160">
                  <c:v>1.74495402592864</c:v>
                </c:pt>
                <c:pt idx="161">
                  <c:v>1.74495402592864</c:v>
                </c:pt>
                <c:pt idx="162">
                  <c:v>1.74495402592864</c:v>
                </c:pt>
                <c:pt idx="163">
                  <c:v>1.74495402592864</c:v>
                </c:pt>
                <c:pt idx="164">
                  <c:v>1.74495402592864</c:v>
                </c:pt>
                <c:pt idx="165">
                  <c:v>1.74495402592864</c:v>
                </c:pt>
                <c:pt idx="166">
                  <c:v>1.74495402592864</c:v>
                </c:pt>
                <c:pt idx="167">
                  <c:v>1.74495402592864</c:v>
                </c:pt>
                <c:pt idx="168">
                  <c:v>1.74495402592864</c:v>
                </c:pt>
                <c:pt idx="169">
                  <c:v>1.74495402592864</c:v>
                </c:pt>
                <c:pt idx="170">
                  <c:v>1.74495402592864</c:v>
                </c:pt>
                <c:pt idx="171">
                  <c:v>1.74495402592864</c:v>
                </c:pt>
                <c:pt idx="172">
                  <c:v>1.74495402592864</c:v>
                </c:pt>
                <c:pt idx="173">
                  <c:v>1.74495402592864</c:v>
                </c:pt>
                <c:pt idx="174">
                  <c:v>1.74495402592864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9C-4386-BB75-7C69849A9FB5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VTEC*/CMF*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1.74427358789669</c:v>
                </c:pt>
                <c:pt idx="10">
                  <c:v>1.74425539992931</c:v>
                </c:pt>
                <c:pt idx="11">
                  <c:v>1.7444814804443201</c:v>
                </c:pt>
                <c:pt idx="12">
                  <c:v>1.7444396912264</c:v>
                </c:pt>
                <c:pt idx="13">
                  <c:v>1.7443099966387901</c:v>
                </c:pt>
                <c:pt idx="14">
                  <c:v>1.74414156777948</c:v>
                </c:pt>
                <c:pt idx="15">
                  <c:v>1.74419793016771</c:v>
                </c:pt>
                <c:pt idx="16">
                  <c:v>1.7441806231410599</c:v>
                </c:pt>
                <c:pt idx="17">
                  <c:v>1.7441592848935701</c:v>
                </c:pt>
                <c:pt idx="18">
                  <c:v>1.74403824045296</c:v>
                </c:pt>
                <c:pt idx="19">
                  <c:v>1.7440342472253301</c:v>
                </c:pt>
                <c:pt idx="20">
                  <c:v>1.74409395186807</c:v>
                </c:pt>
                <c:pt idx="21">
                  <c:v>1.7438832110693301</c:v>
                </c:pt>
                <c:pt idx="22">
                  <c:v>1.74403537873897</c:v>
                </c:pt>
                <c:pt idx="23">
                  <c:v>1.74420171351288</c:v>
                </c:pt>
                <c:pt idx="24">
                  <c:v>1.7442861441139601</c:v>
                </c:pt>
                <c:pt idx="25">
                  <c:v>1.7443788817419099</c:v>
                </c:pt>
                <c:pt idx="26">
                  <c:v>1.7442227241088</c:v>
                </c:pt>
                <c:pt idx="27">
                  <c:v>1.7441300610368</c:v>
                </c:pt>
                <c:pt idx="28">
                  <c:v>1.74406463045338</c:v>
                </c:pt>
                <c:pt idx="29">
                  <c:v>1.74407637886449</c:v>
                </c:pt>
                <c:pt idx="30">
                  <c:v>1.7440245113470001</c:v>
                </c:pt>
                <c:pt idx="31">
                  <c:v>1.7440493839546201</c:v>
                </c:pt>
                <c:pt idx="32">
                  <c:v>1.7439623954171599</c:v>
                </c:pt>
                <c:pt idx="33">
                  <c:v>1.7439394426958199</c:v>
                </c:pt>
                <c:pt idx="34">
                  <c:v>1.7440239014117001</c:v>
                </c:pt>
                <c:pt idx="35">
                  <c:v>1.74411260912762</c:v>
                </c:pt>
                <c:pt idx="36">
                  <c:v>1.7441844641548601</c:v>
                </c:pt>
                <c:pt idx="37">
                  <c:v>1.7441928776803599</c:v>
                </c:pt>
                <c:pt idx="38">
                  <c:v>1.7442219562724499</c:v>
                </c:pt>
                <c:pt idx="39">
                  <c:v>1.7443263524832899</c:v>
                </c:pt>
                <c:pt idx="40">
                  <c:v>1.7444537392950901</c:v>
                </c:pt>
                <c:pt idx="41">
                  <c:v>1.7443538590399099</c:v>
                </c:pt>
                <c:pt idx="42">
                  <c:v>1.7443305409682901</c:v>
                </c:pt>
                <c:pt idx="43">
                  <c:v>1.7444056118598901</c:v>
                </c:pt>
                <c:pt idx="44">
                  <c:v>1.7442826304277601</c:v>
                </c:pt>
                <c:pt idx="45">
                  <c:v>1.7443309182820099</c:v>
                </c:pt>
                <c:pt idx="46">
                  <c:v>1.7443888656400599</c:v>
                </c:pt>
                <c:pt idx="47">
                  <c:v>1.74454377662425</c:v>
                </c:pt>
                <c:pt idx="48">
                  <c:v>1.7446133238846699</c:v>
                </c:pt>
                <c:pt idx="49">
                  <c:v>1.74447394355372</c:v>
                </c:pt>
                <c:pt idx="50">
                  <c:v>1.74425562713231</c:v>
                </c:pt>
                <c:pt idx="51">
                  <c:v>1.74430739205115</c:v>
                </c:pt>
                <c:pt idx="52">
                  <c:v>1.7443543579990399</c:v>
                </c:pt>
                <c:pt idx="53">
                  <c:v>1.74441218622049</c:v>
                </c:pt>
                <c:pt idx="54">
                  <c:v>1.7443171081923601</c:v>
                </c:pt>
                <c:pt idx="55">
                  <c:v>1.7444323334687499</c:v>
                </c:pt>
                <c:pt idx="56">
                  <c:v>1.7445603437441899</c:v>
                </c:pt>
                <c:pt idx="57">
                  <c:v>1.7444889851118299</c:v>
                </c:pt>
                <c:pt idx="58">
                  <c:v>1.7445197427646</c:v>
                </c:pt>
                <c:pt idx="59">
                  <c:v>1.74444939492471</c:v>
                </c:pt>
                <c:pt idx="60">
                  <c:v>1.74440243624352</c:v>
                </c:pt>
                <c:pt idx="61">
                  <c:v>1.74426796820834</c:v>
                </c:pt>
                <c:pt idx="62">
                  <c:v>1.7442661459364801</c:v>
                </c:pt>
                <c:pt idx="63">
                  <c:v>1.7440547203255601</c:v>
                </c:pt>
                <c:pt idx="64">
                  <c:v>1.744273923248</c:v>
                </c:pt>
                <c:pt idx="65">
                  <c:v>1.74397027565248</c:v>
                </c:pt>
                <c:pt idx="66">
                  <c:v>1.74386780410638</c:v>
                </c:pt>
                <c:pt idx="67">
                  <c:v>1.74391449199481</c:v>
                </c:pt>
                <c:pt idx="68">
                  <c:v>1.7439318052493999</c:v>
                </c:pt>
                <c:pt idx="69">
                  <c:v>1.74412345525889</c:v>
                </c:pt>
                <c:pt idx="70">
                  <c:v>1.74443366239421</c:v>
                </c:pt>
                <c:pt idx="71">
                  <c:v>1.74459485360527</c:v>
                </c:pt>
                <c:pt idx="72">
                  <c:v>1.74460400584655</c:v>
                </c:pt>
                <c:pt idx="73">
                  <c:v>1.7447523442182</c:v>
                </c:pt>
                <c:pt idx="74">
                  <c:v>1.7447561230547599</c:v>
                </c:pt>
                <c:pt idx="75">
                  <c:v>1.74489253275947</c:v>
                </c:pt>
                <c:pt idx="76">
                  <c:v>1.7448165643551801</c:v>
                </c:pt>
                <c:pt idx="77">
                  <c:v>1.7447970257024299</c:v>
                </c:pt>
                <c:pt idx="78">
                  <c:v>1.7447551255140801</c:v>
                </c:pt>
                <c:pt idx="79">
                  <c:v>1.7446734632660399</c:v>
                </c:pt>
                <c:pt idx="80">
                  <c:v>1.7445738805987001</c:v>
                </c:pt>
                <c:pt idx="81">
                  <c:v>1.74462142270956</c:v>
                </c:pt>
                <c:pt idx="82">
                  <c:v>1.7447306962064</c:v>
                </c:pt>
                <c:pt idx="83">
                  <c:v>1.7446838593237399</c:v>
                </c:pt>
                <c:pt idx="84">
                  <c:v>1.74468086700033</c:v>
                </c:pt>
                <c:pt idx="85">
                  <c:v>1.7445489876801099</c:v>
                </c:pt>
                <c:pt idx="86">
                  <c:v>1.7445504768219799</c:v>
                </c:pt>
                <c:pt idx="87">
                  <c:v>1.7443450307563899</c:v>
                </c:pt>
                <c:pt idx="88">
                  <c:v>1.7441780672532701</c:v>
                </c:pt>
                <c:pt idx="89">
                  <c:v>1.74420941406722</c:v>
                </c:pt>
                <c:pt idx="90">
                  <c:v>1.7441893717860699</c:v>
                </c:pt>
                <c:pt idx="91">
                  <c:v>1.74404341345358</c:v>
                </c:pt>
                <c:pt idx="92">
                  <c:v>1.74388808340798</c:v>
                </c:pt>
                <c:pt idx="93">
                  <c:v>1.74368034939498</c:v>
                </c:pt>
                <c:pt idx="94">
                  <c:v>1.7434054836725399</c:v>
                </c:pt>
                <c:pt idx="95">
                  <c:v>1.74348309751436</c:v>
                </c:pt>
                <c:pt idx="96">
                  <c:v>1.7435390290947099</c:v>
                </c:pt>
                <c:pt idx="97">
                  <c:v>1.7436772027912799</c:v>
                </c:pt>
                <c:pt idx="98">
                  <c:v>1.7437965975768599</c:v>
                </c:pt>
                <c:pt idx="99">
                  <c:v>1.7438747875268199</c:v>
                </c:pt>
                <c:pt idx="100">
                  <c:v>1.74385524565334</c:v>
                </c:pt>
                <c:pt idx="101">
                  <c:v>1.7440270089550001</c:v>
                </c:pt>
                <c:pt idx="102">
                  <c:v>1.74416851346674</c:v>
                </c:pt>
                <c:pt idx="103">
                  <c:v>1.7444500521611399</c:v>
                </c:pt>
                <c:pt idx="104">
                  <c:v>1.74473360530362</c:v>
                </c:pt>
                <c:pt idx="105">
                  <c:v>1.7446605118268499</c:v>
                </c:pt>
                <c:pt idx="106">
                  <c:v>1.74470739607742</c:v>
                </c:pt>
                <c:pt idx="107">
                  <c:v>1.74483148446598</c:v>
                </c:pt>
                <c:pt idx="108">
                  <c:v>1.74486774595516</c:v>
                </c:pt>
                <c:pt idx="109">
                  <c:v>1.7449489149575701</c:v>
                </c:pt>
                <c:pt idx="110">
                  <c:v>1.7449611419640101</c:v>
                </c:pt>
                <c:pt idx="111">
                  <c:v>1.74495487956615</c:v>
                </c:pt>
                <c:pt idx="112">
                  <c:v>1.7449301767721299</c:v>
                </c:pt>
                <c:pt idx="113">
                  <c:v>1.74487479374</c:v>
                </c:pt>
                <c:pt idx="114">
                  <c:v>1.74490081072017</c:v>
                </c:pt>
                <c:pt idx="115">
                  <c:v>1.7449536186652399</c:v>
                </c:pt>
                <c:pt idx="116">
                  <c:v>1.7450285868461499</c:v>
                </c:pt>
                <c:pt idx="117">
                  <c:v>1.7450986928629999</c:v>
                </c:pt>
                <c:pt idx="118">
                  <c:v>1.7452632957438801</c:v>
                </c:pt>
                <c:pt idx="119">
                  <c:v>1.74530432091294</c:v>
                </c:pt>
                <c:pt idx="120">
                  <c:v>1.7454225583280401</c:v>
                </c:pt>
                <c:pt idx="121">
                  <c:v>1.7455195572400399</c:v>
                </c:pt>
                <c:pt idx="122">
                  <c:v>1.7456503038604201</c:v>
                </c:pt>
                <c:pt idx="123">
                  <c:v>1.7457043729617701</c:v>
                </c:pt>
                <c:pt idx="124">
                  <c:v>1.74564798344975</c:v>
                </c:pt>
                <c:pt idx="125">
                  <c:v>1.74575751262662</c:v>
                </c:pt>
                <c:pt idx="126">
                  <c:v>1.7457246865731599</c:v>
                </c:pt>
                <c:pt idx="127">
                  <c:v>1.74571237412417</c:v>
                </c:pt>
                <c:pt idx="128">
                  <c:v>1.74568697014249</c:v>
                </c:pt>
                <c:pt idx="129">
                  <c:v>1.7457256796743601</c:v>
                </c:pt>
                <c:pt idx="130">
                  <c:v>1.74564784212437</c:v>
                </c:pt>
                <c:pt idx="131">
                  <c:v>1.7455870341352999</c:v>
                </c:pt>
                <c:pt idx="132">
                  <c:v>1.7454912444722801</c:v>
                </c:pt>
                <c:pt idx="133">
                  <c:v>1.7456132141996901</c:v>
                </c:pt>
                <c:pt idx="134">
                  <c:v>1.74571686405028</c:v>
                </c:pt>
                <c:pt idx="135">
                  <c:v>1.74571283009189</c:v>
                </c:pt>
                <c:pt idx="136">
                  <c:v>1.7457087404651199</c:v>
                </c:pt>
                <c:pt idx="137">
                  <c:v>1.7456702519768801</c:v>
                </c:pt>
                <c:pt idx="138">
                  <c:v>1.74557177964874</c:v>
                </c:pt>
                <c:pt idx="139">
                  <c:v>1.74548400102067</c:v>
                </c:pt>
                <c:pt idx="140">
                  <c:v>1.7454001355734201</c:v>
                </c:pt>
                <c:pt idx="141">
                  <c:v>1.7452219492327601</c:v>
                </c:pt>
                <c:pt idx="142">
                  <c:v>1.74550400532578</c:v>
                </c:pt>
                <c:pt idx="143">
                  <c:v>1.74551810351008</c:v>
                </c:pt>
                <c:pt idx="144">
                  <c:v>1.7455923538195</c:v>
                </c:pt>
                <c:pt idx="145">
                  <c:v>1.7458468403229701</c:v>
                </c:pt>
                <c:pt idx="146">
                  <c:v>1.7460676148307801</c:v>
                </c:pt>
                <c:pt idx="147">
                  <c:v>1.74615171183457</c:v>
                </c:pt>
                <c:pt idx="148">
                  <c:v>1.74632559657244</c:v>
                </c:pt>
                <c:pt idx="149">
                  <c:v>1.7463608609750401</c:v>
                </c:pt>
                <c:pt idx="150">
                  <c:v>1.7465901028812201</c:v>
                </c:pt>
                <c:pt idx="151">
                  <c:v>1.7468579604969401</c:v>
                </c:pt>
                <c:pt idx="152">
                  <c:v>1.7466965301883799</c:v>
                </c:pt>
                <c:pt idx="153">
                  <c:v>1.7466880881295199</c:v>
                </c:pt>
                <c:pt idx="154">
                  <c:v>1.74670949730456</c:v>
                </c:pt>
                <c:pt idx="155">
                  <c:v>1.74655429998682</c:v>
                </c:pt>
                <c:pt idx="156">
                  <c:v>1.7464062170714401</c:v>
                </c:pt>
                <c:pt idx="157">
                  <c:v>1.74641035950579</c:v>
                </c:pt>
                <c:pt idx="158">
                  <c:v>1.7462361243739799</c:v>
                </c:pt>
                <c:pt idx="159">
                  <c:v>1.74618173884501</c:v>
                </c:pt>
                <c:pt idx="160">
                  <c:v>1.7461844693255799</c:v>
                </c:pt>
                <c:pt idx="161">
                  <c:v>1.7460655490852901</c:v>
                </c:pt>
                <c:pt idx="162">
                  <c:v>1.74592425027262</c:v>
                </c:pt>
                <c:pt idx="163">
                  <c:v>1.7458515195650699</c:v>
                </c:pt>
                <c:pt idx="164">
                  <c:v>1.74603191621196</c:v>
                </c:pt>
                <c:pt idx="165">
                  <c:v>1.7461777423417999</c:v>
                </c:pt>
                <c:pt idx="166">
                  <c:v>1.74658366763767</c:v>
                </c:pt>
                <c:pt idx="167">
                  <c:v>1.7469278547859299</c:v>
                </c:pt>
                <c:pt idx="168">
                  <c:v>1.7471297427030099</c:v>
                </c:pt>
                <c:pt idx="169">
                  <c:v>1.7473991122327901</c:v>
                </c:pt>
                <c:pt idx="170">
                  <c:v>1.7473005346872399</c:v>
                </c:pt>
                <c:pt idx="171">
                  <c:v>1.7474712755724799</c:v>
                </c:pt>
                <c:pt idx="172">
                  <c:v>1.74761818100171</c:v>
                </c:pt>
                <c:pt idx="173">
                  <c:v>1.74738316640706</c:v>
                </c:pt>
                <c:pt idx="174">
                  <c:v>1.7470020173660401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9C-4386-BB75-7C69849A9FB5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VTEC*/CMF*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1.7441539175610099</c:v>
                </c:pt>
                <c:pt idx="20">
                  <c:v>1.74417467589869</c:v>
                </c:pt>
                <c:pt idx="21">
                  <c:v>1.74418234575683</c:v>
                </c:pt>
                <c:pt idx="22">
                  <c:v>1.74423753498268</c:v>
                </c:pt>
                <c:pt idx="23">
                  <c:v>1.74425585507583</c:v>
                </c:pt>
                <c:pt idx="24">
                  <c:v>1.74421385594672</c:v>
                </c:pt>
                <c:pt idx="25">
                  <c:v>1.7442884059548101</c:v>
                </c:pt>
                <c:pt idx="26">
                  <c:v>1.7442016736249299</c:v>
                </c:pt>
                <c:pt idx="27">
                  <c:v>1.7441446729651799</c:v>
                </c:pt>
                <c:pt idx="28">
                  <c:v>1.74405143545317</c:v>
                </c:pt>
                <c:pt idx="29">
                  <c:v>1.7440553130449199</c:v>
                </c:pt>
                <c:pt idx="30">
                  <c:v>1.7440592316075301</c:v>
                </c:pt>
                <c:pt idx="31">
                  <c:v>1.7439662975119701</c:v>
                </c:pt>
                <c:pt idx="32">
                  <c:v>1.7439988870780601</c:v>
                </c:pt>
                <c:pt idx="33">
                  <c:v>1.74407057810435</c:v>
                </c:pt>
                <c:pt idx="34">
                  <c:v>1.74415502276283</c:v>
                </c:pt>
                <c:pt idx="35">
                  <c:v>1.74424574543477</c:v>
                </c:pt>
                <c:pt idx="36">
                  <c:v>1.7442035941318299</c:v>
                </c:pt>
                <c:pt idx="37">
                  <c:v>1.7441614693585801</c:v>
                </c:pt>
                <c:pt idx="38">
                  <c:v>1.74414329336291</c:v>
                </c:pt>
                <c:pt idx="39">
                  <c:v>1.7442013656738899</c:v>
                </c:pt>
                <c:pt idx="40">
                  <c:v>1.7442391253210501</c:v>
                </c:pt>
                <c:pt idx="41">
                  <c:v>1.74420162149726</c:v>
                </c:pt>
                <c:pt idx="42">
                  <c:v>1.7441464681927299</c:v>
                </c:pt>
                <c:pt idx="43">
                  <c:v>1.7441725272778501</c:v>
                </c:pt>
                <c:pt idx="44">
                  <c:v>1.7441532659197301</c:v>
                </c:pt>
                <c:pt idx="45">
                  <c:v>1.7442217637048201</c:v>
                </c:pt>
                <c:pt idx="46">
                  <c:v>1.74428666489746</c:v>
                </c:pt>
                <c:pt idx="47">
                  <c:v>1.7443683271523001</c:v>
                </c:pt>
                <c:pt idx="48">
                  <c:v>1.74441764007856</c:v>
                </c:pt>
                <c:pt idx="49">
                  <c:v>1.7444001480185001</c:v>
                </c:pt>
                <c:pt idx="50">
                  <c:v>1.7443546832137</c:v>
                </c:pt>
                <c:pt idx="51">
                  <c:v>1.74433062554553</c:v>
                </c:pt>
                <c:pt idx="52">
                  <c:v>1.7443424494836599</c:v>
                </c:pt>
                <c:pt idx="53">
                  <c:v>1.74440889904019</c:v>
                </c:pt>
                <c:pt idx="54">
                  <c:v>1.74429986931006</c:v>
                </c:pt>
                <c:pt idx="55">
                  <c:v>1.7443816258753799</c:v>
                </c:pt>
                <c:pt idx="56">
                  <c:v>1.74447460469212</c:v>
                </c:pt>
                <c:pt idx="57">
                  <c:v>1.74451638086804</c:v>
                </c:pt>
                <c:pt idx="58">
                  <c:v>1.7445665333246401</c:v>
                </c:pt>
                <c:pt idx="59">
                  <c:v>1.7444616692392101</c:v>
                </c:pt>
                <c:pt idx="60">
                  <c:v>1.7443290316879201</c:v>
                </c:pt>
                <c:pt idx="61">
                  <c:v>1.74428768012974</c:v>
                </c:pt>
                <c:pt idx="62">
                  <c:v>1.74431025196776</c:v>
                </c:pt>
                <c:pt idx="63">
                  <c:v>1.7442334532730199</c:v>
                </c:pt>
                <c:pt idx="64">
                  <c:v>1.74429551572018</c:v>
                </c:pt>
                <c:pt idx="65">
                  <c:v>1.7442013045606199</c:v>
                </c:pt>
                <c:pt idx="66">
                  <c:v>1.7442140739252801</c:v>
                </c:pt>
                <c:pt idx="67">
                  <c:v>1.7442017385533199</c:v>
                </c:pt>
                <c:pt idx="68">
                  <c:v>1.744225774007</c:v>
                </c:pt>
                <c:pt idx="69">
                  <c:v>1.7442864250918</c:v>
                </c:pt>
                <c:pt idx="70">
                  <c:v>1.7444180493188599</c:v>
                </c:pt>
                <c:pt idx="71">
                  <c:v>1.74443141090681</c:v>
                </c:pt>
                <c:pt idx="72">
                  <c:v>1.7444350758915199</c:v>
                </c:pt>
                <c:pt idx="73">
                  <c:v>1.7444035322718801</c:v>
                </c:pt>
                <c:pt idx="74">
                  <c:v>1.74451502315138</c:v>
                </c:pt>
                <c:pt idx="75">
                  <c:v>1.7444314042059701</c:v>
                </c:pt>
                <c:pt idx="76">
                  <c:v>1.74434218423078</c:v>
                </c:pt>
                <c:pt idx="77">
                  <c:v>1.74435575884862</c:v>
                </c:pt>
                <c:pt idx="78">
                  <c:v>1.74434346538174</c:v>
                </c:pt>
                <c:pt idx="79">
                  <c:v>1.74439845926246</c:v>
                </c:pt>
                <c:pt idx="80">
                  <c:v>1.74450377149645</c:v>
                </c:pt>
                <c:pt idx="81">
                  <c:v>1.7446081381574201</c:v>
                </c:pt>
                <c:pt idx="82">
                  <c:v>1.7446673510264801</c:v>
                </c:pt>
                <c:pt idx="83">
                  <c:v>1.7447181017709701</c:v>
                </c:pt>
                <c:pt idx="84">
                  <c:v>1.7447184950275501</c:v>
                </c:pt>
                <c:pt idx="85">
                  <c:v>1.7447207602197901</c:v>
                </c:pt>
                <c:pt idx="86">
                  <c:v>1.74468352058858</c:v>
                </c:pt>
                <c:pt idx="87">
                  <c:v>1.74457102822941</c:v>
                </c:pt>
                <c:pt idx="88">
                  <c:v>1.7444665963836701</c:v>
                </c:pt>
                <c:pt idx="89">
                  <c:v>1.74444143866663</c:v>
                </c:pt>
                <c:pt idx="90">
                  <c:v>1.7443816261923799</c:v>
                </c:pt>
                <c:pt idx="91">
                  <c:v>1.74433241808157</c:v>
                </c:pt>
                <c:pt idx="92">
                  <c:v>1.74430938980719</c:v>
                </c:pt>
                <c:pt idx="93">
                  <c:v>1.7441821043593599</c:v>
                </c:pt>
                <c:pt idx="94">
                  <c:v>1.74404317533644</c:v>
                </c:pt>
                <c:pt idx="95">
                  <c:v>1.74401604259724</c:v>
                </c:pt>
                <c:pt idx="96">
                  <c:v>1.74404475295834</c:v>
                </c:pt>
                <c:pt idx="97">
                  <c:v>1.7440111167738299</c:v>
                </c:pt>
                <c:pt idx="98">
                  <c:v>1.7439873324150701</c:v>
                </c:pt>
                <c:pt idx="99">
                  <c:v>1.7440421007970199</c:v>
                </c:pt>
                <c:pt idx="100">
                  <c:v>1.7440223087197</c:v>
                </c:pt>
                <c:pt idx="101">
                  <c:v>1.7440352112042901</c:v>
                </c:pt>
                <c:pt idx="102">
                  <c:v>1.7440282984373601</c:v>
                </c:pt>
                <c:pt idx="103">
                  <c:v>1.7440652007780599</c:v>
                </c:pt>
                <c:pt idx="104">
                  <c:v>1.74406954448808</c:v>
                </c:pt>
                <c:pt idx="105">
                  <c:v>1.7440718046706101</c:v>
                </c:pt>
                <c:pt idx="106">
                  <c:v>1.7441232125860699</c:v>
                </c:pt>
                <c:pt idx="107">
                  <c:v>1.74425434362863</c:v>
                </c:pt>
                <c:pt idx="108">
                  <c:v>1.7443321717660101</c:v>
                </c:pt>
                <c:pt idx="109">
                  <c:v>1.74441185124219</c:v>
                </c:pt>
                <c:pt idx="110">
                  <c:v>1.74440819380867</c:v>
                </c:pt>
                <c:pt idx="111">
                  <c:v>1.7444909442605701</c:v>
                </c:pt>
                <c:pt idx="112">
                  <c:v>1.74454934511944</c:v>
                </c:pt>
                <c:pt idx="113">
                  <c:v>1.7446624229505701</c:v>
                </c:pt>
                <c:pt idx="114">
                  <c:v>1.74481720801189</c:v>
                </c:pt>
                <c:pt idx="115">
                  <c:v>1.7448070652460399</c:v>
                </c:pt>
                <c:pt idx="116">
                  <c:v>1.74486799146178</c:v>
                </c:pt>
                <c:pt idx="117">
                  <c:v>1.7449650886644901</c:v>
                </c:pt>
                <c:pt idx="118">
                  <c:v>1.74506552084952</c:v>
                </c:pt>
                <c:pt idx="119">
                  <c:v>1.74512661793525</c:v>
                </c:pt>
                <c:pt idx="120">
                  <c:v>1.74519185014602</c:v>
                </c:pt>
                <c:pt idx="121">
                  <c:v>1.7452372184031</c:v>
                </c:pt>
                <c:pt idx="122">
                  <c:v>1.74529024031628</c:v>
                </c:pt>
                <c:pt idx="123">
                  <c:v>1.7452895833508899</c:v>
                </c:pt>
                <c:pt idx="124">
                  <c:v>1.74527439708496</c:v>
                </c:pt>
                <c:pt idx="125">
                  <c:v>1.7453555656459301</c:v>
                </c:pt>
                <c:pt idx="126">
                  <c:v>1.7453766367096599</c:v>
                </c:pt>
                <c:pt idx="127">
                  <c:v>1.7454055334935901</c:v>
                </c:pt>
                <c:pt idx="128">
                  <c:v>1.7454751329431899</c:v>
                </c:pt>
                <c:pt idx="129">
                  <c:v>1.7455150002936499</c:v>
                </c:pt>
                <c:pt idx="130">
                  <c:v>1.7455352002261999</c:v>
                </c:pt>
                <c:pt idx="131">
                  <c:v>1.74555329568767</c:v>
                </c:pt>
                <c:pt idx="132">
                  <c:v>1.74557077416635</c:v>
                </c:pt>
                <c:pt idx="133">
                  <c:v>1.74565879358073</c:v>
                </c:pt>
                <c:pt idx="134">
                  <c:v>1.7456824237500199</c:v>
                </c:pt>
                <c:pt idx="135">
                  <c:v>1.7457351713592599</c:v>
                </c:pt>
                <c:pt idx="136">
                  <c:v>1.74571671351914</c:v>
                </c:pt>
                <c:pt idx="137">
                  <c:v>1.74569131305053</c:v>
                </c:pt>
                <c:pt idx="138">
                  <c:v>1.74562937489561</c:v>
                </c:pt>
                <c:pt idx="139">
                  <c:v>1.74560484034751</c:v>
                </c:pt>
                <c:pt idx="140">
                  <c:v>1.7455239888489</c:v>
                </c:pt>
                <c:pt idx="141">
                  <c:v>1.7454044916840299</c:v>
                </c:pt>
                <c:pt idx="142">
                  <c:v>1.7454976248990299</c:v>
                </c:pt>
                <c:pt idx="143">
                  <c:v>1.74556565885488</c:v>
                </c:pt>
                <c:pt idx="144">
                  <c:v>1.7456546089348901</c:v>
                </c:pt>
                <c:pt idx="145">
                  <c:v>1.7457798352074301</c:v>
                </c:pt>
                <c:pt idx="146">
                  <c:v>1.74588817764795</c:v>
                </c:pt>
                <c:pt idx="147">
                  <c:v>1.7459109819057299</c:v>
                </c:pt>
                <c:pt idx="148">
                  <c:v>1.7459486881105899</c:v>
                </c:pt>
                <c:pt idx="149">
                  <c:v>1.7459224309978501</c:v>
                </c:pt>
                <c:pt idx="150">
                  <c:v>1.74599511922732</c:v>
                </c:pt>
                <c:pt idx="151">
                  <c:v>1.74603995486485</c:v>
                </c:pt>
                <c:pt idx="152">
                  <c:v>1.74610026775708</c:v>
                </c:pt>
                <c:pt idx="153">
                  <c:v>1.7461030958198001</c:v>
                </c:pt>
                <c:pt idx="154">
                  <c:v>1.74615092556203</c:v>
                </c:pt>
                <c:pt idx="155">
                  <c:v>1.7462005701548999</c:v>
                </c:pt>
                <c:pt idx="156">
                  <c:v>1.74623691595111</c:v>
                </c:pt>
                <c:pt idx="157">
                  <c:v>1.7462810356701799</c:v>
                </c:pt>
                <c:pt idx="158">
                  <c:v>1.7462808604732101</c:v>
                </c:pt>
                <c:pt idx="159">
                  <c:v>1.7462712999100201</c:v>
                </c:pt>
                <c:pt idx="160">
                  <c:v>1.7463872861034</c:v>
                </c:pt>
                <c:pt idx="161">
                  <c:v>1.7464617547911101</c:v>
                </c:pt>
                <c:pt idx="162">
                  <c:v>1.7463103902304999</c:v>
                </c:pt>
                <c:pt idx="163">
                  <c:v>1.7462698038472999</c:v>
                </c:pt>
                <c:pt idx="164">
                  <c:v>1.7463707067582599</c:v>
                </c:pt>
                <c:pt idx="165">
                  <c:v>1.7463660211643099</c:v>
                </c:pt>
                <c:pt idx="166">
                  <c:v>1.7464949423545599</c:v>
                </c:pt>
                <c:pt idx="167">
                  <c:v>1.74666910714586</c:v>
                </c:pt>
                <c:pt idx="168">
                  <c:v>1.7466829335384999</c:v>
                </c:pt>
                <c:pt idx="169">
                  <c:v>1.7467904255389</c:v>
                </c:pt>
                <c:pt idx="170">
                  <c:v>1.74674250200641</c:v>
                </c:pt>
                <c:pt idx="171">
                  <c:v>1.74676841232888</c:v>
                </c:pt>
                <c:pt idx="172">
                  <c:v>1.74677121563717</c:v>
                </c:pt>
                <c:pt idx="173">
                  <c:v>1.7466173429860701</c:v>
                </c:pt>
                <c:pt idx="174">
                  <c:v>1.7465169667889999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9C-4386-BB75-7C69849A9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CMF x avg / VTEC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-1.61716166958945E-4</c:v>
                </c:pt>
                <c:pt idx="2">
                  <c:v>1.83232641712527E-4</c:v>
                </c:pt>
                <c:pt idx="3">
                  <c:v>-7.1230656226163396E-5</c:v>
                </c:pt>
                <c:pt idx="4">
                  <c:v>-4.9178676731515404E-4</c:v>
                </c:pt>
                <c:pt idx="5">
                  <c:v>7.6910101879129698E-4</c:v>
                </c:pt>
                <c:pt idx="6">
                  <c:v>-2.2345489396019099E-4</c:v>
                </c:pt>
                <c:pt idx="7">
                  <c:v>-2.4879261957925201E-4</c:v>
                </c:pt>
                <c:pt idx="8">
                  <c:v>-5.4824589751137798E-4</c:v>
                </c:pt>
                <c:pt idx="9">
                  <c:v>2.4229081452875701E-4</c:v>
                </c:pt>
                <c:pt idx="10">
                  <c:v>-4.2680146589396603E-6</c:v>
                </c:pt>
                <c:pt idx="11">
                  <c:v>-1.45688289689491E-3</c:v>
                </c:pt>
                <c:pt idx="12">
                  <c:v>4.2290056527287601E-4</c:v>
                </c:pt>
                <c:pt idx="13">
                  <c:v>6.7258698787755805E-4</c:v>
                </c:pt>
                <c:pt idx="14">
                  <c:v>4.7387859179403099E-4</c:v>
                </c:pt>
                <c:pt idx="15">
                  <c:v>4.4575520811322798E-4</c:v>
                </c:pt>
                <c:pt idx="16">
                  <c:v>-1.24243623478561E-4</c:v>
                </c:pt>
                <c:pt idx="17">
                  <c:v>-1.2647435516035301E-4</c:v>
                </c:pt>
                <c:pt idx="18">
                  <c:v>1.4561347512502299E-4</c:v>
                </c:pt>
                <c:pt idx="19">
                  <c:v>2.6519149126544799E-4</c:v>
                </c:pt>
                <c:pt idx="20">
                  <c:v>-2.4664571967052899E-4</c:v>
                </c:pt>
                <c:pt idx="21">
                  <c:v>-1.4960103094467599E-4</c:v>
                </c:pt>
                <c:pt idx="22">
                  <c:v>-3.50049484217656E-4</c:v>
                </c:pt>
                <c:pt idx="23">
                  <c:v>-1.8152425955600499E-4</c:v>
                </c:pt>
                <c:pt idx="24">
                  <c:v>9.0088374110833602E-5</c:v>
                </c:pt>
                <c:pt idx="25">
                  <c:v>1.4113991734153099E-5</c:v>
                </c:pt>
                <c:pt idx="26">
                  <c:v>8.7349204735499202E-4</c:v>
                </c:pt>
                <c:pt idx="27">
                  <c:v>5.0618314833055097E-4</c:v>
                </c:pt>
                <c:pt idx="28">
                  <c:v>6.2228209352700303E-4</c:v>
                </c:pt>
                <c:pt idx="29">
                  <c:v>2.9833330657774601E-4</c:v>
                </c:pt>
                <c:pt idx="30">
                  <c:v>5.0670481282947402E-5</c:v>
                </c:pt>
                <c:pt idx="31">
                  <c:v>-2.93149360508701E-4</c:v>
                </c:pt>
                <c:pt idx="32">
                  <c:v>1.4922663373058599E-4</c:v>
                </c:pt>
                <c:pt idx="33">
                  <c:v>-5.0144003697703601E-5</c:v>
                </c:pt>
                <c:pt idx="34">
                  <c:v>-3.9575657193649299E-4</c:v>
                </c:pt>
                <c:pt idx="35">
                  <c:v>-4.9611602229129197E-4</c:v>
                </c:pt>
                <c:pt idx="36">
                  <c:v>4.59776667719083E-4</c:v>
                </c:pt>
                <c:pt idx="37">
                  <c:v>4.5716532910647898E-4</c:v>
                </c:pt>
                <c:pt idx="38">
                  <c:v>4.5455757386263099E-4</c:v>
                </c:pt>
                <c:pt idx="39">
                  <c:v>-2.15462338103674E-4</c:v>
                </c:pt>
                <c:pt idx="40">
                  <c:v>-5.9493315609163199E-4</c:v>
                </c:pt>
                <c:pt idx="41">
                  <c:v>3.6938522756877601E-4</c:v>
                </c:pt>
                <c:pt idx="42">
                  <c:v>3.71960425803668E-4</c:v>
                </c:pt>
                <c:pt idx="43">
                  <c:v>-3.9449517652880597E-4</c:v>
                </c:pt>
                <c:pt idx="44">
                  <c:v>4.0002269226036599E-4</c:v>
                </c:pt>
                <c:pt idx="45">
                  <c:v>-6.8674676915036397E-4</c:v>
                </c:pt>
                <c:pt idx="46">
                  <c:v>2.16159153740006E-4</c:v>
                </c:pt>
                <c:pt idx="47">
                  <c:v>-3.44179861574223E-4</c:v>
                </c:pt>
                <c:pt idx="48">
                  <c:v>1.4438782151471099E-4</c:v>
                </c:pt>
                <c:pt idx="49">
                  <c:v>5.8960847174876899E-4</c:v>
                </c:pt>
                <c:pt idx="50">
                  <c:v>6.6374084306883101E-4</c:v>
                </c:pt>
                <c:pt idx="51">
                  <c:v>7.24965945624575E-5</c:v>
                </c:pt>
                <c:pt idx="52">
                  <c:v>1.02888552214656E-4</c:v>
                </c:pt>
                <c:pt idx="53">
                  <c:v>-7.2446116010332895E-4</c:v>
                </c:pt>
                <c:pt idx="54">
                  <c:v>9.5058706950472297E-4</c:v>
                </c:pt>
                <c:pt idx="55">
                  <c:v>-1.3465896935389401E-3</c:v>
                </c:pt>
                <c:pt idx="56">
                  <c:v>-5.1872159464917504E-4</c:v>
                </c:pt>
                <c:pt idx="57">
                  <c:v>6.9002130429139603E-5</c:v>
                </c:pt>
                <c:pt idx="58">
                  <c:v>-2.99338087921496E-5</c:v>
                </c:pt>
                <c:pt idx="59">
                  <c:v>9.9788554099837002E-4</c:v>
                </c:pt>
                <c:pt idx="60">
                  <c:v>9.3670730691370902E-4</c:v>
                </c:pt>
                <c:pt idx="61">
                  <c:v>9.8564678158717992E-4</c:v>
                </c:pt>
                <c:pt idx="62">
                  <c:v>2.4870951831849501E-4</c:v>
                </c:pt>
                <c:pt idx="63">
                  <c:v>6.2836798781057E-4</c:v>
                </c:pt>
                <c:pt idx="64">
                  <c:v>-1.79578887547315E-4</c:v>
                </c:pt>
                <c:pt idx="65">
                  <c:v>5.3437957187963303E-4</c:v>
                </c:pt>
                <c:pt idx="66">
                  <c:v>2.02963608590425E-4</c:v>
                </c:pt>
                <c:pt idx="67">
                  <c:v>-6.9356932895379305E-5</c:v>
                </c:pt>
                <c:pt idx="68">
                  <c:v>4.8517201788211997E-7</c:v>
                </c:pt>
                <c:pt idx="69">
                  <c:v>2.3718258939525301E-5</c:v>
                </c:pt>
                <c:pt idx="70">
                  <c:v>-7.2097385576676699E-4</c:v>
                </c:pt>
                <c:pt idx="71">
                  <c:v>5.1667686100599503E-5</c:v>
                </c:pt>
                <c:pt idx="72">
                  <c:v>1.9307060559774699E-4</c:v>
                </c:pt>
                <c:pt idx="73">
                  <c:v>-2.31533610488427E-4</c:v>
                </c:pt>
                <c:pt idx="74">
                  <c:v>-2.0386222553604299E-4</c:v>
                </c:pt>
                <c:pt idx="75">
                  <c:v>-2.5485362504978898E-4</c:v>
                </c:pt>
                <c:pt idx="76">
                  <c:v>6.4088364487125597E-4</c:v>
                </c:pt>
                <c:pt idx="77">
                  <c:v>4.2200729364292103E-5</c:v>
                </c:pt>
                <c:pt idx="78">
                  <c:v>2.4172187926794399E-4</c:v>
                </c:pt>
                <c:pt idx="79">
                  <c:v>4.95194076961944E-4</c:v>
                </c:pt>
                <c:pt idx="80">
                  <c:v>-1.4613745971318301E-4</c:v>
                </c:pt>
                <c:pt idx="81">
                  <c:v>-2.2283171655938E-4</c:v>
                </c:pt>
                <c:pt idx="82">
                  <c:v>-2.8876852676669001E-4</c:v>
                </c:pt>
                <c:pt idx="83">
                  <c:v>1.89680438442205E-4</c:v>
                </c:pt>
                <c:pt idx="84">
                  <c:v>-3.6800320217032503E-5</c:v>
                </c:pt>
                <c:pt idx="85">
                  <c:v>6.5762346805337696E-4</c:v>
                </c:pt>
                <c:pt idx="86">
                  <c:v>7.8364200825319595E-4</c:v>
                </c:pt>
                <c:pt idx="87">
                  <c:v>1.3820763410119499E-3</c:v>
                </c:pt>
                <c:pt idx="88">
                  <c:v>1.3594834256764499E-3</c:v>
                </c:pt>
                <c:pt idx="89">
                  <c:v>4.6518252251124702E-4</c:v>
                </c:pt>
                <c:pt idx="90">
                  <c:v>1.19841987289119E-4</c:v>
                </c:pt>
                <c:pt idx="91">
                  <c:v>7.7226958720558203E-4</c:v>
                </c:pt>
                <c:pt idx="92">
                  <c:v>6.1362466284401005E-4</c:v>
                </c:pt>
                <c:pt idx="93">
                  <c:v>1.3960020971931599E-3</c:v>
                </c:pt>
                <c:pt idx="94">
                  <c:v>1.55975123851392E-3</c:v>
                </c:pt>
                <c:pt idx="95">
                  <c:v>2.1213398249862801E-4</c:v>
                </c:pt>
                <c:pt idx="96">
                  <c:v>4.6344897925398398E-4</c:v>
                </c:pt>
                <c:pt idx="97">
                  <c:v>5.84904312960034E-4</c:v>
                </c:pt>
                <c:pt idx="98">
                  <c:v>6.6886171258611401E-4</c:v>
                </c:pt>
                <c:pt idx="99">
                  <c:v>1.2209654587387E-5</c:v>
                </c:pt>
                <c:pt idx="100">
                  <c:v>2.31108791234055E-4</c:v>
                </c:pt>
                <c:pt idx="101">
                  <c:v>-2.25011749143742E-4</c:v>
                </c:pt>
                <c:pt idx="102">
                  <c:v>-4.3744227648520098E-5</c:v>
                </c:pt>
                <c:pt idx="103">
                  <c:v>-7.3933362581198503E-5</c:v>
                </c:pt>
                <c:pt idx="104">
                  <c:v>7.7273322455962502E-5</c:v>
                </c:pt>
                <c:pt idx="105">
                  <c:v>7.9783027034630797E-4</c:v>
                </c:pt>
                <c:pt idx="106">
                  <c:v>3.5438810256578998E-4</c:v>
                </c:pt>
                <c:pt idx="107">
                  <c:v>2.84283083830299E-5</c:v>
                </c:pt>
                <c:pt idx="108">
                  <c:v>6.2353833090722196E-4</c:v>
                </c:pt>
                <c:pt idx="109">
                  <c:v>-2.9304602115076098E-4</c:v>
                </c:pt>
                <c:pt idx="110">
                  <c:v>3.2614665875864402E-4</c:v>
                </c:pt>
                <c:pt idx="111">
                  <c:v>-2.2771697886544601E-5</c:v>
                </c:pt>
                <c:pt idx="112">
                  <c:v>9.8075156072946896E-5</c:v>
                </c:pt>
                <c:pt idx="113">
                  <c:v>2.4672779981206198E-4</c:v>
                </c:pt>
                <c:pt idx="114">
                  <c:v>-7.3933362581198503E-5</c:v>
                </c:pt>
                <c:pt idx="115">
                  <c:v>4.8984292071070905E-4</c:v>
                </c:pt>
                <c:pt idx="116">
                  <c:v>-8.3047949674220698E-5</c:v>
                </c:pt>
                <c:pt idx="117">
                  <c:v>-3.8010058782920997E-4</c:v>
                </c:pt>
                <c:pt idx="118">
                  <c:v>-3.3336762522521502E-4</c:v>
                </c:pt>
                <c:pt idx="119">
                  <c:v>-5.3462653213728602E-4</c:v>
                </c:pt>
                <c:pt idx="120">
                  <c:v>-3.6295409206607402E-4</c:v>
                </c:pt>
                <c:pt idx="121">
                  <c:v>-5.8920388367246295E-4</c:v>
                </c:pt>
                <c:pt idx="122">
                  <c:v>-6.6328082909859298E-4</c:v>
                </c:pt>
                <c:pt idx="123">
                  <c:v>6.5356462991835601E-5</c:v>
                </c:pt>
                <c:pt idx="124">
                  <c:v>3.8489018581345602E-4</c:v>
                </c:pt>
                <c:pt idx="125">
                  <c:v>-1.34765159990616E-5</c:v>
                </c:pt>
                <c:pt idx="126">
                  <c:v>2.4172187926794399E-4</c:v>
                </c:pt>
                <c:pt idx="127">
                  <c:v>-1.7392836291449501E-4</c:v>
                </c:pt>
                <c:pt idx="128">
                  <c:v>-5.0659033158603803E-5</c:v>
                </c:pt>
                <c:pt idx="129">
                  <c:v>-6.2473195032887896E-4</c:v>
                </c:pt>
                <c:pt idx="130">
                  <c:v>2.2611164642078201E-4</c:v>
                </c:pt>
                <c:pt idx="131">
                  <c:v>-9.9499830314918198E-5</c:v>
                </c:pt>
                <c:pt idx="132">
                  <c:v>3.0788277743590399E-5</c:v>
                </c:pt>
                <c:pt idx="133">
                  <c:v>-6.3884729806480895E-4</c:v>
                </c:pt>
                <c:pt idx="134">
                  <c:v>-2.1188567477445401E-4</c:v>
                </c:pt>
                <c:pt idx="135">
                  <c:v>1.6922499703576899E-5</c:v>
                </c:pt>
                <c:pt idx="136">
                  <c:v>2.7196855985473601E-4</c:v>
                </c:pt>
                <c:pt idx="137">
                  <c:v>5.6967653095684303E-5</c:v>
                </c:pt>
                <c:pt idx="138">
                  <c:v>5.3450386710916895E-4</c:v>
                </c:pt>
                <c:pt idx="139">
                  <c:v>-1.03073065404407E-4</c:v>
                </c:pt>
                <c:pt idx="140">
                  <c:v>7.2326096671077803E-4</c:v>
                </c:pt>
                <c:pt idx="141">
                  <c:v>9.4577917688254702E-4</c:v>
                </c:pt>
                <c:pt idx="142">
                  <c:v>-1.60021101916179E-3</c:v>
                </c:pt>
                <c:pt idx="143">
                  <c:v>-7.13332863541479E-4</c:v>
                </c:pt>
                <c:pt idx="144">
                  <c:v>-6.3591941317391596E-4</c:v>
                </c:pt>
                <c:pt idx="145">
                  <c:v>-1.3394972864321599E-3</c:v>
                </c:pt>
                <c:pt idx="146">
                  <c:v>-8.9188819673120302E-4</c:v>
                </c:pt>
                <c:pt idx="147">
                  <c:v>-3.1450075420087699E-4</c:v>
                </c:pt>
                <c:pt idx="148">
                  <c:v>-3.6400777122387899E-4</c:v>
                </c:pt>
                <c:pt idx="149">
                  <c:v>-1.9643157817887899E-4</c:v>
                </c:pt>
                <c:pt idx="150">
                  <c:v>-4.9698174138228799E-4</c:v>
                </c:pt>
                <c:pt idx="151">
                  <c:v>-4.9898818378485996E-4</c:v>
                </c:pt>
                <c:pt idx="152">
                  <c:v>-5.5038976004716505E-4</c:v>
                </c:pt>
                <c:pt idx="153">
                  <c:v>-5.5432032961651005E-4</c:v>
                </c:pt>
                <c:pt idx="154">
                  <c:v>-6.4928269155070802E-4</c:v>
                </c:pt>
                <c:pt idx="155">
                  <c:v>-4.3935643739175499E-4</c:v>
                </c:pt>
                <c:pt idx="156">
                  <c:v>-2.75852161714423E-5</c:v>
                </c:pt>
                <c:pt idx="157">
                  <c:v>-3.3818794117528299E-4</c:v>
                </c:pt>
                <c:pt idx="158">
                  <c:v>6.5369078265976595E-4</c:v>
                </c:pt>
                <c:pt idx="159">
                  <c:v>1.25785748241476E-4</c:v>
                </c:pt>
                <c:pt idx="160">
                  <c:v>-5.0871144435641398E-4</c:v>
                </c:pt>
                <c:pt idx="161">
                  <c:v>1.9875232763412299E-4</c:v>
                </c:pt>
                <c:pt idx="162">
                  <c:v>2.7928886434645599E-4</c:v>
                </c:pt>
                <c:pt idx="163">
                  <c:v>-1.22150601104243E-4</c:v>
                </c:pt>
                <c:pt idx="164">
                  <c:v>-1.6920122284264101E-3</c:v>
                </c:pt>
                <c:pt idx="165">
                  <c:v>-1.28211938907646E-3</c:v>
                </c:pt>
                <c:pt idx="166">
                  <c:v>-2.2924213699131802E-3</c:v>
                </c:pt>
                <c:pt idx="167">
                  <c:v>-2.2407210917327501E-3</c:v>
                </c:pt>
                <c:pt idx="168">
                  <c:v>-4.1757721661873698E-4</c:v>
                </c:pt>
                <c:pt idx="169">
                  <c:v>-1.34106557939966E-3</c:v>
                </c:pt>
                <c:pt idx="170">
                  <c:v>1.73164428137559E-4</c:v>
                </c:pt>
                <c:pt idx="171">
                  <c:v>-6.8644186357758995E-4</c:v>
                </c:pt>
                <c:pt idx="172">
                  <c:v>-4.6102488788067999E-4</c:v>
                </c:pt>
                <c:pt idx="173">
                  <c:v>1.36571826812208E-3</c:v>
                </c:pt>
                <c:pt idx="174">
                  <c:v>6.4265243763108704E-4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82-426E-976F-CE4BFE503EBC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CMF x 10 dma / VTEC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6.1713257478969498E-5</c:v>
                </c:pt>
                <c:pt idx="11">
                  <c:v>-1.4013289237392501E-3</c:v>
                </c:pt>
                <c:pt idx="12">
                  <c:v>6.0806048068601996E-4</c:v>
                </c:pt>
                <c:pt idx="13">
                  <c:v>8.3379152231710099E-4</c:v>
                </c:pt>
                <c:pt idx="14">
                  <c:v>5.6073294392021303E-4</c:v>
                </c:pt>
                <c:pt idx="15">
                  <c:v>4.3604588072007101E-4</c:v>
                </c:pt>
                <c:pt idx="16">
                  <c:v>-1.01638213001099E-4</c:v>
                </c:pt>
                <c:pt idx="17">
                  <c:v>-1.13791621587886E-4</c:v>
                </c:pt>
                <c:pt idx="18">
                  <c:v>1.46062167257958E-4</c:v>
                </c:pt>
                <c:pt idx="19">
                  <c:v>1.96237897678701E-4</c:v>
                </c:pt>
                <c:pt idx="20">
                  <c:v>-3.1788896041533499E-4</c:v>
                </c:pt>
                <c:pt idx="21">
                  <c:v>-1.96602026933534E-4</c:v>
                </c:pt>
                <c:pt idx="22">
                  <c:v>-5.2789843432464695E-4</c:v>
                </c:pt>
                <c:pt idx="23">
                  <c:v>-2.82070258643321E-4</c:v>
                </c:pt>
                <c:pt idx="24">
                  <c:v>7.4937473631719894E-5</c:v>
                </c:pt>
                <c:pt idx="25">
                  <c:v>3.7331137788930601E-5</c:v>
                </c:pt>
                <c:pt idx="26">
                  <c:v>9.3986145862047998E-4</c:v>
                </c:pt>
                <c:pt idx="27">
                  <c:v>4.7281800485706799E-4</c:v>
                </c:pt>
                <c:pt idx="28">
                  <c:v>5.2565909754921398E-4</c:v>
                </c:pt>
                <c:pt idx="29">
                  <c:v>1.54056006763954E-4</c:v>
                </c:pt>
                <c:pt idx="30">
                  <c:v>-9.6920549933512804E-5</c:v>
                </c:pt>
                <c:pt idx="31">
                  <c:v>-4.70479756488515E-4</c:v>
                </c:pt>
                <c:pt idx="32">
                  <c:v>-1.37433078989723E-5</c:v>
                </c:pt>
                <c:pt idx="33">
                  <c:v>-2.63055956456589E-4</c:v>
                </c:pt>
                <c:pt idx="34">
                  <c:v>-6.2181095643650301E-4</c:v>
                </c:pt>
                <c:pt idx="35">
                  <c:v>-6.7356868119851105E-4</c:v>
                </c:pt>
                <c:pt idx="36">
                  <c:v>3.3336706327968601E-4</c:v>
                </c:pt>
                <c:pt idx="37">
                  <c:v>3.7210406417806E-4</c:v>
                </c:pt>
                <c:pt idx="38">
                  <c:v>3.7439613512812601E-4</c:v>
                </c:pt>
                <c:pt idx="39">
                  <c:v>-2.78859149735146E-4</c:v>
                </c:pt>
                <c:pt idx="40">
                  <c:v>-6.0695059425678905E-4</c:v>
                </c:pt>
                <c:pt idx="41">
                  <c:v>4.2194441650215899E-4</c:v>
                </c:pt>
                <c:pt idx="42">
                  <c:v>3.5826996765900602E-4</c:v>
                </c:pt>
                <c:pt idx="43">
                  <c:v>-4.3045376317288998E-4</c:v>
                </c:pt>
                <c:pt idx="44">
                  <c:v>3.9850752487618297E-4</c:v>
                </c:pt>
                <c:pt idx="45">
                  <c:v>-7.6784298237090405E-4</c:v>
                </c:pt>
                <c:pt idx="46">
                  <c:v>1.5413865804759201E-4</c:v>
                </c:pt>
                <c:pt idx="47">
                  <c:v>-3.8184562402224101E-4</c:v>
                </c:pt>
                <c:pt idx="48">
                  <c:v>1.86851861124455E-4</c:v>
                </c:pt>
                <c:pt idx="49">
                  <c:v>6.6307840199962998E-4</c:v>
                </c:pt>
                <c:pt idx="50">
                  <c:v>6.5672142380410301E-4</c:v>
                </c:pt>
                <c:pt idx="51">
                  <c:v>-6.03947077005008E-5</c:v>
                </c:pt>
                <c:pt idx="52">
                  <c:v>-3.1694124451524801E-7</c:v>
                </c:pt>
                <c:pt idx="53">
                  <c:v>-8.0076343923065501E-4</c:v>
                </c:pt>
                <c:pt idx="54">
                  <c:v>9.0730182907883304E-4</c:v>
                </c:pt>
                <c:pt idx="55">
                  <c:v>-1.4448981003745099E-3</c:v>
                </c:pt>
                <c:pt idx="56">
                  <c:v>-5.5097427760029505E-4</c:v>
                </c:pt>
                <c:pt idx="57">
                  <c:v>1.10248311653951E-4</c:v>
                </c:pt>
                <c:pt idx="58">
                  <c:v>-3.0010661744192499E-5</c:v>
                </c:pt>
                <c:pt idx="59">
                  <c:v>1.0152397029556501E-3</c:v>
                </c:pt>
                <c:pt idx="60">
                  <c:v>9.1326603151474701E-4</c:v>
                </c:pt>
                <c:pt idx="61">
                  <c:v>9.3492968306923803E-4</c:v>
                </c:pt>
                <c:pt idx="62">
                  <c:v>1.06716902956153E-4</c:v>
                </c:pt>
                <c:pt idx="63">
                  <c:v>4.7179366247262198E-4</c:v>
                </c:pt>
                <c:pt idx="64">
                  <c:v>-4.7147297784719798E-4</c:v>
                </c:pt>
                <c:pt idx="65">
                  <c:v>3.5548511961107398E-4</c:v>
                </c:pt>
                <c:pt idx="66">
                  <c:v>-1.6415557993187401E-4</c:v>
                </c:pt>
                <c:pt idx="67">
                  <c:v>-5.0868514860671497E-4</c:v>
                </c:pt>
                <c:pt idx="68">
                  <c:v>-4.2500115085453101E-4</c:v>
                </c:pt>
                <c:pt idx="69">
                  <c:v>-4.0481130601521603E-4</c:v>
                </c:pt>
                <c:pt idx="70">
                  <c:v>-1.0520994469570099E-3</c:v>
                </c:pt>
                <c:pt idx="71">
                  <c:v>-1.1366650065881E-4</c:v>
                </c:pt>
                <c:pt idx="72">
                  <c:v>1.21096979742955E-4</c:v>
                </c:pt>
                <c:pt idx="73">
                  <c:v>-2.9794418903769399E-4</c:v>
                </c:pt>
                <c:pt idx="74">
                  <c:v>-1.8429768809281999E-4</c:v>
                </c:pt>
                <c:pt idx="75">
                  <c:v>-2.3286033866898E-4</c:v>
                </c:pt>
                <c:pt idx="76">
                  <c:v>7.4178437441061796E-4</c:v>
                </c:pt>
                <c:pt idx="77">
                  <c:v>9.9331386572091302E-5</c:v>
                </c:pt>
                <c:pt idx="78">
                  <c:v>2.87697193874872E-4</c:v>
                </c:pt>
                <c:pt idx="79">
                  <c:v>5.1704946012024995E-4</c:v>
                </c:pt>
                <c:pt idx="80">
                  <c:v>-1.71417508356583E-4</c:v>
                </c:pt>
                <c:pt idx="81">
                  <c:v>-3.0562344096315801E-4</c:v>
                </c:pt>
                <c:pt idx="82">
                  <c:v>-3.44106065449542E-4</c:v>
                </c:pt>
                <c:pt idx="83">
                  <c:v>1.8253062460079101E-4</c:v>
                </c:pt>
                <c:pt idx="84">
                  <c:v>-8.6073609078081794E-5</c:v>
                </c:pt>
                <c:pt idx="85">
                  <c:v>5.9164101535738698E-4</c:v>
                </c:pt>
                <c:pt idx="86">
                  <c:v>6.2642003521206897E-4</c:v>
                </c:pt>
                <c:pt idx="87">
                  <c:v>1.21058635130657E-3</c:v>
                </c:pt>
                <c:pt idx="88">
                  <c:v>1.05406931795584E-3</c:v>
                </c:pt>
                <c:pt idx="89">
                  <c:v>4.8041349666956403E-5</c:v>
                </c:pt>
                <c:pt idx="90">
                  <c:v>-2.9429822382101101E-4</c:v>
                </c:pt>
                <c:pt idx="91">
                  <c:v>3.31519709873077E-4</c:v>
                </c:pt>
                <c:pt idx="92">
                  <c:v>7.3343174789989495E-5</c:v>
                </c:pt>
                <c:pt idx="93">
                  <c:v>7.6544310854607305E-4</c:v>
                </c:pt>
                <c:pt idx="94">
                  <c:v>8.0857237726858196E-4</c:v>
                </c:pt>
                <c:pt idx="95">
                  <c:v>-6.9871115366096099E-4</c:v>
                </c:pt>
                <c:pt idx="96">
                  <c:v>-4.0282699235145498E-4</c:v>
                </c:pt>
                <c:pt idx="97">
                  <c:v>-2.49345095460534E-4</c:v>
                </c:pt>
                <c:pt idx="98">
                  <c:v>-8.5685563398731494E-5</c:v>
                </c:pt>
                <c:pt idx="99">
                  <c:v>-6.7329576011960601E-4</c:v>
                </c:pt>
                <c:pt idx="100">
                  <c:v>-4.09080119329329E-4</c:v>
                </c:pt>
                <c:pt idx="101">
                  <c:v>-8.7633257398726403E-4</c:v>
                </c:pt>
                <c:pt idx="102">
                  <c:v>-5.9530421737728398E-4</c:v>
                </c:pt>
                <c:pt idx="103">
                  <c:v>-5.5974109471281701E-4</c:v>
                </c:pt>
                <c:pt idx="104">
                  <c:v>-2.6157740410452901E-4</c:v>
                </c:pt>
                <c:pt idx="105">
                  <c:v>6.0714528016105399E-4</c:v>
                </c:pt>
                <c:pt idx="106">
                  <c:v>1.0515017394300299E-4</c:v>
                </c:pt>
                <c:pt idx="107">
                  <c:v>-2.09905333369151E-4</c:v>
                </c:pt>
                <c:pt idx="108">
                  <c:v>4.40846939852998E-4</c:v>
                </c:pt>
                <c:pt idx="109">
                  <c:v>-4.7120718458944298E-4</c:v>
                </c:pt>
                <c:pt idx="110">
                  <c:v>1.7852032318436801E-4</c:v>
                </c:pt>
                <c:pt idx="111">
                  <c:v>-1.7990062043866901E-4</c:v>
                </c:pt>
                <c:pt idx="112">
                  <c:v>-7.9283660423690405E-5</c:v>
                </c:pt>
                <c:pt idx="113">
                  <c:v>5.5184814143552798E-5</c:v>
                </c:pt>
                <c:pt idx="114">
                  <c:v>-2.9754635065696401E-4</c:v>
                </c:pt>
                <c:pt idx="115">
                  <c:v>2.8135384308524601E-4</c:v>
                </c:pt>
                <c:pt idx="116">
                  <c:v>-2.60752171307781E-4</c:v>
                </c:pt>
                <c:pt idx="117">
                  <c:v>-5.1406032193028397E-4</c:v>
                </c:pt>
                <c:pt idx="118">
                  <c:v>-4.2646264637757702E-4</c:v>
                </c:pt>
                <c:pt idx="119">
                  <c:v>-5.32040506459276E-4</c:v>
                </c:pt>
                <c:pt idx="120">
                  <c:v>-3.3620037022423098E-4</c:v>
                </c:pt>
                <c:pt idx="121">
                  <c:v>-4.9354303493242397E-4</c:v>
                </c:pt>
                <c:pt idx="122">
                  <c:v>-5.10966451015987E-4</c:v>
                </c:pt>
                <c:pt idx="123">
                  <c:v>2.9381346274340899E-4</c:v>
                </c:pt>
                <c:pt idx="124">
                  <c:v>6.3147718255096802E-4</c:v>
                </c:pt>
                <c:pt idx="125">
                  <c:v>1.87245517715038E-4</c:v>
                </c:pt>
                <c:pt idx="126">
                  <c:v>4.9275250557929702E-4</c:v>
                </c:pt>
                <c:pt idx="127">
                  <c:v>4.4635480890417299E-5</c:v>
                </c:pt>
                <c:pt idx="128">
                  <c:v>1.47286170430563E-4</c:v>
                </c:pt>
                <c:pt idx="129">
                  <c:v>-4.5505783796544598E-4</c:v>
                </c:pt>
                <c:pt idx="130">
                  <c:v>4.0479995510428799E-4</c:v>
                </c:pt>
                <c:pt idx="131">
                  <c:v>2.0286664088677301E-5</c:v>
                </c:pt>
                <c:pt idx="132">
                  <c:v>1.01592168402353E-4</c:v>
                </c:pt>
                <c:pt idx="133">
                  <c:v>-6.37469766926314E-4</c:v>
                </c:pt>
                <c:pt idx="134">
                  <c:v>-1.40070148307201E-4</c:v>
                </c:pt>
                <c:pt idx="135">
                  <c:v>1.4840438576733399E-4</c:v>
                </c:pt>
                <c:pt idx="136">
                  <c:v>4.00410944631406E-4</c:v>
                </c:pt>
                <c:pt idx="137">
                  <c:v>1.8238653038511E-4</c:v>
                </c:pt>
                <c:pt idx="138">
                  <c:v>6.3683442174524004E-4</c:v>
                </c:pt>
                <c:pt idx="139">
                  <c:v>-5.92403716562627E-5</c:v>
                </c:pt>
                <c:pt idx="140">
                  <c:v>7.1490971041758902E-4</c:v>
                </c:pt>
                <c:pt idx="141">
                  <c:v>8.8773493178305604E-4</c:v>
                </c:pt>
                <c:pt idx="142">
                  <c:v>-1.7627504734795199E-3</c:v>
                </c:pt>
                <c:pt idx="143">
                  <c:v>-7.12631124902287E-4</c:v>
                </c:pt>
                <c:pt idx="144">
                  <c:v>-6.2776411339578501E-4</c:v>
                </c:pt>
                <c:pt idx="145">
                  <c:v>-1.2889218794907399E-3</c:v>
                </c:pt>
                <c:pt idx="146">
                  <c:v>-7.0559714707369304E-4</c:v>
                </c:pt>
                <c:pt idx="147">
                  <c:v>-1.18164021150329E-5</c:v>
                </c:pt>
                <c:pt idx="148">
                  <c:v>-2.4183727816665499E-5</c:v>
                </c:pt>
                <c:pt idx="149">
                  <c:v>2.3320141403254199E-4</c:v>
                </c:pt>
                <c:pt idx="150">
                  <c:v>-5.8015554002953199E-5</c:v>
                </c:pt>
                <c:pt idx="151">
                  <c:v>6.1927494115540495E-5</c:v>
                </c:pt>
                <c:pt idx="152">
                  <c:v>1.54878976778241E-4</c:v>
                </c:pt>
                <c:pt idx="153">
                  <c:v>4.5921907487367902E-5</c:v>
                </c:pt>
                <c:pt idx="154">
                  <c:v>-6.4942368333178996E-5</c:v>
                </c:pt>
                <c:pt idx="155">
                  <c:v>1.4632029062809499E-4</c:v>
                </c:pt>
                <c:pt idx="156">
                  <c:v>4.6804602398790201E-4</c:v>
                </c:pt>
                <c:pt idx="157">
                  <c:v>7.1012365511893298E-5</c:v>
                </c:pt>
                <c:pt idx="158">
                  <c:v>1.0652596089851601E-3</c:v>
                </c:pt>
                <c:pt idx="159">
                  <c:v>4.3563615169432202E-4</c:v>
                </c:pt>
                <c:pt idx="160">
                  <c:v>-2.3107444799426799E-4</c:v>
                </c:pt>
                <c:pt idx="161">
                  <c:v>4.7756255779960003E-4</c:v>
                </c:pt>
                <c:pt idx="162">
                  <c:v>4.8833158706426899E-4</c:v>
                </c:pt>
                <c:pt idx="163">
                  <c:v>3.9269125497466097E-6</c:v>
                </c:pt>
                <c:pt idx="164">
                  <c:v>-1.6091617920336199E-3</c:v>
                </c:pt>
                <c:pt idx="165">
                  <c:v>-1.0948879526290001E-3</c:v>
                </c:pt>
                <c:pt idx="166">
                  <c:v>-2.0208604118861998E-3</c:v>
                </c:pt>
                <c:pt idx="167">
                  <c:v>-1.7425008519950701E-3</c:v>
                </c:pt>
                <c:pt idx="168">
                  <c:v>2.7102883687606398E-4</c:v>
                </c:pt>
                <c:pt idx="169">
                  <c:v>-5.45424829639893E-4</c:v>
                </c:pt>
                <c:pt idx="170">
                  <c:v>1.1154519963043599E-3</c:v>
                </c:pt>
                <c:pt idx="171">
                  <c:v>1.87708586537513E-4</c:v>
                </c:pt>
                <c:pt idx="172">
                  <c:v>5.0158529485347803E-4</c:v>
                </c:pt>
                <c:pt idx="173">
                  <c:v>2.4022925842033999E-3</c:v>
                </c:pt>
                <c:pt idx="174">
                  <c:v>1.5306753573427099E-3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82-426E-976F-CE4BFE503EBC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CMF x 20 dma / VTEC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-2.4927435015307598E-4</c:v>
                </c:pt>
                <c:pt idx="21">
                  <c:v>-1.4532322767103501E-4</c:v>
                </c:pt>
                <c:pt idx="22">
                  <c:v>-3.4637752963505498E-4</c:v>
                </c:pt>
                <c:pt idx="23">
                  <c:v>-1.51186427712282E-4</c:v>
                </c:pt>
                <c:pt idx="24">
                  <c:v>1.2594140056819601E-4</c:v>
                </c:pt>
                <c:pt idx="25">
                  <c:v>2.0868036584246301E-5</c:v>
                </c:pt>
                <c:pt idx="26">
                  <c:v>9.1797969763744497E-4</c:v>
                </c:pt>
                <c:pt idx="27">
                  <c:v>4.9584220843098702E-4</c:v>
                </c:pt>
                <c:pt idx="28">
                  <c:v>5.7419611946881398E-4</c:v>
                </c:pt>
                <c:pt idx="29">
                  <c:v>1.91718569085074E-4</c:v>
                </c:pt>
                <c:pt idx="30">
                  <c:v>-5.8745926074633402E-5</c:v>
                </c:pt>
                <c:pt idx="31">
                  <c:v>-4.0531293327405901E-4</c:v>
                </c:pt>
                <c:pt idx="32">
                  <c:v>-2.1182784464449699E-5</c:v>
                </c:pt>
                <c:pt idx="33">
                  <c:v>-2.0687140135747001E-4</c:v>
                </c:pt>
                <c:pt idx="34">
                  <c:v>-5.1635365439103604E-4</c:v>
                </c:pt>
                <c:pt idx="35">
                  <c:v>-5.7322874517149402E-4</c:v>
                </c:pt>
                <c:pt idx="36">
                  <c:v>4.2976121660055397E-4</c:v>
                </c:pt>
                <c:pt idx="37">
                  <c:v>3.979524589666E-4</c:v>
                </c:pt>
                <c:pt idx="38">
                  <c:v>3.661653903795E-4</c:v>
                </c:pt>
                <c:pt idx="39">
                  <c:v>-3.1929857611959201E-4</c:v>
                </c:pt>
                <c:pt idx="40">
                  <c:v>-6.7473509325747204E-4</c:v>
                </c:pt>
                <c:pt idx="41">
                  <c:v>3.0700623019823398E-4</c:v>
                </c:pt>
                <c:pt idx="42">
                  <c:v>2.83633011462249E-4</c:v>
                </c:pt>
                <c:pt idx="43">
                  <c:v>-5.18926532168432E-4</c:v>
                </c:pt>
                <c:pt idx="44">
                  <c:v>2.8624421855091999E-4</c:v>
                </c:pt>
                <c:pt idx="45">
                  <c:v>-8.1602004464359403E-4</c:v>
                </c:pt>
                <c:pt idx="46">
                  <c:v>1.21944621918588E-4</c:v>
                </c:pt>
                <c:pt idx="47">
                  <c:v>-4.0554309447078299E-4</c:v>
                </c:pt>
                <c:pt idx="48">
                  <c:v>1.2554100157832301E-4</c:v>
                </c:pt>
                <c:pt idx="49">
                  <c:v>5.9464737262159505E-4</c:v>
                </c:pt>
                <c:pt idx="50">
                  <c:v>6.5422241747638396E-4</c:v>
                </c:pt>
                <c:pt idx="51">
                  <c:v>3.2334836883379103E-5</c:v>
                </c:pt>
                <c:pt idx="52">
                  <c:v>4.4441578030342297E-5</c:v>
                </c:pt>
                <c:pt idx="53">
                  <c:v>-7.8059138953713505E-4</c:v>
                </c:pt>
                <c:pt idx="54">
                  <c:v>9.2818708369197698E-4</c:v>
                </c:pt>
                <c:pt idx="55">
                  <c:v>-1.43629196653448E-3</c:v>
                </c:pt>
                <c:pt idx="56">
                  <c:v>-5.6585807320551698E-4</c:v>
                </c:pt>
                <c:pt idx="57">
                  <c:v>7.0793118204472494E-5</c:v>
                </c:pt>
                <c:pt idx="58">
                  <c:v>-8.7399892472548492E-6</c:v>
                </c:pt>
                <c:pt idx="59">
                  <c:v>1.0432979807251401E-3</c:v>
                </c:pt>
                <c:pt idx="60">
                  <c:v>9.2147699329166003E-4</c:v>
                </c:pt>
                <c:pt idx="61">
                  <c:v>8.9384342527153095E-4</c:v>
                </c:pt>
                <c:pt idx="62">
                  <c:v>1.2611065196282899E-4</c:v>
                </c:pt>
                <c:pt idx="63">
                  <c:v>5.11930491027902E-4</c:v>
                </c:pt>
                <c:pt idx="64">
                  <c:v>-3.4716082711528301E-4</c:v>
                </c:pt>
                <c:pt idx="65">
                  <c:v>3.9577895409117201E-4</c:v>
                </c:pt>
                <c:pt idx="66">
                  <c:v>3.2916898007824099E-6</c:v>
                </c:pt>
                <c:pt idx="67">
                  <c:v>-2.68369081170123E-4</c:v>
                </c:pt>
                <c:pt idx="68">
                  <c:v>-2.1227379424228901E-4</c:v>
                </c:pt>
                <c:pt idx="69">
                  <c:v>-1.81844591022304E-4</c:v>
                </c:pt>
                <c:pt idx="70">
                  <c:v>-8.9824545535663997E-4</c:v>
                </c:pt>
                <c:pt idx="71">
                  <c:v>-5.6356314403552001E-5</c:v>
                </c:pt>
                <c:pt idx="72">
                  <c:v>8.6088097821528201E-5</c:v>
                </c:pt>
                <c:pt idx="73">
                  <c:v>-3.43025046244403E-4</c:v>
                </c:pt>
                <c:pt idx="74">
                  <c:v>-3.4001487615481198E-4</c:v>
                </c:pt>
                <c:pt idx="75">
                  <c:v>-3.3329916350822802E-4</c:v>
                </c:pt>
                <c:pt idx="76">
                  <c:v>5.0780179570996905E-4</c:v>
                </c:pt>
                <c:pt idx="77">
                  <c:v>-1.4886724096141099E-4</c:v>
                </c:pt>
                <c:pt idx="78">
                  <c:v>5.1994159644287899E-5</c:v>
                </c:pt>
                <c:pt idx="79">
                  <c:v>2.9188234188857299E-4</c:v>
                </c:pt>
                <c:pt idx="80">
                  <c:v>-3.2432858694322398E-4</c:v>
                </c:pt>
                <c:pt idx="81">
                  <c:v>-3.4689382048374E-4</c:v>
                </c:pt>
                <c:pt idx="82">
                  <c:v>-3.5242407444067801E-4</c:v>
                </c:pt>
                <c:pt idx="83">
                  <c:v>1.52900681226513E-4</c:v>
                </c:pt>
                <c:pt idx="84">
                  <c:v>-5.1654103595235699E-5</c:v>
                </c:pt>
                <c:pt idx="85">
                  <c:v>6.3562985236206696E-4</c:v>
                </c:pt>
                <c:pt idx="86">
                  <c:v>7.5548971491842104E-4</c:v>
                </c:pt>
                <c:pt idx="87">
                  <c:v>1.32490320818815E-3</c:v>
                </c:pt>
                <c:pt idx="88">
                  <c:v>1.22977946343503E-3</c:v>
                </c:pt>
                <c:pt idx="89">
                  <c:v>2.6756371741488901E-4</c:v>
                </c:pt>
                <c:pt idx="90">
                  <c:v>-9.9849241059731501E-5</c:v>
                </c:pt>
                <c:pt idx="91">
                  <c:v>5.1051480309241104E-4</c:v>
                </c:pt>
                <c:pt idx="92">
                  <c:v>3.1584454580454302E-4</c:v>
                </c:pt>
                <c:pt idx="93">
                  <c:v>1.07719627582289E-3</c:v>
                </c:pt>
                <c:pt idx="94">
                  <c:v>1.1595867473886399E-3</c:v>
                </c:pt>
                <c:pt idx="95">
                  <c:v>-2.7619058781261699E-4</c:v>
                </c:pt>
                <c:pt idx="96">
                  <c:v>-4.8237148374028097E-5</c:v>
                </c:pt>
                <c:pt idx="97">
                  <c:v>8.2089520151745806E-5</c:v>
                </c:pt>
                <c:pt idx="98">
                  <c:v>1.38906235808722E-4</c:v>
                </c:pt>
                <c:pt idx="99">
                  <c:v>-5.3910463676746102E-4</c:v>
                </c:pt>
                <c:pt idx="100">
                  <c:v>-2.9604938235067298E-4</c:v>
                </c:pt>
                <c:pt idx="101">
                  <c:v>-7.7104155771622995E-4</c:v>
                </c:pt>
                <c:pt idx="102">
                  <c:v>-5.8966495063950098E-4</c:v>
                </c:pt>
                <c:pt idx="103">
                  <c:v>-6.3211410385475902E-4</c:v>
                </c:pt>
                <c:pt idx="104">
                  <c:v>-4.6772021963578002E-4</c:v>
                </c:pt>
                <c:pt idx="105">
                  <c:v>2.4713003600205802E-4</c:v>
                </c:pt>
                <c:pt idx="106">
                  <c:v>-2.0332125555588601E-4</c:v>
                </c:pt>
                <c:pt idx="107">
                  <c:v>-5.0781882725370797E-4</c:v>
                </c:pt>
                <c:pt idx="108">
                  <c:v>1.5495987478109099E-4</c:v>
                </c:pt>
                <c:pt idx="109">
                  <c:v>-7.2484713545031799E-4</c:v>
                </c:pt>
                <c:pt idx="110">
                  <c:v>-6.7730637073996506E-5</c:v>
                </c:pt>
                <c:pt idx="111">
                  <c:v>-4.2696604338023699E-4</c:v>
                </c:pt>
                <c:pt idx="112">
                  <c:v>-2.6636674372497698E-4</c:v>
                </c:pt>
                <c:pt idx="113">
                  <c:v>-9.1936735120481302E-5</c:v>
                </c:pt>
                <c:pt idx="114">
                  <c:v>-3.5516355993232802E-4</c:v>
                </c:pt>
                <c:pt idx="115">
                  <c:v>2.9025592642835201E-4</c:v>
                </c:pt>
                <c:pt idx="116">
                  <c:v>-2.9651838516812099E-4</c:v>
                </c:pt>
                <c:pt idx="117">
                  <c:v>-5.6624591401693196E-4</c:v>
                </c:pt>
                <c:pt idx="118">
                  <c:v>-4.7125982789000001E-4</c:v>
                </c:pt>
                <c:pt idx="119">
                  <c:v>-6.2241001732435896E-4</c:v>
                </c:pt>
                <c:pt idx="120">
                  <c:v>-4.2338659788146302E-4</c:v>
                </c:pt>
                <c:pt idx="121">
                  <c:v>-6.1992993274479803E-4</c:v>
                </c:pt>
                <c:pt idx="122">
                  <c:v>-6.7578946275390799E-4</c:v>
                </c:pt>
                <c:pt idx="123">
                  <c:v>8.3835520031543705E-5</c:v>
                </c:pt>
                <c:pt idx="124">
                  <c:v>3.9640482614728702E-4</c:v>
                </c:pt>
                <c:pt idx="125">
                  <c:v>-1.7339106238146201E-5</c:v>
                </c:pt>
                <c:pt idx="126">
                  <c:v>2.7840805830317398E-4</c:v>
                </c:pt>
                <c:pt idx="127">
                  <c:v>-1.3161077395369599E-4</c:v>
                </c:pt>
                <c:pt idx="128">
                  <c:v>1.77664611117435E-6</c:v>
                </c:pt>
                <c:pt idx="129">
                  <c:v>-5.3859839150483403E-4</c:v>
                </c:pt>
                <c:pt idx="130">
                  <c:v>3.2883554719834401E-4</c:v>
                </c:pt>
                <c:pt idx="131">
                  <c:v>8.2239140129263997E-6</c:v>
                </c:pt>
                <c:pt idx="132">
                  <c:v>1.4234824260891E-4</c:v>
                </c:pt>
                <c:pt idx="133">
                  <c:v>-5.2392358698404495E-4</c:v>
                </c:pt>
                <c:pt idx="134">
                  <c:v>-5.2680595038633801E-5</c:v>
                </c:pt>
                <c:pt idx="135">
                  <c:v>1.83025058867247E-4</c:v>
                </c:pt>
                <c:pt idx="136">
                  <c:v>4.6170694388346199E-4</c:v>
                </c:pt>
                <c:pt idx="137">
                  <c:v>2.2896009814097099E-4</c:v>
                </c:pt>
                <c:pt idx="138">
                  <c:v>6.8464288899177099E-4</c:v>
                </c:pt>
                <c:pt idx="139">
                  <c:v>3.6823171591424099E-6</c:v>
                </c:pt>
                <c:pt idx="140">
                  <c:v>8.0843386588067901E-4</c:v>
                </c:pt>
                <c:pt idx="141">
                  <c:v>9.7665425450576301E-4</c:v>
                </c:pt>
                <c:pt idx="142">
                  <c:v>-1.6460719948518999E-3</c:v>
                </c:pt>
                <c:pt idx="143">
                  <c:v>-7.1229322859569502E-4</c:v>
                </c:pt>
                <c:pt idx="144">
                  <c:v>-5.9593349347312899E-4</c:v>
                </c:pt>
                <c:pt idx="145">
                  <c:v>-1.24846782169743E-3</c:v>
                </c:pt>
                <c:pt idx="146">
                  <c:v>-7.3452106120558901E-4</c:v>
                </c:pt>
                <c:pt idx="147">
                  <c:v>-1.0044521163184201E-4</c:v>
                </c:pt>
                <c:pt idx="148">
                  <c:v>-1.4292342180750601E-4</c:v>
                </c:pt>
                <c:pt idx="149">
                  <c:v>4.03198700345081E-5</c:v>
                </c:pt>
                <c:pt idx="150">
                  <c:v>-2.81649264227533E-4</c:v>
                </c:pt>
                <c:pt idx="151">
                  <c:v>-2.4750457846201202E-4</c:v>
                </c:pt>
                <c:pt idx="152">
                  <c:v>-2.78930982414294E-4</c:v>
                </c:pt>
                <c:pt idx="153">
                  <c:v>-2.53803410644652E-4</c:v>
                </c:pt>
                <c:pt idx="154">
                  <c:v>-3.52993381405971E-4</c:v>
                </c:pt>
                <c:pt idx="155">
                  <c:v>-1.21194578233631E-4</c:v>
                </c:pt>
                <c:pt idx="156">
                  <c:v>3.1338789015640799E-4</c:v>
                </c:pt>
                <c:pt idx="157">
                  <c:v>1.77558064175819E-5</c:v>
                </c:pt>
                <c:pt idx="158">
                  <c:v>1.0293878609406201E-3</c:v>
                </c:pt>
                <c:pt idx="159">
                  <c:v>4.9552923955717605E-4</c:v>
                </c:pt>
                <c:pt idx="160">
                  <c:v>-1.5040659909708101E-4</c:v>
                </c:pt>
                <c:pt idx="161">
                  <c:v>6.1862522960236396E-4</c:v>
                </c:pt>
                <c:pt idx="162">
                  <c:v>7.36475374149854E-4</c:v>
                </c:pt>
                <c:pt idx="163">
                  <c:v>2.4103737829741999E-4</c:v>
                </c:pt>
                <c:pt idx="164">
                  <c:v>-1.3583854121083699E-3</c:v>
                </c:pt>
                <c:pt idx="165">
                  <c:v>-8.95645462011623E-4</c:v>
                </c:pt>
                <c:pt idx="166">
                  <c:v>-1.90881899488354E-3</c:v>
                </c:pt>
                <c:pt idx="167">
                  <c:v>-1.78700982795155E-3</c:v>
                </c:pt>
                <c:pt idx="168">
                  <c:v>1.3251981699445001E-4</c:v>
                </c:pt>
                <c:pt idx="169">
                  <c:v>-7.8829050376128895E-4</c:v>
                </c:pt>
                <c:pt idx="170">
                  <c:v>7.8318193044878105E-4</c:v>
                </c:pt>
                <c:pt idx="171">
                  <c:v>-1.09917219690864E-4</c:v>
                </c:pt>
                <c:pt idx="172">
                  <c:v>1.2487254783331901E-4</c:v>
                </c:pt>
                <c:pt idx="173">
                  <c:v>1.94714780853963E-3</c:v>
                </c:pt>
                <c:pt idx="174">
                  <c:v>1.12817015352216E-3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82-426E-976F-CE4BFE503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8.2786809888977012E-4</c:v>
                </c:pt>
                <c:pt idx="37">
                  <c:v>1.4155918239679504E-3</c:v>
                </c:pt>
                <c:pt idx="38">
                  <c:v>1.4155918239679504E-3</c:v>
                </c:pt>
                <c:pt idx="39">
                  <c:v>1.4155918239679504E-3</c:v>
                </c:pt>
                <c:pt idx="40">
                  <c:v>1.4155918239679504E-3</c:v>
                </c:pt>
                <c:pt idx="41">
                  <c:v>1.4155918239679504E-3</c:v>
                </c:pt>
                <c:pt idx="42">
                  <c:v>1.4155918239679504E-3</c:v>
                </c:pt>
                <c:pt idx="43">
                  <c:v>1.4155918239679504E-3</c:v>
                </c:pt>
                <c:pt idx="44">
                  <c:v>1.4155918239679504E-3</c:v>
                </c:pt>
                <c:pt idx="45">
                  <c:v>1.4155918239679504E-3</c:v>
                </c:pt>
                <c:pt idx="46">
                  <c:v>1.4155918239679504E-3</c:v>
                </c:pt>
                <c:pt idx="47">
                  <c:v>1.4155918239679504E-3</c:v>
                </c:pt>
                <c:pt idx="48">
                  <c:v>1.4155918239679504E-3</c:v>
                </c:pt>
                <c:pt idx="49">
                  <c:v>1.4155918239679504E-3</c:v>
                </c:pt>
                <c:pt idx="50">
                  <c:v>1.4155918239679504E-3</c:v>
                </c:pt>
                <c:pt idx="51">
                  <c:v>1.4155918239679504E-3</c:v>
                </c:pt>
                <c:pt idx="52">
                  <c:v>1.4155918239679504E-3</c:v>
                </c:pt>
                <c:pt idx="53">
                  <c:v>1.4155918239679504E-3</c:v>
                </c:pt>
                <c:pt idx="54">
                  <c:v>1.4155918239679504E-3</c:v>
                </c:pt>
                <c:pt idx="55">
                  <c:v>1.4155918239679504E-3</c:v>
                </c:pt>
                <c:pt idx="56">
                  <c:v>1.4155918239679504E-3</c:v>
                </c:pt>
                <c:pt idx="57">
                  <c:v>1.4155918239679504E-3</c:v>
                </c:pt>
                <c:pt idx="58">
                  <c:v>1.4155918239679504E-3</c:v>
                </c:pt>
                <c:pt idx="59">
                  <c:v>1.4155918239679504E-3</c:v>
                </c:pt>
                <c:pt idx="60">
                  <c:v>1.4155918239679504E-3</c:v>
                </c:pt>
                <c:pt idx="61">
                  <c:v>1.4155918239679504E-3</c:v>
                </c:pt>
                <c:pt idx="62">
                  <c:v>1.4155918239679504E-3</c:v>
                </c:pt>
                <c:pt idx="63">
                  <c:v>1.4155918239679504E-3</c:v>
                </c:pt>
                <c:pt idx="64">
                  <c:v>1.4155918239679504E-3</c:v>
                </c:pt>
                <c:pt idx="65">
                  <c:v>1.4155918239679504E-3</c:v>
                </c:pt>
                <c:pt idx="66">
                  <c:v>1.4155918239679504E-3</c:v>
                </c:pt>
                <c:pt idx="67">
                  <c:v>1.4155918239679504E-3</c:v>
                </c:pt>
                <c:pt idx="68">
                  <c:v>1.4155918239679504E-3</c:v>
                </c:pt>
                <c:pt idx="69">
                  <c:v>1.4155918239679504E-3</c:v>
                </c:pt>
                <c:pt idx="70">
                  <c:v>1.4155918239679504E-3</c:v>
                </c:pt>
                <c:pt idx="71">
                  <c:v>1.4155918239679504E-3</c:v>
                </c:pt>
                <c:pt idx="72">
                  <c:v>1.4155918239679504E-3</c:v>
                </c:pt>
                <c:pt idx="73">
                  <c:v>1.4155918239679504E-3</c:v>
                </c:pt>
                <c:pt idx="74">
                  <c:v>1.4155918239679504E-3</c:v>
                </c:pt>
                <c:pt idx="75">
                  <c:v>1.4155918239679504E-3</c:v>
                </c:pt>
                <c:pt idx="76">
                  <c:v>1.4155918239679504E-3</c:v>
                </c:pt>
                <c:pt idx="77">
                  <c:v>1.4155918239679504E-3</c:v>
                </c:pt>
                <c:pt idx="78">
                  <c:v>1.4155918239679504E-3</c:v>
                </c:pt>
                <c:pt idx="79">
                  <c:v>1.4155918239679504E-3</c:v>
                </c:pt>
                <c:pt idx="80">
                  <c:v>1.4155918239679504E-3</c:v>
                </c:pt>
                <c:pt idx="81">
                  <c:v>1.4155918239679504E-3</c:v>
                </c:pt>
                <c:pt idx="82">
                  <c:v>1.4155918239679504E-3</c:v>
                </c:pt>
                <c:pt idx="83">
                  <c:v>1.4155918239679504E-3</c:v>
                </c:pt>
                <c:pt idx="84">
                  <c:v>1.4155918239679504E-3</c:v>
                </c:pt>
                <c:pt idx="85">
                  <c:v>1.4155918239679504E-3</c:v>
                </c:pt>
                <c:pt idx="86">
                  <c:v>1.4155918239679504E-3</c:v>
                </c:pt>
                <c:pt idx="87">
                  <c:v>1.4155918239679504E-3</c:v>
                </c:pt>
                <c:pt idx="88">
                  <c:v>1.4155918239679504E-3</c:v>
                </c:pt>
                <c:pt idx="89">
                  <c:v>1.4155918239679504E-3</c:v>
                </c:pt>
                <c:pt idx="90">
                  <c:v>1.4155918239679504E-3</c:v>
                </c:pt>
                <c:pt idx="91">
                  <c:v>1.4155918239679504E-3</c:v>
                </c:pt>
                <c:pt idx="92">
                  <c:v>1.4155918239679504E-3</c:v>
                </c:pt>
                <c:pt idx="93">
                  <c:v>1.4155918239679504E-3</c:v>
                </c:pt>
                <c:pt idx="94">
                  <c:v>1.4155918239679504E-3</c:v>
                </c:pt>
                <c:pt idx="95">
                  <c:v>1.4155918239679504E-3</c:v>
                </c:pt>
                <c:pt idx="96">
                  <c:v>1.4155918239679504E-3</c:v>
                </c:pt>
                <c:pt idx="97">
                  <c:v>1.4155918239679504E-3</c:v>
                </c:pt>
                <c:pt idx="98">
                  <c:v>1.4155918239679504E-3</c:v>
                </c:pt>
                <c:pt idx="99">
                  <c:v>1.4155918239679504E-3</c:v>
                </c:pt>
                <c:pt idx="100">
                  <c:v>1.4155918239679504E-3</c:v>
                </c:pt>
                <c:pt idx="101">
                  <c:v>1.4155918239679504E-3</c:v>
                </c:pt>
                <c:pt idx="102">
                  <c:v>1.4155918239679504E-3</c:v>
                </c:pt>
                <c:pt idx="103">
                  <c:v>1.4155918239679504E-3</c:v>
                </c:pt>
                <c:pt idx="104">
                  <c:v>1.4155918239679504E-3</c:v>
                </c:pt>
                <c:pt idx="105">
                  <c:v>1.4155918239679504E-3</c:v>
                </c:pt>
                <c:pt idx="106">
                  <c:v>1.4155918239679504E-3</c:v>
                </c:pt>
                <c:pt idx="107">
                  <c:v>1.4155918239679504E-3</c:v>
                </c:pt>
                <c:pt idx="108">
                  <c:v>1.4155918239679504E-3</c:v>
                </c:pt>
                <c:pt idx="109">
                  <c:v>1.4155918239679504E-3</c:v>
                </c:pt>
                <c:pt idx="110">
                  <c:v>1.4155918239679504E-3</c:v>
                </c:pt>
                <c:pt idx="111">
                  <c:v>1.4155918239679504E-3</c:v>
                </c:pt>
                <c:pt idx="112">
                  <c:v>1.4155918239679504E-3</c:v>
                </c:pt>
                <c:pt idx="113">
                  <c:v>1.4155918239679504E-3</c:v>
                </c:pt>
                <c:pt idx="114">
                  <c:v>1.4155918239679504E-3</c:v>
                </c:pt>
                <c:pt idx="115">
                  <c:v>1.4155918239679504E-3</c:v>
                </c:pt>
                <c:pt idx="116">
                  <c:v>1.4155918239679504E-3</c:v>
                </c:pt>
                <c:pt idx="117">
                  <c:v>1.4155918239679504E-3</c:v>
                </c:pt>
                <c:pt idx="118">
                  <c:v>1.4155918239679504E-3</c:v>
                </c:pt>
                <c:pt idx="119">
                  <c:v>1.4155918239679504E-3</c:v>
                </c:pt>
                <c:pt idx="120">
                  <c:v>1.4155918239679504E-3</c:v>
                </c:pt>
                <c:pt idx="121">
                  <c:v>1.4155918239679504E-3</c:v>
                </c:pt>
                <c:pt idx="122">
                  <c:v>1.4155918239679504E-3</c:v>
                </c:pt>
                <c:pt idx="123">
                  <c:v>2.3024699795882483E-3</c:v>
                </c:pt>
                <c:pt idx="124">
                  <c:v>2.3798834299558055E-3</c:v>
                </c:pt>
                <c:pt idx="125">
                  <c:v>2.3798834299558055E-3</c:v>
                </c:pt>
                <c:pt idx="126">
                  <c:v>2.8274925196566754E-3</c:v>
                </c:pt>
                <c:pt idx="127">
                  <c:v>3.4048799621870952E-3</c:v>
                </c:pt>
                <c:pt idx="128">
                  <c:v>3.3553729451640032E-3</c:v>
                </c:pt>
                <c:pt idx="129">
                  <c:v>3.5229491382090931E-3</c:v>
                </c:pt>
                <c:pt idx="130">
                  <c:v>3.222398975005735E-3</c:v>
                </c:pt>
                <c:pt idx="131">
                  <c:v>3.220392532603224E-3</c:v>
                </c:pt>
                <c:pt idx="132">
                  <c:v>3.1689909563408312E-3</c:v>
                </c:pt>
                <c:pt idx="133">
                  <c:v>3.1650603867715114E-3</c:v>
                </c:pt>
                <c:pt idx="134">
                  <c:v>3.0700980248372714E-3</c:v>
                </c:pt>
                <c:pt idx="135">
                  <c:v>3.2800242789962314E-3</c:v>
                </c:pt>
                <c:pt idx="136">
                  <c:v>3.6917955002165113E-3</c:v>
                </c:pt>
                <c:pt idx="137">
                  <c:v>3.6917955002165113E-3</c:v>
                </c:pt>
                <c:pt idx="138">
                  <c:v>3.6917955002165113E-3</c:v>
                </c:pt>
                <c:pt idx="139">
                  <c:v>3.6917955002165113E-3</c:v>
                </c:pt>
                <c:pt idx="140">
                  <c:v>3.6917955002165113E-3</c:v>
                </c:pt>
                <c:pt idx="141">
                  <c:v>3.6917955002165113E-3</c:v>
                </c:pt>
                <c:pt idx="142">
                  <c:v>3.6917955002165113E-3</c:v>
                </c:pt>
                <c:pt idx="143">
                  <c:v>3.6917955002165113E-3</c:v>
                </c:pt>
                <c:pt idx="144">
                  <c:v>3.6917955002165113E-3</c:v>
                </c:pt>
                <c:pt idx="145">
                  <c:v>4.1016883395664514E-3</c:v>
                </c:pt>
                <c:pt idx="146">
                  <c:v>4.1016883395664514E-3</c:v>
                </c:pt>
                <c:pt idx="147">
                  <c:v>4.1533886177466941E-3</c:v>
                </c:pt>
                <c:pt idx="148">
                  <c:v>5.9765324928608924E-3</c:v>
                </c:pt>
                <c:pt idx="149">
                  <c:v>5.9765324928608924E-3</c:v>
                </c:pt>
                <c:pt idx="150">
                  <c:v>5.9765324928608924E-3</c:v>
                </c:pt>
                <c:pt idx="151">
                  <c:v>5.9765324928608924E-3</c:v>
                </c:pt>
                <c:pt idx="152">
                  <c:v>5.9765324928608924E-3</c:v>
                </c:pt>
                <c:pt idx="153">
                  <c:v>5.9765324928608924E-3</c:v>
                </c:pt>
                <c:pt idx="154">
                  <c:v>5.9765324928608924E-3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3F-43DF-813B-5706DA524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6.1178234084519837E-5</c:v>
                </c:pt>
                <c:pt idx="41">
                  <c:v>6.1178234084519837E-5</c:v>
                </c:pt>
                <c:pt idx="42">
                  <c:v>6.1178234084519837E-5</c:v>
                </c:pt>
                <c:pt idx="43">
                  <c:v>6.1178234084519837E-5</c:v>
                </c:pt>
                <c:pt idx="44">
                  <c:v>6.1178234084519837E-5</c:v>
                </c:pt>
                <c:pt idx="45">
                  <c:v>6.1178234084519837E-5</c:v>
                </c:pt>
                <c:pt idx="46">
                  <c:v>6.1178234084519837E-5</c:v>
                </c:pt>
                <c:pt idx="47">
                  <c:v>6.1178234084519837E-5</c:v>
                </c:pt>
                <c:pt idx="48">
                  <c:v>6.1178234084519837E-5</c:v>
                </c:pt>
                <c:pt idx="49">
                  <c:v>6.1178234084519837E-5</c:v>
                </c:pt>
                <c:pt idx="50">
                  <c:v>6.1178234084519837E-5</c:v>
                </c:pt>
                <c:pt idx="51">
                  <c:v>6.1178234084519837E-5</c:v>
                </c:pt>
                <c:pt idx="52">
                  <c:v>6.1178234084519837E-5</c:v>
                </c:pt>
                <c:pt idx="53">
                  <c:v>6.1178234084519837E-5</c:v>
                </c:pt>
                <c:pt idx="54">
                  <c:v>6.1178234084519837E-5</c:v>
                </c:pt>
                <c:pt idx="55">
                  <c:v>6.1178234084519837E-5</c:v>
                </c:pt>
                <c:pt idx="56">
                  <c:v>6.1178234084519837E-5</c:v>
                </c:pt>
                <c:pt idx="57">
                  <c:v>6.1178234084519837E-5</c:v>
                </c:pt>
                <c:pt idx="58">
                  <c:v>6.1178234084519837E-5</c:v>
                </c:pt>
                <c:pt idx="59">
                  <c:v>6.1178234084519837E-5</c:v>
                </c:pt>
                <c:pt idx="60">
                  <c:v>6.1178234084519837E-5</c:v>
                </c:pt>
                <c:pt idx="61">
                  <c:v>6.1178234084519837E-5</c:v>
                </c:pt>
                <c:pt idx="62">
                  <c:v>6.1178234084519837E-5</c:v>
                </c:pt>
                <c:pt idx="63">
                  <c:v>6.1178234084519837E-5</c:v>
                </c:pt>
                <c:pt idx="64">
                  <c:v>6.1178234084519837E-5</c:v>
                </c:pt>
                <c:pt idx="65">
                  <c:v>6.1178234084519837E-5</c:v>
                </c:pt>
                <c:pt idx="66">
                  <c:v>6.1178234084519837E-5</c:v>
                </c:pt>
                <c:pt idx="67">
                  <c:v>6.1178234084519837E-5</c:v>
                </c:pt>
                <c:pt idx="68">
                  <c:v>8.3771149420229832E-5</c:v>
                </c:pt>
                <c:pt idx="69">
                  <c:v>9.7807205258544985E-4</c:v>
                </c:pt>
                <c:pt idx="70">
                  <c:v>1.3234125878073498E-3</c:v>
                </c:pt>
                <c:pt idx="71">
                  <c:v>1.3234125878073498E-3</c:v>
                </c:pt>
                <c:pt idx="72">
                  <c:v>1.3234125878073498E-3</c:v>
                </c:pt>
                <c:pt idx="73">
                  <c:v>1.3234125878073498E-3</c:v>
                </c:pt>
                <c:pt idx="74">
                  <c:v>1.3234125878073498E-3</c:v>
                </c:pt>
                <c:pt idx="75">
                  <c:v>2.6710298438228398E-3</c:v>
                </c:pt>
                <c:pt idx="76">
                  <c:v>2.6710298438228398E-3</c:v>
                </c:pt>
                <c:pt idx="77">
                  <c:v>2.6710298438228398E-3</c:v>
                </c:pt>
                <c:pt idx="78">
                  <c:v>2.6710298438228398E-3</c:v>
                </c:pt>
                <c:pt idx="79">
                  <c:v>2.6710298438228398E-3</c:v>
                </c:pt>
                <c:pt idx="80">
                  <c:v>2.6710298438228398E-3</c:v>
                </c:pt>
                <c:pt idx="81">
                  <c:v>2.6710298438228398E-3</c:v>
                </c:pt>
                <c:pt idx="82">
                  <c:v>2.6710298438228398E-3</c:v>
                </c:pt>
                <c:pt idx="83">
                  <c:v>2.6710298438228398E-3</c:v>
                </c:pt>
                <c:pt idx="84">
                  <c:v>2.6710298438228398E-3</c:v>
                </c:pt>
                <c:pt idx="85">
                  <c:v>2.6710298438228398E-3</c:v>
                </c:pt>
                <c:pt idx="86">
                  <c:v>2.6710298438228398E-3</c:v>
                </c:pt>
                <c:pt idx="87">
                  <c:v>2.6710298438228398E-3</c:v>
                </c:pt>
                <c:pt idx="88">
                  <c:v>2.6710298438228398E-3</c:v>
                </c:pt>
                <c:pt idx="89">
                  <c:v>2.6710298438228398E-3</c:v>
                </c:pt>
                <c:pt idx="90">
                  <c:v>2.6710298438228398E-3</c:v>
                </c:pt>
                <c:pt idx="91">
                  <c:v>2.6710298438228398E-3</c:v>
                </c:pt>
                <c:pt idx="92">
                  <c:v>2.6710298438228398E-3</c:v>
                </c:pt>
                <c:pt idx="93">
                  <c:v>2.6710298438228398E-3</c:v>
                </c:pt>
                <c:pt idx="94">
                  <c:v>2.6710298438228398E-3</c:v>
                </c:pt>
                <c:pt idx="95">
                  <c:v>2.6710298438228398E-3</c:v>
                </c:pt>
                <c:pt idx="96">
                  <c:v>2.6710298438228398E-3</c:v>
                </c:pt>
                <c:pt idx="97">
                  <c:v>2.6710298438228398E-3</c:v>
                </c:pt>
                <c:pt idx="98">
                  <c:v>2.6710298438228398E-3</c:v>
                </c:pt>
                <c:pt idx="99">
                  <c:v>2.6710298438228398E-3</c:v>
                </c:pt>
                <c:pt idx="100">
                  <c:v>2.6710298438228398E-3</c:v>
                </c:pt>
                <c:pt idx="101">
                  <c:v>2.6710298438228398E-3</c:v>
                </c:pt>
                <c:pt idx="102">
                  <c:v>2.6710298438228398E-3</c:v>
                </c:pt>
                <c:pt idx="103">
                  <c:v>2.6710298438228398E-3</c:v>
                </c:pt>
                <c:pt idx="104">
                  <c:v>2.6710298438228398E-3</c:v>
                </c:pt>
                <c:pt idx="105">
                  <c:v>2.6710298438228398E-3</c:v>
                </c:pt>
                <c:pt idx="106">
                  <c:v>2.6710298438228398E-3</c:v>
                </c:pt>
                <c:pt idx="107">
                  <c:v>2.6710298438228398E-3</c:v>
                </c:pt>
                <c:pt idx="108">
                  <c:v>2.6710298438228398E-3</c:v>
                </c:pt>
                <c:pt idx="109">
                  <c:v>2.6710298438228398E-3</c:v>
                </c:pt>
                <c:pt idx="110">
                  <c:v>2.6710298438228398E-3</c:v>
                </c:pt>
                <c:pt idx="111">
                  <c:v>2.6710298438228398E-3</c:v>
                </c:pt>
                <c:pt idx="112">
                  <c:v>2.6710298438228398E-3</c:v>
                </c:pt>
                <c:pt idx="113">
                  <c:v>2.6710298438228398E-3</c:v>
                </c:pt>
                <c:pt idx="114">
                  <c:v>2.6710298438228398E-3</c:v>
                </c:pt>
                <c:pt idx="115">
                  <c:v>2.6710298438228398E-3</c:v>
                </c:pt>
                <c:pt idx="116">
                  <c:v>2.6710298438228398E-3</c:v>
                </c:pt>
                <c:pt idx="117">
                  <c:v>2.6710298438228398E-3</c:v>
                </c:pt>
                <c:pt idx="118">
                  <c:v>2.6710298438228398E-3</c:v>
                </c:pt>
                <c:pt idx="119">
                  <c:v>2.6710298438228398E-3</c:v>
                </c:pt>
                <c:pt idx="120">
                  <c:v>2.6710298438228398E-3</c:v>
                </c:pt>
                <c:pt idx="121">
                  <c:v>2.6710298438228398E-3</c:v>
                </c:pt>
                <c:pt idx="122">
                  <c:v>2.6710298438228398E-3</c:v>
                </c:pt>
                <c:pt idx="123">
                  <c:v>2.6710298438228398E-3</c:v>
                </c:pt>
                <c:pt idx="124">
                  <c:v>2.6710298438228398E-3</c:v>
                </c:pt>
                <c:pt idx="125">
                  <c:v>2.6710298438228398E-3</c:v>
                </c:pt>
                <c:pt idx="126">
                  <c:v>2.6710298438228398E-3</c:v>
                </c:pt>
                <c:pt idx="127">
                  <c:v>2.6710298438228398E-3</c:v>
                </c:pt>
                <c:pt idx="128">
                  <c:v>2.6710298438228398E-3</c:v>
                </c:pt>
                <c:pt idx="129">
                  <c:v>2.6710298438228398E-3</c:v>
                </c:pt>
                <c:pt idx="130">
                  <c:v>2.6710298438228398E-3</c:v>
                </c:pt>
                <c:pt idx="131">
                  <c:v>2.6710298438228398E-3</c:v>
                </c:pt>
                <c:pt idx="132">
                  <c:v>2.6710298438228398E-3</c:v>
                </c:pt>
                <c:pt idx="133">
                  <c:v>2.6710298438228398E-3</c:v>
                </c:pt>
                <c:pt idx="134">
                  <c:v>2.6710298438228398E-3</c:v>
                </c:pt>
                <c:pt idx="135">
                  <c:v>2.6710298438228398E-3</c:v>
                </c:pt>
                <c:pt idx="136">
                  <c:v>2.6710298438228398E-3</c:v>
                </c:pt>
                <c:pt idx="137">
                  <c:v>2.6710298438228398E-3</c:v>
                </c:pt>
                <c:pt idx="138">
                  <c:v>2.6710298438228398E-3</c:v>
                </c:pt>
                <c:pt idx="139">
                  <c:v>2.6710298438228398E-3</c:v>
                </c:pt>
                <c:pt idx="140">
                  <c:v>2.6710298438228398E-3</c:v>
                </c:pt>
                <c:pt idx="141">
                  <c:v>2.6710298438228398E-3</c:v>
                </c:pt>
                <c:pt idx="142">
                  <c:v>2.6710298438228398E-3</c:v>
                </c:pt>
                <c:pt idx="143">
                  <c:v>2.6710298438228398E-3</c:v>
                </c:pt>
                <c:pt idx="144">
                  <c:v>2.6710298438228398E-3</c:v>
                </c:pt>
                <c:pt idx="145">
                  <c:v>2.6710298438228398E-3</c:v>
                </c:pt>
                <c:pt idx="146">
                  <c:v>2.6710298438228398E-3</c:v>
                </c:pt>
                <c:pt idx="147">
                  <c:v>2.6710298438228398E-3</c:v>
                </c:pt>
                <c:pt idx="148">
                  <c:v>2.6710298438228398E-3</c:v>
                </c:pt>
                <c:pt idx="149">
                  <c:v>2.6710298438228398E-3</c:v>
                </c:pt>
                <c:pt idx="150">
                  <c:v>2.6710298438228398E-3</c:v>
                </c:pt>
                <c:pt idx="151">
                  <c:v>2.6710298438228398E-3</c:v>
                </c:pt>
                <c:pt idx="152">
                  <c:v>2.6710298438228398E-3</c:v>
                </c:pt>
                <c:pt idx="153">
                  <c:v>2.6710298438228398E-3</c:v>
                </c:pt>
                <c:pt idx="154">
                  <c:v>3.3940956743137378E-3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14-4B3B-832A-4D4A3D9BD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8.2786809888977012E-4</c:v>
                </c:pt>
                <c:pt idx="37">
                  <c:v>1.4155918239679504E-3</c:v>
                </c:pt>
                <c:pt idx="38">
                  <c:v>1.4155918239679504E-3</c:v>
                </c:pt>
                <c:pt idx="39">
                  <c:v>1.4155918239679504E-3</c:v>
                </c:pt>
                <c:pt idx="40">
                  <c:v>1.4767700580524702E-3</c:v>
                </c:pt>
                <c:pt idx="41">
                  <c:v>1.4767700580524702E-3</c:v>
                </c:pt>
                <c:pt idx="42">
                  <c:v>1.4767700580524702E-3</c:v>
                </c:pt>
                <c:pt idx="43">
                  <c:v>1.4767700580524702E-3</c:v>
                </c:pt>
                <c:pt idx="44">
                  <c:v>1.4767700580524702E-3</c:v>
                </c:pt>
                <c:pt idx="45">
                  <c:v>1.4767700580524702E-3</c:v>
                </c:pt>
                <c:pt idx="46">
                  <c:v>1.4767700580524702E-3</c:v>
                </c:pt>
                <c:pt idx="47">
                  <c:v>1.4767700580524702E-3</c:v>
                </c:pt>
                <c:pt idx="48">
                  <c:v>1.4767700580524702E-3</c:v>
                </c:pt>
                <c:pt idx="49">
                  <c:v>1.4767700580524702E-3</c:v>
                </c:pt>
                <c:pt idx="50">
                  <c:v>1.4767700580524702E-3</c:v>
                </c:pt>
                <c:pt idx="51">
                  <c:v>1.4767700580524702E-3</c:v>
                </c:pt>
                <c:pt idx="52">
                  <c:v>1.4767700580524702E-3</c:v>
                </c:pt>
                <c:pt idx="53">
                  <c:v>1.4767700580524702E-3</c:v>
                </c:pt>
                <c:pt idx="54">
                  <c:v>1.4767700580524702E-3</c:v>
                </c:pt>
                <c:pt idx="55">
                  <c:v>1.4767700580524702E-3</c:v>
                </c:pt>
                <c:pt idx="56">
                  <c:v>1.4767700580524702E-3</c:v>
                </c:pt>
                <c:pt idx="57">
                  <c:v>1.4767700580524702E-3</c:v>
                </c:pt>
                <c:pt idx="58">
                  <c:v>1.4767700580524702E-3</c:v>
                </c:pt>
                <c:pt idx="59">
                  <c:v>1.4767700580524702E-3</c:v>
                </c:pt>
                <c:pt idx="60">
                  <c:v>1.4767700580524702E-3</c:v>
                </c:pt>
                <c:pt idx="61">
                  <c:v>1.4767700580524702E-3</c:v>
                </c:pt>
                <c:pt idx="62">
                  <c:v>1.4767700580524702E-3</c:v>
                </c:pt>
                <c:pt idx="63">
                  <c:v>1.4767700580524702E-3</c:v>
                </c:pt>
                <c:pt idx="64">
                  <c:v>1.4767700580524702E-3</c:v>
                </c:pt>
                <c:pt idx="65">
                  <c:v>1.4767700580524702E-3</c:v>
                </c:pt>
                <c:pt idx="66">
                  <c:v>1.4767700580524702E-3</c:v>
                </c:pt>
                <c:pt idx="67">
                  <c:v>1.4767700580524702E-3</c:v>
                </c:pt>
                <c:pt idx="68">
                  <c:v>1.4993629733881801E-3</c:v>
                </c:pt>
                <c:pt idx="69">
                  <c:v>2.3936638765534E-3</c:v>
                </c:pt>
                <c:pt idx="70">
                  <c:v>2.7390044117753002E-3</c:v>
                </c:pt>
                <c:pt idx="71">
                  <c:v>2.7390044117753002E-3</c:v>
                </c:pt>
                <c:pt idx="72">
                  <c:v>2.7390044117753002E-3</c:v>
                </c:pt>
                <c:pt idx="73">
                  <c:v>2.7390044117753002E-3</c:v>
                </c:pt>
                <c:pt idx="74">
                  <c:v>2.7390044117753002E-3</c:v>
                </c:pt>
                <c:pt idx="75">
                  <c:v>4.08662166779079E-3</c:v>
                </c:pt>
                <c:pt idx="76">
                  <c:v>4.08662166779079E-3</c:v>
                </c:pt>
                <c:pt idx="77">
                  <c:v>4.08662166779079E-3</c:v>
                </c:pt>
                <c:pt idx="78">
                  <c:v>4.08662166779079E-3</c:v>
                </c:pt>
                <c:pt idx="79">
                  <c:v>4.08662166779079E-3</c:v>
                </c:pt>
                <c:pt idx="80">
                  <c:v>4.08662166779079E-3</c:v>
                </c:pt>
                <c:pt idx="81">
                  <c:v>4.08662166779079E-3</c:v>
                </c:pt>
                <c:pt idx="82">
                  <c:v>4.08662166779079E-3</c:v>
                </c:pt>
                <c:pt idx="83">
                  <c:v>4.08662166779079E-3</c:v>
                </c:pt>
                <c:pt idx="84">
                  <c:v>4.08662166779079E-3</c:v>
                </c:pt>
                <c:pt idx="85">
                  <c:v>4.08662166779079E-3</c:v>
                </c:pt>
                <c:pt idx="86">
                  <c:v>4.08662166779079E-3</c:v>
                </c:pt>
                <c:pt idx="87">
                  <c:v>4.08662166779079E-3</c:v>
                </c:pt>
                <c:pt idx="88">
                  <c:v>4.08662166779079E-3</c:v>
                </c:pt>
                <c:pt idx="89">
                  <c:v>4.08662166779079E-3</c:v>
                </c:pt>
                <c:pt idx="90">
                  <c:v>4.08662166779079E-3</c:v>
                </c:pt>
                <c:pt idx="91">
                  <c:v>4.08662166779079E-3</c:v>
                </c:pt>
                <c:pt idx="92">
                  <c:v>4.08662166779079E-3</c:v>
                </c:pt>
                <c:pt idx="93">
                  <c:v>4.08662166779079E-3</c:v>
                </c:pt>
                <c:pt idx="94">
                  <c:v>4.08662166779079E-3</c:v>
                </c:pt>
                <c:pt idx="95">
                  <c:v>4.08662166779079E-3</c:v>
                </c:pt>
                <c:pt idx="96">
                  <c:v>4.08662166779079E-3</c:v>
                </c:pt>
                <c:pt idx="97">
                  <c:v>4.08662166779079E-3</c:v>
                </c:pt>
                <c:pt idx="98">
                  <c:v>4.08662166779079E-3</c:v>
                </c:pt>
                <c:pt idx="99">
                  <c:v>4.08662166779079E-3</c:v>
                </c:pt>
                <c:pt idx="100">
                  <c:v>4.08662166779079E-3</c:v>
                </c:pt>
                <c:pt idx="101">
                  <c:v>4.08662166779079E-3</c:v>
                </c:pt>
                <c:pt idx="102">
                  <c:v>4.08662166779079E-3</c:v>
                </c:pt>
                <c:pt idx="103">
                  <c:v>4.08662166779079E-3</c:v>
                </c:pt>
                <c:pt idx="104">
                  <c:v>4.08662166779079E-3</c:v>
                </c:pt>
                <c:pt idx="105">
                  <c:v>4.08662166779079E-3</c:v>
                </c:pt>
                <c:pt idx="106">
                  <c:v>4.08662166779079E-3</c:v>
                </c:pt>
                <c:pt idx="107">
                  <c:v>4.08662166779079E-3</c:v>
                </c:pt>
                <c:pt idx="108">
                  <c:v>4.08662166779079E-3</c:v>
                </c:pt>
                <c:pt idx="109">
                  <c:v>4.08662166779079E-3</c:v>
                </c:pt>
                <c:pt idx="110">
                  <c:v>4.08662166779079E-3</c:v>
                </c:pt>
                <c:pt idx="111">
                  <c:v>4.08662166779079E-3</c:v>
                </c:pt>
                <c:pt idx="112">
                  <c:v>4.08662166779079E-3</c:v>
                </c:pt>
                <c:pt idx="113">
                  <c:v>4.08662166779079E-3</c:v>
                </c:pt>
                <c:pt idx="114">
                  <c:v>4.08662166779079E-3</c:v>
                </c:pt>
                <c:pt idx="115">
                  <c:v>4.08662166779079E-3</c:v>
                </c:pt>
                <c:pt idx="116">
                  <c:v>4.08662166779079E-3</c:v>
                </c:pt>
                <c:pt idx="117">
                  <c:v>4.08662166779079E-3</c:v>
                </c:pt>
                <c:pt idx="118">
                  <c:v>4.08662166779079E-3</c:v>
                </c:pt>
                <c:pt idx="119">
                  <c:v>4.08662166779079E-3</c:v>
                </c:pt>
                <c:pt idx="120">
                  <c:v>4.08662166779079E-3</c:v>
                </c:pt>
                <c:pt idx="121">
                  <c:v>4.08662166779079E-3</c:v>
                </c:pt>
                <c:pt idx="122">
                  <c:v>4.08662166779079E-3</c:v>
                </c:pt>
                <c:pt idx="123">
                  <c:v>4.9734998234110877E-3</c:v>
                </c:pt>
                <c:pt idx="124">
                  <c:v>5.0509132737786445E-3</c:v>
                </c:pt>
                <c:pt idx="125">
                  <c:v>5.0509132737786445E-3</c:v>
                </c:pt>
                <c:pt idx="126">
                  <c:v>5.4985223634795143E-3</c:v>
                </c:pt>
                <c:pt idx="127">
                  <c:v>6.0759098060099341E-3</c:v>
                </c:pt>
                <c:pt idx="128">
                  <c:v>6.0264027889868422E-3</c:v>
                </c:pt>
                <c:pt idx="129">
                  <c:v>6.1939789820319325E-3</c:v>
                </c:pt>
                <c:pt idx="130">
                  <c:v>5.8934288188285744E-3</c:v>
                </c:pt>
                <c:pt idx="131">
                  <c:v>5.8914223764260634E-3</c:v>
                </c:pt>
                <c:pt idx="132">
                  <c:v>5.8400208001636702E-3</c:v>
                </c:pt>
                <c:pt idx="133">
                  <c:v>5.8360902305943504E-3</c:v>
                </c:pt>
                <c:pt idx="134">
                  <c:v>5.7411278686601104E-3</c:v>
                </c:pt>
                <c:pt idx="135">
                  <c:v>5.9510541228190699E-3</c:v>
                </c:pt>
                <c:pt idx="136">
                  <c:v>6.3628253440393499E-3</c:v>
                </c:pt>
                <c:pt idx="137">
                  <c:v>6.3628253440393499E-3</c:v>
                </c:pt>
                <c:pt idx="138">
                  <c:v>6.3628253440393499E-3</c:v>
                </c:pt>
                <c:pt idx="139">
                  <c:v>6.3628253440393499E-3</c:v>
                </c:pt>
                <c:pt idx="140">
                  <c:v>6.3628253440393499E-3</c:v>
                </c:pt>
                <c:pt idx="141">
                  <c:v>6.3628253440393499E-3</c:v>
                </c:pt>
                <c:pt idx="142">
                  <c:v>6.3628253440393499E-3</c:v>
                </c:pt>
                <c:pt idx="143">
                  <c:v>6.3628253440393499E-3</c:v>
                </c:pt>
                <c:pt idx="144">
                  <c:v>6.3628253440393499E-3</c:v>
                </c:pt>
                <c:pt idx="145">
                  <c:v>6.7727181833892904E-3</c:v>
                </c:pt>
                <c:pt idx="146">
                  <c:v>6.7727181833892904E-3</c:v>
                </c:pt>
                <c:pt idx="147">
                  <c:v>6.8244184615695331E-3</c:v>
                </c:pt>
                <c:pt idx="148">
                  <c:v>8.6475623366837305E-3</c:v>
                </c:pt>
                <c:pt idx="149">
                  <c:v>8.6475623366837305E-3</c:v>
                </c:pt>
                <c:pt idx="150">
                  <c:v>8.6475623366837305E-3</c:v>
                </c:pt>
                <c:pt idx="151">
                  <c:v>8.6475623366837305E-3</c:v>
                </c:pt>
                <c:pt idx="152">
                  <c:v>8.6475623366837305E-3</c:v>
                </c:pt>
                <c:pt idx="153">
                  <c:v>8.6475623366837305E-3</c:v>
                </c:pt>
                <c:pt idx="154">
                  <c:v>9.3706281671746289E-3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35-42E7-92A9-F90DCB3EC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E9D561-8030-42ED-BA70-6AD382C67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65B96A-2849-4372-B562-83F4ACC45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2A3DED-D818-44AB-977C-C19D09226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4D4F9F-AA9A-48F5-AD13-E61C4BF1D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4651B86-F575-44E8-982D-63900E0B2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F34C95-83B0-4D73-AFE0-9BCFE36B9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6BF1DA4-57B7-4E89-9564-B664A76F8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CWB_ICVT_2.xlsx" TargetMode="External"/><Relationship Id="rId1" Type="http://schemas.openxmlformats.org/officeDocument/2006/relationships/externalLinkPath" Target="CWB_ICVT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ICVT/CWB avg</v>
          </cell>
          <cell r="P1" t="str">
            <v>ICVT/CWB 10 dma</v>
          </cell>
          <cell r="Q1" t="str">
            <v>ICVT/CWB 20 dma</v>
          </cell>
          <cell r="U1" t="str">
            <v>log diff CWB x avg / ICVT</v>
          </cell>
          <cell r="V1" t="str">
            <v>log diff CWB x 10 dma / ICVT</v>
          </cell>
          <cell r="W1" t="str">
            <v>log diff CWB x 20 dma / ICVT</v>
          </cell>
          <cell r="Y1" t="str">
            <v>ICVT*/CWB* avg</v>
          </cell>
          <cell r="Z1" t="str">
            <v>ICVT*/CWB* 10 dma</v>
          </cell>
          <cell r="AA1" t="str">
            <v>ICVT*/CWB* 20 dma</v>
          </cell>
          <cell r="AF1" t="str">
            <v>log diff CWB* x 10 dma / ICVT*</v>
          </cell>
          <cell r="AG1" t="str">
            <v>log diff CWB* x 20 dma / ICVT*</v>
          </cell>
        </row>
        <row r="2">
          <cell r="O2">
            <v>1.1144210713463301</v>
          </cell>
          <cell r="Y2">
            <v>1.1139962285470999</v>
          </cell>
        </row>
        <row r="3">
          <cell r="O3">
            <v>1.1144210713463301</v>
          </cell>
          <cell r="U3">
            <v>1.05746316939213E-2</v>
          </cell>
          <cell r="Y3">
            <v>1.1139962285470999</v>
          </cell>
        </row>
        <row r="4">
          <cell r="O4">
            <v>1.1144210713463301</v>
          </cell>
          <cell r="U4">
            <v>1.08596795330909E-2</v>
          </cell>
          <cell r="Y4">
            <v>1.1139962285470999</v>
          </cell>
        </row>
        <row r="5">
          <cell r="O5">
            <v>1.1144210713463301</v>
          </cell>
          <cell r="U5">
            <v>9.96962864367687E-3</v>
          </cell>
          <cell r="Y5">
            <v>1.1139962285470999</v>
          </cell>
        </row>
        <row r="6">
          <cell r="O6">
            <v>1.1144210713463301</v>
          </cell>
          <cell r="U6">
            <v>1.1175336320067101E-2</v>
          </cell>
          <cell r="Y6">
            <v>1.1139962285470999</v>
          </cell>
        </row>
        <row r="7">
          <cell r="O7">
            <v>1.1144210713463301</v>
          </cell>
          <cell r="U7">
            <v>1.18436529824524E-2</v>
          </cell>
          <cell r="Y7">
            <v>1.1139962285470999</v>
          </cell>
        </row>
        <row r="8">
          <cell r="O8">
            <v>1.1144210713463301</v>
          </cell>
          <cell r="U8">
            <v>1.1201130423945001E-2</v>
          </cell>
          <cell r="Y8">
            <v>1.1139962285470999</v>
          </cell>
        </row>
        <row r="9">
          <cell r="O9">
            <v>1.1144210713463301</v>
          </cell>
          <cell r="U9">
            <v>1.1020531580362E-2</v>
          </cell>
          <cell r="Y9">
            <v>1.1139962285470999</v>
          </cell>
        </row>
        <row r="10">
          <cell r="O10">
            <v>1.1144210713463301</v>
          </cell>
          <cell r="U10">
            <v>1.33363193937911E-2</v>
          </cell>
          <cell r="Y10">
            <v>1.1139962285470999</v>
          </cell>
        </row>
        <row r="11">
          <cell r="O11">
            <v>1.1144210713463301</v>
          </cell>
          <cell r="P11">
            <v>1.10218252225373</v>
          </cell>
          <cell r="U11">
            <v>1.16857287889941E-2</v>
          </cell>
          <cell r="Y11">
            <v>1.1139962285470999</v>
          </cell>
          <cell r="Z11">
            <v>1.10218252225373</v>
          </cell>
        </row>
        <row r="12">
          <cell r="O12">
            <v>1.1144210713463301</v>
          </cell>
          <cell r="P12">
            <v>1.1019698516584899</v>
          </cell>
          <cell r="U12">
            <v>1.06941050658673E-2</v>
          </cell>
          <cell r="V12">
            <v>-3.4862128681375598E-4</v>
          </cell>
          <cell r="Y12">
            <v>1.1139962285470999</v>
          </cell>
          <cell r="Z12">
            <v>1.1019698516584899</v>
          </cell>
          <cell r="AF12">
            <v>-3.4862128681375598E-4</v>
          </cell>
        </row>
        <row r="13">
          <cell r="O13">
            <v>1.1144210713463301</v>
          </cell>
          <cell r="P13">
            <v>1.10211778019607</v>
          </cell>
          <cell r="U13">
            <v>9.2340168938129501E-3</v>
          </cell>
          <cell r="V13">
            <v>-2.0016821393526799E-3</v>
          </cell>
          <cell r="Y13">
            <v>1.1139962285470999</v>
          </cell>
          <cell r="Z13">
            <v>1.10211778019607</v>
          </cell>
          <cell r="AF13">
            <v>-2.0016821393526799E-3</v>
          </cell>
        </row>
        <row r="14">
          <cell r="O14">
            <v>1.1144210713463301</v>
          </cell>
          <cell r="P14">
            <v>1.1022267508530501</v>
          </cell>
          <cell r="U14">
            <v>9.8716680516285401E-3</v>
          </cell>
          <cell r="V14">
            <v>-1.22979989593216E-3</v>
          </cell>
          <cell r="Y14">
            <v>1.1139962285470999</v>
          </cell>
          <cell r="Z14">
            <v>1.1022267508530501</v>
          </cell>
          <cell r="AF14">
            <v>-1.22979989593216E-3</v>
          </cell>
        </row>
        <row r="15">
          <cell r="O15">
            <v>1.1144210713463301</v>
          </cell>
          <cell r="P15">
            <v>1.1021958277772299</v>
          </cell>
          <cell r="U15">
            <v>1.02499292195662E-2</v>
          </cell>
          <cell r="V15">
            <v>-7.52669739467281E-4</v>
          </cell>
          <cell r="Y15">
            <v>1.1139962285470999</v>
          </cell>
          <cell r="Z15">
            <v>1.1021958277772299</v>
          </cell>
          <cell r="AF15">
            <v>-7.52669739467281E-4</v>
          </cell>
        </row>
        <row r="16">
          <cell r="O16">
            <v>1.1144210713463301</v>
          </cell>
          <cell r="P16">
            <v>1.1025257937742401</v>
          </cell>
          <cell r="U16">
            <v>8.1856618788641294E-3</v>
          </cell>
          <cell r="V16">
            <v>-2.84499256837346E-3</v>
          </cell>
          <cell r="Y16">
            <v>1.1139962285470999</v>
          </cell>
          <cell r="Z16">
            <v>1.1025257937742401</v>
          </cell>
          <cell r="AF16">
            <v>-2.84499256837346E-3</v>
          </cell>
        </row>
        <row r="17">
          <cell r="O17">
            <v>1.1144210713463301</v>
          </cell>
          <cell r="P17">
            <v>1.1030041073797101</v>
          </cell>
          <cell r="U17">
            <v>7.5098850984687696E-3</v>
          </cell>
          <cell r="V17">
            <v>-3.22144267074281E-3</v>
          </cell>
          <cell r="Y17">
            <v>1.1139962285470999</v>
          </cell>
          <cell r="Z17">
            <v>1.1030041073797101</v>
          </cell>
          <cell r="AF17">
            <v>-3.22144267074281E-3</v>
          </cell>
        </row>
        <row r="18">
          <cell r="O18">
            <v>1.1144210713463301</v>
          </cell>
          <cell r="P18">
            <v>1.10343443701444</v>
          </cell>
          <cell r="U18">
            <v>7.3037755328790198E-3</v>
          </cell>
          <cell r="V18">
            <v>-2.9938119250238499E-3</v>
          </cell>
          <cell r="Y18">
            <v>1.1139962285470999</v>
          </cell>
          <cell r="Z18">
            <v>1.10343443701444</v>
          </cell>
          <cell r="AF18">
            <v>-2.9938119250238499E-3</v>
          </cell>
        </row>
        <row r="19">
          <cell r="O19">
            <v>1.1144210713463301</v>
          </cell>
          <cell r="P19">
            <v>1.1038478134955201</v>
          </cell>
          <cell r="U19">
            <v>7.2771036506855697E-3</v>
          </cell>
          <cell r="V19">
            <v>-2.63041661836424E-3</v>
          </cell>
          <cell r="Y19">
            <v>1.1139962285470999</v>
          </cell>
          <cell r="Z19">
            <v>1.1038478134955201</v>
          </cell>
          <cell r="AF19">
            <v>-2.63041661836424E-3</v>
          </cell>
        </row>
        <row r="20">
          <cell r="O20">
            <v>1.1144210713463301</v>
          </cell>
          <cell r="P20">
            <v>1.1047025694064001</v>
          </cell>
          <cell r="U20">
            <v>5.5934442046346898E-3</v>
          </cell>
          <cell r="V20">
            <v>-3.93951908529347E-3</v>
          </cell>
          <cell r="Y20">
            <v>1.1139962285470999</v>
          </cell>
          <cell r="Z20">
            <v>1.1047025694064001</v>
          </cell>
          <cell r="AF20">
            <v>-3.93951908529347E-3</v>
          </cell>
        </row>
        <row r="21">
          <cell r="O21">
            <v>1.1144210713463301</v>
          </cell>
          <cell r="P21">
            <v>1.1053902827786499</v>
          </cell>
          <cell r="Q21">
            <v>1.1037864025161901</v>
          </cell>
          <cell r="U21">
            <v>5.46156603020831E-3</v>
          </cell>
          <cell r="V21">
            <v>-3.2973547382751998E-3</v>
          </cell>
          <cell r="Y21">
            <v>1.1139962285470999</v>
          </cell>
          <cell r="Z21">
            <v>1.1053902827786499</v>
          </cell>
          <cell r="AA21">
            <v>1.1037864025161901</v>
          </cell>
          <cell r="AF21">
            <v>-3.2973547382751998E-3</v>
          </cell>
        </row>
        <row r="22">
          <cell r="O22">
            <v>1.1144210713463301</v>
          </cell>
          <cell r="P22">
            <v>1.1059628469210001</v>
          </cell>
          <cell r="Q22">
            <v>1.10396634928975</v>
          </cell>
          <cell r="U22">
            <v>5.5145314927438497E-3</v>
          </cell>
          <cell r="V22">
            <v>-2.6220503601897798E-3</v>
          </cell>
          <cell r="W22">
            <v>-4.0740669009533999E-3</v>
          </cell>
          <cell r="Y22">
            <v>1.1139962285470999</v>
          </cell>
          <cell r="Z22">
            <v>1.10597542518287</v>
          </cell>
          <cell r="AA22">
            <v>1.1039726384206801</v>
          </cell>
          <cell r="AF22">
            <v>-2.73553618129315E-3</v>
          </cell>
          <cell r="AG22">
            <v>-4.1875527220567397E-3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1.1144210713463301</v>
          </cell>
          <cell r="P23">
            <v>1.1066905063647099</v>
          </cell>
          <cell r="Q23">
            <v>1.1044041432803899</v>
          </cell>
          <cell r="U23">
            <v>2.66557989263968E-3</v>
          </cell>
          <cell r="V23">
            <v>-4.9531614151102797E-3</v>
          </cell>
          <cell r="W23">
            <v>-6.7600049808109602E-3</v>
          </cell>
          <cell r="Y23">
            <v>1.1139962285470999</v>
          </cell>
          <cell r="Z23">
            <v>1.10671536854659</v>
          </cell>
          <cell r="AA23">
            <v>1.1044165743713299</v>
          </cell>
          <cell r="AF23">
            <v>-5.0523033690297496E-3</v>
          </cell>
          <cell r="AG23">
            <v>-6.86482316845171E-3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1.1144210713463301</v>
          </cell>
          <cell r="P24">
            <v>1.10710703283626</v>
          </cell>
          <cell r="Q24">
            <v>1.10466689184466</v>
          </cell>
          <cell r="U24">
            <v>6.1040911342382601E-3</v>
          </cell>
          <cell r="V24">
            <v>-8.5692448966800797E-4</v>
          </cell>
          <cell r="W24">
            <v>-2.9250077348453498E-3</v>
          </cell>
          <cell r="Y24">
            <v>1.1139962285470999</v>
          </cell>
          <cell r="Z24">
            <v>1.1071446706829999</v>
          </cell>
          <cell r="AA24">
            <v>1.1046857107680199</v>
          </cell>
          <cell r="AF24">
            <v>-9.4979413436858896E-4</v>
          </cell>
          <cell r="AG24">
            <v>-3.0290866079398199E-3</v>
          </cell>
          <cell r="AR24">
            <v>3.4385112415986994E-3</v>
          </cell>
          <cell r="BC24">
            <v>0</v>
          </cell>
          <cell r="BF24">
            <v>3.4385112415986994E-3</v>
          </cell>
        </row>
        <row r="25">
          <cell r="O25">
            <v>1.1144210713463301</v>
          </cell>
          <cell r="P25">
            <v>1.10779194162496</v>
          </cell>
          <cell r="Q25">
            <v>1.1049938847010901</v>
          </cell>
          <cell r="U25">
            <v>4.0599373485521303E-3</v>
          </cell>
          <cell r="V25">
            <v>-2.52477785122995E-3</v>
          </cell>
          <cell r="W25">
            <v>-4.7312800207258802E-3</v>
          </cell>
          <cell r="Y25">
            <v>1.1139962285470999</v>
          </cell>
          <cell r="Z25">
            <v>1.10784235791402</v>
          </cell>
          <cell r="AA25">
            <v>1.1050190928456201</v>
          </cell>
          <cell r="AF25">
            <v>-2.6059061039310901E-3</v>
          </cell>
          <cell r="AG25">
            <v>-4.8293685797532399E-3</v>
          </cell>
          <cell r="AR25">
            <v>1.3943574559126988E-3</v>
          </cell>
          <cell r="BC25">
            <v>0</v>
          </cell>
          <cell r="BF25">
            <v>1.3943574559126988E-3</v>
          </cell>
        </row>
        <row r="26">
          <cell r="O26">
            <v>1.1144210713463301</v>
          </cell>
          <cell r="P26">
            <v>1.1083919201647201</v>
          </cell>
          <cell r="Q26">
            <v>1.1054588569694801</v>
          </cell>
          <cell r="U26">
            <v>2.7723211054568502E-3</v>
          </cell>
          <cell r="V26">
            <v>-3.1939380668311798E-3</v>
          </cell>
          <cell r="W26">
            <v>-5.7229296952945596E-3</v>
          </cell>
          <cell r="Y26">
            <v>1.1139962285470999</v>
          </cell>
          <cell r="Z26">
            <v>1.1084546181917201</v>
          </cell>
          <cell r="AA26">
            <v>1.1054902059829801</v>
          </cell>
          <cell r="AF26">
            <v>-3.25893567616277E-3</v>
          </cell>
          <cell r="AG26">
            <v>-5.81062421437581E-3</v>
          </cell>
          <cell r="AR26">
            <v>1.0674121281739959E-4</v>
          </cell>
          <cell r="BC26">
            <v>0</v>
          </cell>
          <cell r="BF26">
            <v>1.0674121281739959E-4</v>
          </cell>
        </row>
        <row r="27">
          <cell r="O27">
            <v>1.1144210713463301</v>
          </cell>
          <cell r="P27">
            <v>1.1084655574172899</v>
          </cell>
          <cell r="Q27">
            <v>1.1057348323984999</v>
          </cell>
          <cell r="U27">
            <v>6.8443587748397896E-3</v>
          </cell>
          <cell r="V27">
            <v>1.4195515684884601E-3</v>
          </cell>
          <cell r="W27">
            <v>-1.2301888220109501E-3</v>
          </cell>
          <cell r="Y27">
            <v>1.1139962285470999</v>
          </cell>
          <cell r="Z27">
            <v>1.10854080857097</v>
          </cell>
          <cell r="AA27">
            <v>1.1057724579753401</v>
          </cell>
          <cell r="AF27">
            <v>1.36270686554398E-3</v>
          </cell>
          <cell r="AG27">
            <v>-1.3152406135010599E-3</v>
          </cell>
          <cell r="AR27">
            <v>4.1787788822000996E-3</v>
          </cell>
          <cell r="BC27">
            <v>0</v>
          </cell>
          <cell r="BF27">
            <v>4.1787788822000996E-3</v>
          </cell>
        </row>
        <row r="28">
          <cell r="O28">
            <v>1.1144210713463301</v>
          </cell>
          <cell r="P28">
            <v>1.1085015227386901</v>
          </cell>
          <cell r="Q28">
            <v>1.10596797987657</v>
          </cell>
          <cell r="U28">
            <v>6.9787361111354604E-3</v>
          </cell>
          <cell r="V28">
            <v>1.6203628125535301E-3</v>
          </cell>
          <cell r="W28">
            <v>-8.46194790642671E-4</v>
          </cell>
          <cell r="Y28">
            <v>1.1139962285470999</v>
          </cell>
          <cell r="Z28">
            <v>1.1085893975812799</v>
          </cell>
          <cell r="AA28">
            <v>1.10601191729786</v>
          </cell>
          <cell r="AF28">
            <v>1.5741856502383101E-3</v>
          </cell>
          <cell r="AG28">
            <v>-9.26230239225705E-4</v>
          </cell>
          <cell r="AR28">
            <v>4.1787788822000996E-3</v>
          </cell>
          <cell r="BC28">
            <v>0</v>
          </cell>
          <cell r="BF28">
            <v>4.1787788822000996E-3</v>
          </cell>
        </row>
        <row r="29">
          <cell r="O29">
            <v>1.1144210713463301</v>
          </cell>
          <cell r="P29">
            <v>1.10834363821227</v>
          </cell>
          <cell r="Q29">
            <v>1.1060957258538999</v>
          </cell>
          <cell r="U29">
            <v>8.7052105991603096E-3</v>
          </cell>
          <cell r="V29">
            <v>3.3792828174521502E-3</v>
          </cell>
          <cell r="W29">
            <v>1.0911104452012599E-3</v>
          </cell>
          <cell r="Y29">
            <v>1.1139962285470999</v>
          </cell>
          <cell r="Z29">
            <v>1.10844432282976</v>
          </cell>
          <cell r="AA29">
            <v>1.1061460681626401</v>
          </cell>
          <cell r="AF29">
            <v>3.3426093910330201E-3</v>
          </cell>
          <cell r="AG29">
            <v>1.0148933999981301E-3</v>
          </cell>
          <cell r="AR29">
            <v>4.1787788822000996E-3</v>
          </cell>
          <cell r="BC29">
            <v>0</v>
          </cell>
          <cell r="BF29">
            <v>4.1787788822000996E-3</v>
          </cell>
        </row>
        <row r="30">
          <cell r="O30">
            <v>1.1144210713463301</v>
          </cell>
          <cell r="P30">
            <v>1.1080970899940199</v>
          </cell>
          <cell r="Q30">
            <v>1.10639982970021</v>
          </cell>
          <cell r="U30">
            <v>7.8206754087438799E-3</v>
          </cell>
          <cell r="V30">
            <v>2.3523068923657201E-3</v>
          </cell>
          <cell r="W30">
            <v>3.2207462050344598E-4</v>
          </cell>
          <cell r="Y30">
            <v>1.1139962285470999</v>
          </cell>
          <cell r="Z30">
            <v>1.1082105750847799</v>
          </cell>
          <cell r="AA30">
            <v>1.1064565722455899</v>
          </cell>
          <cell r="AF30">
            <v>2.3273879754857701E-3</v>
          </cell>
          <cell r="AG30">
            <v>2.5182989347688901E-4</v>
          </cell>
          <cell r="AR30">
            <v>4.1787788822000996E-3</v>
          </cell>
          <cell r="BC30">
            <v>0</v>
          </cell>
          <cell r="BF30">
            <v>4.1787788822000996E-3</v>
          </cell>
        </row>
        <row r="31">
          <cell r="O31">
            <v>1.1144210713463301</v>
          </cell>
          <cell r="P31">
            <v>1.1080756427320499</v>
          </cell>
          <cell r="Q31">
            <v>1.1067329627553499</v>
          </cell>
          <cell r="U31">
            <v>5.6550907699120696E-3</v>
          </cell>
          <cell r="V31">
            <v>-3.5749943567257801E-5</v>
          </cell>
          <cell r="W31">
            <v>-1.5686133321277801E-3</v>
          </cell>
          <cell r="Y31">
            <v>1.1139962285470999</v>
          </cell>
          <cell r="Z31">
            <v>1.10820162853948</v>
          </cell>
          <cell r="AA31">
            <v>1.1067959556590601</v>
          </cell>
          <cell r="AF31">
            <v>-4.6142866479113401E-5</v>
          </cell>
          <cell r="AG31">
            <v>-1.6301309687418301E-3</v>
          </cell>
          <cell r="AR31">
            <v>4.1787788822000996E-3</v>
          </cell>
          <cell r="BC31">
            <v>0</v>
          </cell>
          <cell r="BF31">
            <v>4.1787788822000996E-3</v>
          </cell>
        </row>
        <row r="32">
          <cell r="O32">
            <v>1.1144210713463301</v>
          </cell>
          <cell r="P32">
            <v>1.1078287965873499</v>
          </cell>
          <cell r="Q32">
            <v>1.10689582175417</v>
          </cell>
          <cell r="U32">
            <v>7.7442809053578903E-3</v>
          </cell>
          <cell r="V32">
            <v>2.0340849659554899E-3</v>
          </cell>
          <cell r="W32">
            <v>8.2162792758470405E-4</v>
          </cell>
          <cell r="Y32">
            <v>1.1139962285470999</v>
          </cell>
          <cell r="Z32">
            <v>1.1079548795352001</v>
          </cell>
          <cell r="AA32">
            <v>1.10696515235903</v>
          </cell>
          <cell r="AF32">
            <v>2.0331588655624002E-3</v>
          </cell>
          <cell r="AG32">
            <v>7.6392671908580897E-4</v>
          </cell>
          <cell r="AR32">
            <v>4.1787788822000996E-3</v>
          </cell>
          <cell r="BC32">
            <v>0</v>
          </cell>
          <cell r="BF32">
            <v>4.1787788822000996E-3</v>
          </cell>
        </row>
        <row r="33">
          <cell r="O33">
            <v>1.1144210713463301</v>
          </cell>
          <cell r="P33">
            <v>1.1074198389269301</v>
          </cell>
          <cell r="Q33">
            <v>1.10705517264582</v>
          </cell>
          <cell r="U33">
            <v>6.3518478074971602E-3</v>
          </cell>
          <cell r="V33">
            <v>4.18856930417296E-4</v>
          </cell>
          <cell r="W33">
            <v>-4.2366306564551502E-4</v>
          </cell>
          <cell r="Y33">
            <v>1.1139962285470999</v>
          </cell>
          <cell r="Z33">
            <v>1.10754615611185</v>
          </cell>
          <cell r="AA33">
            <v>1.1071307623292199</v>
          </cell>
          <cell r="AF33">
            <v>4.1962314687948898E-4</v>
          </cell>
          <cell r="AG33">
            <v>-4.7406802732875901E-4</v>
          </cell>
          <cell r="AR33">
            <v>4.1787788822000996E-3</v>
          </cell>
          <cell r="BC33">
            <v>0</v>
          </cell>
          <cell r="BF33">
            <v>4.1787788822000996E-3</v>
          </cell>
        </row>
        <row r="34">
          <cell r="O34">
            <v>1.1144210713463301</v>
          </cell>
          <cell r="P34">
            <v>1.1074792438535099</v>
          </cell>
          <cell r="Q34">
            <v>1.1072931383448901</v>
          </cell>
          <cell r="U34">
            <v>5.5679147433445502E-3</v>
          </cell>
          <cell r="V34">
            <v>-7.3429668849226597E-4</v>
          </cell>
          <cell r="W34">
            <v>-1.06364453165758E-3</v>
          </cell>
          <cell r="Y34">
            <v>1.1139962285470999</v>
          </cell>
          <cell r="Z34">
            <v>1.1076052155228799</v>
          </cell>
          <cell r="AA34">
            <v>1.10737494310294</v>
          </cell>
          <cell r="AF34">
            <v>-7.3239434382719396E-4</v>
          </cell>
          <cell r="AG34">
            <v>-1.10752245758602E-3</v>
          </cell>
          <cell r="AR34">
            <v>4.1787788822000996E-3</v>
          </cell>
          <cell r="BC34">
            <v>0</v>
          </cell>
          <cell r="BF34">
            <v>4.1787788822000996E-3</v>
          </cell>
        </row>
        <row r="35">
          <cell r="O35">
            <v>1.1144210713463301</v>
          </cell>
          <cell r="P35">
            <v>1.1074882448240499</v>
          </cell>
          <cell r="Q35">
            <v>1.1076400932245001</v>
          </cell>
          <cell r="U35">
            <v>3.9788439271234198E-3</v>
          </cell>
          <cell r="V35">
            <v>-2.2697263008695399E-3</v>
          </cell>
          <cell r="W35">
            <v>-2.4377846625839202E-3</v>
          </cell>
          <cell r="Y35">
            <v>1.1139962285470999</v>
          </cell>
          <cell r="Z35">
            <v>1.1076137523404701</v>
          </cell>
          <cell r="AA35">
            <v>1.1077280551272399</v>
          </cell>
          <cell r="AF35">
            <v>-2.2669202796935998E-3</v>
          </cell>
          <cell r="AG35">
            <v>-2.4748430638997202E-3</v>
          </cell>
          <cell r="AR35">
            <v>4.1787788822000996E-3</v>
          </cell>
          <cell r="BC35">
            <v>0</v>
          </cell>
          <cell r="BF35">
            <v>4.1787788822000996E-3</v>
          </cell>
        </row>
        <row r="36">
          <cell r="O36">
            <v>1.1144210713463301</v>
          </cell>
          <cell r="P36">
            <v>1.1072332353190599</v>
          </cell>
          <cell r="Q36">
            <v>1.1078125777418899</v>
          </cell>
          <cell r="U36">
            <v>5.0695792751700598E-3</v>
          </cell>
          <cell r="V36">
            <v>-1.1708635463621401E-3</v>
          </cell>
          <cell r="W36">
            <v>-1.03376232465588E-3</v>
          </cell>
          <cell r="Y36">
            <v>1.1139962285470999</v>
          </cell>
          <cell r="Z36">
            <v>1.10735895281897</v>
          </cell>
          <cell r="AA36">
            <v>1.1079067855053399</v>
          </cell>
          <cell r="AF36">
            <v>-1.17019862339824E-3</v>
          </cell>
          <cell r="AG36">
            <v>-1.0670066134858701E-3</v>
          </cell>
          <cell r="AR36">
            <v>4.1787788822000996E-3</v>
          </cell>
          <cell r="BC36">
            <v>0</v>
          </cell>
          <cell r="BF36">
            <v>4.1787788822000996E-3</v>
          </cell>
        </row>
        <row r="37">
          <cell r="O37">
            <v>1.1144210713463301</v>
          </cell>
          <cell r="P37">
            <v>1.10707703487428</v>
          </cell>
          <cell r="Q37">
            <v>1.10777129614579</v>
          </cell>
          <cell r="U37">
            <v>8.2566102881507994E-3</v>
          </cell>
          <cell r="V37">
            <v>1.7858816194796601E-3</v>
          </cell>
          <cell r="W37">
            <v>2.3089790945967099E-3</v>
          </cell>
          <cell r="Y37">
            <v>1.1139962285470999</v>
          </cell>
          <cell r="Z37">
            <v>1.10720290872912</v>
          </cell>
          <cell r="AA37">
            <v>1.10787185865005</v>
          </cell>
          <cell r="AF37">
            <v>1.78443268178854E-3</v>
          </cell>
          <cell r="AG37">
            <v>2.2790304070788299E-3</v>
          </cell>
          <cell r="AR37">
            <v>4.1787788822000996E-3</v>
          </cell>
          <cell r="BC37">
            <v>0</v>
          </cell>
          <cell r="BF37">
            <v>4.1787788822000996E-3</v>
          </cell>
        </row>
        <row r="38">
          <cell r="O38">
            <v>1.1144210713463301</v>
          </cell>
          <cell r="P38">
            <v>1.1069412149388</v>
          </cell>
          <cell r="Q38">
            <v>1.1077213688387499</v>
          </cell>
          <cell r="U38">
            <v>8.2067737247030394E-3</v>
          </cell>
          <cell r="V38">
            <v>1.5949623476692501E-3</v>
          </cell>
          <cell r="W38">
            <v>2.2218777752593499E-3</v>
          </cell>
          <cell r="Y38">
            <v>1.1139962285470999</v>
          </cell>
          <cell r="Z38">
            <v>1.1070670753365199</v>
          </cell>
          <cell r="AA38">
            <v>1.1078282364589001</v>
          </cell>
          <cell r="AF38">
            <v>1.59457420571143E-3</v>
          </cell>
          <cell r="AG38">
            <v>2.1985718234104798E-3</v>
          </cell>
          <cell r="AR38">
            <v>4.1787788822000996E-3</v>
          </cell>
          <cell r="BC38">
            <v>0</v>
          </cell>
          <cell r="BF38">
            <v>4.1787788822000996E-3</v>
          </cell>
        </row>
        <row r="39">
          <cell r="O39">
            <v>1.1144210713463301</v>
          </cell>
          <cell r="P39">
            <v>1.10732018381887</v>
          </cell>
          <cell r="Q39">
            <v>1.1078319110155701</v>
          </cell>
          <cell r="U39">
            <v>5.2807589730952797E-3</v>
          </cell>
          <cell r="V39">
            <v>-1.4537432947317301E-3</v>
          </cell>
          <cell r="W39">
            <v>-7.4920804143233002E-4</v>
          </cell>
          <cell r="Y39">
            <v>1.1139962285470999</v>
          </cell>
          <cell r="Z39">
            <v>1.1074456239852699</v>
          </cell>
          <cell r="AA39">
            <v>1.10794497340751</v>
          </cell>
          <cell r="AF39">
            <v>-1.4518057920873499E-3</v>
          </cell>
          <cell r="AG39">
            <v>-7.6449461463612802E-4</v>
          </cell>
          <cell r="AR39">
            <v>4.1787788822000996E-3</v>
          </cell>
          <cell r="BC39">
            <v>0</v>
          </cell>
          <cell r="BF39">
            <v>4.1787788822000996E-3</v>
          </cell>
        </row>
        <row r="40">
          <cell r="O40">
            <v>1.1144210713463301</v>
          </cell>
          <cell r="P40">
            <v>1.1077655137798901</v>
          </cell>
          <cell r="Q40">
            <v>1.1079313018869501</v>
          </cell>
          <cell r="U40">
            <v>3.8013238661691899E-3</v>
          </cell>
          <cell r="V40">
            <v>-2.5908801671436698E-3</v>
          </cell>
          <cell r="W40">
            <v>-2.1288557246723198E-3</v>
          </cell>
          <cell r="Y40">
            <v>1.1139962285470999</v>
          </cell>
          <cell r="Z40">
            <v>1.10789048366265</v>
          </cell>
          <cell r="AA40">
            <v>1.10805052937371</v>
          </cell>
          <cell r="AF40">
            <v>-2.5886612593775298E-3</v>
          </cell>
          <cell r="AG40">
            <v>-2.1378609072493998E-3</v>
          </cell>
          <cell r="AR40">
            <v>4.1787788822000996E-3</v>
          </cell>
          <cell r="BC40">
            <v>0</v>
          </cell>
          <cell r="BF40">
            <v>4.1787788822000996E-3</v>
          </cell>
        </row>
        <row r="41">
          <cell r="O41">
            <v>1.1144210713463301</v>
          </cell>
          <cell r="P41">
            <v>1.1084253497075101</v>
          </cell>
          <cell r="Q41">
            <v>1.1082504962197799</v>
          </cell>
          <cell r="U41">
            <v>-2.8171471477579299E-4</v>
          </cell>
          <cell r="V41">
            <v>-6.27183049705688E-3</v>
          </cell>
          <cell r="W41">
            <v>-6.1221817669601299E-3</v>
          </cell>
          <cell r="Y41">
            <v>1.1139962285470999</v>
          </cell>
          <cell r="Z41">
            <v>1.10851427827775</v>
          </cell>
          <cell r="AA41">
            <v>1.1083579534086101</v>
          </cell>
          <cell r="AF41">
            <v>-5.9478253836574803E-3</v>
          </cell>
          <cell r="AG41">
            <v>-5.8033759507517303E-3</v>
          </cell>
          <cell r="AR41">
            <v>4.1787788822000996E-3</v>
          </cell>
          <cell r="BC41">
            <v>0</v>
          </cell>
          <cell r="BF41">
            <v>4.1787788822000996E-3</v>
          </cell>
        </row>
        <row r="42">
          <cell r="O42">
            <v>1.1144210713463301</v>
          </cell>
          <cell r="P42">
            <v>1.10883349412409</v>
          </cell>
          <cell r="Q42">
            <v>1.1083311453557201</v>
          </cell>
          <cell r="U42">
            <v>4.0602131207383603E-3</v>
          </cell>
          <cell r="V42">
            <v>-1.3344341412216301E-3</v>
          </cell>
          <cell r="W42">
            <v>-1.4921960335717199E-3</v>
          </cell>
          <cell r="Y42">
            <v>1.1139962285470999</v>
          </cell>
          <cell r="Z42">
            <v>1.10888699241134</v>
          </cell>
          <cell r="AA42">
            <v>1.10842093597327</v>
          </cell>
          <cell r="AF42">
            <v>-1.04917031048892E-3</v>
          </cell>
          <cell r="AG42">
            <v>-1.1902022266847901E-3</v>
          </cell>
          <cell r="AR42">
            <v>8.5207067177144012E-3</v>
          </cell>
          <cell r="BC42">
            <v>0</v>
          </cell>
          <cell r="BF42">
            <v>8.5207067177144012E-3</v>
          </cell>
        </row>
        <row r="43">
          <cell r="O43">
            <v>1.1144210713463301</v>
          </cell>
          <cell r="P43">
            <v>1.10919393213051</v>
          </cell>
          <cell r="Q43">
            <v>1.1083068855287199</v>
          </cell>
          <cell r="U43">
            <v>3.1022171978052101E-3</v>
          </cell>
          <cell r="V43">
            <v>-1.9242778095531099E-3</v>
          </cell>
          <cell r="W43">
            <v>-2.3774230275721299E-3</v>
          </cell>
          <cell r="Y43">
            <v>1.1139962285470999</v>
          </cell>
          <cell r="Z43">
            <v>1.1092121144000999</v>
          </cell>
          <cell r="AA43">
            <v>1.10837913525598</v>
          </cell>
          <cell r="AF43">
            <v>-1.6708036123632801E-3</v>
          </cell>
          <cell r="AG43">
            <v>-2.0911840556645002E-3</v>
          </cell>
          <cell r="AR43">
            <v>8.5207067177144012E-3</v>
          </cell>
          <cell r="BC43">
            <v>0</v>
          </cell>
          <cell r="BF43">
            <v>8.5207067177144012E-3</v>
          </cell>
        </row>
        <row r="44">
          <cell r="O44">
            <v>1.1144210713463301</v>
          </cell>
          <cell r="P44">
            <v>1.10940886401552</v>
          </cell>
          <cell r="Q44">
            <v>1.10844405393451</v>
          </cell>
          <cell r="U44">
            <v>3.6303828970565498E-3</v>
          </cell>
          <cell r="V44">
            <v>-1.0711043982089699E-3</v>
          </cell>
          <cell r="W44">
            <v>-1.8711461768084899E-3</v>
          </cell>
          <cell r="Y44">
            <v>1.1139962285470999</v>
          </cell>
          <cell r="Z44">
            <v>1.1093917324395699</v>
          </cell>
          <cell r="AA44">
            <v>1.10849847398123</v>
          </cell>
          <cell r="AF44">
            <v>-8.4860258221382604E-4</v>
          </cell>
          <cell r="AG44">
            <v>-1.59984939871474E-3</v>
          </cell>
          <cell r="AR44">
            <v>8.5207067177144012E-3</v>
          </cell>
          <cell r="BC44">
            <v>0</v>
          </cell>
          <cell r="BF44">
            <v>8.5207067177144012E-3</v>
          </cell>
        </row>
        <row r="45">
          <cell r="O45">
            <v>1.1144210713463301</v>
          </cell>
          <cell r="P45">
            <v>1.1092917040115899</v>
          </cell>
          <cell r="Q45">
            <v>1.1083899744178201</v>
          </cell>
          <cell r="U45">
            <v>5.0349009089885001E-3</v>
          </cell>
          <cell r="V45">
            <v>5.2716788650975302E-4</v>
          </cell>
          <cell r="W45">
            <v>-3.4287190202318799E-4</v>
          </cell>
          <cell r="Y45">
            <v>1.1139962285470999</v>
          </cell>
          <cell r="Z45">
            <v>1.10923934568758</v>
          </cell>
          <cell r="AA45">
            <v>1.1084265490140199</v>
          </cell>
          <cell r="AF45">
            <v>7.1838448220650495E-4</v>
          </cell>
          <cell r="AG45">
            <v>-8.7118426871101294E-5</v>
          </cell>
          <cell r="AR45">
            <v>8.5207067177144012E-3</v>
          </cell>
          <cell r="BC45">
            <v>0</v>
          </cell>
          <cell r="BF45">
            <v>8.5207067177144012E-3</v>
          </cell>
        </row>
        <row r="46">
          <cell r="O46">
            <v>1.1144210713463301</v>
          </cell>
          <cell r="P46">
            <v>1.10951467161099</v>
          </cell>
          <cell r="Q46">
            <v>1.1083739534650201</v>
          </cell>
          <cell r="U46">
            <v>3.0606815194148202E-3</v>
          </cell>
          <cell r="V46">
            <v>-1.5526628737270801E-3</v>
          </cell>
          <cell r="W46">
            <v>-2.3658811567965599E-3</v>
          </cell>
          <cell r="Y46">
            <v>1.1139962285470999</v>
          </cell>
          <cell r="Z46">
            <v>1.10942673791838</v>
          </cell>
          <cell r="AA46">
            <v>1.10839284536867</v>
          </cell>
          <cell r="AF46">
            <v>-1.3920714576932699E-3</v>
          </cell>
          <cell r="AG46">
            <v>-2.12509144225667E-3</v>
          </cell>
          <cell r="AR46">
            <v>8.5207067177144012E-3</v>
          </cell>
          <cell r="BC46">
            <v>0</v>
          </cell>
          <cell r="BF46">
            <v>8.5207067177144012E-3</v>
          </cell>
        </row>
        <row r="47">
          <cell r="O47">
            <v>1.1144210713463301</v>
          </cell>
          <cell r="P47">
            <v>1.1102672675293801</v>
          </cell>
          <cell r="Q47">
            <v>1.10867215120183</v>
          </cell>
          <cell r="U47">
            <v>1.47045309695348E-3</v>
          </cell>
          <cell r="V47">
            <v>-2.9419115238217999E-3</v>
          </cell>
          <cell r="W47">
            <v>-3.9705639400440798E-3</v>
          </cell>
          <cell r="Y47">
            <v>1.1139962285470999</v>
          </cell>
          <cell r="Z47">
            <v>1.1101431340571599</v>
          </cell>
          <cell r="AA47">
            <v>1.1086730213931399</v>
          </cell>
          <cell r="AF47">
            <v>-2.8100516374613802E-3</v>
          </cell>
          <cell r="AG47">
            <v>-3.7424021608242698E-3</v>
          </cell>
          <cell r="AR47">
            <v>8.5207067177144012E-3</v>
          </cell>
          <cell r="BC47">
            <v>0</v>
          </cell>
          <cell r="BF47">
            <v>8.5207067177144012E-3</v>
          </cell>
        </row>
        <row r="48">
          <cell r="O48">
            <v>1.1144210713463301</v>
          </cell>
          <cell r="P48">
            <v>1.1111324666203499</v>
          </cell>
          <cell r="Q48">
            <v>1.1090368407795801</v>
          </cell>
          <cell r="U48">
            <v>4.0960982865027298E-4</v>
          </cell>
          <cell r="V48">
            <v>-3.3246738203276298E-3</v>
          </cell>
          <cell r="W48">
            <v>-4.7624026639844202E-3</v>
          </cell>
          <cell r="Y48">
            <v>1.1139962285470999</v>
          </cell>
          <cell r="Z48">
            <v>1.1109720495409801</v>
          </cell>
          <cell r="AA48">
            <v>1.10901956243875</v>
          </cell>
          <cell r="AF48">
            <v>-3.2239479284966802E-3</v>
          </cell>
          <cell r="AG48">
            <v>-4.5490805903732603E-3</v>
          </cell>
          <cell r="AR48">
            <v>8.5207067177144012E-3</v>
          </cell>
          <cell r="BC48">
            <v>0</v>
          </cell>
          <cell r="BF48">
            <v>8.5207067177144012E-3</v>
          </cell>
        </row>
        <row r="49">
          <cell r="O49">
            <v>1.1144210713463301</v>
          </cell>
          <cell r="P49">
            <v>1.11114332921346</v>
          </cell>
          <cell r="Q49">
            <v>1.10923175651616</v>
          </cell>
          <cell r="U49">
            <v>5.1827747115534102E-3</v>
          </cell>
          <cell r="V49">
            <v>2.2274585950007499E-3</v>
          </cell>
          <cell r="W49">
            <v>3.39650799296794E-4</v>
          </cell>
          <cell r="Y49">
            <v>1.1139962285470999</v>
          </cell>
          <cell r="Z49">
            <v>1.1109478228410501</v>
          </cell>
          <cell r="AA49">
            <v>1.1091967234131599</v>
          </cell>
          <cell r="AF49">
            <v>2.2878459214723998E-3</v>
          </cell>
          <cell r="AG49">
            <v>5.2884143233621799E-4</v>
          </cell>
          <cell r="AR49">
            <v>8.5207067177144012E-3</v>
          </cell>
          <cell r="BC49">
            <v>0</v>
          </cell>
          <cell r="BF49">
            <v>8.5207067177144012E-3</v>
          </cell>
        </row>
        <row r="50">
          <cell r="O50">
            <v>1.1144210713463301</v>
          </cell>
          <cell r="P50">
            <v>1.11136793465756</v>
          </cell>
          <cell r="Q50">
            <v>1.1095667242187199</v>
          </cell>
          <cell r="U50">
            <v>1.7802466216809E-3</v>
          </cell>
          <cell r="V50">
            <v>-1.1652933967645101E-3</v>
          </cell>
          <cell r="W50">
            <v>-2.8871404683295E-3</v>
          </cell>
          <cell r="Y50">
            <v>1.1139962285470999</v>
          </cell>
          <cell r="Z50">
            <v>1.1111364503541801</v>
          </cell>
          <cell r="AA50">
            <v>1.1095134670084099</v>
          </cell>
          <cell r="AF50">
            <v>-1.1286612701735101E-3</v>
          </cell>
          <cell r="AG50">
            <v>-2.7061259392781901E-3</v>
          </cell>
          <cell r="AR50">
            <v>8.5207067177144012E-3</v>
          </cell>
          <cell r="BC50">
            <v>0</v>
          </cell>
          <cell r="BF50">
            <v>8.5207067177144012E-3</v>
          </cell>
        </row>
        <row r="51">
          <cell r="O51">
            <v>1.1144210713463301</v>
          </cell>
          <cell r="P51">
            <v>1.11120101478829</v>
          </cell>
          <cell r="Q51">
            <v>1.1098131822479</v>
          </cell>
          <cell r="U51">
            <v>1.2168024844079401E-3</v>
          </cell>
          <cell r="V51">
            <v>-1.5266189229718699E-3</v>
          </cell>
          <cell r="W51">
            <v>-3.1486484829557002E-3</v>
          </cell>
          <cell r="Y51">
            <v>1.1139962285470999</v>
          </cell>
          <cell r="Z51">
            <v>1.11096956327032</v>
          </cell>
          <cell r="AA51">
            <v>1.10974192077404</v>
          </cell>
          <cell r="AF51">
            <v>-1.5237073050567099E-3</v>
          </cell>
          <cell r="AG51">
            <v>-2.9854267972204401E-3</v>
          </cell>
          <cell r="AR51">
            <v>8.5207067177144012E-3</v>
          </cell>
          <cell r="BC51">
            <v>0</v>
          </cell>
          <cell r="BF51">
            <v>8.5207067177144012E-3</v>
          </cell>
        </row>
        <row r="52">
          <cell r="O52">
            <v>1.1144210713463301</v>
          </cell>
          <cell r="P52">
            <v>1.11140203541456</v>
          </cell>
          <cell r="Q52">
            <v>1.1101177647693301</v>
          </cell>
          <cell r="U52">
            <v>2.2507003821174202E-3</v>
          </cell>
          <cell r="V52">
            <v>-6.4292547190009802E-4</v>
          </cell>
          <cell r="W52">
            <v>-1.8926542875647499E-3</v>
          </cell>
          <cell r="Y52">
            <v>1.1139962285470999</v>
          </cell>
          <cell r="Z52">
            <v>1.1111702875914899</v>
          </cell>
          <cell r="AA52">
            <v>1.1100286400014101</v>
          </cell>
          <cell r="AF52">
            <v>-6.4390462894852102E-4</v>
          </cell>
          <cell r="AG52">
            <v>-1.7495346310118099E-3</v>
          </cell>
          <cell r="AR52">
            <v>8.5207067177144012E-3</v>
          </cell>
          <cell r="BC52">
            <v>0</v>
          </cell>
          <cell r="BF52">
            <v>8.5207067177144012E-3</v>
          </cell>
        </row>
        <row r="53">
          <cell r="O53">
            <v>1.1144210713463301</v>
          </cell>
          <cell r="P53">
            <v>1.11162626795834</v>
          </cell>
          <cell r="Q53">
            <v>1.11041010004442</v>
          </cell>
          <cell r="U53">
            <v>1.08590074756842E-3</v>
          </cell>
          <cell r="V53">
            <v>-1.6268375414806599E-3</v>
          </cell>
          <cell r="W53">
            <v>-2.7830467170157601E-3</v>
          </cell>
          <cell r="Y53">
            <v>1.1139962285470999</v>
          </cell>
          <cell r="Z53">
            <v>1.1113938767421501</v>
          </cell>
          <cell r="AA53">
            <v>1.1103029955711301</v>
          </cell>
          <cell r="AF53">
            <v>-1.62478234338922E-3</v>
          </cell>
          <cell r="AG53">
            <v>-2.6527386208934E-3</v>
          </cell>
          <cell r="AR53">
            <v>8.5207067177144012E-3</v>
          </cell>
          <cell r="BC53">
            <v>0</v>
          </cell>
          <cell r="BF53">
            <v>8.5207067177144012E-3</v>
          </cell>
        </row>
        <row r="54">
          <cell r="O54">
            <v>1.1144210713463301</v>
          </cell>
          <cell r="P54">
            <v>1.1119364269049901</v>
          </cell>
          <cell r="Q54">
            <v>1.11067264546025</v>
          </cell>
          <cell r="U54">
            <v>8.4101493184777598E-4</v>
          </cell>
          <cell r="V54">
            <v>-1.6699872441735999E-3</v>
          </cell>
          <cell r="W54">
            <v>-2.7646300257833899E-3</v>
          </cell>
          <cell r="Y54">
            <v>1.1139962285470999</v>
          </cell>
          <cell r="Z54">
            <v>1.11170353014227</v>
          </cell>
          <cell r="AA54">
            <v>1.1105476312909199</v>
          </cell>
          <cell r="AF54">
            <v>-1.6689876519639601E-3</v>
          </cell>
          <cell r="AG54">
            <v>-2.6510129428911301E-3</v>
          </cell>
          <cell r="AR54">
            <v>8.5207067177144012E-3</v>
          </cell>
          <cell r="BC54">
            <v>0</v>
          </cell>
          <cell r="BF54">
            <v>8.5207067177144012E-3</v>
          </cell>
        </row>
        <row r="55">
          <cell r="O55">
            <v>1.1144210713463301</v>
          </cell>
          <cell r="P55">
            <v>1.1124477908199799</v>
          </cell>
          <cell r="Q55">
            <v>1.11086974741579</v>
          </cell>
          <cell r="U55">
            <v>4.33735148723212E-4</v>
          </cell>
          <cell r="V55">
            <v>-1.7982922546230999E-3</v>
          </cell>
          <cell r="W55">
            <v>-2.9354977098206099E-3</v>
          </cell>
          <cell r="Y55">
            <v>1.1139962285470999</v>
          </cell>
          <cell r="Z55">
            <v>1.1122137625361801</v>
          </cell>
          <cell r="AA55">
            <v>1.11072655411188</v>
          </cell>
          <cell r="AF55">
            <v>-1.79189570641502E-3</v>
          </cell>
          <cell r="AG55">
            <v>-2.8321912190499799E-3</v>
          </cell>
          <cell r="AR55">
            <v>8.5207067177144012E-3</v>
          </cell>
          <cell r="BC55">
            <v>0</v>
          </cell>
          <cell r="BF55">
            <v>8.5207067177144012E-3</v>
          </cell>
        </row>
        <row r="56">
          <cell r="O56">
            <v>1.1144210713463301</v>
          </cell>
          <cell r="P56">
            <v>1.1126059576768399</v>
          </cell>
          <cell r="Q56">
            <v>1.11106031464391</v>
          </cell>
          <cell r="U56">
            <v>1.63806956635382E-3</v>
          </cell>
          <cell r="V56">
            <v>-1.3417762462734599E-4</v>
          </cell>
          <cell r="W56">
            <v>-1.5537172468830501E-3</v>
          </cell>
          <cell r="Y56">
            <v>1.1139962285470999</v>
          </cell>
          <cell r="Z56">
            <v>1.1123714961497999</v>
          </cell>
          <cell r="AA56">
            <v>1.1108991170340901</v>
          </cell>
          <cell r="AF56">
            <v>-1.3318045244656399E-4</v>
          </cell>
          <cell r="AG56">
            <v>-1.47123585146399E-3</v>
          </cell>
          <cell r="AR56">
            <v>8.5207067177144012E-3</v>
          </cell>
          <cell r="BC56">
            <v>0</v>
          </cell>
          <cell r="BF56">
            <v>8.5207067177144012E-3</v>
          </cell>
        </row>
        <row r="57">
          <cell r="O57">
            <v>1.1144210713463301</v>
          </cell>
          <cell r="P57">
            <v>1.1128259333064701</v>
          </cell>
          <cell r="Q57">
            <v>1.11154660041793</v>
          </cell>
          <cell r="U57">
            <v>-5.0440074579227397E-4</v>
          </cell>
          <cell r="V57">
            <v>-2.1344789152540201E-3</v>
          </cell>
          <cell r="W57">
            <v>-3.5246545014858302E-3</v>
          </cell>
          <cell r="Y57">
            <v>1.1139962285470999</v>
          </cell>
          <cell r="Z57">
            <v>1.1125909124358699</v>
          </cell>
          <cell r="AA57">
            <v>1.11136702324652</v>
          </cell>
          <cell r="AF57">
            <v>-2.1295146428090901E-3</v>
          </cell>
          <cell r="AG57">
            <v>-3.45403116565872E-3</v>
          </cell>
          <cell r="AR57">
            <v>8.5207067177144012E-3</v>
          </cell>
          <cell r="BC57">
            <v>0</v>
          </cell>
          <cell r="BF57">
            <v>8.5207067177144012E-3</v>
          </cell>
        </row>
        <row r="58">
          <cell r="O58">
            <v>1.1144210713463301</v>
          </cell>
          <cell r="P58">
            <v>1.11301359125119</v>
          </cell>
          <cell r="Q58">
            <v>1.1120730289357701</v>
          </cell>
          <cell r="U58">
            <v>-1.27356792711696E-3</v>
          </cell>
          <cell r="V58">
            <v>-2.7059535666596698E-3</v>
          </cell>
          <cell r="W58">
            <v>-3.85624022971772E-3</v>
          </cell>
          <cell r="Y58">
            <v>1.1139962285470999</v>
          </cell>
          <cell r="Z58">
            <v>1.1127781145165101</v>
          </cell>
          <cell r="AA58">
            <v>1.11187508202875</v>
          </cell>
          <cell r="AF58">
            <v>-2.7009027482448799E-3</v>
          </cell>
          <cell r="AG58">
            <v>-3.8015434512657501E-3</v>
          </cell>
          <cell r="AR58">
            <v>8.5207067177144012E-3</v>
          </cell>
          <cell r="BC58">
            <v>0</v>
          </cell>
          <cell r="BF58">
            <v>8.5207067177144012E-3</v>
          </cell>
        </row>
        <row r="59">
          <cell r="O59">
            <v>1.1144210713463301</v>
          </cell>
          <cell r="P59">
            <v>1.113708326165</v>
          </cell>
          <cell r="Q59">
            <v>1.11242582768923</v>
          </cell>
          <cell r="U59">
            <v>-1.0641095599341699E-3</v>
          </cell>
          <cell r="V59">
            <v>-2.32787752232996E-3</v>
          </cell>
          <cell r="W59">
            <v>-3.1732939325564199E-3</v>
          </cell>
          <cell r="Y59">
            <v>1.1139962285470999</v>
          </cell>
          <cell r="Z59">
            <v>1.1134709370000699</v>
          </cell>
          <cell r="AA59">
            <v>1.1122093799205599</v>
          </cell>
          <cell r="AF59">
            <v>-2.3188255533781099E-3</v>
          </cell>
          <cell r="AG59">
            <v>-3.13066673272923E-3</v>
          </cell>
          <cell r="AR59">
            <v>8.5207067177144012E-3</v>
          </cell>
          <cell r="BC59">
            <v>0</v>
          </cell>
          <cell r="BF59">
            <v>8.5207067177144012E-3</v>
          </cell>
        </row>
        <row r="60">
          <cell r="O60">
            <v>1.1144210713463301</v>
          </cell>
          <cell r="P60">
            <v>1.1147459201054</v>
          </cell>
          <cell r="Q60">
            <v>1.1130569273814801</v>
          </cell>
          <cell r="U60">
            <v>-7.5037230888590403E-3</v>
          </cell>
          <cell r="V60">
            <v>-8.14349311876204E-3</v>
          </cell>
          <cell r="W60">
            <v>-9.2957135412755597E-3</v>
          </cell>
          <cell r="Y60">
            <v>1.1139962285470999</v>
          </cell>
          <cell r="Z60">
            <v>1.11450526093927</v>
          </cell>
          <cell r="AA60">
            <v>1.1128208556467201</v>
          </cell>
          <cell r="AF60">
            <v>-8.1169046288552295E-3</v>
          </cell>
          <cell r="AG60">
            <v>-9.2505420205541405E-3</v>
          </cell>
          <cell r="AR60">
            <v>8.5207067177144012E-3</v>
          </cell>
          <cell r="BC60">
            <v>0</v>
          </cell>
          <cell r="BF60">
            <v>8.5207067177144012E-3</v>
          </cell>
        </row>
        <row r="61">
          <cell r="O61">
            <v>1.1144210713463301</v>
          </cell>
          <cell r="P61">
            <v>1.1147937809753501</v>
          </cell>
          <cell r="Q61">
            <v>1.1129973978818199</v>
          </cell>
          <cell r="U61">
            <v>7.8690354948596903E-4</v>
          </cell>
          <cell r="V61">
            <v>1.0783566013357899E-3</v>
          </cell>
          <cell r="W61">
            <v>-4.3792932084794602E-4</v>
          </cell>
          <cell r="Y61">
            <v>1.1139962285470999</v>
          </cell>
          <cell r="Z61">
            <v>1.1145518963415799</v>
          </cell>
          <cell r="AA61">
            <v>1.1127607298059501</v>
          </cell>
          <cell r="AF61">
            <v>1.08458402191663E-3</v>
          </cell>
          <cell r="AG61">
            <v>-4.2790721240205601E-4</v>
          </cell>
          <cell r="AR61">
            <v>1.6811333356059461E-2</v>
          </cell>
          <cell r="BC61">
            <v>0</v>
          </cell>
          <cell r="BF61">
            <v>1.6811333356059461E-2</v>
          </cell>
        </row>
        <row r="62">
          <cell r="O62">
            <v>1.1144210713463301</v>
          </cell>
          <cell r="P62">
            <v>1.11482380549108</v>
          </cell>
          <cell r="Q62">
            <v>1.1131129204528201</v>
          </cell>
          <cell r="U62">
            <v>1.9807117152407898E-3</v>
          </cell>
          <cell r="V62">
            <v>2.3150981761094502E-3</v>
          </cell>
          <cell r="W62">
            <v>7.0239452603889296E-4</v>
          </cell>
          <cell r="Y62">
            <v>1.1139962285470999</v>
          </cell>
          <cell r="Z62">
            <v>1.11458124426005</v>
          </cell>
          <cell r="AA62">
            <v>1.11287576592577</v>
          </cell>
          <cell r="AF62">
            <v>2.3114582936968201E-3</v>
          </cell>
          <cell r="AG62">
            <v>7.0309231873588805E-4</v>
          </cell>
          <cell r="AR62">
            <v>1.6811333356059461E-2</v>
          </cell>
          <cell r="BC62">
            <v>0</v>
          </cell>
          <cell r="BF62">
            <v>1.6811333356059461E-2</v>
          </cell>
        </row>
        <row r="63">
          <cell r="O63">
            <v>1.1144210713463301</v>
          </cell>
          <cell r="P63">
            <v>1.11469546703524</v>
          </cell>
          <cell r="Q63">
            <v>1.1131608674967901</v>
          </cell>
          <cell r="U63">
            <v>2.2394325101902802E-3</v>
          </cell>
          <cell r="V63">
            <v>2.60075140639646E-3</v>
          </cell>
          <cell r="W63">
            <v>1.064904041751E-3</v>
          </cell>
          <cell r="Y63">
            <v>1.1139962285470999</v>
          </cell>
          <cell r="Z63">
            <v>1.11447491139119</v>
          </cell>
          <cell r="AA63">
            <v>1.1129343940666701</v>
          </cell>
          <cell r="AF63">
            <v>2.3960612346266299E-3</v>
          </cell>
          <cell r="AG63">
            <v>8.64737703124867E-4</v>
          </cell>
          <cell r="AR63">
            <v>1.6811333356059461E-2</v>
          </cell>
          <cell r="BC63">
            <v>0</v>
          </cell>
          <cell r="BF63">
            <v>1.6811333356059461E-2</v>
          </cell>
        </row>
        <row r="64">
          <cell r="O64">
            <v>1.1144210713463301</v>
          </cell>
          <cell r="P64">
            <v>1.11469752729106</v>
          </cell>
          <cell r="Q64">
            <v>1.11331697709803</v>
          </cell>
          <cell r="U64">
            <v>8.2251231885944001E-4</v>
          </cell>
          <cell r="V64">
            <v>1.0687046426561099E-3</v>
          </cell>
          <cell r="W64">
            <v>-3.0894234236536E-4</v>
          </cell>
          <cell r="Y64">
            <v>1.1139962285470999</v>
          </cell>
          <cell r="Z64">
            <v>1.1144983743780399</v>
          </cell>
          <cell r="AA64">
            <v>1.11310095226016</v>
          </cell>
          <cell r="AF64">
            <v>8.8866360315820896E-4</v>
          </cell>
          <cell r="AG64">
            <v>-4.9457347533929798E-4</v>
          </cell>
          <cell r="AR64">
            <v>1.6811333356059461E-2</v>
          </cell>
          <cell r="BC64">
            <v>0</v>
          </cell>
          <cell r="BF64">
            <v>1.6811333356059461E-2</v>
          </cell>
        </row>
        <row r="65">
          <cell r="O65">
            <v>1.1144210713463301</v>
          </cell>
          <cell r="P65">
            <v>1.1148034242149201</v>
          </cell>
          <cell r="Q65">
            <v>1.11362560751745</v>
          </cell>
          <cell r="U65">
            <v>-5.1646708769930902E-4</v>
          </cell>
          <cell r="V65">
            <v>-2.6842649773713899E-4</v>
          </cell>
          <cell r="W65">
            <v>-1.5076916524320099E-3</v>
          </cell>
          <cell r="Y65">
            <v>1.1139962285470999</v>
          </cell>
          <cell r="Z65">
            <v>1.11462579331017</v>
          </cell>
          <cell r="AA65">
            <v>1.11341977792317</v>
          </cell>
          <cell r="AF65">
            <v>-4.2448450440957599E-4</v>
          </cell>
          <cell r="AG65">
            <v>-1.6791287166669001E-3</v>
          </cell>
          <cell r="AR65">
            <v>1.6811333356059461E-2</v>
          </cell>
          <cell r="BC65">
            <v>0</v>
          </cell>
          <cell r="BF65">
            <v>1.6811333356059461E-2</v>
          </cell>
        </row>
        <row r="66">
          <cell r="O66">
            <v>1.1144210713463301</v>
          </cell>
          <cell r="P66">
            <v>1.1149354481765399</v>
          </cell>
          <cell r="Q66">
            <v>1.1137707029266899</v>
          </cell>
          <cell r="U66">
            <v>4.5214434860591798E-4</v>
          </cell>
          <cell r="V66">
            <v>7.9518101727428904E-4</v>
          </cell>
          <cell r="W66">
            <v>-2.6190160942911198E-4</v>
          </cell>
          <cell r="Y66">
            <v>1.1139962285470999</v>
          </cell>
          <cell r="Z66">
            <v>1.11477921244339</v>
          </cell>
          <cell r="AA66">
            <v>1.11357535429659</v>
          </cell>
          <cell r="AF66">
            <v>6.5487754682075697E-4</v>
          </cell>
          <cell r="AG66">
            <v>-4.2769950667161598E-4</v>
          </cell>
          <cell r="AR66">
            <v>1.6811333356059461E-2</v>
          </cell>
          <cell r="BC66">
            <v>0</v>
          </cell>
          <cell r="BF66">
            <v>1.6811333356059461E-2</v>
          </cell>
        </row>
        <row r="67">
          <cell r="O67">
            <v>1.1144210713463301</v>
          </cell>
          <cell r="P67">
            <v>1.1148490875773001</v>
          </cell>
          <cell r="Q67">
            <v>1.1138375104418901</v>
          </cell>
          <cell r="U67">
            <v>2.7044547375317597E-4</v>
          </cell>
          <cell r="V67">
            <v>7.3190314984659304E-4</v>
          </cell>
          <cell r="W67">
            <v>-3.1331795775653301E-4</v>
          </cell>
          <cell r="Y67">
            <v>1.1139962285470999</v>
          </cell>
          <cell r="Z67">
            <v>1.11471476566007</v>
          </cell>
          <cell r="AA67">
            <v>1.1136528390479701</v>
          </cell>
          <cell r="AF67">
            <v>6.1093418981368998E-4</v>
          </cell>
          <cell r="AG67">
            <v>-4.6955657398513702E-4</v>
          </cell>
          <cell r="AR67">
            <v>1.6811333356059461E-2</v>
          </cell>
          <cell r="BC67">
            <v>0</v>
          </cell>
          <cell r="BF67">
            <v>1.6811333356059461E-2</v>
          </cell>
        </row>
        <row r="68">
          <cell r="O68">
            <v>1.1144210713463301</v>
          </cell>
          <cell r="P68">
            <v>1.11471455164873</v>
          </cell>
          <cell r="Q68">
            <v>1.1138640714499599</v>
          </cell>
          <cell r="U68">
            <v>-6.7149933617641195E-5</v>
          </cell>
          <cell r="V68">
            <v>3.1684680587147201E-4</v>
          </cell>
          <cell r="W68">
            <v>-5.9093197808254697E-4</v>
          </cell>
          <cell r="Y68">
            <v>1.1139962285470999</v>
          </cell>
          <cell r="Z68">
            <v>1.11460209578036</v>
          </cell>
          <cell r="AA68">
            <v>1.11369010514844</v>
          </cell>
          <cell r="AF68">
            <v>2.1666221286922499E-4</v>
          </cell>
          <cell r="AG68">
            <v>-7.3643609123412196E-4</v>
          </cell>
          <cell r="AR68">
            <v>1.6811333356059461E-2</v>
          </cell>
          <cell r="BC68">
            <v>0</v>
          </cell>
          <cell r="BF68">
            <v>1.6811333356059461E-2</v>
          </cell>
        </row>
        <row r="69">
          <cell r="O69">
            <v>1.1144210713463301</v>
          </cell>
          <cell r="P69">
            <v>1.11469783623633</v>
          </cell>
          <cell r="Q69">
            <v>1.11420308120067</v>
          </cell>
          <cell r="U69">
            <v>-9.1426596576321597E-4</v>
          </cell>
          <cell r="V69">
            <v>-6.5095286711700905E-4</v>
          </cell>
          <cell r="W69">
            <v>-1.41420190059557E-3</v>
          </cell>
          <cell r="Y69">
            <v>1.1139962285470999</v>
          </cell>
          <cell r="Z69">
            <v>1.1146074026633299</v>
          </cell>
          <cell r="AA69">
            <v>1.1140391698317</v>
          </cell>
          <cell r="AF69">
            <v>-7.2862230328411002E-4</v>
          </cell>
          <cell r="AG69">
            <v>-1.5471780406937901E-3</v>
          </cell>
          <cell r="AR69">
            <v>1.6811333356059461E-2</v>
          </cell>
          <cell r="BC69">
            <v>0</v>
          </cell>
          <cell r="BF69">
            <v>1.6811333356059461E-2</v>
          </cell>
        </row>
        <row r="70">
          <cell r="O70">
            <v>1.1144210713463301</v>
          </cell>
          <cell r="P70">
            <v>1.1133583228641699</v>
          </cell>
          <cell r="Q70">
            <v>1.1140521214847801</v>
          </cell>
          <cell r="U70">
            <v>4.4979678936632904E-3</v>
          </cell>
          <cell r="V70">
            <v>4.7462856397332501E-3</v>
          </cell>
          <cell r="W70">
            <v>4.3023403392307199E-3</v>
          </cell>
          <cell r="Y70">
            <v>1.1139962285470999</v>
          </cell>
          <cell r="Z70">
            <v>1.11329430530353</v>
          </cell>
          <cell r="AA70">
            <v>1.1138997831213999</v>
          </cell>
          <cell r="AF70">
            <v>4.6696764856448397E-3</v>
          </cell>
          <cell r="AG70">
            <v>4.1597411276055596E-3</v>
          </cell>
          <cell r="AR70">
            <v>1.6811333356059461E-2</v>
          </cell>
          <cell r="BC70">
            <v>0</v>
          </cell>
          <cell r="BF70">
            <v>1.6811333356059461E-2</v>
          </cell>
        </row>
        <row r="71">
          <cell r="O71">
            <v>1.1144210713463301</v>
          </cell>
          <cell r="P71">
            <v>1.1130925035106101</v>
          </cell>
          <cell r="Q71">
            <v>1.11394314224298</v>
          </cell>
          <cell r="U71">
            <v>3.1769035929806498E-3</v>
          </cell>
          <cell r="V71">
            <v>2.22281579996073E-3</v>
          </cell>
          <cell r="W71">
            <v>2.8457801438828501E-3</v>
          </cell>
          <cell r="Y71">
            <v>1.1139962285470999</v>
          </cell>
          <cell r="Z71">
            <v>1.11305222740432</v>
          </cell>
          <cell r="AA71">
            <v>1.1138020618729501</v>
          </cell>
          <cell r="AF71">
            <v>2.1742428944237901E-3</v>
          </cell>
          <cell r="AG71">
            <v>2.71795647190841E-3</v>
          </cell>
          <cell r="AR71">
            <v>1.6811333356059461E-2</v>
          </cell>
          <cell r="BC71">
            <v>1.3210643006825607E-3</v>
          </cell>
          <cell r="BF71">
            <v>1.8132397656742023E-2</v>
          </cell>
        </row>
        <row r="72">
          <cell r="O72">
            <v>1.1144210713463301</v>
          </cell>
          <cell r="P72">
            <v>1.1132614003325101</v>
          </cell>
          <cell r="Q72">
            <v>1.1140426029118</v>
          </cell>
          <cell r="U72">
            <v>4.6330209992246902E-4</v>
          </cell>
          <cell r="V72">
            <v>-7.2956873889535201E-4</v>
          </cell>
          <cell r="W72">
            <v>3.4351475276990097E-5</v>
          </cell>
          <cell r="Y72">
            <v>1.1139962285470999</v>
          </cell>
          <cell r="Z72">
            <v>1.1132428452982199</v>
          </cell>
          <cell r="AA72">
            <v>1.11391204477913</v>
          </cell>
          <cell r="AF72">
            <v>-7.4773809910577802E-4</v>
          </cell>
          <cell r="AG72">
            <v>-7.4290805694479797E-5</v>
          </cell>
          <cell r="AR72">
            <v>1.6811333356059461E-2</v>
          </cell>
          <cell r="BC72">
            <v>4.034665793740711E-3</v>
          </cell>
          <cell r="BF72">
            <v>2.0845999149800173E-2</v>
          </cell>
        </row>
        <row r="73">
          <cell r="O73">
            <v>1.1144210713463301</v>
          </cell>
          <cell r="P73">
            <v>1.11311311868706</v>
          </cell>
          <cell r="Q73">
            <v>1.11390429286115</v>
          </cell>
          <cell r="U73">
            <v>3.5738766333183402E-3</v>
          </cell>
          <cell r="V73">
            <v>2.5327308386922198E-3</v>
          </cell>
          <cell r="W73">
            <v>3.2342090474891802E-3</v>
          </cell>
          <cell r="Y73">
            <v>1.1139962285470999</v>
          </cell>
          <cell r="Z73">
            <v>1.11309516720202</v>
          </cell>
          <cell r="AA73">
            <v>1.11378503929661</v>
          </cell>
          <cell r="AF73">
            <v>2.5235569993613698E-3</v>
          </cell>
          <cell r="AG73">
            <v>3.1245026309694199E-3</v>
          </cell>
          <cell r="AR73">
            <v>1.6811333356059461E-2</v>
          </cell>
          <cell r="BC73">
            <v>4.034665793740711E-3</v>
          </cell>
          <cell r="BF73">
            <v>2.0845999149800173E-2</v>
          </cell>
        </row>
        <row r="74">
          <cell r="O74">
            <v>1.1144210713463301</v>
          </cell>
          <cell r="P74">
            <v>1.1132540302631</v>
          </cell>
          <cell r="Q74">
            <v>1.1139757787770801</v>
          </cell>
          <cell r="U74">
            <v>-4.4216555248836198E-4</v>
          </cell>
          <cell r="V74">
            <v>-1.61651593098132E-3</v>
          </cell>
          <cell r="W74">
            <v>-9.0599233716158998E-4</v>
          </cell>
          <cell r="Y74">
            <v>1.1139962285470999</v>
          </cell>
          <cell r="Z74">
            <v>1.1132357531253101</v>
          </cell>
          <cell r="AA74">
            <v>1.1138670637516801</v>
          </cell>
          <cell r="AF74">
            <v>-1.6119046222291399E-3</v>
          </cell>
          <cell r="AG74">
            <v>-9.9231842747933389E-4</v>
          </cell>
          <cell r="AR74">
            <v>1.6811333356059461E-2</v>
          </cell>
          <cell r="BC74">
            <v>8.0507079795472322E-3</v>
          </cell>
          <cell r="BF74">
            <v>2.4862041335606693E-2</v>
          </cell>
        </row>
        <row r="75">
          <cell r="O75">
            <v>1.1144210713463301</v>
          </cell>
          <cell r="P75">
            <v>1.11311325782138</v>
          </cell>
          <cell r="Q75">
            <v>1.1139583410181499</v>
          </cell>
          <cell r="U75">
            <v>7.4686733695136104E-4</v>
          </cell>
          <cell r="V75">
            <v>-3.00898730147365E-4</v>
          </cell>
          <cell r="W75">
            <v>3.4721448772983199E-4</v>
          </cell>
          <cell r="Y75">
            <v>1.1139962285470999</v>
          </cell>
          <cell r="Z75">
            <v>1.1130956372432701</v>
          </cell>
          <cell r="AA75">
            <v>1.1138607152767199</v>
          </cell>
          <cell r="AF75">
            <v>-3.0056513664994497E-4</v>
          </cell>
          <cell r="AG75">
            <v>2.6636930256252199E-4</v>
          </cell>
          <cell r="AR75">
            <v>1.6811333356059461E-2</v>
          </cell>
          <cell r="BC75">
            <v>8.0507079795472322E-3</v>
          </cell>
          <cell r="BF75">
            <v>2.4862041335606693E-2</v>
          </cell>
        </row>
        <row r="76">
          <cell r="O76">
            <v>1.1144210713463301</v>
          </cell>
          <cell r="P76">
            <v>1.11315295864752</v>
          </cell>
          <cell r="Q76">
            <v>1.1140442034120299</v>
          </cell>
          <cell r="U76">
            <v>9.5800544819486398E-5</v>
          </cell>
          <cell r="V76">
            <v>-1.07842483801312E-3</v>
          </cell>
          <cell r="W76">
            <v>-3.1950605177353799E-4</v>
          </cell>
          <cell r="Y76">
            <v>1.1139962285470999</v>
          </cell>
          <cell r="Z76">
            <v>1.11313533377699</v>
          </cell>
          <cell r="AA76">
            <v>1.1139572731101901</v>
          </cell>
          <cell r="AF76">
            <v>-1.07517567855175E-3</v>
          </cell>
          <cell r="AG76">
            <v>-3.8806920456939902E-4</v>
          </cell>
          <cell r="AR76">
            <v>1.6811333356059461E-2</v>
          </cell>
          <cell r="BC76">
            <v>8.0507079795472322E-3</v>
          </cell>
          <cell r="BF76">
            <v>2.4862041335606693E-2</v>
          </cell>
        </row>
        <row r="77">
          <cell r="O77">
            <v>1.1144210713463301</v>
          </cell>
          <cell r="P77">
            <v>1.1129588082334201</v>
          </cell>
          <cell r="Q77">
            <v>1.1139039479053601</v>
          </cell>
          <cell r="U77">
            <v>2.0146007357832599E-3</v>
          </cell>
          <cell r="V77">
            <v>8.7604119188422697E-4</v>
          </cell>
          <cell r="W77">
            <v>1.67636980873425E-3</v>
          </cell>
          <cell r="Y77">
            <v>1.1139962285470999</v>
          </cell>
          <cell r="Z77">
            <v>1.11294192179009</v>
          </cell>
          <cell r="AA77">
            <v>1.11382834372508</v>
          </cell>
          <cell r="AF77">
            <v>8.7277237717047602E-4</v>
          </cell>
          <cell r="AG77">
            <v>1.6109000760141799E-3</v>
          </cell>
          <cell r="AR77">
            <v>1.6811333356059461E-2</v>
          </cell>
          <cell r="BC77">
            <v>8.0507079795472322E-3</v>
          </cell>
          <cell r="BF77">
            <v>2.4862041335606693E-2</v>
          </cell>
        </row>
        <row r="78">
          <cell r="O78">
            <v>1.1144210713463301</v>
          </cell>
          <cell r="P78">
            <v>1.1124981196181001</v>
          </cell>
          <cell r="Q78">
            <v>1.11360633563342</v>
          </cell>
          <cell r="U78">
            <v>4.0750222972104899E-3</v>
          </cell>
          <cell r="V78">
            <v>2.7620326842660099E-3</v>
          </cell>
          <cell r="W78">
            <v>3.6108858307744101E-3</v>
          </cell>
          <cell r="Y78">
            <v>1.1139962285470999</v>
          </cell>
          <cell r="Z78">
            <v>1.1124828545627199</v>
          </cell>
          <cell r="AA78">
            <v>1.1135424751715399</v>
          </cell>
          <cell r="AF78">
            <v>2.7526426016217199E-3</v>
          </cell>
          <cell r="AG78">
            <v>3.5487929683987699E-3</v>
          </cell>
          <cell r="AR78">
            <v>1.6811333356059461E-2</v>
          </cell>
          <cell r="BC78">
            <v>8.0507079795472322E-3</v>
          </cell>
          <cell r="BF78">
            <v>2.4862041335606693E-2</v>
          </cell>
        </row>
        <row r="79">
          <cell r="O79">
            <v>1.1144210713463301</v>
          </cell>
          <cell r="P79">
            <v>1.1122757689789899</v>
          </cell>
          <cell r="Q79">
            <v>1.1134868026076601</v>
          </cell>
          <cell r="U79">
            <v>1.0811122435804099E-3</v>
          </cell>
          <cell r="V79">
            <v>-6.4589447850609796E-4</v>
          </cell>
          <cell r="W79">
            <v>3.4976060340202302E-4</v>
          </cell>
          <cell r="Y79">
            <v>1.1139962285470999</v>
          </cell>
          <cell r="Z79">
            <v>1.1122613495520299</v>
          </cell>
          <cell r="AA79">
            <v>1.1134343761076799</v>
          </cell>
          <cell r="AF79">
            <v>-6.43947263262835E-4</v>
          </cell>
          <cell r="AG79">
            <v>3.0808205527152899E-4</v>
          </cell>
          <cell r="AR79">
            <v>1.6811333356059461E-2</v>
          </cell>
          <cell r="BC79">
            <v>1.1044618033177373E-2</v>
          </cell>
          <cell r="BF79">
            <v>2.7855951389236834E-2</v>
          </cell>
        </row>
        <row r="80">
          <cell r="O80">
            <v>1.1144210713463301</v>
          </cell>
          <cell r="P80">
            <v>1.11249455783395</v>
          </cell>
          <cell r="Q80">
            <v>1.11292644034906</v>
          </cell>
          <cell r="U80">
            <v>2.5278081632910299E-3</v>
          </cell>
          <cell r="V80">
            <v>6.0091538447900803E-4</v>
          </cell>
          <cell r="W80">
            <v>1.68911208940676E-3</v>
          </cell>
          <cell r="Y80">
            <v>1.1139962285470999</v>
          </cell>
          <cell r="Z80">
            <v>1.11247942774395</v>
          </cell>
          <cell r="AA80">
            <v>1.1128868665237399</v>
          </cell>
          <cell r="AF80">
            <v>5.9885812979308597E-4</v>
          </cell>
          <cell r="AG80">
            <v>1.65293452553282E-3</v>
          </cell>
          <cell r="AR80">
            <v>1.6811333356059461E-2</v>
          </cell>
          <cell r="BC80">
            <v>1.1044618033177373E-2</v>
          </cell>
          <cell r="BF80">
            <v>2.7855951389236834E-2</v>
          </cell>
        </row>
        <row r="81">
          <cell r="O81">
            <v>1.1144210713463301</v>
          </cell>
          <cell r="P81">
            <v>1.1124274080177901</v>
          </cell>
          <cell r="Q81">
            <v>1.1127599557642001</v>
          </cell>
          <cell r="U81">
            <v>3.7815570174011401E-3</v>
          </cell>
          <cell r="V81">
            <v>2.0513486810430702E-3</v>
          </cell>
          <cell r="W81">
            <v>2.4394842480976501E-3</v>
          </cell>
          <cell r="Y81">
            <v>1.1139962285470999</v>
          </cell>
          <cell r="Z81">
            <v>1.11241250708627</v>
          </cell>
          <cell r="AA81">
            <v>1.11273236724529</v>
          </cell>
          <cell r="AF81">
            <v>2.0446179935928702E-3</v>
          </cell>
          <cell r="AG81">
            <v>2.4107948206543799E-3</v>
          </cell>
          <cell r="AR81">
            <v>1.6811333356059461E-2</v>
          </cell>
          <cell r="BC81">
            <v>1.1044618033177373E-2</v>
          </cell>
          <cell r="BF81">
            <v>2.7855951389236834E-2</v>
          </cell>
        </row>
        <row r="82">
          <cell r="O82">
            <v>1.1144210713463301</v>
          </cell>
          <cell r="P82">
            <v>1.1124955669033401</v>
          </cell>
          <cell r="Q82">
            <v>1.11287848361793</v>
          </cell>
          <cell r="U82">
            <v>-1.4840220734905701E-4</v>
          </cell>
          <cell r="V82">
            <v>-1.9389720460053501E-3</v>
          </cell>
          <cell r="W82">
            <v>-1.64007789057519E-3</v>
          </cell>
          <cell r="Y82">
            <v>1.1139962285470999</v>
          </cell>
          <cell r="Z82">
            <v>1.1124804524731799</v>
          </cell>
          <cell r="AA82">
            <v>1.1128616488856999</v>
          </cell>
          <cell r="AF82">
            <v>-1.9324473245982601E-3</v>
          </cell>
          <cell r="AG82">
            <v>-1.64495129239017E-3</v>
          </cell>
          <cell r="AR82">
            <v>1.6811333356059461E-2</v>
          </cell>
          <cell r="BC82">
            <v>1.1044618033177373E-2</v>
          </cell>
          <cell r="BF82">
            <v>2.7855951389236834E-2</v>
          </cell>
        </row>
        <row r="83">
          <cell r="O83">
            <v>1.1144210713463301</v>
          </cell>
          <cell r="P83">
            <v>1.1130009104912</v>
          </cell>
          <cell r="Q83">
            <v>1.1130570145891301</v>
          </cell>
          <cell r="U83">
            <v>-9.6661866374981003E-4</v>
          </cell>
          <cell r="V83">
            <v>-2.69591996741359E-3</v>
          </cell>
          <cell r="W83">
            <v>-2.3517830181454999E-3</v>
          </cell>
          <cell r="Y83">
            <v>1.1139962285470999</v>
          </cell>
          <cell r="Z83">
            <v>1.11298413499972</v>
          </cell>
          <cell r="AA83">
            <v>1.11303965110087</v>
          </cell>
          <cell r="AF83">
            <v>-2.6871555198062099E-3</v>
          </cell>
          <cell r="AG83">
            <v>-2.3445597310374098E-3</v>
          </cell>
          <cell r="AR83">
            <v>1.6811333356059461E-2</v>
          </cell>
          <cell r="BC83">
            <v>1.1044618033177373E-2</v>
          </cell>
          <cell r="BF83">
            <v>2.7855951389236834E-2</v>
          </cell>
        </row>
        <row r="84">
          <cell r="O84">
            <v>1.1144210713463301</v>
          </cell>
          <cell r="P84">
            <v>1.1130143757342399</v>
          </cell>
          <cell r="Q84">
            <v>1.1131342029986699</v>
          </cell>
          <cell r="U84">
            <v>-5.6293209335356298E-4</v>
          </cell>
          <cell r="V84">
            <v>-1.83809329688336E-3</v>
          </cell>
          <cell r="W84">
            <v>-1.78768661401225E-3</v>
          </cell>
          <cell r="Y84">
            <v>1.1139962285470999</v>
          </cell>
          <cell r="Z84">
            <v>1.11298051550991</v>
          </cell>
          <cell r="AA84">
            <v>1.1131081343176099</v>
          </cell>
          <cell r="AF84">
            <v>-1.6791949614890899E-3</v>
          </cell>
          <cell r="AG84">
            <v>-1.629315798912E-3</v>
          </cell>
          <cell r="AR84">
            <v>1.6811333356059461E-2</v>
          </cell>
          <cell r="BC84">
            <v>1.1044618033177373E-2</v>
          </cell>
          <cell r="BF84">
            <v>2.7855951389236834E-2</v>
          </cell>
        </row>
        <row r="85">
          <cell r="O85">
            <v>1.1144210713463301</v>
          </cell>
          <cell r="P85">
            <v>1.11356720598438</v>
          </cell>
          <cell r="Q85">
            <v>1.11334023190288</v>
          </cell>
          <cell r="U85">
            <v>-4.2052515411856199E-3</v>
          </cell>
          <cell r="V85">
            <v>-5.46831467592045E-3</v>
          </cell>
          <cell r="W85">
            <v>-5.3606603479990304E-3</v>
          </cell>
          <cell r="Y85">
            <v>1.1139962285470999</v>
          </cell>
          <cell r="Z85">
            <v>1.113514101252</v>
          </cell>
          <cell r="AA85">
            <v>1.1133048692476399</v>
          </cell>
          <cell r="AF85">
            <v>-5.3100893552906004E-3</v>
          </cell>
          <cell r="AG85">
            <v>-5.1954319198366699E-3</v>
          </cell>
          <cell r="AR85">
            <v>1.6811333356059461E-2</v>
          </cell>
          <cell r="BC85">
            <v>1.1044618033177373E-2</v>
          </cell>
          <cell r="BF85">
            <v>2.7855951389236834E-2</v>
          </cell>
        </row>
        <row r="86">
          <cell r="O86">
            <v>1.1144210713463301</v>
          </cell>
          <cell r="P86">
            <v>1.11369496608326</v>
          </cell>
          <cell r="Q86">
            <v>1.1134239623653901</v>
          </cell>
          <cell r="U86">
            <v>-1.05007824747027E-3</v>
          </cell>
          <cell r="V86">
            <v>-1.81656828015479E-3</v>
          </cell>
          <cell r="W86">
            <v>-2.02041517421459E-3</v>
          </cell>
          <cell r="Y86">
            <v>1.1139962285470999</v>
          </cell>
          <cell r="Z86">
            <v>1.1136247286179199</v>
          </cell>
          <cell r="AA86">
            <v>1.11338003119746</v>
          </cell>
          <cell r="AF86">
            <v>-1.6916108395077199E-3</v>
          </cell>
          <cell r="AG86">
            <v>-1.87953092439436E-3</v>
          </cell>
          <cell r="AR86">
            <v>1.996650664977466E-2</v>
          </cell>
          <cell r="BC86">
            <v>1.1044618033177373E-2</v>
          </cell>
          <cell r="BF86">
            <v>3.1011124682952033E-2</v>
          </cell>
        </row>
        <row r="87">
          <cell r="O87">
            <v>1.1144210713463301</v>
          </cell>
          <cell r="P87">
            <v>1.1144411764828199</v>
          </cell>
          <cell r="Q87">
            <v>1.1136999923581199</v>
          </cell>
          <cell r="U87">
            <v>-4.6724409475781799E-3</v>
          </cell>
          <cell r="V87">
            <v>-5.3242070823503601E-3</v>
          </cell>
          <cell r="W87">
            <v>-5.5675741659360596E-3</v>
          </cell>
          <cell r="Y87">
            <v>1.1139962285470999</v>
          </cell>
          <cell r="Z87">
            <v>1.1143516426917801</v>
          </cell>
          <cell r="AA87">
            <v>1.1136467822409299</v>
          </cell>
          <cell r="AF87">
            <v>-5.2024342984234298E-3</v>
          </cell>
          <cell r="AG87">
            <v>-5.4221890343509899E-3</v>
          </cell>
          <cell r="AR87">
            <v>1.996650664977466E-2</v>
          </cell>
          <cell r="BC87">
            <v>1.1044618033177373E-2</v>
          </cell>
          <cell r="BF87">
            <v>3.1011124682952033E-2</v>
          </cell>
        </row>
        <row r="88">
          <cell r="O88">
            <v>1.1144210713463301</v>
          </cell>
          <cell r="P88">
            <v>1.1151227768754299</v>
          </cell>
          <cell r="Q88">
            <v>1.1138104482467699</v>
          </cell>
          <cell r="U88">
            <v>-2.0473557170474E-3</v>
          </cell>
          <cell r="V88">
            <v>-2.0293150000776101E-3</v>
          </cell>
          <cell r="W88">
            <v>-2.69460870983364E-3</v>
          </cell>
          <cell r="Y88">
            <v>1.1139962285470999</v>
          </cell>
          <cell r="Z88">
            <v>1.1150142078331899</v>
          </cell>
          <cell r="AA88">
            <v>1.11374853119796</v>
          </cell>
          <cell r="AF88">
            <v>-1.93343596106321E-3</v>
          </cell>
          <cell r="AG88">
            <v>-2.56616573903017E-3</v>
          </cell>
          <cell r="AR88">
            <v>2.2591591880305462E-2</v>
          </cell>
          <cell r="BC88">
            <v>1.1044618033177373E-2</v>
          </cell>
          <cell r="BF88">
            <v>3.3636209913482831E-2</v>
          </cell>
        </row>
        <row r="89">
          <cell r="O89">
            <v>1.1144210713463301</v>
          </cell>
          <cell r="P89">
            <v>1.1153410172827201</v>
          </cell>
          <cell r="Q89">
            <v>1.11380839313086</v>
          </cell>
          <cell r="U89">
            <v>-8.7741677596738996E-4</v>
          </cell>
          <cell r="V89">
            <v>-2.4795568433561401E-4</v>
          </cell>
          <cell r="W89">
            <v>-1.4254954737857599E-3</v>
          </cell>
          <cell r="Y89">
            <v>1.1139962285470999</v>
          </cell>
          <cell r="Z89">
            <v>1.1152151607769301</v>
          </cell>
          <cell r="AA89">
            <v>1.1137382551644801</v>
          </cell>
          <cell r="AF89">
            <v>-1.7467952255727199E-4</v>
          </cell>
          <cell r="AG89">
            <v>-1.3104457924481799E-3</v>
          </cell>
          <cell r="AR89">
            <v>2.2591591880305462E-2</v>
          </cell>
          <cell r="BC89">
            <v>1.1044618033177373E-2</v>
          </cell>
          <cell r="BF89">
            <v>3.3636209913482831E-2</v>
          </cell>
        </row>
        <row r="90">
          <cell r="O90">
            <v>1.1144210713463301</v>
          </cell>
          <cell r="P90">
            <v>1.1159444096122699</v>
          </cell>
          <cell r="Q90">
            <v>1.1142194837231101</v>
          </cell>
          <cell r="U90">
            <v>-2.88561830659903E-3</v>
          </cell>
          <cell r="V90">
            <v>-2.0604666069854302E-3</v>
          </cell>
          <cell r="W90">
            <v>-3.4355421278953599E-3</v>
          </cell>
          <cell r="Y90">
            <v>1.1139962285470999</v>
          </cell>
          <cell r="Z90">
            <v>1.1158000022738299</v>
          </cell>
          <cell r="AA90">
            <v>1.1141397150088901</v>
          </cell>
          <cell r="AF90">
            <v>-1.9964688747845798E-3</v>
          </cell>
          <cell r="AG90">
            <v>-3.3216700369316601E-3</v>
          </cell>
          <cell r="AR90">
            <v>2.2591591880305462E-2</v>
          </cell>
          <cell r="BC90">
            <v>1.1044618033177373E-2</v>
          </cell>
          <cell r="BF90">
            <v>3.3636209913482831E-2</v>
          </cell>
        </row>
        <row r="91">
          <cell r="O91">
            <v>1.1144210713463301</v>
          </cell>
          <cell r="P91">
            <v>1.11651533664747</v>
          </cell>
          <cell r="Q91">
            <v>1.1144713723326301</v>
          </cell>
          <cell r="U91">
            <v>-1.34775727138071E-3</v>
          </cell>
          <cell r="V91">
            <v>1.8241723688572298E-5</v>
          </cell>
          <cell r="W91">
            <v>-1.5286636300237101E-3</v>
          </cell>
          <cell r="Y91">
            <v>1.1139962285470999</v>
          </cell>
          <cell r="Z91">
            <v>1.1163524547783701</v>
          </cell>
          <cell r="AA91">
            <v>1.11438248093232</v>
          </cell>
          <cell r="AF91">
            <v>6.1232547144415494E-5</v>
          </cell>
          <cell r="AG91">
            <v>-1.4278548563056599E-3</v>
          </cell>
          <cell r="AR91">
            <v>2.2591591880305462E-2</v>
          </cell>
          <cell r="BC91">
            <v>1.1044618033177373E-2</v>
          </cell>
          <cell r="BF91">
            <v>3.3636209913482831E-2</v>
          </cell>
        </row>
        <row r="92">
          <cell r="O92">
            <v>1.1144210713463301</v>
          </cell>
          <cell r="P92">
            <v>1.1169201377864899</v>
          </cell>
          <cell r="Q92">
            <v>1.1147078523449201</v>
          </cell>
          <cell r="U92">
            <v>-3.7736734417541402E-3</v>
          </cell>
          <cell r="V92">
            <v>-1.89619642464856E-3</v>
          </cell>
          <cell r="W92">
            <v>-3.72853803250534E-3</v>
          </cell>
          <cell r="Y92">
            <v>1.1139962285470999</v>
          </cell>
          <cell r="Z92">
            <v>1.1167392920305901</v>
          </cell>
          <cell r="AA92">
            <v>1.11460987225189</v>
          </cell>
          <cell r="AF92">
            <v>-1.86163977997017E-3</v>
          </cell>
          <cell r="AG92">
            <v>-3.6278508403950502E-3</v>
          </cell>
          <cell r="AR92">
            <v>2.2591591880305462E-2</v>
          </cell>
          <cell r="BC92">
            <v>1.1044618033177373E-2</v>
          </cell>
          <cell r="BF92">
            <v>3.3636209913482831E-2</v>
          </cell>
        </row>
        <row r="93">
          <cell r="O93">
            <v>1.1144210713463301</v>
          </cell>
          <cell r="P93">
            <v>1.11720285484354</v>
          </cell>
          <cell r="Q93">
            <v>1.11510188266737</v>
          </cell>
          <cell r="U93">
            <v>-3.4978575379665E-3</v>
          </cell>
          <cell r="V93">
            <v>-1.25788861268746E-3</v>
          </cell>
          <cell r="W93">
            <v>-3.24055434018313E-3</v>
          </cell>
          <cell r="Y93">
            <v>1.1139962285470999</v>
          </cell>
          <cell r="Z93">
            <v>1.1170045505227699</v>
          </cell>
          <cell r="AA93">
            <v>1.1149943427612501</v>
          </cell>
          <cell r="AF93">
            <v>-1.24139325023498E-3</v>
          </cell>
          <cell r="AG93">
            <v>-3.1500326144627399E-3</v>
          </cell>
          <cell r="AR93">
            <v>2.2591591880305462E-2</v>
          </cell>
          <cell r="BC93">
            <v>1.1044618033177373E-2</v>
          </cell>
          <cell r="BF93">
            <v>3.3636209913482831E-2</v>
          </cell>
        </row>
        <row r="94">
          <cell r="O94">
            <v>1.1144210713463301</v>
          </cell>
          <cell r="P94">
            <v>1.11784153637921</v>
          </cell>
          <cell r="Q94">
            <v>1.11542795605672</v>
          </cell>
          <cell r="U94">
            <v>-6.2744263176436601E-3</v>
          </cell>
          <cell r="V94">
            <v>-3.7813674241849999E-3</v>
          </cell>
          <cell r="W94">
            <v>-5.6637025383919296E-3</v>
          </cell>
          <cell r="Y94">
            <v>1.1139962285470999</v>
          </cell>
          <cell r="Z94">
            <v>1.1176409228702899</v>
          </cell>
          <cell r="AA94">
            <v>1.1153107191900999</v>
          </cell>
          <cell r="AF94">
            <v>-3.76530890294695E-3</v>
          </cell>
          <cell r="AG94">
            <v>-5.56657171816925E-3</v>
          </cell>
          <cell r="AR94">
            <v>2.2591591880305462E-2</v>
          </cell>
          <cell r="BC94">
            <v>1.1044618033177373E-2</v>
          </cell>
          <cell r="BF94">
            <v>3.3636209913482831E-2</v>
          </cell>
        </row>
        <row r="95">
          <cell r="O95">
            <v>1.1144210713463301</v>
          </cell>
          <cell r="P95">
            <v>1.1180822406001401</v>
          </cell>
          <cell r="Q95">
            <v>1.11582472329226</v>
          </cell>
          <cell r="U95">
            <v>-6.3537816418672496E-3</v>
          </cell>
          <cell r="V95">
            <v>-3.2892069829422799E-3</v>
          </cell>
          <cell r="W95">
            <v>-5.4506848254899098E-3</v>
          </cell>
          <cell r="Y95">
            <v>1.1139962285470999</v>
          </cell>
          <cell r="Z95">
            <v>1.1178806468148601</v>
          </cell>
          <cell r="AA95">
            <v>1.1156973740334299</v>
          </cell>
          <cell r="AF95">
            <v>-3.2717029479802599E-3</v>
          </cell>
          <cell r="AG95">
            <v>-5.3588099700650899E-3</v>
          </cell>
          <cell r="AR95">
            <v>2.2512236556081963E-2</v>
          </cell>
          <cell r="BC95">
            <v>1.1044618033177373E-2</v>
          </cell>
          <cell r="BF95">
            <v>3.3556854589259333E-2</v>
          </cell>
        </row>
        <row r="96">
          <cell r="O96">
            <v>1.1144210713463301</v>
          </cell>
          <cell r="P96">
            <v>1.1184324594563899</v>
          </cell>
          <cell r="Q96">
            <v>1.1160637127698201</v>
          </cell>
          <cell r="U96">
            <v>-4.1844706405904496E-3</v>
          </cell>
          <cell r="V96">
            <v>-9.0458969588090403E-4</v>
          </cell>
          <cell r="W96">
            <v>-2.92572854621334E-3</v>
          </cell>
          <cell r="Y96">
            <v>1.1139962285470999</v>
          </cell>
          <cell r="Z96">
            <v>1.11822902898038</v>
          </cell>
          <cell r="AA96">
            <v>1.1159268787991501</v>
          </cell>
          <cell r="AF96">
            <v>-8.9638679783159104E-4</v>
          </cell>
          <cell r="AG96">
            <v>-2.8513428874726299E-3</v>
          </cell>
          <cell r="AR96">
            <v>2.4681547557358845E-2</v>
          </cell>
          <cell r="BC96">
            <v>1.1044618033177373E-2</v>
          </cell>
          <cell r="BF96">
            <v>3.5726165590536214E-2</v>
          </cell>
        </row>
        <row r="97">
          <cell r="O97">
            <v>1.1144210713463301</v>
          </cell>
          <cell r="P97">
            <v>1.1185526092162701</v>
          </cell>
          <cell r="Q97">
            <v>1.11649689284954</v>
          </cell>
          <cell r="U97">
            <v>-5.7449759094961696E-3</v>
          </cell>
          <cell r="V97">
            <v>-2.1519122621612599E-3</v>
          </cell>
          <cell r="W97">
            <v>-4.2720748324209298E-3</v>
          </cell>
          <cell r="Y97">
            <v>1.1139962285470999</v>
          </cell>
          <cell r="Z97">
            <v>1.11834813833553</v>
          </cell>
          <cell r="AA97">
            <v>1.11634989051365</v>
          </cell>
          <cell r="AF97">
            <v>-2.1398899513564102E-3</v>
          </cell>
          <cell r="AG97">
            <v>-4.2007586561925098E-3</v>
          </cell>
          <cell r="AR97">
            <v>2.4681547557358845E-2</v>
          </cell>
          <cell r="BC97">
            <v>1.1044618033177373E-2</v>
          </cell>
          <cell r="BF97">
            <v>3.5726165590536214E-2</v>
          </cell>
        </row>
        <row r="98">
          <cell r="O98">
            <v>1.1144210713463301</v>
          </cell>
          <cell r="P98">
            <v>1.11885895022683</v>
          </cell>
          <cell r="Q98">
            <v>1.1169908635511301</v>
          </cell>
          <cell r="U98">
            <v>-4.78685795238984E-3</v>
          </cell>
          <cell r="V98">
            <v>-1.08637314996378E-3</v>
          </cell>
          <cell r="W98">
            <v>-2.9259001443445801E-3</v>
          </cell>
          <cell r="Y98">
            <v>1.1139962285470999</v>
          </cell>
          <cell r="Z98">
            <v>1.1186533523165101</v>
          </cell>
          <cell r="AA98">
            <v>1.11683378007485</v>
          </cell>
          <cell r="AF98">
            <v>-1.0833829620987799E-3</v>
          </cell>
          <cell r="AG98">
            <v>-2.87176629502623E-3</v>
          </cell>
          <cell r="AR98">
            <v>2.4681547557358845E-2</v>
          </cell>
          <cell r="BC98">
            <v>1.1044618033177373E-2</v>
          </cell>
          <cell r="BF98">
            <v>3.5726165590536214E-2</v>
          </cell>
        </row>
        <row r="99">
          <cell r="O99">
            <v>1.1144210713463301</v>
          </cell>
          <cell r="P99">
            <v>1.11936823812761</v>
          </cell>
          <cell r="Q99">
            <v>1.11735462770516</v>
          </cell>
          <cell r="U99">
            <v>-5.4329936525115497E-3</v>
          </cell>
          <cell r="V99">
            <v>-1.4586736576485499E-3</v>
          </cell>
          <cell r="W99">
            <v>-3.1297045997808999E-3</v>
          </cell>
          <cell r="Y99">
            <v>1.1139962285470999</v>
          </cell>
          <cell r="Z99">
            <v>1.11916060942829</v>
          </cell>
          <cell r="AA99">
            <v>1.11718788510261</v>
          </cell>
          <cell r="AF99">
            <v>-1.45445414215173E-3</v>
          </cell>
          <cell r="AG99">
            <v>-3.082352256283E-3</v>
          </cell>
          <cell r="AR99">
            <v>2.4681547557358845E-2</v>
          </cell>
          <cell r="BC99">
            <v>1.1044618033177373E-2</v>
          </cell>
          <cell r="BF99">
            <v>3.5726165590536214E-2</v>
          </cell>
        </row>
        <row r="100">
          <cell r="O100">
            <v>1.1144210713463301</v>
          </cell>
          <cell r="P100">
            <v>1.11992258835517</v>
          </cell>
          <cell r="Q100">
            <v>1.11793349898372</v>
          </cell>
          <cell r="U100">
            <v>-7.83335837673306E-3</v>
          </cell>
          <cell r="V100">
            <v>-3.4039568671593401E-3</v>
          </cell>
          <cell r="W100">
            <v>-5.2044579459316603E-3</v>
          </cell>
          <cell r="Y100">
            <v>1.1139962285470999</v>
          </cell>
          <cell r="Z100">
            <v>1.11971272268791</v>
          </cell>
          <cell r="AA100">
            <v>1.11775636248087</v>
          </cell>
          <cell r="AF100">
            <v>-3.3935689969551599E-3</v>
          </cell>
          <cell r="AG100">
            <v>-5.1578064064492597E-3</v>
          </cell>
          <cell r="AR100">
            <v>2.4681547557358845E-2</v>
          </cell>
          <cell r="BC100">
            <v>1.1044618033177373E-2</v>
          </cell>
          <cell r="BF100">
            <v>3.5726165590536214E-2</v>
          </cell>
        </row>
        <row r="101">
          <cell r="O101">
            <v>1.1144210713463301</v>
          </cell>
          <cell r="P101">
            <v>1.1205180045824601</v>
          </cell>
          <cell r="Q101">
            <v>1.1185166706149701</v>
          </cell>
          <cell r="U101">
            <v>-6.66920716695366E-3</v>
          </cell>
          <cell r="V101">
            <v>-1.7446933367003001E-3</v>
          </cell>
          <cell r="W101">
            <v>-3.5223678766484298E-3</v>
          </cell>
          <cell r="Y101">
            <v>1.1139962285470999</v>
          </cell>
          <cell r="Z101">
            <v>1.12030596779034</v>
          </cell>
          <cell r="AA101">
            <v>1.1183292112843599</v>
          </cell>
          <cell r="AF101">
            <v>-1.74125998903405E-3</v>
          </cell>
          <cell r="AG101">
            <v>-3.48998645731283E-3</v>
          </cell>
          <cell r="AR101">
            <v>2.5845698767138228E-2</v>
          </cell>
          <cell r="BC101">
            <v>1.1044618033177373E-2</v>
          </cell>
          <cell r="BF101">
            <v>3.6890316800315598E-2</v>
          </cell>
        </row>
        <row r="102">
          <cell r="O102">
            <v>1.1144210713463301</v>
          </cell>
          <cell r="P102">
            <v>1.1204350989732099</v>
          </cell>
          <cell r="Q102">
            <v>1.1186776183798499</v>
          </cell>
          <cell r="U102">
            <v>-3.0322664127279001E-3</v>
          </cell>
          <cell r="V102">
            <v>2.4237645157130202E-3</v>
          </cell>
          <cell r="W102">
            <v>6.3608831520336302E-4</v>
          </cell>
          <cell r="Y102">
            <v>1.1139962285470999</v>
          </cell>
          <cell r="Z102">
            <v>1.1202237276758999</v>
          </cell>
          <cell r="AA102">
            <v>1.1184815098532399</v>
          </cell>
          <cell r="AF102">
            <v>2.4091461907814801E-3</v>
          </cell>
          <cell r="AG102">
            <v>6.4310852798098801E-4</v>
          </cell>
          <cell r="AR102">
            <v>2.9482639521364058E-2</v>
          </cell>
          <cell r="BC102">
            <v>1.1044618033177373E-2</v>
          </cell>
          <cell r="BF102">
            <v>4.0527257554541424E-2</v>
          </cell>
        </row>
        <row r="103">
          <cell r="O103">
            <v>1.1144210713463301</v>
          </cell>
          <cell r="P103">
            <v>1.12023987348396</v>
          </cell>
          <cell r="Q103">
            <v>1.1187213641637499</v>
          </cell>
          <cell r="U103">
            <v>-1.75063809769628E-3</v>
          </cell>
          <cell r="V103">
            <v>3.6314014480915298E-3</v>
          </cell>
          <cell r="W103">
            <v>2.0616002133025798E-3</v>
          </cell>
          <cell r="Y103">
            <v>1.1139962285470999</v>
          </cell>
          <cell r="Z103">
            <v>1.1200296094605799</v>
          </cell>
          <cell r="AA103">
            <v>1.1185170799916799</v>
          </cell>
          <cell r="AF103">
            <v>3.6115475416333398E-3</v>
          </cell>
          <cell r="AG103">
            <v>2.0550959416967001E-3</v>
          </cell>
          <cell r="AR103">
            <v>2.9482639521364058E-2</v>
          </cell>
          <cell r="BC103">
            <v>1.1044618033177373E-2</v>
          </cell>
          <cell r="BF103">
            <v>4.0527257554541424E-2</v>
          </cell>
        </row>
        <row r="104">
          <cell r="O104">
            <v>1.1144210713463301</v>
          </cell>
          <cell r="P104">
            <v>1.1201588385255199</v>
          </cell>
          <cell r="Q104">
            <v>1.1190001874523601</v>
          </cell>
          <cell r="U104">
            <v>-5.5515647955813102E-3</v>
          </cell>
          <cell r="V104">
            <v>-3.43781214746613E-4</v>
          </cell>
          <cell r="W104">
            <v>-1.7002223424516299E-3</v>
          </cell>
          <cell r="Y104">
            <v>1.1139962285470999</v>
          </cell>
          <cell r="Z104">
            <v>1.11990953343609</v>
          </cell>
          <cell r="AA104">
            <v>1.11877522815319</v>
          </cell>
          <cell r="AF104">
            <v>1.07353647708127E-5</v>
          </cell>
          <cell r="AG104">
            <v>-1.3406143356426499E-3</v>
          </cell>
          <cell r="AR104">
            <v>2.9482639521364058E-2</v>
          </cell>
          <cell r="BC104">
            <v>1.1044618033177373E-2</v>
          </cell>
          <cell r="BF104">
            <v>4.0527257554541424E-2</v>
          </cell>
        </row>
        <row r="105">
          <cell r="O105">
            <v>1.1144210713463301</v>
          </cell>
          <cell r="P105">
            <v>1.11989008984524</v>
          </cell>
          <cell r="Q105">
            <v>1.11898616522269</v>
          </cell>
          <cell r="U105">
            <v>-3.9546256922740703E-3</v>
          </cell>
          <cell r="V105">
            <v>1.18081812328241E-3</v>
          </cell>
          <cell r="W105">
            <v>1.4591960725389799E-4</v>
          </cell>
          <cell r="Y105">
            <v>1.1139962285470999</v>
          </cell>
          <cell r="Z105">
            <v>1.11960382935742</v>
          </cell>
          <cell r="AA105">
            <v>1.11874223808614</v>
          </cell>
          <cell r="AF105">
            <v>1.48611124191028E-3</v>
          </cell>
          <cell r="AG105">
            <v>4.7274357225754102E-4</v>
          </cell>
          <cell r="AR105">
            <v>2.9482639521364058E-2</v>
          </cell>
          <cell r="BC105">
            <v>1.1044618033177373E-2</v>
          </cell>
          <cell r="BF105">
            <v>4.0527257554541424E-2</v>
          </cell>
        </row>
        <row r="106">
          <cell r="O106">
            <v>1.1144210713463301</v>
          </cell>
          <cell r="P106">
            <v>1.12007642219574</v>
          </cell>
          <cell r="Q106">
            <v>1.1192544408260601</v>
          </cell>
          <cell r="U106">
            <v>-5.8481144530921304E-3</v>
          </cell>
          <cell r="V106">
            <v>-9.5261957630285595E-4</v>
          </cell>
          <cell r="W106">
            <v>-1.76010026633105E-3</v>
          </cell>
          <cell r="Y106">
            <v>1.1139962285470999</v>
          </cell>
          <cell r="Z106">
            <v>1.11975034097205</v>
          </cell>
          <cell r="AA106">
            <v>1.11898968497621</v>
          </cell>
          <cell r="AF106">
            <v>-6.6468951192008899E-4</v>
          </cell>
          <cell r="AG106">
            <v>-1.43453589659367E-3</v>
          </cell>
          <cell r="AR106">
            <v>2.9482639521364058E-2</v>
          </cell>
          <cell r="BC106">
            <v>1.1044618033177373E-2</v>
          </cell>
          <cell r="BF106">
            <v>4.0527257554541424E-2</v>
          </cell>
        </row>
        <row r="107">
          <cell r="O107">
            <v>1.1144210713463301</v>
          </cell>
          <cell r="P107">
            <v>1.11997473159098</v>
          </cell>
          <cell r="Q107">
            <v>1.1192636704036301</v>
          </cell>
          <cell r="U107">
            <v>-4.8372941891380097E-3</v>
          </cell>
          <cell r="V107">
            <v>2.2457134536705401E-4</v>
          </cell>
          <cell r="W107">
            <v>-5.0955992586930801E-4</v>
          </cell>
          <cell r="Y107">
            <v>1.1139962285470999</v>
          </cell>
          <cell r="Z107">
            <v>1.11961020998677</v>
          </cell>
          <cell r="AA107">
            <v>1.1189791741611499</v>
          </cell>
          <cell r="AF107">
            <v>4.7090571179754401E-4</v>
          </cell>
          <cell r="AG107">
            <v>-2.0863368651230399E-4</v>
          </cell>
          <cell r="AR107">
            <v>2.9482639521364058E-2</v>
          </cell>
          <cell r="BC107">
            <v>1.1044618033177373E-2</v>
          </cell>
          <cell r="BF107">
            <v>4.0527257554541424E-2</v>
          </cell>
        </row>
        <row r="108">
          <cell r="O108">
            <v>1.1144210713463301</v>
          </cell>
          <cell r="P108">
            <v>1.1198006059432699</v>
          </cell>
          <cell r="Q108">
            <v>1.11932977808505</v>
          </cell>
          <cell r="U108">
            <v>-3.2306328726491298E-3</v>
          </cell>
          <cell r="V108">
            <v>1.7404395523735799E-3</v>
          </cell>
          <cell r="W108">
            <v>1.10534754017491E-3</v>
          </cell>
          <cell r="Y108">
            <v>1.1139962285470999</v>
          </cell>
          <cell r="Z108">
            <v>1.1193952392406901</v>
          </cell>
          <cell r="AA108">
            <v>1.1190242957786001</v>
          </cell>
          <cell r="AF108">
            <v>1.9664759995248701E-3</v>
          </cell>
          <cell r="AG108">
            <v>1.40269610598543E-3</v>
          </cell>
          <cell r="AR108">
            <v>2.9482639521364058E-2</v>
          </cell>
          <cell r="BC108">
            <v>1.1044618033177373E-2</v>
          </cell>
          <cell r="BF108">
            <v>4.0527257554541424E-2</v>
          </cell>
        </row>
        <row r="109">
          <cell r="O109">
            <v>1.1144210713463301</v>
          </cell>
          <cell r="P109">
            <v>1.1197729859140999</v>
          </cell>
          <cell r="Q109">
            <v>1.11957061202085</v>
          </cell>
          <cell r="U109">
            <v>-5.1864641889174104E-3</v>
          </cell>
          <cell r="V109">
            <v>-3.7087668700434698E-4</v>
          </cell>
          <cell r="W109">
            <v>-7.9142197415466497E-4</v>
          </cell>
          <cell r="Y109">
            <v>1.1139962285470999</v>
          </cell>
          <cell r="Z109">
            <v>1.11932595715865</v>
          </cell>
          <cell r="AA109">
            <v>1.11924328329347</v>
          </cell>
          <cell r="AF109">
            <v>-1.7285166235152499E-4</v>
          </cell>
          <cell r="AG109">
            <v>-5.0428503280088195E-4</v>
          </cell>
          <cell r="AR109">
            <v>2.9482639521364058E-2</v>
          </cell>
          <cell r="BC109">
            <v>1.1044618033177373E-2</v>
          </cell>
          <cell r="BF109">
            <v>4.0527257554541424E-2</v>
          </cell>
        </row>
        <row r="110">
          <cell r="O110">
            <v>1.1144210713463301</v>
          </cell>
          <cell r="P110">
            <v>1.11957714427695</v>
          </cell>
          <cell r="Q110">
            <v>1.1197498663160601</v>
          </cell>
          <cell r="U110">
            <v>-6.0882089020859098E-3</v>
          </cell>
          <cell r="V110">
            <v>-1.2972868358360401E-3</v>
          </cell>
          <cell r="W110">
            <v>-1.47803077703523E-3</v>
          </cell>
          <cell r="Y110">
            <v>1.1139962285470999</v>
          </cell>
          <cell r="Z110">
            <v>1.1190882770572901</v>
          </cell>
          <cell r="AA110">
            <v>1.1194004998725999</v>
          </cell>
          <cell r="AF110">
            <v>-1.12705366312064E-3</v>
          </cell>
          <cell r="AG110">
            <v>-1.2009167929487299E-3</v>
          </cell>
          <cell r="AR110">
            <v>2.9482639521364058E-2</v>
          </cell>
          <cell r="BC110">
            <v>1.1044618033177373E-2</v>
          </cell>
          <cell r="BF110">
            <v>4.0527257554541424E-2</v>
          </cell>
        </row>
        <row r="111">
          <cell r="O111">
            <v>1.1144210713463301</v>
          </cell>
          <cell r="P111">
            <v>1.11918305339498</v>
          </cell>
          <cell r="Q111">
            <v>1.11985052898872</v>
          </cell>
          <cell r="U111">
            <v>-3.1502451380963801E-3</v>
          </cell>
          <cell r="V111">
            <v>1.46576757833608E-3</v>
          </cell>
          <cell r="W111">
            <v>1.62003003186371E-3</v>
          </cell>
          <cell r="Y111">
            <v>1.1139962285470999</v>
          </cell>
          <cell r="Z111">
            <v>1.11865288966675</v>
          </cell>
          <cell r="AA111">
            <v>1.1194794287285399</v>
          </cell>
          <cell r="AF111">
            <v>1.59007367925974E-3</v>
          </cell>
          <cell r="AG111">
            <v>1.86903225216376E-3</v>
          </cell>
          <cell r="AR111">
            <v>2.9482639521364058E-2</v>
          </cell>
          <cell r="BC111">
            <v>1.1044618033177373E-2</v>
          </cell>
          <cell r="BF111">
            <v>4.0527257554541424E-2</v>
          </cell>
        </row>
        <row r="112">
          <cell r="O112">
            <v>1.1144210713463301</v>
          </cell>
          <cell r="P112">
            <v>1.11926579471771</v>
          </cell>
          <cell r="Q112">
            <v>1.11985044684546</v>
          </cell>
          <cell r="U112">
            <v>-3.77220480612809E-3</v>
          </cell>
          <cell r="V112">
            <v>4.9174618752121496E-4</v>
          </cell>
          <cell r="W112">
            <v>1.0879637867278599E-3</v>
          </cell>
          <cell r="Y112">
            <v>1.1139962285470999</v>
          </cell>
          <cell r="Z112">
            <v>1.1186933763458899</v>
          </cell>
          <cell r="AA112">
            <v>1.11945855201089</v>
          </cell>
          <cell r="AF112">
            <v>5.7030140273921399E-4</v>
          </cell>
          <cell r="AG112">
            <v>1.30889857376331E-3</v>
          </cell>
          <cell r="AR112">
            <v>2.9482639521364058E-2</v>
          </cell>
          <cell r="BC112">
            <v>1.1044618033177373E-2</v>
          </cell>
          <cell r="BF112">
            <v>4.0527257554541424E-2</v>
          </cell>
        </row>
        <row r="113">
          <cell r="O113">
            <v>1.1144210713463301</v>
          </cell>
          <cell r="P113">
            <v>1.11966996383092</v>
          </cell>
          <cell r="Q113">
            <v>1.11995491865744</v>
          </cell>
          <cell r="U113">
            <v>-5.3644749546874699E-3</v>
          </cell>
          <cell r="V113">
            <v>-1.0265965868726001E-3</v>
          </cell>
          <cell r="W113">
            <v>-5.04379713821646E-4</v>
          </cell>
          <cell r="Y113">
            <v>1.1139962285470999</v>
          </cell>
          <cell r="Z113">
            <v>1.1190543215842801</v>
          </cell>
          <cell r="AA113">
            <v>1.1195419655224299</v>
          </cell>
          <cell r="AF113">
            <v>-9.840208250478761E-4</v>
          </cell>
          <cell r="AG113">
            <v>-3.0026411923972601E-4</v>
          </cell>
          <cell r="AR113">
            <v>2.9482639521364058E-2</v>
          </cell>
          <cell r="BC113">
            <v>1.1044618033177373E-2</v>
          </cell>
          <cell r="BF113">
            <v>4.0527257554541424E-2</v>
          </cell>
        </row>
        <row r="114">
          <cell r="O114">
            <v>1.1144210713463301</v>
          </cell>
          <cell r="P114">
            <v>1.1198239107021799</v>
          </cell>
          <cell r="Q114">
            <v>1.1199913746138499</v>
          </cell>
          <cell r="U114">
            <v>-6.9243810116705598E-3</v>
          </cell>
          <cell r="V114">
            <v>-2.2254658288826698E-3</v>
          </cell>
          <cell r="W114">
            <v>-1.9709992614788899E-3</v>
          </cell>
          <cell r="Y114">
            <v>1.1139962285470999</v>
          </cell>
          <cell r="Z114">
            <v>1.11920759843288</v>
          </cell>
          <cell r="AA114">
            <v>1.11955856593449</v>
          </cell>
          <cell r="AF114">
            <v>-2.22799993242316E-3</v>
          </cell>
          <cell r="AG114">
            <v>-1.79233053667645E-3</v>
          </cell>
          <cell r="AR114">
            <v>2.9482639521364058E-2</v>
          </cell>
          <cell r="BC114">
            <v>1.1044618033177373E-2</v>
          </cell>
          <cell r="BF114">
            <v>4.0527257554541424E-2</v>
          </cell>
        </row>
        <row r="115">
          <cell r="O115">
            <v>1.1144210713463301</v>
          </cell>
          <cell r="P115">
            <v>1.1200702885915399</v>
          </cell>
          <cell r="Q115">
            <v>1.11998018921839</v>
          </cell>
          <cell r="U115">
            <v>-6.1542940310555299E-3</v>
          </cell>
          <cell r="V115">
            <v>-1.3178952201567901E-3</v>
          </cell>
          <cell r="W115">
            <v>-1.1683615393386501E-3</v>
          </cell>
          <cell r="Y115">
            <v>1.1139962285470999</v>
          </cell>
          <cell r="Z115">
            <v>1.1194519251875199</v>
          </cell>
          <cell r="AA115">
            <v>1.1195278772724699</v>
          </cell>
          <cell r="AF115">
            <v>-1.32338983955512E-3</v>
          </cell>
          <cell r="AG115">
            <v>-1.0098532942338599E-3</v>
          </cell>
          <cell r="AR115">
            <v>2.9482639521364058E-2</v>
          </cell>
          <cell r="BC115">
            <v>1.1044618033177373E-2</v>
          </cell>
          <cell r="BF115">
            <v>4.0527257554541424E-2</v>
          </cell>
        </row>
        <row r="116">
          <cell r="O116">
            <v>1.1144210713463301</v>
          </cell>
          <cell r="P116">
            <v>1.1202349073662401</v>
          </cell>
          <cell r="Q116">
            <v>1.12015566478099</v>
          </cell>
          <cell r="U116">
            <v>-7.31559228077898E-3</v>
          </cell>
          <cell r="V116">
            <v>-2.2592028199341502E-3</v>
          </cell>
          <cell r="W116">
            <v>-2.3396468760785299E-3</v>
          </cell>
          <cell r="Y116">
            <v>1.1139962285470999</v>
          </cell>
          <cell r="Z116">
            <v>1.11961566973847</v>
          </cell>
          <cell r="AA116">
            <v>1.11968300535526</v>
          </cell>
          <cell r="AF116">
            <v>-2.2608588546577301E-3</v>
          </cell>
          <cell r="AG116">
            <v>-2.1930135932616201E-3</v>
          </cell>
          <cell r="AR116">
            <v>2.9482639521364058E-2</v>
          </cell>
          <cell r="BC116">
            <v>1.1044618033177373E-2</v>
          </cell>
          <cell r="BF116">
            <v>4.0527257554541424E-2</v>
          </cell>
        </row>
        <row r="117">
          <cell r="O117">
            <v>1.1144210713463301</v>
          </cell>
          <cell r="P117">
            <v>1.1206145068233799</v>
          </cell>
          <cell r="Q117">
            <v>1.1202946192071801</v>
          </cell>
          <cell r="U117">
            <v>-8.2213725189496396E-3</v>
          </cell>
          <cell r="V117">
            <v>-3.0180220321723702E-3</v>
          </cell>
          <cell r="W117">
            <v>-3.0887620060595501E-3</v>
          </cell>
          <cell r="Y117">
            <v>1.1139962285470999</v>
          </cell>
          <cell r="Z117">
            <v>1.1199936689605501</v>
          </cell>
          <cell r="AA117">
            <v>1.11980193947366</v>
          </cell>
          <cell r="AF117">
            <v>-3.02101568726492E-3</v>
          </cell>
          <cell r="AG117">
            <v>-2.9608757715362099E-3</v>
          </cell>
          <cell r="AR117">
            <v>2.9482639521364058E-2</v>
          </cell>
          <cell r="BC117">
            <v>1.1044618033177373E-2</v>
          </cell>
          <cell r="BF117">
            <v>4.0527257554541424E-2</v>
          </cell>
        </row>
        <row r="118">
          <cell r="O118">
            <v>1.1144210713463301</v>
          </cell>
          <cell r="P118">
            <v>1.12135480653654</v>
          </cell>
          <cell r="Q118">
            <v>1.1205777062399001</v>
          </cell>
          <cell r="U118">
            <v>-9.8302894140029906E-3</v>
          </cell>
          <cell r="V118">
            <v>-4.2881393110059101E-3</v>
          </cell>
          <cell r="W118">
            <v>-4.5736373837792898E-3</v>
          </cell>
          <cell r="Y118">
            <v>1.1139962285470999</v>
          </cell>
          <cell r="Z118">
            <v>1.1207327526423101</v>
          </cell>
          <cell r="AA118">
            <v>1.1200639959415</v>
          </cell>
          <cell r="AF118">
            <v>-4.283564013592E-3</v>
          </cell>
          <cell r="AG118">
            <v>-4.4547666774729698E-3</v>
          </cell>
          <cell r="AR118">
            <v>2.9482639521364058E-2</v>
          </cell>
          <cell r="BC118">
            <v>1.1044618033177373E-2</v>
          </cell>
          <cell r="BF118">
            <v>4.0527257554541424E-2</v>
          </cell>
        </row>
        <row r="119">
          <cell r="O119">
            <v>1.1144210713463301</v>
          </cell>
          <cell r="P119">
            <v>1.12190711727598</v>
          </cell>
          <cell r="Q119">
            <v>1.1208400515950401</v>
          </cell>
          <cell r="U119">
            <v>-1.0104744660681101E-2</v>
          </cell>
          <cell r="V119">
            <v>-3.9021932438477098E-3</v>
          </cell>
          <cell r="W119">
            <v>-4.5954347427144904E-3</v>
          </cell>
          <cell r="Y119">
            <v>1.1139962285470999</v>
          </cell>
          <cell r="Z119">
            <v>1.12128348932931</v>
          </cell>
          <cell r="AA119">
            <v>1.12030472324398</v>
          </cell>
          <cell r="AF119">
            <v>-3.8857502264647999E-3</v>
          </cell>
          <cell r="AG119">
            <v>-4.4826421320648098E-3</v>
          </cell>
          <cell r="AR119">
            <v>2.9482639521364058E-2</v>
          </cell>
          <cell r="BC119">
            <v>1.1044618033177373E-2</v>
          </cell>
          <cell r="BF119">
            <v>4.0527257554541424E-2</v>
          </cell>
        </row>
        <row r="120">
          <cell r="O120">
            <v>1.1144210713463301</v>
          </cell>
          <cell r="P120">
            <v>1.1223206287493499</v>
          </cell>
          <cell r="Q120">
            <v>1.1209488865131501</v>
          </cell>
          <cell r="U120">
            <v>-9.7694524957717896E-3</v>
          </cell>
          <cell r="V120">
            <v>-3.0744835464691501E-3</v>
          </cell>
          <cell r="W120">
            <v>-4.0260538137475502E-3</v>
          </cell>
          <cell r="Y120">
            <v>1.1139962285470999</v>
          </cell>
          <cell r="Z120">
            <v>1.1216960937009499</v>
          </cell>
          <cell r="AA120">
            <v>1.1203921853791201</v>
          </cell>
          <cell r="AF120">
            <v>-3.0550037957899198E-3</v>
          </cell>
          <cell r="AG120">
            <v>-3.92828296637479E-3</v>
          </cell>
          <cell r="AR120">
            <v>2.9482639521364058E-2</v>
          </cell>
          <cell r="BC120">
            <v>1.1044618033177373E-2</v>
          </cell>
          <cell r="BF120">
            <v>4.0527257554541424E-2</v>
          </cell>
        </row>
        <row r="121">
          <cell r="O121">
            <v>1.1144210713463301</v>
          </cell>
          <cell r="P121">
            <v>1.1231013028611001</v>
          </cell>
          <cell r="Q121">
            <v>1.12114217812804</v>
          </cell>
          <cell r="U121">
            <v>-1.0109141157259499E-2</v>
          </cell>
          <cell r="V121">
            <v>-3.0456610541474702E-3</v>
          </cell>
          <cell r="W121">
            <v>-4.2686459855978296E-3</v>
          </cell>
          <cell r="Y121">
            <v>1.1139962285470999</v>
          </cell>
          <cell r="Z121">
            <v>1.12247474309136</v>
          </cell>
          <cell r="AA121">
            <v>1.1205638163790499</v>
          </cell>
          <cell r="AF121">
            <v>-3.0271246541926301E-3</v>
          </cell>
          <cell r="AG121">
            <v>-4.1902443056327197E-3</v>
          </cell>
          <cell r="AR121">
            <v>2.9482639521364058E-2</v>
          </cell>
          <cell r="BC121">
            <v>1.1044618033177373E-2</v>
          </cell>
          <cell r="BF121">
            <v>4.0527257554541424E-2</v>
          </cell>
        </row>
        <row r="122">
          <cell r="O122">
            <v>1.1144210713463301</v>
          </cell>
          <cell r="P122">
            <v>1.12385413313614</v>
          </cell>
          <cell r="Q122">
            <v>1.12155996392692</v>
          </cell>
          <cell r="U122">
            <v>-1.0479574006073199E-2</v>
          </cell>
          <cell r="V122">
            <v>-2.72074650992559E-3</v>
          </cell>
          <cell r="W122">
            <v>-4.4666579917309697E-3</v>
          </cell>
          <cell r="Y122">
            <v>1.1139962285470999</v>
          </cell>
          <cell r="Z122">
            <v>1.12322314329935</v>
          </cell>
          <cell r="AA122">
            <v>1.12095825982262</v>
          </cell>
          <cell r="AF122">
            <v>-2.6907457612769699E-3</v>
          </cell>
          <cell r="AG122">
            <v>-4.3946194343806302E-3</v>
          </cell>
          <cell r="AR122">
            <v>2.9482639521364058E-2</v>
          </cell>
          <cell r="BC122">
            <v>1.1044618033177373E-2</v>
          </cell>
          <cell r="BF122">
            <v>4.0527257554541424E-2</v>
          </cell>
        </row>
        <row r="123">
          <cell r="O123">
            <v>1.1144210713463301</v>
          </cell>
          <cell r="P123">
            <v>1.1245715981268201</v>
          </cell>
          <cell r="Q123">
            <v>1.12212078097887</v>
          </cell>
          <cell r="U123">
            <v>-1.1747621530656701E-2</v>
          </cell>
          <cell r="V123">
            <v>-3.3187048185459702E-3</v>
          </cell>
          <cell r="W123">
            <v>-5.3621319178108499E-3</v>
          </cell>
          <cell r="Y123">
            <v>1.1139962285470999</v>
          </cell>
          <cell r="Z123">
            <v>1.1239366659146801</v>
          </cell>
          <cell r="AA123">
            <v>1.1214954937494801</v>
          </cell>
          <cell r="AF123">
            <v>-3.2947286255047602E-3</v>
          </cell>
          <cell r="AG123">
            <v>-5.3131788653417696E-3</v>
          </cell>
          <cell r="AR123">
            <v>2.9482639521364058E-2</v>
          </cell>
          <cell r="BC123">
            <v>1.1044618033177373E-2</v>
          </cell>
          <cell r="BF123">
            <v>4.0527257554541424E-2</v>
          </cell>
        </row>
        <row r="124">
          <cell r="O124">
            <v>1.1144210713463301</v>
          </cell>
          <cell r="P124">
            <v>1.12526555177676</v>
          </cell>
          <cell r="Q124">
            <v>1.1225447312394701</v>
          </cell>
          <cell r="U124">
            <v>-1.30894014942541E-2</v>
          </cell>
          <cell r="V124">
            <v>-4.0222915742837897E-3</v>
          </cell>
          <cell r="W124">
            <v>-6.2040038041137301E-3</v>
          </cell>
          <cell r="Y124">
            <v>1.1139962285470999</v>
          </cell>
          <cell r="Z124">
            <v>1.1246255818689599</v>
          </cell>
          <cell r="AA124">
            <v>1.12191659015092</v>
          </cell>
          <cell r="AF124">
            <v>-3.9983140937728803E-3</v>
          </cell>
          <cell r="AG124">
            <v>-6.1726600133078201E-3</v>
          </cell>
          <cell r="AR124">
            <v>2.8140859557766358E-2</v>
          </cell>
          <cell r="BC124">
            <v>1.1044618033177373E-2</v>
          </cell>
          <cell r="BF124">
            <v>3.9185477590943721E-2</v>
          </cell>
        </row>
        <row r="125">
          <cell r="O125">
            <v>1.1144210713463301</v>
          </cell>
          <cell r="P125">
            <v>1.12596495803081</v>
          </cell>
          <cell r="Q125">
            <v>1.1230176233111699</v>
          </cell>
          <cell r="U125">
            <v>-1.23723765514597E-2</v>
          </cell>
          <cell r="V125">
            <v>-2.6883742737697299E-3</v>
          </cell>
          <cell r="W125">
            <v>-5.1092386026201199E-3</v>
          </cell>
          <cell r="Y125">
            <v>1.1139962285470999</v>
          </cell>
          <cell r="Z125">
            <v>1.1253352345058401</v>
          </cell>
          <cell r="AA125">
            <v>1.12239357984668</v>
          </cell>
          <cell r="AF125">
            <v>-2.8064791905622602E-3</v>
          </cell>
          <cell r="AG125">
            <v>-5.2181793267131599E-3</v>
          </cell>
          <cell r="AR125">
            <v>2.8140859557766358E-2</v>
          </cell>
          <cell r="BC125">
            <v>1.1044618033177373E-2</v>
          </cell>
          <cell r="BF125">
            <v>3.9185477590943721E-2</v>
          </cell>
        </row>
        <row r="126">
          <cell r="O126">
            <v>1.1144210713463301</v>
          </cell>
          <cell r="P126">
            <v>1.1262069916138799</v>
          </cell>
          <cell r="Q126">
            <v>1.12322094949006</v>
          </cell>
          <cell r="U126">
            <v>-9.4692736137211402E-3</v>
          </cell>
          <cell r="V126">
            <v>8.3608331735108004E-4</v>
          </cell>
          <cell r="W126">
            <v>-1.7849564642782099E-3</v>
          </cell>
          <cell r="Y126">
            <v>1.1139962285470999</v>
          </cell>
          <cell r="Z126">
            <v>1.1255896931270599</v>
          </cell>
          <cell r="AA126">
            <v>1.1226026814327701</v>
          </cell>
          <cell r="AF126">
            <v>7.1554245768569197E-4</v>
          </cell>
          <cell r="AG126">
            <v>-1.9019052698360801E-3</v>
          </cell>
          <cell r="AR126">
            <v>3.1043962495505159E-2</v>
          </cell>
          <cell r="BC126">
            <v>1.1044618033177373E-2</v>
          </cell>
          <cell r="BF126">
            <v>4.2088580528682522E-2</v>
          </cell>
        </row>
        <row r="127">
          <cell r="O127">
            <v>1.1144210713463301</v>
          </cell>
          <cell r="P127">
            <v>1.12605414794795</v>
          </cell>
          <cell r="Q127">
            <v>1.12333432738567</v>
          </cell>
          <cell r="U127">
            <v>-6.8601686276970504E-3</v>
          </cell>
          <cell r="V127">
            <v>3.6601217892836299E-3</v>
          </cell>
          <cell r="W127">
            <v>1.00518555129727E-3</v>
          </cell>
          <cell r="Y127">
            <v>1.1139962285470999</v>
          </cell>
          <cell r="Z127">
            <v>1.1254516519503801</v>
          </cell>
          <cell r="AA127">
            <v>1.1227226604554601</v>
          </cell>
          <cell r="AF127">
            <v>3.5305505123926001E-3</v>
          </cell>
          <cell r="AG127">
            <v>8.7329263205597495E-4</v>
          </cell>
          <cell r="AR127">
            <v>3.1043962495505159E-2</v>
          </cell>
          <cell r="BC127">
            <v>1.1044618033177373E-2</v>
          </cell>
          <cell r="BF127">
            <v>4.2088580528682522E-2</v>
          </cell>
        </row>
        <row r="128">
          <cell r="O128">
            <v>1.1144210713463301</v>
          </cell>
          <cell r="P128">
            <v>1.1254995752510899</v>
          </cell>
          <cell r="Q128">
            <v>1.12342719089381</v>
          </cell>
          <cell r="U128">
            <v>-4.8904576544958698E-3</v>
          </cell>
          <cell r="V128">
            <v>5.4941081225028396E-3</v>
          </cell>
          <cell r="W128">
            <v>3.0758314063332802E-3</v>
          </cell>
          <cell r="Y128">
            <v>1.1139962285470999</v>
          </cell>
          <cell r="Z128">
            <v>1.1249137974942001</v>
          </cell>
          <cell r="AA128">
            <v>1.1228232750682501</v>
          </cell>
          <cell r="AF128">
            <v>5.3710682644530399E-3</v>
          </cell>
          <cell r="AG128">
            <v>2.9433269454384701E-3</v>
          </cell>
          <cell r="AR128">
            <v>3.1043962495505159E-2</v>
          </cell>
          <cell r="BC128">
            <v>1.1044618033177373E-2</v>
          </cell>
          <cell r="BF128">
            <v>4.2088580528682522E-2</v>
          </cell>
        </row>
        <row r="129">
          <cell r="O129">
            <v>1.1144210713463301</v>
          </cell>
          <cell r="P129">
            <v>1.12480335295094</v>
          </cell>
          <cell r="Q129">
            <v>1.1233552351134599</v>
          </cell>
          <cell r="U129">
            <v>-3.90096138367476E-3</v>
          </cell>
          <cell r="V129">
            <v>5.9909910460433802E-3</v>
          </cell>
          <cell r="W129">
            <v>4.1479919986152696E-3</v>
          </cell>
          <cell r="Y129">
            <v>1.1139962285470999</v>
          </cell>
          <cell r="Z129">
            <v>1.1242368190634799</v>
          </cell>
          <cell r="AA129">
            <v>1.1227601541964001</v>
          </cell>
          <cell r="AF129">
            <v>5.8731907482988399E-3</v>
          </cell>
          <cell r="AG129">
            <v>4.0130772552788296E-3</v>
          </cell>
          <cell r="AR129">
            <v>3.1043962495505159E-2</v>
          </cell>
          <cell r="BC129">
            <v>1.1044618033177373E-2</v>
          </cell>
          <cell r="BF129">
            <v>4.2088580528682522E-2</v>
          </cell>
        </row>
        <row r="130">
          <cell r="O130">
            <v>1.1144210713463301</v>
          </cell>
          <cell r="P130">
            <v>1.1245186494688399</v>
          </cell>
          <cell r="Q130">
            <v>1.1234196391091</v>
          </cell>
          <cell r="U130">
            <v>-7.2363627209880103E-3</v>
          </cell>
          <cell r="V130">
            <v>2.0368087316134601E-3</v>
          </cell>
          <cell r="W130">
            <v>7.4853837075224399E-4</v>
          </cell>
          <cell r="Y130">
            <v>1.1139962285470999</v>
          </cell>
          <cell r="Z130">
            <v>1.1239697370017601</v>
          </cell>
          <cell r="AA130">
            <v>1.1228329153513501</v>
          </cell>
          <cell r="AF130">
            <v>1.95290672444918E-3</v>
          </cell>
          <cell r="AG130">
            <v>6.3856131389957804E-4</v>
          </cell>
          <cell r="AR130">
            <v>3.1043962495505159E-2</v>
          </cell>
          <cell r="BC130">
            <v>1.4380019370490554E-2</v>
          </cell>
          <cell r="BF130">
            <v>4.5423981865995701E-2</v>
          </cell>
        </row>
        <row r="131">
          <cell r="O131">
            <v>1.1144210713463301</v>
          </cell>
          <cell r="P131">
            <v>1.12399289541009</v>
          </cell>
          <cell r="Q131">
            <v>1.1235470991356</v>
          </cell>
          <cell r="U131">
            <v>-5.4279207209329298E-3</v>
          </cell>
          <cell r="V131">
            <v>3.5921046873833599E-3</v>
          </cell>
          <cell r="W131">
            <v>2.6143105433966301E-3</v>
          </cell>
          <cell r="Y131">
            <v>1.1139962285470999</v>
          </cell>
          <cell r="Z131">
            <v>1.12346276997181</v>
          </cell>
          <cell r="AA131">
            <v>1.12296875653158</v>
          </cell>
          <cell r="AF131">
            <v>3.51396152861764E-3</v>
          </cell>
          <cell r="AG131">
            <v>2.5020152891701798E-3</v>
          </cell>
          <cell r="AR131">
            <v>3.1043962495505159E-2</v>
          </cell>
          <cell r="BC131">
            <v>1.4380019370490554E-2</v>
          </cell>
          <cell r="BF131">
            <v>4.5423981865995701E-2</v>
          </cell>
        </row>
        <row r="132">
          <cell r="O132">
            <v>1.1144210713463301</v>
          </cell>
          <cell r="P132">
            <v>1.12343147067044</v>
          </cell>
          <cell r="Q132">
            <v>1.12364280190329</v>
          </cell>
          <cell r="U132">
            <v>-5.48180926434932E-3</v>
          </cell>
          <cell r="V132">
            <v>3.0705698296491302E-3</v>
          </cell>
          <cell r="W132">
            <v>2.6738727462393501E-3</v>
          </cell>
          <cell r="Y132">
            <v>1.1139962285470999</v>
          </cell>
          <cell r="Z132">
            <v>1.1229209589501701</v>
          </cell>
          <cell r="AA132">
            <v>1.1230720511247601</v>
          </cell>
          <cell r="AF132">
            <v>3.01467569855106E-3</v>
          </cell>
          <cell r="AG132">
            <v>2.5748550831770898E-3</v>
          </cell>
          <cell r="AR132">
            <v>3.1043962495505159E-2</v>
          </cell>
          <cell r="BC132">
            <v>1.4380019370490554E-2</v>
          </cell>
          <cell r="BF132">
            <v>4.5423981865995701E-2</v>
          </cell>
        </row>
        <row r="133">
          <cell r="O133">
            <v>1.1144210713463301</v>
          </cell>
          <cell r="P133">
            <v>1.12260831934262</v>
          </cell>
          <cell r="Q133">
            <v>1.12358995873472</v>
          </cell>
          <cell r="U133">
            <v>-4.4207516489862897E-3</v>
          </cell>
          <cell r="V133">
            <v>3.6320112979255801E-3</v>
          </cell>
          <cell r="W133">
            <v>3.8201058669818798E-3</v>
          </cell>
          <cell r="Y133">
            <v>1.1139962285470999</v>
          </cell>
          <cell r="Z133">
            <v>1.12211815295135</v>
          </cell>
          <cell r="AA133">
            <v>1.1230274094330199</v>
          </cell>
          <cell r="AF133">
            <v>3.5855298333258702E-3</v>
          </cell>
          <cell r="AG133">
            <v>3.7200735956064101E-3</v>
          </cell>
          <cell r="AR133">
            <v>3.1043962495505159E-2</v>
          </cell>
          <cell r="BC133">
            <v>1.4380019370490554E-2</v>
          </cell>
          <cell r="BF133">
            <v>4.5423981865995701E-2</v>
          </cell>
        </row>
        <row r="134">
          <cell r="O134">
            <v>1.1144210713463301</v>
          </cell>
          <cell r="P134">
            <v>1.1216778339517901</v>
          </cell>
          <cell r="Q134">
            <v>1.1234716928642701</v>
          </cell>
          <cell r="U134">
            <v>-4.81433948835229E-3</v>
          </cell>
          <cell r="V134">
            <v>2.5054432430383E-3</v>
          </cell>
          <cell r="W134">
            <v>3.3794884813179802E-3</v>
          </cell>
          <cell r="Y134">
            <v>1.1139962285470999</v>
          </cell>
          <cell r="Z134">
            <v>1.1212079180891199</v>
          </cell>
          <cell r="AA134">
            <v>1.12291674997904</v>
          </cell>
          <cell r="AF134">
            <v>2.4814140624471299E-3</v>
          </cell>
          <cell r="AG134">
            <v>3.2913896351756599E-3</v>
          </cell>
          <cell r="AR134">
            <v>3.1043962495505159E-2</v>
          </cell>
          <cell r="BC134">
            <v>1.4773607209856605E-2</v>
          </cell>
          <cell r="BF134">
            <v>4.5817569705361751E-2</v>
          </cell>
        </row>
        <row r="135">
          <cell r="O135">
            <v>1.1144210713463301</v>
          </cell>
          <cell r="P135">
            <v>1.1207746927281499</v>
          </cell>
          <cell r="Q135">
            <v>1.1233698253794799</v>
          </cell>
          <cell r="U135">
            <v>-4.3356892313023403E-3</v>
          </cell>
          <cell r="V135">
            <v>2.1548895745733699E-3</v>
          </cell>
          <cell r="W135">
            <v>3.7528760541227701E-3</v>
          </cell>
          <cell r="Y135">
            <v>1.1139962285470999</v>
          </cell>
          <cell r="Z135">
            <v>1.1203088663071299</v>
          </cell>
          <cell r="AA135">
            <v>1.1228220504064901</v>
          </cell>
          <cell r="AF135">
            <v>2.15373182201628E-3</v>
          </cell>
          <cell r="AG135">
            <v>3.67667058252001E-3</v>
          </cell>
          <cell r="AR135">
            <v>3.1043962495505159E-2</v>
          </cell>
          <cell r="BC135">
            <v>1.4294956952806605E-2</v>
          </cell>
          <cell r="BF135">
            <v>4.5338919448311754E-2</v>
          </cell>
        </row>
        <row r="136">
          <cell r="O136">
            <v>1.1144210713463301</v>
          </cell>
          <cell r="P136">
            <v>1.1203424523283501</v>
          </cell>
          <cell r="Q136">
            <v>1.1232747219711099</v>
          </cell>
          <cell r="U136">
            <v>-5.6198188699252798E-3</v>
          </cell>
          <cell r="V136">
            <v>6.5265717696166595E-5</v>
          </cell>
          <cell r="W136">
            <v>2.37807025161417E-3</v>
          </cell>
          <cell r="Y136">
            <v>1.1139962285470999</v>
          </cell>
          <cell r="Z136">
            <v>1.1198782144314201</v>
          </cell>
          <cell r="AA136">
            <v>1.12273395377924</v>
          </cell>
          <cell r="AF136">
            <v>7.5953082332459504E-5</v>
          </cell>
          <cell r="AG136">
            <v>2.3167363841083799E-3</v>
          </cell>
          <cell r="AR136">
            <v>3.1043962495505159E-2</v>
          </cell>
          <cell r="BC136">
            <v>1.5579086591429467E-2</v>
          </cell>
          <cell r="BF136">
            <v>4.6623049086934612E-2</v>
          </cell>
        </row>
        <row r="137">
          <cell r="O137">
            <v>1.1144210713463301</v>
          </cell>
          <cell r="P137">
            <v>1.1202526316390899</v>
          </cell>
          <cell r="Q137">
            <v>1.12315338979352</v>
          </cell>
          <cell r="U137">
            <v>-6.0593731463894698E-3</v>
          </cell>
          <cell r="V137">
            <v>-7.6002511530191504E-4</v>
          </cell>
          <cell r="W137">
            <v>1.85385335369948E-3</v>
          </cell>
          <cell r="Y137">
            <v>1.1139962285470999</v>
          </cell>
          <cell r="Z137">
            <v>1.1197874038283699</v>
          </cell>
          <cell r="AA137">
            <v>1.12261952788937</v>
          </cell>
          <cell r="AF137">
            <v>-7.4661338219321797E-4</v>
          </cell>
          <cell r="AG137">
            <v>1.8001853303732801E-3</v>
          </cell>
          <cell r="AR137">
            <v>3.1043962495505159E-2</v>
          </cell>
          <cell r="BC137">
            <v>1.6018640867893646E-2</v>
          </cell>
          <cell r="BF137">
            <v>4.7062603363398792E-2</v>
          </cell>
        </row>
        <row r="138">
          <cell r="O138">
            <v>1.1144210713463301</v>
          </cell>
          <cell r="P138">
            <v>1.12083049017105</v>
          </cell>
          <cell r="Q138">
            <v>1.12316503271107</v>
          </cell>
          <cell r="U138">
            <v>-1.00371740963418E-2</v>
          </cell>
          <cell r="V138">
            <v>-4.8180018095920199E-3</v>
          </cell>
          <cell r="W138">
            <v>-2.2319699069367799E-3</v>
          </cell>
          <cell r="Y138">
            <v>1.1139962285470999</v>
          </cell>
          <cell r="Z138">
            <v>1.1203612857228999</v>
          </cell>
          <cell r="AA138">
            <v>1.1226375416085499</v>
          </cell>
          <cell r="AF138">
            <v>-4.7879964317108599E-3</v>
          </cell>
          <cell r="AG138">
            <v>-2.26202710222568E-3</v>
          </cell>
          <cell r="AR138">
            <v>3.1043962495505159E-2</v>
          </cell>
          <cell r="BC138">
            <v>1.9996441817846045E-2</v>
          </cell>
          <cell r="BF138">
            <v>5.104040431335119E-2</v>
          </cell>
        </row>
        <row r="139">
          <cell r="O139">
            <v>1.1144210713463301</v>
          </cell>
          <cell r="P139">
            <v>1.1209816487950399</v>
          </cell>
          <cell r="Q139">
            <v>1.12289250087299</v>
          </cell>
          <cell r="U139">
            <v>-5.2511555424755501E-3</v>
          </cell>
          <cell r="V139">
            <v>4.8371251579582702E-4</v>
          </cell>
          <cell r="W139">
            <v>2.5644148687723402E-3</v>
          </cell>
          <cell r="Y139">
            <v>1.1139962285470999</v>
          </cell>
          <cell r="Z139">
            <v>1.1205111459530701</v>
          </cell>
          <cell r="AA139">
            <v>1.1223739825082799</v>
          </cell>
          <cell r="AF139">
            <v>4.7884909993021498E-4</v>
          </cell>
          <cell r="AG139">
            <v>2.5085038989722001E-3</v>
          </cell>
          <cell r="AR139">
            <v>3.1043962495505159E-2</v>
          </cell>
          <cell r="BC139">
            <v>1.9996441817846045E-2</v>
          </cell>
          <cell r="BF139">
            <v>5.104040431335119E-2</v>
          </cell>
        </row>
        <row r="140">
          <cell r="O140">
            <v>1.1144210713463301</v>
          </cell>
          <cell r="P140">
            <v>1.1210690394651599</v>
          </cell>
          <cell r="Q140">
            <v>1.122793844467</v>
          </cell>
          <cell r="U140">
            <v>-8.0145856854199199E-3</v>
          </cell>
          <cell r="V140">
            <v>-2.14486366540368E-3</v>
          </cell>
          <cell r="W140">
            <v>-4.4169101630489301E-4</v>
          </cell>
          <cell r="Y140">
            <v>1.1139962285470999</v>
          </cell>
          <cell r="Z140">
            <v>1.12059683149787</v>
          </cell>
          <cell r="AA140">
            <v>1.1222832842498101</v>
          </cell>
          <cell r="AF140">
            <v>-2.12991894380073E-3</v>
          </cell>
          <cell r="AG140">
            <v>-4.6881115017830498E-4</v>
          </cell>
          <cell r="AR140">
            <v>3.1043962495505159E-2</v>
          </cell>
          <cell r="BC140">
            <v>1.9996441817846045E-2</v>
          </cell>
          <cell r="BF140">
            <v>5.104040431335119E-2</v>
          </cell>
        </row>
        <row r="141">
          <cell r="O141">
            <v>1.1144210713463301</v>
          </cell>
          <cell r="P141">
            <v>1.12111144118613</v>
          </cell>
          <cell r="Q141">
            <v>1.1225521682981101</v>
          </cell>
          <cell r="U141">
            <v>-5.8062715519770196E-3</v>
          </cell>
          <cell r="V141">
            <v>1.4140648448772699E-4</v>
          </cell>
          <cell r="W141">
            <v>1.6787600847459601E-3</v>
          </cell>
          <cell r="Y141">
            <v>1.1139962285470999</v>
          </cell>
          <cell r="Z141">
            <v>1.1206372499242001</v>
          </cell>
          <cell r="AA141">
            <v>1.122050009948</v>
          </cell>
          <cell r="AF141">
            <v>1.4775845267194599E-4</v>
          </cell>
          <cell r="AG141">
            <v>1.65158655112988E-3</v>
          </cell>
          <cell r="AR141">
            <v>3.1043962495505159E-2</v>
          </cell>
          <cell r="BC141">
            <v>1.9996441817846045E-2</v>
          </cell>
          <cell r="BF141">
            <v>5.104040431335119E-2</v>
          </cell>
        </row>
        <row r="142">
          <cell r="O142">
            <v>1.1144210713463301</v>
          </cell>
          <cell r="P142">
            <v>1.1209967561288099</v>
          </cell>
          <cell r="Q142">
            <v>1.12221411339963</v>
          </cell>
          <cell r="U142">
            <v>-4.45781118805204E-3</v>
          </cell>
          <cell r="V142">
            <v>1.5276887109603799E-3</v>
          </cell>
          <cell r="W142">
            <v>2.8119519168274699E-3</v>
          </cell>
          <cell r="Y142">
            <v>1.1139962285470999</v>
          </cell>
          <cell r="Z142">
            <v>1.1205222073855201</v>
          </cell>
          <cell r="AA142">
            <v>1.12172158316785</v>
          </cell>
          <cell r="AF142">
            <v>1.5241168641716501E-3</v>
          </cell>
          <cell r="AG142">
            <v>2.7839984677802102E-3</v>
          </cell>
          <cell r="AR142">
            <v>3.1043962495505159E-2</v>
          </cell>
          <cell r="BC142">
            <v>1.9996441817846045E-2</v>
          </cell>
          <cell r="BF142">
            <v>5.104040431335119E-2</v>
          </cell>
        </row>
        <row r="143">
          <cell r="O143">
            <v>1.1144210713463301</v>
          </cell>
          <cell r="P143">
            <v>1.12057520620226</v>
          </cell>
          <cell r="Q143">
            <v>1.1215917627724401</v>
          </cell>
          <cell r="U143">
            <v>-6.4764695004649404E-4</v>
          </cell>
          <cell r="V143">
            <v>5.2355518579143999E-3</v>
          </cell>
          <cell r="W143">
            <v>6.3209223033436502E-3</v>
          </cell>
          <cell r="Y143">
            <v>1.1139962285470999</v>
          </cell>
          <cell r="Z143">
            <v>1.1201018707764601</v>
          </cell>
          <cell r="AA143">
            <v>1.1211100118639099</v>
          </cell>
          <cell r="AF143">
            <v>5.2108363700795997E-3</v>
          </cell>
          <cell r="AG143">
            <v>6.2806360963775596E-3</v>
          </cell>
          <cell r="AR143">
            <v>3.1043962495505159E-2</v>
          </cell>
          <cell r="BC143">
            <v>1.9996441817846045E-2</v>
          </cell>
          <cell r="BF143">
            <v>5.104040431335119E-2</v>
          </cell>
        </row>
        <row r="144">
          <cell r="O144">
            <v>1.1144210713463301</v>
          </cell>
          <cell r="P144">
            <v>1.1200700287287</v>
          </cell>
          <cell r="Q144">
            <v>1.12087393134025</v>
          </cell>
          <cell r="U144">
            <v>-2.9281082838339601E-4</v>
          </cell>
          <cell r="V144">
            <v>5.2142680614091202E-3</v>
          </cell>
          <cell r="W144">
            <v>6.1210307190541404E-3</v>
          </cell>
          <cell r="Y144">
            <v>1.1139962285470999</v>
          </cell>
          <cell r="Z144">
            <v>1.11959786601705</v>
          </cell>
          <cell r="AA144">
            <v>1.12040289205308</v>
          </cell>
          <cell r="AF144">
            <v>5.1958190593087497E-3</v>
          </cell>
          <cell r="AG144">
            <v>6.0954583689602701E-3</v>
          </cell>
          <cell r="AR144">
            <v>3.1043962495505159E-2</v>
          </cell>
          <cell r="BC144">
            <v>1.9641605696182843E-2</v>
          </cell>
          <cell r="BF144">
            <v>5.0685568191687985E-2</v>
          </cell>
        </row>
        <row r="145">
          <cell r="O145">
            <v>1.1144210713463301</v>
          </cell>
          <cell r="P145">
            <v>1.11985913422405</v>
          </cell>
          <cell r="Q145">
            <v>1.1203169134761</v>
          </cell>
          <cell r="U145">
            <v>-2.4496858874293102E-3</v>
          </cell>
          <cell r="V145">
            <v>2.6064715675588501E-3</v>
          </cell>
          <cell r="W145">
            <v>3.3239394385571599E-3</v>
          </cell>
          <cell r="Y145">
            <v>1.1139962285470999</v>
          </cell>
          <cell r="Z145">
            <v>1.1193884048177001</v>
          </cell>
          <cell r="AA145">
            <v>1.11984863556242</v>
          </cell>
          <cell r="AF145">
            <v>2.59065911830458E-3</v>
          </cell>
          <cell r="AG145">
            <v>3.3094321524604702E-3</v>
          </cell>
          <cell r="AR145">
            <v>3.1043962495505159E-2</v>
          </cell>
          <cell r="BC145">
            <v>2.1798480755228743E-2</v>
          </cell>
          <cell r="BF145">
            <v>5.2842443250733881E-2</v>
          </cell>
        </row>
        <row r="146">
          <cell r="O146">
            <v>1.1144210713463301</v>
          </cell>
          <cell r="P146">
            <v>1.1189622735889</v>
          </cell>
          <cell r="Q146">
            <v>1.1196523629586199</v>
          </cell>
          <cell r="U146">
            <v>2.4150458948681099E-3</v>
          </cell>
          <cell r="V146">
            <v>7.2828987295430704E-3</v>
          </cell>
          <cell r="W146">
            <v>7.6915980894811898E-3</v>
          </cell>
          <cell r="Y146">
            <v>1.1139962285470999</v>
          </cell>
          <cell r="Z146">
            <v>1.1184978827944301</v>
          </cell>
          <cell r="AA146">
            <v>1.11918804861292</v>
          </cell>
          <cell r="AF146">
            <v>7.2352682450966101E-3</v>
          </cell>
          <cell r="AG146">
            <v>7.6463285686799399E-3</v>
          </cell>
          <cell r="AR146">
            <v>3.1043962495505159E-2</v>
          </cell>
          <cell r="BC146">
            <v>1.6933748972931394E-2</v>
          </cell>
          <cell r="BF146">
            <v>4.7977711468436532E-2</v>
          </cell>
        </row>
        <row r="147">
          <cell r="O147">
            <v>1.1144210713463301</v>
          </cell>
          <cell r="P147">
            <v>1.1182755673824201</v>
          </cell>
          <cell r="Q147">
            <v>1.1192640995107499</v>
          </cell>
          <cell r="U147">
            <v>8.4234746623799102E-5</v>
          </cell>
          <cell r="V147">
            <v>4.1508975623030398E-3</v>
          </cell>
          <cell r="W147">
            <v>4.7674301090998997E-3</v>
          </cell>
          <cell r="Y147">
            <v>1.1139962285470999</v>
          </cell>
          <cell r="Z147">
            <v>1.1177248234363999</v>
          </cell>
          <cell r="AA147">
            <v>1.11875611363239</v>
          </cell>
          <cell r="AF147">
            <v>4.9418682887562198E-3</v>
          </cell>
          <cell r="AG147">
            <v>5.5587250430425301E-3</v>
          </cell>
          <cell r="AR147">
            <v>3.1043962495505159E-2</v>
          </cell>
          <cell r="BC147">
            <v>1.6933748972931394E-2</v>
          </cell>
          <cell r="BF147">
            <v>4.7977711468436532E-2</v>
          </cell>
        </row>
        <row r="148">
          <cell r="O148">
            <v>1.1144210713463301</v>
          </cell>
          <cell r="P148">
            <v>1.11688154684467</v>
          </cell>
          <cell r="Q148">
            <v>1.11885601850786</v>
          </cell>
          <cell r="U148">
            <v>2.4241415851981602E-3</v>
          </cell>
          <cell r="V148">
            <v>5.8769168512653597E-3</v>
          </cell>
          <cell r="W148">
            <v>6.7605053813601301E-3</v>
          </cell>
          <cell r="Y148">
            <v>1.1139962285470999</v>
          </cell>
          <cell r="Z148">
            <v>1.1162514476648</v>
          </cell>
          <cell r="AA148">
            <v>1.11830636669385</v>
          </cell>
          <cell r="AF148">
            <v>6.5496487348849202E-3</v>
          </cell>
          <cell r="AG148">
            <v>7.4718924723451404E-3</v>
          </cell>
          <cell r="AR148">
            <v>3.1043962495505159E-2</v>
          </cell>
          <cell r="BC148">
            <v>1.4593842134356994E-2</v>
          </cell>
          <cell r="BF148">
            <v>4.5637804629862132E-2</v>
          </cell>
        </row>
        <row r="149">
          <cell r="O149">
            <v>1.1144210713463301</v>
          </cell>
          <cell r="P149">
            <v>1.1161139619520899</v>
          </cell>
          <cell r="Q149">
            <v>1.11854780537356</v>
          </cell>
          <cell r="U149">
            <v>1.62409679230381E-3</v>
          </cell>
          <cell r="V149">
            <v>3.8295139110472499E-3</v>
          </cell>
          <cell r="W149">
            <v>5.59579650799478E-3</v>
          </cell>
          <cell r="Y149">
            <v>1.1139962285470999</v>
          </cell>
          <cell r="Z149">
            <v>1.11539872014129</v>
          </cell>
          <cell r="AA149">
            <v>1.1179549330471801</v>
          </cell>
          <cell r="AF149">
            <v>4.44775911252658E-3</v>
          </cell>
          <cell r="AG149">
            <v>6.2869772299687801E-3</v>
          </cell>
          <cell r="AR149">
            <v>3.1043962495505159E-2</v>
          </cell>
          <cell r="BC149">
            <v>1.5393886927251193E-2</v>
          </cell>
          <cell r="BF149">
            <v>4.6437849422756333E-2</v>
          </cell>
        </row>
        <row r="150">
          <cell r="O150">
            <v>1.1144210713463301</v>
          </cell>
          <cell r="P150">
            <v>1.1151184163540799</v>
          </cell>
          <cell r="Q150">
            <v>1.1180937279096199</v>
          </cell>
          <cell r="U150">
            <v>8.8690313780619005E-4</v>
          </cell>
          <cell r="V150">
            <v>2.4048267799222098E-3</v>
          </cell>
          <cell r="W150">
            <v>4.58309323564462E-3</v>
          </cell>
          <cell r="Y150">
            <v>1.1139962285470999</v>
          </cell>
          <cell r="Z150">
            <v>1.1143179343713601</v>
          </cell>
          <cell r="AA150">
            <v>1.1174573829346199</v>
          </cell>
          <cell r="AF150">
            <v>2.9686250057651001E-3</v>
          </cell>
          <cell r="AG150">
            <v>5.2577510637657901E-3</v>
          </cell>
          <cell r="AR150">
            <v>3.1043962495505159E-2</v>
          </cell>
          <cell r="BC150">
            <v>1.6131080581748693E-2</v>
          </cell>
          <cell r="BF150">
            <v>4.7175043077253835E-2</v>
          </cell>
        </row>
        <row r="151">
          <cell r="O151">
            <v>1.1144210713463301</v>
          </cell>
          <cell r="P151">
            <v>1.1144369537624199</v>
          </cell>
          <cell r="Q151">
            <v>1.1177741974742701</v>
          </cell>
          <cell r="U151">
            <v>2.9182907592849999E-4</v>
          </cell>
          <cell r="V151">
            <v>9.17379809013546E-4</v>
          </cell>
          <cell r="W151">
            <v>3.5819840864037699E-3</v>
          </cell>
          <cell r="Y151">
            <v>1.1139962285470999</v>
          </cell>
          <cell r="Z151">
            <v>1.1135510024102799</v>
          </cell>
          <cell r="AA151">
            <v>1.11709412616724</v>
          </cell>
          <cell r="AF151">
            <v>1.3973348442715399E-3</v>
          </cell>
          <cell r="AG151">
            <v>4.2107458625862898E-3</v>
          </cell>
          <cell r="AR151">
            <v>3.1043962495505159E-2</v>
          </cell>
          <cell r="BC151">
            <v>1.6726154643626603E-2</v>
          </cell>
          <cell r="BF151">
            <v>4.7770117139131749E-2</v>
          </cell>
        </row>
        <row r="152">
          <cell r="O152">
            <v>1.1144210713463301</v>
          </cell>
          <cell r="P152">
            <v>1.1136252192873699</v>
          </cell>
          <cell r="Q152">
            <v>1.11731098770809</v>
          </cell>
          <cell r="U152">
            <v>2.8201225639984898E-3</v>
          </cell>
          <cell r="V152">
            <v>2.8343741815639598E-3</v>
          </cell>
          <cell r="W152">
            <v>5.82445529142059E-3</v>
          </cell>
          <cell r="Y152">
            <v>1.1139962285470999</v>
          </cell>
          <cell r="Z152">
            <v>1.11265496657226</v>
          </cell>
          <cell r="AA152">
            <v>1.1165885869788901</v>
          </cell>
          <cell r="AF152">
            <v>3.2208329305602598E-3</v>
          </cell>
          <cell r="AG152">
            <v>6.3976060454751203E-3</v>
          </cell>
          <cell r="AR152">
            <v>3.1043962495505159E-2</v>
          </cell>
          <cell r="BC152">
            <v>1.4197861155556513E-2</v>
          </cell>
          <cell r="BF152">
            <v>4.5241823651061656E-2</v>
          </cell>
        </row>
        <row r="153">
          <cell r="O153">
            <v>1.1144210713463301</v>
          </cell>
          <cell r="P153">
            <v>1.1134353083488899</v>
          </cell>
          <cell r="Q153">
            <v>1.11700525727557</v>
          </cell>
          <cell r="U153">
            <v>1.0568234507090199E-3</v>
          </cell>
          <cell r="V153">
            <v>3.4242887448058602E-4</v>
          </cell>
          <cell r="W153">
            <v>3.6466665865147398E-3</v>
          </cell>
          <cell r="Y153">
            <v>1.1139962285470999</v>
          </cell>
          <cell r="Z153">
            <v>1.11237661649772</v>
          </cell>
          <cell r="AA153">
            <v>1.11623924363709</v>
          </cell>
          <cell r="AF153">
            <v>6.6523557655864005E-4</v>
          </cell>
          <cell r="AG153">
            <v>4.1943470395139201E-3</v>
          </cell>
          <cell r="AR153">
            <v>3.1043962495505159E-2</v>
          </cell>
          <cell r="BC153">
            <v>1.5961160268846E-2</v>
          </cell>
          <cell r="BF153">
            <v>4.7005122764351141E-2</v>
          </cell>
        </row>
        <row r="154">
          <cell r="O154">
            <v>1.1144210713463301</v>
          </cell>
          <cell r="P154">
            <v>1.1136697245651701</v>
          </cell>
          <cell r="Q154">
            <v>1.11686987664694</v>
          </cell>
          <cell r="U154">
            <v>-2.3934668289786799E-3</v>
          </cell>
          <cell r="V154">
            <v>-3.2784099256307001E-3</v>
          </cell>
          <cell r="W154">
            <v>-7.7291697968843396E-5</v>
          </cell>
          <cell r="Y154">
            <v>1.1139962285470999</v>
          </cell>
          <cell r="Z154">
            <v>1.1125226473079799</v>
          </cell>
          <cell r="AA154">
            <v>1.11606025666252</v>
          </cell>
          <cell r="AF154">
            <v>-3.0346572932168901E-3</v>
          </cell>
          <cell r="AG154">
            <v>4.3173732077280601E-4</v>
          </cell>
          <cell r="AR154">
            <v>3.1043962495505159E-2</v>
          </cell>
          <cell r="BC154">
            <v>1.94114505485335E-2</v>
          </cell>
          <cell r="BF154">
            <v>5.0455413044038638E-2</v>
          </cell>
        </row>
        <row r="155">
          <cell r="O155">
            <v>1.1144210713463301</v>
          </cell>
          <cell r="P155">
            <v>1.1133546605602</v>
          </cell>
          <cell r="Q155">
            <v>1.1166068973921299</v>
          </cell>
          <cell r="U155">
            <v>3.7453536413647797E-4</v>
          </cell>
          <cell r="V155">
            <v>-2.99895687787888E-4</v>
          </cell>
          <cell r="W155">
            <v>2.5695035156308899E-3</v>
          </cell>
          <cell r="Y155">
            <v>1.1139962285470999</v>
          </cell>
          <cell r="Z155">
            <v>1.1121227516252601</v>
          </cell>
          <cell r="AA155">
            <v>1.1157555782214801</v>
          </cell>
          <cell r="AF155">
            <v>-1.61349376509316E-4</v>
          </cell>
          <cell r="AG155">
            <v>3.01341456838393E-3</v>
          </cell>
          <cell r="AR155">
            <v>3.1043962495505159E-2</v>
          </cell>
          <cell r="BC155">
            <v>1.94114505485335E-2</v>
          </cell>
          <cell r="BF155">
            <v>5.0455413044038638E-2</v>
          </cell>
        </row>
        <row r="156">
          <cell r="O156">
            <v>1.1144210713463301</v>
          </cell>
          <cell r="P156">
            <v>1.1138323983952401</v>
          </cell>
          <cell r="Q156">
            <v>1.11639733599207</v>
          </cell>
          <cell r="U156">
            <v>-1.8729829369602199E-3</v>
          </cell>
          <cell r="V156">
            <v>-2.8303601561370999E-3</v>
          </cell>
          <cell r="W156">
            <v>8.6496527938938802E-5</v>
          </cell>
          <cell r="Y156">
            <v>1.1139962285470999</v>
          </cell>
          <cell r="Z156">
            <v>1.1125098746037201</v>
          </cell>
          <cell r="AA156">
            <v>1.1155038786990701</v>
          </cell>
          <cell r="AF156">
            <v>-2.7540261524328698E-3</v>
          </cell>
          <cell r="AG156">
            <v>5.0722000034165396E-4</v>
          </cell>
          <cell r="AR156">
            <v>3.1043962495505159E-2</v>
          </cell>
          <cell r="BC156">
            <v>2.165896884963019E-2</v>
          </cell>
          <cell r="BF156">
            <v>5.2702931345135332E-2</v>
          </cell>
        </row>
        <row r="157">
          <cell r="O157">
            <v>1.1144210713463301</v>
          </cell>
          <cell r="P157">
            <v>1.1142494434211301</v>
          </cell>
          <cell r="Q157">
            <v>1.1162625054017701</v>
          </cell>
          <cell r="U157">
            <v>-3.6513516782721799E-3</v>
          </cell>
          <cell r="V157">
            <v>-4.1797233135235602E-3</v>
          </cell>
          <cell r="W157">
            <v>-1.8795667976795199E-3</v>
          </cell>
          <cell r="Y157">
            <v>1.1139962285470999</v>
          </cell>
          <cell r="Z157">
            <v>1.11292736388962</v>
          </cell>
          <cell r="AA157">
            <v>1.1153260936630101</v>
          </cell>
          <cell r="AF157">
            <v>-4.1701925201354899E-3</v>
          </cell>
          <cell r="AG157">
            <v>-1.48259160824169E-3</v>
          </cell>
          <cell r="AR157">
            <v>3.1043962495505159E-2</v>
          </cell>
          <cell r="BC157">
            <v>2.165896884963019E-2</v>
          </cell>
          <cell r="BF157">
            <v>5.2702931345135332E-2</v>
          </cell>
        </row>
        <row r="158">
          <cell r="O158">
            <v>1.1144210713463301</v>
          </cell>
          <cell r="P158">
            <v>1.11453718927637</v>
          </cell>
          <cell r="Q158">
            <v>1.1157093680605199</v>
          </cell>
          <cell r="U158">
            <v>-1.6080229301315899E-4</v>
          </cell>
          <cell r="V158">
            <v>-3.1482050647684999E-4</v>
          </cell>
          <cell r="W158">
            <v>1.49020235230782E-3</v>
          </cell>
          <cell r="Y158">
            <v>1.1139962285470999</v>
          </cell>
          <cell r="Z158">
            <v>1.1132115017754201</v>
          </cell>
          <cell r="AA158">
            <v>1.11473147472011</v>
          </cell>
          <cell r="AF158">
            <v>-3.0730005768584399E-4</v>
          </cell>
          <cell r="AG158">
            <v>1.8457141713412099E-3</v>
          </cell>
          <cell r="AR158">
            <v>3.1043962495505159E-2</v>
          </cell>
          <cell r="BC158">
            <v>2.165896884963019E-2</v>
          </cell>
          <cell r="BF158">
            <v>5.2702931345135332E-2</v>
          </cell>
        </row>
        <row r="159">
          <cell r="O159">
            <v>1.1144210713463301</v>
          </cell>
          <cell r="P159">
            <v>1.1149504676854101</v>
          </cell>
          <cell r="Q159">
            <v>1.1155322148187501</v>
          </cell>
          <cell r="U159">
            <v>-2.0835076456679302E-3</v>
          </cell>
          <cell r="V159">
            <v>-1.9793173320176599E-3</v>
          </cell>
          <cell r="W159">
            <v>-9.2815203531192701E-4</v>
          </cell>
          <cell r="Y159">
            <v>1.1139962285470999</v>
          </cell>
          <cell r="Z159">
            <v>1.1136203954106301</v>
          </cell>
          <cell r="AA159">
            <v>1.1145095577759601</v>
          </cell>
          <cell r="AF159">
            <v>-1.9519806604463301E-3</v>
          </cell>
          <cell r="AG159">
            <v>-5.8751738958058596E-4</v>
          </cell>
          <cell r="AR159">
            <v>3.1043962495505159E-2</v>
          </cell>
          <cell r="BC159">
            <v>2.165896884963019E-2</v>
          </cell>
          <cell r="BF159">
            <v>5.2702931345135332E-2</v>
          </cell>
        </row>
        <row r="160">
          <cell r="O160">
            <v>1.1144210713463301</v>
          </cell>
          <cell r="P160">
            <v>1.1152417983246601</v>
          </cell>
          <cell r="Q160">
            <v>1.1151801073393699</v>
          </cell>
          <cell r="U160">
            <v>-1.7261875055411601E-3</v>
          </cell>
          <cell r="V160">
            <v>-1.25125872874679E-3</v>
          </cell>
          <cell r="W160">
            <v>-7.2962531630588298E-4</v>
          </cell>
          <cell r="Y160">
            <v>1.1139962285470999</v>
          </cell>
          <cell r="Z160">
            <v>1.1139100568984599</v>
          </cell>
          <cell r="AA160">
            <v>1.11411399563491</v>
          </cell>
          <cell r="AF160">
            <v>-1.22825401444752E-3</v>
          </cell>
          <cell r="AG160">
            <v>-4.3012964000253899E-4</v>
          </cell>
          <cell r="AR160">
            <v>3.1043962495505159E-2</v>
          </cell>
          <cell r="BC160">
            <v>2.165896884963019E-2</v>
          </cell>
          <cell r="BF160">
            <v>5.2702931345135332E-2</v>
          </cell>
        </row>
        <row r="161">
          <cell r="O161">
            <v>1.1144210713463301</v>
          </cell>
          <cell r="P161">
            <v>1.1155691165836199</v>
          </cell>
          <cell r="Q161">
            <v>1.11500303517302</v>
          </cell>
          <cell r="U161">
            <v>-2.6418355502896501E-3</v>
          </cell>
          <cell r="V161">
            <v>-1.90564621282064E-3</v>
          </cell>
          <cell r="W161">
            <v>-1.96096398490022E-3</v>
          </cell>
          <cell r="Y161">
            <v>1.1139962285470999</v>
          </cell>
          <cell r="Z161">
            <v>1.1142342915955901</v>
          </cell>
          <cell r="AA161">
            <v>1.11389264700294</v>
          </cell>
          <cell r="AF161">
            <v>-1.8783117418978801E-3</v>
          </cell>
          <cell r="AG161">
            <v>-1.69524483399014E-3</v>
          </cell>
          <cell r="AR161">
            <v>3.1043962495505159E-2</v>
          </cell>
          <cell r="BC161">
            <v>2.165896884963019E-2</v>
          </cell>
          <cell r="BF161">
            <v>5.2702931345135332E-2</v>
          </cell>
        </row>
        <row r="162">
          <cell r="O162">
            <v>1.1144210713463301</v>
          </cell>
          <cell r="P162">
            <v>1.1161883631840399</v>
          </cell>
          <cell r="Q162">
            <v>1.1149067912357</v>
          </cell>
          <cell r="U162">
            <v>-2.7367681711515401E-3</v>
          </cell>
          <cell r="V162">
            <v>-1.7071265656119401E-3</v>
          </cell>
          <cell r="W162">
            <v>-2.21469268250102E-3</v>
          </cell>
          <cell r="Y162">
            <v>1.1139962285470999</v>
          </cell>
          <cell r="Z162">
            <v>1.11484685685897</v>
          </cell>
          <cell r="AA162">
            <v>1.1137509117156099</v>
          </cell>
          <cell r="AF162">
            <v>-1.6693239793331199E-3</v>
          </cell>
          <cell r="AG162">
            <v>-1.9759892679326999E-3</v>
          </cell>
          <cell r="AR162">
            <v>3.1043962495505159E-2</v>
          </cell>
          <cell r="BC162">
            <v>2.165896884963019E-2</v>
          </cell>
          <cell r="BF162">
            <v>5.2702931345135332E-2</v>
          </cell>
        </row>
        <row r="163">
          <cell r="O163">
            <v>1.1144210713463301</v>
          </cell>
          <cell r="P163">
            <v>1.11659236353177</v>
          </cell>
          <cell r="Q163">
            <v>1.1150138359403301</v>
          </cell>
          <cell r="U163">
            <v>-2.5656444854400299E-3</v>
          </cell>
          <cell r="V163">
            <v>-9.8106210168460105E-4</v>
          </cell>
          <cell r="W163">
            <v>-2.1298899199392002E-3</v>
          </cell>
          <cell r="Y163">
            <v>1.1139962285470999</v>
          </cell>
          <cell r="Z163">
            <v>1.1152473311876201</v>
          </cell>
          <cell r="AA163">
            <v>1.1138119738426699</v>
          </cell>
          <cell r="AF163">
            <v>-9.6193079014146598E-4</v>
          </cell>
          <cell r="AG163">
            <v>-1.94545975813668E-3</v>
          </cell>
          <cell r="AR163">
            <v>3.1043962495505159E-2</v>
          </cell>
          <cell r="BC163">
            <v>2.165896884963019E-2</v>
          </cell>
          <cell r="BF163">
            <v>5.2702931345135332E-2</v>
          </cell>
        </row>
        <row r="164">
          <cell r="O164">
            <v>1.1144210713463301</v>
          </cell>
          <cell r="P164">
            <v>1.11620850515207</v>
          </cell>
          <cell r="Q164">
            <v>1.1149391148586201</v>
          </cell>
          <cell r="U164">
            <v>1.0486806969610199E-3</v>
          </cell>
          <cell r="V164">
            <v>2.9951439831327302E-3</v>
          </cell>
          <cell r="W164">
            <v>1.5804428991491801E-3</v>
          </cell>
          <cell r="Y164">
            <v>1.1139962285470999</v>
          </cell>
          <cell r="Z164">
            <v>1.11486409227019</v>
          </cell>
          <cell r="AA164">
            <v>1.1136933697890901</v>
          </cell>
          <cell r="AF164">
            <v>2.9834218141211E-3</v>
          </cell>
          <cell r="AG164">
            <v>1.6955623658788999E-3</v>
          </cell>
          <cell r="AR164">
            <v>3.1043962495505159E-2</v>
          </cell>
          <cell r="BC164">
            <v>2.165896884963019E-2</v>
          </cell>
          <cell r="BF164">
            <v>5.2702931345135332E-2</v>
          </cell>
        </row>
        <row r="165">
          <cell r="O165">
            <v>1.1144210713463301</v>
          </cell>
          <cell r="P165">
            <v>1.11646710652864</v>
          </cell>
          <cell r="Q165">
            <v>1.1149108835444199</v>
          </cell>
          <cell r="U165">
            <v>-1.9441433969309E-3</v>
          </cell>
          <cell r="V165">
            <v>-3.4151586329743199E-4</v>
          </cell>
          <cell r="W165">
            <v>-1.4793970317412101E-3</v>
          </cell>
          <cell r="Y165">
            <v>1.1139962285470999</v>
          </cell>
          <cell r="Z165">
            <v>1.1151175095660899</v>
          </cell>
          <cell r="AA165">
            <v>1.1136201305956801</v>
          </cell>
          <cell r="AF165">
            <v>-3.3383906187321998E-4</v>
          </cell>
          <cell r="AG165">
            <v>-1.38449412348194E-3</v>
          </cell>
          <cell r="AR165">
            <v>3.1043962495505159E-2</v>
          </cell>
          <cell r="BC165">
            <v>2.165896884963019E-2</v>
          </cell>
          <cell r="BF165">
            <v>5.2702931345135332E-2</v>
          </cell>
        </row>
        <row r="166">
          <cell r="O166">
            <v>1.1144210713463301</v>
          </cell>
          <cell r="P166">
            <v>1.1163230041671801</v>
          </cell>
          <cell r="Q166">
            <v>1.1150777012812101</v>
          </cell>
          <cell r="U166">
            <v>-5.8149971525639802E-4</v>
          </cell>
          <cell r="V166">
            <v>1.2527793636086799E-3</v>
          </cell>
          <cell r="W166">
            <v>-1.4207461761778901E-4</v>
          </cell>
          <cell r="Y166">
            <v>1.1139962285470999</v>
          </cell>
          <cell r="Z166">
            <v>1.1149693958739999</v>
          </cell>
          <cell r="AA166">
            <v>1.11373963523886</v>
          </cell>
          <cell r="AF166">
            <v>1.26421568495955E-3</v>
          </cell>
          <cell r="AG166">
            <v>-7.9485941228025697E-5</v>
          </cell>
          <cell r="AR166">
            <v>3.1043962495505159E-2</v>
          </cell>
          <cell r="BC166">
            <v>2.165896884963019E-2</v>
          </cell>
          <cell r="BF166">
            <v>5.2702931345135332E-2</v>
          </cell>
        </row>
        <row r="167">
          <cell r="O167">
            <v>1.1144210713463301</v>
          </cell>
          <cell r="P167">
            <v>1.1158735716225401</v>
          </cell>
          <cell r="Q167">
            <v>1.11506150752183</v>
          </cell>
          <cell r="U167">
            <v>3.7492339052236698E-4</v>
          </cell>
          <cell r="V167">
            <v>2.0801241821203501E-3</v>
          </cell>
          <cell r="W167">
            <v>9.6396157428912499E-4</v>
          </cell>
          <cell r="Y167">
            <v>1.1139962285470999</v>
          </cell>
          <cell r="Z167">
            <v>1.1145183608729201</v>
          </cell>
          <cell r="AA167">
            <v>1.1137228623812701</v>
          </cell>
          <cell r="AF167">
            <v>2.0836649374242899E-3</v>
          </cell>
          <cell r="AG167">
            <v>9.8010162540751195E-4</v>
          </cell>
          <cell r="AR167">
            <v>3.1043962495505159E-2</v>
          </cell>
          <cell r="BC167">
            <v>2.165896884963019E-2</v>
          </cell>
          <cell r="BF167">
            <v>5.2702931345135332E-2</v>
          </cell>
        </row>
        <row r="168">
          <cell r="O168">
            <v>1.1144210713463301</v>
          </cell>
          <cell r="P168">
            <v>1.1157458856446001</v>
          </cell>
          <cell r="Q168">
            <v>1.1151415374604801</v>
          </cell>
          <cell r="U168">
            <v>9.854307766724189E-4</v>
          </cell>
          <cell r="V168">
            <v>2.28794969375197E-3</v>
          </cell>
          <cell r="W168">
            <v>1.55994631600831E-3</v>
          </cell>
          <cell r="Y168">
            <v>1.1139962285470999</v>
          </cell>
          <cell r="Z168">
            <v>1.1143503190442801</v>
          </cell>
          <cell r="AA168">
            <v>1.1137809104098499</v>
          </cell>
          <cell r="AF168">
            <v>2.6318243349959698E-3</v>
          </cell>
          <cell r="AG168">
            <v>1.9178096070155901E-3</v>
          </cell>
          <cell r="AR168">
            <v>3.1043962495505159E-2</v>
          </cell>
          <cell r="BC168">
            <v>2.165896884963019E-2</v>
          </cell>
          <cell r="BF168">
            <v>5.2702931345135332E-2</v>
          </cell>
        </row>
        <row r="169">
          <cell r="O169">
            <v>1.1144210713463301</v>
          </cell>
          <cell r="P169">
            <v>1.1154325146644599</v>
          </cell>
          <cell r="Q169">
            <v>1.1151914911749301</v>
          </cell>
          <cell r="U169">
            <v>7.26546301757664E-4</v>
          </cell>
          <cell r="V169">
            <v>1.91463174975502E-3</v>
          </cell>
          <cell r="W169">
            <v>1.3728310361571399E-3</v>
          </cell>
          <cell r="Y169">
            <v>1.1139962285470999</v>
          </cell>
          <cell r="Z169">
            <v>1.1139996942733399</v>
          </cell>
          <cell r="AA169">
            <v>1.1138100448419801</v>
          </cell>
          <cell r="AF169">
            <v>2.2189762589011701E-3</v>
          </cell>
          <cell r="AG169">
            <v>1.7078675420582E-3</v>
          </cell>
          <cell r="AR169">
            <v>3.1043962495505159E-2</v>
          </cell>
          <cell r="BC169">
            <v>2.165896884963019E-2</v>
          </cell>
          <cell r="BF169">
            <v>5.2702931345135332E-2</v>
          </cell>
        </row>
        <row r="170">
          <cell r="O170">
            <v>1.1144210713463301</v>
          </cell>
          <cell r="P170">
            <v>1.1150900830227699</v>
          </cell>
          <cell r="Q170">
            <v>1.11516594067372</v>
          </cell>
          <cell r="U170">
            <v>1.3459583897905501E-3</v>
          </cell>
          <cell r="V170">
            <v>2.2531420666380099E-3</v>
          </cell>
          <cell r="W170">
            <v>2.0370379721486001E-3</v>
          </cell>
          <cell r="Y170">
            <v>1.1139962285470999</v>
          </cell>
          <cell r="Z170">
            <v>1.1136225035588001</v>
          </cell>
          <cell r="AA170">
            <v>1.1137662802286299</v>
          </cell>
          <cell r="AF170">
            <v>2.5009323544087901E-3</v>
          </cell>
          <cell r="AG170">
            <v>2.3306759555034701E-3</v>
          </cell>
          <cell r="AR170">
            <v>3.1043962495505159E-2</v>
          </cell>
          <cell r="BC170">
            <v>2.165896884963019E-2</v>
          </cell>
          <cell r="BF170">
            <v>5.2702931345135332E-2</v>
          </cell>
        </row>
        <row r="171">
          <cell r="O171">
            <v>1.1144210713463301</v>
          </cell>
          <cell r="P171">
            <v>1.1148441899871899</v>
          </cell>
          <cell r="Q171">
            <v>1.1152066532854099</v>
          </cell>
          <cell r="U171">
            <v>-4.38767658416457E-4</v>
          </cell>
          <cell r="V171">
            <v>1.61374390845239E-4</v>
          </cell>
          <cell r="W171">
            <v>2.29400348557013E-4</v>
          </cell>
          <cell r="Y171">
            <v>1.1139962285470999</v>
          </cell>
          <cell r="Z171">
            <v>1.11334134769983</v>
          </cell>
          <cell r="AA171">
            <v>1.11378781964771</v>
          </cell>
          <cell r="AF171">
            <v>3.8599405093579E-4</v>
          </cell>
          <cell r="AG171">
            <v>5.15092905232453E-4</v>
          </cell>
          <cell r="AR171">
            <v>3.1043962495505159E-2</v>
          </cell>
          <cell r="BC171">
            <v>2.165896884963019E-2</v>
          </cell>
          <cell r="BF171">
            <v>5.2702931345135332E-2</v>
          </cell>
        </row>
        <row r="172">
          <cell r="O172">
            <v>1.1144210713463301</v>
          </cell>
          <cell r="P172">
            <v>1.11458231686104</v>
          </cell>
          <cell r="Q172">
            <v>1.11538534002254</v>
          </cell>
          <cell r="U172">
            <v>-3.9058226013829198E-4</v>
          </cell>
          <cell r="V172">
            <v>-1.09785823853674E-5</v>
          </cell>
          <cell r="W172">
            <v>3.1409320017069902E-4</v>
          </cell>
          <cell r="Y172">
            <v>1.1139962285470999</v>
          </cell>
          <cell r="Z172">
            <v>1.1130476438291399</v>
          </cell>
          <cell r="AA172">
            <v>1.1139472503440599</v>
          </cell>
          <cell r="AF172">
            <v>1.63955468497787E-4</v>
          </cell>
          <cell r="AG172">
            <v>5.6489490246202398E-4</v>
          </cell>
          <cell r="AR172">
            <v>3.1043962495505159E-2</v>
          </cell>
          <cell r="BC172">
            <v>2.165896884963019E-2</v>
          </cell>
          <cell r="BF172">
            <v>5.2702931345135332E-2</v>
          </cell>
        </row>
        <row r="173">
          <cell r="O173">
            <v>1.1144210713463301</v>
          </cell>
          <cell r="P173">
            <v>1.11463569777145</v>
          </cell>
          <cell r="Q173">
            <v>1.11561403065161</v>
          </cell>
          <cell r="U173">
            <v>-3.04330428213961E-3</v>
          </cell>
          <cell r="V173">
            <v>-2.8986248116258701E-3</v>
          </cell>
          <cell r="W173">
            <v>-2.1784141899775498E-3</v>
          </cell>
          <cell r="Y173">
            <v>1.1139962285470999</v>
          </cell>
          <cell r="Z173">
            <v>1.11306342610258</v>
          </cell>
          <cell r="AA173">
            <v>1.1141553786450999</v>
          </cell>
          <cell r="AF173">
            <v>-2.7185184954863599E-3</v>
          </cell>
          <cell r="AG173">
            <v>-1.9106077398745201E-3</v>
          </cell>
          <cell r="AR173">
            <v>3.1043962495505159E-2</v>
          </cell>
          <cell r="BC173">
            <v>2.165896884963019E-2</v>
          </cell>
          <cell r="BF173">
            <v>5.2702931345135332E-2</v>
          </cell>
        </row>
        <row r="174">
          <cell r="O174">
            <v>1.1144210713463301</v>
          </cell>
          <cell r="P174">
            <v>1.1150381863293299</v>
          </cell>
          <cell r="Q174">
            <v>1.1156233457407001</v>
          </cell>
          <cell r="U174">
            <v>-2.5602268772381902E-3</v>
          </cell>
          <cell r="V174">
            <v>-2.3676553566214899E-3</v>
          </cell>
          <cell r="W174">
            <v>-1.4903249568524E-3</v>
          </cell>
          <cell r="Y174">
            <v>1.1139962285470999</v>
          </cell>
          <cell r="Z174">
            <v>1.1134228933391399</v>
          </cell>
          <cell r="AA174">
            <v>1.1141434928046701</v>
          </cell>
          <cell r="AF174">
            <v>-2.2043454952566399E-3</v>
          </cell>
          <cell r="AG174">
            <v>-1.2237928637097099E-3</v>
          </cell>
          <cell r="AR174">
            <v>3.1043962495505159E-2</v>
          </cell>
          <cell r="BC174">
            <v>2.165896884963019E-2</v>
          </cell>
          <cell r="BF174">
            <v>5.2702931345135332E-2</v>
          </cell>
        </row>
        <row r="175">
          <cell r="O175">
            <v>1.1144210713463301</v>
          </cell>
          <cell r="P175">
            <v>1.1145920682433099</v>
          </cell>
          <cell r="Q175">
            <v>1.1155295873859701</v>
          </cell>
          <cell r="U175">
            <v>2.0592218443631401E-3</v>
          </cell>
          <cell r="V175">
            <v>2.6128224510010298E-3</v>
          </cell>
          <cell r="W175">
            <v>3.13747347167923E-3</v>
          </cell>
          <cell r="Y175">
            <v>1.1139962285470999</v>
          </cell>
          <cell r="Z175">
            <v>1.1129427524396001</v>
          </cell>
          <cell r="AA175">
            <v>1.11403013100284</v>
          </cell>
          <cell r="AF175">
            <v>2.6871902652111702E-3</v>
          </cell>
          <cell r="AG175">
            <v>3.33417389285525E-3</v>
          </cell>
          <cell r="AR175">
            <v>3.1043962495505159E-2</v>
          </cell>
          <cell r="BC175">
            <v>2.165896884963019E-2</v>
          </cell>
          <cell r="BF175">
            <v>5.2702931345135332E-2</v>
          </cell>
        </row>
        <row r="176">
          <cell r="O176">
            <v>1.1144210713463301</v>
          </cell>
          <cell r="P176">
            <v>1.1143850201796099</v>
          </cell>
          <cell r="Q176">
            <v>1.1153540121734</v>
          </cell>
          <cell r="U176">
            <v>1.27704421675285E-3</v>
          </cell>
          <cell r="V176">
            <v>1.4304725606931301E-3</v>
          </cell>
          <cell r="W176">
            <v>2.2712510855131501E-3</v>
          </cell>
          <cell r="Y176">
            <v>1.1139962285470999</v>
          </cell>
          <cell r="Z176">
            <v>1.11269915754529</v>
          </cell>
          <cell r="AA176">
            <v>1.1138342767096501</v>
          </cell>
          <cell r="AF176">
            <v>1.5016984392596201E-3</v>
          </cell>
          <cell r="AG176">
            <v>2.47825155110914E-3</v>
          </cell>
          <cell r="AR176">
            <v>3.1043962495505159E-2</v>
          </cell>
          <cell r="BC176">
            <v>2.2441146477240492E-2</v>
          </cell>
          <cell r="BF176">
            <v>5.3485108972745631E-2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2FDE-AAD0-4867-BB61-CFBC7D2CDD29}">
  <dimension ref="A1:DZ179"/>
  <sheetViews>
    <sheetView tabSelected="1" topLeftCell="BN1" workbookViewId="0">
      <selection activeCell="CQ25" sqref="CQ25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85546875" style="15" bestFit="1" customWidth="1"/>
    <col min="5" max="5" width="10.28515625" style="15" bestFit="1" customWidth="1"/>
    <col min="6" max="6" width="10.28515625" style="33" bestFit="1" customWidth="1"/>
    <col min="7" max="7" width="18.7109375" style="33" bestFit="1" customWidth="1"/>
    <col min="8" max="8" width="9" style="33" bestFit="1" customWidth="1"/>
    <col min="9" max="9" width="17" style="33" bestFit="1" customWidth="1"/>
    <col min="10" max="10" width="21.42578125" style="33" bestFit="1" customWidth="1"/>
    <col min="11" max="11" width="19.7109375" style="33" bestFit="1" customWidth="1"/>
    <col min="12" max="13" width="11" style="33" bestFit="1" customWidth="1"/>
    <col min="14" max="14" width="11" style="34" bestFit="1" customWidth="1"/>
    <col min="15" max="15" width="14.5703125" style="34" bestFit="1" customWidth="1"/>
    <col min="16" max="17" width="18" style="34" bestFit="1" customWidth="1"/>
    <col min="18" max="18" width="12" style="33" bestFit="1" customWidth="1"/>
    <col min="19" max="20" width="15.42578125" style="33" bestFit="1" customWidth="1"/>
    <col min="21" max="21" width="22.42578125" style="15" bestFit="1" customWidth="1"/>
    <col min="22" max="23" width="25.85546875" style="15" bestFit="1" customWidth="1"/>
    <col min="24" max="24" width="13.140625" style="34" bestFit="1" customWidth="1"/>
    <col min="25" max="25" width="16.5703125" style="34" bestFit="1" customWidth="1"/>
    <col min="26" max="27" width="20" style="34" bestFit="1" customWidth="1"/>
    <col min="28" max="28" width="13.140625" style="33" bestFit="1" customWidth="1"/>
    <col min="29" max="30" width="16.42578125" style="33" bestFit="1" customWidth="1"/>
    <col min="31" max="31" width="24.42578125" style="15" bestFit="1" customWidth="1"/>
    <col min="32" max="33" width="27.85546875" style="15" bestFit="1" customWidth="1"/>
    <col min="34" max="34" width="1.7109375" style="9" customWidth="1"/>
    <col min="35" max="35" width="7.7109375" style="15" bestFit="1" customWidth="1"/>
    <col min="36" max="36" width="8.140625" style="15" bestFit="1" customWidth="1"/>
    <col min="37" max="38" width="7.42578125" style="15" bestFit="1" customWidth="1"/>
    <col min="39" max="39" width="7.85546875" style="15" bestFit="1" customWidth="1"/>
    <col min="40" max="40" width="8.42578125" style="15" bestFit="1" customWidth="1"/>
    <col min="41" max="41" width="11.85546875" style="15" bestFit="1" customWidth="1"/>
    <col min="42" max="42" width="10.28515625" style="15" bestFit="1" customWidth="1"/>
    <col min="43" max="43" width="7.4257812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9" width="7.42578125" style="15" bestFit="1" customWidth="1"/>
    <col min="50" max="50" width="7.85546875" style="15" bestFit="1" customWidth="1"/>
    <col min="51" max="51" width="8.42578125" style="15" bestFit="1" customWidth="1"/>
    <col min="52" max="52" width="11.85546875" style="15" bestFit="1" customWidth="1"/>
    <col min="53" max="53" width="10.28515625" style="15" bestFit="1" customWidth="1"/>
    <col min="54" max="54" width="7.42578125" style="15" bestFit="1" customWidth="1"/>
    <col min="55" max="55" width="8.7109375" style="15" bestFit="1" customWidth="1"/>
    <col min="56" max="56" width="1.7109375" style="9" customWidth="1"/>
    <col min="57" max="57" width="7.14062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3.1094852000006439</v>
      </c>
      <c r="AJ1" s="4">
        <v>0</v>
      </c>
      <c r="AK1" s="4">
        <f t="shared" ref="AK1:AQ1" si="0">AJ1-$AK12</f>
        <v>-2.0000000000000001E-4</v>
      </c>
      <c r="AL1" s="4">
        <f t="shared" si="0"/>
        <v>-4.0000000000000002E-4</v>
      </c>
      <c r="AM1" s="4">
        <f t="shared" si="0"/>
        <v>-6.0000000000000006E-4</v>
      </c>
      <c r="AN1" s="4">
        <f t="shared" si="0"/>
        <v>-8.0000000000000004E-4</v>
      </c>
      <c r="AO1" s="4">
        <f t="shared" si="0"/>
        <v>-1E-3</v>
      </c>
      <c r="AP1" s="4">
        <f t="shared" si="0"/>
        <v>-1.2000000000000001E-3</v>
      </c>
      <c r="AQ1" s="4">
        <f t="shared" si="0"/>
        <v>-1.4000000000000002E-3</v>
      </c>
      <c r="AR1" s="5" t="s">
        <v>33</v>
      </c>
      <c r="AS1" s="2"/>
      <c r="AT1" s="3">
        <f>BB16</f>
        <v>2.4160351838102794</v>
      </c>
      <c r="AU1" s="4">
        <v>0</v>
      </c>
      <c r="AV1" s="6">
        <f>AU1+$AV12</f>
        <v>2.0000000000000001E-4</v>
      </c>
      <c r="AW1" s="6">
        <f t="shared" ref="AW1:BB1" si="1">AV1+$AV12</f>
        <v>4.0000000000000002E-4</v>
      </c>
      <c r="AX1" s="6">
        <f t="shared" si="1"/>
        <v>6.0000000000000006E-4</v>
      </c>
      <c r="AY1" s="6">
        <f t="shared" si="1"/>
        <v>8.0000000000000004E-4</v>
      </c>
      <c r="AZ1" s="6">
        <f t="shared" si="1"/>
        <v>1E-3</v>
      </c>
      <c r="BA1" s="6">
        <f t="shared" si="1"/>
        <v>1.2000000000000001E-3</v>
      </c>
      <c r="BB1" s="6">
        <f t="shared" si="1"/>
        <v>1.4000000000000002E-3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57.5</v>
      </c>
      <c r="C2" s="33">
        <v>100.3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57.5</v>
      </c>
      <c r="M2" s="33">
        <v>100.3</v>
      </c>
      <c r="N2" s="34">
        <v>1.74434782608695</v>
      </c>
      <c r="O2" s="34">
        <v>1.74415850230319</v>
      </c>
      <c r="X2" s="34">
        <v>1.74434782608695</v>
      </c>
      <c r="Y2" s="34">
        <v>1.74495402592864</v>
      </c>
      <c r="AI2" s="4">
        <v>0</v>
      </c>
      <c r="AJ2" s="10">
        <f t="dataTable" ref="AJ2:AQ9" dt2D="1" dtr="1" r1="AI21" r2="AI22"/>
        <v>6.3932973541076379</v>
      </c>
      <c r="AK2" s="10">
        <v>5.0542371696302313</v>
      </c>
      <c r="AL2" s="10">
        <v>5.5554026765136193</v>
      </c>
      <c r="AM2" s="10">
        <v>4.9025746069123466</v>
      </c>
      <c r="AN2" s="10">
        <v>4.1799652936639538</v>
      </c>
      <c r="AO2" s="10">
        <v>3.1094852000006439</v>
      </c>
      <c r="AP2" s="10">
        <v>3.1094852000006439</v>
      </c>
      <c r="AQ2" s="10">
        <v>2.4103738549006302</v>
      </c>
      <c r="AR2"/>
      <c r="AT2" s="4">
        <v>0</v>
      </c>
      <c r="AU2" s="10">
        <f t="dataTable" ref="AU2:BB9" dt2D="1" dtr="1" r1="AT21" r2="AT22"/>
        <v>5.0611501743948333</v>
      </c>
      <c r="AV2" s="11">
        <v>4.8757584917254686</v>
      </c>
      <c r="AW2" s="11">
        <v>3.7148391876289328</v>
      </c>
      <c r="AX2" s="11">
        <v>4.0040825891835023</v>
      </c>
      <c r="AY2" s="11">
        <v>3.2586311876751912</v>
      </c>
      <c r="AZ2" s="11">
        <v>2.4160351838102794</v>
      </c>
      <c r="BA2" s="11">
        <v>2.1197240861145183</v>
      </c>
      <c r="BB2" s="11">
        <v>1.2750711555097245</v>
      </c>
      <c r="BC2"/>
    </row>
    <row r="3" spans="1:130" x14ac:dyDescent="0.25">
      <c r="A3" s="1">
        <v>46027</v>
      </c>
      <c r="B3" s="33">
        <v>57.56</v>
      </c>
      <c r="C3" s="33">
        <v>100.41</v>
      </c>
      <c r="D3" s="15">
        <v>1.04293421586244E-3</v>
      </c>
      <c r="E3" s="15">
        <v>1.09610892345515E-3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57.56</v>
      </c>
      <c r="M3" s="33">
        <v>100.41</v>
      </c>
      <c r="N3" s="34">
        <v>1.7444405837387</v>
      </c>
      <c r="O3" s="34">
        <v>1.74415850230319</v>
      </c>
      <c r="R3" s="33">
        <v>100.393763392572</v>
      </c>
      <c r="U3" s="15">
        <v>-1.61716166958945E-4</v>
      </c>
      <c r="X3" s="34">
        <v>1.7444405837387</v>
      </c>
      <c r="Y3" s="34">
        <v>1.74495402592864</v>
      </c>
      <c r="AB3" s="33">
        <v>100.439553732452</v>
      </c>
      <c r="AE3" s="15">
        <v>2.9428726245062E-4</v>
      </c>
      <c r="AI3" s="4">
        <f t="shared" ref="AI3:AI9" si="2">AI2-AK$12</f>
        <v>-2.0000000000000001E-4</v>
      </c>
      <c r="AJ3" s="10">
        <v>6.3932973541076379</v>
      </c>
      <c r="AK3" s="10">
        <v>5.4504498077437722</v>
      </c>
      <c r="AL3" s="10">
        <v>5.9828290145225926</v>
      </c>
      <c r="AM3" s="10">
        <v>4.88368355946817</v>
      </c>
      <c r="AN3" s="10">
        <v>4.1508300076774063</v>
      </c>
      <c r="AO3" s="11">
        <v>3.1013469517824586</v>
      </c>
      <c r="AP3" s="10">
        <v>3.1013469517824586</v>
      </c>
      <c r="AQ3" s="10">
        <v>2.4103738549006302</v>
      </c>
      <c r="AR3"/>
      <c r="AT3" s="4">
        <f>AT2+AV$12</f>
        <v>2.0000000000000001E-4</v>
      </c>
      <c r="AU3" s="10">
        <v>5.0611501743948333</v>
      </c>
      <c r="AV3" s="11">
        <v>4.8849327927389243</v>
      </c>
      <c r="AW3" s="11">
        <v>3.7171600087163776</v>
      </c>
      <c r="AX3" s="11">
        <v>3.8422103314934315</v>
      </c>
      <c r="AY3" s="11">
        <v>3.0771260250489156</v>
      </c>
      <c r="AZ3" s="11">
        <v>2.2068243629543272</v>
      </c>
      <c r="BA3" s="11">
        <v>1.8240252995688768</v>
      </c>
      <c r="BB3" s="11">
        <v>1.2750711555097245</v>
      </c>
      <c r="BC3"/>
    </row>
    <row r="4" spans="1:130" x14ac:dyDescent="0.25">
      <c r="A4" s="1">
        <v>46028</v>
      </c>
      <c r="B4" s="33">
        <v>57.62</v>
      </c>
      <c r="C4" s="33">
        <v>100.48</v>
      </c>
      <c r="D4" s="15">
        <v>1.04184763721524E-3</v>
      </c>
      <c r="E4" s="15">
        <v>6.9689882854361495E-4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57.62</v>
      </c>
      <c r="M4" s="33">
        <v>100.48</v>
      </c>
      <c r="N4" s="34">
        <v>1.74383894481082</v>
      </c>
      <c r="O4" s="34">
        <v>1.74415850230319</v>
      </c>
      <c r="R4" s="33">
        <v>100.49841290271</v>
      </c>
      <c r="U4" s="15">
        <v>1.83232641712527E-4</v>
      </c>
      <c r="X4" s="34">
        <v>1.74383894481082</v>
      </c>
      <c r="Y4" s="34">
        <v>1.74495402592864</v>
      </c>
      <c r="AB4" s="33">
        <v>100.54425097400799</v>
      </c>
      <c r="AE4" s="15">
        <v>6.3923607112213396E-4</v>
      </c>
      <c r="AG4"/>
      <c r="AI4" s="4">
        <f t="shared" si="2"/>
        <v>-4.0000000000000002E-4</v>
      </c>
      <c r="AJ4" s="10">
        <v>6.3932973541076379</v>
      </c>
      <c r="AK4" s="11">
        <v>5.4504498077437722</v>
      </c>
      <c r="AL4" s="11">
        <v>6.0136486654564738</v>
      </c>
      <c r="AM4" s="11">
        <v>4.8451737443407197</v>
      </c>
      <c r="AN4" s="10">
        <v>4.1097353448488159</v>
      </c>
      <c r="AO4" s="11">
        <v>3.0441537452683431</v>
      </c>
      <c r="AP4" s="11">
        <v>3.0441537452683431</v>
      </c>
      <c r="AQ4" s="11">
        <v>2.4103738549006302</v>
      </c>
      <c r="AR4"/>
      <c r="AT4" s="4">
        <f t="shared" ref="AT4:AT9" si="3">AT3+AV$12</f>
        <v>4.0000000000000002E-4</v>
      </c>
      <c r="AU4" s="10">
        <v>5.0611501743948333</v>
      </c>
      <c r="AV4" s="11">
        <v>4.8849327927389243</v>
      </c>
      <c r="AW4" s="11">
        <v>3.7738223162398628</v>
      </c>
      <c r="AX4" s="11">
        <v>3.600497457848653</v>
      </c>
      <c r="AY4" s="11">
        <v>3.0771260250489156</v>
      </c>
      <c r="AZ4" s="11">
        <v>2.2068243629543272</v>
      </c>
      <c r="BA4" s="11">
        <v>1.8240252995688768</v>
      </c>
      <c r="BB4" s="11">
        <v>1.2750711555097245</v>
      </c>
      <c r="BC4"/>
      <c r="BE4" s="8"/>
      <c r="BF4" s="8"/>
    </row>
    <row r="5" spans="1:130" x14ac:dyDescent="0.25">
      <c r="A5" s="1">
        <v>46029</v>
      </c>
      <c r="B5" s="33">
        <v>57.72</v>
      </c>
      <c r="C5" s="33">
        <v>100.68</v>
      </c>
      <c r="D5" s="15">
        <v>1.7340042492876499E-3</v>
      </c>
      <c r="E5" s="15">
        <v>1.98846754722669E-3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57.72</v>
      </c>
      <c r="M5" s="33">
        <v>100.68</v>
      </c>
      <c r="N5" s="34">
        <v>1.74428274428274</v>
      </c>
      <c r="O5" s="34">
        <v>1.74415850230319</v>
      </c>
      <c r="R5" s="33">
        <v>100.67282875294001</v>
      </c>
      <c r="U5" s="15">
        <v>-7.1230656226163396E-5</v>
      </c>
      <c r="X5" s="34">
        <v>1.74428274428274</v>
      </c>
      <c r="Y5" s="34">
        <v>1.74495402592864</v>
      </c>
      <c r="AB5" s="33">
        <v>100.718746376601</v>
      </c>
      <c r="AE5" s="15">
        <v>3.84772773183426E-4</v>
      </c>
      <c r="AG5" s="29"/>
      <c r="AI5" s="4">
        <f t="shared" si="2"/>
        <v>-6.0000000000000006E-4</v>
      </c>
      <c r="AJ5" s="10">
        <v>6.3932973541076379</v>
      </c>
      <c r="AK5" s="11">
        <v>5.4504498077437722</v>
      </c>
      <c r="AL5" s="11">
        <v>6.0136486654564738</v>
      </c>
      <c r="AM5" s="11">
        <v>4.7792044189518972</v>
      </c>
      <c r="AN5" s="11">
        <v>3.9371534949979319</v>
      </c>
      <c r="AO5" s="11">
        <v>2.8064730949873455</v>
      </c>
      <c r="AP5" s="10">
        <v>2.8064730949873455</v>
      </c>
      <c r="AQ5" s="11">
        <v>2.1457340792698778</v>
      </c>
      <c r="AR5"/>
      <c r="AT5" s="4">
        <f t="shared" si="3"/>
        <v>6.0000000000000006E-4</v>
      </c>
      <c r="AU5" s="10">
        <v>5.0611501743948333</v>
      </c>
      <c r="AV5" s="11">
        <v>4.8849327927389243</v>
      </c>
      <c r="AW5" s="11">
        <v>3.7738223162398628</v>
      </c>
      <c r="AX5" s="11">
        <v>3.3834442505114288</v>
      </c>
      <c r="AY5" s="11">
        <v>2.8428796194621055</v>
      </c>
      <c r="AZ5" s="11">
        <v>2.2068243629543272</v>
      </c>
      <c r="BA5" s="11">
        <v>1.8240252995688768</v>
      </c>
      <c r="BB5" s="11">
        <v>1.2750711555097245</v>
      </c>
      <c r="BC5"/>
    </row>
    <row r="6" spans="1:130" x14ac:dyDescent="0.25">
      <c r="A6" s="1">
        <v>46030</v>
      </c>
      <c r="B6" s="33">
        <v>57.69</v>
      </c>
      <c r="C6" s="33">
        <v>100.67</v>
      </c>
      <c r="D6" s="15">
        <v>-5.19885636872054E-4</v>
      </c>
      <c r="E6" s="15">
        <v>-9.9329525783192304E-5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57.69</v>
      </c>
      <c r="M6" s="33">
        <v>100.67</v>
      </c>
      <c r="N6" s="34">
        <v>1.7450164673253501</v>
      </c>
      <c r="O6" s="34">
        <v>1.74415850230319</v>
      </c>
      <c r="R6" s="33">
        <v>100.620503997871</v>
      </c>
      <c r="U6" s="15">
        <v>-4.9178676731515404E-4</v>
      </c>
      <c r="X6" s="34">
        <v>1.7450164673253501</v>
      </c>
      <c r="Y6" s="34">
        <v>1.74495402592864</v>
      </c>
      <c r="AB6" s="33">
        <v>100.666397755823</v>
      </c>
      <c r="AE6" s="15">
        <v>-3.57833379055564E-5</v>
      </c>
      <c r="AG6" s="29"/>
      <c r="AI6" s="4">
        <f t="shared" si="2"/>
        <v>-8.0000000000000004E-4</v>
      </c>
      <c r="AJ6" s="10">
        <v>6.3932973541076379</v>
      </c>
      <c r="AK6" s="11">
        <v>5.4504498077437722</v>
      </c>
      <c r="AL6" s="11">
        <v>6.0136486654564738</v>
      </c>
      <c r="AM6" s="11">
        <v>4.7792044189518972</v>
      </c>
      <c r="AN6" s="11">
        <v>3.9076016218948175</v>
      </c>
      <c r="AO6" s="11">
        <v>2.7641313062854422</v>
      </c>
      <c r="AP6" s="11">
        <v>2.7641313062854422</v>
      </c>
      <c r="AQ6" s="11">
        <v>2.1009633573256039</v>
      </c>
      <c r="AR6"/>
      <c r="AT6" s="4">
        <f t="shared" si="3"/>
        <v>8.0000000000000004E-4</v>
      </c>
      <c r="AU6" s="10">
        <v>5.0611501743948333</v>
      </c>
      <c r="AV6" s="11">
        <v>4.8849327927389243</v>
      </c>
      <c r="AW6" s="11">
        <v>3.7738223162398628</v>
      </c>
      <c r="AX6" s="11">
        <v>3.3834442505114288</v>
      </c>
      <c r="AY6" s="11">
        <v>2.8428796194621055</v>
      </c>
      <c r="AZ6" s="11">
        <v>2.2068243629543272</v>
      </c>
      <c r="BA6" s="11">
        <v>1.8240252995688768</v>
      </c>
      <c r="BB6" s="11">
        <v>1.2750711555097245</v>
      </c>
      <c r="BC6"/>
    </row>
    <row r="7" spans="1:130" x14ac:dyDescent="0.25">
      <c r="A7" s="1">
        <v>46031</v>
      </c>
      <c r="B7" s="33">
        <v>57.78</v>
      </c>
      <c r="C7" s="33">
        <v>100.7</v>
      </c>
      <c r="D7" s="15">
        <v>1.55884676929109E-3</v>
      </c>
      <c r="E7" s="15">
        <v>2.9795898318468798E-4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57.78</v>
      </c>
      <c r="M7" s="33">
        <v>100.7</v>
      </c>
      <c r="N7" s="34">
        <v>1.74281758393907</v>
      </c>
      <c r="O7" s="34">
        <v>1.74415850230319</v>
      </c>
      <c r="R7" s="33">
        <v>100.777478263078</v>
      </c>
      <c r="U7" s="15">
        <v>7.6910101879129698E-4</v>
      </c>
      <c r="X7" s="34">
        <v>1.74281758393907</v>
      </c>
      <c r="Y7" s="34">
        <v>1.74495402592864</v>
      </c>
      <c r="AB7" s="33">
        <v>100.823443618157</v>
      </c>
      <c r="AE7" s="15">
        <v>1.2251044482009801E-3</v>
      </c>
      <c r="AG7"/>
      <c r="AI7" s="4">
        <f t="shared" si="2"/>
        <v>-1E-3</v>
      </c>
      <c r="AJ7" s="10">
        <v>6.3932973541076379</v>
      </c>
      <c r="AK7" s="11">
        <v>5.4504498077437722</v>
      </c>
      <c r="AL7" s="11">
        <v>6.0136486654564738</v>
      </c>
      <c r="AM7" s="11">
        <v>4.7792044189518972</v>
      </c>
      <c r="AN7" s="11">
        <v>3.9076016218948175</v>
      </c>
      <c r="AO7" s="11">
        <v>2.5178127431408455</v>
      </c>
      <c r="AP7" s="11">
        <v>2.5178127431408455</v>
      </c>
      <c r="AQ7" s="11">
        <v>2.1009633573256039</v>
      </c>
      <c r="AR7"/>
      <c r="AT7" s="4">
        <f t="shared" si="3"/>
        <v>1E-3</v>
      </c>
      <c r="AU7" s="10">
        <v>5.0611501743948333</v>
      </c>
      <c r="AV7" s="11">
        <v>4.8849327927389243</v>
      </c>
      <c r="AW7" s="11">
        <v>3.7738223162398628</v>
      </c>
      <c r="AX7" s="11">
        <v>3.3834442505114288</v>
      </c>
      <c r="AY7" s="11">
        <v>2.8428796194621055</v>
      </c>
      <c r="AZ7" s="11">
        <v>2.2068243629543272</v>
      </c>
      <c r="BA7" s="11">
        <v>1.8240252995688768</v>
      </c>
      <c r="BB7" s="11">
        <v>1.2750711555097245</v>
      </c>
      <c r="BC7"/>
    </row>
    <row r="8" spans="1:130" x14ac:dyDescent="0.25">
      <c r="A8" s="1">
        <v>46034</v>
      </c>
      <c r="B8" s="33">
        <v>57.78</v>
      </c>
      <c r="C8" s="33">
        <v>100.8</v>
      </c>
      <c r="D8" s="15">
        <v>0</v>
      </c>
      <c r="E8" s="15">
        <v>9.9255591275164293E-4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57.78</v>
      </c>
      <c r="M8" s="33">
        <v>100.8</v>
      </c>
      <c r="N8" s="34">
        <v>1.74454828660436</v>
      </c>
      <c r="O8" s="34">
        <v>1.74415850230319</v>
      </c>
      <c r="R8" s="33">
        <v>100.777478263078</v>
      </c>
      <c r="U8" s="15">
        <v>-2.2345489396019099E-4</v>
      </c>
      <c r="X8" s="34">
        <v>1.74454828660436</v>
      </c>
      <c r="Y8" s="34">
        <v>1.74495402592864</v>
      </c>
      <c r="AB8" s="33">
        <v>100.823443618157</v>
      </c>
      <c r="AE8" s="15">
        <v>2.3254853544954501E-4</v>
      </c>
      <c r="AG8"/>
      <c r="AI8" s="4">
        <f t="shared" si="2"/>
        <v>-1.2000000000000001E-3</v>
      </c>
      <c r="AJ8" s="10">
        <v>6.3932973541076379</v>
      </c>
      <c r="AK8" s="11">
        <v>5.4504498077437722</v>
      </c>
      <c r="AL8" s="11">
        <v>6.0136486654564738</v>
      </c>
      <c r="AM8" s="11">
        <v>4.7792044189518972</v>
      </c>
      <c r="AN8" s="11">
        <v>3.9076016218948175</v>
      </c>
      <c r="AO8" s="11">
        <v>2.5178127431408455</v>
      </c>
      <c r="AP8" s="11">
        <v>2.5178127431408455</v>
      </c>
      <c r="AQ8" s="11">
        <v>2.1009633573256039</v>
      </c>
      <c r="AR8"/>
      <c r="AT8" s="4">
        <f t="shared" si="3"/>
        <v>1.2000000000000001E-3</v>
      </c>
      <c r="AU8" s="10">
        <v>5.0611501743948333</v>
      </c>
      <c r="AV8" s="11">
        <v>4.8849327927389243</v>
      </c>
      <c r="AW8" s="11">
        <v>3.7738223162398628</v>
      </c>
      <c r="AX8" s="11">
        <v>3.3834442505114288</v>
      </c>
      <c r="AY8" s="11">
        <v>2.8428796194621055</v>
      </c>
      <c r="AZ8" s="11">
        <v>2.2068243629543272</v>
      </c>
      <c r="BA8" s="11">
        <v>1.3145370979293758</v>
      </c>
      <c r="BB8" s="11">
        <v>1.2750711555097245</v>
      </c>
      <c r="BC8"/>
    </row>
    <row r="9" spans="1:130" x14ac:dyDescent="0.25">
      <c r="A9" s="1">
        <v>46035</v>
      </c>
      <c r="B9" s="33">
        <v>57.79</v>
      </c>
      <c r="C9" s="33">
        <v>100.82</v>
      </c>
      <c r="D9" s="15">
        <v>1.7305529159733699E-4</v>
      </c>
      <c r="E9" s="15">
        <v>1.9839301721654099E-4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57.79</v>
      </c>
      <c r="M9" s="33">
        <v>100.82</v>
      </c>
      <c r="N9" s="34">
        <v>1.7445924900501799</v>
      </c>
      <c r="O9" s="34">
        <v>1.74415850230319</v>
      </c>
      <c r="R9" s="33">
        <v>100.794919848101</v>
      </c>
      <c r="U9" s="15">
        <v>-2.4879261957925201E-4</v>
      </c>
      <c r="X9" s="34">
        <v>1.7445924900501799</v>
      </c>
      <c r="Y9" s="34">
        <v>1.74495402592864</v>
      </c>
      <c r="AB9" s="33">
        <v>100.84089315841599</v>
      </c>
      <c r="AE9" s="15">
        <v>2.0721080983031299E-4</v>
      </c>
      <c r="AF9"/>
      <c r="AI9" s="4">
        <f t="shared" si="2"/>
        <v>-1.4000000000000002E-3</v>
      </c>
      <c r="AJ9" s="10">
        <v>6.3932973541076379</v>
      </c>
      <c r="AK9" s="11">
        <v>5.4504498077437722</v>
      </c>
      <c r="AL9" s="11">
        <v>6.0136486654564738</v>
      </c>
      <c r="AM9" s="11">
        <v>4.7792044189518972</v>
      </c>
      <c r="AN9" s="11">
        <v>3.9076016218948175</v>
      </c>
      <c r="AO9" s="11">
        <v>2.5178127431408455</v>
      </c>
      <c r="AP9" s="11">
        <v>2.5178127431408455</v>
      </c>
      <c r="AQ9" s="11">
        <v>2.1009633573256039</v>
      </c>
      <c r="AR9"/>
      <c r="AT9" s="4">
        <f t="shared" si="3"/>
        <v>1.4000000000000002E-3</v>
      </c>
      <c r="AU9" s="10">
        <v>5.0611501743948333</v>
      </c>
      <c r="AV9" s="10">
        <v>4.8849327927389243</v>
      </c>
      <c r="AW9" s="10">
        <v>3.7738223162398628</v>
      </c>
      <c r="AX9" s="10">
        <v>3.3834442505114288</v>
      </c>
      <c r="AY9" s="10">
        <v>2.8428796194621055</v>
      </c>
      <c r="AZ9" s="10">
        <v>2.2068243629543272</v>
      </c>
      <c r="BA9" s="10">
        <v>1.3145370979293758</v>
      </c>
      <c r="BB9" s="10">
        <v>1.2750711555097245</v>
      </c>
      <c r="BC9"/>
    </row>
    <row r="10" spans="1:130" x14ac:dyDescent="0.25">
      <c r="A10" s="1">
        <v>46036</v>
      </c>
      <c r="B10" s="33">
        <v>57.83</v>
      </c>
      <c r="C10" s="33">
        <v>100.92</v>
      </c>
      <c r="D10" s="15">
        <v>6.9192184044017E-4</v>
      </c>
      <c r="E10" s="15">
        <v>9.9137511837233891E-4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57.83</v>
      </c>
      <c r="M10" s="33">
        <v>100.92</v>
      </c>
      <c r="N10" s="34">
        <v>1.74511499221857</v>
      </c>
      <c r="O10" s="34">
        <v>1.74415850230319</v>
      </c>
      <c r="R10" s="33">
        <v>100.86468618819301</v>
      </c>
      <c r="U10" s="15">
        <v>-5.4824589751137798E-4</v>
      </c>
      <c r="X10" s="34">
        <v>1.74511499221857</v>
      </c>
      <c r="Y10" s="34">
        <v>1.74495402592864</v>
      </c>
      <c r="AB10" s="33">
        <v>100.91069131945299</v>
      </c>
      <c r="AE10" s="15">
        <v>-9.2242468101798794E-5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57.87</v>
      </c>
      <c r="C11" s="33">
        <v>100.91</v>
      </c>
      <c r="D11" s="15">
        <v>6.9144341562048196E-4</v>
      </c>
      <c r="E11" s="15">
        <v>-9.90932964196671E-5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57.87</v>
      </c>
      <c r="M11" s="33">
        <v>100.91</v>
      </c>
      <c r="N11" s="34">
        <v>1.7437359599101401</v>
      </c>
      <c r="O11" s="34">
        <v>1.74415850230319</v>
      </c>
      <c r="P11" s="34">
        <v>1.74427358789669</v>
      </c>
      <c r="R11" s="33">
        <v>100.93445252828499</v>
      </c>
      <c r="U11" s="15">
        <v>2.4229081452875701E-4</v>
      </c>
      <c r="X11" s="34">
        <v>1.7437359599101401</v>
      </c>
      <c r="Y11" s="34">
        <v>1.74495402592864</v>
      </c>
      <c r="Z11" s="34">
        <v>1.74427358789669</v>
      </c>
      <c r="AB11" s="33">
        <v>100.98048948048999</v>
      </c>
      <c r="AE11" s="15">
        <v>6.9829424393823996E-4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57.85</v>
      </c>
      <c r="C12" s="33">
        <v>100.9</v>
      </c>
      <c r="D12" s="15">
        <v>-3.4566194606175501E-4</v>
      </c>
      <c r="E12" s="15">
        <v>-9.9103116874036493E-5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57.85</v>
      </c>
      <c r="M12" s="33">
        <v>100.9</v>
      </c>
      <c r="N12" s="34">
        <v>1.7441659464131301</v>
      </c>
      <c r="O12" s="34">
        <v>1.74415850230319</v>
      </c>
      <c r="P12" s="34">
        <v>1.74425539992931</v>
      </c>
      <c r="R12" s="33">
        <v>100.89956935823901</v>
      </c>
      <c r="S12" s="33">
        <v>100.906227059823</v>
      </c>
      <c r="U12" s="15">
        <v>-4.2680146589396603E-6</v>
      </c>
      <c r="V12" s="15">
        <v>6.1713257478969498E-5</v>
      </c>
      <c r="X12" s="34">
        <v>1.7441659464131301</v>
      </c>
      <c r="Y12" s="34">
        <v>1.74495402592864</v>
      </c>
      <c r="Z12" s="34">
        <v>1.74425539992931</v>
      </c>
      <c r="AB12" s="33">
        <v>100.94559039997201</v>
      </c>
      <c r="AC12" s="33">
        <v>100.906227059823</v>
      </c>
      <c r="AE12" s="15">
        <v>4.5173541475073998E-4</v>
      </c>
      <c r="AF12" s="15">
        <v>6.1713257478969498E-5</v>
      </c>
      <c r="AK12" s="17">
        <v>2.0000000000000001E-4</v>
      </c>
      <c r="AL12" s="18" t="s">
        <v>37</v>
      </c>
      <c r="AM12" s="19" t="s">
        <v>38</v>
      </c>
      <c r="AV12" s="17">
        <v>2.0000000000000001E-4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57.6</v>
      </c>
      <c r="C13" s="33">
        <v>100.61</v>
      </c>
      <c r="D13" s="15">
        <v>-4.33088593784007E-3</v>
      </c>
      <c r="E13" s="15">
        <v>-2.8782710556039901E-3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57.6</v>
      </c>
      <c r="M13" s="33">
        <v>100.61</v>
      </c>
      <c r="N13" s="34">
        <v>1.74670138888888</v>
      </c>
      <c r="O13" s="34">
        <v>1.74415850230319</v>
      </c>
      <c r="P13" s="34">
        <v>1.7444814804443201</v>
      </c>
      <c r="R13" s="33">
        <v>100.463529732664</v>
      </c>
      <c r="S13" s="33">
        <v>100.46911103592799</v>
      </c>
      <c r="U13" s="15">
        <v>-1.45688289689491E-3</v>
      </c>
      <c r="V13" s="15">
        <v>-1.4013289237392501E-3</v>
      </c>
      <c r="X13" s="34">
        <v>1.74670138888888</v>
      </c>
      <c r="Y13" s="34">
        <v>1.74495402592864</v>
      </c>
      <c r="Z13" s="34">
        <v>1.7444814804443201</v>
      </c>
      <c r="AB13" s="33">
        <v>100.50935189349001</v>
      </c>
      <c r="AC13" s="33">
        <v>100.46911103592799</v>
      </c>
      <c r="AE13" s="15">
        <v>-1.0008794674853899E-3</v>
      </c>
      <c r="AF13" s="15">
        <v>-1.4013289237392501E-3</v>
      </c>
    </row>
    <row r="14" spans="1:130" x14ac:dyDescent="0.25">
      <c r="A14" s="1">
        <v>46043</v>
      </c>
      <c r="B14" s="33">
        <v>57.76</v>
      </c>
      <c r="C14" s="33">
        <v>100.7</v>
      </c>
      <c r="D14" s="15">
        <v>2.7739268827252201E-3</v>
      </c>
      <c r="E14" s="15">
        <v>8.9414342055734103E-4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57.76</v>
      </c>
      <c r="M14" s="33">
        <v>100.7</v>
      </c>
      <c r="N14" s="34">
        <v>1.7434210526315701</v>
      </c>
      <c r="O14" s="34">
        <v>1.74415850230319</v>
      </c>
      <c r="P14" s="34">
        <v>1.7444396912264</v>
      </c>
      <c r="R14" s="33">
        <v>100.74259509303199</v>
      </c>
      <c r="S14" s="33">
        <v>100.76125031046401</v>
      </c>
      <c r="U14" s="15">
        <v>4.2290056527287601E-4</v>
      </c>
      <c r="V14" s="15">
        <v>6.0806048068601996E-4</v>
      </c>
      <c r="X14" s="34">
        <v>1.7434210526315701</v>
      </c>
      <c r="Y14" s="34">
        <v>1.74495402592864</v>
      </c>
      <c r="Z14" s="34">
        <v>1.7444396912264</v>
      </c>
      <c r="AB14" s="33">
        <v>100.788544537638</v>
      </c>
      <c r="AC14" s="33">
        <v>100.76125031046401</v>
      </c>
      <c r="AE14" s="15">
        <v>8.7890399468242095E-4</v>
      </c>
      <c r="AF14" s="15">
        <v>6.0806048068601996E-4</v>
      </c>
      <c r="AQ14" s="20">
        <f>AVERAGE(AQ22:AQ176)</f>
        <v>3.8558274147489628E-5</v>
      </c>
      <c r="AR14" s="21" t="s">
        <v>41</v>
      </c>
      <c r="BB14" s="20">
        <f>AVERAGE(BB22:BB176)</f>
        <v>2.1897391447185407E-5</v>
      </c>
      <c r="BC14" s="21" t="s">
        <v>41</v>
      </c>
      <c r="BD14" s="22"/>
      <c r="BE14" s="20">
        <f>AVERAGE(BE22:BE176)</f>
        <v>6.0455665594675028E-5</v>
      </c>
      <c r="BF14" s="21" t="s">
        <v>41</v>
      </c>
    </row>
    <row r="15" spans="1:130" x14ac:dyDescent="0.25">
      <c r="A15" s="1">
        <v>46044</v>
      </c>
      <c r="B15" s="33">
        <v>57.74</v>
      </c>
      <c r="C15" s="33">
        <v>100.64</v>
      </c>
      <c r="D15" s="15">
        <v>-3.4632034978172301E-4</v>
      </c>
      <c r="E15" s="15">
        <v>-5.9600677238624497E-4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57.74</v>
      </c>
      <c r="M15" s="33">
        <v>100.64</v>
      </c>
      <c r="N15" s="34">
        <v>1.7429857984066499</v>
      </c>
      <c r="O15" s="34">
        <v>1.74415850230319</v>
      </c>
      <c r="P15" s="34">
        <v>1.7443099966387901</v>
      </c>
      <c r="R15" s="33">
        <v>100.70771192298599</v>
      </c>
      <c r="S15" s="33">
        <v>100.723947771412</v>
      </c>
      <c r="U15" s="15">
        <v>6.7258698787755805E-4</v>
      </c>
      <c r="V15" s="15">
        <v>8.3379152231710099E-4</v>
      </c>
      <c r="X15" s="34">
        <v>1.7429857984066499</v>
      </c>
      <c r="Y15" s="34">
        <v>1.74495402592864</v>
      </c>
      <c r="Z15" s="34">
        <v>1.7443099966387901</v>
      </c>
      <c r="AB15" s="33">
        <v>100.75364545712</v>
      </c>
      <c r="AC15" s="33">
        <v>100.723947771412</v>
      </c>
      <c r="AE15" s="15">
        <v>1.1285904172871799E-3</v>
      </c>
      <c r="AF15" s="15">
        <v>8.3379152231710099E-4</v>
      </c>
      <c r="AQ15" s="20">
        <f>STDEV(AQ22:AQ176)</f>
        <v>1.9684725505962364E-4</v>
      </c>
      <c r="AR15" s="21" t="s">
        <v>42</v>
      </c>
      <c r="BB15" s="20">
        <f>STDEV(BB22:BB176)</f>
        <v>1.4387634547337303E-4</v>
      </c>
      <c r="BC15" s="21" t="s">
        <v>42</v>
      </c>
      <c r="BD15" s="22"/>
      <c r="BE15" s="20">
        <f>STDEV(BE22:BE176)</f>
        <v>2.403115230245646E-4</v>
      </c>
      <c r="BF15" s="21" t="s">
        <v>42</v>
      </c>
    </row>
    <row r="16" spans="1:130" x14ac:dyDescent="0.25">
      <c r="A16" s="1">
        <v>46045</v>
      </c>
      <c r="B16" s="33">
        <v>57.74</v>
      </c>
      <c r="C16" s="33">
        <v>100.66</v>
      </c>
      <c r="D16" s="15">
        <v>0</v>
      </c>
      <c r="E16" s="15">
        <v>1.9870839608344401E-4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57.74</v>
      </c>
      <c r="M16" s="33">
        <v>100.66</v>
      </c>
      <c r="N16" s="34">
        <v>1.74333217873224</v>
      </c>
      <c r="O16" s="34">
        <v>1.74415850230319</v>
      </c>
      <c r="P16" s="34">
        <v>1.74414156777948</v>
      </c>
      <c r="R16" s="33">
        <v>100.70771192298599</v>
      </c>
      <c r="S16" s="33">
        <v>100.716459205924</v>
      </c>
      <c r="U16" s="15">
        <v>4.7387859179403099E-4</v>
      </c>
      <c r="V16" s="15">
        <v>5.6073294392021303E-4</v>
      </c>
      <c r="X16" s="34">
        <v>1.74333217873224</v>
      </c>
      <c r="Y16" s="34">
        <v>1.74495402592864</v>
      </c>
      <c r="Z16" s="34">
        <v>1.74414156777948</v>
      </c>
      <c r="AB16" s="33">
        <v>100.75364545712</v>
      </c>
      <c r="AC16" s="33">
        <v>100.716459205924</v>
      </c>
      <c r="AE16" s="15">
        <v>9.2988202120361301E-4</v>
      </c>
      <c r="AF16" s="15">
        <v>5.6073294392021303E-4</v>
      </c>
      <c r="AQ16" s="23">
        <f>SQRT(252)*AQ14/AQ15</f>
        <v>3.1094852000006439</v>
      </c>
      <c r="AR16" s="21" t="s">
        <v>43</v>
      </c>
      <c r="BB16" s="23">
        <f>SQRT(252)*BB14/BB15</f>
        <v>2.4160351838102794</v>
      </c>
      <c r="BC16" s="21" t="s">
        <v>43</v>
      </c>
      <c r="BD16" s="22"/>
      <c r="BE16" s="23">
        <f>SQRT(252)*BE14/BE15</f>
        <v>3.9935826920470343</v>
      </c>
      <c r="BF16" s="21" t="s">
        <v>43</v>
      </c>
    </row>
    <row r="17" spans="1:124" x14ac:dyDescent="0.25">
      <c r="A17" s="1">
        <v>46048</v>
      </c>
      <c r="B17" s="33">
        <v>57.79</v>
      </c>
      <c r="C17" s="33">
        <v>100.75</v>
      </c>
      <c r="D17" s="15">
        <v>8.6557609489745996E-4</v>
      </c>
      <c r="E17" s="15">
        <v>8.9369947857843802E-4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57.79</v>
      </c>
      <c r="M17" s="33">
        <v>100.75</v>
      </c>
      <c r="N17" s="34">
        <v>1.7433812078214199</v>
      </c>
      <c r="O17" s="34">
        <v>1.74415850230319</v>
      </c>
      <c r="P17" s="34">
        <v>1.74419793016771</v>
      </c>
      <c r="R17" s="33">
        <v>100.794919848101</v>
      </c>
      <c r="S17" s="33">
        <v>100.793941201976</v>
      </c>
      <c r="U17" s="15">
        <v>4.4575520811322798E-4</v>
      </c>
      <c r="V17" s="15">
        <v>4.3604588072007101E-4</v>
      </c>
      <c r="X17" s="34">
        <v>1.7433812078214199</v>
      </c>
      <c r="Y17" s="34">
        <v>1.74495402592864</v>
      </c>
      <c r="Z17" s="34">
        <v>1.74419793016771</v>
      </c>
      <c r="AB17" s="33">
        <v>100.84089315841599</v>
      </c>
      <c r="AC17" s="33">
        <v>100.793941201976</v>
      </c>
      <c r="AE17" s="15">
        <v>9.0175863752256697E-4</v>
      </c>
      <c r="AF17" s="15">
        <v>4.3604588072007101E-4</v>
      </c>
    </row>
    <row r="18" spans="1:124" x14ac:dyDescent="0.25">
      <c r="A18" s="1">
        <v>46049</v>
      </c>
      <c r="B18" s="33">
        <v>57.78</v>
      </c>
      <c r="C18" s="33">
        <v>100.79</v>
      </c>
      <c r="D18" s="15">
        <v>-1.7305529159738901E-4</v>
      </c>
      <c r="E18" s="15">
        <v>3.9694353999424899E-4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57.78</v>
      </c>
      <c r="M18" s="33">
        <v>100.79</v>
      </c>
      <c r="N18" s="34">
        <v>1.7443752163378301</v>
      </c>
      <c r="O18" s="34">
        <v>1.74415850230319</v>
      </c>
      <c r="P18" s="34">
        <v>1.7441806231410599</v>
      </c>
      <c r="R18" s="33">
        <v>100.777478263078</v>
      </c>
      <c r="S18" s="33">
        <v>100.77975640509</v>
      </c>
      <c r="U18" s="15">
        <v>-1.24243623478561E-4</v>
      </c>
      <c r="V18" s="15">
        <v>-1.01638213001099E-4</v>
      </c>
      <c r="X18" s="34">
        <v>1.7443752163378301</v>
      </c>
      <c r="Y18" s="34">
        <v>1.74495402592864</v>
      </c>
      <c r="Z18" s="34">
        <v>1.7441806231410599</v>
      </c>
      <c r="AB18" s="33">
        <v>100.823443618157</v>
      </c>
      <c r="AC18" s="33">
        <v>100.77975640509</v>
      </c>
      <c r="AE18" s="15">
        <v>3.3175980593113801E-4</v>
      </c>
      <c r="AF18" s="15">
        <v>-1.01638213001099E-4</v>
      </c>
      <c r="BE18" s="24">
        <f>SUM(BE22:BE176)</f>
        <v>9.3706281671746289E-3</v>
      </c>
      <c r="BF18" s="20">
        <f>BF176</f>
        <v>9.3706281671746289E-3</v>
      </c>
    </row>
    <row r="19" spans="1:124" x14ac:dyDescent="0.25">
      <c r="A19" s="1">
        <v>46050</v>
      </c>
      <c r="B19" s="33">
        <v>57.82</v>
      </c>
      <c r="C19" s="33">
        <v>100.86</v>
      </c>
      <c r="D19" s="15">
        <v>6.9204155011071404E-4</v>
      </c>
      <c r="E19" s="15">
        <v>6.9427228179256499E-4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57.82</v>
      </c>
      <c r="M19" s="33">
        <v>100.86</v>
      </c>
      <c r="N19" s="34">
        <v>1.74437910757523</v>
      </c>
      <c r="O19" s="34">
        <v>1.74415850230319</v>
      </c>
      <c r="P19" s="34">
        <v>1.7441592848935701</v>
      </c>
      <c r="R19" s="33">
        <v>100.84724460317</v>
      </c>
      <c r="S19" s="33">
        <v>100.848523630016</v>
      </c>
      <c r="U19" s="15">
        <v>-1.2647435516035301E-4</v>
      </c>
      <c r="V19" s="15">
        <v>-1.13791621587886E-4</v>
      </c>
      <c r="X19" s="34">
        <v>1.74437910757523</v>
      </c>
      <c r="Y19" s="34">
        <v>1.74495402592864</v>
      </c>
      <c r="Z19" s="34">
        <v>1.7441592848935701</v>
      </c>
      <c r="AB19" s="33">
        <v>100.893241779194</v>
      </c>
      <c r="AC19" s="33">
        <v>100.848523630016</v>
      </c>
      <c r="AE19" s="15">
        <v>3.2952907424928799E-4</v>
      </c>
      <c r="AF19" s="15">
        <v>-1.13791621587886E-4</v>
      </c>
      <c r="AI19" s="12"/>
      <c r="AJ19"/>
      <c r="AK19"/>
      <c r="AL19"/>
      <c r="AM19"/>
      <c r="AN19"/>
      <c r="AO19"/>
      <c r="AP19"/>
      <c r="AQ19" s="24">
        <f>SUM(AQ22:AQ176)</f>
        <v>5.9765324928608924E-3</v>
      </c>
      <c r="AR19" s="24">
        <f>AR176</f>
        <v>5.9765324928608924E-3</v>
      </c>
      <c r="AU19"/>
      <c r="AV19"/>
      <c r="AW19"/>
      <c r="AX19"/>
      <c r="AY19"/>
      <c r="AZ19"/>
      <c r="BA19"/>
      <c r="BB19" s="24">
        <f>SUM(BB22:BB176)</f>
        <v>3.3940956743137378E-3</v>
      </c>
      <c r="BC19" s="24">
        <f>BC176</f>
        <v>3.3940956743137378E-3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57.83</v>
      </c>
      <c r="C20" s="33">
        <v>100.85</v>
      </c>
      <c r="D20" s="15">
        <v>1.72935581926746E-4</v>
      </c>
      <c r="E20" s="15">
        <v>-9.9152248358528407E-5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57.83</v>
      </c>
      <c r="M20" s="33">
        <v>100.85</v>
      </c>
      <c r="N20" s="34">
        <v>1.7439045478125501</v>
      </c>
      <c r="O20" s="34">
        <v>1.74415850230319</v>
      </c>
      <c r="P20" s="34">
        <v>1.74403824045296</v>
      </c>
      <c r="R20" s="33">
        <v>100.86468618819301</v>
      </c>
      <c r="S20" s="33">
        <v>100.86473144539499</v>
      </c>
      <c r="U20" s="15">
        <v>1.4561347512502299E-4</v>
      </c>
      <c r="V20" s="15">
        <v>1.46062167257958E-4</v>
      </c>
      <c r="X20" s="34">
        <v>1.7439045478125501</v>
      </c>
      <c r="Y20" s="34">
        <v>1.74495402592864</v>
      </c>
      <c r="Z20" s="34">
        <v>1.74403824045296</v>
      </c>
      <c r="AB20" s="33">
        <v>100.91069131945299</v>
      </c>
      <c r="AC20" s="33">
        <v>100.86473144539499</v>
      </c>
      <c r="AE20" s="15">
        <v>6.0161690453445604E-4</v>
      </c>
      <c r="AF20" s="15">
        <v>1.46062167257958E-4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CMF log rtn</v>
      </c>
      <c r="AP20" s="7" t="str">
        <f>E1</f>
        <v>VTEC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CMF log rtn</v>
      </c>
      <c r="BA20" s="24" t="str">
        <f>E1</f>
        <v>VTEC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57.9</v>
      </c>
      <c r="C21" s="33">
        <v>100.96</v>
      </c>
      <c r="D21" s="15">
        <v>1.20971240882272E-3</v>
      </c>
      <c r="E21" s="15">
        <v>1.09013439268233E-3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57.9</v>
      </c>
      <c r="M21" s="33">
        <v>100.96</v>
      </c>
      <c r="N21" s="34">
        <v>1.74369602763385</v>
      </c>
      <c r="O21" s="34">
        <v>1.74415850230319</v>
      </c>
      <c r="P21" s="34">
        <v>1.7440342472253301</v>
      </c>
      <c r="Q21" s="34">
        <v>1.7441539175610099</v>
      </c>
      <c r="R21" s="33">
        <v>100.986777283355</v>
      </c>
      <c r="S21" s="33">
        <v>100.979814122226</v>
      </c>
      <c r="U21" s="15">
        <v>2.6519149126544799E-4</v>
      </c>
      <c r="V21" s="15">
        <v>1.96237897678701E-4</v>
      </c>
      <c r="X21" s="34">
        <v>1.74369602763385</v>
      </c>
      <c r="Y21" s="34">
        <v>1.74495402592864</v>
      </c>
      <c r="Z21" s="34">
        <v>1.7440342472253301</v>
      </c>
      <c r="AA21" s="34">
        <v>1.7441539175610099</v>
      </c>
      <c r="AB21" s="33">
        <v>101.032838101268</v>
      </c>
      <c r="AC21" s="33">
        <v>100.979814122226</v>
      </c>
      <c r="AE21" s="15">
        <v>7.2119492067503901E-4</v>
      </c>
      <c r="AF21" s="15">
        <v>1.96237897678701E-4</v>
      </c>
      <c r="AI21" s="26">
        <v>-1E-3</v>
      </c>
      <c r="AJ21"/>
      <c r="AK21"/>
      <c r="AL21"/>
      <c r="AM21">
        <f t="shared" ref="AM21:AM84" si="4">IF(F22+H22&gt;0,0,1)</f>
        <v>0</v>
      </c>
      <c r="AN21" s="27">
        <v>0</v>
      </c>
      <c r="AO21"/>
      <c r="AP21"/>
      <c r="AQ21"/>
      <c r="AR21"/>
      <c r="AT21" s="26">
        <v>1E-3</v>
      </c>
      <c r="AU21"/>
      <c r="AV21"/>
      <c r="AW21"/>
      <c r="AX21">
        <f t="shared" ref="AX21:AX84" si="5">IF(F22+H22&gt;0,0,1)</f>
        <v>0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57.75</v>
      </c>
      <c r="C22" s="33">
        <v>100.75</v>
      </c>
      <c r="D22" s="15">
        <v>-2.5940351770466401E-3</v>
      </c>
      <c r="E22" s="15">
        <v>-2.0821979661106E-3</v>
      </c>
      <c r="F22" s="33">
        <v>0.13797699999999999</v>
      </c>
      <c r="G22" s="33">
        <v>0.13797699999999999</v>
      </c>
      <c r="H22" s="33">
        <v>0.25080000000000002</v>
      </c>
      <c r="I22" s="33">
        <v>0.25080000000000002</v>
      </c>
      <c r="J22" s="33">
        <v>0.13797699999999999</v>
      </c>
      <c r="K22" s="33">
        <v>0.25080000000000002</v>
      </c>
      <c r="L22" s="33">
        <v>57.887976999999999</v>
      </c>
      <c r="M22" s="33">
        <v>101.0008</v>
      </c>
      <c r="N22" s="34">
        <v>1.74458874458874</v>
      </c>
      <c r="O22" s="34">
        <v>1.74415850230319</v>
      </c>
      <c r="P22" s="34">
        <v>1.7440765270428999</v>
      </c>
      <c r="Q22" s="34">
        <v>1.7441659634861</v>
      </c>
      <c r="R22" s="33">
        <v>100.725153508009</v>
      </c>
      <c r="S22" s="33">
        <v>100.717977777263</v>
      </c>
      <c r="T22" s="33">
        <v>100.724888739148</v>
      </c>
      <c r="U22" s="15">
        <v>-2.4664571967052899E-4</v>
      </c>
      <c r="V22" s="15">
        <v>-3.1788896041533499E-4</v>
      </c>
      <c r="W22" s="15">
        <v>-2.4927435015307598E-4</v>
      </c>
      <c r="X22" s="34">
        <v>1.74476299284046</v>
      </c>
      <c r="Y22" s="34">
        <v>1.74495402592864</v>
      </c>
      <c r="Z22" s="34">
        <v>1.74409395186807</v>
      </c>
      <c r="AA22" s="34">
        <v>1.74417467589869</v>
      </c>
      <c r="AB22" s="33">
        <v>101.011858519014</v>
      </c>
      <c r="AC22" s="33">
        <v>100.958614390592</v>
      </c>
      <c r="AD22" s="33">
        <v>100.96554186423199</v>
      </c>
      <c r="AE22" s="15">
        <v>1.09483426504013E-4</v>
      </c>
      <c r="AF22" s="15">
        <v>-4.1776324365016198E-4</v>
      </c>
      <c r="AG22" s="15">
        <v>-3.4914863338806397E-4</v>
      </c>
      <c r="AI22" s="26">
        <v>0</v>
      </c>
      <c r="AJ22">
        <f t="shared" ref="AJ22:AJ85" si="6">IF($AG22&lt;AI$21,1,0)</f>
        <v>0</v>
      </c>
      <c r="AK22">
        <f t="shared" ref="AK22:AK85" si="7">IF($AG22&gt;AI$22,1,0)</f>
        <v>0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0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57.79</v>
      </c>
      <c r="C23" s="33">
        <v>100.81</v>
      </c>
      <c r="D23" s="15">
        <v>6.9240092778362502E-4</v>
      </c>
      <c r="E23" s="15">
        <v>5.9535623905778898E-4</v>
      </c>
      <c r="F23" s="33">
        <v>0</v>
      </c>
      <c r="G23" s="33">
        <v>0.13797699999999999</v>
      </c>
      <c r="H23" s="33">
        <v>0</v>
      </c>
      <c r="I23" s="33">
        <v>0.25080000000000002</v>
      </c>
      <c r="J23" s="33">
        <v>0.13797699999999999</v>
      </c>
      <c r="K23" s="33">
        <v>0.25080000000000002</v>
      </c>
      <c r="L23" s="33">
        <v>57.927976999999998</v>
      </c>
      <c r="M23" s="33">
        <v>101.0608</v>
      </c>
      <c r="N23" s="34">
        <v>1.74441944973178</v>
      </c>
      <c r="O23" s="34">
        <v>1.74415850230319</v>
      </c>
      <c r="P23" s="34">
        <v>1.7438483331271899</v>
      </c>
      <c r="Q23" s="34">
        <v>1.7441649067857601</v>
      </c>
      <c r="R23" s="33">
        <v>100.794919848101</v>
      </c>
      <c r="S23" s="33">
        <v>100.790182497809</v>
      </c>
      <c r="T23" s="33">
        <v>100.795351029862</v>
      </c>
      <c r="U23" s="15">
        <v>-1.4960103094467599E-4</v>
      </c>
      <c r="V23" s="15">
        <v>-1.96602026933534E-4</v>
      </c>
      <c r="W23" s="15">
        <v>-1.4532322767103501E-4</v>
      </c>
      <c r="X23" s="34">
        <v>1.7445939809014901</v>
      </c>
      <c r="Y23" s="34">
        <v>1.74495402592864</v>
      </c>
      <c r="Z23" s="34">
        <v>1.7438832110693301</v>
      </c>
      <c r="AA23" s="34">
        <v>1.74418234575683</v>
      </c>
      <c r="AB23" s="33">
        <v>101.08165668005201</v>
      </c>
      <c r="AC23" s="33">
        <v>101.031834329652</v>
      </c>
      <c r="AD23" s="33">
        <v>101.036510509441</v>
      </c>
      <c r="AE23" s="15">
        <v>2.06356254579786E-4</v>
      </c>
      <c r="AF23" s="15">
        <v>-2.86657360290474E-4</v>
      </c>
      <c r="AG23" s="15">
        <v>-2.4037420996689E-4</v>
      </c>
      <c r="AI23" s="12"/>
      <c r="AJ23">
        <f t="shared" si="6"/>
        <v>0</v>
      </c>
      <c r="AK23">
        <f t="shared" si="7"/>
        <v>0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57.83</v>
      </c>
      <c r="C24" s="33">
        <v>100.9</v>
      </c>
      <c r="D24" s="15">
        <v>6.9192184044017E-4</v>
      </c>
      <c r="E24" s="15">
        <v>8.92370293713052E-4</v>
      </c>
      <c r="F24" s="33">
        <v>0</v>
      </c>
      <c r="G24" s="33">
        <v>0.13797699999999999</v>
      </c>
      <c r="H24" s="33">
        <v>0</v>
      </c>
      <c r="I24" s="33">
        <v>0.25080000000000002</v>
      </c>
      <c r="J24" s="33">
        <v>0.13797699999999999</v>
      </c>
      <c r="K24" s="33">
        <v>0.25080000000000002</v>
      </c>
      <c r="L24" s="33">
        <v>57.967976999999998</v>
      </c>
      <c r="M24" s="33">
        <v>101.1508</v>
      </c>
      <c r="N24" s="34">
        <v>1.7447691509597001</v>
      </c>
      <c r="O24" s="34">
        <v>1.74415850230319</v>
      </c>
      <c r="P24" s="34">
        <v>1.7439831429599999</v>
      </c>
      <c r="Q24" s="34">
        <v>1.7442114170931999</v>
      </c>
      <c r="R24" s="33">
        <v>100.86468618819301</v>
      </c>
      <c r="S24" s="33">
        <v>100.846749104745</v>
      </c>
      <c r="T24" s="33">
        <v>100.86505655942</v>
      </c>
      <c r="U24" s="15">
        <v>-3.50049484217656E-4</v>
      </c>
      <c r="V24" s="15">
        <v>-5.2789843432464695E-4</v>
      </c>
      <c r="W24" s="15">
        <v>-3.4637752963505498E-4</v>
      </c>
      <c r="X24" s="34">
        <v>1.74494272932795</v>
      </c>
      <c r="Y24" s="34">
        <v>1.74495402592864</v>
      </c>
      <c r="Z24" s="34">
        <v>1.74403537873897</v>
      </c>
      <c r="AA24" s="34">
        <v>1.74423753498268</v>
      </c>
      <c r="AB24" s="33">
        <v>101.15145484108901</v>
      </c>
      <c r="AC24" s="33">
        <v>101.089381869953</v>
      </c>
      <c r="AD24" s="33">
        <v>101.106722102638</v>
      </c>
      <c r="AE24" s="15">
        <v>6.4738881895510299E-6</v>
      </c>
      <c r="AF24" s="15">
        <v>-6.0737813195225999E-4</v>
      </c>
      <c r="AG24" s="15">
        <v>-4.3585917202536599E-4</v>
      </c>
      <c r="AI24" s="12"/>
      <c r="AJ24">
        <f t="shared" si="6"/>
        <v>0</v>
      </c>
      <c r="AK24">
        <f t="shared" si="7"/>
        <v>0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57.92</v>
      </c>
      <c r="C25" s="33">
        <v>101.04</v>
      </c>
      <c r="D25" s="15">
        <v>1.55507590733408E-3</v>
      </c>
      <c r="E25" s="15">
        <v>1.3865506826723499E-3</v>
      </c>
      <c r="F25" s="33">
        <v>0</v>
      </c>
      <c r="G25" s="33">
        <v>0.13797699999999999</v>
      </c>
      <c r="H25" s="33">
        <v>0</v>
      </c>
      <c r="I25" s="33">
        <v>0.25080000000000002</v>
      </c>
      <c r="J25" s="33">
        <v>0.13797699999999999</v>
      </c>
      <c r="K25" s="33">
        <v>0.25080000000000002</v>
      </c>
      <c r="L25" s="33">
        <v>58.057977000000001</v>
      </c>
      <c r="M25" s="33">
        <v>101.2908</v>
      </c>
      <c r="N25" s="34">
        <v>1.74447513812154</v>
      </c>
      <c r="O25" s="34">
        <v>1.74415850230319</v>
      </c>
      <c r="P25" s="34">
        <v>1.7441320769314901</v>
      </c>
      <c r="Q25" s="34">
        <v>1.7442210367851401</v>
      </c>
      <c r="R25" s="33">
        <v>101.021660453401</v>
      </c>
      <c r="S25" s="33">
        <v>101.01150364024301</v>
      </c>
      <c r="T25" s="33">
        <v>101.02472527803801</v>
      </c>
      <c r="U25" s="15">
        <v>-1.8152425955600499E-4</v>
      </c>
      <c r="V25" s="15">
        <v>-2.82070258643321E-4</v>
      </c>
      <c r="W25" s="15">
        <v>-1.51186427712282E-4</v>
      </c>
      <c r="X25" s="34">
        <v>1.7446491461457501</v>
      </c>
      <c r="Y25" s="34">
        <v>1.74495402592864</v>
      </c>
      <c r="Z25" s="34">
        <v>1.74420171351288</v>
      </c>
      <c r="AA25" s="34">
        <v>1.74425585507583</v>
      </c>
      <c r="AB25" s="33">
        <v>101.308500703422</v>
      </c>
      <c r="AC25" s="33">
        <v>101.255165906013</v>
      </c>
      <c r="AD25" s="33">
        <v>101.266902688561</v>
      </c>
      <c r="AE25" s="15">
        <v>1.7473607664309E-4</v>
      </c>
      <c r="AF25" s="15">
        <v>-3.51861802774735E-4</v>
      </c>
      <c r="AG25" s="15">
        <v>-2.3595559420469699E-4</v>
      </c>
      <c r="AI25" s="12"/>
      <c r="AJ25">
        <f t="shared" si="6"/>
        <v>0</v>
      </c>
      <c r="AK25">
        <f t="shared" si="7"/>
        <v>0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57.93</v>
      </c>
      <c r="C26" s="33">
        <v>101.03</v>
      </c>
      <c r="D26" s="15">
        <v>1.7263703107170999E-4</v>
      </c>
      <c r="E26" s="15">
        <v>-9.8975602594825296E-5</v>
      </c>
      <c r="F26" s="33">
        <v>0</v>
      </c>
      <c r="G26" s="33">
        <v>0.13797699999999999</v>
      </c>
      <c r="H26" s="33">
        <v>0</v>
      </c>
      <c r="I26" s="33">
        <v>0.25080000000000002</v>
      </c>
      <c r="J26" s="33">
        <v>0.13797699999999999</v>
      </c>
      <c r="K26" s="33">
        <v>0.25080000000000002</v>
      </c>
      <c r="L26" s="33">
        <v>58.067976999999999</v>
      </c>
      <c r="M26" s="33">
        <v>101.2808</v>
      </c>
      <c r="N26" s="34">
        <v>1.74400138097704</v>
      </c>
      <c r="O26" s="34">
        <v>1.74415850230319</v>
      </c>
      <c r="P26" s="34">
        <v>1.7441989971559699</v>
      </c>
      <c r="Q26" s="34">
        <v>1.7441702824677201</v>
      </c>
      <c r="R26" s="33">
        <v>101.03910203842401</v>
      </c>
      <c r="S26" s="33">
        <v>101.037571216641</v>
      </c>
      <c r="T26" s="33">
        <v>101.042724660963</v>
      </c>
      <c r="U26" s="15">
        <v>9.0088374110833602E-5</v>
      </c>
      <c r="V26" s="15">
        <v>7.4937473631719894E-5</v>
      </c>
      <c r="W26" s="15">
        <v>1.2594140056819601E-4</v>
      </c>
      <c r="X26" s="34">
        <v>1.7441764847430401</v>
      </c>
      <c r="Y26" s="34">
        <v>1.74495402592864</v>
      </c>
      <c r="Z26" s="34">
        <v>1.7442861441139601</v>
      </c>
      <c r="AA26" s="34">
        <v>1.74421385594672</v>
      </c>
      <c r="AB26" s="33">
        <v>101.325950243682</v>
      </c>
      <c r="AC26" s="33">
        <v>101.28226498362601</v>
      </c>
      <c r="AD26" s="33">
        <v>101.285408874659</v>
      </c>
      <c r="AE26" s="15">
        <v>4.4569338756121602E-4</v>
      </c>
      <c r="AF26" s="15">
        <v>1.4464469390729501E-5</v>
      </c>
      <c r="AG26" s="15">
        <v>4.5504871572488697E-5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0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57.96</v>
      </c>
      <c r="C27" s="33">
        <v>101.09</v>
      </c>
      <c r="D27" s="15">
        <v>5.1773234394885E-4</v>
      </c>
      <c r="E27" s="15">
        <v>5.9370672632536405E-4</v>
      </c>
      <c r="F27" s="33">
        <v>0</v>
      </c>
      <c r="G27" s="33">
        <v>0.13797699999999999</v>
      </c>
      <c r="H27" s="33">
        <v>0</v>
      </c>
      <c r="I27" s="33">
        <v>0.25080000000000002</v>
      </c>
      <c r="J27" s="33">
        <v>0.13797699999999999</v>
      </c>
      <c r="K27" s="33">
        <v>0.25080000000000002</v>
      </c>
      <c r="L27" s="33">
        <v>58.097977</v>
      </c>
      <c r="M27" s="33">
        <v>101.3408</v>
      </c>
      <c r="N27" s="34">
        <v>1.74413388543823</v>
      </c>
      <c r="O27" s="34">
        <v>1.74415850230319</v>
      </c>
      <c r="P27" s="34">
        <v>1.7442742649176499</v>
      </c>
      <c r="Q27" s="34">
        <v>1.7442360975426801</v>
      </c>
      <c r="R27" s="33">
        <v>101.091426793493</v>
      </c>
      <c r="S27" s="33">
        <v>101.09377387516</v>
      </c>
      <c r="T27" s="33">
        <v>101.092109571829</v>
      </c>
      <c r="U27" s="15">
        <v>1.4113991734153099E-5</v>
      </c>
      <c r="V27" s="15">
        <v>3.7331137788930601E-5</v>
      </c>
      <c r="W27" s="15">
        <v>2.0868036584246301E-5</v>
      </c>
      <c r="X27" s="34">
        <v>1.74430858410095</v>
      </c>
      <c r="Y27" s="34">
        <v>1.74495402592864</v>
      </c>
      <c r="Z27" s="34">
        <v>1.7443788817419099</v>
      </c>
      <c r="AA27" s="34">
        <v>1.7442884059548101</v>
      </c>
      <c r="AB27" s="33">
        <v>101.378298864459</v>
      </c>
      <c r="AC27" s="33">
        <v>101.339496282151</v>
      </c>
      <c r="AD27" s="33">
        <v>101.335296485874</v>
      </c>
      <c r="AE27" s="15">
        <v>3.6995887509016302E-4</v>
      </c>
      <c r="AF27" s="15">
        <v>-1.28647714885527E-5</v>
      </c>
      <c r="AG27" s="15">
        <v>-5.4308467774748897E-5</v>
      </c>
      <c r="AI27" s="12"/>
      <c r="AJ27">
        <f t="shared" si="6"/>
        <v>0</v>
      </c>
      <c r="AK27">
        <f t="shared" si="7"/>
        <v>0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58.05</v>
      </c>
      <c r="C28" s="33">
        <v>101.16</v>
      </c>
      <c r="D28" s="15">
        <v>1.55159069141885E-3</v>
      </c>
      <c r="E28" s="15">
        <v>6.9221263579799497E-4</v>
      </c>
      <c r="F28" s="33">
        <v>0</v>
      </c>
      <c r="G28" s="33">
        <v>0.13797699999999999</v>
      </c>
      <c r="H28" s="33">
        <v>0</v>
      </c>
      <c r="I28" s="33">
        <v>0.25080000000000002</v>
      </c>
      <c r="J28" s="33">
        <v>0.13797699999999999</v>
      </c>
      <c r="K28" s="33">
        <v>0.25080000000000002</v>
      </c>
      <c r="L28" s="33">
        <v>58.187976999999997</v>
      </c>
      <c r="M28" s="33">
        <v>101.41079999999999</v>
      </c>
      <c r="N28" s="34">
        <v>1.7426356589147201</v>
      </c>
      <c r="O28" s="34">
        <v>1.74415850230319</v>
      </c>
      <c r="P28" s="34">
        <v>1.74410030917534</v>
      </c>
      <c r="Q28" s="34">
        <v>1.7441404661582001</v>
      </c>
      <c r="R28" s="33">
        <v>101.2484010587</v>
      </c>
      <c r="S28" s="33">
        <v>101.255121078469</v>
      </c>
      <c r="T28" s="33">
        <v>101.252905462352</v>
      </c>
      <c r="U28" s="15">
        <v>8.7349204735499202E-4</v>
      </c>
      <c r="V28" s="15">
        <v>9.3986145862047998E-4</v>
      </c>
      <c r="W28" s="15">
        <v>9.1797969763744497E-4</v>
      </c>
      <c r="X28" s="34">
        <v>1.74281364000676</v>
      </c>
      <c r="Y28" s="34">
        <v>1.74495402592864</v>
      </c>
      <c r="Z28" s="34">
        <v>1.7442227241088</v>
      </c>
      <c r="AA28" s="34">
        <v>1.7442016736249299</v>
      </c>
      <c r="AB28" s="33">
        <v>101.535344726793</v>
      </c>
      <c r="AC28" s="33">
        <v>101.501878250084</v>
      </c>
      <c r="AD28" s="33">
        <v>101.496613647065</v>
      </c>
      <c r="AE28" s="15">
        <v>1.2273674141084099E-3</v>
      </c>
      <c r="AF28" s="15">
        <v>8.9770887641120803E-4</v>
      </c>
      <c r="AG28" s="15">
        <v>8.4584048102868395E-4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0</v>
      </c>
      <c r="AV28">
        <f t="shared" si="11"/>
        <v>0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58</v>
      </c>
      <c r="C29" s="33">
        <v>101.11</v>
      </c>
      <c r="D29" s="15">
        <v>-8.6169759748111897E-4</v>
      </c>
      <c r="E29" s="15">
        <v>-4.9438869845667998E-4</v>
      </c>
      <c r="F29" s="33">
        <v>0</v>
      </c>
      <c r="G29" s="33">
        <v>0.13797699999999999</v>
      </c>
      <c r="H29" s="33">
        <v>0</v>
      </c>
      <c r="I29" s="33">
        <v>0.25080000000000002</v>
      </c>
      <c r="J29" s="33">
        <v>0.13797699999999999</v>
      </c>
      <c r="K29" s="33">
        <v>0.25080000000000002</v>
      </c>
      <c r="L29" s="33">
        <v>58.137976999999999</v>
      </c>
      <c r="M29" s="33">
        <v>101.3608</v>
      </c>
      <c r="N29" s="34">
        <v>1.7432758620689599</v>
      </c>
      <c r="O29" s="34">
        <v>1.74415850230319</v>
      </c>
      <c r="P29" s="34">
        <v>1.74398998462471</v>
      </c>
      <c r="Q29" s="34">
        <v>1.74407463475914</v>
      </c>
      <c r="R29" s="33">
        <v>101.161193133585</v>
      </c>
      <c r="S29" s="33">
        <v>101.157817932169</v>
      </c>
      <c r="T29" s="33">
        <v>101.16014703717499</v>
      </c>
      <c r="U29" s="15">
        <v>5.0618314833055097E-4</v>
      </c>
      <c r="V29" s="15">
        <v>4.7281800485706799E-4</v>
      </c>
      <c r="W29" s="15">
        <v>4.9584220843098702E-4</v>
      </c>
      <c r="X29" s="34">
        <v>1.74345247685518</v>
      </c>
      <c r="Y29" s="34">
        <v>1.74495402592864</v>
      </c>
      <c r="Z29" s="34">
        <v>1.7441300610368</v>
      </c>
      <c r="AA29" s="34">
        <v>1.7441446729651799</v>
      </c>
      <c r="AB29" s="33">
        <v>101.44809702549701</v>
      </c>
      <c r="AC29" s="33">
        <v>101.40558061711501</v>
      </c>
      <c r="AD29" s="33">
        <v>101.40435678456799</v>
      </c>
      <c r="AE29" s="15">
        <v>8.6087969678641605E-4</v>
      </c>
      <c r="AF29" s="15">
        <v>4.4169667286032198E-4</v>
      </c>
      <c r="AG29" s="15">
        <v>4.2962790973305101E-4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0</v>
      </c>
      <c r="AV29">
        <f t="shared" si="11"/>
        <v>0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0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58.11</v>
      </c>
      <c r="C30" s="33">
        <v>101.29</v>
      </c>
      <c r="D30" s="15">
        <v>1.8947555405947601E-3</v>
      </c>
      <c r="E30" s="15">
        <v>1.7786565953981199E-3</v>
      </c>
      <c r="F30" s="33">
        <v>0</v>
      </c>
      <c r="G30" s="33">
        <v>0.13797699999999999</v>
      </c>
      <c r="H30" s="33">
        <v>0</v>
      </c>
      <c r="I30" s="33">
        <v>0.25080000000000002</v>
      </c>
      <c r="J30" s="33">
        <v>0.13797699999999999</v>
      </c>
      <c r="K30" s="33">
        <v>0.25080000000000002</v>
      </c>
      <c r="L30" s="33">
        <v>58.247976999999999</v>
      </c>
      <c r="M30" s="33">
        <v>101.5408</v>
      </c>
      <c r="N30" s="34">
        <v>1.74307348132851</v>
      </c>
      <c r="O30" s="34">
        <v>1.74415850230319</v>
      </c>
      <c r="P30" s="34">
        <v>1.7439068779763101</v>
      </c>
      <c r="Q30" s="34">
        <v>1.74397255921464</v>
      </c>
      <c r="R30" s="33">
        <v>101.353050568838</v>
      </c>
      <c r="S30" s="33">
        <v>101.343258006542</v>
      </c>
      <c r="T30" s="33">
        <v>101.348177025853</v>
      </c>
      <c r="U30" s="15">
        <v>6.2228209352700303E-4</v>
      </c>
      <c r="V30" s="15">
        <v>5.2565909754921398E-4</v>
      </c>
      <c r="W30" s="15">
        <v>5.7419611946881398E-4</v>
      </c>
      <c r="X30" s="34">
        <v>1.74325024197836</v>
      </c>
      <c r="Y30" s="34">
        <v>1.74495402592864</v>
      </c>
      <c r="Z30" s="34">
        <v>1.74406463045338</v>
      </c>
      <c r="AA30" s="34">
        <v>1.74405143545317</v>
      </c>
      <c r="AB30" s="33">
        <v>101.640041968349</v>
      </c>
      <c r="AC30" s="33">
        <v>101.59204768028</v>
      </c>
      <c r="AD30" s="33">
        <v>101.592898795548</v>
      </c>
      <c r="AE30" s="15">
        <v>9.7688320690059193E-4</v>
      </c>
      <c r="AF30" s="15">
        <v>5.0457306095784697E-4</v>
      </c>
      <c r="AG30" s="15">
        <v>5.1295080038392404E-4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0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0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58.16</v>
      </c>
      <c r="C31" s="33">
        <v>101.41</v>
      </c>
      <c r="D31" s="15">
        <v>8.6006713824963597E-4</v>
      </c>
      <c r="E31" s="15">
        <v>1.1840159251990999E-3</v>
      </c>
      <c r="F31" s="33">
        <v>0</v>
      </c>
      <c r="G31" s="33">
        <v>0.13797699999999999</v>
      </c>
      <c r="H31" s="33">
        <v>0</v>
      </c>
      <c r="I31" s="33">
        <v>0.25080000000000002</v>
      </c>
      <c r="J31" s="33">
        <v>0.13797699999999999</v>
      </c>
      <c r="K31" s="33">
        <v>0.25080000000000002</v>
      </c>
      <c r="L31" s="33">
        <v>58.297976999999896</v>
      </c>
      <c r="M31" s="33">
        <v>101.66079999999999</v>
      </c>
      <c r="N31" s="34">
        <v>1.74363823933975</v>
      </c>
      <c r="O31" s="34">
        <v>1.74415850230319</v>
      </c>
      <c r="P31" s="34">
        <v>1.7439010991468999</v>
      </c>
      <c r="Q31" s="34">
        <v>1.74396767318612</v>
      </c>
      <c r="R31" s="33">
        <v>101.440258493953</v>
      </c>
      <c r="S31" s="33">
        <v>101.425624023102</v>
      </c>
      <c r="T31" s="33">
        <v>101.429444043923</v>
      </c>
      <c r="U31" s="15">
        <v>2.9833330657774601E-4</v>
      </c>
      <c r="V31" s="15">
        <v>1.54056006763954E-4</v>
      </c>
      <c r="W31" s="15">
        <v>1.91718569085074E-4</v>
      </c>
      <c r="X31" s="34">
        <v>1.74381351174501</v>
      </c>
      <c r="Y31" s="34">
        <v>1.74495402592864</v>
      </c>
      <c r="Z31" s="34">
        <v>1.74407637886449</v>
      </c>
      <c r="AA31" s="34">
        <v>1.7440553130449199</v>
      </c>
      <c r="AB31" s="33">
        <v>101.727289669645</v>
      </c>
      <c r="AC31" s="33">
        <v>101.675439712684</v>
      </c>
      <c r="AD31" s="33">
        <v>101.674670470866</v>
      </c>
      <c r="AE31" s="15">
        <v>6.5382070427227705E-4</v>
      </c>
      <c r="AF31" s="15">
        <v>1.4399511597967899E-4</v>
      </c>
      <c r="AG31" s="15">
        <v>1.36429427248027E-4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0</v>
      </c>
      <c r="AV31">
        <f t="shared" si="11"/>
        <v>0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0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58.18</v>
      </c>
      <c r="C32" s="33">
        <v>101.47</v>
      </c>
      <c r="D32" s="15">
        <v>3.4381984179163698E-4</v>
      </c>
      <c r="E32" s="15">
        <v>5.9148266708657299E-4</v>
      </c>
      <c r="F32" s="33">
        <v>0</v>
      </c>
      <c r="G32" s="33">
        <v>0.13797699999999999</v>
      </c>
      <c r="H32" s="33">
        <v>0</v>
      </c>
      <c r="I32" s="33">
        <v>0.25080000000000002</v>
      </c>
      <c r="J32" s="33">
        <v>0.13797699999999999</v>
      </c>
      <c r="K32" s="33">
        <v>0.25080000000000002</v>
      </c>
      <c r="L32" s="33">
        <v>58.317976999999999</v>
      </c>
      <c r="M32" s="33">
        <v>101.7208</v>
      </c>
      <c r="N32" s="34">
        <v>1.74407012719147</v>
      </c>
      <c r="O32" s="34">
        <v>1.74415850230319</v>
      </c>
      <c r="P32" s="34">
        <v>1.7438492374071699</v>
      </c>
      <c r="Q32" s="34">
        <v>1.7439628822250299</v>
      </c>
      <c r="R32" s="33">
        <v>101.475141663999</v>
      </c>
      <c r="S32" s="33">
        <v>101.460165948366</v>
      </c>
      <c r="T32" s="33">
        <v>101.46403922596799</v>
      </c>
      <c r="U32" s="15">
        <v>5.0670481282947402E-5</v>
      </c>
      <c r="V32" s="15">
        <v>-9.6920549933512804E-5</v>
      </c>
      <c r="W32" s="15">
        <v>-5.8745926074633402E-5</v>
      </c>
      <c r="X32" s="34">
        <v>1.74424431766554</v>
      </c>
      <c r="Y32" s="34">
        <v>1.74495402592864</v>
      </c>
      <c r="Z32" s="34">
        <v>1.7440245113470001</v>
      </c>
      <c r="AA32" s="34">
        <v>1.7440592316075301</v>
      </c>
      <c r="AB32" s="33">
        <v>101.762188750164</v>
      </c>
      <c r="AC32" s="33">
        <v>101.71100614886301</v>
      </c>
      <c r="AD32" s="33">
        <v>101.709777632881</v>
      </c>
      <c r="AE32" s="15">
        <v>4.0680305502883702E-4</v>
      </c>
      <c r="AF32" s="15">
        <v>-9.6286331324357699E-5</v>
      </c>
      <c r="AG32" s="15">
        <v>-1.0836490027801701E-4</v>
      </c>
      <c r="AI32" s="12"/>
      <c r="AJ32">
        <f t="shared" si="6"/>
        <v>0</v>
      </c>
      <c r="AK32">
        <f t="shared" si="7"/>
        <v>0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0</v>
      </c>
      <c r="BF32" s="29">
        <f t="shared" si="23"/>
        <v>0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58.16</v>
      </c>
      <c r="C33" s="33">
        <v>101.47</v>
      </c>
      <c r="D33" s="15">
        <v>-3.4381984179173499E-4</v>
      </c>
      <c r="E33" s="15">
        <v>0</v>
      </c>
      <c r="F33" s="33">
        <v>0</v>
      </c>
      <c r="G33" s="33">
        <v>0.13797699999999999</v>
      </c>
      <c r="H33" s="33">
        <v>0</v>
      </c>
      <c r="I33" s="33">
        <v>0.25080000000000002</v>
      </c>
      <c r="J33" s="33">
        <v>0.13797699999999999</v>
      </c>
      <c r="K33" s="33">
        <v>0.25080000000000002</v>
      </c>
      <c r="L33" s="33">
        <v>58.297976999999896</v>
      </c>
      <c r="M33" s="33">
        <v>101.7208</v>
      </c>
      <c r="N33" s="34">
        <v>1.7446698762035699</v>
      </c>
      <c r="O33" s="34">
        <v>1.74415850230319</v>
      </c>
      <c r="P33" s="34">
        <v>1.7438742800543501</v>
      </c>
      <c r="Q33" s="34">
        <v>1.74386130659077</v>
      </c>
      <c r="R33" s="33">
        <v>101.440258493953</v>
      </c>
      <c r="S33" s="33">
        <v>101.42227164760099</v>
      </c>
      <c r="T33" s="33">
        <v>101.42888123020801</v>
      </c>
      <c r="U33" s="15">
        <v>-2.93149360508701E-4</v>
      </c>
      <c r="V33" s="15">
        <v>-4.70479756488515E-4</v>
      </c>
      <c r="W33" s="15">
        <v>-4.0531293327405901E-4</v>
      </c>
      <c r="X33" s="34">
        <v>1.74484270697763</v>
      </c>
      <c r="Y33" s="34">
        <v>1.74495402592864</v>
      </c>
      <c r="Z33" s="34">
        <v>1.7440493839546201</v>
      </c>
      <c r="AA33" s="34">
        <v>1.7439662975119701</v>
      </c>
      <c r="AB33" s="33">
        <v>101.727289669645</v>
      </c>
      <c r="AC33" s="33">
        <v>101.67310084994401</v>
      </c>
      <c r="AD33" s="33">
        <v>101.675124970894</v>
      </c>
      <c r="AE33" s="15">
        <v>6.3796810855749295E-5</v>
      </c>
      <c r="AF33" s="15">
        <v>-4.6903226430114198E-4</v>
      </c>
      <c r="AG33" s="15">
        <v>-4.4912433599922298E-4</v>
      </c>
      <c r="AI33" s="12"/>
      <c r="AJ33">
        <f t="shared" si="6"/>
        <v>0</v>
      </c>
      <c r="AK33">
        <f t="shared" si="7"/>
        <v>0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0</v>
      </c>
      <c r="BF33" s="29">
        <f t="shared" si="23"/>
        <v>0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58.18</v>
      </c>
      <c r="C34" s="33">
        <v>101.46</v>
      </c>
      <c r="D34" s="15">
        <v>3.4381984179163698E-4</v>
      </c>
      <c r="E34" s="15">
        <v>-9.8556152447645798E-5</v>
      </c>
      <c r="F34" s="33">
        <v>0</v>
      </c>
      <c r="G34" s="33">
        <v>0.13797699999999999</v>
      </c>
      <c r="H34" s="33">
        <v>0</v>
      </c>
      <c r="I34" s="33">
        <v>0.25080000000000002</v>
      </c>
      <c r="J34" s="33">
        <v>0.13797699999999999</v>
      </c>
      <c r="K34" s="33">
        <v>0.25080000000000002</v>
      </c>
      <c r="L34" s="33">
        <v>58.317976999999999</v>
      </c>
      <c r="M34" s="33">
        <v>101.710799999999</v>
      </c>
      <c r="N34" s="34">
        <v>1.74389824682021</v>
      </c>
      <c r="O34" s="34">
        <v>1.74415850230319</v>
      </c>
      <c r="P34" s="34">
        <v>1.7437871896404</v>
      </c>
      <c r="Q34" s="34">
        <v>1.7438851663002</v>
      </c>
      <c r="R34" s="33">
        <v>101.475141663999</v>
      </c>
      <c r="S34" s="33">
        <v>101.458605613562</v>
      </c>
      <c r="T34" s="33">
        <v>101.457850817451</v>
      </c>
      <c r="U34" s="15">
        <v>1.4922663373058599E-4</v>
      </c>
      <c r="V34" s="15">
        <v>-1.37433078989723E-5</v>
      </c>
      <c r="W34" s="15">
        <v>-2.1182784464449699E-5</v>
      </c>
      <c r="X34" s="34">
        <v>1.7440728439534099</v>
      </c>
      <c r="Y34" s="34">
        <v>1.74495402592864</v>
      </c>
      <c r="Z34" s="34">
        <v>1.7439623954171599</v>
      </c>
      <c r="AA34" s="34">
        <v>1.7439988870780601</v>
      </c>
      <c r="AB34" s="33">
        <v>101.762188750164</v>
      </c>
      <c r="AC34" s="33">
        <v>101.709431860329</v>
      </c>
      <c r="AD34" s="33">
        <v>101.704586427078</v>
      </c>
      <c r="AE34" s="15">
        <v>5.05116198198936E-4</v>
      </c>
      <c r="AF34" s="15">
        <v>-1.3451362803605399E-5</v>
      </c>
      <c r="AG34" s="15">
        <v>-6.1092457482223806E-5</v>
      </c>
      <c r="AI34" s="12"/>
      <c r="AJ34">
        <f t="shared" si="6"/>
        <v>0</v>
      </c>
      <c r="AK34">
        <f t="shared" si="7"/>
        <v>0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0</v>
      </c>
      <c r="BF34" s="29">
        <f t="shared" si="23"/>
        <v>0</v>
      </c>
      <c r="BH34" s="29"/>
    </row>
    <row r="35" spans="1:124" x14ac:dyDescent="0.25">
      <c r="A35" s="1">
        <v>46073</v>
      </c>
      <c r="B35" s="33">
        <v>58.22</v>
      </c>
      <c r="C35" s="33">
        <v>101.55</v>
      </c>
      <c r="D35" s="15">
        <v>6.8728525042154498E-4</v>
      </c>
      <c r="E35" s="15">
        <v>8.8665588784969803E-4</v>
      </c>
      <c r="F35" s="33">
        <v>0</v>
      </c>
      <c r="G35" s="33">
        <v>0.13797699999999999</v>
      </c>
      <c r="H35" s="33">
        <v>0</v>
      </c>
      <c r="I35" s="33">
        <v>0.25080000000000002</v>
      </c>
      <c r="J35" s="33">
        <v>0.13797699999999999</v>
      </c>
      <c r="K35" s="33">
        <v>0.25080000000000002</v>
      </c>
      <c r="L35" s="33">
        <v>58.357976999999998</v>
      </c>
      <c r="M35" s="33">
        <v>101.8008</v>
      </c>
      <c r="N35" s="34">
        <v>1.7442459635863901</v>
      </c>
      <c r="O35" s="34">
        <v>1.74415850230319</v>
      </c>
      <c r="P35" s="34">
        <v>1.74376427218688</v>
      </c>
      <c r="Q35" s="34">
        <v>1.74394817455919</v>
      </c>
      <c r="R35" s="33">
        <v>101.54490800409199</v>
      </c>
      <c r="S35" s="33">
        <v>101.523290180864</v>
      </c>
      <c r="T35" s="33">
        <v>101.52899438199699</v>
      </c>
      <c r="U35" s="15">
        <v>-5.0144003697703601E-5</v>
      </c>
      <c r="V35" s="15">
        <v>-2.63055956456589E-4</v>
      </c>
      <c r="W35" s="15">
        <v>-2.0687140135747001E-4</v>
      </c>
      <c r="X35" s="34">
        <v>1.7444196189323</v>
      </c>
      <c r="Y35" s="34">
        <v>1.74495402592864</v>
      </c>
      <c r="Z35" s="34">
        <v>1.7439394426958199</v>
      </c>
      <c r="AA35" s="34">
        <v>1.74407057810435</v>
      </c>
      <c r="AB35" s="33">
        <v>101.831986911201</v>
      </c>
      <c r="AC35" s="33">
        <v>101.77411736062</v>
      </c>
      <c r="AD35" s="33">
        <v>101.776246940127</v>
      </c>
      <c r="AE35" s="15">
        <v>3.0630540315475198E-4</v>
      </c>
      <c r="AF35" s="15">
        <v>-2.62140737952292E-4</v>
      </c>
      <c r="AG35" s="15">
        <v>-2.41216388198163E-4</v>
      </c>
      <c r="AI35" s="12"/>
      <c r="AJ35">
        <f t="shared" si="6"/>
        <v>0</v>
      </c>
      <c r="AK35">
        <f t="shared" si="7"/>
        <v>0</v>
      </c>
      <c r="AL35">
        <f t="shared" si="14"/>
        <v>0</v>
      </c>
      <c r="AM35">
        <f t="shared" si="4"/>
        <v>1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0</v>
      </c>
      <c r="BF35" s="29">
        <f t="shared" si="23"/>
        <v>0</v>
      </c>
      <c r="BH35" s="29"/>
    </row>
    <row r="36" spans="1:124" x14ac:dyDescent="0.25">
      <c r="A36" s="1">
        <v>46076</v>
      </c>
      <c r="B36" s="33">
        <v>58.24</v>
      </c>
      <c r="C36" s="33">
        <v>101.62</v>
      </c>
      <c r="D36" s="15">
        <v>3.43465570953438E-4</v>
      </c>
      <c r="E36" s="15">
        <v>6.8907813919225102E-4</v>
      </c>
      <c r="F36" s="33">
        <v>0</v>
      </c>
      <c r="G36" s="33">
        <v>0.13797699999999999</v>
      </c>
      <c r="H36" s="33">
        <v>0</v>
      </c>
      <c r="I36" s="33">
        <v>0.25080000000000002</v>
      </c>
      <c r="J36" s="33">
        <v>0.13797699999999999</v>
      </c>
      <c r="K36" s="33">
        <v>0.25080000000000002</v>
      </c>
      <c r="L36" s="33">
        <v>58.377977000000001</v>
      </c>
      <c r="M36" s="33">
        <v>101.8708</v>
      </c>
      <c r="N36" s="34">
        <v>1.7448489010988999</v>
      </c>
      <c r="O36" s="34">
        <v>1.74415850230319</v>
      </c>
      <c r="P36" s="34">
        <v>1.7438490241990701</v>
      </c>
      <c r="Q36" s="34">
        <v>1.74402401067752</v>
      </c>
      <c r="R36" s="33">
        <v>101.57979117413799</v>
      </c>
      <c r="S36" s="33">
        <v>101.556831212164</v>
      </c>
      <c r="T36" s="33">
        <v>101.567541686327</v>
      </c>
      <c r="U36" s="15">
        <v>-3.9575657193649299E-4</v>
      </c>
      <c r="V36" s="15">
        <v>-6.2181095643650301E-4</v>
      </c>
      <c r="W36" s="15">
        <v>-5.1635365439103604E-4</v>
      </c>
      <c r="X36" s="34">
        <v>1.74502107190182</v>
      </c>
      <c r="Y36" s="34">
        <v>1.74495402592864</v>
      </c>
      <c r="Z36" s="34">
        <v>1.7440239014117001</v>
      </c>
      <c r="AA36" s="34">
        <v>1.74415502276283</v>
      </c>
      <c r="AB36" s="33">
        <v>101.866885991719</v>
      </c>
      <c r="AC36" s="33">
        <v>101.80765667508901</v>
      </c>
      <c r="AD36" s="33">
        <v>101.81531209495201</v>
      </c>
      <c r="AE36" s="15">
        <v>-3.8422035290296699E-5</v>
      </c>
      <c r="AF36" s="15">
        <v>-6.2002951086775296E-4</v>
      </c>
      <c r="AG36" s="15">
        <v>-5.4483740545047002E-4</v>
      </c>
      <c r="AI36" s="12"/>
      <c r="AJ36">
        <f t="shared" si="6"/>
        <v>0</v>
      </c>
      <c r="AK36">
        <f t="shared" si="7"/>
        <v>0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0</v>
      </c>
      <c r="BH36" s="29"/>
    </row>
    <row r="37" spans="1:124" x14ac:dyDescent="0.25">
      <c r="A37" s="1">
        <v>46077</v>
      </c>
      <c r="B37" s="33">
        <v>58.28</v>
      </c>
      <c r="C37" s="33">
        <v>101.7</v>
      </c>
      <c r="D37" s="15">
        <v>6.8657743857355102E-4</v>
      </c>
      <c r="E37" s="15">
        <v>7.8693688892837504E-4</v>
      </c>
      <c r="F37" s="33">
        <v>0</v>
      </c>
      <c r="G37" s="33">
        <v>0.13797699999999999</v>
      </c>
      <c r="H37" s="33">
        <v>0</v>
      </c>
      <c r="I37" s="33">
        <v>0.25080000000000002</v>
      </c>
      <c r="J37" s="33">
        <v>0.13797699999999999</v>
      </c>
      <c r="K37" s="33">
        <v>0.25080000000000002</v>
      </c>
      <c r="L37" s="33">
        <v>58.417977</v>
      </c>
      <c r="M37" s="33">
        <v>101.9508</v>
      </c>
      <c r="N37" s="34">
        <v>1.74502402196293</v>
      </c>
      <c r="O37" s="34">
        <v>1.74415850230319</v>
      </c>
      <c r="P37" s="34">
        <v>1.7439380378515399</v>
      </c>
      <c r="Q37" s="34">
        <v>1.7441061513845999</v>
      </c>
      <c r="R37" s="33">
        <v>101.64955751423</v>
      </c>
      <c r="S37" s="33">
        <v>101.631521130322</v>
      </c>
      <c r="T37" s="33">
        <v>101.641719342286</v>
      </c>
      <c r="U37" s="15">
        <v>-4.9611602229129197E-4</v>
      </c>
      <c r="V37" s="15">
        <v>-6.7356868119851105E-4</v>
      </c>
      <c r="W37" s="15">
        <v>-5.7322874517149402E-4</v>
      </c>
      <c r="X37" s="34">
        <v>1.74519566126023</v>
      </c>
      <c r="Y37" s="34">
        <v>1.74495402592864</v>
      </c>
      <c r="Z37" s="34">
        <v>1.74411260912762</v>
      </c>
      <c r="AA37" s="34">
        <v>1.74424574543477</v>
      </c>
      <c r="AB37" s="33">
        <v>101.936684152757</v>
      </c>
      <c r="AC37" s="33">
        <v>101.88234816011899</v>
      </c>
      <c r="AD37" s="33">
        <v>101.89000800419301</v>
      </c>
      <c r="AE37" s="15">
        <v>-1.3846703071689799E-4</v>
      </c>
      <c r="AF37" s="15">
        <v>-6.7164583456730796E-4</v>
      </c>
      <c r="AG37" s="15">
        <v>-5.9646543009729601E-4</v>
      </c>
      <c r="AI37" s="12"/>
      <c r="AJ37">
        <f t="shared" si="6"/>
        <v>0</v>
      </c>
      <c r="AK37">
        <f t="shared" si="7"/>
        <v>0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0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0</v>
      </c>
      <c r="BF37" s="29">
        <f t="shared" si="23"/>
        <v>0</v>
      </c>
      <c r="BH37" s="29"/>
    </row>
    <row r="38" spans="1:124" x14ac:dyDescent="0.25">
      <c r="A38" s="1">
        <v>46078</v>
      </c>
      <c r="B38" s="33">
        <v>58.33</v>
      </c>
      <c r="C38" s="33">
        <v>101.69</v>
      </c>
      <c r="D38" s="15">
        <v>8.5755943854211401E-4</v>
      </c>
      <c r="E38" s="15">
        <v>-9.8333251468190301E-5</v>
      </c>
      <c r="F38" s="33">
        <v>0</v>
      </c>
      <c r="G38" s="33">
        <v>0.13797699999999999</v>
      </c>
      <c r="H38" s="33">
        <v>0</v>
      </c>
      <c r="I38" s="33">
        <v>0.25080000000000002</v>
      </c>
      <c r="J38" s="33">
        <v>0.13797699999999999</v>
      </c>
      <c r="K38" s="33">
        <v>0.25080000000000002</v>
      </c>
      <c r="L38" s="33">
        <v>58.467976999999998</v>
      </c>
      <c r="M38" s="33">
        <v>101.9408</v>
      </c>
      <c r="N38" s="34">
        <v>1.74335676324361</v>
      </c>
      <c r="O38" s="34">
        <v>1.74415850230319</v>
      </c>
      <c r="P38" s="34">
        <v>1.7440101482844299</v>
      </c>
      <c r="Q38" s="34">
        <v>1.7440552287298801</v>
      </c>
      <c r="R38" s="33">
        <v>101.73676543934501</v>
      </c>
      <c r="S38" s="33">
        <v>101.72390574788</v>
      </c>
      <c r="T38" s="33">
        <v>101.733711810263</v>
      </c>
      <c r="U38" s="15">
        <v>4.59776667719083E-4</v>
      </c>
      <c r="V38" s="15">
        <v>3.3336706327968601E-4</v>
      </c>
      <c r="W38" s="15">
        <v>4.2976121660055397E-4</v>
      </c>
      <c r="X38" s="34">
        <v>1.7435321902791301</v>
      </c>
      <c r="Y38" s="34">
        <v>1.74495402592864</v>
      </c>
      <c r="Z38" s="34">
        <v>1.7441844641548601</v>
      </c>
      <c r="AA38" s="34">
        <v>1.7442035941318299</v>
      </c>
      <c r="AB38" s="33">
        <v>102.023931854053</v>
      </c>
      <c r="AC38" s="33">
        <v>101.974735915884</v>
      </c>
      <c r="AD38" s="33">
        <v>101.982520126428</v>
      </c>
      <c r="AE38" s="15">
        <v>8.1515914934046304E-4</v>
      </c>
      <c r="AF38" s="15">
        <v>3.32842870898054E-4</v>
      </c>
      <c r="AG38" s="15">
        <v>4.0917465431904398E-4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0</v>
      </c>
      <c r="AT38" s="12"/>
      <c r="AU38">
        <f t="shared" si="10"/>
        <v>0</v>
      </c>
      <c r="AV38">
        <f t="shared" si="11"/>
        <v>0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0</v>
      </c>
      <c r="BF38" s="29">
        <f t="shared" si="23"/>
        <v>0</v>
      </c>
      <c r="BH38" s="29"/>
    </row>
    <row r="39" spans="1:124" x14ac:dyDescent="0.25">
      <c r="A39" s="1">
        <v>46079</v>
      </c>
      <c r="B39" s="33">
        <v>58.37</v>
      </c>
      <c r="C39" s="33">
        <v>101.76</v>
      </c>
      <c r="D39" s="15">
        <v>6.8551845015338102E-4</v>
      </c>
      <c r="E39" s="15">
        <v>6.8812978876604195E-4</v>
      </c>
      <c r="F39" s="33">
        <v>0</v>
      </c>
      <c r="G39" s="33">
        <v>0.13797699999999999</v>
      </c>
      <c r="H39" s="33">
        <v>0</v>
      </c>
      <c r="I39" s="33">
        <v>0.25080000000000002</v>
      </c>
      <c r="J39" s="33">
        <v>0.13797699999999999</v>
      </c>
      <c r="K39" s="33">
        <v>0.25080000000000002</v>
      </c>
      <c r="L39" s="33">
        <v>58.507976999999997</v>
      </c>
      <c r="M39" s="33">
        <v>102.0108</v>
      </c>
      <c r="N39" s="34">
        <v>1.7433613157443799</v>
      </c>
      <c r="O39" s="34">
        <v>1.74415850230319</v>
      </c>
      <c r="P39" s="34">
        <v>1.7440186936519699</v>
      </c>
      <c r="Q39" s="34">
        <v>1.74400433913834</v>
      </c>
      <c r="R39" s="33">
        <v>101.80653177943699</v>
      </c>
      <c r="S39" s="33">
        <v>101.797872355362</v>
      </c>
      <c r="T39" s="33">
        <v>101.80050370096301</v>
      </c>
      <c r="U39" s="15">
        <v>4.5716532910647898E-4</v>
      </c>
      <c r="V39" s="15">
        <v>3.7210406417806E-4</v>
      </c>
      <c r="W39" s="15">
        <v>3.979524589666E-4</v>
      </c>
      <c r="X39" s="34">
        <v>1.7435366121101701</v>
      </c>
      <c r="Y39" s="34">
        <v>1.74495402592864</v>
      </c>
      <c r="Z39" s="34">
        <v>1.7441928776803599</v>
      </c>
      <c r="AA39" s="34">
        <v>1.7441614693585801</v>
      </c>
      <c r="AB39" s="33">
        <v>102.09373001509</v>
      </c>
      <c r="AC39" s="33">
        <v>102.04870451252999</v>
      </c>
      <c r="AD39" s="33">
        <v>102.04982376878201</v>
      </c>
      <c r="AE39" s="15">
        <v>8.1262301868668702E-4</v>
      </c>
      <c r="AF39" s="15">
        <v>3.7150450851743398E-4</v>
      </c>
      <c r="AG39" s="15">
        <v>3.8247231178471401E-4</v>
      </c>
      <c r="AI39" s="12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0</v>
      </c>
      <c r="AT39" s="12"/>
      <c r="AU39">
        <f t="shared" si="10"/>
        <v>0</v>
      </c>
      <c r="AV39">
        <f t="shared" si="11"/>
        <v>0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0</v>
      </c>
      <c r="BF39" s="29">
        <f t="shared" si="23"/>
        <v>0</v>
      </c>
      <c r="BH39" s="29"/>
    </row>
    <row r="40" spans="1:124" x14ac:dyDescent="0.25">
      <c r="A40" s="1">
        <v>46080</v>
      </c>
      <c r="B40" s="33">
        <v>58.41</v>
      </c>
      <c r="C40" s="33">
        <v>101.83</v>
      </c>
      <c r="D40" s="15">
        <v>6.85048836518421E-4</v>
      </c>
      <c r="E40" s="15">
        <v>6.8765659176191099E-4</v>
      </c>
      <c r="F40" s="33">
        <v>0</v>
      </c>
      <c r="G40" s="33">
        <v>0.13797699999999999</v>
      </c>
      <c r="H40" s="33">
        <v>0</v>
      </c>
      <c r="I40" s="33">
        <v>0.25080000000000002</v>
      </c>
      <c r="J40" s="33">
        <v>0.13797699999999999</v>
      </c>
      <c r="K40" s="33">
        <v>0.25080000000000002</v>
      </c>
      <c r="L40" s="33">
        <v>58.547976999999896</v>
      </c>
      <c r="M40" s="33">
        <v>102.0808</v>
      </c>
      <c r="N40" s="34">
        <v>1.7433658620099299</v>
      </c>
      <c r="O40" s="34">
        <v>1.74415850230319</v>
      </c>
      <c r="P40" s="34">
        <v>1.7440479317201101</v>
      </c>
      <c r="Q40" s="34">
        <v>1.74397740484821</v>
      </c>
      <c r="R40" s="33">
        <v>101.876298119529</v>
      </c>
      <c r="S40" s="33">
        <v>101.868131896211</v>
      </c>
      <c r="T40" s="33">
        <v>101.86729344907</v>
      </c>
      <c r="U40" s="15">
        <v>4.5455757386263099E-4</v>
      </c>
      <c r="V40" s="15">
        <v>3.7439613512812601E-4</v>
      </c>
      <c r="W40" s="15">
        <v>3.661653903795E-4</v>
      </c>
      <c r="X40" s="34">
        <v>1.7435410278992201</v>
      </c>
      <c r="Y40" s="34">
        <v>1.74495402592864</v>
      </c>
      <c r="Z40" s="34">
        <v>1.7442219562724499</v>
      </c>
      <c r="AA40" s="34">
        <v>1.74414329336291</v>
      </c>
      <c r="AB40" s="33">
        <v>102.163528176127</v>
      </c>
      <c r="AC40" s="33">
        <v>102.118964485993</v>
      </c>
      <c r="AD40" s="33">
        <v>102.117125592292</v>
      </c>
      <c r="AE40" s="15">
        <v>8.1009035982247202E-4</v>
      </c>
      <c r="AF40" s="15">
        <v>3.73795597014595E-4</v>
      </c>
      <c r="AG40" s="15">
        <v>3.55788067585481E-4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0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0</v>
      </c>
      <c r="AT40" s="12"/>
      <c r="AU40">
        <f t="shared" si="10"/>
        <v>0</v>
      </c>
      <c r="AV40">
        <f t="shared" si="11"/>
        <v>0</v>
      </c>
      <c r="AW40">
        <f t="shared" si="18"/>
        <v>0</v>
      </c>
      <c r="AX40">
        <f t="shared" si="5"/>
        <v>0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0</v>
      </c>
      <c r="BF40" s="29">
        <f t="shared" si="23"/>
        <v>0</v>
      </c>
      <c r="BH40" s="29"/>
    </row>
    <row r="41" spans="1:124" x14ac:dyDescent="0.25">
      <c r="A41" s="1">
        <v>46083</v>
      </c>
      <c r="B41" s="33">
        <v>58.09</v>
      </c>
      <c r="C41" s="33">
        <v>101.34</v>
      </c>
      <c r="D41" s="15">
        <v>-5.4935760477767201E-3</v>
      </c>
      <c r="E41" s="15">
        <v>-4.8235561358103201E-3</v>
      </c>
      <c r="F41" s="33">
        <v>0.14212</v>
      </c>
      <c r="G41" s="33">
        <v>0.28009699999999998</v>
      </c>
      <c r="H41" s="33">
        <v>0.25669999999999998</v>
      </c>
      <c r="I41" s="33">
        <v>0.50749999999999995</v>
      </c>
      <c r="J41" s="33">
        <v>0.28009699999999998</v>
      </c>
      <c r="K41" s="33">
        <v>0.50749999999999995</v>
      </c>
      <c r="L41" s="33">
        <v>58.370097000000001</v>
      </c>
      <c r="M41" s="33">
        <v>101.8475</v>
      </c>
      <c r="N41" s="34">
        <v>1.7445343432604501</v>
      </c>
      <c r="O41" s="34">
        <v>1.74415850230319</v>
      </c>
      <c r="P41" s="34">
        <v>1.7441375421121801</v>
      </c>
      <c r="Q41" s="34">
        <v>1.74401932062954</v>
      </c>
      <c r="R41" s="33">
        <v>101.318167398792</v>
      </c>
      <c r="S41" s="33">
        <v>101.31174435362099</v>
      </c>
      <c r="T41" s="33">
        <v>101.30764744763199</v>
      </c>
      <c r="U41" s="15">
        <v>-2.15462338103674E-4</v>
      </c>
      <c r="V41" s="15">
        <v>-2.78859149735146E-4</v>
      </c>
      <c r="W41" s="15">
        <v>-3.1929857611959201E-4</v>
      </c>
      <c r="X41" s="34">
        <v>1.7448574738534299</v>
      </c>
      <c r="Y41" s="34">
        <v>1.74495402592864</v>
      </c>
      <c r="Z41" s="34">
        <v>1.7443263524832899</v>
      </c>
      <c r="AA41" s="34">
        <v>1.7442013656738899</v>
      </c>
      <c r="AB41" s="33">
        <v>101.85313575399501</v>
      </c>
      <c r="AC41" s="33">
        <v>101.810404777152</v>
      </c>
      <c r="AD41" s="33">
        <v>101.80581321549199</v>
      </c>
      <c r="AE41" s="15">
        <v>5.5333690797603297E-5</v>
      </c>
      <c r="AF41" s="15">
        <v>-3.64289550146987E-4</v>
      </c>
      <c r="AG41" s="15">
        <v>-4.0938970676296301E-4</v>
      </c>
      <c r="AI41" s="12"/>
      <c r="AJ41">
        <f t="shared" si="6"/>
        <v>0</v>
      </c>
      <c r="AK41">
        <f t="shared" si="7"/>
        <v>0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0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0</v>
      </c>
      <c r="BF41" s="29">
        <f t="shared" si="23"/>
        <v>0</v>
      </c>
      <c r="BH41" s="29"/>
    </row>
    <row r="42" spans="1:124" x14ac:dyDescent="0.25">
      <c r="A42" s="1">
        <v>46084</v>
      </c>
      <c r="B42" s="33">
        <v>57.77</v>
      </c>
      <c r="C42" s="33">
        <v>100.82</v>
      </c>
      <c r="D42" s="15">
        <v>-5.5239222112670001E-3</v>
      </c>
      <c r="E42" s="15">
        <v>-5.1444513932790504E-3</v>
      </c>
      <c r="F42" s="33">
        <v>0</v>
      </c>
      <c r="G42" s="33">
        <v>0.28009699999999998</v>
      </c>
      <c r="H42" s="33">
        <v>0</v>
      </c>
      <c r="I42" s="33">
        <v>0.50749999999999995</v>
      </c>
      <c r="J42" s="33">
        <v>0.28009699999999998</v>
      </c>
      <c r="K42" s="33">
        <v>0.50749999999999995</v>
      </c>
      <c r="L42" s="33">
        <v>58.050097000000001</v>
      </c>
      <c r="M42" s="33">
        <v>101.32749999999901</v>
      </c>
      <c r="N42" s="34">
        <v>1.7451964687554</v>
      </c>
      <c r="O42" s="34">
        <v>1.74415850230319</v>
      </c>
      <c r="P42" s="34">
        <v>1.74425017626858</v>
      </c>
      <c r="Q42" s="34">
        <v>1.74404970683787</v>
      </c>
      <c r="R42" s="33">
        <v>100.760036678055</v>
      </c>
      <c r="S42" s="33">
        <v>100.758825807821</v>
      </c>
      <c r="T42" s="33">
        <v>100.751996152768</v>
      </c>
      <c r="U42" s="15">
        <v>-5.9493315609163199E-4</v>
      </c>
      <c r="V42" s="15">
        <v>-6.0695059425678905E-4</v>
      </c>
      <c r="W42" s="15">
        <v>-6.7473509325747204E-4</v>
      </c>
      <c r="X42" s="34">
        <v>1.74551818578356</v>
      </c>
      <c r="Y42" s="34">
        <v>1.74495402592864</v>
      </c>
      <c r="Z42" s="34">
        <v>1.7444537392950901</v>
      </c>
      <c r="AA42" s="34">
        <v>1.7442391253210501</v>
      </c>
      <c r="AB42" s="33">
        <v>101.294750465698</v>
      </c>
      <c r="AC42" s="33">
        <v>101.258313961311</v>
      </c>
      <c r="AD42" s="33">
        <v>101.251058464902</v>
      </c>
      <c r="AE42" s="15">
        <v>-3.23257041232821E-4</v>
      </c>
      <c r="AF42" s="15">
        <v>-6.8302947798382703E-4</v>
      </c>
      <c r="AG42" s="15">
        <v>-7.5468538531629802E-4</v>
      </c>
      <c r="AI42" s="12"/>
      <c r="AJ42">
        <f t="shared" si="6"/>
        <v>0</v>
      </c>
      <c r="AK42">
        <f t="shared" si="7"/>
        <v>0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0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0</v>
      </c>
      <c r="BF42" s="29">
        <f t="shared" si="23"/>
        <v>0</v>
      </c>
      <c r="BH42" s="29"/>
    </row>
    <row r="43" spans="1:124" x14ac:dyDescent="0.25">
      <c r="A43" s="1">
        <v>46085</v>
      </c>
      <c r="B43" s="33">
        <v>57.82</v>
      </c>
      <c r="C43" s="33">
        <v>100.81</v>
      </c>
      <c r="D43" s="15">
        <v>8.6512679502586396E-4</v>
      </c>
      <c r="E43" s="15">
        <v>-9.9191588634498694E-5</v>
      </c>
      <c r="F43" s="33">
        <v>0</v>
      </c>
      <c r="G43" s="33">
        <v>0.28009699999999998</v>
      </c>
      <c r="H43" s="33">
        <v>0</v>
      </c>
      <c r="I43" s="33">
        <v>0.50749999999999995</v>
      </c>
      <c r="J43" s="33">
        <v>0.28009699999999998</v>
      </c>
      <c r="K43" s="33">
        <v>0.50749999999999995</v>
      </c>
      <c r="L43" s="33">
        <v>58.100096999999998</v>
      </c>
      <c r="M43" s="33">
        <v>101.3175</v>
      </c>
      <c r="N43" s="34">
        <v>1.7435143548945</v>
      </c>
      <c r="O43" s="34">
        <v>1.74415850230319</v>
      </c>
      <c r="P43" s="34">
        <v>1.7441346241376701</v>
      </c>
      <c r="Q43" s="34">
        <v>1.7440044520960101</v>
      </c>
      <c r="R43" s="33">
        <v>100.84724460317</v>
      </c>
      <c r="S43" s="33">
        <v>100.852545191849</v>
      </c>
      <c r="T43" s="33">
        <v>100.840954049366</v>
      </c>
      <c r="U43" s="15">
        <v>3.6938522756877601E-4</v>
      </c>
      <c r="V43" s="15">
        <v>4.2194441650215899E-4</v>
      </c>
      <c r="W43" s="15">
        <v>3.0700623019823398E-4</v>
      </c>
      <c r="X43" s="34">
        <v>1.74384390442583</v>
      </c>
      <c r="Y43" s="34">
        <v>1.74495402592864</v>
      </c>
      <c r="Z43" s="34">
        <v>1.7443538590399099</v>
      </c>
      <c r="AA43" s="34">
        <v>1.74420162149726</v>
      </c>
      <c r="AB43" s="33">
        <v>101.38199816699399</v>
      </c>
      <c r="AC43" s="33">
        <v>101.352931465057</v>
      </c>
      <c r="AD43" s="33">
        <v>101.340462372348</v>
      </c>
      <c r="AE43" s="15">
        <v>6.3639199657526799E-4</v>
      </c>
      <c r="AF43" s="15">
        <v>3.4964612412900098E-4</v>
      </c>
      <c r="AG43" s="15">
        <v>2.26612092391445E-4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0</v>
      </c>
      <c r="AT43" s="12"/>
      <c r="AU43">
        <f t="shared" si="10"/>
        <v>0</v>
      </c>
      <c r="AV43">
        <f t="shared" si="11"/>
        <v>0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0</v>
      </c>
      <c r="BF43" s="29">
        <f t="shared" si="23"/>
        <v>0</v>
      </c>
      <c r="BH43" s="29"/>
    </row>
    <row r="44" spans="1:124" x14ac:dyDescent="0.25">
      <c r="A44" s="1">
        <v>46086</v>
      </c>
      <c r="B44" s="33">
        <v>57.78</v>
      </c>
      <c r="C44" s="33">
        <v>100.74</v>
      </c>
      <c r="D44" s="15">
        <v>-6.9204155011080403E-4</v>
      </c>
      <c r="E44" s="15">
        <v>-6.9461674834581696E-4</v>
      </c>
      <c r="F44" s="33">
        <v>0</v>
      </c>
      <c r="G44" s="33">
        <v>0.28009699999999998</v>
      </c>
      <c r="H44" s="33">
        <v>0</v>
      </c>
      <c r="I44" s="33">
        <v>0.50749999999999995</v>
      </c>
      <c r="J44" s="33">
        <v>0.28009699999999998</v>
      </c>
      <c r="K44" s="33">
        <v>0.50749999999999995</v>
      </c>
      <c r="L44" s="33">
        <v>58.060096999999999</v>
      </c>
      <c r="M44" s="33">
        <v>101.24749999999899</v>
      </c>
      <c r="N44" s="34">
        <v>1.7435098650051899</v>
      </c>
      <c r="O44" s="34">
        <v>1.74415850230319</v>
      </c>
      <c r="P44" s="34">
        <v>1.7440957859561701</v>
      </c>
      <c r="Q44" s="34">
        <v>1.74394148779828</v>
      </c>
      <c r="R44" s="33">
        <v>100.777478263078</v>
      </c>
      <c r="S44" s="33">
        <v>100.776098582674</v>
      </c>
      <c r="T44" s="33">
        <v>100.768577242107</v>
      </c>
      <c r="U44" s="15">
        <v>3.71960425803668E-4</v>
      </c>
      <c r="V44" s="15">
        <v>3.5826996765900602E-4</v>
      </c>
      <c r="W44" s="15">
        <v>2.83633011462249E-4</v>
      </c>
      <c r="X44" s="34">
        <v>1.74383966323721</v>
      </c>
      <c r="Y44" s="34">
        <v>1.74495402592864</v>
      </c>
      <c r="Z44" s="34">
        <v>1.7443305409682901</v>
      </c>
      <c r="AA44" s="34">
        <v>1.7441464681927299</v>
      </c>
      <c r="AB44" s="33">
        <v>101.312200005957</v>
      </c>
      <c r="AC44" s="33">
        <v>101.27735425818101</v>
      </c>
      <c r="AD44" s="33">
        <v>101.26851533168799</v>
      </c>
      <c r="AE44" s="15">
        <v>6.3882409142732195E-4</v>
      </c>
      <c r="AF44" s="15">
        <v>2.9482068763728701E-4</v>
      </c>
      <c r="AG44" s="15">
        <v>2.07542418111866E-4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0</v>
      </c>
      <c r="AT44" s="12"/>
      <c r="AU44">
        <f t="shared" si="10"/>
        <v>0</v>
      </c>
      <c r="AV44">
        <f t="shared" si="11"/>
        <v>0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0</v>
      </c>
      <c r="BF44" s="29">
        <f t="shared" si="23"/>
        <v>0</v>
      </c>
      <c r="BH44" s="29"/>
    </row>
    <row r="45" spans="1:124" x14ac:dyDescent="0.25">
      <c r="A45" s="1">
        <v>46087</v>
      </c>
      <c r="B45" s="33">
        <v>57.73</v>
      </c>
      <c r="C45" s="33">
        <v>100.73</v>
      </c>
      <c r="D45" s="15">
        <v>-8.6572596524702296E-4</v>
      </c>
      <c r="E45" s="15">
        <v>-9.9270362914644303E-5</v>
      </c>
      <c r="F45" s="33">
        <v>0</v>
      </c>
      <c r="G45" s="33">
        <v>0.28009699999999998</v>
      </c>
      <c r="H45" s="33">
        <v>0</v>
      </c>
      <c r="I45" s="33">
        <v>0.50749999999999995</v>
      </c>
      <c r="J45" s="33">
        <v>0.28009699999999998</v>
      </c>
      <c r="K45" s="33">
        <v>0.50749999999999995</v>
      </c>
      <c r="L45" s="33">
        <v>58.010096999999902</v>
      </c>
      <c r="M45" s="33">
        <v>101.2375</v>
      </c>
      <c r="N45" s="34">
        <v>1.7448467001558901</v>
      </c>
      <c r="O45" s="34">
        <v>1.74415850230319</v>
      </c>
      <c r="P45" s="34">
        <v>1.7441558596131199</v>
      </c>
      <c r="Q45" s="34">
        <v>1.7439600659000001</v>
      </c>
      <c r="R45" s="33">
        <v>100.690270337963</v>
      </c>
      <c r="S45" s="33">
        <v>100.686649723249</v>
      </c>
      <c r="T45" s="33">
        <v>100.677742090595</v>
      </c>
      <c r="U45" s="15">
        <v>-3.9449517652880597E-4</v>
      </c>
      <c r="V45" s="15">
        <v>-4.3045376317288998E-4</v>
      </c>
      <c r="W45" s="15">
        <v>-5.18926532168432E-4</v>
      </c>
      <c r="X45" s="34">
        <v>1.74517032784827</v>
      </c>
      <c r="Y45" s="34">
        <v>1.74495402592864</v>
      </c>
      <c r="Z45" s="34">
        <v>1.7444056118598901</v>
      </c>
      <c r="AA45" s="34">
        <v>1.7441725272778501</v>
      </c>
      <c r="AB45" s="33">
        <v>101.224952304661</v>
      </c>
      <c r="AC45" s="33">
        <v>101.188783881633</v>
      </c>
      <c r="AD45" s="33">
        <v>101.17810580206699</v>
      </c>
      <c r="AE45" s="15">
        <v>-1.23950838409414E-4</v>
      </c>
      <c r="AF45" s="15">
        <v>-4.8132207313348002E-4</v>
      </c>
      <c r="AG45" s="15">
        <v>-5.86853957247936E-4</v>
      </c>
      <c r="AI45" s="12"/>
      <c r="AJ45">
        <f t="shared" si="6"/>
        <v>0</v>
      </c>
      <c r="AK45">
        <f t="shared" si="7"/>
        <v>0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0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0</v>
      </c>
      <c r="BF45" s="29">
        <f t="shared" si="23"/>
        <v>0</v>
      </c>
      <c r="BH45" s="29"/>
    </row>
    <row r="46" spans="1:124" x14ac:dyDescent="0.25">
      <c r="A46" s="1">
        <v>46090</v>
      </c>
      <c r="B46" s="33">
        <v>57.73</v>
      </c>
      <c r="C46" s="33">
        <v>100.65</v>
      </c>
      <c r="D46" s="15">
        <v>0</v>
      </c>
      <c r="E46" s="15">
        <v>-7.9451786878919402E-4</v>
      </c>
      <c r="F46" s="33">
        <v>0</v>
      </c>
      <c r="G46" s="33">
        <v>0.28009699999999998</v>
      </c>
      <c r="H46" s="33">
        <v>0</v>
      </c>
      <c r="I46" s="33">
        <v>0.50749999999999995</v>
      </c>
      <c r="J46" s="33">
        <v>0.28009699999999998</v>
      </c>
      <c r="K46" s="33">
        <v>0.50749999999999995</v>
      </c>
      <c r="L46" s="33">
        <v>58.010096999999902</v>
      </c>
      <c r="M46" s="33">
        <v>101.1575</v>
      </c>
      <c r="N46" s="34">
        <v>1.74346093885328</v>
      </c>
      <c r="O46" s="34">
        <v>1.74415850230319</v>
      </c>
      <c r="P46" s="34">
        <v>1.7440170633885601</v>
      </c>
      <c r="Q46" s="34">
        <v>1.7439330437938101</v>
      </c>
      <c r="R46" s="33">
        <v>100.690270337963</v>
      </c>
      <c r="S46" s="33">
        <v>100.690117775465</v>
      </c>
      <c r="T46" s="33">
        <v>100.67881460440699</v>
      </c>
      <c r="U46" s="15">
        <v>4.0002269226036599E-4</v>
      </c>
      <c r="V46" s="15">
        <v>3.9850752487618297E-4</v>
      </c>
      <c r="W46" s="15">
        <v>2.8624421855091999E-4</v>
      </c>
      <c r="X46" s="34">
        <v>1.7437912575805501</v>
      </c>
      <c r="Y46" s="34">
        <v>1.74495402592864</v>
      </c>
      <c r="Z46" s="34">
        <v>1.7442826304277601</v>
      </c>
      <c r="AA46" s="34">
        <v>1.7441532659197301</v>
      </c>
      <c r="AB46" s="33">
        <v>101.224952304661</v>
      </c>
      <c r="AC46" s="33">
        <v>101.19313875133599</v>
      </c>
      <c r="AD46" s="33">
        <v>101.179617492123</v>
      </c>
      <c r="AE46" s="15">
        <v>6.6658256573872798E-4</v>
      </c>
      <c r="AF46" s="15">
        <v>3.5224748411993401E-4</v>
      </c>
      <c r="AG46" s="15">
        <v>2.1862021645714099E-4</v>
      </c>
      <c r="AI46" s="12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0</v>
      </c>
      <c r="AT46" s="12"/>
      <c r="AU46">
        <f t="shared" si="10"/>
        <v>0</v>
      </c>
      <c r="AV46">
        <f t="shared" si="11"/>
        <v>0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0</v>
      </c>
      <c r="BF46" s="29">
        <f t="shared" si="23"/>
        <v>0</v>
      </c>
      <c r="BH46" s="29"/>
    </row>
    <row r="47" spans="1:124" x14ac:dyDescent="0.25">
      <c r="A47" s="1">
        <v>46091</v>
      </c>
      <c r="B47" s="33">
        <v>57.61</v>
      </c>
      <c r="C47" s="33">
        <v>100.55</v>
      </c>
      <c r="D47" s="15">
        <v>-2.0808053285503998E-3</v>
      </c>
      <c r="E47" s="15">
        <v>-9.940358671395289E-4</v>
      </c>
      <c r="F47" s="33">
        <v>0</v>
      </c>
      <c r="G47" s="33">
        <v>0.28009699999999998</v>
      </c>
      <c r="H47" s="33">
        <v>0</v>
      </c>
      <c r="I47" s="33">
        <v>0.50749999999999995</v>
      </c>
      <c r="J47" s="33">
        <v>0.28009699999999998</v>
      </c>
      <c r="K47" s="33">
        <v>0.50749999999999995</v>
      </c>
      <c r="L47" s="33">
        <v>57.890096999999997</v>
      </c>
      <c r="M47" s="33">
        <v>101.057499999999</v>
      </c>
      <c r="N47" s="34">
        <v>1.7453567089047</v>
      </c>
      <c r="O47" s="34">
        <v>1.74415850230319</v>
      </c>
      <c r="P47" s="34">
        <v>1.7440503320827301</v>
      </c>
      <c r="Q47" s="34">
        <v>1.7439941849671401</v>
      </c>
      <c r="R47" s="33">
        <v>100.48097131768699</v>
      </c>
      <c r="S47" s="33">
        <v>100.472823021815</v>
      </c>
      <c r="T47" s="33">
        <v>100.467982652961</v>
      </c>
      <c r="U47" s="15">
        <v>-6.8674676915036397E-4</v>
      </c>
      <c r="V47" s="15">
        <v>-7.6784298237090405E-4</v>
      </c>
      <c r="W47" s="15">
        <v>-8.1602004464359403E-4</v>
      </c>
      <c r="X47" s="34">
        <v>1.7456785398027499</v>
      </c>
      <c r="Y47" s="34">
        <v>1.74495402592864</v>
      </c>
      <c r="Z47" s="34">
        <v>1.7443309182820099</v>
      </c>
      <c r="AA47" s="34">
        <v>1.7442217637048201</v>
      </c>
      <c r="AB47" s="33">
        <v>101.015557821549</v>
      </c>
      <c r="AC47" s="33">
        <v>100.976690670878</v>
      </c>
      <c r="AD47" s="33">
        <v>100.96920174696</v>
      </c>
      <c r="AE47" s="15">
        <v>-4.1511896246457897E-4</v>
      </c>
      <c r="AF47" s="15">
        <v>-7.9995700888651502E-4</v>
      </c>
      <c r="AG47" s="15">
        <v>-8.7412463697815197E-4</v>
      </c>
      <c r="AI47" s="12"/>
      <c r="AJ47">
        <f t="shared" si="6"/>
        <v>0</v>
      </c>
      <c r="AK47">
        <f t="shared" si="7"/>
        <v>0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0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0</v>
      </c>
      <c r="BF47" s="29">
        <f t="shared" si="23"/>
        <v>0</v>
      </c>
      <c r="BH47" s="29"/>
    </row>
    <row r="48" spans="1:124" x14ac:dyDescent="0.25">
      <c r="A48" s="1">
        <v>46092</v>
      </c>
      <c r="B48" s="33">
        <v>57.49</v>
      </c>
      <c r="C48" s="33">
        <v>100.25</v>
      </c>
      <c r="D48" s="15">
        <v>-2.0851441090921101E-3</v>
      </c>
      <c r="E48" s="15">
        <v>-2.9880500319824799E-3</v>
      </c>
      <c r="F48" s="33">
        <v>0</v>
      </c>
      <c r="G48" s="33">
        <v>0.28009699999999998</v>
      </c>
      <c r="H48" s="33">
        <v>0</v>
      </c>
      <c r="I48" s="33">
        <v>0.50749999999999995</v>
      </c>
      <c r="J48" s="33">
        <v>0.28009699999999998</v>
      </c>
      <c r="K48" s="33">
        <v>0.50749999999999995</v>
      </c>
      <c r="L48" s="33">
        <v>57.770097</v>
      </c>
      <c r="M48" s="33">
        <v>100.75749999999999</v>
      </c>
      <c r="N48" s="34">
        <v>1.74378152722212</v>
      </c>
      <c r="O48" s="34">
        <v>1.74415850230319</v>
      </c>
      <c r="P48" s="34">
        <v>1.74409280848058</v>
      </c>
      <c r="Q48" s="34">
        <v>1.7440514783825101</v>
      </c>
      <c r="R48" s="33">
        <v>100.27167229741001</v>
      </c>
      <c r="S48" s="33">
        <v>100.265453591436</v>
      </c>
      <c r="T48" s="33">
        <v>100.26222569376</v>
      </c>
      <c r="U48" s="15">
        <v>2.16159153740006E-4</v>
      </c>
      <c r="V48" s="15">
        <v>1.5413865804759201E-4</v>
      </c>
      <c r="W48" s="15">
        <v>1.21944621918588E-4</v>
      </c>
      <c r="X48" s="34">
        <v>1.7441116638595899</v>
      </c>
      <c r="Y48" s="34">
        <v>1.74495402592864</v>
      </c>
      <c r="Z48" s="34">
        <v>1.7443888656400599</v>
      </c>
      <c r="AA48" s="34">
        <v>1.74428666489746</v>
      </c>
      <c r="AB48" s="33">
        <v>100.806163338438</v>
      </c>
      <c r="AC48" s="33">
        <v>100.770166349251</v>
      </c>
      <c r="AD48" s="33">
        <v>100.763860478738</v>
      </c>
      <c r="AE48" s="15">
        <v>4.8285825508348099E-4</v>
      </c>
      <c r="AF48" s="15">
        <v>1.25703328950579E-4</v>
      </c>
      <c r="AG48" s="15">
        <v>6.3124610966203506E-5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0</v>
      </c>
      <c r="AT48" s="12"/>
      <c r="AU48">
        <f t="shared" si="10"/>
        <v>0</v>
      </c>
      <c r="AV48">
        <f t="shared" si="11"/>
        <v>0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0</v>
      </c>
      <c r="BF48" s="29">
        <f t="shared" si="23"/>
        <v>0</v>
      </c>
      <c r="BH48" s="29"/>
    </row>
    <row r="49" spans="1:60" x14ac:dyDescent="0.25">
      <c r="A49" s="1">
        <v>46093</v>
      </c>
      <c r="B49" s="33">
        <v>57.24</v>
      </c>
      <c r="C49" s="33">
        <v>99.87</v>
      </c>
      <c r="D49" s="15">
        <v>-4.3580649469494104E-3</v>
      </c>
      <c r="E49" s="15">
        <v>-3.7977259316352699E-3</v>
      </c>
      <c r="F49" s="33">
        <v>0</v>
      </c>
      <c r="G49" s="33">
        <v>0.28009699999999998</v>
      </c>
      <c r="H49" s="33">
        <v>0</v>
      </c>
      <c r="I49" s="33">
        <v>0.50749999999999995</v>
      </c>
      <c r="J49" s="33">
        <v>0.28009699999999998</v>
      </c>
      <c r="K49" s="33">
        <v>0.50749999999999995</v>
      </c>
      <c r="L49" s="33">
        <v>57.520097</v>
      </c>
      <c r="M49" s="33">
        <v>100.3775</v>
      </c>
      <c r="N49" s="34">
        <v>1.7447589098532399</v>
      </c>
      <c r="O49" s="34">
        <v>1.74415850230319</v>
      </c>
      <c r="P49" s="34">
        <v>1.7442325678914701</v>
      </c>
      <c r="Q49" s="34">
        <v>1.7441256307717199</v>
      </c>
      <c r="R49" s="33">
        <v>99.835632671834901</v>
      </c>
      <c r="S49" s="33">
        <v>99.831872357428907</v>
      </c>
      <c r="T49" s="33">
        <v>99.8295066226149</v>
      </c>
      <c r="U49" s="15">
        <v>-3.44179861574223E-4</v>
      </c>
      <c r="V49" s="15">
        <v>-3.8184562402224101E-4</v>
      </c>
      <c r="W49" s="15">
        <v>-4.0554309447078299E-4</v>
      </c>
      <c r="X49" s="34">
        <v>1.7450857219521001</v>
      </c>
      <c r="Y49" s="34">
        <v>1.74495402592864</v>
      </c>
      <c r="Z49" s="34">
        <v>1.74454377662425</v>
      </c>
      <c r="AA49" s="34">
        <v>1.7443683271523001</v>
      </c>
      <c r="AB49" s="33">
        <v>100.369924831956</v>
      </c>
      <c r="AC49" s="33">
        <v>100.337416757336</v>
      </c>
      <c r="AD49" s="33">
        <v>100.33153816070801</v>
      </c>
      <c r="AE49" s="15">
        <v>-7.5469641054564404E-5</v>
      </c>
      <c r="AF49" s="15">
        <v>-3.9940472630570499E-4</v>
      </c>
      <c r="AG49" s="15">
        <v>-4.5799472227042802E-4</v>
      </c>
      <c r="AI49" s="12"/>
      <c r="AJ49">
        <f t="shared" si="6"/>
        <v>0</v>
      </c>
      <c r="AK49">
        <f t="shared" si="7"/>
        <v>0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0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0</v>
      </c>
      <c r="BF49" s="29">
        <f t="shared" si="23"/>
        <v>0</v>
      </c>
      <c r="BH49" s="29"/>
    </row>
    <row r="50" spans="1:60" x14ac:dyDescent="0.25">
      <c r="A50" s="1">
        <v>46094</v>
      </c>
      <c r="B50" s="33">
        <v>57.44</v>
      </c>
      <c r="C50" s="33">
        <v>100.17</v>
      </c>
      <c r="D50" s="15">
        <v>3.4879700517185998E-3</v>
      </c>
      <c r="E50" s="15">
        <v>2.9994023686295301E-3</v>
      </c>
      <c r="F50" s="33">
        <v>0</v>
      </c>
      <c r="G50" s="33">
        <v>0.28009699999999998</v>
      </c>
      <c r="H50" s="33">
        <v>0</v>
      </c>
      <c r="I50" s="33">
        <v>0.50749999999999995</v>
      </c>
      <c r="J50" s="33">
        <v>0.28009699999999998</v>
      </c>
      <c r="K50" s="33">
        <v>0.50749999999999995</v>
      </c>
      <c r="L50" s="33">
        <v>57.720096999999903</v>
      </c>
      <c r="M50" s="33">
        <v>100.67749999999999</v>
      </c>
      <c r="N50" s="34">
        <v>1.74390668523676</v>
      </c>
      <c r="O50" s="34">
        <v>1.74415850230319</v>
      </c>
      <c r="P50" s="34">
        <v>1.7442866502141501</v>
      </c>
      <c r="Q50" s="34">
        <v>1.74416729096713</v>
      </c>
      <c r="R50" s="33">
        <v>100.184464372295</v>
      </c>
      <c r="S50" s="33">
        <v>100.18871869968601</v>
      </c>
      <c r="T50" s="33">
        <v>100.18257623152699</v>
      </c>
      <c r="U50" s="15">
        <v>1.4438782151471099E-4</v>
      </c>
      <c r="V50" s="15">
        <v>1.86851861124455E-4</v>
      </c>
      <c r="W50" s="15">
        <v>1.2554100157832301E-4</v>
      </c>
      <c r="X50" s="34">
        <v>1.7442365005034499</v>
      </c>
      <c r="Y50" s="34">
        <v>1.74495402592864</v>
      </c>
      <c r="Z50" s="34">
        <v>1.7446133238846699</v>
      </c>
      <c r="AA50" s="34">
        <v>1.74441764007856</v>
      </c>
      <c r="AB50" s="33">
        <v>100.718915637141</v>
      </c>
      <c r="AC50" s="33">
        <v>100.695236007498</v>
      </c>
      <c r="AD50" s="33">
        <v>100.685109046959</v>
      </c>
      <c r="AE50" s="15">
        <v>4.1128475494206003E-4</v>
      </c>
      <c r="AF50" s="15">
        <v>1.76151031126324E-4</v>
      </c>
      <c r="AG50" s="15">
        <v>7.5575569850682301E-5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0</v>
      </c>
      <c r="AT50" s="12"/>
      <c r="AU50">
        <f t="shared" si="10"/>
        <v>0</v>
      </c>
      <c r="AV50">
        <f t="shared" si="11"/>
        <v>0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0</v>
      </c>
      <c r="BE50" s="29">
        <f t="shared" si="22"/>
        <v>0</v>
      </c>
      <c r="BF50" s="29">
        <f t="shared" si="23"/>
        <v>0</v>
      </c>
      <c r="BH50" s="29"/>
    </row>
    <row r="51" spans="1:60" x14ac:dyDescent="0.25">
      <c r="A51" s="1">
        <v>46097</v>
      </c>
      <c r="B51" s="33">
        <v>57.5</v>
      </c>
      <c r="C51" s="33">
        <v>100.23</v>
      </c>
      <c r="D51" s="15">
        <v>1.0440230633361001E-3</v>
      </c>
      <c r="E51" s="15">
        <v>5.9880241310202205E-4</v>
      </c>
      <c r="F51" s="33">
        <v>0</v>
      </c>
      <c r="G51" s="33">
        <v>0.28009699999999998</v>
      </c>
      <c r="H51" s="33">
        <v>0</v>
      </c>
      <c r="I51" s="33">
        <v>0.50749999999999995</v>
      </c>
      <c r="J51" s="33">
        <v>0.28009699999999998</v>
      </c>
      <c r="K51" s="33">
        <v>0.50749999999999995</v>
      </c>
      <c r="L51" s="33">
        <v>57.780096999999998</v>
      </c>
      <c r="M51" s="33">
        <v>100.7375</v>
      </c>
      <c r="N51" s="34">
        <v>1.7431304347826</v>
      </c>
      <c r="O51" s="34">
        <v>1.74415850230319</v>
      </c>
      <c r="P51" s="34">
        <v>1.7441462593663699</v>
      </c>
      <c r="Q51" s="34">
        <v>1.74414190073928</v>
      </c>
      <c r="R51" s="33">
        <v>100.289113882433</v>
      </c>
      <c r="S51" s="33">
        <v>100.296482387314</v>
      </c>
      <c r="T51" s="33">
        <v>100.28961923061</v>
      </c>
      <c r="U51" s="15">
        <v>5.8960847174876899E-4</v>
      </c>
      <c r="V51" s="15">
        <v>6.6307840199962998E-4</v>
      </c>
      <c r="W51" s="15">
        <v>5.9464737262159505E-4</v>
      </c>
      <c r="X51" s="34">
        <v>1.74346367054385</v>
      </c>
      <c r="Y51" s="34">
        <v>1.74495402592864</v>
      </c>
      <c r="Z51" s="34">
        <v>1.74447394355372</v>
      </c>
      <c r="AA51" s="34">
        <v>1.7444001480185001</v>
      </c>
      <c r="AB51" s="33">
        <v>100.82361287869701</v>
      </c>
      <c r="AC51" s="33">
        <v>100.80392708154901</v>
      </c>
      <c r="AD51" s="33">
        <v>100.79262045225001</v>
      </c>
      <c r="AE51" s="15">
        <v>8.5445930226395498E-4</v>
      </c>
      <c r="AF51" s="15">
        <v>6.5919037010378804E-4</v>
      </c>
      <c r="AG51" s="15">
        <v>5.4701950756847297E-4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0</v>
      </c>
      <c r="AT51" s="12"/>
      <c r="AU51">
        <f t="shared" si="10"/>
        <v>0</v>
      </c>
      <c r="AV51">
        <f t="shared" si="11"/>
        <v>0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0</v>
      </c>
      <c r="BE51" s="29">
        <f t="shared" si="22"/>
        <v>0</v>
      </c>
      <c r="BF51" s="29">
        <f t="shared" si="23"/>
        <v>0</v>
      </c>
      <c r="BH51" s="29"/>
    </row>
    <row r="52" spans="1:60" x14ac:dyDescent="0.25">
      <c r="A52" s="1">
        <v>46098</v>
      </c>
      <c r="B52" s="33">
        <v>57.51</v>
      </c>
      <c r="C52" s="33">
        <v>100.24</v>
      </c>
      <c r="D52" s="15">
        <v>1.73897922357937E-4</v>
      </c>
      <c r="E52" s="15">
        <v>9.9765551038003304E-5</v>
      </c>
      <c r="F52" s="33">
        <v>0</v>
      </c>
      <c r="G52" s="33">
        <v>0.28009699999999998</v>
      </c>
      <c r="H52" s="33">
        <v>0</v>
      </c>
      <c r="I52" s="33">
        <v>0.50749999999999995</v>
      </c>
      <c r="J52" s="33">
        <v>0.28009699999999998</v>
      </c>
      <c r="K52" s="33">
        <v>0.50749999999999995</v>
      </c>
      <c r="L52" s="33">
        <v>57.790096999999903</v>
      </c>
      <c r="M52" s="33">
        <v>100.74749999999899</v>
      </c>
      <c r="N52" s="34">
        <v>1.7430012171796201</v>
      </c>
      <c r="O52" s="34">
        <v>1.74415850230319</v>
      </c>
      <c r="P52" s="34">
        <v>1.7439267342087901</v>
      </c>
      <c r="Q52" s="34">
        <v>1.7440884552386799</v>
      </c>
      <c r="R52" s="33">
        <v>100.30655546745599</v>
      </c>
      <c r="S52" s="33">
        <v>100.30585137616001</v>
      </c>
      <c r="T52" s="33">
        <v>100.30560071151601</v>
      </c>
      <c r="U52" s="15">
        <v>6.6374084306883101E-4</v>
      </c>
      <c r="V52" s="15">
        <v>6.5672142380410301E-4</v>
      </c>
      <c r="W52" s="15">
        <v>6.5422241747638396E-4</v>
      </c>
      <c r="X52" s="34">
        <v>1.74333502156952</v>
      </c>
      <c r="Y52" s="34">
        <v>1.74495402592864</v>
      </c>
      <c r="Z52" s="34">
        <v>1.74425562713231</v>
      </c>
      <c r="AA52" s="34">
        <v>1.7443546832137</v>
      </c>
      <c r="AB52" s="33">
        <v>100.841062418956</v>
      </c>
      <c r="AC52" s="33">
        <v>100.81331841194201</v>
      </c>
      <c r="AD52" s="33">
        <v>100.809053760803</v>
      </c>
      <c r="AE52" s="15">
        <v>9.2825133085403997E-4</v>
      </c>
      <c r="AF52" s="15">
        <v>6.5308738871028098E-4</v>
      </c>
      <c r="AG52" s="15">
        <v>6.1078403623132996E-4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0</v>
      </c>
      <c r="AT52" s="12"/>
      <c r="AU52">
        <f t="shared" si="10"/>
        <v>0</v>
      </c>
      <c r="AV52">
        <f t="shared" si="11"/>
        <v>0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0</v>
      </c>
      <c r="BE52" s="29">
        <f t="shared" si="22"/>
        <v>0</v>
      </c>
      <c r="BF52" s="29">
        <f t="shared" si="23"/>
        <v>0</v>
      </c>
      <c r="BH52" s="29"/>
    </row>
    <row r="53" spans="1:60" x14ac:dyDescent="0.25">
      <c r="A53" s="1">
        <v>46099</v>
      </c>
      <c r="B53" s="33">
        <v>57.39</v>
      </c>
      <c r="C53" s="33">
        <v>100.09</v>
      </c>
      <c r="D53" s="15">
        <v>-2.0887736053915701E-3</v>
      </c>
      <c r="E53" s="15">
        <v>-1.4975293568853E-3</v>
      </c>
      <c r="F53" s="33">
        <v>0</v>
      </c>
      <c r="G53" s="33">
        <v>0.28009699999999998</v>
      </c>
      <c r="H53" s="33">
        <v>0</v>
      </c>
      <c r="I53" s="33">
        <v>0.50749999999999995</v>
      </c>
      <c r="J53" s="33">
        <v>0.28009699999999998</v>
      </c>
      <c r="K53" s="33">
        <v>0.50749999999999995</v>
      </c>
      <c r="L53" s="33">
        <v>57.670096999999998</v>
      </c>
      <c r="M53" s="33">
        <v>100.5975</v>
      </c>
      <c r="N53" s="34">
        <v>1.74403206133472</v>
      </c>
      <c r="O53" s="34">
        <v>1.74415850230319</v>
      </c>
      <c r="P53" s="34">
        <v>1.74397850485281</v>
      </c>
      <c r="Q53" s="34">
        <v>1.7440565644952399</v>
      </c>
      <c r="R53" s="33">
        <v>100.09725644718</v>
      </c>
      <c r="S53" s="33">
        <v>100.08395527624199</v>
      </c>
      <c r="T53" s="33">
        <v>100.093236446148</v>
      </c>
      <c r="U53" s="15">
        <v>7.24965945624575E-5</v>
      </c>
      <c r="V53" s="15">
        <v>-6.03947077005008E-5</v>
      </c>
      <c r="W53" s="15">
        <v>3.2334836883379103E-5</v>
      </c>
      <c r="X53" s="34">
        <v>1.7443615536141699</v>
      </c>
      <c r="Y53" s="34">
        <v>1.74495402592864</v>
      </c>
      <c r="Z53" s="34">
        <v>1.74430739205115</v>
      </c>
      <c r="AA53" s="34">
        <v>1.74433062554553</v>
      </c>
      <c r="AB53" s="33">
        <v>100.631667935845</v>
      </c>
      <c r="AC53" s="33">
        <v>100.591391209516</v>
      </c>
      <c r="AD53" s="33">
        <v>100.597103783338</v>
      </c>
      <c r="AE53" s="15">
        <v>3.39592282017442E-4</v>
      </c>
      <c r="AF53" s="15">
        <v>-6.0726916368163901E-5</v>
      </c>
      <c r="AG53" s="15">
        <v>-3.9386410358464398E-6</v>
      </c>
      <c r="AI53" s="12"/>
      <c r="AJ53">
        <f t="shared" si="6"/>
        <v>0</v>
      </c>
      <c r="AK53">
        <f t="shared" si="7"/>
        <v>0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0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0</v>
      </c>
      <c r="BE53" s="29">
        <f t="shared" si="22"/>
        <v>0</v>
      </c>
      <c r="BF53" s="29">
        <f t="shared" si="23"/>
        <v>0</v>
      </c>
      <c r="BH53" s="29"/>
    </row>
    <row r="54" spans="1:60" x14ac:dyDescent="0.25">
      <c r="A54" s="1">
        <v>46100</v>
      </c>
      <c r="B54" s="33">
        <v>57.3</v>
      </c>
      <c r="C54" s="33">
        <v>99.93</v>
      </c>
      <c r="D54" s="15">
        <v>-1.5694483995773599E-3</v>
      </c>
      <c r="E54" s="15">
        <v>-1.59984035722943E-3</v>
      </c>
      <c r="F54" s="33">
        <v>0</v>
      </c>
      <c r="G54" s="33">
        <v>0.28009699999999998</v>
      </c>
      <c r="H54" s="33">
        <v>0</v>
      </c>
      <c r="I54" s="33">
        <v>0.50749999999999995</v>
      </c>
      <c r="J54" s="33">
        <v>0.28009699999999998</v>
      </c>
      <c r="K54" s="33">
        <v>0.50749999999999995</v>
      </c>
      <c r="L54" s="33">
        <v>57.580096999999903</v>
      </c>
      <c r="M54" s="33">
        <v>100.4375</v>
      </c>
      <c r="N54" s="34">
        <v>1.7439790575916201</v>
      </c>
      <c r="O54" s="34">
        <v>1.74415850230319</v>
      </c>
      <c r="P54" s="34">
        <v>1.7440254241114601</v>
      </c>
      <c r="Q54" s="34">
        <v>1.7440606050338101</v>
      </c>
      <c r="R54" s="33">
        <v>99.940282181973103</v>
      </c>
      <c r="S54" s="33">
        <v>99.929968328066394</v>
      </c>
      <c r="T54" s="33">
        <v>99.934441145577594</v>
      </c>
      <c r="U54" s="15">
        <v>1.02888552214656E-4</v>
      </c>
      <c r="V54" s="15">
        <v>-3.1694124451524801E-7</v>
      </c>
      <c r="W54" s="15">
        <v>4.4441578030342297E-5</v>
      </c>
      <c r="X54" s="34">
        <v>1.7443093227161399</v>
      </c>
      <c r="Y54" s="34">
        <v>1.74495402592864</v>
      </c>
      <c r="Z54" s="34">
        <v>1.7443543579990399</v>
      </c>
      <c r="AA54" s="34">
        <v>1.7443424494836599</v>
      </c>
      <c r="AB54" s="33">
        <v>100.474622073511</v>
      </c>
      <c r="AC54" s="33">
        <v>100.437388832122</v>
      </c>
      <c r="AD54" s="33">
        <v>100.438726618982</v>
      </c>
      <c r="AE54" s="15">
        <v>3.69535432220625E-4</v>
      </c>
      <c r="AF54" s="15">
        <v>-1.1068369808802401E-6</v>
      </c>
      <c r="AG54" s="15">
        <v>1.2212684428293E-5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0</v>
      </c>
      <c r="AT54" s="12"/>
      <c r="AU54">
        <f t="shared" si="10"/>
        <v>0</v>
      </c>
      <c r="AV54">
        <f t="shared" si="11"/>
        <v>0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0</v>
      </c>
      <c r="BE54" s="29">
        <f t="shared" si="22"/>
        <v>0</v>
      </c>
      <c r="BF54" s="29">
        <f t="shared" si="23"/>
        <v>0</v>
      </c>
      <c r="BH54" s="29"/>
    </row>
    <row r="55" spans="1:60" x14ac:dyDescent="0.25">
      <c r="A55" s="1">
        <v>46101</v>
      </c>
      <c r="B55" s="33">
        <v>56.8</v>
      </c>
      <c r="C55" s="33">
        <v>99.14</v>
      </c>
      <c r="D55" s="15">
        <v>-8.7642979935882402E-3</v>
      </c>
      <c r="E55" s="15">
        <v>-7.9369482812701696E-3</v>
      </c>
      <c r="F55" s="33">
        <v>0</v>
      </c>
      <c r="G55" s="33">
        <v>0.28009699999999998</v>
      </c>
      <c r="H55" s="33">
        <v>0</v>
      </c>
      <c r="I55" s="33">
        <v>0.50749999999999995</v>
      </c>
      <c r="J55" s="33">
        <v>0.28009699999999998</v>
      </c>
      <c r="K55" s="33">
        <v>0.50749999999999995</v>
      </c>
      <c r="L55" s="33">
        <v>57.080096999999903</v>
      </c>
      <c r="M55" s="33">
        <v>99.647499999999994</v>
      </c>
      <c r="N55" s="34">
        <v>1.74542253521126</v>
      </c>
      <c r="O55" s="34">
        <v>1.74415850230319</v>
      </c>
      <c r="P55" s="34">
        <v>1.74408300761699</v>
      </c>
      <c r="Q55" s="34">
        <v>1.7441194336150601</v>
      </c>
      <c r="R55" s="33">
        <v>99.068202930821499</v>
      </c>
      <c r="S55" s="33">
        <v>99.060644089530896</v>
      </c>
      <c r="T55" s="33">
        <v>99.062642365920794</v>
      </c>
      <c r="U55" s="15">
        <v>-7.2446116010332895E-4</v>
      </c>
      <c r="V55" s="15">
        <v>-8.0076343923065501E-4</v>
      </c>
      <c r="W55" s="15">
        <v>-7.8059138953713505E-4</v>
      </c>
      <c r="X55" s="34">
        <v>1.7457486100627999</v>
      </c>
      <c r="Y55" s="34">
        <v>1.74495402592864</v>
      </c>
      <c r="Z55" s="34">
        <v>1.74441218622049</v>
      </c>
      <c r="AA55" s="34">
        <v>1.74440889904019</v>
      </c>
      <c r="AB55" s="33">
        <v>99.602145060547599</v>
      </c>
      <c r="AC55" s="33">
        <v>99.567915956958103</v>
      </c>
      <c r="AD55" s="33">
        <v>99.567236217745403</v>
      </c>
      <c r="AE55" s="15">
        <v>-4.55257425647443E-4</v>
      </c>
      <c r="AF55" s="15">
        <v>-7.9897478709870895E-4</v>
      </c>
      <c r="AG55" s="15">
        <v>-8.0580170043153404E-4</v>
      </c>
      <c r="AI55" s="12"/>
      <c r="AJ55">
        <f t="shared" si="6"/>
        <v>0</v>
      </c>
      <c r="AK55">
        <f t="shared" si="7"/>
        <v>0</v>
      </c>
      <c r="AL55">
        <f t="shared" si="14"/>
        <v>0</v>
      </c>
      <c r="AM55">
        <f t="shared" si="4"/>
        <v>1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0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1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0</v>
      </c>
      <c r="BE55" s="29">
        <f t="shared" si="22"/>
        <v>0</v>
      </c>
      <c r="BF55" s="29">
        <f t="shared" si="23"/>
        <v>0</v>
      </c>
      <c r="BH55" s="29"/>
    </row>
    <row r="56" spans="1:60" x14ac:dyDescent="0.25">
      <c r="A56" s="1">
        <v>46104</v>
      </c>
      <c r="B56" s="33">
        <v>57.01</v>
      </c>
      <c r="C56" s="33">
        <v>99.34</v>
      </c>
      <c r="D56" s="15">
        <v>3.6903653163847402E-3</v>
      </c>
      <c r="E56" s="15">
        <v>2.0153170867765499E-3</v>
      </c>
      <c r="F56" s="33">
        <v>0</v>
      </c>
      <c r="G56" s="33">
        <v>0.28009699999999998</v>
      </c>
      <c r="H56" s="33">
        <v>0</v>
      </c>
      <c r="I56" s="33">
        <v>0.50749999999999995</v>
      </c>
      <c r="J56" s="33">
        <v>0.28009699999999998</v>
      </c>
      <c r="K56" s="33">
        <v>0.50749999999999995</v>
      </c>
      <c r="L56" s="33">
        <v>57.290096999999903</v>
      </c>
      <c r="M56" s="33">
        <v>99.847499999999997</v>
      </c>
      <c r="N56" s="34">
        <v>1.7425013155586699</v>
      </c>
      <c r="O56" s="34">
        <v>1.74415850230319</v>
      </c>
      <c r="P56" s="34">
        <v>1.7439870452875299</v>
      </c>
      <c r="Q56" s="34">
        <v>1.7440020543380399</v>
      </c>
      <c r="R56" s="33">
        <v>99.4344762163052</v>
      </c>
      <c r="S56" s="33">
        <v>99.430172264245002</v>
      </c>
      <c r="T56" s="33">
        <v>99.432248910394506</v>
      </c>
      <c r="U56" s="15">
        <v>9.5058706950472297E-4</v>
      </c>
      <c r="V56" s="15">
        <v>9.0730182907883304E-4</v>
      </c>
      <c r="W56" s="15">
        <v>9.2818708369197698E-4</v>
      </c>
      <c r="X56" s="34">
        <v>1.7428404772992401</v>
      </c>
      <c r="Y56" s="34">
        <v>1.74495402592864</v>
      </c>
      <c r="Z56" s="34">
        <v>1.7443171081923601</v>
      </c>
      <c r="AA56" s="34">
        <v>1.74429986931006</v>
      </c>
      <c r="AB56" s="33">
        <v>99.968585405992599</v>
      </c>
      <c r="AC56" s="33">
        <v>99.937543356554301</v>
      </c>
      <c r="AD56" s="33">
        <v>99.9373550336759</v>
      </c>
      <c r="AE56" s="15">
        <v>1.21196870180075E-3</v>
      </c>
      <c r="AF56" s="15">
        <v>9.0140243872515997E-4</v>
      </c>
      <c r="AG56" s="15">
        <v>8.9951803122882202E-4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0</v>
      </c>
      <c r="AT56" s="12"/>
      <c r="AU56">
        <f t="shared" si="10"/>
        <v>0</v>
      </c>
      <c r="AV56">
        <f t="shared" si="11"/>
        <v>0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0</v>
      </c>
      <c r="BE56" s="29">
        <f t="shared" si="22"/>
        <v>0</v>
      </c>
      <c r="BF56" s="29">
        <f t="shared" si="23"/>
        <v>0</v>
      </c>
      <c r="BH56" s="29"/>
    </row>
    <row r="57" spans="1:60" x14ac:dyDescent="0.25">
      <c r="A57" s="1">
        <v>46105</v>
      </c>
      <c r="B57" s="33">
        <v>56.57</v>
      </c>
      <c r="C57" s="33">
        <v>98.8</v>
      </c>
      <c r="D57" s="15">
        <v>-7.7478816884260704E-3</v>
      </c>
      <c r="E57" s="15">
        <v>-5.4507049253823998E-3</v>
      </c>
      <c r="F57" s="33">
        <v>0</v>
      </c>
      <c r="G57" s="33">
        <v>0.28009699999999998</v>
      </c>
      <c r="H57" s="33">
        <v>0</v>
      </c>
      <c r="I57" s="33">
        <v>0.50749999999999995</v>
      </c>
      <c r="J57" s="33">
        <v>0.28009699999999998</v>
      </c>
      <c r="K57" s="33">
        <v>0.50749999999999995</v>
      </c>
      <c r="L57" s="33">
        <v>56.850096999999998</v>
      </c>
      <c r="M57" s="33">
        <v>99.307499999999905</v>
      </c>
      <c r="N57" s="34">
        <v>1.74650875022096</v>
      </c>
      <c r="O57" s="34">
        <v>1.74415850230319</v>
      </c>
      <c r="P57" s="34">
        <v>1.74410224941916</v>
      </c>
      <c r="Q57" s="34">
        <v>1.7440762907509499</v>
      </c>
      <c r="R57" s="33">
        <v>98.667046475291798</v>
      </c>
      <c r="S57" s="33">
        <v>98.6573471519159</v>
      </c>
      <c r="T57" s="33">
        <v>98.658196213903395</v>
      </c>
      <c r="U57" s="15">
        <v>-1.3465896935389401E-3</v>
      </c>
      <c r="V57" s="15">
        <v>-1.4448981003745099E-3</v>
      </c>
      <c r="W57" s="15">
        <v>-1.43629196653448E-3</v>
      </c>
      <c r="X57" s="34">
        <v>1.74683079256663</v>
      </c>
      <c r="Y57" s="34">
        <v>1.74495402592864</v>
      </c>
      <c r="Z57" s="34">
        <v>1.7444323334687499</v>
      </c>
      <c r="AA57" s="34">
        <v>1.7443816258753799</v>
      </c>
      <c r="AB57" s="33">
        <v>99.200805634584</v>
      </c>
      <c r="AC57" s="33">
        <v>99.164596799495399</v>
      </c>
      <c r="AD57" s="33">
        <v>99.163616767364502</v>
      </c>
      <c r="AE57" s="15">
        <v>-1.0749613256635299E-3</v>
      </c>
      <c r="AF57" s="15">
        <v>-1.44003341027537E-3</v>
      </c>
      <c r="AG57" s="15">
        <v>-1.44991634234383E-3</v>
      </c>
      <c r="AI57" s="12"/>
      <c r="AJ57">
        <f t="shared" si="6"/>
        <v>1</v>
      </c>
      <c r="AK57">
        <f t="shared" si="7"/>
        <v>0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0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0</v>
      </c>
      <c r="BE57" s="29">
        <f t="shared" si="22"/>
        <v>0</v>
      </c>
      <c r="BF57" s="29">
        <f t="shared" si="23"/>
        <v>0</v>
      </c>
      <c r="BH57" s="29"/>
    </row>
    <row r="58" spans="1:60" x14ac:dyDescent="0.25">
      <c r="A58" s="1">
        <v>46106</v>
      </c>
      <c r="B58" s="33">
        <v>56.72</v>
      </c>
      <c r="C58" s="33">
        <v>98.98</v>
      </c>
      <c r="D58" s="15">
        <v>2.6480728688077701E-3</v>
      </c>
      <c r="E58" s="15">
        <v>1.820204769918E-3</v>
      </c>
      <c r="F58" s="33">
        <v>0</v>
      </c>
      <c r="G58" s="33">
        <v>0.28009699999999998</v>
      </c>
      <c r="H58" s="33">
        <v>0</v>
      </c>
      <c r="I58" s="33">
        <v>0.50749999999999995</v>
      </c>
      <c r="J58" s="33">
        <v>0.28009699999999998</v>
      </c>
      <c r="K58" s="33">
        <v>0.50749999999999995</v>
      </c>
      <c r="L58" s="33">
        <v>57.000096999999997</v>
      </c>
      <c r="M58" s="33">
        <v>99.487499999999997</v>
      </c>
      <c r="N58" s="34">
        <v>1.74506346967559</v>
      </c>
      <c r="O58" s="34">
        <v>1.74415850230319</v>
      </c>
      <c r="P58" s="34">
        <v>1.74423044366451</v>
      </c>
      <c r="Q58" s="34">
        <v>1.7441616260725401</v>
      </c>
      <c r="R58" s="33">
        <v>98.928670250637296</v>
      </c>
      <c r="S58" s="33">
        <v>98.925479587054895</v>
      </c>
      <c r="T58" s="33">
        <v>98.924007211393899</v>
      </c>
      <c r="U58" s="15">
        <v>-5.1872159464917504E-4</v>
      </c>
      <c r="V58" s="15">
        <v>-5.5097427760029505E-4</v>
      </c>
      <c r="W58" s="15">
        <v>-5.6585807320551698E-4</v>
      </c>
      <c r="X58" s="34">
        <v>1.74539176661401</v>
      </c>
      <c r="Y58" s="34">
        <v>1.74495402592864</v>
      </c>
      <c r="Z58" s="34">
        <v>1.7445603437441899</v>
      </c>
      <c r="AA58" s="34">
        <v>1.74447460469212</v>
      </c>
      <c r="AB58" s="33">
        <v>99.462548738473302</v>
      </c>
      <c r="AC58" s="33">
        <v>99.432812217655197</v>
      </c>
      <c r="AD58" s="33">
        <v>99.429921879914602</v>
      </c>
      <c r="AE58" s="15">
        <v>-2.5082940985119199E-4</v>
      </c>
      <c r="AF58" s="15">
        <v>-5.4984614806644896E-4</v>
      </c>
      <c r="AG58" s="15">
        <v>-5.7891481951930803E-4</v>
      </c>
      <c r="AI58" s="12"/>
      <c r="AJ58">
        <f t="shared" si="6"/>
        <v>0</v>
      </c>
      <c r="AK58">
        <f t="shared" si="7"/>
        <v>0</v>
      </c>
      <c r="AL58">
        <f t="shared" si="14"/>
        <v>1</v>
      </c>
      <c r="AM58">
        <f t="shared" si="4"/>
        <v>1</v>
      </c>
      <c r="AN58">
        <f t="shared" si="15"/>
        <v>1</v>
      </c>
      <c r="AO58" s="28">
        <f t="shared" si="8"/>
        <v>2.6480728688077701E-3</v>
      </c>
      <c r="AP58" s="28">
        <f t="shared" si="9"/>
        <v>-1.820204769918E-3</v>
      </c>
      <c r="AQ58" s="28">
        <f t="shared" si="16"/>
        <v>8.2786809888977012E-4</v>
      </c>
      <c r="AR58" s="29">
        <f t="shared" si="17"/>
        <v>8.2786809888977012E-4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0</v>
      </c>
      <c r="BE58" s="29">
        <f t="shared" si="22"/>
        <v>8.2786809888977012E-4</v>
      </c>
      <c r="BF58" s="29">
        <f t="shared" si="23"/>
        <v>8.2786809888977012E-4</v>
      </c>
      <c r="BH58" s="29"/>
    </row>
    <row r="59" spans="1:60" x14ac:dyDescent="0.25">
      <c r="A59" s="1">
        <v>46107</v>
      </c>
      <c r="B59" s="33">
        <v>56.61</v>
      </c>
      <c r="C59" s="33">
        <v>98.73</v>
      </c>
      <c r="D59" s="15">
        <v>-1.9412341753035399E-3</v>
      </c>
      <c r="E59" s="15">
        <v>-2.5289579003817202E-3</v>
      </c>
      <c r="F59" s="33">
        <v>0</v>
      </c>
      <c r="G59" s="33">
        <v>0.28009699999999998</v>
      </c>
      <c r="H59" s="33">
        <v>0</v>
      </c>
      <c r="I59" s="33">
        <v>0.50749999999999995</v>
      </c>
      <c r="J59" s="33">
        <v>0.28009699999999998</v>
      </c>
      <c r="K59" s="33">
        <v>0.50749999999999995</v>
      </c>
      <c r="L59" s="33">
        <v>56.890096999999997</v>
      </c>
      <c r="M59" s="33">
        <v>99.237499999999997</v>
      </c>
      <c r="N59" s="34">
        <v>1.7440381558028599</v>
      </c>
      <c r="O59" s="34">
        <v>1.74415850230319</v>
      </c>
      <c r="P59" s="34">
        <v>1.7441583682594699</v>
      </c>
      <c r="Q59" s="34">
        <v>1.7441954680754701</v>
      </c>
      <c r="R59" s="33">
        <v>98.7368128153839</v>
      </c>
      <c r="S59" s="33">
        <v>98.740885415847899</v>
      </c>
      <c r="T59" s="33">
        <v>98.736989651966994</v>
      </c>
      <c r="U59" s="15">
        <v>6.9002130429139603E-5</v>
      </c>
      <c r="V59" s="15">
        <v>1.10248311653951E-4</v>
      </c>
      <c r="W59" s="15">
        <v>7.0793118204472494E-5</v>
      </c>
      <c r="X59" s="34">
        <v>1.7443721356284501</v>
      </c>
      <c r="Y59" s="34">
        <v>1.74495402592864</v>
      </c>
      <c r="Z59" s="34">
        <v>1.7444889851118299</v>
      </c>
      <c r="AA59" s="34">
        <v>1.74451638086804</v>
      </c>
      <c r="AB59" s="33">
        <v>99.270603795621199</v>
      </c>
      <c r="AC59" s="33">
        <v>99.248207177960595</v>
      </c>
      <c r="AD59" s="33">
        <v>99.243329474971802</v>
      </c>
      <c r="AE59" s="15">
        <v>3.3352588932237398E-4</v>
      </c>
      <c r="AF59" s="15">
        <v>1.07888654787496E-4</v>
      </c>
      <c r="AG59" s="15">
        <v>5.8740937237626203E-5</v>
      </c>
      <c r="AI59" s="12"/>
      <c r="AJ59">
        <f t="shared" si="6"/>
        <v>0</v>
      </c>
      <c r="AK59">
        <f t="shared" si="7"/>
        <v>1</v>
      </c>
      <c r="AL59">
        <f t="shared" si="14"/>
        <v>1</v>
      </c>
      <c r="AM59">
        <f t="shared" si="4"/>
        <v>1</v>
      </c>
      <c r="AN59">
        <f t="shared" si="15"/>
        <v>1</v>
      </c>
      <c r="AO59" s="28">
        <f t="shared" si="8"/>
        <v>-1.9412341753035399E-3</v>
      </c>
      <c r="AP59" s="28">
        <f t="shared" si="9"/>
        <v>2.5289579003817202E-3</v>
      </c>
      <c r="AQ59" s="28">
        <f t="shared" si="16"/>
        <v>5.8772372507818029E-4</v>
      </c>
      <c r="AR59" s="29">
        <f t="shared" si="17"/>
        <v>1.4155918239679504E-3</v>
      </c>
      <c r="AT59" s="12"/>
      <c r="AU59">
        <f t="shared" si="10"/>
        <v>0</v>
      </c>
      <c r="AV59">
        <f t="shared" si="11"/>
        <v>0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0</v>
      </c>
      <c r="BE59" s="29">
        <f t="shared" si="22"/>
        <v>5.8772372507818029E-4</v>
      </c>
      <c r="BF59" s="29">
        <f t="shared" si="23"/>
        <v>1.4155918239679504E-3</v>
      </c>
      <c r="BH59" s="29"/>
    </row>
    <row r="60" spans="1:60" x14ac:dyDescent="0.25">
      <c r="A60" s="1">
        <v>46108</v>
      </c>
      <c r="B60" s="33">
        <v>56.57</v>
      </c>
      <c r="C60" s="33">
        <v>98.67</v>
      </c>
      <c r="D60" s="15">
        <v>-7.0683869350417195E-4</v>
      </c>
      <c r="E60" s="15">
        <v>-6.0790275428300596E-4</v>
      </c>
      <c r="F60" s="33">
        <v>0</v>
      </c>
      <c r="G60" s="33">
        <v>0.28009699999999998</v>
      </c>
      <c r="H60" s="33">
        <v>0</v>
      </c>
      <c r="I60" s="33">
        <v>0.50749999999999995</v>
      </c>
      <c r="J60" s="33">
        <v>0.28009699999999998</v>
      </c>
      <c r="K60" s="33">
        <v>0.50749999999999995</v>
      </c>
      <c r="L60" s="33">
        <v>56.850096999999998</v>
      </c>
      <c r="M60" s="33">
        <v>99.177499999999995</v>
      </c>
      <c r="N60" s="34">
        <v>1.7442107123917201</v>
      </c>
      <c r="O60" s="34">
        <v>1.74415850230319</v>
      </c>
      <c r="P60" s="34">
        <v>1.7441887709749599</v>
      </c>
      <c r="Q60" s="34">
        <v>1.7442377105945599</v>
      </c>
      <c r="R60" s="33">
        <v>98.667046475291798</v>
      </c>
      <c r="S60" s="33">
        <v>98.667038892438299</v>
      </c>
      <c r="T60" s="33">
        <v>98.669137629029507</v>
      </c>
      <c r="U60" s="15">
        <v>-2.99338087921496E-5</v>
      </c>
      <c r="V60" s="15">
        <v>-3.0010661744192499E-5</v>
      </c>
      <c r="W60" s="15">
        <v>-8.7399892472548492E-6</v>
      </c>
      <c r="X60" s="34">
        <v>1.7445440770312099</v>
      </c>
      <c r="Y60" s="34">
        <v>1.74495402592864</v>
      </c>
      <c r="Z60" s="34">
        <v>1.7445197427646</v>
      </c>
      <c r="AA60" s="34">
        <v>1.7445665333246401</v>
      </c>
      <c r="AB60" s="33">
        <v>99.200805634584</v>
      </c>
      <c r="AC60" s="33">
        <v>99.174368019039093</v>
      </c>
      <c r="AD60" s="33">
        <v>99.175925470437093</v>
      </c>
      <c r="AE60" s="15">
        <v>2.3496152582546301E-4</v>
      </c>
      <c r="AF60" s="15">
        <v>-3.1580050063834798E-5</v>
      </c>
      <c r="AG60" s="15">
        <v>-1.5876000720456601E-5</v>
      </c>
      <c r="AI60" s="12"/>
      <c r="AJ60">
        <f t="shared" si="6"/>
        <v>0</v>
      </c>
      <c r="AK60">
        <f t="shared" si="7"/>
        <v>0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1.4155918239679504E-3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0</v>
      </c>
      <c r="BE60" s="29">
        <f t="shared" si="22"/>
        <v>0</v>
      </c>
      <c r="BF60" s="29">
        <f t="shared" si="23"/>
        <v>1.4155918239679504E-3</v>
      </c>
      <c r="BH60" s="29"/>
    </row>
    <row r="61" spans="1:60" x14ac:dyDescent="0.25">
      <c r="A61" s="1">
        <v>46111</v>
      </c>
      <c r="B61" s="33">
        <v>56.72</v>
      </c>
      <c r="C61" s="33">
        <v>98.83</v>
      </c>
      <c r="D61" s="15">
        <v>2.6480728688077701E-3</v>
      </c>
      <c r="E61" s="15">
        <v>1.6202535190171701E-3</v>
      </c>
      <c r="F61" s="33">
        <v>0</v>
      </c>
      <c r="G61" s="33">
        <v>0.28009699999999998</v>
      </c>
      <c r="H61" s="33">
        <v>0</v>
      </c>
      <c r="I61" s="33">
        <v>0.50749999999999995</v>
      </c>
      <c r="J61" s="33">
        <v>0.28009699999999998</v>
      </c>
      <c r="K61" s="33">
        <v>0.50749999999999995</v>
      </c>
      <c r="L61" s="33">
        <v>57.000096999999997</v>
      </c>
      <c r="M61" s="33">
        <v>99.337499999999906</v>
      </c>
      <c r="N61" s="34">
        <v>1.74241889985895</v>
      </c>
      <c r="O61" s="34">
        <v>1.74415850230319</v>
      </c>
      <c r="P61" s="34">
        <v>1.7441176174826001</v>
      </c>
      <c r="Q61" s="34">
        <v>1.74413193842448</v>
      </c>
      <c r="R61" s="33">
        <v>98.928670250637296</v>
      </c>
      <c r="S61" s="33">
        <v>98.930387089700105</v>
      </c>
      <c r="T61" s="33">
        <v>98.933162944923595</v>
      </c>
      <c r="U61" s="15">
        <v>9.9788554099837002E-4</v>
      </c>
      <c r="V61" s="15">
        <v>1.0152397029556501E-3</v>
      </c>
      <c r="W61" s="15">
        <v>1.0432979807251401E-3</v>
      </c>
      <c r="X61" s="34">
        <v>1.7427601921449301</v>
      </c>
      <c r="Y61" s="34">
        <v>1.74495402592864</v>
      </c>
      <c r="Z61" s="34">
        <v>1.74444939492471</v>
      </c>
      <c r="AA61" s="34">
        <v>1.7444616692392101</v>
      </c>
      <c r="AB61" s="33">
        <v>99.462548738473302</v>
      </c>
      <c r="AC61" s="33">
        <v>99.437794555997598</v>
      </c>
      <c r="AD61" s="33">
        <v>99.440461622458301</v>
      </c>
      <c r="AE61" s="15">
        <v>1.25803545581889E-3</v>
      </c>
      <c r="AF61" s="15">
        <v>1.00912504979798E-3</v>
      </c>
      <c r="AG61" s="15">
        <v>1.0359461464039699E-3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1.4155918239679504E-3</v>
      </c>
      <c r="AT61" s="12"/>
      <c r="AU61">
        <f t="shared" si="10"/>
        <v>1</v>
      </c>
      <c r="AV61">
        <f t="shared" si="11"/>
        <v>0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0</v>
      </c>
      <c r="BE61" s="29">
        <f t="shared" si="22"/>
        <v>0</v>
      </c>
      <c r="BF61" s="29">
        <f t="shared" si="23"/>
        <v>1.4155918239679504E-3</v>
      </c>
      <c r="BH61" s="29"/>
    </row>
    <row r="62" spans="1:60" x14ac:dyDescent="0.25">
      <c r="A62" s="1">
        <v>46112</v>
      </c>
      <c r="B62" s="33">
        <v>56.86</v>
      </c>
      <c r="C62" s="33">
        <v>99.08</v>
      </c>
      <c r="D62" s="15">
        <v>2.4652239989817102E-3</v>
      </c>
      <c r="E62" s="15">
        <v>2.52640223306623E-3</v>
      </c>
      <c r="F62" s="33">
        <v>0</v>
      </c>
      <c r="G62" s="33">
        <v>0.28009699999999998</v>
      </c>
      <c r="H62" s="33">
        <v>0</v>
      </c>
      <c r="I62" s="33">
        <v>0.50749999999999995</v>
      </c>
      <c r="J62" s="33">
        <v>0.28009699999999998</v>
      </c>
      <c r="K62" s="33">
        <v>0.50749999999999995</v>
      </c>
      <c r="L62" s="33">
        <v>57.140096999999997</v>
      </c>
      <c r="M62" s="33">
        <v>99.587499999999906</v>
      </c>
      <c r="N62" s="34">
        <v>1.7425255012310901</v>
      </c>
      <c r="O62" s="34">
        <v>1.74415850230319</v>
      </c>
      <c r="P62" s="34">
        <v>1.7440700458877401</v>
      </c>
      <c r="Q62" s="34">
        <v>1.7439983900482701</v>
      </c>
      <c r="R62" s="33">
        <v>99.172852440959701</v>
      </c>
      <c r="S62" s="33">
        <v>99.170527730060698</v>
      </c>
      <c r="T62" s="33">
        <v>99.171342018816404</v>
      </c>
      <c r="U62" s="15">
        <v>9.3670730691370902E-4</v>
      </c>
      <c r="V62" s="15">
        <v>9.1326603151474701E-4</v>
      </c>
      <c r="W62" s="15">
        <v>9.2147699329166003E-4</v>
      </c>
      <c r="X62" s="34">
        <v>1.74286543475766</v>
      </c>
      <c r="Y62" s="34">
        <v>1.74495402592864</v>
      </c>
      <c r="Z62" s="34">
        <v>1.74440243624352</v>
      </c>
      <c r="AA62" s="34">
        <v>1.7443290316879201</v>
      </c>
      <c r="AB62" s="33">
        <v>99.706842302103297</v>
      </c>
      <c r="AC62" s="33">
        <v>99.678007637589403</v>
      </c>
      <c r="AD62" s="33">
        <v>99.678708993110703</v>
      </c>
      <c r="AE62" s="15">
        <v>1.19764881420928E-3</v>
      </c>
      <c r="AF62" s="15">
        <v>9.0841254852887005E-4</v>
      </c>
      <c r="AG62" s="15">
        <v>9.1544873505101498E-4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0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1.4155918239679504E-3</v>
      </c>
      <c r="AT62" s="12"/>
      <c r="AU62">
        <f t="shared" si="10"/>
        <v>0</v>
      </c>
      <c r="AV62">
        <f t="shared" si="11"/>
        <v>0</v>
      </c>
      <c r="AW62">
        <f t="shared" si="18"/>
        <v>1</v>
      </c>
      <c r="AX62">
        <f t="shared" si="5"/>
        <v>0</v>
      </c>
      <c r="AY62">
        <f t="shared" si="19"/>
        <v>1</v>
      </c>
      <c r="AZ62" s="28">
        <f t="shared" si="12"/>
        <v>-2.4652239989817102E-3</v>
      </c>
      <c r="BA62" s="28">
        <f t="shared" si="13"/>
        <v>2.52640223306623E-3</v>
      </c>
      <c r="BB62" s="28">
        <f t="shared" si="20"/>
        <v>6.1178234084519837E-5</v>
      </c>
      <c r="BC62" s="29">
        <f t="shared" si="21"/>
        <v>6.1178234084519837E-5</v>
      </c>
      <c r="BE62" s="29">
        <f t="shared" si="22"/>
        <v>6.1178234084519837E-5</v>
      </c>
      <c r="BF62" s="29">
        <f t="shared" si="23"/>
        <v>1.4767700580524702E-3</v>
      </c>
      <c r="BH62" s="29"/>
    </row>
    <row r="63" spans="1:60" x14ac:dyDescent="0.25">
      <c r="A63" s="1">
        <v>46113</v>
      </c>
      <c r="B63" s="33">
        <v>56.88</v>
      </c>
      <c r="C63" s="33">
        <v>99.11</v>
      </c>
      <c r="D63" s="15">
        <v>3.5167927213170799E-4</v>
      </c>
      <c r="E63" s="15">
        <v>3.0273979745827298E-4</v>
      </c>
      <c r="F63" s="33">
        <v>0.14038100000000001</v>
      </c>
      <c r="G63" s="33">
        <v>0.42047800000000002</v>
      </c>
      <c r="H63" s="33">
        <v>0.25819999999999999</v>
      </c>
      <c r="I63" s="33">
        <v>0.76570000000000005</v>
      </c>
      <c r="J63" s="33">
        <v>0.42047800000000002</v>
      </c>
      <c r="K63" s="33">
        <v>0.76570000000000005</v>
      </c>
      <c r="L63" s="33">
        <v>57.300477999999998</v>
      </c>
      <c r="M63" s="33">
        <v>99.875699999999995</v>
      </c>
      <c r="N63" s="34">
        <v>1.7424402250351601</v>
      </c>
      <c r="O63" s="34">
        <v>1.74415850230319</v>
      </c>
      <c r="P63" s="34">
        <v>1.7439108622577899</v>
      </c>
      <c r="Q63" s="34">
        <v>1.7439446835553001</v>
      </c>
      <c r="R63" s="33">
        <v>99.207735611005802</v>
      </c>
      <c r="S63" s="33">
        <v>99.202704210095106</v>
      </c>
      <c r="T63" s="33">
        <v>99.198628425945699</v>
      </c>
      <c r="U63" s="15">
        <v>9.8564678158717992E-4</v>
      </c>
      <c r="V63" s="15">
        <v>9.3492968306923803E-4</v>
      </c>
      <c r="W63" s="15">
        <v>8.9384342527153095E-4</v>
      </c>
      <c r="X63" s="34">
        <v>1.7430168732623801</v>
      </c>
      <c r="Y63" s="34">
        <v>1.74495402592864</v>
      </c>
      <c r="Z63" s="34">
        <v>1.74426796820834</v>
      </c>
      <c r="AA63" s="34">
        <v>1.74428768012974</v>
      </c>
      <c r="AB63" s="33">
        <v>99.986699773735793</v>
      </c>
      <c r="AC63" s="33">
        <v>99.955093421118605</v>
      </c>
      <c r="AD63" s="33">
        <v>99.950887304995106</v>
      </c>
      <c r="AE63" s="15">
        <v>1.11076205703584E-3</v>
      </c>
      <c r="AF63" s="15">
        <v>7.9460651621187099E-4</v>
      </c>
      <c r="AG63" s="15">
        <v>7.5252557287143603E-4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1.4155918239679504E-3</v>
      </c>
      <c r="AT63" s="12"/>
      <c r="AU63">
        <f t="shared" si="10"/>
        <v>0</v>
      </c>
      <c r="AV63">
        <f t="shared" si="11"/>
        <v>0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6.1178234084519837E-5</v>
      </c>
      <c r="BE63" s="29">
        <f t="shared" si="22"/>
        <v>0</v>
      </c>
      <c r="BF63" s="29">
        <f t="shared" si="23"/>
        <v>1.4767700580524702E-3</v>
      </c>
      <c r="BH63" s="29"/>
    </row>
    <row r="64" spans="1:60" x14ac:dyDescent="0.25">
      <c r="A64" s="1">
        <v>46114</v>
      </c>
      <c r="B64" s="33">
        <v>56.97</v>
      </c>
      <c r="C64" s="33">
        <v>99.34</v>
      </c>
      <c r="D64" s="15">
        <v>1.5810279973187699E-3</v>
      </c>
      <c r="E64" s="15">
        <v>2.3179652605874001E-3</v>
      </c>
      <c r="F64" s="33">
        <v>0</v>
      </c>
      <c r="G64" s="33">
        <v>0.42047800000000002</v>
      </c>
      <c r="H64" s="33">
        <v>0</v>
      </c>
      <c r="I64" s="33">
        <v>0.76570000000000005</v>
      </c>
      <c r="J64" s="33">
        <v>0.42047800000000002</v>
      </c>
      <c r="K64" s="33">
        <v>0.76570000000000005</v>
      </c>
      <c r="L64" s="33">
        <v>57.390478000000002</v>
      </c>
      <c r="M64" s="33">
        <v>100.1057</v>
      </c>
      <c r="N64" s="34">
        <v>1.74372476742145</v>
      </c>
      <c r="O64" s="34">
        <v>1.74415850230319</v>
      </c>
      <c r="P64" s="34">
        <v>1.7438854332407701</v>
      </c>
      <c r="Q64" s="34">
        <v>1.7439554286761101</v>
      </c>
      <c r="R64" s="33">
        <v>99.364709876213098</v>
      </c>
      <c r="S64" s="33">
        <v>99.350601822826405</v>
      </c>
      <c r="T64" s="33">
        <v>99.352528622145698</v>
      </c>
      <c r="U64" s="15">
        <v>2.4870951831849501E-4</v>
      </c>
      <c r="V64" s="15">
        <v>1.06716902956153E-4</v>
      </c>
      <c r="W64" s="15">
        <v>1.2611065196282899E-4</v>
      </c>
      <c r="X64" s="34">
        <v>1.7442910999974499</v>
      </c>
      <c r="Y64" s="34">
        <v>1.74495402592864</v>
      </c>
      <c r="Z64" s="34">
        <v>1.7442661459364801</v>
      </c>
      <c r="AA64" s="34">
        <v>1.74431025196776</v>
      </c>
      <c r="AB64" s="33">
        <v>100.143745636069</v>
      </c>
      <c r="AC64" s="33">
        <v>100.104372455565</v>
      </c>
      <c r="AD64" s="33">
        <v>100.105503732157</v>
      </c>
      <c r="AE64" s="15">
        <v>3.7998244046398002E-4</v>
      </c>
      <c r="AF64" s="15">
        <v>-1.3261514945468499E-5</v>
      </c>
      <c r="AG64" s="15">
        <v>-1.9606079871561499E-6</v>
      </c>
      <c r="AI64" s="12"/>
      <c r="AJ64">
        <f t="shared" si="6"/>
        <v>0</v>
      </c>
      <c r="AK64">
        <f t="shared" si="7"/>
        <v>0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1.4155918239679504E-3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6.1178234084519837E-5</v>
      </c>
      <c r="BE64" s="29">
        <f t="shared" si="22"/>
        <v>0</v>
      </c>
      <c r="BF64" s="29">
        <f t="shared" si="23"/>
        <v>1.4767700580524702E-3</v>
      </c>
      <c r="BH64" s="29"/>
    </row>
    <row r="65" spans="1:60" x14ac:dyDescent="0.25">
      <c r="A65" s="1">
        <v>46118</v>
      </c>
      <c r="B65" s="33">
        <v>56.94</v>
      </c>
      <c r="C65" s="33">
        <v>99.25</v>
      </c>
      <c r="D65" s="15">
        <v>-5.2673164241268404E-4</v>
      </c>
      <c r="E65" s="15">
        <v>-9.0639011190464904E-4</v>
      </c>
      <c r="F65" s="33">
        <v>0</v>
      </c>
      <c r="G65" s="33">
        <v>0.42047800000000002</v>
      </c>
      <c r="H65" s="33">
        <v>0</v>
      </c>
      <c r="I65" s="33">
        <v>0.76570000000000005</v>
      </c>
      <c r="J65" s="33">
        <v>0.42047800000000002</v>
      </c>
      <c r="K65" s="33">
        <v>0.76570000000000005</v>
      </c>
      <c r="L65" s="33">
        <v>57.360478000000001</v>
      </c>
      <c r="M65" s="33">
        <v>100.0157</v>
      </c>
      <c r="N65" s="34">
        <v>1.7430628731998501</v>
      </c>
      <c r="O65" s="34">
        <v>1.74415850230319</v>
      </c>
      <c r="P65" s="34">
        <v>1.7436494670396301</v>
      </c>
      <c r="Q65" s="34">
        <v>1.74386623732831</v>
      </c>
      <c r="R65" s="33">
        <v>99.312385121144004</v>
      </c>
      <c r="S65" s="33">
        <v>99.296836568729702</v>
      </c>
      <c r="T65" s="33">
        <v>99.300822108818096</v>
      </c>
      <c r="U65" s="15">
        <v>6.2836798781057E-4</v>
      </c>
      <c r="V65" s="15">
        <v>4.7179366247262198E-4</v>
      </c>
      <c r="W65" s="15">
        <v>5.11930491027902E-4</v>
      </c>
      <c r="X65" s="34">
        <v>1.7436343539535999</v>
      </c>
      <c r="Y65" s="34">
        <v>1.74495402592864</v>
      </c>
      <c r="Z65" s="34">
        <v>1.7440547203255601</v>
      </c>
      <c r="AA65" s="34">
        <v>1.7442334532730199</v>
      </c>
      <c r="AB65" s="33">
        <v>100.09139701529099</v>
      </c>
      <c r="AC65" s="33">
        <v>100.05193989013399</v>
      </c>
      <c r="AD65" s="33">
        <v>100.054469833171</v>
      </c>
      <c r="AE65" s="15">
        <v>7.5656505972352902E-4</v>
      </c>
      <c r="AF65" s="15">
        <v>3.6227638363225701E-4</v>
      </c>
      <c r="AG65" s="15">
        <v>3.87562360634583E-4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1.4155918239679504E-3</v>
      </c>
      <c r="AT65" s="12"/>
      <c r="AU65">
        <f t="shared" si="10"/>
        <v>0</v>
      </c>
      <c r="AV65">
        <f t="shared" si="11"/>
        <v>0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6.1178234084519837E-5</v>
      </c>
      <c r="BE65" s="29">
        <f t="shared" si="22"/>
        <v>0</v>
      </c>
      <c r="BF65" s="29">
        <f t="shared" si="23"/>
        <v>1.4767700580524702E-3</v>
      </c>
      <c r="BH65" s="29"/>
    </row>
    <row r="66" spans="1:60" x14ac:dyDescent="0.25">
      <c r="A66" s="1">
        <v>46119</v>
      </c>
      <c r="B66" s="33">
        <v>56.98</v>
      </c>
      <c r="C66" s="33">
        <v>99.4</v>
      </c>
      <c r="D66" s="15">
        <v>7.0224721987072799E-4</v>
      </c>
      <c r="E66" s="15">
        <v>1.51019409522869E-3</v>
      </c>
      <c r="F66" s="33">
        <v>0</v>
      </c>
      <c r="G66" s="33">
        <v>0.42047800000000002</v>
      </c>
      <c r="H66" s="33">
        <v>0</v>
      </c>
      <c r="I66" s="33">
        <v>0.76570000000000005</v>
      </c>
      <c r="J66" s="33">
        <v>0.42047800000000002</v>
      </c>
      <c r="K66" s="33">
        <v>0.76570000000000005</v>
      </c>
      <c r="L66" s="33">
        <v>57.400478</v>
      </c>
      <c r="M66" s="33">
        <v>100.1657</v>
      </c>
      <c r="N66" s="34">
        <v>1.7444717444717399</v>
      </c>
      <c r="O66" s="34">
        <v>1.74415850230319</v>
      </c>
      <c r="P66" s="34">
        <v>1.7438465099309399</v>
      </c>
      <c r="Q66" s="34">
        <v>1.7439167776092299</v>
      </c>
      <c r="R66" s="33">
        <v>99.382151461236106</v>
      </c>
      <c r="S66" s="33">
        <v>99.353146631918307</v>
      </c>
      <c r="T66" s="33">
        <v>99.365498202967402</v>
      </c>
      <c r="U66" s="15">
        <v>-1.79578887547315E-4</v>
      </c>
      <c r="V66" s="15">
        <v>-4.7147297784719798E-4</v>
      </c>
      <c r="W66" s="15">
        <v>-3.4716082711528301E-4</v>
      </c>
      <c r="X66" s="34">
        <v>1.74503250652372</v>
      </c>
      <c r="Y66" s="34">
        <v>1.74495402592864</v>
      </c>
      <c r="Z66" s="34">
        <v>1.744273923248</v>
      </c>
      <c r="AA66" s="34">
        <v>1.74429551572018</v>
      </c>
      <c r="AB66" s="33">
        <v>100.16119517632799</v>
      </c>
      <c r="AC66" s="33">
        <v>100.109574604843</v>
      </c>
      <c r="AD66" s="33">
        <v>100.11983396146201</v>
      </c>
      <c r="AE66" s="15">
        <v>-4.4974726614760202E-5</v>
      </c>
      <c r="AF66" s="15">
        <v>-5.6048253321858404E-4</v>
      </c>
      <c r="AG66" s="15">
        <v>-4.5800651132497E-4</v>
      </c>
      <c r="AI66" s="12"/>
      <c r="AJ66">
        <f t="shared" si="6"/>
        <v>0</v>
      </c>
      <c r="AK66">
        <f t="shared" si="7"/>
        <v>0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1.4155918239679504E-3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6.1178234084519837E-5</v>
      </c>
      <c r="BE66" s="29">
        <f t="shared" si="22"/>
        <v>0</v>
      </c>
      <c r="BF66" s="29">
        <f t="shared" si="23"/>
        <v>1.4767700580524702E-3</v>
      </c>
      <c r="BH66" s="29"/>
    </row>
    <row r="67" spans="1:60" x14ac:dyDescent="0.25">
      <c r="A67" s="1">
        <v>46120</v>
      </c>
      <c r="B67" s="33">
        <v>57.21</v>
      </c>
      <c r="C67" s="33">
        <v>99.73</v>
      </c>
      <c r="D67" s="15">
        <v>4.0283792106751296E-3</v>
      </c>
      <c r="E67" s="15">
        <v>3.3144207512481399E-3</v>
      </c>
      <c r="F67" s="33">
        <v>0</v>
      </c>
      <c r="G67" s="33">
        <v>0.42047800000000002</v>
      </c>
      <c r="H67" s="33">
        <v>0</v>
      </c>
      <c r="I67" s="33">
        <v>0.76570000000000005</v>
      </c>
      <c r="J67" s="33">
        <v>0.42047800000000002</v>
      </c>
      <c r="K67" s="33">
        <v>0.76570000000000005</v>
      </c>
      <c r="L67" s="33">
        <v>57.630477999999997</v>
      </c>
      <c r="M67" s="33">
        <v>100.4957</v>
      </c>
      <c r="N67" s="34">
        <v>1.7432267086173701</v>
      </c>
      <c r="O67" s="34">
        <v>1.74415850230319</v>
      </c>
      <c r="P67" s="34">
        <v>1.7435183057705801</v>
      </c>
      <c r="Q67" s="34">
        <v>1.7438102775948701</v>
      </c>
      <c r="R67" s="33">
        <v>99.783307916765807</v>
      </c>
      <c r="S67" s="33">
        <v>99.765458833149097</v>
      </c>
      <c r="T67" s="33">
        <v>99.769478847024502</v>
      </c>
      <c r="U67" s="15">
        <v>5.3437957187963303E-4</v>
      </c>
      <c r="V67" s="15">
        <v>3.5548511961107398E-4</v>
      </c>
      <c r="W67" s="15">
        <v>3.9577895409117201E-4</v>
      </c>
      <c r="X67" s="34">
        <v>1.74379431661142</v>
      </c>
      <c r="Y67" s="34">
        <v>1.74495402592864</v>
      </c>
      <c r="Z67" s="34">
        <v>1.74397027565248</v>
      </c>
      <c r="AA67" s="34">
        <v>1.7442013045606199</v>
      </c>
      <c r="AB67" s="33">
        <v>100.562534602292</v>
      </c>
      <c r="AC67" s="33">
        <v>100.523339959718</v>
      </c>
      <c r="AD67" s="33">
        <v>100.52458434421</v>
      </c>
      <c r="AE67" s="15">
        <v>6.6482832584524099E-4</v>
      </c>
      <c r="AF67" s="15">
        <v>2.7499842699281099E-4</v>
      </c>
      <c r="AG67" s="15">
        <v>2.8737741073171699E-4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1.4155918239679504E-3</v>
      </c>
      <c r="AT67" s="12"/>
      <c r="AU67">
        <f t="shared" si="10"/>
        <v>0</v>
      </c>
      <c r="AV67">
        <f t="shared" si="11"/>
        <v>0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6.1178234084519837E-5</v>
      </c>
      <c r="BE67" s="29">
        <f t="shared" si="22"/>
        <v>0</v>
      </c>
      <c r="BF67" s="29">
        <f t="shared" si="23"/>
        <v>1.4767700580524702E-3</v>
      </c>
      <c r="BH67" s="29"/>
    </row>
    <row r="68" spans="1:60" x14ac:dyDescent="0.25">
      <c r="A68" s="1">
        <v>46121</v>
      </c>
      <c r="B68" s="33">
        <v>57.3</v>
      </c>
      <c r="C68" s="33">
        <v>99.92</v>
      </c>
      <c r="D68" s="15">
        <v>1.57191544025651E-3</v>
      </c>
      <c r="E68" s="15">
        <v>1.9033314035456399E-3</v>
      </c>
      <c r="F68" s="33">
        <v>0</v>
      </c>
      <c r="G68" s="33">
        <v>0.42047800000000002</v>
      </c>
      <c r="H68" s="33">
        <v>0</v>
      </c>
      <c r="I68" s="33">
        <v>0.76570000000000005</v>
      </c>
      <c r="J68" s="33">
        <v>0.42047800000000002</v>
      </c>
      <c r="K68" s="33">
        <v>0.76570000000000005</v>
      </c>
      <c r="L68" s="33">
        <v>57.720478</v>
      </c>
      <c r="M68" s="33">
        <v>100.6857</v>
      </c>
      <c r="N68" s="34">
        <v>1.7438045375218101</v>
      </c>
      <c r="O68" s="34">
        <v>1.74415850230319</v>
      </c>
      <c r="P68" s="34">
        <v>1.7433924125552001</v>
      </c>
      <c r="Q68" s="34">
        <v>1.74381142810985</v>
      </c>
      <c r="R68" s="33">
        <v>99.940282181973103</v>
      </c>
      <c r="S68" s="33">
        <v>99.903598920654304</v>
      </c>
      <c r="T68" s="33">
        <v>99.920328906186199</v>
      </c>
      <c r="U68" s="15">
        <v>2.02963608590425E-4</v>
      </c>
      <c r="V68" s="15">
        <v>-1.6415557993187401E-4</v>
      </c>
      <c r="W68" s="15">
        <v>3.2916898007824099E-6</v>
      </c>
      <c r="X68" s="34">
        <v>1.7443670511529701</v>
      </c>
      <c r="Y68" s="34">
        <v>1.74495402592864</v>
      </c>
      <c r="Z68" s="34">
        <v>1.74386780410638</v>
      </c>
      <c r="AA68" s="34">
        <v>1.7442140739252801</v>
      </c>
      <c r="AB68" s="33">
        <v>100.719580464625</v>
      </c>
      <c r="AC68" s="33">
        <v>100.662797928453</v>
      </c>
      <c r="AD68" s="33">
        <v>100.676133027462</v>
      </c>
      <c r="AE68" s="15">
        <v>3.3644068186574098E-4</v>
      </c>
      <c r="AF68" s="15">
        <v>-2.2748688846449601E-4</v>
      </c>
      <c r="AG68" s="15">
        <v>-9.5022700188591798E-5</v>
      </c>
      <c r="AI68" s="12"/>
      <c r="AJ68">
        <f t="shared" si="6"/>
        <v>0</v>
      </c>
      <c r="AK68">
        <f t="shared" si="7"/>
        <v>0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1.4155918239679504E-3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6.1178234084519837E-5</v>
      </c>
      <c r="BE68" s="29">
        <f t="shared" si="22"/>
        <v>0</v>
      </c>
      <c r="BF68" s="29">
        <f t="shared" si="23"/>
        <v>1.4767700580524702E-3</v>
      </c>
      <c r="BH68" s="29"/>
    </row>
    <row r="69" spans="1:60" x14ac:dyDescent="0.25">
      <c r="A69" s="1">
        <v>46122</v>
      </c>
      <c r="B69" s="33">
        <v>57.25</v>
      </c>
      <c r="C69" s="33">
        <v>99.86</v>
      </c>
      <c r="D69" s="15">
        <v>-8.7298128634484204E-4</v>
      </c>
      <c r="E69" s="15">
        <v>-6.0066074485905403E-4</v>
      </c>
      <c r="F69" s="33">
        <v>0</v>
      </c>
      <c r="G69" s="33">
        <v>0.42047800000000002</v>
      </c>
      <c r="H69" s="33">
        <v>0</v>
      </c>
      <c r="I69" s="33">
        <v>0.76570000000000005</v>
      </c>
      <c r="J69" s="33">
        <v>0.42047800000000002</v>
      </c>
      <c r="K69" s="33">
        <v>0.76570000000000005</v>
      </c>
      <c r="L69" s="33">
        <v>57.670478000000003</v>
      </c>
      <c r="M69" s="33">
        <v>100.62569999999999</v>
      </c>
      <c r="N69" s="34">
        <v>1.74427947598253</v>
      </c>
      <c r="O69" s="34">
        <v>1.74415850230319</v>
      </c>
      <c r="P69" s="34">
        <v>1.74341654457317</v>
      </c>
      <c r="Q69" s="34">
        <v>1.74378745641632</v>
      </c>
      <c r="R69" s="33">
        <v>99.853074256857994</v>
      </c>
      <c r="S69" s="33">
        <v>99.809215618785402</v>
      </c>
      <c r="T69" s="33">
        <v>99.833204259289303</v>
      </c>
      <c r="U69" s="15">
        <v>-6.9356932895379305E-5</v>
      </c>
      <c r="V69" s="15">
        <v>-5.0868514860671497E-4</v>
      </c>
      <c r="W69" s="15">
        <v>-2.68369081170123E-4</v>
      </c>
      <c r="X69" s="34">
        <v>1.7448390145127599</v>
      </c>
      <c r="Y69" s="34">
        <v>1.74495402592864</v>
      </c>
      <c r="Z69" s="34">
        <v>1.74391449199481</v>
      </c>
      <c r="AA69" s="34">
        <v>1.7442017385533199</v>
      </c>
      <c r="AB69" s="33">
        <v>100.632332763329</v>
      </c>
      <c r="AC69" s="33">
        <v>100.569689831625</v>
      </c>
      <c r="AD69" s="33">
        <v>100.589659377598</v>
      </c>
      <c r="AE69" s="15">
        <v>6.5913029564804602E-5</v>
      </c>
      <c r="AF69" s="15">
        <v>-5.5677388898648403E-4</v>
      </c>
      <c r="AG69" s="15">
        <v>-3.5822934092207302E-4</v>
      </c>
      <c r="AI69" s="12"/>
      <c r="AJ69">
        <f t="shared" si="6"/>
        <v>0</v>
      </c>
      <c r="AK69">
        <f t="shared" si="7"/>
        <v>0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1.4155918239679504E-3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6.1178234084519837E-5</v>
      </c>
      <c r="BE69" s="29">
        <f t="shared" si="22"/>
        <v>0</v>
      </c>
      <c r="BF69" s="29">
        <f t="shared" si="23"/>
        <v>1.4767700580524702E-3</v>
      </c>
      <c r="BH69" s="29"/>
    </row>
    <row r="70" spans="1:60" x14ac:dyDescent="0.25">
      <c r="A70" s="1">
        <v>46125</v>
      </c>
      <c r="B70" s="33">
        <v>57.34</v>
      </c>
      <c r="C70" s="33">
        <v>100.01</v>
      </c>
      <c r="D70" s="15">
        <v>1.5708180208748701E-3</v>
      </c>
      <c r="E70" s="15">
        <v>1.50097591596146E-3</v>
      </c>
      <c r="F70" s="33">
        <v>0</v>
      </c>
      <c r="G70" s="33">
        <v>0.42047800000000002</v>
      </c>
      <c r="H70" s="33">
        <v>0</v>
      </c>
      <c r="I70" s="33">
        <v>0.76570000000000005</v>
      </c>
      <c r="J70" s="33">
        <v>0.42047800000000002</v>
      </c>
      <c r="K70" s="33">
        <v>0.76570000000000005</v>
      </c>
      <c r="L70" s="33">
        <v>57.760477999999999</v>
      </c>
      <c r="M70" s="33">
        <v>100.7757</v>
      </c>
      <c r="N70" s="34">
        <v>1.7441576560865</v>
      </c>
      <c r="O70" s="34">
        <v>1.74415850230319</v>
      </c>
      <c r="P70" s="34">
        <v>1.7434112389426399</v>
      </c>
      <c r="Q70" s="34">
        <v>1.7438000049588001</v>
      </c>
      <c r="R70" s="33">
        <v>100.01004852206501</v>
      </c>
      <c r="S70" s="33">
        <v>99.967504665825601</v>
      </c>
      <c r="T70" s="33">
        <v>99.988772750911806</v>
      </c>
      <c r="U70" s="15">
        <v>4.8517201788211997E-7</v>
      </c>
      <c r="V70" s="15">
        <v>-4.2500115085453101E-4</v>
      </c>
      <c r="W70" s="15">
        <v>-2.1227379424228901E-4</v>
      </c>
      <c r="X70" s="34">
        <v>1.7447172095771</v>
      </c>
      <c r="Y70" s="34">
        <v>1.74495402592864</v>
      </c>
      <c r="Z70" s="34">
        <v>1.7439318052493999</v>
      </c>
      <c r="AA70" s="34">
        <v>1.744225774007</v>
      </c>
      <c r="AB70" s="33">
        <v>100.78937862566301</v>
      </c>
      <c r="AC70" s="33">
        <v>100.729334648747</v>
      </c>
      <c r="AD70" s="33">
        <v>100.74592614727</v>
      </c>
      <c r="AE70" s="15">
        <v>1.3572416191610801E-4</v>
      </c>
      <c r="AF70" s="15">
        <v>-4.60190507412039E-4</v>
      </c>
      <c r="AG70" s="15">
        <v>-2.95490399863403E-4</v>
      </c>
      <c r="AI70" s="12"/>
      <c r="AJ70">
        <f t="shared" si="6"/>
        <v>0</v>
      </c>
      <c r="AK70">
        <f t="shared" si="7"/>
        <v>0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1.4155918239679504E-3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6.1178234084519837E-5</v>
      </c>
      <c r="BE70" s="29">
        <f t="shared" si="22"/>
        <v>0</v>
      </c>
      <c r="BF70" s="29">
        <f t="shared" si="23"/>
        <v>1.4767700580524702E-3</v>
      </c>
      <c r="BH70" s="29"/>
    </row>
    <row r="71" spans="1:60" x14ac:dyDescent="0.25">
      <c r="A71" s="1">
        <v>46126</v>
      </c>
      <c r="B71" s="33">
        <v>57.37</v>
      </c>
      <c r="C71" s="33">
        <v>100.06</v>
      </c>
      <c r="D71" s="15">
        <v>5.2305815855581005E-4</v>
      </c>
      <c r="E71" s="15">
        <v>4.9982507163416796E-4</v>
      </c>
      <c r="F71" s="33">
        <v>0</v>
      </c>
      <c r="G71" s="33">
        <v>0.42047800000000002</v>
      </c>
      <c r="H71" s="33">
        <v>0</v>
      </c>
      <c r="I71" s="33">
        <v>0.76570000000000005</v>
      </c>
      <c r="J71" s="33">
        <v>0.42047800000000002</v>
      </c>
      <c r="K71" s="33">
        <v>0.76570000000000005</v>
      </c>
      <c r="L71" s="33">
        <v>57.790478</v>
      </c>
      <c r="M71" s="33">
        <v>100.8257</v>
      </c>
      <c r="N71" s="34">
        <v>1.74411713439079</v>
      </c>
      <c r="O71" s="34">
        <v>1.74415850230319</v>
      </c>
      <c r="P71" s="34">
        <v>1.7435810623958301</v>
      </c>
      <c r="Q71" s="34">
        <v>1.7438493399392101</v>
      </c>
      <c r="R71" s="33">
        <v>100.062373277134</v>
      </c>
      <c r="S71" s="33">
        <v>100.019502778139</v>
      </c>
      <c r="T71" s="33">
        <v>100.041806284486</v>
      </c>
      <c r="U71" s="15">
        <v>2.3718258939525301E-5</v>
      </c>
      <c r="V71" s="15">
        <v>-4.0481130601521603E-4</v>
      </c>
      <c r="W71" s="15">
        <v>-1.81844591022304E-4</v>
      </c>
      <c r="X71" s="34">
        <v>1.74467669223985</v>
      </c>
      <c r="Y71" s="34">
        <v>1.74495402592864</v>
      </c>
      <c r="Z71" s="34">
        <v>1.74412345525889</v>
      </c>
      <c r="AA71" s="34">
        <v>1.7442864250918</v>
      </c>
      <c r="AB71" s="33">
        <v>100.84172724644</v>
      </c>
      <c r="AC71" s="33">
        <v>100.78265262476501</v>
      </c>
      <c r="AD71" s="33">
        <v>100.79964121978399</v>
      </c>
      <c r="AE71" s="15">
        <v>1.5894729945670501E-4</v>
      </c>
      <c r="AF71" s="15">
        <v>-4.2703960751386402E-4</v>
      </c>
      <c r="AG71" s="15">
        <v>-2.5848715446790001E-4</v>
      </c>
      <c r="AI71" s="12"/>
      <c r="AJ71">
        <f t="shared" si="6"/>
        <v>0</v>
      </c>
      <c r="AK71">
        <f t="shared" si="7"/>
        <v>0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1.4155918239679504E-3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6.1178234084519837E-5</v>
      </c>
      <c r="BE71" s="29">
        <f t="shared" si="22"/>
        <v>0</v>
      </c>
      <c r="BF71" s="29">
        <f t="shared" si="23"/>
        <v>1.4767700580524702E-3</v>
      </c>
      <c r="BH71" s="29"/>
    </row>
    <row r="72" spans="1:60" x14ac:dyDescent="0.25">
      <c r="A72" s="1">
        <v>46127</v>
      </c>
      <c r="B72" s="33">
        <v>57.27</v>
      </c>
      <c r="C72" s="33">
        <v>99.96</v>
      </c>
      <c r="D72" s="15">
        <v>-1.7445922080136999E-3</v>
      </c>
      <c r="E72" s="15">
        <v>-9.999000933074069E-4</v>
      </c>
      <c r="F72" s="33">
        <v>0</v>
      </c>
      <c r="G72" s="33">
        <v>0.42047800000000002</v>
      </c>
      <c r="H72" s="33">
        <v>0</v>
      </c>
      <c r="I72" s="33">
        <v>0.76570000000000005</v>
      </c>
      <c r="J72" s="33">
        <v>0.42047800000000002</v>
      </c>
      <c r="K72" s="33">
        <v>0.76570000000000005</v>
      </c>
      <c r="L72" s="33">
        <v>57.690477999999999</v>
      </c>
      <c r="M72" s="33">
        <v>100.72569999999899</v>
      </c>
      <c r="N72" s="34">
        <v>1.7454164484023</v>
      </c>
      <c r="O72" s="34">
        <v>1.74415850230319</v>
      </c>
      <c r="P72" s="34">
        <v>1.74387015711295</v>
      </c>
      <c r="Q72" s="34">
        <v>1.7439701015003499</v>
      </c>
      <c r="R72" s="33">
        <v>99.887957426903995</v>
      </c>
      <c r="S72" s="33">
        <v>99.854887443409297</v>
      </c>
      <c r="T72" s="33">
        <v>99.870251698318995</v>
      </c>
      <c r="U72" s="15">
        <v>-7.2097385576676699E-4</v>
      </c>
      <c r="V72" s="15">
        <v>-1.0520994469570099E-3</v>
      </c>
      <c r="W72" s="15">
        <v>-8.9824545535663997E-4</v>
      </c>
      <c r="X72" s="34">
        <v>1.7459675061108</v>
      </c>
      <c r="Y72" s="34">
        <v>1.74495402592864</v>
      </c>
      <c r="Z72" s="34">
        <v>1.74443366239421</v>
      </c>
      <c r="AA72" s="34">
        <v>1.7444180493188599</v>
      </c>
      <c r="AB72" s="33">
        <v>100.667231843848</v>
      </c>
      <c r="AC72" s="33">
        <v>100.619315824897</v>
      </c>
      <c r="AD72" s="33">
        <v>100.628717632457</v>
      </c>
      <c r="AE72" s="15">
        <v>-5.8063763469104305E-4</v>
      </c>
      <c r="AF72" s="15">
        <v>-1.0567352220429501E-3</v>
      </c>
      <c r="AG72" s="15">
        <v>-9.6330019656292105E-4</v>
      </c>
      <c r="AI72" s="12"/>
      <c r="AJ72">
        <f t="shared" si="6"/>
        <v>0</v>
      </c>
      <c r="AK72">
        <f t="shared" si="7"/>
        <v>0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1.4155918239679504E-3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6.1178234084519837E-5</v>
      </c>
      <c r="BE72" s="29">
        <f t="shared" si="22"/>
        <v>0</v>
      </c>
      <c r="BF72" s="29">
        <f t="shared" si="23"/>
        <v>1.4767700580524702E-3</v>
      </c>
      <c r="BH72" s="29"/>
    </row>
    <row r="73" spans="1:60" x14ac:dyDescent="0.25">
      <c r="A73" s="1">
        <v>46128</v>
      </c>
      <c r="B73" s="33">
        <v>57.32</v>
      </c>
      <c r="C73" s="33">
        <v>99.97</v>
      </c>
      <c r="D73" s="15">
        <v>8.7267655420516404E-4</v>
      </c>
      <c r="E73" s="15">
        <v>1.00035012337804E-4</v>
      </c>
      <c r="F73" s="33">
        <v>0</v>
      </c>
      <c r="G73" s="33">
        <v>0.42047800000000002</v>
      </c>
      <c r="H73" s="33">
        <v>0</v>
      </c>
      <c r="I73" s="33">
        <v>0.76570000000000005</v>
      </c>
      <c r="J73" s="33">
        <v>0.42047800000000002</v>
      </c>
      <c r="K73" s="33">
        <v>0.76570000000000005</v>
      </c>
      <c r="L73" s="33">
        <v>57.740478000000003</v>
      </c>
      <c r="M73" s="33">
        <v>100.73569999999999</v>
      </c>
      <c r="N73" s="34">
        <v>1.7440683879972001</v>
      </c>
      <c r="O73" s="34">
        <v>1.74415850230319</v>
      </c>
      <c r="P73" s="34">
        <v>1.74403297340915</v>
      </c>
      <c r="Q73" s="34">
        <v>1.7439719178334701</v>
      </c>
      <c r="R73" s="33">
        <v>99.975165352019204</v>
      </c>
      <c r="S73" s="33">
        <v>99.958637405714498</v>
      </c>
      <c r="T73" s="33">
        <v>99.964366218000094</v>
      </c>
      <c r="U73" s="15">
        <v>5.1667686100599503E-5</v>
      </c>
      <c r="V73" s="15">
        <v>-1.1366650065881E-4</v>
      </c>
      <c r="W73" s="15">
        <v>-5.6356314403552001E-5</v>
      </c>
      <c r="X73" s="34">
        <v>1.74462878537306</v>
      </c>
      <c r="Y73" s="34">
        <v>1.74495402592864</v>
      </c>
      <c r="Z73" s="34">
        <v>1.74459485360527</v>
      </c>
      <c r="AA73" s="34">
        <v>1.74443141090681</v>
      </c>
      <c r="AB73" s="33">
        <v>100.75447954514399</v>
      </c>
      <c r="AC73" s="33">
        <v>100.724433505932</v>
      </c>
      <c r="AD73" s="33">
        <v>100.723531999499</v>
      </c>
      <c r="AE73" s="15">
        <v>1.864065558055E-4</v>
      </c>
      <c r="AF73" s="15">
        <v>-1.11848373009097E-4</v>
      </c>
      <c r="AG73" s="15">
        <v>-1.2079863895986601E-4</v>
      </c>
      <c r="AI73" s="12"/>
      <c r="AJ73">
        <f t="shared" si="6"/>
        <v>0</v>
      </c>
      <c r="AK73">
        <f t="shared" si="7"/>
        <v>0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1.4155918239679504E-3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6.1178234084519837E-5</v>
      </c>
      <c r="BE73" s="29">
        <f t="shared" si="22"/>
        <v>0</v>
      </c>
      <c r="BF73" s="29">
        <f t="shared" si="23"/>
        <v>1.4767700580524702E-3</v>
      </c>
      <c r="BH73" s="29"/>
    </row>
    <row r="74" spans="1:60" x14ac:dyDescent="0.25">
      <c r="A74" s="1">
        <v>46129</v>
      </c>
      <c r="B74" s="33">
        <v>57.46</v>
      </c>
      <c r="C74" s="33">
        <v>100.2</v>
      </c>
      <c r="D74" s="15">
        <v>2.43945059117248E-3</v>
      </c>
      <c r="E74" s="15">
        <v>2.2980476716751002E-3</v>
      </c>
      <c r="F74" s="33">
        <v>0</v>
      </c>
      <c r="G74" s="33">
        <v>0.42047800000000002</v>
      </c>
      <c r="H74" s="33">
        <v>0</v>
      </c>
      <c r="I74" s="33">
        <v>0.76570000000000005</v>
      </c>
      <c r="J74" s="33">
        <v>0.42047800000000002</v>
      </c>
      <c r="K74" s="33">
        <v>0.76570000000000005</v>
      </c>
      <c r="L74" s="33">
        <v>57.880477999999997</v>
      </c>
      <c r="M74" s="33">
        <v>100.9657</v>
      </c>
      <c r="N74" s="34">
        <v>1.74382178907065</v>
      </c>
      <c r="O74" s="34">
        <v>1.74415850230319</v>
      </c>
      <c r="P74" s="34">
        <v>1.7440426755740699</v>
      </c>
      <c r="Q74" s="34">
        <v>1.74396405440742</v>
      </c>
      <c r="R74" s="33">
        <v>100.219347542341</v>
      </c>
      <c r="S74" s="33">
        <v>100.21213465209</v>
      </c>
      <c r="T74" s="33">
        <v>100.208626398711</v>
      </c>
      <c r="U74" s="15">
        <v>1.9307060559774699E-4</v>
      </c>
      <c r="V74" s="15">
        <v>1.21096979742955E-4</v>
      </c>
      <c r="W74" s="15">
        <v>8.6088097821528201E-5</v>
      </c>
      <c r="X74" s="34">
        <v>1.7443826224102701</v>
      </c>
      <c r="Y74" s="34">
        <v>1.74495402592864</v>
      </c>
      <c r="Z74" s="34">
        <v>1.74460400584655</v>
      </c>
      <c r="AA74" s="34">
        <v>1.7444350758915199</v>
      </c>
      <c r="AB74" s="33">
        <v>100.998773108774</v>
      </c>
      <c r="AC74" s="33">
        <v>100.977984043013</v>
      </c>
      <c r="AD74" s="33">
        <v>100.96852390150001</v>
      </c>
      <c r="AE74" s="15">
        <v>3.2751412722246601E-4</v>
      </c>
      <c r="AF74" s="15">
        <v>1.21658105692842E-4</v>
      </c>
      <c r="AG74" s="15">
        <v>2.7968528032647701E-5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1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1.4155918239679504E-3</v>
      </c>
      <c r="AT74" s="12"/>
      <c r="AU74">
        <f t="shared" si="10"/>
        <v>0</v>
      </c>
      <c r="AV74">
        <f t="shared" si="11"/>
        <v>0</v>
      </c>
      <c r="AW74">
        <f t="shared" si="18"/>
        <v>0</v>
      </c>
      <c r="AX74">
        <f t="shared" si="5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6.1178234084519837E-5</v>
      </c>
      <c r="BE74" s="29">
        <f t="shared" si="22"/>
        <v>0</v>
      </c>
      <c r="BF74" s="29">
        <f t="shared" si="23"/>
        <v>1.4767700580524702E-3</v>
      </c>
      <c r="BH74" s="29"/>
    </row>
    <row r="75" spans="1:60" x14ac:dyDescent="0.25">
      <c r="A75" s="1">
        <v>46132</v>
      </c>
      <c r="B75" s="33">
        <v>57.47</v>
      </c>
      <c r="C75" s="33">
        <v>100.26</v>
      </c>
      <c r="D75" s="15">
        <v>1.74018968506698E-4</v>
      </c>
      <c r="E75" s="15">
        <v>5.9862318459304805E-4</v>
      </c>
      <c r="F75" s="33">
        <v>0</v>
      </c>
      <c r="G75" s="33">
        <v>0.42047800000000002</v>
      </c>
      <c r="H75" s="33">
        <v>0</v>
      </c>
      <c r="I75" s="33">
        <v>0.76570000000000005</v>
      </c>
      <c r="J75" s="33">
        <v>0.42047800000000002</v>
      </c>
      <c r="K75" s="33">
        <v>0.76570000000000005</v>
      </c>
      <c r="L75" s="33">
        <v>57.890478000000002</v>
      </c>
      <c r="M75" s="33">
        <v>101.0257</v>
      </c>
      <c r="N75" s="34">
        <v>1.74456238037236</v>
      </c>
      <c r="O75" s="34">
        <v>1.74415850230319</v>
      </c>
      <c r="P75" s="34">
        <v>1.7441926262913301</v>
      </c>
      <c r="Q75" s="34">
        <v>1.74392104666548</v>
      </c>
      <c r="R75" s="33">
        <v>100.23678912736401</v>
      </c>
      <c r="S75" s="33">
        <v>100.230132565242</v>
      </c>
      <c r="T75" s="33">
        <v>100.22561420679401</v>
      </c>
      <c r="U75" s="15">
        <v>-2.31533610488427E-4</v>
      </c>
      <c r="V75" s="15">
        <v>-2.9794418903769399E-4</v>
      </c>
      <c r="W75" s="15">
        <v>-3.43025046244403E-4</v>
      </c>
      <c r="X75" s="34">
        <v>1.7451177376700799</v>
      </c>
      <c r="Y75" s="34">
        <v>1.74495402592864</v>
      </c>
      <c r="Z75" s="34">
        <v>1.7447523442182</v>
      </c>
      <c r="AA75" s="34">
        <v>1.7444035322718801</v>
      </c>
      <c r="AB75" s="33">
        <v>101.016222649033</v>
      </c>
      <c r="AC75" s="33">
        <v>100.995959819172</v>
      </c>
      <c r="AD75" s="33">
        <v>100.986180383326</v>
      </c>
      <c r="AE75" s="15">
        <v>-9.3815687843053005E-5</v>
      </c>
      <c r="AF75" s="15">
        <v>-2.9442566771656402E-4</v>
      </c>
      <c r="AG75" s="15">
        <v>-3.9126032689551298E-4</v>
      </c>
      <c r="AI75" s="12"/>
      <c r="AJ75">
        <f t="shared" si="6"/>
        <v>0</v>
      </c>
      <c r="AK75">
        <f t="shared" si="7"/>
        <v>0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1.4155918239679504E-3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6.1178234084519837E-5</v>
      </c>
      <c r="BE75" s="29">
        <f t="shared" si="22"/>
        <v>0</v>
      </c>
      <c r="BF75" s="29">
        <f t="shared" si="23"/>
        <v>1.4767700580524702E-3</v>
      </c>
      <c r="BH75" s="29"/>
    </row>
    <row r="76" spans="1:60" x14ac:dyDescent="0.25">
      <c r="A76" s="1">
        <v>46133</v>
      </c>
      <c r="B76" s="33">
        <v>57.42</v>
      </c>
      <c r="C76" s="33">
        <v>100.17</v>
      </c>
      <c r="D76" s="15">
        <v>-8.70397826732237E-4</v>
      </c>
      <c r="E76" s="15">
        <v>-8.9806921168449202E-4</v>
      </c>
      <c r="F76" s="33">
        <v>0</v>
      </c>
      <c r="G76" s="33">
        <v>0.42047800000000002</v>
      </c>
      <c r="H76" s="33">
        <v>0</v>
      </c>
      <c r="I76" s="33">
        <v>0.76570000000000005</v>
      </c>
      <c r="J76" s="33">
        <v>0.42047800000000002</v>
      </c>
      <c r="K76" s="33">
        <v>0.76570000000000005</v>
      </c>
      <c r="L76" s="33">
        <v>57.840477999999997</v>
      </c>
      <c r="M76" s="33">
        <v>100.9357</v>
      </c>
      <c r="N76" s="34">
        <v>1.74451410658307</v>
      </c>
      <c r="O76" s="34">
        <v>1.74415850230319</v>
      </c>
      <c r="P76" s="34">
        <v>1.74419686250246</v>
      </c>
      <c r="Q76" s="34">
        <v>1.7440216862167</v>
      </c>
      <c r="R76" s="33">
        <v>100.149581202249</v>
      </c>
      <c r="S76" s="33">
        <v>100.15154060164799</v>
      </c>
      <c r="T76" s="33">
        <v>100.135946499532</v>
      </c>
      <c r="U76" s="15">
        <v>-2.0386222553604299E-4</v>
      </c>
      <c r="V76" s="15">
        <v>-1.8429768809281999E-4</v>
      </c>
      <c r="W76" s="15">
        <v>-3.4001487615481198E-4</v>
      </c>
      <c r="X76" s="34">
        <v>1.74507029488933</v>
      </c>
      <c r="Y76" s="34">
        <v>1.74495402592864</v>
      </c>
      <c r="Z76" s="34">
        <v>1.7447561230547599</v>
      </c>
      <c r="AA76" s="34">
        <v>1.74451502315138</v>
      </c>
      <c r="AB76" s="33">
        <v>100.928974947737</v>
      </c>
      <c r="AC76" s="33">
        <v>100.917309581201</v>
      </c>
      <c r="AD76" s="33">
        <v>100.897134131494</v>
      </c>
      <c r="AE76" s="15">
        <v>-6.6629312601841902E-5</v>
      </c>
      <c r="AF76" s="15">
        <v>-1.8221594899554E-4</v>
      </c>
      <c r="AG76" s="15">
        <v>-3.8215654198281202E-4</v>
      </c>
      <c r="AI76" s="12"/>
      <c r="AJ76">
        <f t="shared" si="6"/>
        <v>0</v>
      </c>
      <c r="AK76">
        <f t="shared" si="7"/>
        <v>0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1.4155918239679504E-3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6.1178234084519837E-5</v>
      </c>
      <c r="BE76" s="29">
        <f t="shared" si="22"/>
        <v>0</v>
      </c>
      <c r="BF76" s="29">
        <f t="shared" si="23"/>
        <v>1.4767700580524702E-3</v>
      </c>
      <c r="BH76" s="29"/>
    </row>
    <row r="77" spans="1:60" x14ac:dyDescent="0.25">
      <c r="A77" s="1">
        <v>46134</v>
      </c>
      <c r="B77" s="33">
        <v>57.44</v>
      </c>
      <c r="C77" s="33">
        <v>100.21</v>
      </c>
      <c r="D77" s="15">
        <v>3.4825004705068798E-4</v>
      </c>
      <c r="E77" s="15">
        <v>3.9924144656458403E-4</v>
      </c>
      <c r="F77" s="33">
        <v>0</v>
      </c>
      <c r="G77" s="33">
        <v>0.42047800000000002</v>
      </c>
      <c r="H77" s="33">
        <v>0</v>
      </c>
      <c r="I77" s="33">
        <v>0.76570000000000005</v>
      </c>
      <c r="J77" s="33">
        <v>0.42047800000000002</v>
      </c>
      <c r="K77" s="33">
        <v>0.76570000000000005</v>
      </c>
      <c r="L77" s="33">
        <v>57.860478000000001</v>
      </c>
      <c r="M77" s="33">
        <v>100.97569999999899</v>
      </c>
      <c r="N77" s="34">
        <v>1.74460306406685</v>
      </c>
      <c r="O77" s="34">
        <v>1.74415850230319</v>
      </c>
      <c r="P77" s="34">
        <v>1.74433449804741</v>
      </c>
      <c r="Q77" s="34">
        <v>1.74392640190899</v>
      </c>
      <c r="R77" s="33">
        <v>100.184464372295</v>
      </c>
      <c r="S77" s="33">
        <v>100.186667782141</v>
      </c>
      <c r="T77" s="33">
        <v>100.17660565628699</v>
      </c>
      <c r="U77" s="15">
        <v>-2.5485362504978898E-4</v>
      </c>
      <c r="V77" s="15">
        <v>-2.3286033866898E-4</v>
      </c>
      <c r="W77" s="15">
        <v>-3.3329916350822802E-4</v>
      </c>
      <c r="X77" s="34">
        <v>1.7451584136584499</v>
      </c>
      <c r="Y77" s="34">
        <v>1.74495402592864</v>
      </c>
      <c r="Z77" s="34">
        <v>1.74489253275947</v>
      </c>
      <c r="AA77" s="34">
        <v>1.7444314042059701</v>
      </c>
      <c r="AB77" s="33">
        <v>100.96387402825501</v>
      </c>
      <c r="AC77" s="33">
        <v>100.952423273375</v>
      </c>
      <c r="AD77" s="33">
        <v>100.93847311771999</v>
      </c>
      <c r="AE77" s="15">
        <v>-1.17123865537885E-4</v>
      </c>
      <c r="AF77" s="15">
        <v>-2.3054467451148899E-4</v>
      </c>
      <c r="AG77" s="15">
        <v>-3.6873966920292098E-4</v>
      </c>
      <c r="AI77" s="12"/>
      <c r="AJ77">
        <f t="shared" si="6"/>
        <v>0</v>
      </c>
      <c r="AK77">
        <f t="shared" si="7"/>
        <v>0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1.4155918239679504E-3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6.1178234084519837E-5</v>
      </c>
      <c r="BE77" s="29">
        <f t="shared" si="22"/>
        <v>0</v>
      </c>
      <c r="BF77" s="29">
        <f t="shared" si="23"/>
        <v>1.4767700580524702E-3</v>
      </c>
      <c r="BH77" s="29"/>
    </row>
    <row r="78" spans="1:60" x14ac:dyDescent="0.25">
      <c r="A78" s="1">
        <v>46135</v>
      </c>
      <c r="B78" s="33">
        <v>57.48</v>
      </c>
      <c r="C78" s="33">
        <v>100.19</v>
      </c>
      <c r="D78" s="15">
        <v>6.9613647085542396E-4</v>
      </c>
      <c r="E78" s="15">
        <v>-1.9960079906578999E-4</v>
      </c>
      <c r="F78" s="33">
        <v>0</v>
      </c>
      <c r="G78" s="33">
        <v>0.42047800000000002</v>
      </c>
      <c r="H78" s="33">
        <v>0</v>
      </c>
      <c r="I78" s="33">
        <v>0.76570000000000005</v>
      </c>
      <c r="J78" s="33">
        <v>0.42047800000000002</v>
      </c>
      <c r="K78" s="33">
        <v>0.76570000000000005</v>
      </c>
      <c r="L78" s="33">
        <v>57.900478</v>
      </c>
      <c r="M78" s="33">
        <v>100.95569999999999</v>
      </c>
      <c r="N78" s="34">
        <v>1.7430410577592199</v>
      </c>
      <c r="O78" s="34">
        <v>1.74415850230319</v>
      </c>
      <c r="P78" s="34">
        <v>1.74425815007115</v>
      </c>
      <c r="Q78" s="34">
        <v>1.7438252813131701</v>
      </c>
      <c r="R78" s="33">
        <v>100.254230712387</v>
      </c>
      <c r="S78" s="33">
        <v>100.26434694776501</v>
      </c>
      <c r="T78" s="33">
        <v>100.24088958172899</v>
      </c>
      <c r="U78" s="15">
        <v>6.4088364487125597E-4</v>
      </c>
      <c r="V78" s="15">
        <v>7.4178437441061796E-4</v>
      </c>
      <c r="W78" s="15">
        <v>5.0780179570996905E-4</v>
      </c>
      <c r="X78" s="34">
        <v>1.74360736711016</v>
      </c>
      <c r="Y78" s="34">
        <v>1.74495402592864</v>
      </c>
      <c r="Z78" s="34">
        <v>1.7448165643551801</v>
      </c>
      <c r="AA78" s="34">
        <v>1.74434218423078</v>
      </c>
      <c r="AB78" s="33">
        <v>101.033672189293</v>
      </c>
      <c r="AC78" s="33">
        <v>101.030111705404</v>
      </c>
      <c r="AD78" s="33">
        <v>101.003412141737</v>
      </c>
      <c r="AE78" s="15">
        <v>7.7204253194952405E-4</v>
      </c>
      <c r="AF78" s="15">
        <v>7.3680134403618196E-4</v>
      </c>
      <c r="AG78" s="15">
        <v>4.7249309148858102E-4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1.4155918239679504E-3</v>
      </c>
      <c r="AT78" s="12"/>
      <c r="AU78">
        <f t="shared" si="10"/>
        <v>0</v>
      </c>
      <c r="AV78">
        <f t="shared" si="11"/>
        <v>0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6.1178234084519837E-5</v>
      </c>
      <c r="BE78" s="29">
        <f t="shared" si="22"/>
        <v>0</v>
      </c>
      <c r="BF78" s="29">
        <f t="shared" si="23"/>
        <v>1.4767700580524702E-3</v>
      </c>
      <c r="BH78" s="29"/>
    </row>
    <row r="79" spans="1:60" x14ac:dyDescent="0.25">
      <c r="A79" s="1">
        <v>46136</v>
      </c>
      <c r="B79" s="33">
        <v>57.48</v>
      </c>
      <c r="C79" s="33">
        <v>100.25</v>
      </c>
      <c r="D79" s="15">
        <v>0</v>
      </c>
      <c r="E79" s="15">
        <v>5.98682915506963E-4</v>
      </c>
      <c r="F79" s="33">
        <v>0</v>
      </c>
      <c r="G79" s="33">
        <v>0.42047800000000002</v>
      </c>
      <c r="H79" s="33">
        <v>0</v>
      </c>
      <c r="I79" s="33">
        <v>0.76570000000000005</v>
      </c>
      <c r="J79" s="33">
        <v>0.42047800000000002</v>
      </c>
      <c r="K79" s="33">
        <v>0.76570000000000005</v>
      </c>
      <c r="L79" s="33">
        <v>57.900478</v>
      </c>
      <c r="M79" s="33">
        <v>101.0157</v>
      </c>
      <c r="N79" s="34">
        <v>1.7440848990953299</v>
      </c>
      <c r="O79" s="34">
        <v>1.74415850230319</v>
      </c>
      <c r="P79" s="34">
        <v>1.74423869238243</v>
      </c>
      <c r="Q79" s="34">
        <v>1.7438276184778001</v>
      </c>
      <c r="R79" s="33">
        <v>100.254230712387</v>
      </c>
      <c r="S79" s="33">
        <v>100.259958466089</v>
      </c>
      <c r="T79" s="33">
        <v>100.235077169881</v>
      </c>
      <c r="U79" s="15">
        <v>4.2200729364292103E-5</v>
      </c>
      <c r="V79" s="15">
        <v>9.9331386572091302E-5</v>
      </c>
      <c r="W79" s="15">
        <v>-1.4886724096141099E-4</v>
      </c>
      <c r="X79" s="34">
        <v>1.74464362798524</v>
      </c>
      <c r="Y79" s="34">
        <v>1.74495402592864</v>
      </c>
      <c r="Z79" s="34">
        <v>1.7447970257024299</v>
      </c>
      <c r="AA79" s="34">
        <v>1.74435575884862</v>
      </c>
      <c r="AB79" s="33">
        <v>101.033672189293</v>
      </c>
      <c r="AC79" s="33">
        <v>101.025713098483</v>
      </c>
      <c r="AD79" s="33">
        <v>100.998246262526</v>
      </c>
      <c r="AE79" s="15">
        <v>1.7789898721953801E-4</v>
      </c>
      <c r="AF79" s="15">
        <v>9.9119268053862999E-5</v>
      </c>
      <c r="AG79" s="15">
        <v>-1.72797352259068E-4</v>
      </c>
      <c r="AI79" s="12"/>
      <c r="AJ79">
        <f t="shared" si="6"/>
        <v>0</v>
      </c>
      <c r="AK79">
        <f t="shared" si="7"/>
        <v>0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1.4155918239679504E-3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6.1178234084519837E-5</v>
      </c>
      <c r="BE79" s="29">
        <f t="shared" si="22"/>
        <v>0</v>
      </c>
      <c r="BF79" s="29">
        <f t="shared" si="23"/>
        <v>1.4767700580524702E-3</v>
      </c>
      <c r="BH79" s="29"/>
    </row>
    <row r="80" spans="1:60" x14ac:dyDescent="0.25">
      <c r="A80" s="1">
        <v>46139</v>
      </c>
      <c r="B80" s="33">
        <v>57.48</v>
      </c>
      <c r="C80" s="33">
        <v>100.23</v>
      </c>
      <c r="D80" s="15">
        <v>0</v>
      </c>
      <c r="E80" s="15">
        <v>-1.99521149903643E-4</v>
      </c>
      <c r="F80" s="33">
        <v>0</v>
      </c>
      <c r="G80" s="33">
        <v>0.42047800000000002</v>
      </c>
      <c r="H80" s="33">
        <v>0</v>
      </c>
      <c r="I80" s="33">
        <v>0.76570000000000005</v>
      </c>
      <c r="J80" s="33">
        <v>0.42047800000000002</v>
      </c>
      <c r="K80" s="33">
        <v>0.76570000000000005</v>
      </c>
      <c r="L80" s="33">
        <v>57.900478</v>
      </c>
      <c r="M80" s="33">
        <v>100.9957</v>
      </c>
      <c r="N80" s="34">
        <v>1.7437369519832899</v>
      </c>
      <c r="O80" s="34">
        <v>1.74415850230319</v>
      </c>
      <c r="P80" s="34">
        <v>1.7441966219721099</v>
      </c>
      <c r="Q80" s="34">
        <v>1.74380393045738</v>
      </c>
      <c r="R80" s="33">
        <v>100.254230712387</v>
      </c>
      <c r="S80" s="33">
        <v>100.258840038142</v>
      </c>
      <c r="T80" s="33">
        <v>100.23521151010399</v>
      </c>
      <c r="U80" s="15">
        <v>2.4172187926794399E-4</v>
      </c>
      <c r="V80" s="15">
        <v>2.87697193874872E-4</v>
      </c>
      <c r="W80" s="15">
        <v>5.1994159644287899E-5</v>
      </c>
      <c r="X80" s="34">
        <v>1.74429820769355</v>
      </c>
      <c r="Y80" s="34">
        <v>1.74495402592864</v>
      </c>
      <c r="Z80" s="34">
        <v>1.7447551255140801</v>
      </c>
      <c r="AA80" s="34">
        <v>1.74434346538174</v>
      </c>
      <c r="AB80" s="33">
        <v>101.033672189293</v>
      </c>
      <c r="AC80" s="33">
        <v>101.024581801149</v>
      </c>
      <c r="AD80" s="33">
        <v>100.999032239388</v>
      </c>
      <c r="AE80" s="15">
        <v>3.7590761510249702E-4</v>
      </c>
      <c r="AF80" s="15">
        <v>2.8592972040961898E-4</v>
      </c>
      <c r="AG80" s="15">
        <v>3.2993329594009197E-5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1.4155918239679504E-3</v>
      </c>
      <c r="AT80" s="12"/>
      <c r="AU80">
        <f t="shared" si="10"/>
        <v>0</v>
      </c>
      <c r="AV80">
        <f t="shared" si="11"/>
        <v>0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6.1178234084519837E-5</v>
      </c>
      <c r="BE80" s="29">
        <f t="shared" si="22"/>
        <v>0</v>
      </c>
      <c r="BF80" s="29">
        <f t="shared" si="23"/>
        <v>1.4767700580524702E-3</v>
      </c>
      <c r="BH80" s="29"/>
    </row>
    <row r="81" spans="1:60" x14ac:dyDescent="0.25">
      <c r="A81" s="1">
        <v>46140</v>
      </c>
      <c r="B81" s="33">
        <v>57.42</v>
      </c>
      <c r="C81" s="33">
        <v>100.1</v>
      </c>
      <c r="D81" s="15">
        <v>-1.04438651790616E-3</v>
      </c>
      <c r="E81" s="15">
        <v>-1.2978587156000599E-3</v>
      </c>
      <c r="F81" s="33">
        <v>0</v>
      </c>
      <c r="G81" s="33">
        <v>0.42047800000000002</v>
      </c>
      <c r="H81" s="33">
        <v>0</v>
      </c>
      <c r="I81" s="33">
        <v>0.76570000000000005</v>
      </c>
      <c r="J81" s="33">
        <v>0.42047800000000002</v>
      </c>
      <c r="K81" s="33">
        <v>0.76570000000000005</v>
      </c>
      <c r="L81" s="33">
        <v>57.840477999999997</v>
      </c>
      <c r="M81" s="33">
        <v>100.86569999999899</v>
      </c>
      <c r="N81" s="34">
        <v>1.74329501915708</v>
      </c>
      <c r="O81" s="34">
        <v>1.74415850230319</v>
      </c>
      <c r="P81" s="34">
        <v>1.74411441044874</v>
      </c>
      <c r="Q81" s="34">
        <v>1.74384773642228</v>
      </c>
      <c r="R81" s="33">
        <v>100.149581202249</v>
      </c>
      <c r="S81" s="33">
        <v>100.151770033638</v>
      </c>
      <c r="T81" s="33">
        <v>100.129221686862</v>
      </c>
      <c r="U81" s="15">
        <v>4.95194076961944E-4</v>
      </c>
      <c r="V81" s="15">
        <v>5.1704946012024995E-4</v>
      </c>
      <c r="W81" s="15">
        <v>2.9188234188857299E-4</v>
      </c>
      <c r="X81" s="34">
        <v>1.74386006975945</v>
      </c>
      <c r="Y81" s="34">
        <v>1.74495402592864</v>
      </c>
      <c r="Z81" s="34">
        <v>1.7446734632660399</v>
      </c>
      <c r="AA81" s="34">
        <v>1.74439845926246</v>
      </c>
      <c r="AB81" s="33">
        <v>100.928974947737</v>
      </c>
      <c r="AC81" s="33">
        <v>100.917470452684</v>
      </c>
      <c r="AD81" s="33">
        <v>100.89365983385601</v>
      </c>
      <c r="AE81" s="15">
        <v>6.2712209653139998E-4</v>
      </c>
      <c r="AF81" s="15">
        <v>5.1312955093694101E-4</v>
      </c>
      <c r="AG81" s="15">
        <v>2.7716021758335301E-4</v>
      </c>
      <c r="AI81" s="12"/>
      <c r="AJ81">
        <f t="shared" si="6"/>
        <v>0</v>
      </c>
      <c r="AK81">
        <f t="shared" si="7"/>
        <v>1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1.4155918239679504E-3</v>
      </c>
      <c r="AT81" s="12"/>
      <c r="AU81">
        <f t="shared" si="10"/>
        <v>0</v>
      </c>
      <c r="AV81">
        <f t="shared" si="11"/>
        <v>0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6.1178234084519837E-5</v>
      </c>
      <c r="BE81" s="29">
        <f t="shared" si="22"/>
        <v>0</v>
      </c>
      <c r="BF81" s="29">
        <f t="shared" si="23"/>
        <v>1.4767700580524702E-3</v>
      </c>
      <c r="BH81" s="29"/>
    </row>
    <row r="82" spans="1:60" x14ac:dyDescent="0.25">
      <c r="A82" s="1">
        <v>46141</v>
      </c>
      <c r="B82" s="33">
        <v>57.28</v>
      </c>
      <c r="C82" s="33">
        <v>99.92</v>
      </c>
      <c r="D82" s="15">
        <v>-2.4411520405277199E-3</v>
      </c>
      <c r="E82" s="15">
        <v>-1.7998205038525299E-3</v>
      </c>
      <c r="F82" s="33">
        <v>0</v>
      </c>
      <c r="G82" s="33">
        <v>0.42047800000000002</v>
      </c>
      <c r="H82" s="33">
        <v>0</v>
      </c>
      <c r="I82" s="33">
        <v>0.76570000000000005</v>
      </c>
      <c r="J82" s="33">
        <v>0.42047800000000002</v>
      </c>
      <c r="K82" s="33">
        <v>0.76570000000000005</v>
      </c>
      <c r="L82" s="33">
        <v>57.700477999999997</v>
      </c>
      <c r="M82" s="33">
        <v>100.6857</v>
      </c>
      <c r="N82" s="34">
        <v>1.7444134078212199</v>
      </c>
      <c r="O82" s="34">
        <v>1.74415850230319</v>
      </c>
      <c r="P82" s="34">
        <v>1.74401410639063</v>
      </c>
      <c r="Q82" s="34">
        <v>1.74394213175179</v>
      </c>
      <c r="R82" s="33">
        <v>99.905399011927102</v>
      </c>
      <c r="S82" s="33">
        <v>99.902873430503803</v>
      </c>
      <c r="T82" s="33">
        <v>99.887598342268504</v>
      </c>
      <c r="U82" s="15">
        <v>-1.4613745971318301E-4</v>
      </c>
      <c r="V82" s="15">
        <v>-1.71417508356583E-4</v>
      </c>
      <c r="W82" s="15">
        <v>-3.2432858694322398E-4</v>
      </c>
      <c r="X82" s="34">
        <v>1.74497167943738</v>
      </c>
      <c r="Y82" s="34">
        <v>1.74495402592864</v>
      </c>
      <c r="Z82" s="34">
        <v>1.7445738805987001</v>
      </c>
      <c r="AA82" s="34">
        <v>1.74450377149645</v>
      </c>
      <c r="AB82" s="33">
        <v>100.68468138410699</v>
      </c>
      <c r="AC82" s="33">
        <v>100.66849278436599</v>
      </c>
      <c r="AD82" s="33">
        <v>100.652624921908</v>
      </c>
      <c r="AE82" s="15">
        <v>-1.0116839285960299E-5</v>
      </c>
      <c r="AF82" s="15">
        <v>-1.70914898148689E-4</v>
      </c>
      <c r="AG82" s="15">
        <v>-3.2855223566920498E-4</v>
      </c>
      <c r="AI82" s="12"/>
      <c r="AJ82">
        <f t="shared" si="6"/>
        <v>0</v>
      </c>
      <c r="AK82">
        <f t="shared" si="7"/>
        <v>0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1.4155918239679504E-3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6.1178234084519837E-5</v>
      </c>
      <c r="BE82" s="29">
        <f t="shared" si="22"/>
        <v>0</v>
      </c>
      <c r="BF82" s="29">
        <f t="shared" si="23"/>
        <v>1.4767700580524702E-3</v>
      </c>
      <c r="BH82" s="29"/>
    </row>
    <row r="83" spans="1:60" x14ac:dyDescent="0.25">
      <c r="A83" s="1">
        <v>46142</v>
      </c>
      <c r="B83" s="33">
        <v>57.31</v>
      </c>
      <c r="C83" s="33">
        <v>99.98</v>
      </c>
      <c r="D83" s="15">
        <v>5.2360591125586798E-4</v>
      </c>
      <c r="E83" s="15">
        <v>6.0030016810199696E-4</v>
      </c>
      <c r="F83" s="33">
        <v>0</v>
      </c>
      <c r="G83" s="33">
        <v>0.42047800000000002</v>
      </c>
      <c r="H83" s="33">
        <v>0</v>
      </c>
      <c r="I83" s="33">
        <v>0.76570000000000005</v>
      </c>
      <c r="J83" s="33">
        <v>0.42047800000000002</v>
      </c>
      <c r="K83" s="33">
        <v>0.76570000000000005</v>
      </c>
      <c r="L83" s="33">
        <v>57.730477999999998</v>
      </c>
      <c r="M83" s="33">
        <v>100.7457</v>
      </c>
      <c r="N83" s="34">
        <v>1.7445471994416299</v>
      </c>
      <c r="O83" s="34">
        <v>1.74415850230319</v>
      </c>
      <c r="P83" s="34">
        <v>1.74406198753507</v>
      </c>
      <c r="Q83" s="34">
        <v>1.74404748047211</v>
      </c>
      <c r="R83" s="33">
        <v>99.957723766996196</v>
      </c>
      <c r="S83" s="33">
        <v>99.949448437247099</v>
      </c>
      <c r="T83" s="33">
        <v>99.945323570695294</v>
      </c>
      <c r="U83" s="15">
        <v>-2.2283171655938E-4</v>
      </c>
      <c r="V83" s="15">
        <v>-3.0562344096315801E-4</v>
      </c>
      <c r="W83" s="15">
        <v>-3.4689382048374E-4</v>
      </c>
      <c r="X83" s="34">
        <v>1.7451042064817099</v>
      </c>
      <c r="Y83" s="34">
        <v>1.74495402592864</v>
      </c>
      <c r="Z83" s="34">
        <v>1.74462142270956</v>
      </c>
      <c r="AA83" s="34">
        <v>1.7446081381574201</v>
      </c>
      <c r="AB83" s="33">
        <v>100.737030004885</v>
      </c>
      <c r="AC83" s="33">
        <v>100.71508403327699</v>
      </c>
      <c r="AD83" s="33">
        <v>100.711036601293</v>
      </c>
      <c r="AE83" s="15">
        <v>-8.6061918259582103E-5</v>
      </c>
      <c r="AF83" s="15">
        <v>-3.03939718140612E-4</v>
      </c>
      <c r="AG83" s="15">
        <v>-3.4412747504710799E-4</v>
      </c>
      <c r="AI83" s="12"/>
      <c r="AJ83">
        <f t="shared" si="6"/>
        <v>0</v>
      </c>
      <c r="AK83">
        <f t="shared" si="7"/>
        <v>0</v>
      </c>
      <c r="AL83">
        <f t="shared" si="14"/>
        <v>0</v>
      </c>
      <c r="AM83">
        <f t="shared" si="4"/>
        <v>0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1.4155918239679504E-3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0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6.1178234084519837E-5</v>
      </c>
      <c r="BE83" s="29">
        <f t="shared" si="22"/>
        <v>0</v>
      </c>
      <c r="BF83" s="29">
        <f t="shared" si="23"/>
        <v>1.4767700580524702E-3</v>
      </c>
      <c r="BH83" s="29"/>
    </row>
    <row r="84" spans="1:60" x14ac:dyDescent="0.25">
      <c r="A84" s="1">
        <v>46143</v>
      </c>
      <c r="B84" s="33">
        <v>57.14</v>
      </c>
      <c r="C84" s="33">
        <v>99.69</v>
      </c>
      <c r="D84" s="15">
        <v>-2.97073176101914E-3</v>
      </c>
      <c r="E84" s="15">
        <v>-2.9047949508117202E-3</v>
      </c>
      <c r="F84" s="33">
        <v>0.140709</v>
      </c>
      <c r="G84" s="33">
        <v>0.56118699999999999</v>
      </c>
      <c r="H84" s="33">
        <v>0.26029999999999998</v>
      </c>
      <c r="I84" s="33">
        <v>1.026</v>
      </c>
      <c r="J84" s="33">
        <v>0.56118699999999999</v>
      </c>
      <c r="K84" s="33">
        <v>1.026</v>
      </c>
      <c r="L84" s="33">
        <v>57.701186999999997</v>
      </c>
      <c r="M84" s="33">
        <v>100.71599999999999</v>
      </c>
      <c r="N84" s="34">
        <v>1.7446622331116499</v>
      </c>
      <c r="O84" s="34">
        <v>1.74415850230319</v>
      </c>
      <c r="P84" s="34">
        <v>1.7441460319391699</v>
      </c>
      <c r="Q84" s="34">
        <v>1.74409435375662</v>
      </c>
      <c r="R84" s="33">
        <v>99.661216821604597</v>
      </c>
      <c r="S84" s="33">
        <v>99.655701967754197</v>
      </c>
      <c r="T84" s="33">
        <v>99.654873034176703</v>
      </c>
      <c r="U84" s="15">
        <v>-2.8876852676669001E-4</v>
      </c>
      <c r="V84" s="15">
        <v>-3.44106065449542E-4</v>
      </c>
      <c r="W84" s="15">
        <v>-3.5242407444067801E-4</v>
      </c>
      <c r="X84" s="34">
        <v>1.7454753573786901</v>
      </c>
      <c r="Y84" s="34">
        <v>1.74495402592864</v>
      </c>
      <c r="Z84" s="34">
        <v>1.7447306962064</v>
      </c>
      <c r="AA84" s="34">
        <v>1.7446673510264801</v>
      </c>
      <c r="AB84" s="33">
        <v>100.685918556511</v>
      </c>
      <c r="AC84" s="33">
        <v>100.66672695597001</v>
      </c>
      <c r="AD84" s="33">
        <v>100.66596042154301</v>
      </c>
      <c r="AE84" s="15">
        <v>-2.9872052786405101E-4</v>
      </c>
      <c r="AF84" s="15">
        <v>-4.8934728173875798E-4</v>
      </c>
      <c r="AG84" s="15">
        <v>-4.9696188657476995E-4</v>
      </c>
      <c r="AI84" s="12"/>
      <c r="AJ84">
        <f t="shared" si="6"/>
        <v>0</v>
      </c>
      <c r="AK84">
        <f t="shared" si="7"/>
        <v>0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1.4155918239679504E-3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6.1178234084519837E-5</v>
      </c>
      <c r="BE84" s="29">
        <f t="shared" si="22"/>
        <v>0</v>
      </c>
      <c r="BF84" s="29">
        <f t="shared" si="23"/>
        <v>1.4767700580524702E-3</v>
      </c>
      <c r="BH84" s="29"/>
    </row>
    <row r="85" spans="1:60" x14ac:dyDescent="0.25">
      <c r="A85" s="1">
        <v>46146</v>
      </c>
      <c r="B85" s="33">
        <v>57.11</v>
      </c>
      <c r="C85" s="33">
        <v>99.59</v>
      </c>
      <c r="D85" s="15">
        <v>-5.2516412585546402E-4</v>
      </c>
      <c r="E85" s="15">
        <v>-1.00361309106438E-3</v>
      </c>
      <c r="F85" s="33">
        <v>0</v>
      </c>
      <c r="G85" s="33">
        <v>0.56118699999999999</v>
      </c>
      <c r="H85" s="33">
        <v>0</v>
      </c>
      <c r="I85" s="33">
        <v>1.026</v>
      </c>
      <c r="J85" s="33">
        <v>0.56118699999999999</v>
      </c>
      <c r="K85" s="33">
        <v>1.026</v>
      </c>
      <c r="L85" s="33">
        <v>57.671186999999897</v>
      </c>
      <c r="M85" s="33">
        <v>100.616</v>
      </c>
      <c r="N85" s="34">
        <v>1.7438277009280301</v>
      </c>
      <c r="O85" s="34">
        <v>1.74415850230319</v>
      </c>
      <c r="P85" s="34">
        <v>1.7440725639947401</v>
      </c>
      <c r="Q85" s="34">
        <v>1.74413259514303</v>
      </c>
      <c r="R85" s="33">
        <v>99.608892066535503</v>
      </c>
      <c r="S85" s="33">
        <v>99.608179884046294</v>
      </c>
      <c r="T85" s="33">
        <v>99.605228543040994</v>
      </c>
      <c r="U85" s="15">
        <v>1.89680438442205E-4</v>
      </c>
      <c r="V85" s="15">
        <v>1.8253062460079101E-4</v>
      </c>
      <c r="W85" s="15">
        <v>1.52900681226513E-4</v>
      </c>
      <c r="X85" s="34">
        <v>1.7446493688433999</v>
      </c>
      <c r="Y85" s="34">
        <v>1.74495402592864</v>
      </c>
      <c r="Z85" s="34">
        <v>1.7446838593237399</v>
      </c>
      <c r="AA85" s="34">
        <v>1.7447181017709701</v>
      </c>
      <c r="AB85" s="33">
        <v>100.63356993573299</v>
      </c>
      <c r="AC85" s="33">
        <v>100.62069024556</v>
      </c>
      <c r="AD85" s="33">
        <v>100.617037053842</v>
      </c>
      <c r="AE85" s="15">
        <v>1.7460843055762401E-4</v>
      </c>
      <c r="AF85" s="15">
        <v>4.66142188595495E-5</v>
      </c>
      <c r="AG85" s="15">
        <v>1.0306993903075101E-5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1.4155918239679504E-3</v>
      </c>
      <c r="AT85" s="12"/>
      <c r="AU85">
        <f t="shared" si="10"/>
        <v>0</v>
      </c>
      <c r="AV85">
        <f t="shared" si="11"/>
        <v>0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6.1178234084519837E-5</v>
      </c>
      <c r="BE85" s="29">
        <f t="shared" si="22"/>
        <v>0</v>
      </c>
      <c r="BF85" s="29">
        <f t="shared" si="23"/>
        <v>1.4767700580524702E-3</v>
      </c>
      <c r="BH85" s="29"/>
    </row>
    <row r="86" spans="1:60" x14ac:dyDescent="0.25">
      <c r="A86" s="1">
        <v>46147</v>
      </c>
      <c r="B86" s="33">
        <v>57.12</v>
      </c>
      <c r="C86" s="33">
        <v>99.63</v>
      </c>
      <c r="D86" s="15">
        <v>1.75085354557459E-4</v>
      </c>
      <c r="E86" s="15">
        <v>4.0156611321668799E-4</v>
      </c>
      <c r="F86" s="33">
        <v>0</v>
      </c>
      <c r="G86" s="33">
        <v>0.56118699999999999</v>
      </c>
      <c r="H86" s="33">
        <v>0</v>
      </c>
      <c r="I86" s="33">
        <v>1.026</v>
      </c>
      <c r="J86" s="33">
        <v>0.56118699999999999</v>
      </c>
      <c r="K86" s="33">
        <v>1.026</v>
      </c>
      <c r="L86" s="33">
        <v>57.681186999999902</v>
      </c>
      <c r="M86" s="33">
        <v>100.655999999999</v>
      </c>
      <c r="N86" s="34">
        <v>1.7442226890756301</v>
      </c>
      <c r="O86" s="34">
        <v>1.74415850230319</v>
      </c>
      <c r="P86" s="34">
        <v>1.74404342224399</v>
      </c>
      <c r="Q86" s="34">
        <v>1.74412014237323</v>
      </c>
      <c r="R86" s="33">
        <v>99.626333651558497</v>
      </c>
      <c r="S86" s="33">
        <v>99.621424855379601</v>
      </c>
      <c r="T86" s="33">
        <v>99.624853834570203</v>
      </c>
      <c r="U86" s="15">
        <v>-3.6800320217032503E-5</v>
      </c>
      <c r="V86" s="15">
        <v>-8.6073609078081794E-5</v>
      </c>
      <c r="W86" s="15">
        <v>-5.1654103595235699E-5</v>
      </c>
      <c r="X86" s="34">
        <v>1.74504037165531</v>
      </c>
      <c r="Y86" s="34">
        <v>1.74495402592864</v>
      </c>
      <c r="Z86" s="34">
        <v>1.74468086700033</v>
      </c>
      <c r="AA86" s="34">
        <v>1.7447184950275501</v>
      </c>
      <c r="AB86" s="33">
        <v>100.651019475993</v>
      </c>
      <c r="AC86" s="33">
        <v>100.635435945534</v>
      </c>
      <c r="AD86" s="33">
        <v>100.63741109053601</v>
      </c>
      <c r="AE86" s="15">
        <v>-4.9481871232189402E-5</v>
      </c>
      <c r="AF86" s="15">
        <v>-2.0432120661834199E-4</v>
      </c>
      <c r="AG86" s="15">
        <v>-1.84694664525339E-4</v>
      </c>
      <c r="AI86" s="12"/>
      <c r="AJ86">
        <f t="shared" ref="AJ86:AJ149" si="26">IF($AG86&lt;AI$21,1,0)</f>
        <v>0</v>
      </c>
      <c r="AK86">
        <f t="shared" ref="AK86:AK149" si="27">IF($AG86&gt;AI$22,1,0)</f>
        <v>0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1.4155918239679504E-3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6.1178234084519837E-5</v>
      </c>
      <c r="BE86" s="29">
        <f t="shared" si="22"/>
        <v>0</v>
      </c>
      <c r="BF86" s="29">
        <f t="shared" si="23"/>
        <v>1.4767700580524702E-3</v>
      </c>
      <c r="BH86" s="29"/>
    </row>
    <row r="87" spans="1:60" x14ac:dyDescent="0.25">
      <c r="A87" s="1">
        <v>46148</v>
      </c>
      <c r="B87" s="33">
        <v>57.24</v>
      </c>
      <c r="C87" s="33">
        <v>99.77</v>
      </c>
      <c r="D87" s="15">
        <v>2.0986366569211998E-3</v>
      </c>
      <c r="E87" s="15">
        <v>1.40421286865085E-3</v>
      </c>
      <c r="F87" s="33">
        <v>0</v>
      </c>
      <c r="G87" s="33">
        <v>0.56118699999999999</v>
      </c>
      <c r="H87" s="33">
        <v>0</v>
      </c>
      <c r="I87" s="33">
        <v>1.026</v>
      </c>
      <c r="J87" s="33">
        <v>0.56118699999999999</v>
      </c>
      <c r="K87" s="33">
        <v>1.026</v>
      </c>
      <c r="L87" s="33">
        <v>57.801186999999999</v>
      </c>
      <c r="M87" s="33">
        <v>100.795999999999</v>
      </c>
      <c r="N87" s="34">
        <v>1.7430118798043299</v>
      </c>
      <c r="O87" s="34">
        <v>1.74415850230319</v>
      </c>
      <c r="P87" s="34">
        <v>1.7438843038177401</v>
      </c>
      <c r="Q87" s="34">
        <v>1.7441094009325699</v>
      </c>
      <c r="R87" s="33">
        <v>99.835632671834901</v>
      </c>
      <c r="S87" s="33">
        <v>99.829045489246397</v>
      </c>
      <c r="T87" s="33">
        <v>99.833436949443694</v>
      </c>
      <c r="U87" s="15">
        <v>6.5762346805337696E-4</v>
      </c>
      <c r="V87" s="15">
        <v>5.9164101535738698E-4</v>
      </c>
      <c r="W87" s="15">
        <v>6.3562985236206696E-4</v>
      </c>
      <c r="X87" s="34">
        <v>1.7438396204562301</v>
      </c>
      <c r="Y87" s="34">
        <v>1.74495402592864</v>
      </c>
      <c r="Z87" s="34">
        <v>1.7445489876801099</v>
      </c>
      <c r="AA87" s="34">
        <v>1.7447207602197901</v>
      </c>
      <c r="AB87" s="33">
        <v>100.86041395910399</v>
      </c>
      <c r="AC87" s="33">
        <v>100.844625048808</v>
      </c>
      <c r="AD87" s="33">
        <v>100.846799993446</v>
      </c>
      <c r="AE87" s="15">
        <v>6.3884862405980602E-4</v>
      </c>
      <c r="AF87" s="15">
        <v>4.8229417796660101E-4</v>
      </c>
      <c r="AG87" s="15">
        <v>5.0386122909035203E-4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1.4155918239679504E-3</v>
      </c>
      <c r="AT87" s="12"/>
      <c r="AU87">
        <f t="shared" si="30"/>
        <v>0</v>
      </c>
      <c r="AV87">
        <f t="shared" si="31"/>
        <v>0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6.1178234084519837E-5</v>
      </c>
      <c r="BE87" s="29">
        <f t="shared" ref="BE87:BE150" si="42">AQ87+BB87</f>
        <v>0</v>
      </c>
      <c r="BF87" s="29">
        <f t="shared" ref="BF87:BF150" si="43">BF86+BE87</f>
        <v>1.4767700580524702E-3</v>
      </c>
      <c r="BH87" s="29"/>
    </row>
    <row r="88" spans="1:60" x14ac:dyDescent="0.25">
      <c r="A88" s="1">
        <v>46149</v>
      </c>
      <c r="B88" s="33">
        <v>57.23</v>
      </c>
      <c r="C88" s="33">
        <v>99.74</v>
      </c>
      <c r="D88" s="15">
        <v>-1.7471826723932201E-4</v>
      </c>
      <c r="E88" s="15">
        <v>-3.0073680743926298E-4</v>
      </c>
      <c r="F88" s="33">
        <v>0</v>
      </c>
      <c r="G88" s="33">
        <v>0.56118699999999999</v>
      </c>
      <c r="H88" s="33">
        <v>0</v>
      </c>
      <c r="I88" s="33">
        <v>1.026</v>
      </c>
      <c r="J88" s="33">
        <v>0.56118699999999999</v>
      </c>
      <c r="K88" s="33">
        <v>1.026</v>
      </c>
      <c r="L88" s="33">
        <v>57.791186999999901</v>
      </c>
      <c r="M88" s="33">
        <v>100.765999999999</v>
      </c>
      <c r="N88" s="34">
        <v>1.7427922418312001</v>
      </c>
      <c r="O88" s="34">
        <v>1.74415850230319</v>
      </c>
      <c r="P88" s="34">
        <v>1.7438594222249399</v>
      </c>
      <c r="Q88" s="34">
        <v>1.7440587861480401</v>
      </c>
      <c r="R88" s="33">
        <v>99.818191086811893</v>
      </c>
      <c r="S88" s="33">
        <v>99.802498707489605</v>
      </c>
      <c r="T88" s="33">
        <v>99.815381015371401</v>
      </c>
      <c r="U88" s="15">
        <v>7.8364200825319595E-4</v>
      </c>
      <c r="V88" s="15">
        <v>6.2642003521206897E-4</v>
      </c>
      <c r="W88" s="15">
        <v>7.5548971491842104E-4</v>
      </c>
      <c r="X88" s="34">
        <v>1.7436222585287899</v>
      </c>
      <c r="Y88" s="34">
        <v>1.74495402592864</v>
      </c>
      <c r="Z88" s="34">
        <v>1.7445504768219799</v>
      </c>
      <c r="AA88" s="34">
        <v>1.74468352058858</v>
      </c>
      <c r="AB88" s="33">
        <v>100.842964418845</v>
      </c>
      <c r="AC88" s="33">
        <v>100.819556777682</v>
      </c>
      <c r="AD88" s="33">
        <v>100.82948371664401</v>
      </c>
      <c r="AE88" s="15">
        <v>7.6350198817659099E-4</v>
      </c>
      <c r="AF88" s="15">
        <v>5.3135531928546402E-4</v>
      </c>
      <c r="AG88" s="15">
        <v>6.2981290624532498E-4</v>
      </c>
      <c r="AI88" s="12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1.4155918239679504E-3</v>
      </c>
      <c r="AT88" s="12"/>
      <c r="AU88">
        <f t="shared" si="30"/>
        <v>0</v>
      </c>
      <c r="AV88">
        <f t="shared" si="31"/>
        <v>0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6.1178234084519837E-5</v>
      </c>
      <c r="BE88" s="29">
        <f t="shared" si="42"/>
        <v>0</v>
      </c>
      <c r="BF88" s="29">
        <f t="shared" si="43"/>
        <v>1.4767700580524702E-3</v>
      </c>
      <c r="BH88" s="29"/>
    </row>
    <row r="89" spans="1:60" x14ac:dyDescent="0.25">
      <c r="A89" s="1">
        <v>46150</v>
      </c>
      <c r="B89" s="33">
        <v>57.27</v>
      </c>
      <c r="C89" s="33">
        <v>99.75</v>
      </c>
      <c r="D89" s="15">
        <v>6.9868998475520702E-4</v>
      </c>
      <c r="E89" s="15">
        <v>1.00255651996422E-4</v>
      </c>
      <c r="F89" s="33">
        <v>0</v>
      </c>
      <c r="G89" s="33">
        <v>0.56118699999999999</v>
      </c>
      <c r="H89" s="33">
        <v>0</v>
      </c>
      <c r="I89" s="33">
        <v>1.026</v>
      </c>
      <c r="J89" s="33">
        <v>0.56118699999999999</v>
      </c>
      <c r="K89" s="33">
        <v>1.026</v>
      </c>
      <c r="L89" s="33">
        <v>57.831187</v>
      </c>
      <c r="M89" s="33">
        <v>100.776</v>
      </c>
      <c r="N89" s="34">
        <v>1.7417496071241401</v>
      </c>
      <c r="O89" s="34">
        <v>1.74415850230319</v>
      </c>
      <c r="P89" s="34">
        <v>1.7436258930278199</v>
      </c>
      <c r="Q89" s="34">
        <v>1.74393229270512</v>
      </c>
      <c r="R89" s="33">
        <v>99.887957426903995</v>
      </c>
      <c r="S89" s="33">
        <v>99.870829110822498</v>
      </c>
      <c r="T89" s="33">
        <v>99.882246682698707</v>
      </c>
      <c r="U89" s="15">
        <v>1.3820763410119499E-3</v>
      </c>
      <c r="V89" s="15">
        <v>1.21058635130657E-3</v>
      </c>
      <c r="W89" s="15">
        <v>1.32490320818815E-3</v>
      </c>
      <c r="X89" s="34">
        <v>1.7425891673293801</v>
      </c>
      <c r="Y89" s="34">
        <v>1.74495402592864</v>
      </c>
      <c r="Z89" s="34">
        <v>1.7443450307563899</v>
      </c>
      <c r="AA89" s="34">
        <v>1.74457102822941</v>
      </c>
      <c r="AB89" s="33">
        <v>100.912762579882</v>
      </c>
      <c r="AC89" s="33">
        <v>100.889424856031</v>
      </c>
      <c r="AD89" s="33">
        <v>100.89711893497601</v>
      </c>
      <c r="AE89" s="15">
        <v>1.3561747228180701E-3</v>
      </c>
      <c r="AF89" s="15">
        <v>1.12488165060881E-3</v>
      </c>
      <c r="AG89" s="15">
        <v>1.20114123467112E-3</v>
      </c>
      <c r="AI89" s="12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1.4155918239679504E-3</v>
      </c>
      <c r="AT89" s="12"/>
      <c r="AU89">
        <f t="shared" si="30"/>
        <v>1</v>
      </c>
      <c r="AV89">
        <f t="shared" si="31"/>
        <v>0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6.1178234084519837E-5</v>
      </c>
      <c r="BE89" s="29">
        <f t="shared" si="42"/>
        <v>0</v>
      </c>
      <c r="BF89" s="29">
        <f t="shared" si="43"/>
        <v>1.4767700580524702E-3</v>
      </c>
      <c r="BH89" s="29"/>
    </row>
    <row r="90" spans="1:60" x14ac:dyDescent="0.25">
      <c r="A90" s="1">
        <v>46153</v>
      </c>
      <c r="B90" s="33">
        <v>57.24</v>
      </c>
      <c r="C90" s="33">
        <v>99.7</v>
      </c>
      <c r="D90" s="15">
        <v>-5.2397171751582304E-4</v>
      </c>
      <c r="E90" s="15">
        <v>-5.0137880218011305E-4</v>
      </c>
      <c r="F90" s="33">
        <v>0</v>
      </c>
      <c r="G90" s="33">
        <v>0.56118699999999999</v>
      </c>
      <c r="H90" s="33">
        <v>0</v>
      </c>
      <c r="I90" s="33">
        <v>1.026</v>
      </c>
      <c r="J90" s="33">
        <v>0.56118699999999999</v>
      </c>
      <c r="K90" s="33">
        <v>1.026</v>
      </c>
      <c r="L90" s="33">
        <v>57.801186999999999</v>
      </c>
      <c r="M90" s="33">
        <v>100.726</v>
      </c>
      <c r="N90" s="34">
        <v>1.7417889587700901</v>
      </c>
      <c r="O90" s="34">
        <v>1.74415850230319</v>
      </c>
      <c r="P90" s="34">
        <v>1.7434310937065001</v>
      </c>
      <c r="Q90" s="34">
        <v>1.7438138578393001</v>
      </c>
      <c r="R90" s="33">
        <v>99.835632671834901</v>
      </c>
      <c r="S90" s="33">
        <v>99.805146116912695</v>
      </c>
      <c r="T90" s="33">
        <v>99.822684434441499</v>
      </c>
      <c r="U90" s="15">
        <v>1.3594834256764499E-3</v>
      </c>
      <c r="V90" s="15">
        <v>1.05406931795584E-3</v>
      </c>
      <c r="W90" s="15">
        <v>1.22977946343503E-3</v>
      </c>
      <c r="X90" s="34">
        <v>1.7426285726623501</v>
      </c>
      <c r="Y90" s="34">
        <v>1.74495402592864</v>
      </c>
      <c r="Z90" s="34">
        <v>1.7441780672532701</v>
      </c>
      <c r="AA90" s="34">
        <v>1.7444665963836701</v>
      </c>
      <c r="AB90" s="33">
        <v>100.86041395910399</v>
      </c>
      <c r="AC90" s="33">
        <v>100.825213315271</v>
      </c>
      <c r="AD90" s="33">
        <v>100.83827623747</v>
      </c>
      <c r="AE90" s="15">
        <v>1.3335618843025E-3</v>
      </c>
      <c r="AF90" s="15">
        <v>9.8449740542439694E-4</v>
      </c>
      <c r="AG90" s="15">
        <v>1.11404908824928E-3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1.4155918239679504E-3</v>
      </c>
      <c r="AT90" s="12"/>
      <c r="AU90">
        <f t="shared" si="30"/>
        <v>1</v>
      </c>
      <c r="AV90">
        <f t="shared" si="31"/>
        <v>0</v>
      </c>
      <c r="AW90">
        <f t="shared" si="38"/>
        <v>1</v>
      </c>
      <c r="AX90">
        <f t="shared" si="25"/>
        <v>1</v>
      </c>
      <c r="AY90">
        <f t="shared" si="39"/>
        <v>1</v>
      </c>
      <c r="AZ90" s="28">
        <f t="shared" si="32"/>
        <v>5.2397171751582304E-4</v>
      </c>
      <c r="BA90" s="28">
        <f t="shared" si="33"/>
        <v>-5.0137880218011305E-4</v>
      </c>
      <c r="BB90" s="28">
        <f t="shared" si="40"/>
        <v>2.2592915335709995E-5</v>
      </c>
      <c r="BC90" s="29">
        <f t="shared" si="41"/>
        <v>8.3771149420229832E-5</v>
      </c>
      <c r="BE90" s="29">
        <f t="shared" si="42"/>
        <v>2.2592915335709995E-5</v>
      </c>
      <c r="BF90" s="29">
        <f t="shared" si="43"/>
        <v>1.4993629733881801E-3</v>
      </c>
      <c r="BH90" s="29"/>
    </row>
    <row r="91" spans="1:60" x14ac:dyDescent="0.25">
      <c r="A91" s="1">
        <v>46154</v>
      </c>
      <c r="B91" s="33">
        <v>57.12</v>
      </c>
      <c r="C91" s="33">
        <v>99.58</v>
      </c>
      <c r="D91" s="15">
        <v>-2.0986366569212401E-3</v>
      </c>
      <c r="E91" s="15">
        <v>-1.20433575375602E-3</v>
      </c>
      <c r="F91" s="33">
        <v>0</v>
      </c>
      <c r="G91" s="33">
        <v>0.56118699999999999</v>
      </c>
      <c r="H91" s="33">
        <v>0</v>
      </c>
      <c r="I91" s="33">
        <v>1.026</v>
      </c>
      <c r="J91" s="33">
        <v>0.56118699999999999</v>
      </c>
      <c r="K91" s="33">
        <v>1.026</v>
      </c>
      <c r="L91" s="33">
        <v>57.681186999999902</v>
      </c>
      <c r="M91" s="33">
        <v>100.60599999999999</v>
      </c>
      <c r="N91" s="34">
        <v>1.74334733893557</v>
      </c>
      <c r="O91" s="34">
        <v>1.74415850230319</v>
      </c>
      <c r="P91" s="34">
        <v>1.7434363256843499</v>
      </c>
      <c r="Q91" s="34">
        <v>1.74377536806654</v>
      </c>
      <c r="R91" s="33">
        <v>99.626333651558497</v>
      </c>
      <c r="S91" s="33">
        <v>99.584784072515504</v>
      </c>
      <c r="T91" s="33">
        <v>99.606647559781194</v>
      </c>
      <c r="U91" s="15">
        <v>4.6518252251124702E-4</v>
      </c>
      <c r="V91" s="15">
        <v>4.8041349666956403E-5</v>
      </c>
      <c r="W91" s="15">
        <v>2.6756371741488901E-4</v>
      </c>
      <c r="X91" s="34">
        <v>1.74417353789893</v>
      </c>
      <c r="Y91" s="34">
        <v>1.74495402592864</v>
      </c>
      <c r="Z91" s="34">
        <v>1.74420941406722</v>
      </c>
      <c r="AA91" s="34">
        <v>1.74444143866663</v>
      </c>
      <c r="AB91" s="33">
        <v>100.651019475993</v>
      </c>
      <c r="AC91" s="33">
        <v>100.606261258534</v>
      </c>
      <c r="AD91" s="33">
        <v>100.62290396125999</v>
      </c>
      <c r="AE91" s="15">
        <v>4.4738292220762501E-4</v>
      </c>
      <c r="AF91" s="15">
        <v>2.5968450740298699E-6</v>
      </c>
      <c r="AG91" s="15">
        <v>1.68007288888649E-4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1.4155918239679504E-3</v>
      </c>
      <c r="AT91" s="12"/>
      <c r="AU91">
        <f t="shared" si="30"/>
        <v>0</v>
      </c>
      <c r="AV91">
        <f t="shared" si="31"/>
        <v>0</v>
      </c>
      <c r="AW91">
        <f t="shared" si="38"/>
        <v>1</v>
      </c>
      <c r="AX91">
        <f t="shared" si="25"/>
        <v>1</v>
      </c>
      <c r="AY91">
        <f t="shared" si="39"/>
        <v>1</v>
      </c>
      <c r="AZ91" s="28">
        <f t="shared" si="32"/>
        <v>2.0986366569212401E-3</v>
      </c>
      <c r="BA91" s="28">
        <f t="shared" si="33"/>
        <v>-1.20433575375602E-3</v>
      </c>
      <c r="BB91" s="28">
        <f t="shared" si="40"/>
        <v>8.9430090316522013E-4</v>
      </c>
      <c r="BC91" s="29">
        <f t="shared" si="41"/>
        <v>9.7807205258544985E-4</v>
      </c>
      <c r="BE91" s="29">
        <f t="shared" si="42"/>
        <v>8.9430090316522013E-4</v>
      </c>
      <c r="BF91" s="29">
        <f t="shared" si="43"/>
        <v>2.3936638765534E-3</v>
      </c>
      <c r="BH91" s="29"/>
    </row>
    <row r="92" spans="1:60" x14ac:dyDescent="0.25">
      <c r="A92" s="1">
        <v>46155</v>
      </c>
      <c r="B92" s="33">
        <v>57.02</v>
      </c>
      <c r="C92" s="33">
        <v>99.44</v>
      </c>
      <c r="D92" s="15">
        <v>-1.7522345468028899E-3</v>
      </c>
      <c r="E92" s="15">
        <v>-1.40689401158099E-3</v>
      </c>
      <c r="F92" s="33">
        <v>0</v>
      </c>
      <c r="G92" s="33">
        <v>0.56118699999999999</v>
      </c>
      <c r="H92" s="33">
        <v>0</v>
      </c>
      <c r="I92" s="33">
        <v>1.026</v>
      </c>
      <c r="J92" s="33">
        <v>0.56118699999999999</v>
      </c>
      <c r="K92" s="33">
        <v>1.026</v>
      </c>
      <c r="L92" s="33">
        <v>57.581187</v>
      </c>
      <c r="M92" s="33">
        <v>100.46599999999999</v>
      </c>
      <c r="N92" s="34">
        <v>1.7439494914065199</v>
      </c>
      <c r="O92" s="34">
        <v>1.74415850230319</v>
      </c>
      <c r="P92" s="34">
        <v>1.74338993404288</v>
      </c>
      <c r="Q92" s="34">
        <v>1.7437020202167499</v>
      </c>
      <c r="R92" s="33">
        <v>99.451917801328193</v>
      </c>
      <c r="S92" s="33">
        <v>99.410739290521803</v>
      </c>
      <c r="T92" s="33">
        <v>99.430071487154507</v>
      </c>
      <c r="U92" s="15">
        <v>1.19841987289119E-4</v>
      </c>
      <c r="V92" s="15">
        <v>-2.9429822382101101E-4</v>
      </c>
      <c r="W92" s="15">
        <v>-9.9849241059731501E-5</v>
      </c>
      <c r="X92" s="34">
        <v>1.74477125662588</v>
      </c>
      <c r="Y92" s="34">
        <v>1.74495402592864</v>
      </c>
      <c r="Z92" s="34">
        <v>1.7441893717860699</v>
      </c>
      <c r="AA92" s="34">
        <v>1.7443816261923799</v>
      </c>
      <c r="AB92" s="33">
        <v>100.4765240734</v>
      </c>
      <c r="AC92" s="33">
        <v>100.433648438565</v>
      </c>
      <c r="AD92" s="33">
        <v>100.44700869041201</v>
      </c>
      <c r="AE92" s="15">
        <v>1.04747100777975E-4</v>
      </c>
      <c r="AF92" s="15">
        <v>-3.2206688230532101E-4</v>
      </c>
      <c r="AG92" s="15">
        <v>-1.8905007463621999E-4</v>
      </c>
      <c r="AI92" s="12"/>
      <c r="AJ92">
        <f t="shared" si="26"/>
        <v>0</v>
      </c>
      <c r="AK92">
        <f t="shared" si="27"/>
        <v>0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1.4155918239679504E-3</v>
      </c>
      <c r="AT92" s="12"/>
      <c r="AU92">
        <f t="shared" si="30"/>
        <v>0</v>
      </c>
      <c r="AV92">
        <f t="shared" si="31"/>
        <v>1</v>
      </c>
      <c r="AW92">
        <f t="shared" si="38"/>
        <v>1</v>
      </c>
      <c r="AX92">
        <f t="shared" si="25"/>
        <v>1</v>
      </c>
      <c r="AY92">
        <f t="shared" si="39"/>
        <v>1</v>
      </c>
      <c r="AZ92" s="28">
        <f t="shared" si="32"/>
        <v>1.7522345468028899E-3</v>
      </c>
      <c r="BA92" s="28">
        <f t="shared" si="33"/>
        <v>-1.40689401158099E-3</v>
      </c>
      <c r="BB92" s="28">
        <f t="shared" si="40"/>
        <v>3.4534053522189997E-4</v>
      </c>
      <c r="BC92" s="29">
        <f t="shared" si="41"/>
        <v>1.3234125878073498E-3</v>
      </c>
      <c r="BE92" s="29">
        <f t="shared" si="42"/>
        <v>3.4534053522189997E-4</v>
      </c>
      <c r="BF92" s="29">
        <f t="shared" si="43"/>
        <v>2.7390044117753002E-3</v>
      </c>
      <c r="BH92" s="29"/>
    </row>
    <row r="93" spans="1:60" x14ac:dyDescent="0.25">
      <c r="A93" s="1">
        <v>46156</v>
      </c>
      <c r="B93" s="33">
        <v>57.04</v>
      </c>
      <c r="C93" s="33">
        <v>99.41</v>
      </c>
      <c r="D93" s="15">
        <v>3.506926215144E-4</v>
      </c>
      <c r="E93" s="15">
        <v>-3.0173497840193901E-4</v>
      </c>
      <c r="F93" s="33">
        <v>0</v>
      </c>
      <c r="G93" s="33">
        <v>0.56118699999999999</v>
      </c>
      <c r="H93" s="33">
        <v>0</v>
      </c>
      <c r="I93" s="33">
        <v>1.026</v>
      </c>
      <c r="J93" s="33">
        <v>0.56118699999999999</v>
      </c>
      <c r="K93" s="33">
        <v>1.026</v>
      </c>
      <c r="L93" s="33">
        <v>57.601186999999904</v>
      </c>
      <c r="M93" s="33">
        <v>100.435999999999</v>
      </c>
      <c r="N93" s="34">
        <v>1.7428120617110701</v>
      </c>
      <c r="O93" s="34">
        <v>1.74415850230319</v>
      </c>
      <c r="P93" s="34">
        <v>1.7432164202698199</v>
      </c>
      <c r="Q93" s="34">
        <v>1.74363920390245</v>
      </c>
      <c r="R93" s="33">
        <v>99.486800971374294</v>
      </c>
      <c r="S93" s="33">
        <v>99.442961837805996</v>
      </c>
      <c r="T93" s="33">
        <v>99.460763233163803</v>
      </c>
      <c r="U93" s="15">
        <v>7.7226958720558203E-4</v>
      </c>
      <c r="V93" s="15">
        <v>3.31519709873077E-4</v>
      </c>
      <c r="W93" s="15">
        <v>5.1051480309241104E-4</v>
      </c>
      <c r="X93" s="34">
        <v>1.7436446231568099</v>
      </c>
      <c r="Y93" s="34">
        <v>1.74495402592864</v>
      </c>
      <c r="Z93" s="34">
        <v>1.74404341345358</v>
      </c>
      <c r="AA93" s="34">
        <v>1.74433241808157</v>
      </c>
      <c r="AB93" s="33">
        <v>100.511423153918</v>
      </c>
      <c r="AC93" s="33">
        <v>100.46737816766201</v>
      </c>
      <c r="AD93" s="33">
        <v>100.47845224967099</v>
      </c>
      <c r="AE93" s="15">
        <v>7.5067553767902003E-4</v>
      </c>
      <c r="AF93" s="15">
        <v>3.1237073466300103E-4</v>
      </c>
      <c r="AG93" s="15">
        <v>4.22590309738279E-4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1.4155918239679504E-3</v>
      </c>
      <c r="AT93" s="12"/>
      <c r="AU93">
        <f t="shared" si="30"/>
        <v>0</v>
      </c>
      <c r="AV93">
        <f t="shared" si="31"/>
        <v>0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1.3234125878073498E-3</v>
      </c>
      <c r="BE93" s="29">
        <f t="shared" si="42"/>
        <v>0</v>
      </c>
      <c r="BF93" s="29">
        <f t="shared" si="43"/>
        <v>2.7390044117753002E-3</v>
      </c>
      <c r="BH93" s="29"/>
    </row>
    <row r="94" spans="1:60" x14ac:dyDescent="0.25">
      <c r="A94" s="1">
        <v>46157</v>
      </c>
      <c r="B94" s="33">
        <v>56.79</v>
      </c>
      <c r="C94" s="33">
        <v>98.99</v>
      </c>
      <c r="D94" s="15">
        <v>-4.3925222166992699E-3</v>
      </c>
      <c r="E94" s="15">
        <v>-4.2338772923377899E-3</v>
      </c>
      <c r="F94" s="33">
        <v>0</v>
      </c>
      <c r="G94" s="33">
        <v>0.56118699999999999</v>
      </c>
      <c r="H94" s="33">
        <v>0</v>
      </c>
      <c r="I94" s="33">
        <v>1.026</v>
      </c>
      <c r="J94" s="33">
        <v>0.56118699999999999</v>
      </c>
      <c r="K94" s="33">
        <v>1.026</v>
      </c>
      <c r="L94" s="33">
        <v>57.351186999999904</v>
      </c>
      <c r="M94" s="33">
        <v>100.015999999999</v>
      </c>
      <c r="N94" s="34">
        <v>1.74308857193167</v>
      </c>
      <c r="O94" s="34">
        <v>1.74415850230319</v>
      </c>
      <c r="P94" s="34">
        <v>1.7430590541518201</v>
      </c>
      <c r="Q94" s="34">
        <v>1.7436025430455</v>
      </c>
      <c r="R94" s="33">
        <v>99.050761345798506</v>
      </c>
      <c r="S94" s="33">
        <v>98.997260507123499</v>
      </c>
      <c r="T94" s="33">
        <v>99.021270389620199</v>
      </c>
      <c r="U94" s="15">
        <v>6.1362466284401005E-4</v>
      </c>
      <c r="V94" s="15">
        <v>7.3343174789989495E-5</v>
      </c>
      <c r="W94" s="15">
        <v>3.1584454580454302E-4</v>
      </c>
      <c r="X94" s="34">
        <v>1.7439220569227201</v>
      </c>
      <c r="Y94" s="34">
        <v>1.74495402592864</v>
      </c>
      <c r="Z94" s="34">
        <v>1.74388808340798</v>
      </c>
      <c r="AA94" s="34">
        <v>1.74430938980719</v>
      </c>
      <c r="AB94" s="33">
        <v>100.075184647436</v>
      </c>
      <c r="AC94" s="33">
        <v>100.022959941094</v>
      </c>
      <c r="AD94" s="33">
        <v>100.039534699558</v>
      </c>
      <c r="AE94" s="15">
        <v>5.9157677802696004E-4</v>
      </c>
      <c r="AF94" s="15">
        <v>6.9585855671315506E-5</v>
      </c>
      <c r="AG94" s="15">
        <v>2.3528166518818101E-4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1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1.4155918239679504E-3</v>
      </c>
      <c r="AT94" s="12"/>
      <c r="AU94">
        <f t="shared" si="30"/>
        <v>0</v>
      </c>
      <c r="AV94">
        <f t="shared" si="31"/>
        <v>0</v>
      </c>
      <c r="AW94">
        <f t="shared" si="38"/>
        <v>0</v>
      </c>
      <c r="AX94">
        <f t="shared" si="25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1.3234125878073498E-3</v>
      </c>
      <c r="BE94" s="29">
        <f t="shared" si="42"/>
        <v>0</v>
      </c>
      <c r="BF94" s="29">
        <f t="shared" si="43"/>
        <v>2.7390044117753002E-3</v>
      </c>
      <c r="BH94" s="29"/>
    </row>
    <row r="95" spans="1:60" x14ac:dyDescent="0.25">
      <c r="A95" s="1">
        <v>46160</v>
      </c>
      <c r="B95" s="33">
        <v>56.8</v>
      </c>
      <c r="C95" s="33">
        <v>98.93</v>
      </c>
      <c r="D95" s="15">
        <v>1.7607183776436499E-4</v>
      </c>
      <c r="E95" s="15">
        <v>-6.0630559658468195E-4</v>
      </c>
      <c r="F95" s="33">
        <v>0</v>
      </c>
      <c r="G95" s="33">
        <v>0.56118699999999999</v>
      </c>
      <c r="H95" s="33">
        <v>0</v>
      </c>
      <c r="I95" s="33">
        <v>1.026</v>
      </c>
      <c r="J95" s="33">
        <v>0.56118699999999999</v>
      </c>
      <c r="K95" s="33">
        <v>1.026</v>
      </c>
      <c r="L95" s="33">
        <v>57.361186999999902</v>
      </c>
      <c r="M95" s="33">
        <v>99.956000000000003</v>
      </c>
      <c r="N95" s="34">
        <v>1.7417253521126701</v>
      </c>
      <c r="O95" s="34">
        <v>1.74415850230319</v>
      </c>
      <c r="P95" s="34">
        <v>1.74284881927029</v>
      </c>
      <c r="Q95" s="34">
        <v>1.7434606916325099</v>
      </c>
      <c r="R95" s="33">
        <v>99.068202930821499</v>
      </c>
      <c r="S95" s="33">
        <v>99.005754275823904</v>
      </c>
      <c r="T95" s="33">
        <v>99.036624444984497</v>
      </c>
      <c r="U95" s="15">
        <v>1.3960020971931599E-3</v>
      </c>
      <c r="V95" s="15">
        <v>7.6544310854607305E-4</v>
      </c>
      <c r="W95" s="15">
        <v>1.07719627582289E-3</v>
      </c>
      <c r="X95" s="34">
        <v>1.7425720287134201</v>
      </c>
      <c r="Y95" s="34">
        <v>1.74495402592864</v>
      </c>
      <c r="Z95" s="34">
        <v>1.74368034939498</v>
      </c>
      <c r="AA95" s="34">
        <v>1.7441821043593599</v>
      </c>
      <c r="AB95" s="33">
        <v>100.092634187695</v>
      </c>
      <c r="AC95" s="33">
        <v>100.03149045943699</v>
      </c>
      <c r="AD95" s="33">
        <v>100.055657094586</v>
      </c>
      <c r="AE95" s="15">
        <v>1.36600991551037E-3</v>
      </c>
      <c r="AF95" s="15">
        <v>7.5495185072948297E-4</v>
      </c>
      <c r="AG95" s="15">
        <v>9.9651294610622002E-4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1.4155918239679504E-3</v>
      </c>
      <c r="AT95" s="12"/>
      <c r="AU95">
        <f t="shared" si="30"/>
        <v>0</v>
      </c>
      <c r="AV95">
        <f t="shared" si="31"/>
        <v>0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1.3234125878073498E-3</v>
      </c>
      <c r="BE95" s="29">
        <f t="shared" si="42"/>
        <v>0</v>
      </c>
      <c r="BF95" s="29">
        <f t="shared" si="43"/>
        <v>2.7390044117753002E-3</v>
      </c>
      <c r="BH95" s="29"/>
    </row>
    <row r="96" spans="1:60" x14ac:dyDescent="0.25">
      <c r="A96" s="1">
        <v>46161</v>
      </c>
      <c r="B96" s="33">
        <v>56.66</v>
      </c>
      <c r="C96" s="33">
        <v>98.67</v>
      </c>
      <c r="D96" s="15">
        <v>-2.4678313247352198E-3</v>
      </c>
      <c r="E96" s="15">
        <v>-2.6315804660559301E-3</v>
      </c>
      <c r="F96" s="33">
        <v>0</v>
      </c>
      <c r="G96" s="33">
        <v>0.56118699999999999</v>
      </c>
      <c r="H96" s="33">
        <v>0</v>
      </c>
      <c r="I96" s="33">
        <v>1.026</v>
      </c>
      <c r="J96" s="33">
        <v>0.56118699999999999</v>
      </c>
      <c r="K96" s="33">
        <v>1.026</v>
      </c>
      <c r="L96" s="33">
        <v>57.221186999999901</v>
      </c>
      <c r="M96" s="33">
        <v>99.695999999999998</v>
      </c>
      <c r="N96" s="34">
        <v>1.7414401694316901</v>
      </c>
      <c r="O96" s="34">
        <v>1.74415850230319</v>
      </c>
      <c r="P96" s="34">
        <v>1.7425705673059</v>
      </c>
      <c r="Q96" s="34">
        <v>1.74330699477494</v>
      </c>
      <c r="R96" s="33">
        <v>98.824020740499094</v>
      </c>
      <c r="S96" s="33">
        <v>98.749814099854802</v>
      </c>
      <c r="T96" s="33">
        <v>98.784482787898398</v>
      </c>
      <c r="U96" s="15">
        <v>1.55975123851392E-3</v>
      </c>
      <c r="V96" s="15">
        <v>8.0857237726858196E-4</v>
      </c>
      <c r="W96" s="15">
        <v>1.1595867473886399E-3</v>
      </c>
      <c r="X96" s="34">
        <v>1.74229171443088</v>
      </c>
      <c r="Y96" s="34">
        <v>1.74495402592864</v>
      </c>
      <c r="Z96" s="34">
        <v>1.7434054836725399</v>
      </c>
      <c r="AA96" s="34">
        <v>1.74404317533644</v>
      </c>
      <c r="AB96" s="33">
        <v>99.848340624065898</v>
      </c>
      <c r="AC96" s="33">
        <v>99.775459340955905</v>
      </c>
      <c r="AD96" s="33">
        <v>99.804170355600604</v>
      </c>
      <c r="AE96" s="15">
        <v>1.5268852344940899E-3</v>
      </c>
      <c r="AF96" s="15">
        <v>7.9669889037126899E-4</v>
      </c>
      <c r="AG96" s="15">
        <v>1.0844137727616899E-3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1.4155918239679504E-3</v>
      </c>
      <c r="AT96" s="12"/>
      <c r="AU96">
        <f t="shared" si="30"/>
        <v>1</v>
      </c>
      <c r="AV96">
        <f t="shared" si="31"/>
        <v>0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1.3234125878073498E-3</v>
      </c>
      <c r="BE96" s="29">
        <f t="shared" si="42"/>
        <v>0</v>
      </c>
      <c r="BF96" s="29">
        <f t="shared" si="43"/>
        <v>2.7390044117753002E-3</v>
      </c>
      <c r="BH96" s="29"/>
    </row>
    <row r="97" spans="1:60" x14ac:dyDescent="0.25">
      <c r="A97" s="1">
        <v>46162</v>
      </c>
      <c r="B97" s="33">
        <v>56.75</v>
      </c>
      <c r="C97" s="33">
        <v>98.96</v>
      </c>
      <c r="D97" s="15">
        <v>1.5871619591416801E-3</v>
      </c>
      <c r="E97" s="15">
        <v>2.9347792151571701E-3</v>
      </c>
      <c r="F97" s="33">
        <v>0</v>
      </c>
      <c r="G97" s="33">
        <v>0.56118699999999999</v>
      </c>
      <c r="H97" s="33">
        <v>0</v>
      </c>
      <c r="I97" s="33">
        <v>1.026</v>
      </c>
      <c r="J97" s="33">
        <v>0.56118699999999999</v>
      </c>
      <c r="K97" s="33">
        <v>1.026</v>
      </c>
      <c r="L97" s="33">
        <v>57.311186999999997</v>
      </c>
      <c r="M97" s="33">
        <v>99.985999999999905</v>
      </c>
      <c r="N97" s="34">
        <v>1.7437885462555001</v>
      </c>
      <c r="O97" s="34">
        <v>1.74415850230319</v>
      </c>
      <c r="P97" s="34">
        <v>1.7426482339510101</v>
      </c>
      <c r="Q97" s="34">
        <v>1.7432662688843801</v>
      </c>
      <c r="R97" s="33">
        <v>98.980995005706404</v>
      </c>
      <c r="S97" s="33">
        <v>98.890879694609893</v>
      </c>
      <c r="T97" s="33">
        <v>98.932671953478305</v>
      </c>
      <c r="U97" s="15">
        <v>2.1213398249862801E-4</v>
      </c>
      <c r="V97" s="15">
        <v>-6.9871115366096099E-4</v>
      </c>
      <c r="W97" s="15">
        <v>-2.7619058781261699E-4</v>
      </c>
      <c r="X97" s="34">
        <v>1.74461575887444</v>
      </c>
      <c r="Y97" s="34">
        <v>1.74495402592864</v>
      </c>
      <c r="Z97" s="34">
        <v>1.74348309751436</v>
      </c>
      <c r="AA97" s="34">
        <v>1.74401604259724</v>
      </c>
      <c r="AB97" s="33">
        <v>100.005386486399</v>
      </c>
      <c r="AC97" s="33">
        <v>99.916637691582494</v>
      </c>
      <c r="AD97" s="33">
        <v>99.953184557780503</v>
      </c>
      <c r="AE97" s="15">
        <v>1.93873214250032E-4</v>
      </c>
      <c r="AF97" s="15">
        <v>-6.9396094020590399E-4</v>
      </c>
      <c r="AG97" s="15">
        <v>-3.2825423977444899E-4</v>
      </c>
      <c r="AI97" s="12"/>
      <c r="AJ97">
        <f t="shared" si="26"/>
        <v>0</v>
      </c>
      <c r="AK97">
        <f t="shared" si="27"/>
        <v>0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1.4155918239679504E-3</v>
      </c>
      <c r="AT97" s="12"/>
      <c r="AU97">
        <f t="shared" si="30"/>
        <v>0</v>
      </c>
      <c r="AV97">
        <f t="shared" si="31"/>
        <v>1</v>
      </c>
      <c r="AW97">
        <f t="shared" si="38"/>
        <v>1</v>
      </c>
      <c r="AX97">
        <f t="shared" si="25"/>
        <v>1</v>
      </c>
      <c r="AY97">
        <f t="shared" si="39"/>
        <v>1</v>
      </c>
      <c r="AZ97" s="28">
        <f t="shared" si="32"/>
        <v>-1.5871619591416801E-3</v>
      </c>
      <c r="BA97" s="28">
        <f t="shared" si="33"/>
        <v>2.9347792151571701E-3</v>
      </c>
      <c r="BB97" s="28">
        <f t="shared" si="40"/>
        <v>1.34761725601549E-3</v>
      </c>
      <c r="BC97" s="29">
        <f t="shared" si="41"/>
        <v>2.6710298438228398E-3</v>
      </c>
      <c r="BE97" s="29">
        <f t="shared" si="42"/>
        <v>1.34761725601549E-3</v>
      </c>
      <c r="BF97" s="29">
        <f t="shared" si="43"/>
        <v>4.08662166779079E-3</v>
      </c>
      <c r="BH97" s="29"/>
    </row>
    <row r="98" spans="1:60" x14ac:dyDescent="0.25">
      <c r="A98" s="1">
        <v>46163</v>
      </c>
      <c r="B98" s="33">
        <v>56.77</v>
      </c>
      <c r="C98" s="33">
        <v>98.97</v>
      </c>
      <c r="D98" s="15">
        <v>3.5236082112275098E-4</v>
      </c>
      <c r="E98" s="15">
        <v>1.01045824367345E-4</v>
      </c>
      <c r="F98" s="33">
        <v>0</v>
      </c>
      <c r="G98" s="33">
        <v>0.56118699999999999</v>
      </c>
      <c r="H98" s="33">
        <v>0</v>
      </c>
      <c r="I98" s="33">
        <v>1.026</v>
      </c>
      <c r="J98" s="33">
        <v>0.56118699999999999</v>
      </c>
      <c r="K98" s="33">
        <v>1.026</v>
      </c>
      <c r="L98" s="33">
        <v>57.331187</v>
      </c>
      <c r="M98" s="33">
        <v>99.995999999999995</v>
      </c>
      <c r="N98" s="34">
        <v>1.74335036110621</v>
      </c>
      <c r="O98" s="34">
        <v>1.74415850230319</v>
      </c>
      <c r="P98" s="34">
        <v>1.7427040458785099</v>
      </c>
      <c r="Q98" s="34">
        <v>1.7432817340517299</v>
      </c>
      <c r="R98" s="33">
        <v>99.015878175752405</v>
      </c>
      <c r="S98" s="33">
        <v>98.9301402413993</v>
      </c>
      <c r="T98" s="33">
        <v>98.965226084566297</v>
      </c>
      <c r="U98" s="15">
        <v>4.6344897925398398E-4</v>
      </c>
      <c r="V98" s="15">
        <v>-4.0282699235145498E-4</v>
      </c>
      <c r="W98" s="15">
        <v>-4.8237148374028097E-5</v>
      </c>
      <c r="X98" s="34">
        <v>1.7441815743322999</v>
      </c>
      <c r="Y98" s="34">
        <v>1.74495402592864</v>
      </c>
      <c r="Z98" s="34">
        <v>1.7435390290947099</v>
      </c>
      <c r="AA98" s="34">
        <v>1.74404475295834</v>
      </c>
      <c r="AB98" s="33">
        <v>100.040285566918</v>
      </c>
      <c r="AC98" s="33">
        <v>99.955955494935196</v>
      </c>
      <c r="AD98" s="33">
        <v>99.986509869142296</v>
      </c>
      <c r="AE98" s="15">
        <v>4.4277534464399402E-4</v>
      </c>
      <c r="AF98" s="15">
        <v>-4.0054127503785699E-4</v>
      </c>
      <c r="AG98" s="15">
        <v>-9.4909608554798102E-5</v>
      </c>
      <c r="AI98" s="12"/>
      <c r="AJ98">
        <f t="shared" si="26"/>
        <v>0</v>
      </c>
      <c r="AK98">
        <f t="shared" si="27"/>
        <v>0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1.4155918239679504E-3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2.6710298438228398E-3</v>
      </c>
      <c r="BE98" s="29">
        <f t="shared" si="42"/>
        <v>0</v>
      </c>
      <c r="BF98" s="29">
        <f t="shared" si="43"/>
        <v>4.08662166779079E-3</v>
      </c>
      <c r="BH98" s="29"/>
    </row>
    <row r="99" spans="1:60" x14ac:dyDescent="0.25">
      <c r="A99" s="1">
        <v>46164</v>
      </c>
      <c r="B99" s="33">
        <v>56.84</v>
      </c>
      <c r="C99" s="33">
        <v>99.08</v>
      </c>
      <c r="D99" s="15">
        <v>1.2322860462651E-3</v>
      </c>
      <c r="E99" s="15">
        <v>1.1108307125589499E-3</v>
      </c>
      <c r="F99" s="33">
        <v>0</v>
      </c>
      <c r="G99" s="33">
        <v>0.56118699999999999</v>
      </c>
      <c r="H99" s="33">
        <v>0</v>
      </c>
      <c r="I99" s="33">
        <v>1.026</v>
      </c>
      <c r="J99" s="33">
        <v>0.56118699999999999</v>
      </c>
      <c r="K99" s="33">
        <v>1.026</v>
      </c>
      <c r="L99" s="33">
        <v>57.401187</v>
      </c>
      <c r="M99" s="33">
        <v>100.10599999999999</v>
      </c>
      <c r="N99" s="34">
        <v>1.7431386347642499</v>
      </c>
      <c r="O99" s="34">
        <v>1.74415850230319</v>
      </c>
      <c r="P99" s="34">
        <v>1.7428429486425201</v>
      </c>
      <c r="Q99" s="34">
        <v>1.74323442083517</v>
      </c>
      <c r="R99" s="33">
        <v>99.137969270913601</v>
      </c>
      <c r="S99" s="33">
        <v>99.055297967735001</v>
      </c>
      <c r="T99" s="33">
        <v>99.088133763500394</v>
      </c>
      <c r="U99" s="15">
        <v>5.84904312960034E-4</v>
      </c>
      <c r="V99" s="15">
        <v>-2.49345095460534E-4</v>
      </c>
      <c r="W99" s="15">
        <v>8.2089520151745806E-5</v>
      </c>
      <c r="X99" s="34">
        <v>1.74397090429506</v>
      </c>
      <c r="Y99" s="34">
        <v>1.74495402592864</v>
      </c>
      <c r="Z99" s="34">
        <v>1.7436772027912799</v>
      </c>
      <c r="AA99" s="34">
        <v>1.7440111167738299</v>
      </c>
      <c r="AB99" s="33">
        <v>100.16243234873301</v>
      </c>
      <c r="AC99" s="33">
        <v>100.081209850864</v>
      </c>
      <c r="AD99" s="33">
        <v>100.11023900092999</v>
      </c>
      <c r="AE99" s="15">
        <v>5.6356710406000395E-4</v>
      </c>
      <c r="AF99" s="15">
        <v>-2.4766966162302698E-4</v>
      </c>
      <c r="AG99" s="15">
        <v>4.2344226949127697E-5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1.4155918239679504E-3</v>
      </c>
      <c r="AT99" s="12"/>
      <c r="AU99">
        <f t="shared" si="30"/>
        <v>0</v>
      </c>
      <c r="AV99">
        <f t="shared" si="31"/>
        <v>0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2.6710298438228398E-3</v>
      </c>
      <c r="BE99" s="29">
        <f t="shared" si="42"/>
        <v>0</v>
      </c>
      <c r="BF99" s="29">
        <f t="shared" si="43"/>
        <v>4.08662166779079E-3</v>
      </c>
      <c r="BH99" s="29"/>
    </row>
    <row r="100" spans="1:60" x14ac:dyDescent="0.25">
      <c r="A100" s="1">
        <v>46168</v>
      </c>
      <c r="B100" s="33">
        <v>57.08</v>
      </c>
      <c r="C100" s="33">
        <v>99.49</v>
      </c>
      <c r="D100" s="15">
        <v>4.2134893797356101E-3</v>
      </c>
      <c r="E100" s="15">
        <v>4.12953198010956E-3</v>
      </c>
      <c r="F100" s="33">
        <v>0</v>
      </c>
      <c r="G100" s="33">
        <v>0.56118699999999999</v>
      </c>
      <c r="H100" s="33">
        <v>0</v>
      </c>
      <c r="I100" s="33">
        <v>1.026</v>
      </c>
      <c r="J100" s="33">
        <v>0.56118699999999999</v>
      </c>
      <c r="K100" s="33">
        <v>1.026</v>
      </c>
      <c r="L100" s="33">
        <v>57.641186999999903</v>
      </c>
      <c r="M100" s="33">
        <v>100.515999999999</v>
      </c>
      <c r="N100" s="34">
        <v>1.7429922915206699</v>
      </c>
      <c r="O100" s="34">
        <v>1.74415850230319</v>
      </c>
      <c r="P100" s="34">
        <v>1.74296328191758</v>
      </c>
      <c r="Q100" s="34">
        <v>1.74319718781204</v>
      </c>
      <c r="R100" s="33">
        <v>99.556567311466395</v>
      </c>
      <c r="S100" s="33">
        <v>99.481475508515601</v>
      </c>
      <c r="T100" s="33">
        <v>99.503820741271895</v>
      </c>
      <c r="U100" s="15">
        <v>6.6886171258611401E-4</v>
      </c>
      <c r="V100" s="15">
        <v>-8.5685563398731494E-5</v>
      </c>
      <c r="W100" s="15">
        <v>1.38906235808722E-4</v>
      </c>
      <c r="X100" s="34">
        <v>1.7438225205181801</v>
      </c>
      <c r="Y100" s="34">
        <v>1.74495402592864</v>
      </c>
      <c r="Z100" s="34">
        <v>1.7437965975768599</v>
      </c>
      <c r="AA100" s="34">
        <v>1.7439873324150701</v>
      </c>
      <c r="AB100" s="33">
        <v>100.581221314955</v>
      </c>
      <c r="AC100" s="33">
        <v>100.507623713729</v>
      </c>
      <c r="AD100" s="33">
        <v>100.526870912039</v>
      </c>
      <c r="AE100" s="15">
        <v>6.4865458424840598E-4</v>
      </c>
      <c r="AF100" s="15">
        <v>-8.3336337499412697E-5</v>
      </c>
      <c r="AG100" s="15">
        <v>1.08145213017857E-4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1.4155918239679504E-3</v>
      </c>
      <c r="AT100" s="12"/>
      <c r="AU100">
        <f t="shared" si="30"/>
        <v>0</v>
      </c>
      <c r="AV100">
        <f t="shared" si="31"/>
        <v>0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2.6710298438228398E-3</v>
      </c>
      <c r="BE100" s="29">
        <f t="shared" si="42"/>
        <v>0</v>
      </c>
      <c r="BF100" s="29">
        <f t="shared" si="43"/>
        <v>4.08662166779079E-3</v>
      </c>
      <c r="BH100" s="29"/>
    </row>
    <row r="101" spans="1:60" x14ac:dyDescent="0.25">
      <c r="A101" s="1">
        <v>46169</v>
      </c>
      <c r="B101" s="33">
        <v>57.14</v>
      </c>
      <c r="C101" s="33">
        <v>99.66</v>
      </c>
      <c r="D101" s="15">
        <v>1.05060419399136E-3</v>
      </c>
      <c r="E101" s="15">
        <v>1.7072562519901901E-3</v>
      </c>
      <c r="F101" s="33">
        <v>0</v>
      </c>
      <c r="G101" s="33">
        <v>0.56118699999999999</v>
      </c>
      <c r="H101" s="33">
        <v>0</v>
      </c>
      <c r="I101" s="33">
        <v>1.026</v>
      </c>
      <c r="J101" s="33">
        <v>0.56118699999999999</v>
      </c>
      <c r="K101" s="33">
        <v>1.026</v>
      </c>
      <c r="L101" s="33">
        <v>57.701186999999997</v>
      </c>
      <c r="M101" s="33">
        <v>100.685999999999</v>
      </c>
      <c r="N101" s="34">
        <v>1.74413720686034</v>
      </c>
      <c r="O101" s="34">
        <v>1.74415850230319</v>
      </c>
      <c r="P101" s="34">
        <v>1.74304226871006</v>
      </c>
      <c r="Q101" s="34">
        <v>1.7432392971971999</v>
      </c>
      <c r="R101" s="33">
        <v>99.661216821604597</v>
      </c>
      <c r="S101" s="33">
        <v>99.592921928770906</v>
      </c>
      <c r="T101" s="33">
        <v>99.606287311580303</v>
      </c>
      <c r="U101" s="15">
        <v>1.2209654587387E-5</v>
      </c>
      <c r="V101" s="15">
        <v>-6.7329576011960601E-4</v>
      </c>
      <c r="W101" s="15">
        <v>-5.3910463676746102E-4</v>
      </c>
      <c r="X101" s="34">
        <v>1.7449554373985401</v>
      </c>
      <c r="Y101" s="34">
        <v>1.74495402592864</v>
      </c>
      <c r="Z101" s="34">
        <v>1.7438747875268199</v>
      </c>
      <c r="AA101" s="34">
        <v>1.7440421007970199</v>
      </c>
      <c r="AB101" s="33">
        <v>100.685918556511</v>
      </c>
      <c r="AC101" s="33">
        <v>100.619133566746</v>
      </c>
      <c r="AD101" s="33">
        <v>100.630139193313</v>
      </c>
      <c r="AE101" s="15">
        <v>-8.0888625294437302E-7</v>
      </c>
      <c r="AF101" s="15">
        <v>-6.6432916565997702E-4</v>
      </c>
      <c r="AG101" s="15">
        <v>-5.5495608394199301E-4</v>
      </c>
      <c r="AI101" s="12"/>
      <c r="AJ101">
        <f t="shared" si="26"/>
        <v>0</v>
      </c>
      <c r="AK101">
        <f t="shared" si="27"/>
        <v>0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1.4155918239679504E-3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2.6710298438228398E-3</v>
      </c>
      <c r="BE101" s="29">
        <f t="shared" si="42"/>
        <v>0</v>
      </c>
      <c r="BF101" s="29">
        <f t="shared" si="43"/>
        <v>4.08662166779079E-3</v>
      </c>
      <c r="BH101" s="29"/>
    </row>
    <row r="102" spans="1:60" x14ac:dyDescent="0.25">
      <c r="A102" s="1">
        <v>46170</v>
      </c>
      <c r="B102" s="33">
        <v>57.25</v>
      </c>
      <c r="C102" s="33">
        <v>99.83</v>
      </c>
      <c r="D102" s="15">
        <v>1.9232456317220101E-3</v>
      </c>
      <c r="E102" s="15">
        <v>1.7043464950754E-3</v>
      </c>
      <c r="F102" s="33">
        <v>0</v>
      </c>
      <c r="G102" s="33">
        <v>0.56118699999999999</v>
      </c>
      <c r="H102" s="33">
        <v>0</v>
      </c>
      <c r="I102" s="33">
        <v>1.026</v>
      </c>
      <c r="J102" s="33">
        <v>0.56118699999999999</v>
      </c>
      <c r="K102" s="33">
        <v>1.026</v>
      </c>
      <c r="L102" s="33">
        <v>57.811186999999997</v>
      </c>
      <c r="M102" s="33">
        <v>100.85599999999999</v>
      </c>
      <c r="N102" s="34">
        <v>1.7437554585152799</v>
      </c>
      <c r="O102" s="34">
        <v>1.74415850230319</v>
      </c>
      <c r="P102" s="34">
        <v>1.7430228654209401</v>
      </c>
      <c r="Q102" s="34">
        <v>1.7432063997319101</v>
      </c>
      <c r="R102" s="33">
        <v>99.853074256857994</v>
      </c>
      <c r="S102" s="33">
        <v>99.789169883651098</v>
      </c>
      <c r="T102" s="33">
        <v>99.800449764540204</v>
      </c>
      <c r="U102" s="15">
        <v>2.31108791234055E-4</v>
      </c>
      <c r="V102" s="15">
        <v>-4.09080119329329E-4</v>
      </c>
      <c r="W102" s="15">
        <v>-2.9604938235067298E-4</v>
      </c>
      <c r="X102" s="34">
        <v>1.7445758378910201</v>
      </c>
      <c r="Y102" s="34">
        <v>1.74495402592864</v>
      </c>
      <c r="Z102" s="34">
        <v>1.74385524565334</v>
      </c>
      <c r="AA102" s="34">
        <v>1.7440223087197</v>
      </c>
      <c r="AB102" s="33">
        <v>100.877863499363</v>
      </c>
      <c r="AC102" s="33">
        <v>100.81547144629801</v>
      </c>
      <c r="AD102" s="33">
        <v>100.825144025049</v>
      </c>
      <c r="AE102" s="15">
        <v>2.1675586904612901E-4</v>
      </c>
      <c r="AF102" s="15">
        <v>-4.0192649913570498E-4</v>
      </c>
      <c r="AG102" s="15">
        <v>-3.0598770490184102E-4</v>
      </c>
      <c r="AI102" s="12"/>
      <c r="AJ102">
        <f t="shared" si="26"/>
        <v>0</v>
      </c>
      <c r="AK102">
        <f t="shared" si="27"/>
        <v>0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1.4155918239679504E-3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2.6710298438228398E-3</v>
      </c>
      <c r="BE102" s="29">
        <f t="shared" si="42"/>
        <v>0</v>
      </c>
      <c r="BF102" s="29">
        <f t="shared" si="43"/>
        <v>4.08662166779079E-3</v>
      </c>
      <c r="BH102" s="29"/>
    </row>
    <row r="103" spans="1:60" x14ac:dyDescent="0.25">
      <c r="A103" s="1">
        <v>46171</v>
      </c>
      <c r="B103" s="33">
        <v>57.35</v>
      </c>
      <c r="C103" s="33">
        <v>100.05</v>
      </c>
      <c r="D103" s="15">
        <v>1.7452011410305801E-3</v>
      </c>
      <c r="E103" s="15">
        <v>2.20132168140849E-3</v>
      </c>
      <c r="F103" s="33">
        <v>0</v>
      </c>
      <c r="G103" s="33">
        <v>0.56118699999999999</v>
      </c>
      <c r="H103" s="33">
        <v>0</v>
      </c>
      <c r="I103" s="33">
        <v>1.026</v>
      </c>
      <c r="J103" s="33">
        <v>0.56118699999999999</v>
      </c>
      <c r="K103" s="33">
        <v>1.026</v>
      </c>
      <c r="L103" s="33">
        <v>57.911186999999998</v>
      </c>
      <c r="M103" s="33">
        <v>101.07599999999999</v>
      </c>
      <c r="N103" s="34">
        <v>1.74455100261551</v>
      </c>
      <c r="O103" s="34">
        <v>1.74415850230319</v>
      </c>
      <c r="P103" s="34">
        <v>1.74319675951138</v>
      </c>
      <c r="Q103" s="34">
        <v>1.7432065898906</v>
      </c>
      <c r="R103" s="33">
        <v>100.027490107088</v>
      </c>
      <c r="S103" s="33">
        <v>99.962361331890904</v>
      </c>
      <c r="T103" s="33">
        <v>99.972887024625095</v>
      </c>
      <c r="U103" s="15">
        <v>-2.25011749143742E-4</v>
      </c>
      <c r="V103" s="15">
        <v>-8.7633257398726403E-4</v>
      </c>
      <c r="W103" s="15">
        <v>-7.7104155771622995E-4</v>
      </c>
      <c r="X103" s="34">
        <v>1.7453622561733999</v>
      </c>
      <c r="Y103" s="34">
        <v>1.74495402592864</v>
      </c>
      <c r="Z103" s="34">
        <v>1.7440270089550001</v>
      </c>
      <c r="AA103" s="34">
        <v>1.7440352112042901</v>
      </c>
      <c r="AB103" s="33">
        <v>101.052358901956</v>
      </c>
      <c r="AC103" s="33">
        <v>100.98872723196099</v>
      </c>
      <c r="AD103" s="33">
        <v>100.998402052438</v>
      </c>
      <c r="AE103" s="15">
        <v>-2.3392163553437101E-4</v>
      </c>
      <c r="AF103" s="15">
        <v>-8.6381007373875697E-4</v>
      </c>
      <c r="AG103" s="15">
        <v>-7.6801366810835402E-4</v>
      </c>
      <c r="AI103" s="12"/>
      <c r="AJ103">
        <f t="shared" si="26"/>
        <v>0</v>
      </c>
      <c r="AK103">
        <f t="shared" si="27"/>
        <v>0</v>
      </c>
      <c r="AL103">
        <f t="shared" si="34"/>
        <v>0</v>
      </c>
      <c r="AM103">
        <f t="shared" si="24"/>
        <v>0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1.4155918239679504E-3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0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2.6710298438228398E-3</v>
      </c>
      <c r="BE103" s="29">
        <f t="shared" si="42"/>
        <v>0</v>
      </c>
      <c r="BF103" s="29">
        <f t="shared" si="43"/>
        <v>4.08662166779079E-3</v>
      </c>
      <c r="BH103" s="29"/>
    </row>
    <row r="104" spans="1:60" x14ac:dyDescent="0.25">
      <c r="A104" s="1">
        <v>46174</v>
      </c>
      <c r="B104" s="33">
        <v>57.24</v>
      </c>
      <c r="C104" s="33">
        <v>99.84</v>
      </c>
      <c r="D104" s="15">
        <v>-1.91988888712953E-3</v>
      </c>
      <c r="E104" s="15">
        <v>-2.1011564086247602E-3</v>
      </c>
      <c r="F104" s="33">
        <v>0.13805000000000001</v>
      </c>
      <c r="G104" s="33">
        <v>0.699237</v>
      </c>
      <c r="H104" s="33">
        <v>0.25750000000000001</v>
      </c>
      <c r="I104" s="33">
        <v>1.2835000000000001</v>
      </c>
      <c r="J104" s="33">
        <v>0.699237</v>
      </c>
      <c r="K104" s="33">
        <v>1.2835000000000001</v>
      </c>
      <c r="L104" s="33">
        <v>57.939236999999999</v>
      </c>
      <c r="M104" s="33">
        <v>101.12350000000001</v>
      </c>
      <c r="N104" s="34">
        <v>1.74423480083857</v>
      </c>
      <c r="O104" s="34">
        <v>1.74415850230319</v>
      </c>
      <c r="P104" s="34">
        <v>1.7433113824020701</v>
      </c>
      <c r="Q104" s="34">
        <v>1.7431852182769501</v>
      </c>
      <c r="R104" s="33">
        <v>99.835632671834901</v>
      </c>
      <c r="S104" s="33">
        <v>99.7805825144316</v>
      </c>
      <c r="T104" s="33">
        <v>99.781145205338206</v>
      </c>
      <c r="U104" s="15">
        <v>-4.3744227648520098E-5</v>
      </c>
      <c r="V104" s="15">
        <v>-5.9530421737728398E-4</v>
      </c>
      <c r="W104" s="15">
        <v>-5.8966495063950098E-4</v>
      </c>
      <c r="X104" s="34">
        <v>1.74533710204019</v>
      </c>
      <c r="Y104" s="34">
        <v>1.74495402592864</v>
      </c>
      <c r="Z104" s="34">
        <v>1.74416851346674</v>
      </c>
      <c r="AA104" s="34">
        <v>1.7440282984373601</v>
      </c>
      <c r="AB104" s="33">
        <v>101.101304862383</v>
      </c>
      <c r="AC104" s="33">
        <v>101.047594206244</v>
      </c>
      <c r="AD104" s="33">
        <v>101.04806943830999</v>
      </c>
      <c r="AE104" s="15">
        <v>-2.1950954750830199E-4</v>
      </c>
      <c r="AF104" s="15">
        <v>-7.5090652914369595E-4</v>
      </c>
      <c r="AG104" s="15">
        <v>-7.4620348844463399E-4</v>
      </c>
      <c r="AI104" s="12"/>
      <c r="AJ104">
        <f t="shared" si="26"/>
        <v>0</v>
      </c>
      <c r="AK104">
        <f t="shared" si="27"/>
        <v>0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1.4155918239679504E-3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2.6710298438228398E-3</v>
      </c>
      <c r="BE104" s="29">
        <f t="shared" si="42"/>
        <v>0</v>
      </c>
      <c r="BF104" s="29">
        <f t="shared" si="43"/>
        <v>4.08662166779079E-3</v>
      </c>
      <c r="BH104" s="29"/>
    </row>
    <row r="105" spans="1:60" x14ac:dyDescent="0.25">
      <c r="A105" s="1">
        <v>46175</v>
      </c>
      <c r="B105" s="33">
        <v>57.33</v>
      </c>
      <c r="C105" s="33">
        <v>100</v>
      </c>
      <c r="D105" s="15">
        <v>1.5710922320411401E-3</v>
      </c>
      <c r="E105" s="15">
        <v>1.60128136697382E-3</v>
      </c>
      <c r="F105" s="33">
        <v>0</v>
      </c>
      <c r="G105" s="33">
        <v>0.699237</v>
      </c>
      <c r="H105" s="33">
        <v>0</v>
      </c>
      <c r="I105" s="33">
        <v>1.2835000000000001</v>
      </c>
      <c r="J105" s="33">
        <v>0.699237</v>
      </c>
      <c r="K105" s="33">
        <v>1.2835000000000001</v>
      </c>
      <c r="L105" s="33">
        <v>58.029236999999902</v>
      </c>
      <c r="M105" s="33">
        <v>101.2835</v>
      </c>
      <c r="N105" s="34">
        <v>1.74428745857317</v>
      </c>
      <c r="O105" s="34">
        <v>1.74415850230319</v>
      </c>
      <c r="P105" s="34">
        <v>1.74356759304812</v>
      </c>
      <c r="Q105" s="34">
        <v>1.7432082061592</v>
      </c>
      <c r="R105" s="33">
        <v>99.992606937042197</v>
      </c>
      <c r="S105" s="33">
        <v>99.944041553110907</v>
      </c>
      <c r="T105" s="33">
        <v>99.936808563817607</v>
      </c>
      <c r="U105" s="15">
        <v>-7.3933362581198503E-5</v>
      </c>
      <c r="V105" s="15">
        <v>-5.5974109471281701E-4</v>
      </c>
      <c r="W105" s="15">
        <v>-6.3211410385475902E-4</v>
      </c>
      <c r="X105" s="34">
        <v>1.7453874156573801</v>
      </c>
      <c r="Y105" s="34">
        <v>1.74495402592864</v>
      </c>
      <c r="Z105" s="34">
        <v>1.7444500521611399</v>
      </c>
      <c r="AA105" s="34">
        <v>1.7440652007780599</v>
      </c>
      <c r="AB105" s="33">
        <v>101.258350724717</v>
      </c>
      <c r="AC105" s="33">
        <v>101.212768035899</v>
      </c>
      <c r="AD105" s="33">
        <v>101.204631464728</v>
      </c>
      <c r="AE105" s="15">
        <v>-2.48336581518554E-4</v>
      </c>
      <c r="AF105" s="15">
        <v>-6.9860020298841499E-4</v>
      </c>
      <c r="AG105" s="15">
        <v>-7.7899419278724296E-4</v>
      </c>
      <c r="AI105" s="12"/>
      <c r="AJ105">
        <f t="shared" si="26"/>
        <v>0</v>
      </c>
      <c r="AK105">
        <f t="shared" si="27"/>
        <v>0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1.4155918239679504E-3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2.6710298438228398E-3</v>
      </c>
      <c r="BE105" s="29">
        <f t="shared" si="42"/>
        <v>0</v>
      </c>
      <c r="BF105" s="29">
        <f t="shared" si="43"/>
        <v>4.08662166779079E-3</v>
      </c>
      <c r="BH105" s="29"/>
    </row>
    <row r="106" spans="1:60" x14ac:dyDescent="0.25">
      <c r="A106" s="1">
        <v>46176</v>
      </c>
      <c r="B106" s="33">
        <v>57.31</v>
      </c>
      <c r="C106" s="33">
        <v>99.95</v>
      </c>
      <c r="D106" s="15">
        <v>-3.4891835664516998E-4</v>
      </c>
      <c r="E106" s="15">
        <v>-5.0012504168224199E-4</v>
      </c>
      <c r="F106" s="33">
        <v>0</v>
      </c>
      <c r="G106" s="33">
        <v>0.699237</v>
      </c>
      <c r="H106" s="33">
        <v>0</v>
      </c>
      <c r="I106" s="33">
        <v>1.2835000000000001</v>
      </c>
      <c r="J106" s="33">
        <v>0.699237</v>
      </c>
      <c r="K106" s="33">
        <v>1.2835000000000001</v>
      </c>
      <c r="L106" s="33">
        <v>58.009236999999999</v>
      </c>
      <c r="M106" s="33">
        <v>101.23350000000001</v>
      </c>
      <c r="N106" s="34">
        <v>1.74402373058803</v>
      </c>
      <c r="O106" s="34">
        <v>1.74415850230319</v>
      </c>
      <c r="P106" s="34">
        <v>1.74382594916375</v>
      </c>
      <c r="Q106" s="34">
        <v>1.74319825823482</v>
      </c>
      <c r="R106" s="33">
        <v>99.957723766996196</v>
      </c>
      <c r="S106" s="33">
        <v>99.923858757587894</v>
      </c>
      <c r="T106" s="33">
        <v>99.903262294984202</v>
      </c>
      <c r="U106" s="15">
        <v>7.7273322455962502E-5</v>
      </c>
      <c r="V106" s="15">
        <v>-2.6157740410452901E-4</v>
      </c>
      <c r="W106" s="15">
        <v>-4.6772021963578002E-4</v>
      </c>
      <c r="X106" s="34">
        <v>1.7451272458556899</v>
      </c>
      <c r="Y106" s="34">
        <v>1.74495402592864</v>
      </c>
      <c r="Z106" s="34">
        <v>1.74473360530362</v>
      </c>
      <c r="AA106" s="34">
        <v>1.74406954448808</v>
      </c>
      <c r="AB106" s="33">
        <v>101.22345164419799</v>
      </c>
      <c r="AC106" s="33">
        <v>101.194216510478</v>
      </c>
      <c r="AD106" s="33">
        <v>101.17189157538699</v>
      </c>
      <c r="AE106" s="15">
        <v>-9.9264122349631095E-5</v>
      </c>
      <c r="AF106" s="15">
        <v>-3.8812362943379299E-4</v>
      </c>
      <c r="AG106" s="15">
        <v>-6.0876270178133996E-4</v>
      </c>
      <c r="AI106" s="12"/>
      <c r="AJ106">
        <f t="shared" si="26"/>
        <v>0</v>
      </c>
      <c r="AK106">
        <f t="shared" si="27"/>
        <v>0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1.4155918239679504E-3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2.6710298438228398E-3</v>
      </c>
      <c r="BE106" s="29">
        <f t="shared" si="42"/>
        <v>0</v>
      </c>
      <c r="BF106" s="29">
        <f t="shared" si="43"/>
        <v>4.08662166779079E-3</v>
      </c>
      <c r="BH106" s="29"/>
    </row>
    <row r="107" spans="1:60" x14ac:dyDescent="0.25">
      <c r="A107" s="1">
        <v>46177</v>
      </c>
      <c r="B107" s="33">
        <v>57.38</v>
      </c>
      <c r="C107" s="33">
        <v>100</v>
      </c>
      <c r="D107" s="15">
        <v>1.2206819895726E-3</v>
      </c>
      <c r="E107" s="15">
        <v>5.0012504168237297E-4</v>
      </c>
      <c r="F107" s="33">
        <v>0</v>
      </c>
      <c r="G107" s="33">
        <v>0.699237</v>
      </c>
      <c r="H107" s="33">
        <v>0</v>
      </c>
      <c r="I107" s="33">
        <v>1.2835000000000001</v>
      </c>
      <c r="J107" s="33">
        <v>0.699237</v>
      </c>
      <c r="K107" s="33">
        <v>1.2835000000000001</v>
      </c>
      <c r="L107" s="33">
        <v>58.079236999999999</v>
      </c>
      <c r="M107" s="33">
        <v>101.2835</v>
      </c>
      <c r="N107" s="34">
        <v>1.74276751481352</v>
      </c>
      <c r="O107" s="34">
        <v>1.74415850230319</v>
      </c>
      <c r="P107" s="34">
        <v>1.7437238460195501</v>
      </c>
      <c r="Q107" s="34">
        <v>1.7431860399852801</v>
      </c>
      <c r="R107" s="33">
        <v>100.07981486215699</v>
      </c>
      <c r="S107" s="33">
        <v>100.06073296301599</v>
      </c>
      <c r="T107" s="33">
        <v>100.024716057514</v>
      </c>
      <c r="U107" s="15">
        <v>7.9783027034630797E-4</v>
      </c>
      <c r="V107" s="15">
        <v>6.0714528016105399E-4</v>
      </c>
      <c r="W107" s="15">
        <v>2.4713003600205802E-4</v>
      </c>
      <c r="X107" s="34">
        <v>1.7438848241067599</v>
      </c>
      <c r="Y107" s="34">
        <v>1.74495402592864</v>
      </c>
      <c r="Z107" s="34">
        <v>1.7446605118268499</v>
      </c>
      <c r="AA107" s="34">
        <v>1.7440718046706101</v>
      </c>
      <c r="AB107" s="33">
        <v>101.345598426013</v>
      </c>
      <c r="AC107" s="33">
        <v>101.33279656429301</v>
      </c>
      <c r="AD107" s="33">
        <v>101.29422841880501</v>
      </c>
      <c r="AE107" s="15">
        <v>6.1292705184457397E-4</v>
      </c>
      <c r="AF107" s="15">
        <v>4.8660020049996901E-4</v>
      </c>
      <c r="AG107" s="15">
        <v>1.05919035613962E-4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1.4155918239679504E-3</v>
      </c>
      <c r="AT107" s="12"/>
      <c r="AU107">
        <f t="shared" si="30"/>
        <v>0</v>
      </c>
      <c r="AV107">
        <f t="shared" si="31"/>
        <v>0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2.6710298438228398E-3</v>
      </c>
      <c r="BE107" s="29">
        <f t="shared" si="42"/>
        <v>0</v>
      </c>
      <c r="BF107" s="29">
        <f t="shared" si="43"/>
        <v>4.08662166779079E-3</v>
      </c>
      <c r="BH107" s="29"/>
    </row>
    <row r="108" spans="1:60" x14ac:dyDescent="0.25">
      <c r="A108" s="1">
        <v>46178</v>
      </c>
      <c r="B108" s="33">
        <v>57.28</v>
      </c>
      <c r="C108" s="33">
        <v>99.87</v>
      </c>
      <c r="D108" s="15">
        <v>-1.74428790082853E-3</v>
      </c>
      <c r="E108" s="15">
        <v>-1.3008457330480601E-3</v>
      </c>
      <c r="F108" s="33">
        <v>0</v>
      </c>
      <c r="G108" s="33">
        <v>0.699237</v>
      </c>
      <c r="H108" s="33">
        <v>0</v>
      </c>
      <c r="I108" s="33">
        <v>1.2835000000000001</v>
      </c>
      <c r="J108" s="33">
        <v>0.699237</v>
      </c>
      <c r="K108" s="33">
        <v>1.2835000000000001</v>
      </c>
      <c r="L108" s="33">
        <v>57.979236999999998</v>
      </c>
      <c r="M108" s="33">
        <v>101.15349999999999</v>
      </c>
      <c r="N108" s="34">
        <v>1.74354050279329</v>
      </c>
      <c r="O108" s="34">
        <v>1.74415850230319</v>
      </c>
      <c r="P108" s="34">
        <v>1.7437428601882601</v>
      </c>
      <c r="Q108" s="34">
        <v>1.7432234530333901</v>
      </c>
      <c r="R108" s="33">
        <v>99.905399011927102</v>
      </c>
      <c r="S108" s="33">
        <v>99.880501900000297</v>
      </c>
      <c r="T108" s="33">
        <v>99.849696370357293</v>
      </c>
      <c r="U108" s="15">
        <v>3.5438810256578998E-4</v>
      </c>
      <c r="V108" s="15">
        <v>1.0515017394300299E-4</v>
      </c>
      <c r="W108" s="15">
        <v>-2.0332125555588601E-4</v>
      </c>
      <c r="X108" s="34">
        <v>1.7446504168380099</v>
      </c>
      <c r="Y108" s="34">
        <v>1.74495402592864</v>
      </c>
      <c r="Z108" s="34">
        <v>1.74470739607742</v>
      </c>
      <c r="AA108" s="34">
        <v>1.7441232125860699</v>
      </c>
      <c r="AB108" s="33">
        <v>101.171103023421</v>
      </c>
      <c r="AC108" s="33">
        <v>101.15408529974999</v>
      </c>
      <c r="AD108" s="33">
        <v>101.119952508015</v>
      </c>
      <c r="AE108" s="15">
        <v>1.7400774006215601E-4</v>
      </c>
      <c r="AF108" s="15">
        <v>5.7862363366026303E-6</v>
      </c>
      <c r="AG108" s="15">
        <v>-3.3170435246567898E-4</v>
      </c>
      <c r="AI108" s="12"/>
      <c r="AJ108">
        <f t="shared" si="26"/>
        <v>0</v>
      </c>
      <c r="AK108">
        <f t="shared" si="27"/>
        <v>0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1.4155918239679504E-3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2.6710298438228398E-3</v>
      </c>
      <c r="BE108" s="29">
        <f t="shared" si="42"/>
        <v>0</v>
      </c>
      <c r="BF108" s="29">
        <f t="shared" si="43"/>
        <v>4.08662166779079E-3</v>
      </c>
      <c r="BH108" s="29"/>
    </row>
    <row r="109" spans="1:60" x14ac:dyDescent="0.25">
      <c r="A109" s="1">
        <v>46181</v>
      </c>
      <c r="B109" s="33">
        <v>57.29</v>
      </c>
      <c r="C109" s="33">
        <v>99.92</v>
      </c>
      <c r="D109" s="15">
        <v>1.74565768096318E-4</v>
      </c>
      <c r="E109" s="15">
        <v>5.0052556227888701E-4</v>
      </c>
      <c r="F109" s="33">
        <v>0</v>
      </c>
      <c r="G109" s="33">
        <v>0.699237</v>
      </c>
      <c r="H109" s="33">
        <v>0</v>
      </c>
      <c r="I109" s="33">
        <v>1.2835000000000001</v>
      </c>
      <c r="J109" s="33">
        <v>0.699237</v>
      </c>
      <c r="K109" s="33">
        <v>1.2835000000000001</v>
      </c>
      <c r="L109" s="33">
        <v>57.989236999999903</v>
      </c>
      <c r="M109" s="33">
        <v>101.20350000000001</v>
      </c>
      <c r="N109" s="34">
        <v>1.7441089195321999</v>
      </c>
      <c r="O109" s="34">
        <v>1.74415850230319</v>
      </c>
      <c r="P109" s="34">
        <v>1.7438398886650599</v>
      </c>
      <c r="Q109" s="34">
        <v>1.7433414186537901</v>
      </c>
      <c r="R109" s="33">
        <v>99.922840596950095</v>
      </c>
      <c r="S109" s="33">
        <v>99.899028460185704</v>
      </c>
      <c r="T109" s="33">
        <v>99.869271624283101</v>
      </c>
      <c r="U109" s="15">
        <v>2.84283083830299E-5</v>
      </c>
      <c r="V109" s="15">
        <v>-2.09905333369151E-4</v>
      </c>
      <c r="W109" s="15">
        <v>-5.0781882725370797E-4</v>
      </c>
      <c r="X109" s="34">
        <v>1.7452117881806199</v>
      </c>
      <c r="Y109" s="34">
        <v>1.74495402592864</v>
      </c>
      <c r="Z109" s="34">
        <v>1.74483148446598</v>
      </c>
      <c r="AA109" s="34">
        <v>1.74425434362863</v>
      </c>
      <c r="AB109" s="33">
        <v>101.18855256368001</v>
      </c>
      <c r="AC109" s="33">
        <v>101.174250686786</v>
      </c>
      <c r="AD109" s="33">
        <v>101.140374331855</v>
      </c>
      <c r="AE109" s="15">
        <v>-1.47707740076183E-4</v>
      </c>
      <c r="AF109" s="15">
        <v>-2.8905661138744099E-4</v>
      </c>
      <c r="AG109" s="15">
        <v>-6.2394446485051103E-4</v>
      </c>
      <c r="AI109" s="12"/>
      <c r="AJ109">
        <f t="shared" si="26"/>
        <v>0</v>
      </c>
      <c r="AK109">
        <f t="shared" si="27"/>
        <v>0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1.4155918239679504E-3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2.6710298438228398E-3</v>
      </c>
      <c r="BE109" s="29">
        <f t="shared" si="42"/>
        <v>0</v>
      </c>
      <c r="BF109" s="29">
        <f t="shared" si="43"/>
        <v>4.08662166779079E-3</v>
      </c>
      <c r="BH109" s="29"/>
    </row>
    <row r="110" spans="1:60" x14ac:dyDescent="0.25">
      <c r="A110" s="1">
        <v>46182</v>
      </c>
      <c r="B110" s="33">
        <v>57.37</v>
      </c>
      <c r="C110" s="33">
        <v>100</v>
      </c>
      <c r="D110" s="15">
        <v>1.39543019329313E-3</v>
      </c>
      <c r="E110" s="15">
        <v>8.0032017076911498E-4</v>
      </c>
      <c r="F110" s="33">
        <v>0</v>
      </c>
      <c r="G110" s="33">
        <v>0.699237</v>
      </c>
      <c r="H110" s="33">
        <v>0</v>
      </c>
      <c r="I110" s="33">
        <v>1.2835000000000001</v>
      </c>
      <c r="J110" s="33">
        <v>0.699237</v>
      </c>
      <c r="K110" s="33">
        <v>1.2835000000000001</v>
      </c>
      <c r="L110" s="33">
        <v>58.069236999999902</v>
      </c>
      <c r="M110" s="33">
        <v>101.2835</v>
      </c>
      <c r="N110" s="34">
        <v>1.74307129161582</v>
      </c>
      <c r="O110" s="34">
        <v>1.74415850230319</v>
      </c>
      <c r="P110" s="34">
        <v>1.74384778867457</v>
      </c>
      <c r="Q110" s="34">
        <v>1.74340553529608</v>
      </c>
      <c r="R110" s="33">
        <v>100.062373277134</v>
      </c>
      <c r="S110" s="33">
        <v>100.044094412714</v>
      </c>
      <c r="T110" s="33">
        <v>100.015497188168</v>
      </c>
      <c r="U110" s="15">
        <v>6.2353833090722196E-4</v>
      </c>
      <c r="V110" s="15">
        <v>4.40846939852998E-4</v>
      </c>
      <c r="W110" s="15">
        <v>1.5495987478109099E-4</v>
      </c>
      <c r="X110" s="34">
        <v>1.74418513540999</v>
      </c>
      <c r="Y110" s="34">
        <v>1.74495402592864</v>
      </c>
      <c r="Z110" s="34">
        <v>1.74486774595516</v>
      </c>
      <c r="AA110" s="34">
        <v>1.7443321717660101</v>
      </c>
      <c r="AB110" s="33">
        <v>101.328148885754</v>
      </c>
      <c r="AC110" s="33">
        <v>101.321032996516</v>
      </c>
      <c r="AD110" s="33">
        <v>101.28751886844999</v>
      </c>
      <c r="AE110" s="15">
        <v>4.4073365695378798E-4</v>
      </c>
      <c r="AF110" s="15">
        <v>3.70505006884424E-4</v>
      </c>
      <c r="AG110" s="15">
        <v>3.9678612207193897E-5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1.4155918239679504E-3</v>
      </c>
      <c r="AT110" s="12"/>
      <c r="AU110">
        <f t="shared" si="30"/>
        <v>0</v>
      </c>
      <c r="AV110">
        <f t="shared" si="31"/>
        <v>0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2.6710298438228398E-3</v>
      </c>
      <c r="BE110" s="29">
        <f t="shared" si="42"/>
        <v>0</v>
      </c>
      <c r="BF110" s="29">
        <f t="shared" si="43"/>
        <v>4.08662166779079E-3</v>
      </c>
      <c r="BH110" s="29"/>
    </row>
    <row r="111" spans="1:60" x14ac:dyDescent="0.25">
      <c r="A111" s="1">
        <v>46183</v>
      </c>
      <c r="B111" s="33">
        <v>57.22</v>
      </c>
      <c r="C111" s="33">
        <v>99.83</v>
      </c>
      <c r="D111" s="15">
        <v>-2.6180309918155198E-3</v>
      </c>
      <c r="E111" s="15">
        <v>-1.70144663975757E-3</v>
      </c>
      <c r="F111" s="33">
        <v>0</v>
      </c>
      <c r="G111" s="33">
        <v>0.699237</v>
      </c>
      <c r="H111" s="33">
        <v>0</v>
      </c>
      <c r="I111" s="33">
        <v>1.2835000000000001</v>
      </c>
      <c r="J111" s="33">
        <v>0.699237</v>
      </c>
      <c r="K111" s="33">
        <v>1.2835000000000001</v>
      </c>
      <c r="L111" s="33">
        <v>57.919236999999903</v>
      </c>
      <c r="M111" s="33">
        <v>101.1135</v>
      </c>
      <c r="N111" s="34">
        <v>1.7446696959105199</v>
      </c>
      <c r="O111" s="34">
        <v>1.74415850230319</v>
      </c>
      <c r="P111" s="34">
        <v>1.74390103757959</v>
      </c>
      <c r="Q111" s="34">
        <v>1.74347165314483</v>
      </c>
      <c r="R111" s="33">
        <v>99.8007495017889</v>
      </c>
      <c r="S111" s="33">
        <v>99.782970467959302</v>
      </c>
      <c r="T111" s="33">
        <v>99.757664729641803</v>
      </c>
      <c r="U111" s="15">
        <v>-2.9304602115076098E-4</v>
      </c>
      <c r="V111" s="15">
        <v>-4.7120718458944298E-4</v>
      </c>
      <c r="W111" s="15">
        <v>-7.2484713545031799E-4</v>
      </c>
      <c r="X111" s="34">
        <v>1.7457671274226201</v>
      </c>
      <c r="Y111" s="34">
        <v>1.74495402592864</v>
      </c>
      <c r="Z111" s="34">
        <v>1.7449489149575701</v>
      </c>
      <c r="AA111" s="34">
        <v>1.74441185124219</v>
      </c>
      <c r="AB111" s="33">
        <v>101.066405781865</v>
      </c>
      <c r="AC111" s="33">
        <v>101.061408511632</v>
      </c>
      <c r="AD111" s="33">
        <v>101.03038846324</v>
      </c>
      <c r="AE111" s="15">
        <v>-4.6586448642577398E-4</v>
      </c>
      <c r="AF111" s="15">
        <v>-5.1531112246579604E-4</v>
      </c>
      <c r="AG111" s="15">
        <v>-8.2230080834516195E-4</v>
      </c>
      <c r="AI111" s="12"/>
      <c r="AJ111">
        <f t="shared" si="26"/>
        <v>0</v>
      </c>
      <c r="AK111">
        <f t="shared" si="27"/>
        <v>0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1.4155918239679504E-3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2.6710298438228398E-3</v>
      </c>
      <c r="BE111" s="29">
        <f t="shared" si="42"/>
        <v>0</v>
      </c>
      <c r="BF111" s="29">
        <f t="shared" si="43"/>
        <v>4.08662166779079E-3</v>
      </c>
      <c r="BH111" s="29"/>
    </row>
    <row r="112" spans="1:60" x14ac:dyDescent="0.25">
      <c r="A112" s="1">
        <v>46184</v>
      </c>
      <c r="B112" s="33">
        <v>57.33</v>
      </c>
      <c r="C112" s="33">
        <v>99.96</v>
      </c>
      <c r="D112" s="15">
        <v>1.92055929832712E-3</v>
      </c>
      <c r="E112" s="15">
        <v>1.3013666184178E-3</v>
      </c>
      <c r="F112" s="33">
        <v>0</v>
      </c>
      <c r="G112" s="33">
        <v>0.699237</v>
      </c>
      <c r="H112" s="33">
        <v>0</v>
      </c>
      <c r="I112" s="33">
        <v>1.2835000000000001</v>
      </c>
      <c r="J112" s="33">
        <v>0.699237</v>
      </c>
      <c r="K112" s="33">
        <v>1.2835000000000001</v>
      </c>
      <c r="L112" s="33">
        <v>58.029236999999902</v>
      </c>
      <c r="M112" s="33">
        <v>101.2435</v>
      </c>
      <c r="N112" s="34">
        <v>1.7435897435897401</v>
      </c>
      <c r="O112" s="34">
        <v>1.74415850230319</v>
      </c>
      <c r="P112" s="34">
        <v>1.7438844660870401</v>
      </c>
      <c r="Q112" s="34">
        <v>1.7434536657539901</v>
      </c>
      <c r="R112" s="33">
        <v>99.992606937042197</v>
      </c>
      <c r="S112" s="33">
        <v>99.977846484438103</v>
      </c>
      <c r="T112" s="33">
        <v>99.953229874793095</v>
      </c>
      <c r="U112" s="15">
        <v>3.2614665875864402E-4</v>
      </c>
      <c r="V112" s="15">
        <v>1.7852032318436801E-4</v>
      </c>
      <c r="W112" s="15">
        <v>-6.7730637073996506E-5</v>
      </c>
      <c r="X112" s="34">
        <v>1.74469810795547</v>
      </c>
      <c r="Y112" s="34">
        <v>1.74495402592864</v>
      </c>
      <c r="Z112" s="34">
        <v>1.7449611419640101</v>
      </c>
      <c r="AA112" s="34">
        <v>1.74440819380867</v>
      </c>
      <c r="AB112" s="33">
        <v>101.258350724717</v>
      </c>
      <c r="AC112" s="33">
        <v>101.25805413896499</v>
      </c>
      <c r="AD112" s="33">
        <v>101.22688874134199</v>
      </c>
      <c r="AE112" s="15">
        <v>1.46672484138098E-4</v>
      </c>
      <c r="AF112" s="15">
        <v>1.4374347942931E-4</v>
      </c>
      <c r="AG112" s="15">
        <v>-1.6408580828244801E-4</v>
      </c>
      <c r="AI112" s="12"/>
      <c r="AJ112">
        <f t="shared" si="26"/>
        <v>0</v>
      </c>
      <c r="AK112">
        <f t="shared" si="27"/>
        <v>0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1.4155918239679504E-3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2.6710298438228398E-3</v>
      </c>
      <c r="BE112" s="29">
        <f t="shared" si="42"/>
        <v>0</v>
      </c>
      <c r="BF112" s="29">
        <f t="shared" si="43"/>
        <v>4.08662166779079E-3</v>
      </c>
      <c r="BH112" s="29"/>
    </row>
    <row r="113" spans="1:60" x14ac:dyDescent="0.25">
      <c r="A113" s="1">
        <v>46185</v>
      </c>
      <c r="B113" s="33">
        <v>57.31</v>
      </c>
      <c r="C113" s="33">
        <v>99.96</v>
      </c>
      <c r="D113" s="15">
        <v>-3.4891835664516998E-4</v>
      </c>
      <c r="E113" s="15">
        <v>0</v>
      </c>
      <c r="F113" s="33">
        <v>0</v>
      </c>
      <c r="G113" s="33">
        <v>0.699237</v>
      </c>
      <c r="H113" s="33">
        <v>0</v>
      </c>
      <c r="I113" s="33">
        <v>1.2835000000000001</v>
      </c>
      <c r="J113" s="33">
        <v>0.699237</v>
      </c>
      <c r="K113" s="33">
        <v>1.2835000000000001</v>
      </c>
      <c r="L113" s="33">
        <v>58.009236999999999</v>
      </c>
      <c r="M113" s="33">
        <v>101.2435</v>
      </c>
      <c r="N113" s="34">
        <v>1.7441982202058901</v>
      </c>
      <c r="O113" s="34">
        <v>1.74415850230319</v>
      </c>
      <c r="P113" s="34">
        <v>1.74384918784607</v>
      </c>
      <c r="Q113" s="34">
        <v>1.7435229736787301</v>
      </c>
      <c r="R113" s="33">
        <v>99.957723766996196</v>
      </c>
      <c r="S113" s="33">
        <v>99.942018751448302</v>
      </c>
      <c r="T113" s="33">
        <v>99.917329584361198</v>
      </c>
      <c r="U113" s="15">
        <v>-2.2771697886544601E-5</v>
      </c>
      <c r="V113" s="15">
        <v>-1.7990062043866901E-4</v>
      </c>
      <c r="W113" s="15">
        <v>-4.2696604338023699E-4</v>
      </c>
      <c r="X113" s="34">
        <v>1.74529963219478</v>
      </c>
      <c r="Y113" s="34">
        <v>1.74495402592864</v>
      </c>
      <c r="Z113" s="34">
        <v>1.74495487956615</v>
      </c>
      <c r="AA113" s="34">
        <v>1.7444909442605701</v>
      </c>
      <c r="AB113" s="33">
        <v>101.22345164419799</v>
      </c>
      <c r="AC113" s="33">
        <v>101.223864439981</v>
      </c>
      <c r="AD113" s="33">
        <v>101.19178833938901</v>
      </c>
      <c r="AE113" s="15">
        <v>-1.9804077360501601E-4</v>
      </c>
      <c r="AF113" s="15">
        <v>-1.93962717246486E-4</v>
      </c>
      <c r="AG113" s="15">
        <v>-5.10895725339056E-4</v>
      </c>
      <c r="AI113" s="12"/>
      <c r="AJ113">
        <f t="shared" si="26"/>
        <v>0</v>
      </c>
      <c r="AK113">
        <f t="shared" si="27"/>
        <v>0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1.4155918239679504E-3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2.6710298438228398E-3</v>
      </c>
      <c r="BE113" s="29">
        <f t="shared" si="42"/>
        <v>0</v>
      </c>
      <c r="BF113" s="29">
        <f t="shared" si="43"/>
        <v>4.08662166779079E-3</v>
      </c>
      <c r="BH113" s="29"/>
    </row>
    <row r="114" spans="1:60" x14ac:dyDescent="0.25">
      <c r="A114" s="1">
        <v>46188</v>
      </c>
      <c r="B114" s="33">
        <v>57.38</v>
      </c>
      <c r="C114" s="33">
        <v>100.07</v>
      </c>
      <c r="D114" s="15">
        <v>1.2206819895726E-3</v>
      </c>
      <c r="E114" s="15">
        <v>1.0998351356130099E-3</v>
      </c>
      <c r="F114" s="33">
        <v>0</v>
      </c>
      <c r="G114" s="33">
        <v>0.699237</v>
      </c>
      <c r="H114" s="33">
        <v>0</v>
      </c>
      <c r="I114" s="33">
        <v>1.2835000000000001</v>
      </c>
      <c r="J114" s="33">
        <v>0.699237</v>
      </c>
      <c r="K114" s="33">
        <v>1.2835000000000001</v>
      </c>
      <c r="L114" s="33">
        <v>58.079236999999999</v>
      </c>
      <c r="M114" s="33">
        <v>101.3535</v>
      </c>
      <c r="N114" s="34">
        <v>1.7439874520738901</v>
      </c>
      <c r="O114" s="34">
        <v>1.74415850230319</v>
      </c>
      <c r="P114" s="34">
        <v>1.7438244529696101</v>
      </c>
      <c r="Q114" s="34">
        <v>1.7435679176858401</v>
      </c>
      <c r="R114" s="33">
        <v>100.07981486215699</v>
      </c>
      <c r="S114" s="33">
        <v>100.062066398608</v>
      </c>
      <c r="T114" s="33">
        <v>100.04334822968499</v>
      </c>
      <c r="U114" s="15">
        <v>9.8075156072946896E-5</v>
      </c>
      <c r="V114" s="15">
        <v>-7.9283660423690405E-5</v>
      </c>
      <c r="W114" s="15">
        <v>-2.6636674372497698E-4</v>
      </c>
      <c r="X114" s="34">
        <v>1.74509007409997</v>
      </c>
      <c r="Y114" s="34">
        <v>1.74495402592864</v>
      </c>
      <c r="Z114" s="34">
        <v>1.7449301767721299</v>
      </c>
      <c r="AA114" s="34">
        <v>1.74454934511944</v>
      </c>
      <c r="AB114" s="33">
        <v>101.345598426013</v>
      </c>
      <c r="AC114" s="33">
        <v>101.345648004629</v>
      </c>
      <c r="AD114" s="33">
        <v>101.318702996063</v>
      </c>
      <c r="AE114" s="15">
        <v>-7.7963582979570094E-5</v>
      </c>
      <c r="AF114" s="15">
        <v>-7.7474379661175203E-5</v>
      </c>
      <c r="AG114" s="15">
        <v>-3.4338210927439399E-4</v>
      </c>
      <c r="AI114" s="12"/>
      <c r="AJ114">
        <f t="shared" si="26"/>
        <v>0</v>
      </c>
      <c r="AK114">
        <f t="shared" si="27"/>
        <v>0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1.4155918239679504E-3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2.6710298438228398E-3</v>
      </c>
      <c r="BE114" s="29">
        <f t="shared" si="42"/>
        <v>0</v>
      </c>
      <c r="BF114" s="29">
        <f t="shared" si="43"/>
        <v>4.08662166779079E-3</v>
      </c>
      <c r="BH114" s="29"/>
    </row>
    <row r="115" spans="1:60" x14ac:dyDescent="0.25">
      <c r="A115" s="1">
        <v>46189</v>
      </c>
      <c r="B115" s="33">
        <v>57.4</v>
      </c>
      <c r="C115" s="33">
        <v>100.09</v>
      </c>
      <c r="D115" s="15">
        <v>3.48492772301889E-4</v>
      </c>
      <c r="E115" s="15">
        <v>1.9984012856290599E-4</v>
      </c>
      <c r="F115" s="33">
        <v>0</v>
      </c>
      <c r="G115" s="33">
        <v>0.699237</v>
      </c>
      <c r="H115" s="33">
        <v>0</v>
      </c>
      <c r="I115" s="33">
        <v>1.2835000000000001</v>
      </c>
      <c r="J115" s="33">
        <v>0.699237</v>
      </c>
      <c r="K115" s="33">
        <v>1.2835000000000001</v>
      </c>
      <c r="L115" s="33">
        <v>58.099236999999903</v>
      </c>
      <c r="M115" s="33">
        <v>101.37350000000001</v>
      </c>
      <c r="N115" s="34">
        <v>1.7437282229965101</v>
      </c>
      <c r="O115" s="34">
        <v>1.74415850230319</v>
      </c>
      <c r="P115" s="34">
        <v>1.74376852941194</v>
      </c>
      <c r="Q115" s="34">
        <v>1.7436680612300299</v>
      </c>
      <c r="R115" s="33">
        <v>100.11469803220299</v>
      </c>
      <c r="S115" s="33">
        <v>100.095523600455</v>
      </c>
      <c r="T115" s="33">
        <v>100.080798475167</v>
      </c>
      <c r="U115" s="15">
        <v>2.4672779981206198E-4</v>
      </c>
      <c r="V115" s="15">
        <v>5.5184814143552798E-5</v>
      </c>
      <c r="W115" s="15">
        <v>-9.1936735120481302E-5</v>
      </c>
      <c r="X115" s="34">
        <v>1.7448335853360599</v>
      </c>
      <c r="Y115" s="34">
        <v>1.74495402592864</v>
      </c>
      <c r="Z115" s="34">
        <v>1.74487479374</v>
      </c>
      <c r="AA115" s="34">
        <v>1.7446624229505701</v>
      </c>
      <c r="AB115" s="33">
        <v>101.380497506532</v>
      </c>
      <c r="AC115" s="33">
        <v>101.37911188873601</v>
      </c>
      <c r="AD115" s="33">
        <v>101.356985860289</v>
      </c>
      <c r="AE115" s="15">
        <v>6.9024597506182602E-5</v>
      </c>
      <c r="AF115" s="15">
        <v>5.5357005615800297E-5</v>
      </c>
      <c r="AG115" s="15">
        <v>-1.62917182162468E-4</v>
      </c>
      <c r="AI115" s="12"/>
      <c r="AJ115">
        <f t="shared" si="26"/>
        <v>0</v>
      </c>
      <c r="AK115">
        <f t="shared" si="27"/>
        <v>0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1.4155918239679504E-3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2.6710298438228398E-3</v>
      </c>
      <c r="BE115" s="29">
        <f t="shared" si="42"/>
        <v>0</v>
      </c>
      <c r="BF115" s="29">
        <f t="shared" si="43"/>
        <v>4.08662166779079E-3</v>
      </c>
      <c r="BH115" s="29"/>
    </row>
    <row r="116" spans="1:60" x14ac:dyDescent="0.25">
      <c r="A116" s="1">
        <v>46190</v>
      </c>
      <c r="B116" s="33">
        <v>57.33</v>
      </c>
      <c r="C116" s="33">
        <v>100</v>
      </c>
      <c r="D116" s="15">
        <v>-1.2202564052293701E-3</v>
      </c>
      <c r="E116" s="15">
        <v>-8.99595242836148E-4</v>
      </c>
      <c r="F116" s="33">
        <v>0</v>
      </c>
      <c r="G116" s="33">
        <v>0.699237</v>
      </c>
      <c r="H116" s="33">
        <v>0</v>
      </c>
      <c r="I116" s="33">
        <v>1.2835000000000001</v>
      </c>
      <c r="J116" s="33">
        <v>0.699237</v>
      </c>
      <c r="K116" s="33">
        <v>1.2835000000000001</v>
      </c>
      <c r="L116" s="33">
        <v>58.029236999999902</v>
      </c>
      <c r="M116" s="33">
        <v>101.2835</v>
      </c>
      <c r="N116" s="34">
        <v>1.74428745857317</v>
      </c>
      <c r="O116" s="34">
        <v>1.74415850230319</v>
      </c>
      <c r="P116" s="34">
        <v>1.74379490221045</v>
      </c>
      <c r="Q116" s="34">
        <v>1.7438104256871001</v>
      </c>
      <c r="R116" s="33">
        <v>99.992606937042197</v>
      </c>
      <c r="S116" s="33">
        <v>99.970249791186802</v>
      </c>
      <c r="T116" s="33">
        <v>99.964489950317798</v>
      </c>
      <c r="U116" s="15">
        <v>-7.3933362581198503E-5</v>
      </c>
      <c r="V116" s="15">
        <v>-2.9754635065696401E-4</v>
      </c>
      <c r="W116" s="15">
        <v>-3.5516355993232802E-4</v>
      </c>
      <c r="X116" s="34">
        <v>1.7453874156573801</v>
      </c>
      <c r="Y116" s="34">
        <v>1.74495402592864</v>
      </c>
      <c r="Z116" s="34">
        <v>1.74490081072017</v>
      </c>
      <c r="AA116" s="34">
        <v>1.74481720801189</v>
      </c>
      <c r="AB116" s="33">
        <v>101.258350724717</v>
      </c>
      <c r="AC116" s="33">
        <v>101.253752941264</v>
      </c>
      <c r="AD116" s="33">
        <v>101.241429226393</v>
      </c>
      <c r="AE116" s="15">
        <v>-2.48336581518554E-4</v>
      </c>
      <c r="AF116" s="15">
        <v>-2.9374407440875598E-4</v>
      </c>
      <c r="AG116" s="15">
        <v>-4.1546267289522501E-4</v>
      </c>
      <c r="AI116" s="12"/>
      <c r="AJ116">
        <f t="shared" si="26"/>
        <v>0</v>
      </c>
      <c r="AK116">
        <f t="shared" si="27"/>
        <v>0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1.4155918239679504E-3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2.6710298438228398E-3</v>
      </c>
      <c r="BE116" s="29">
        <f t="shared" si="42"/>
        <v>0</v>
      </c>
      <c r="BF116" s="29">
        <f t="shared" si="43"/>
        <v>4.08662166779079E-3</v>
      </c>
      <c r="BH116" s="29"/>
    </row>
    <row r="117" spans="1:60" x14ac:dyDescent="0.25">
      <c r="A117" s="1">
        <v>46191</v>
      </c>
      <c r="B117" s="33">
        <v>57.5</v>
      </c>
      <c r="C117" s="33">
        <v>100.24</v>
      </c>
      <c r="D117" s="15">
        <v>2.9609008830133502E-3</v>
      </c>
      <c r="E117" s="15">
        <v>2.3971245997214501E-3</v>
      </c>
      <c r="F117" s="33">
        <v>0</v>
      </c>
      <c r="G117" s="33">
        <v>0.699237</v>
      </c>
      <c r="H117" s="33">
        <v>0</v>
      </c>
      <c r="I117" s="33">
        <v>1.2835000000000001</v>
      </c>
      <c r="J117" s="33">
        <v>0.699237</v>
      </c>
      <c r="K117" s="33">
        <v>1.2835000000000001</v>
      </c>
      <c r="L117" s="33">
        <v>58.199236999999997</v>
      </c>
      <c r="M117" s="33">
        <v>101.5235</v>
      </c>
      <c r="N117" s="34">
        <v>1.7433043478260799</v>
      </c>
      <c r="O117" s="34">
        <v>1.74415850230319</v>
      </c>
      <c r="P117" s="34">
        <v>1.7438485855117101</v>
      </c>
      <c r="Q117" s="34">
        <v>1.7437862157656301</v>
      </c>
      <c r="R117" s="33">
        <v>100.289113882433</v>
      </c>
      <c r="S117" s="33">
        <v>100.26820687710099</v>
      </c>
      <c r="T117" s="33">
        <v>100.269099477008</v>
      </c>
      <c r="U117" s="15">
        <v>4.8984292071070905E-4</v>
      </c>
      <c r="V117" s="15">
        <v>2.8135384308524601E-4</v>
      </c>
      <c r="W117" s="15">
        <v>2.9025592642835201E-4</v>
      </c>
      <c r="X117" s="34">
        <v>1.74441290355748</v>
      </c>
      <c r="Y117" s="34">
        <v>1.74495402592864</v>
      </c>
      <c r="Z117" s="34">
        <v>1.7449536186652399</v>
      </c>
      <c r="AA117" s="34">
        <v>1.7448070652460399</v>
      </c>
      <c r="AB117" s="33">
        <v>101.554992909125</v>
      </c>
      <c r="AC117" s="33">
        <v>101.55189582459499</v>
      </c>
      <c r="AD117" s="33">
        <v>101.547030210762</v>
      </c>
      <c r="AE117" s="15">
        <v>3.1015504327158098E-4</v>
      </c>
      <c r="AF117" s="15">
        <v>2.79657953294819E-4</v>
      </c>
      <c r="AG117" s="15">
        <v>2.31744220528948E-4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1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1.4155918239679504E-3</v>
      </c>
      <c r="AT117" s="12"/>
      <c r="AU117">
        <f t="shared" si="30"/>
        <v>0</v>
      </c>
      <c r="AV117">
        <f t="shared" si="31"/>
        <v>0</v>
      </c>
      <c r="AW117">
        <f t="shared" si="38"/>
        <v>0</v>
      </c>
      <c r="AX117">
        <f t="shared" si="25"/>
        <v>1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2.6710298438228398E-3</v>
      </c>
      <c r="BE117" s="29">
        <f t="shared" si="42"/>
        <v>0</v>
      </c>
      <c r="BF117" s="29">
        <f t="shared" si="43"/>
        <v>4.08662166779079E-3</v>
      </c>
      <c r="BH117" s="29"/>
    </row>
    <row r="118" spans="1:60" x14ac:dyDescent="0.25">
      <c r="A118" s="1">
        <v>46195</v>
      </c>
      <c r="B118" s="33">
        <v>57.49</v>
      </c>
      <c r="C118" s="33">
        <v>100.28</v>
      </c>
      <c r="D118" s="15">
        <v>-1.73928168105197E-4</v>
      </c>
      <c r="E118" s="15">
        <v>3.9896270227978402E-4</v>
      </c>
      <c r="F118" s="33">
        <v>0</v>
      </c>
      <c r="G118" s="33">
        <v>0.699237</v>
      </c>
      <c r="H118" s="33">
        <v>0</v>
      </c>
      <c r="I118" s="33">
        <v>1.2835000000000001</v>
      </c>
      <c r="J118" s="33">
        <v>0.699237</v>
      </c>
      <c r="K118" s="33">
        <v>1.2835000000000001</v>
      </c>
      <c r="L118" s="33">
        <v>58.189236999999999</v>
      </c>
      <c r="M118" s="33">
        <v>101.5635</v>
      </c>
      <c r="N118" s="34">
        <v>1.7443033571055799</v>
      </c>
      <c r="O118" s="34">
        <v>1.74415850230319</v>
      </c>
      <c r="P118" s="34">
        <v>1.74392487094294</v>
      </c>
      <c r="Q118" s="34">
        <v>1.7438338655656</v>
      </c>
      <c r="R118" s="33">
        <v>100.27167229741001</v>
      </c>
      <c r="S118" s="33">
        <v>100.253855181068</v>
      </c>
      <c r="T118" s="33">
        <v>100.25026954436601</v>
      </c>
      <c r="U118" s="15">
        <v>-8.3047949674220698E-5</v>
      </c>
      <c r="V118" s="15">
        <v>-2.60752171307781E-4</v>
      </c>
      <c r="W118" s="15">
        <v>-2.9651838516812099E-4</v>
      </c>
      <c r="X118" s="34">
        <v>1.7454000986471001</v>
      </c>
      <c r="Y118" s="34">
        <v>1.74495402592864</v>
      </c>
      <c r="Z118" s="34">
        <v>1.7450285868461499</v>
      </c>
      <c r="AA118" s="34">
        <v>1.74486799146178</v>
      </c>
      <c r="AB118" s="33">
        <v>101.537543368866</v>
      </c>
      <c r="AC118" s="33">
        <v>101.537519670519</v>
      </c>
      <c r="AD118" s="33">
        <v>101.528991838876</v>
      </c>
      <c r="AE118" s="15">
        <v>-2.5560313078298901E-4</v>
      </c>
      <c r="AF118" s="15">
        <v>-2.5583652572917998E-4</v>
      </c>
      <c r="AG118" s="15">
        <v>-3.3982705261838497E-4</v>
      </c>
      <c r="AI118" s="12"/>
      <c r="AJ118">
        <f t="shared" si="26"/>
        <v>0</v>
      </c>
      <c r="AK118">
        <f t="shared" si="27"/>
        <v>0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1.4155918239679504E-3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2.6710298438228398E-3</v>
      </c>
      <c r="BE118" s="29">
        <f t="shared" si="42"/>
        <v>0</v>
      </c>
      <c r="BF118" s="29">
        <f t="shared" si="43"/>
        <v>4.08662166779079E-3</v>
      </c>
      <c r="BH118" s="29"/>
    </row>
    <row r="119" spans="1:60" x14ac:dyDescent="0.25">
      <c r="A119" s="1">
        <v>46196</v>
      </c>
      <c r="B119" s="33">
        <v>57.45</v>
      </c>
      <c r="C119" s="33">
        <v>100.24</v>
      </c>
      <c r="D119" s="15">
        <v>-6.9601534043486901E-4</v>
      </c>
      <c r="E119" s="15">
        <v>-3.9896270227984999E-4</v>
      </c>
      <c r="F119" s="33">
        <v>0</v>
      </c>
      <c r="G119" s="33">
        <v>0.699237</v>
      </c>
      <c r="H119" s="33">
        <v>0</v>
      </c>
      <c r="I119" s="33">
        <v>1.2835000000000001</v>
      </c>
      <c r="J119" s="33">
        <v>0.699237</v>
      </c>
      <c r="K119" s="33">
        <v>1.2835000000000001</v>
      </c>
      <c r="L119" s="33">
        <v>58.149236999999999</v>
      </c>
      <c r="M119" s="33">
        <v>101.5235</v>
      </c>
      <c r="N119" s="34">
        <v>1.7448215839860699</v>
      </c>
      <c r="O119" s="34">
        <v>1.74415850230319</v>
      </c>
      <c r="P119" s="34">
        <v>1.7439961373883299</v>
      </c>
      <c r="Q119" s="34">
        <v>1.74391801302669</v>
      </c>
      <c r="R119" s="33">
        <v>100.201905957318</v>
      </c>
      <c r="S119" s="33">
        <v>100.188483835672</v>
      </c>
      <c r="T119" s="33">
        <v>100.183255576744</v>
      </c>
      <c r="U119" s="15">
        <v>-3.8010058782920997E-4</v>
      </c>
      <c r="V119" s="15">
        <v>-5.1406032193028397E-4</v>
      </c>
      <c r="W119" s="15">
        <v>-5.6624591401693196E-4</v>
      </c>
      <c r="X119" s="34">
        <v>1.7459128483491499</v>
      </c>
      <c r="Y119" s="34">
        <v>1.74495402592864</v>
      </c>
      <c r="Z119" s="34">
        <v>1.7450986928629999</v>
      </c>
      <c r="AA119" s="34">
        <v>1.7449650886644901</v>
      </c>
      <c r="AB119" s="33">
        <v>101.467745207829</v>
      </c>
      <c r="AC119" s="33">
        <v>101.472080868291</v>
      </c>
      <c r="AD119" s="33">
        <v>101.462742369225</v>
      </c>
      <c r="AE119" s="15">
        <v>-5.4933200213629703E-4</v>
      </c>
      <c r="AF119" s="15">
        <v>-5.06603469768076E-4</v>
      </c>
      <c r="AG119" s="15">
        <v>-5.9863793604669497E-4</v>
      </c>
      <c r="AI119" s="12"/>
      <c r="AJ119">
        <f t="shared" si="26"/>
        <v>0</v>
      </c>
      <c r="AK119">
        <f t="shared" si="27"/>
        <v>0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1.4155918239679504E-3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2.6710298438228398E-3</v>
      </c>
      <c r="BE119" s="29">
        <f t="shared" si="42"/>
        <v>0</v>
      </c>
      <c r="BF119" s="29">
        <f t="shared" si="43"/>
        <v>4.08662166779079E-3</v>
      </c>
      <c r="BH119" s="29"/>
    </row>
    <row r="120" spans="1:60" x14ac:dyDescent="0.25">
      <c r="A120" s="1">
        <v>46197</v>
      </c>
      <c r="B120" s="33">
        <v>57.51</v>
      </c>
      <c r="C120" s="33">
        <v>100.34</v>
      </c>
      <c r="D120" s="15">
        <v>1.0438414308979499E-3</v>
      </c>
      <c r="E120" s="15">
        <v>9.9710846829406197E-4</v>
      </c>
      <c r="F120" s="33">
        <v>0</v>
      </c>
      <c r="G120" s="33">
        <v>0.699237</v>
      </c>
      <c r="H120" s="33">
        <v>0</v>
      </c>
      <c r="I120" s="33">
        <v>1.2835000000000001</v>
      </c>
      <c r="J120" s="33">
        <v>0.699237</v>
      </c>
      <c r="K120" s="33">
        <v>1.2835000000000001</v>
      </c>
      <c r="L120" s="33">
        <v>58.209236999999902</v>
      </c>
      <c r="M120" s="33">
        <v>101.62350000000001</v>
      </c>
      <c r="N120" s="34">
        <v>1.7447400452095201</v>
      </c>
      <c r="O120" s="34">
        <v>1.74415850230319</v>
      </c>
      <c r="P120" s="34">
        <v>1.7441630127476999</v>
      </c>
      <c r="Q120" s="34">
        <v>1.7440054007111301</v>
      </c>
      <c r="R120" s="33">
        <v>100.30655546745599</v>
      </c>
      <c r="S120" s="33">
        <v>100.297217861202</v>
      </c>
      <c r="T120" s="33">
        <v>100.292724929165</v>
      </c>
      <c r="U120" s="15">
        <v>-3.3336762522521502E-4</v>
      </c>
      <c r="V120" s="15">
        <v>-4.2646264637757702E-4</v>
      </c>
      <c r="W120" s="15">
        <v>-4.7125982789000001E-4</v>
      </c>
      <c r="X120" s="34">
        <v>1.74583116421883</v>
      </c>
      <c r="Y120" s="34">
        <v>1.74495402592864</v>
      </c>
      <c r="Z120" s="34">
        <v>1.7452632957438801</v>
      </c>
      <c r="AA120" s="34">
        <v>1.74506552084952</v>
      </c>
      <c r="AB120" s="33">
        <v>101.572442449384</v>
      </c>
      <c r="AC120" s="33">
        <v>101.580863401252</v>
      </c>
      <c r="AD120" s="33">
        <v>101.573086402797</v>
      </c>
      <c r="AE120" s="15">
        <v>-5.0254499252676797E-4</v>
      </c>
      <c r="AF120" s="15">
        <v>-4.1964255746457799E-4</v>
      </c>
      <c r="AG120" s="15">
        <v>-4.9620516888915895E-4</v>
      </c>
      <c r="AI120" s="12"/>
      <c r="AJ120">
        <f t="shared" si="26"/>
        <v>0</v>
      </c>
      <c r="AK120">
        <f t="shared" si="27"/>
        <v>0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1.4155918239679504E-3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2.6710298438228398E-3</v>
      </c>
      <c r="BE120" s="29">
        <f t="shared" si="42"/>
        <v>0</v>
      </c>
      <c r="BF120" s="29">
        <f t="shared" si="43"/>
        <v>4.08662166779079E-3</v>
      </c>
      <c r="BH120" s="29"/>
    </row>
    <row r="121" spans="1:60" x14ac:dyDescent="0.25">
      <c r="A121" s="1">
        <v>46198</v>
      </c>
      <c r="B121" s="33">
        <v>57.55</v>
      </c>
      <c r="C121" s="33">
        <v>100.43</v>
      </c>
      <c r="D121" s="15">
        <v>6.9528944222889096E-4</v>
      </c>
      <c r="E121" s="15">
        <v>8.9654834914083901E-4</v>
      </c>
      <c r="F121" s="33">
        <v>0</v>
      </c>
      <c r="G121" s="33">
        <v>0.699237</v>
      </c>
      <c r="H121" s="33">
        <v>0</v>
      </c>
      <c r="I121" s="33">
        <v>1.2835000000000001</v>
      </c>
      <c r="J121" s="33">
        <v>0.699237</v>
      </c>
      <c r="K121" s="33">
        <v>1.2835000000000001</v>
      </c>
      <c r="L121" s="33">
        <v>58.249236999999901</v>
      </c>
      <c r="M121" s="33">
        <v>101.7135</v>
      </c>
      <c r="N121" s="34">
        <v>1.7450912250217201</v>
      </c>
      <c r="O121" s="34">
        <v>1.74415850230319</v>
      </c>
      <c r="P121" s="34">
        <v>1.74420516565882</v>
      </c>
      <c r="Q121" s="34">
        <v>1.7440531016192</v>
      </c>
      <c r="R121" s="33">
        <v>100.376321807548</v>
      </c>
      <c r="S121" s="33">
        <v>100.37658138363</v>
      </c>
      <c r="T121" s="33">
        <v>100.36751081092601</v>
      </c>
      <c r="U121" s="15">
        <v>-5.3462653213728602E-4</v>
      </c>
      <c r="V121" s="15">
        <v>-5.32040506459276E-4</v>
      </c>
      <c r="W121" s="15">
        <v>-6.2241001732435896E-4</v>
      </c>
      <c r="X121" s="34">
        <v>1.7461773791131301</v>
      </c>
      <c r="Y121" s="34">
        <v>1.74495402592864</v>
      </c>
      <c r="Z121" s="34">
        <v>1.74530432091294</v>
      </c>
      <c r="AA121" s="34">
        <v>1.74512661793525</v>
      </c>
      <c r="AB121" s="33">
        <v>101.642240610421</v>
      </c>
      <c r="AC121" s="33">
        <v>101.660255341186</v>
      </c>
      <c r="AD121" s="33">
        <v>101.648735104492</v>
      </c>
      <c r="AE121" s="15">
        <v>-7.0083482552257901E-4</v>
      </c>
      <c r="AF121" s="15">
        <v>-5.2361387476301303E-4</v>
      </c>
      <c r="AG121" s="15">
        <v>-6.3694124588838704E-4</v>
      </c>
      <c r="AI121" s="12"/>
      <c r="AJ121">
        <f t="shared" si="26"/>
        <v>0</v>
      </c>
      <c r="AK121">
        <f t="shared" si="27"/>
        <v>0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1.4155918239679504E-3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2.6710298438228398E-3</v>
      </c>
      <c r="BE121" s="29">
        <f t="shared" si="42"/>
        <v>0</v>
      </c>
      <c r="BF121" s="29">
        <f t="shared" si="43"/>
        <v>4.08662166779079E-3</v>
      </c>
      <c r="BH121" s="29"/>
    </row>
    <row r="122" spans="1:60" x14ac:dyDescent="0.25">
      <c r="A122" s="1">
        <v>46199</v>
      </c>
      <c r="B122" s="33">
        <v>57.6</v>
      </c>
      <c r="C122" s="33">
        <v>100.5</v>
      </c>
      <c r="D122" s="15">
        <v>8.68432533953972E-4</v>
      </c>
      <c r="E122" s="15">
        <v>6.9676009388263804E-4</v>
      </c>
      <c r="F122" s="33">
        <v>0</v>
      </c>
      <c r="G122" s="33">
        <v>0.699237</v>
      </c>
      <c r="H122" s="33">
        <v>0</v>
      </c>
      <c r="I122" s="33">
        <v>1.2835000000000001</v>
      </c>
      <c r="J122" s="33">
        <v>0.699237</v>
      </c>
      <c r="K122" s="33">
        <v>1.2835000000000001</v>
      </c>
      <c r="L122" s="33">
        <v>58.299236999999998</v>
      </c>
      <c r="M122" s="33">
        <v>101.7835</v>
      </c>
      <c r="N122" s="34">
        <v>1.7447916666666601</v>
      </c>
      <c r="O122" s="34">
        <v>1.74415850230319</v>
      </c>
      <c r="P122" s="34">
        <v>1.7443253579665099</v>
      </c>
      <c r="Q122" s="34">
        <v>1.74410491202677</v>
      </c>
      <c r="R122" s="33">
        <v>100.463529732664</v>
      </c>
      <c r="S122" s="33">
        <v>100.466217541948</v>
      </c>
      <c r="T122" s="33">
        <v>100.457458653266</v>
      </c>
      <c r="U122" s="15">
        <v>-3.6295409206607402E-4</v>
      </c>
      <c r="V122" s="15">
        <v>-3.3620037022423098E-4</v>
      </c>
      <c r="W122" s="15">
        <v>-4.2338659788146302E-4</v>
      </c>
      <c r="X122" s="34">
        <v>1.7458804821064799</v>
      </c>
      <c r="Y122" s="34">
        <v>1.74495402592864</v>
      </c>
      <c r="Z122" s="34">
        <v>1.7454225583280401</v>
      </c>
      <c r="AA122" s="34">
        <v>1.74519185014602</v>
      </c>
      <c r="AB122" s="33">
        <v>101.729488311718</v>
      </c>
      <c r="AC122" s="33">
        <v>101.749910242027</v>
      </c>
      <c r="AD122" s="33">
        <v>101.739550294015</v>
      </c>
      <c r="AE122" s="15">
        <v>-5.3079353802329204E-4</v>
      </c>
      <c r="AF122" s="15">
        <v>-3.3006628481701102E-4</v>
      </c>
      <c r="AG122" s="15">
        <v>-4.3188922929073101E-4</v>
      </c>
      <c r="AI122" s="12"/>
      <c r="AJ122">
        <f t="shared" si="26"/>
        <v>0</v>
      </c>
      <c r="AK122">
        <f t="shared" si="27"/>
        <v>0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1.4155918239679504E-3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2.6710298438228398E-3</v>
      </c>
      <c r="BE122" s="29">
        <f t="shared" si="42"/>
        <v>0</v>
      </c>
      <c r="BF122" s="29">
        <f t="shared" si="43"/>
        <v>4.08662166779079E-3</v>
      </c>
      <c r="BH122" s="29"/>
    </row>
    <row r="123" spans="1:60" x14ac:dyDescent="0.25">
      <c r="A123" s="1">
        <v>46202</v>
      </c>
      <c r="B123" s="33">
        <v>57.65</v>
      </c>
      <c r="C123" s="33">
        <v>100.61</v>
      </c>
      <c r="D123" s="15">
        <v>8.67679013222501E-4</v>
      </c>
      <c r="E123" s="15">
        <v>1.0939288048289601E-3</v>
      </c>
      <c r="F123" s="33">
        <v>0</v>
      </c>
      <c r="G123" s="33">
        <v>0.699237</v>
      </c>
      <c r="H123" s="33">
        <v>0</v>
      </c>
      <c r="I123" s="33">
        <v>1.2835000000000001</v>
      </c>
      <c r="J123" s="33">
        <v>0.699237</v>
      </c>
      <c r="K123" s="33">
        <v>1.2835000000000001</v>
      </c>
      <c r="L123" s="33">
        <v>58.349236999999903</v>
      </c>
      <c r="M123" s="33">
        <v>101.8935</v>
      </c>
      <c r="N123" s="34">
        <v>1.7451864700780499</v>
      </c>
      <c r="O123" s="34">
        <v>1.74415850230319</v>
      </c>
      <c r="P123" s="34">
        <v>1.7444241829537299</v>
      </c>
      <c r="Q123" s="34">
        <v>1.7441366853999001</v>
      </c>
      <c r="R123" s="33">
        <v>100.550737657779</v>
      </c>
      <c r="S123" s="33">
        <v>100.560356886769</v>
      </c>
      <c r="T123" s="33">
        <v>100.547648178343</v>
      </c>
      <c r="U123" s="15">
        <v>-5.8920388367246295E-4</v>
      </c>
      <c r="V123" s="15">
        <v>-4.9354303493242397E-4</v>
      </c>
      <c r="W123" s="15">
        <v>-6.1992993274479803E-4</v>
      </c>
      <c r="X123" s="34">
        <v>1.7462696213148401</v>
      </c>
      <c r="Y123" s="34">
        <v>1.74495402592864</v>
      </c>
      <c r="Z123" s="34">
        <v>1.7455195572400399</v>
      </c>
      <c r="AA123" s="34">
        <v>1.7452372184031</v>
      </c>
      <c r="AB123" s="33">
        <v>101.81673601301399</v>
      </c>
      <c r="AC123" s="33">
        <v>101.844074521029</v>
      </c>
      <c r="AD123" s="33">
        <v>101.830612874639</v>
      </c>
      <c r="AE123" s="15">
        <v>-7.5365864888483902E-4</v>
      </c>
      <c r="AF123" s="15">
        <v>-4.8518767396343198E-4</v>
      </c>
      <c r="AG123" s="15">
        <v>-6.1737539529291405E-4</v>
      </c>
      <c r="AI123" s="12"/>
      <c r="AJ123">
        <f t="shared" si="26"/>
        <v>0</v>
      </c>
      <c r="AK123">
        <f t="shared" si="27"/>
        <v>0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1.4155918239679504E-3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2.6710298438228398E-3</v>
      </c>
      <c r="BE123" s="29">
        <f t="shared" si="42"/>
        <v>0</v>
      </c>
      <c r="BF123" s="29">
        <f t="shared" si="43"/>
        <v>4.08662166779079E-3</v>
      </c>
      <c r="BH123" s="29"/>
    </row>
    <row r="124" spans="1:60" x14ac:dyDescent="0.25">
      <c r="A124" s="1">
        <v>46203</v>
      </c>
      <c r="B124" s="33">
        <v>57.64</v>
      </c>
      <c r="C124" s="33">
        <v>100.6</v>
      </c>
      <c r="D124" s="15">
        <v>-1.7347558374662499E-4</v>
      </c>
      <c r="E124" s="15">
        <v>-9.9398638320563195E-5</v>
      </c>
      <c r="F124" s="33">
        <v>0</v>
      </c>
      <c r="G124" s="33">
        <v>0.699237</v>
      </c>
      <c r="H124" s="33">
        <v>0</v>
      </c>
      <c r="I124" s="33">
        <v>1.2835000000000001</v>
      </c>
      <c r="J124" s="33">
        <v>0.699237</v>
      </c>
      <c r="K124" s="33">
        <v>1.2835000000000001</v>
      </c>
      <c r="L124" s="33">
        <v>58.339236999999997</v>
      </c>
      <c r="M124" s="33">
        <v>101.8835</v>
      </c>
      <c r="N124" s="34">
        <v>1.7453157529493399</v>
      </c>
      <c r="O124" s="34">
        <v>1.74415850230319</v>
      </c>
      <c r="P124" s="34">
        <v>1.74455701304127</v>
      </c>
      <c r="Q124" s="34">
        <v>1.74419073300544</v>
      </c>
      <c r="R124" s="33">
        <v>100.533296072756</v>
      </c>
      <c r="S124" s="33">
        <v>100.54860990545301</v>
      </c>
      <c r="T124" s="33">
        <v>100.53203854645</v>
      </c>
      <c r="U124" s="15">
        <v>-6.6328082909859298E-4</v>
      </c>
      <c r="V124" s="15">
        <v>-5.10966451015987E-4</v>
      </c>
      <c r="W124" s="15">
        <v>-6.7578946275390799E-4</v>
      </c>
      <c r="X124" s="34">
        <v>1.7463975403037899</v>
      </c>
      <c r="Y124" s="34">
        <v>1.74495402592864</v>
      </c>
      <c r="Z124" s="34">
        <v>1.7456503038604201</v>
      </c>
      <c r="AA124" s="34">
        <v>1.74529024031628</v>
      </c>
      <c r="AB124" s="33">
        <v>101.799286472755</v>
      </c>
      <c r="AC124" s="33">
        <v>101.832279137962</v>
      </c>
      <c r="AD124" s="33">
        <v>101.815807705639</v>
      </c>
      <c r="AE124" s="15">
        <v>-8.2690867992865201E-4</v>
      </c>
      <c r="AF124" s="15">
        <v>-5.0286593737556401E-4</v>
      </c>
      <c r="AG124" s="15">
        <v>-6.64629621131392E-4</v>
      </c>
      <c r="AI124" s="12"/>
      <c r="AJ124">
        <f t="shared" si="26"/>
        <v>0</v>
      </c>
      <c r="AK124">
        <f t="shared" si="27"/>
        <v>0</v>
      </c>
      <c r="AL124">
        <f t="shared" si="34"/>
        <v>0</v>
      </c>
      <c r="AM124">
        <f t="shared" si="24"/>
        <v>0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1.4155918239679504E-3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0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2.6710298438228398E-3</v>
      </c>
      <c r="BE124" s="29">
        <f t="shared" si="42"/>
        <v>0</v>
      </c>
      <c r="BF124" s="29">
        <f t="shared" si="43"/>
        <v>4.08662166779079E-3</v>
      </c>
      <c r="BH124" s="29"/>
    </row>
    <row r="125" spans="1:60" x14ac:dyDescent="0.25">
      <c r="A125" s="1">
        <v>46204</v>
      </c>
      <c r="B125" s="33">
        <v>57.51</v>
      </c>
      <c r="C125" s="33">
        <v>100.3</v>
      </c>
      <c r="D125" s="15">
        <v>-2.25792540565861E-3</v>
      </c>
      <c r="E125" s="15">
        <v>-2.9865626977489601E-3</v>
      </c>
      <c r="F125" s="33">
        <v>0.14266000000000001</v>
      </c>
      <c r="G125" s="33">
        <v>0.84189700000000001</v>
      </c>
      <c r="H125" s="33">
        <v>0.26240000000000002</v>
      </c>
      <c r="I125" s="33">
        <v>1.5459000000000001</v>
      </c>
      <c r="J125" s="33">
        <v>0.84189700000000001</v>
      </c>
      <c r="K125" s="33">
        <v>1.5459000000000001</v>
      </c>
      <c r="L125" s="33">
        <v>58.351897000000001</v>
      </c>
      <c r="M125" s="33">
        <v>101.8459</v>
      </c>
      <c r="N125" s="34">
        <v>1.74404451399756</v>
      </c>
      <c r="O125" s="34">
        <v>1.74415850230319</v>
      </c>
      <c r="P125" s="34">
        <v>1.7445886421413701</v>
      </c>
      <c r="Q125" s="34">
        <v>1.7441785857766601</v>
      </c>
      <c r="R125" s="33">
        <v>100.30655546745599</v>
      </c>
      <c r="S125" s="33">
        <v>100.329473820003</v>
      </c>
      <c r="T125" s="33">
        <v>100.308409055143</v>
      </c>
      <c r="U125" s="15">
        <v>6.5356462991835601E-5</v>
      </c>
      <c r="V125" s="15">
        <v>2.9381346274340899E-4</v>
      </c>
      <c r="W125" s="15">
        <v>8.3835520031543705E-5</v>
      </c>
      <c r="X125" s="34">
        <v>1.7453742763495701</v>
      </c>
      <c r="Y125" s="34">
        <v>1.74495402592864</v>
      </c>
      <c r="Z125" s="34">
        <v>1.7457043729617701</v>
      </c>
      <c r="AA125" s="34">
        <v>1.7452895833508899</v>
      </c>
      <c r="AB125" s="33">
        <v>101.821377590723</v>
      </c>
      <c r="AC125" s="33">
        <v>101.86200672888199</v>
      </c>
      <c r="AD125" s="33">
        <v>101.84099633804</v>
      </c>
      <c r="AE125" s="15">
        <v>-2.40808535223678E-4</v>
      </c>
      <c r="AF125" s="15">
        <v>1.58135530178007E-4</v>
      </c>
      <c r="AG125" s="15">
        <v>-4.8149017420784402E-5</v>
      </c>
      <c r="AI125" s="12"/>
      <c r="AJ125">
        <f t="shared" si="26"/>
        <v>0</v>
      </c>
      <c r="AK125">
        <f t="shared" si="27"/>
        <v>0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1.4155918239679504E-3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2.6710298438228398E-3</v>
      </c>
      <c r="BE125" s="29">
        <f t="shared" si="42"/>
        <v>0</v>
      </c>
      <c r="BF125" s="29">
        <f t="shared" si="43"/>
        <v>4.08662166779079E-3</v>
      </c>
      <c r="BH125" s="29"/>
    </row>
    <row r="126" spans="1:60" x14ac:dyDescent="0.25">
      <c r="A126" s="1">
        <v>46205</v>
      </c>
      <c r="B126" s="33">
        <v>57.58</v>
      </c>
      <c r="C126" s="33">
        <v>100.39</v>
      </c>
      <c r="D126" s="15">
        <v>1.2164394583669799E-3</v>
      </c>
      <c r="E126" s="15">
        <v>8.9690573554549596E-4</v>
      </c>
      <c r="F126" s="33">
        <v>0</v>
      </c>
      <c r="G126" s="33">
        <v>0.84189700000000001</v>
      </c>
      <c r="H126" s="33">
        <v>0</v>
      </c>
      <c r="I126" s="33">
        <v>1.5459000000000001</v>
      </c>
      <c r="J126" s="33">
        <v>0.84189700000000001</v>
      </c>
      <c r="K126" s="33">
        <v>1.5459000000000001</v>
      </c>
      <c r="L126" s="33">
        <v>58.421897000000001</v>
      </c>
      <c r="M126" s="33">
        <v>101.9359</v>
      </c>
      <c r="N126" s="34">
        <v>1.7434873219867999</v>
      </c>
      <c r="O126" s="34">
        <v>1.74415850230319</v>
      </c>
      <c r="P126" s="34">
        <v>1.74450862848274</v>
      </c>
      <c r="Q126" s="34">
        <v>1.7441517653466001</v>
      </c>
      <c r="R126" s="33">
        <v>100.428646562618</v>
      </c>
      <c r="S126" s="33">
        <v>100.4534140145</v>
      </c>
      <c r="T126" s="33">
        <v>100.42980296902</v>
      </c>
      <c r="U126" s="15">
        <v>3.8489018581345602E-4</v>
      </c>
      <c r="V126" s="15">
        <v>6.3147718255096802E-4</v>
      </c>
      <c r="W126" s="15">
        <v>3.9640482614728702E-4</v>
      </c>
      <c r="X126" s="34">
        <v>1.74482352053717</v>
      </c>
      <c r="Y126" s="34">
        <v>1.74495402592864</v>
      </c>
      <c r="Z126" s="34">
        <v>1.74564798344975</v>
      </c>
      <c r="AA126" s="34">
        <v>1.74527439708496</v>
      </c>
      <c r="AB126" s="33">
        <v>101.94352437253799</v>
      </c>
      <c r="AC126" s="33">
        <v>101.987361069622</v>
      </c>
      <c r="AD126" s="33">
        <v>101.963128273698</v>
      </c>
      <c r="AE126" s="15">
        <v>7.4792957315111296E-5</v>
      </c>
      <c r="AF126" s="15">
        <v>5.0471015856780397E-4</v>
      </c>
      <c r="AG126" s="15">
        <v>2.67076053191727E-4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1.4155918239679504E-3</v>
      </c>
      <c r="AT126" s="12"/>
      <c r="AU126">
        <f t="shared" si="30"/>
        <v>0</v>
      </c>
      <c r="AV126">
        <f t="shared" si="31"/>
        <v>0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2.6710298438228398E-3</v>
      </c>
      <c r="BE126" s="29">
        <f t="shared" si="42"/>
        <v>0</v>
      </c>
      <c r="BF126" s="29">
        <f t="shared" si="43"/>
        <v>4.08662166779079E-3</v>
      </c>
      <c r="BH126" s="29"/>
    </row>
    <row r="127" spans="1:60" x14ac:dyDescent="0.25">
      <c r="A127" s="1">
        <v>46209</v>
      </c>
      <c r="B127" s="33">
        <v>57.58</v>
      </c>
      <c r="C127" s="33">
        <v>100.43</v>
      </c>
      <c r="D127" s="15">
        <v>0</v>
      </c>
      <c r="E127" s="15">
        <v>3.9836670181240099E-4</v>
      </c>
      <c r="F127" s="33">
        <v>0</v>
      </c>
      <c r="G127" s="33">
        <v>0.84189700000000001</v>
      </c>
      <c r="H127" s="33">
        <v>0</v>
      </c>
      <c r="I127" s="33">
        <v>1.5459000000000001</v>
      </c>
      <c r="J127" s="33">
        <v>0.84189700000000001</v>
      </c>
      <c r="K127" s="33">
        <v>1.5459000000000001</v>
      </c>
      <c r="L127" s="33">
        <v>58.421897000000001</v>
      </c>
      <c r="M127" s="33">
        <v>101.9759</v>
      </c>
      <c r="N127" s="34">
        <v>1.74418200764154</v>
      </c>
      <c r="O127" s="34">
        <v>1.74415850230319</v>
      </c>
      <c r="P127" s="34">
        <v>1.7445963944642799</v>
      </c>
      <c r="Q127" s="34">
        <v>1.7442224899879999</v>
      </c>
      <c r="R127" s="33">
        <v>100.428646562618</v>
      </c>
      <c r="S127" s="33">
        <v>100.448806828036</v>
      </c>
      <c r="T127" s="33">
        <v>100.42825864865701</v>
      </c>
      <c r="U127" s="15">
        <v>-1.34765159990616E-5</v>
      </c>
      <c r="V127" s="15">
        <v>1.87245517715038E-4</v>
      </c>
      <c r="W127" s="15">
        <v>-1.7339106238146201E-5</v>
      </c>
      <c r="X127" s="34">
        <v>1.74550819532614</v>
      </c>
      <c r="Y127" s="34">
        <v>1.74495402592864</v>
      </c>
      <c r="Z127" s="34">
        <v>1.74575751262662</v>
      </c>
      <c r="AA127" s="34">
        <v>1.7453555656459301</v>
      </c>
      <c r="AB127" s="33">
        <v>101.94352437253799</v>
      </c>
      <c r="AC127" s="33">
        <v>101.984066687359</v>
      </c>
      <c r="AD127" s="33">
        <v>101.962241063234</v>
      </c>
      <c r="AE127" s="15">
        <v>-3.1753353397258999E-4</v>
      </c>
      <c r="AF127" s="15">
        <v>8.0081277678769499E-5</v>
      </c>
      <c r="AG127" s="15">
        <v>-1.3395176316024501E-4</v>
      </c>
      <c r="AI127" s="12"/>
      <c r="AJ127">
        <f t="shared" si="26"/>
        <v>0</v>
      </c>
      <c r="AK127">
        <f t="shared" si="27"/>
        <v>0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1.4155918239679504E-3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2.6710298438228398E-3</v>
      </c>
      <c r="BE127" s="29">
        <f t="shared" si="42"/>
        <v>0</v>
      </c>
      <c r="BF127" s="29">
        <f t="shared" si="43"/>
        <v>4.08662166779079E-3</v>
      </c>
      <c r="BH127" s="29"/>
    </row>
    <row r="128" spans="1:60" x14ac:dyDescent="0.25">
      <c r="A128" s="1">
        <v>46210</v>
      </c>
      <c r="B128" s="33">
        <v>57.48</v>
      </c>
      <c r="C128" s="33">
        <v>100.23</v>
      </c>
      <c r="D128" s="15">
        <v>-1.73822397320561E-3</v>
      </c>
      <c r="E128" s="15">
        <v>-1.9934223684728602E-3</v>
      </c>
      <c r="F128" s="33">
        <v>0</v>
      </c>
      <c r="G128" s="33">
        <v>0.84189700000000001</v>
      </c>
      <c r="H128" s="33">
        <v>0</v>
      </c>
      <c r="I128" s="33">
        <v>1.5459000000000001</v>
      </c>
      <c r="J128" s="33">
        <v>0.84189700000000001</v>
      </c>
      <c r="K128" s="33">
        <v>1.5459000000000001</v>
      </c>
      <c r="L128" s="33">
        <v>58.321897</v>
      </c>
      <c r="M128" s="33">
        <v>101.77589999999999</v>
      </c>
      <c r="N128" s="34">
        <v>1.7437369519832899</v>
      </c>
      <c r="O128" s="34">
        <v>1.74415850230319</v>
      </c>
      <c r="P128" s="34">
        <v>1.74453975395206</v>
      </c>
      <c r="Q128" s="34">
        <v>1.7442323124475001</v>
      </c>
      <c r="R128" s="33">
        <v>100.254230712387</v>
      </c>
      <c r="S128" s="33">
        <v>100.279400753807</v>
      </c>
      <c r="T128" s="33">
        <v>100.25790872451</v>
      </c>
      <c r="U128" s="15">
        <v>2.4172187926794399E-4</v>
      </c>
      <c r="V128" s="15">
        <v>4.9275250557929702E-4</v>
      </c>
      <c r="W128" s="15">
        <v>2.7840805830317398E-4</v>
      </c>
      <c r="X128" s="34">
        <v>1.7450718381125301</v>
      </c>
      <c r="Y128" s="34">
        <v>1.74495402592864</v>
      </c>
      <c r="Z128" s="34">
        <v>1.7457246865731599</v>
      </c>
      <c r="AA128" s="34">
        <v>1.7453766367096599</v>
      </c>
      <c r="AB128" s="33">
        <v>101.769028969945</v>
      </c>
      <c r="AC128" s="33">
        <v>101.815889838386</v>
      </c>
      <c r="AD128" s="33">
        <v>101.792447527978</v>
      </c>
      <c r="AE128" s="15">
        <v>-6.7513645184398205E-5</v>
      </c>
      <c r="AF128" s="15">
        <v>3.9284333550223199E-4</v>
      </c>
      <c r="AG128" s="15">
        <v>1.6257466562225999E-4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1.4155918239679504E-3</v>
      </c>
      <c r="AT128" s="12"/>
      <c r="AU128">
        <f t="shared" si="30"/>
        <v>0</v>
      </c>
      <c r="AV128">
        <f t="shared" si="31"/>
        <v>0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2.6710298438228398E-3</v>
      </c>
      <c r="BE128" s="29">
        <f t="shared" si="42"/>
        <v>0</v>
      </c>
      <c r="BF128" s="29">
        <f t="shared" si="43"/>
        <v>4.08662166779079E-3</v>
      </c>
      <c r="BH128" s="29"/>
    </row>
    <row r="129" spans="1:60" x14ac:dyDescent="0.25">
      <c r="A129" s="1">
        <v>46211</v>
      </c>
      <c r="B129" s="33">
        <v>57.33</v>
      </c>
      <c r="C129" s="33">
        <v>100.01</v>
      </c>
      <c r="D129" s="15">
        <v>-2.61301429053279E-3</v>
      </c>
      <c r="E129" s="15">
        <v>-2.19736404835017E-3</v>
      </c>
      <c r="F129" s="33">
        <v>0</v>
      </c>
      <c r="G129" s="33">
        <v>0.84189700000000001</v>
      </c>
      <c r="H129" s="33">
        <v>0</v>
      </c>
      <c r="I129" s="33">
        <v>1.5459000000000001</v>
      </c>
      <c r="J129" s="33">
        <v>0.84189700000000001</v>
      </c>
      <c r="K129" s="33">
        <v>1.5459000000000001</v>
      </c>
      <c r="L129" s="33">
        <v>58.171897000000001</v>
      </c>
      <c r="M129" s="33">
        <v>101.55589999999999</v>
      </c>
      <c r="N129" s="34">
        <v>1.7444618873190301</v>
      </c>
      <c r="O129" s="34">
        <v>1.74415850230319</v>
      </c>
      <c r="P129" s="34">
        <v>1.7445037842853499</v>
      </c>
      <c r="Q129" s="34">
        <v>1.74424996083684</v>
      </c>
      <c r="R129" s="33">
        <v>99.992606937042197</v>
      </c>
      <c r="S129" s="33">
        <v>100.014464094071</v>
      </c>
      <c r="T129" s="33">
        <v>99.996838472615295</v>
      </c>
      <c r="U129" s="15">
        <v>-1.7392836291449501E-4</v>
      </c>
      <c r="V129" s="15">
        <v>4.4635480890417299E-5</v>
      </c>
      <c r="W129" s="15">
        <v>-1.3161077395369599E-4</v>
      </c>
      <c r="X129" s="34">
        <v>1.7457897238592699</v>
      </c>
      <c r="Y129" s="34">
        <v>1.74495402592864</v>
      </c>
      <c r="Z129" s="34">
        <v>1.74571237412417</v>
      </c>
      <c r="AA129" s="34">
        <v>1.7454055334935901</v>
      </c>
      <c r="AB129" s="33">
        <v>101.50728586605599</v>
      </c>
      <c r="AC129" s="33">
        <v>101.552116657691</v>
      </c>
      <c r="AD129" s="33">
        <v>101.53186993688</v>
      </c>
      <c r="AE129" s="15">
        <v>-4.7880795984652798E-4</v>
      </c>
      <c r="AF129" s="15">
        <v>-3.72544852846128E-5</v>
      </c>
      <c r="AG129" s="15">
        <v>-2.3664707371470799E-4</v>
      </c>
      <c r="AI129" s="12"/>
      <c r="AJ129">
        <f t="shared" si="26"/>
        <v>0</v>
      </c>
      <c r="AK129">
        <f t="shared" si="27"/>
        <v>0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1.4155918239679504E-3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2.6710298438228398E-3</v>
      </c>
      <c r="BE129" s="29">
        <f t="shared" si="42"/>
        <v>0</v>
      </c>
      <c r="BF129" s="29">
        <f t="shared" si="43"/>
        <v>4.08662166779079E-3</v>
      </c>
      <c r="BH129" s="29"/>
    </row>
    <row r="130" spans="1:60" x14ac:dyDescent="0.25">
      <c r="A130" s="1">
        <v>46212</v>
      </c>
      <c r="B130" s="33">
        <v>57.36</v>
      </c>
      <c r="C130" s="33">
        <v>100.05</v>
      </c>
      <c r="D130" s="15">
        <v>5.23149371073524E-4</v>
      </c>
      <c r="E130" s="15">
        <v>3.9988004131758398E-4</v>
      </c>
      <c r="F130" s="33">
        <v>0</v>
      </c>
      <c r="G130" s="33">
        <v>0.84189700000000001</v>
      </c>
      <c r="H130" s="33">
        <v>0</v>
      </c>
      <c r="I130" s="33">
        <v>1.5459000000000001</v>
      </c>
      <c r="J130" s="33">
        <v>0.84189700000000001</v>
      </c>
      <c r="K130" s="33">
        <v>1.5459000000000001</v>
      </c>
      <c r="L130" s="33">
        <v>58.201897000000002</v>
      </c>
      <c r="M130" s="33">
        <v>101.5959</v>
      </c>
      <c r="N130" s="34">
        <v>1.74424686192468</v>
      </c>
      <c r="O130" s="34">
        <v>1.74415850230319</v>
      </c>
      <c r="P130" s="34">
        <v>1.7444544659568699</v>
      </c>
      <c r="Q130" s="34">
        <v>1.74430873935228</v>
      </c>
      <c r="R130" s="33">
        <v>100.04493169211101</v>
      </c>
      <c r="S130" s="33">
        <v>100.06473706660699</v>
      </c>
      <c r="T130" s="33">
        <v>100.05017775360101</v>
      </c>
      <c r="U130" s="15">
        <v>-5.0659033158603803E-5</v>
      </c>
      <c r="V130" s="15">
        <v>1.47286170430563E-4</v>
      </c>
      <c r="W130" s="15">
        <v>1.77664611117435E-6</v>
      </c>
      <c r="X130" s="34">
        <v>1.74557712440197</v>
      </c>
      <c r="Y130" s="34">
        <v>1.74495402592864</v>
      </c>
      <c r="Z130" s="34">
        <v>1.74568697014249</v>
      </c>
      <c r="AA130" s="34">
        <v>1.7454751329431899</v>
      </c>
      <c r="AB130" s="33">
        <v>101.559634486834</v>
      </c>
      <c r="AC130" s="33">
        <v>101.6037717904</v>
      </c>
      <c r="AD130" s="33">
        <v>101.58591308362401</v>
      </c>
      <c r="AE130" s="15">
        <v>-3.5702215686538502E-4</v>
      </c>
      <c r="AF130" s="15">
        <v>7.7478377160035495E-5</v>
      </c>
      <c r="AG130" s="15">
        <v>-9.8305219668841197E-5</v>
      </c>
      <c r="AI130" s="12"/>
      <c r="AJ130">
        <f t="shared" si="26"/>
        <v>0</v>
      </c>
      <c r="AK130">
        <f t="shared" si="27"/>
        <v>0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1.4155918239679504E-3</v>
      </c>
      <c r="AT130" s="12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2.6710298438228398E-3</v>
      </c>
      <c r="BE130" s="29">
        <f t="shared" si="42"/>
        <v>0</v>
      </c>
      <c r="BF130" s="29">
        <f t="shared" si="43"/>
        <v>4.08662166779079E-3</v>
      </c>
      <c r="BH130" s="29"/>
    </row>
    <row r="131" spans="1:60" x14ac:dyDescent="0.25">
      <c r="A131" s="1">
        <v>46213</v>
      </c>
      <c r="B131" s="33">
        <v>57.35</v>
      </c>
      <c r="C131" s="33">
        <v>100.09</v>
      </c>
      <c r="D131" s="15">
        <v>-1.7435271598514499E-4</v>
      </c>
      <c r="E131" s="15">
        <v>3.99720201185129E-4</v>
      </c>
      <c r="F131" s="33">
        <v>0</v>
      </c>
      <c r="G131" s="33">
        <v>0.84189700000000001</v>
      </c>
      <c r="H131" s="33">
        <v>0</v>
      </c>
      <c r="I131" s="33">
        <v>1.5459000000000001</v>
      </c>
      <c r="J131" s="33">
        <v>0.84189700000000001</v>
      </c>
      <c r="K131" s="33">
        <v>1.5459000000000001</v>
      </c>
      <c r="L131" s="33">
        <v>58.191896999999997</v>
      </c>
      <c r="M131" s="33">
        <v>101.63590000000001</v>
      </c>
      <c r="N131" s="34">
        <v>1.7452484742807299</v>
      </c>
      <c r="O131" s="34">
        <v>1.74415850230319</v>
      </c>
      <c r="P131" s="34">
        <v>1.74447019088277</v>
      </c>
      <c r="Q131" s="34">
        <v>1.74433767827079</v>
      </c>
      <c r="R131" s="33">
        <v>100.027490107088</v>
      </c>
      <c r="S131" s="33">
        <v>100.044463622626</v>
      </c>
      <c r="T131" s="33">
        <v>100.036106201853</v>
      </c>
      <c r="U131" s="15">
        <v>-6.2473195032887896E-4</v>
      </c>
      <c r="V131" s="15">
        <v>-4.5505783796544598E-4</v>
      </c>
      <c r="W131" s="15">
        <v>-5.3859839150483403E-4</v>
      </c>
      <c r="X131" s="34">
        <v>1.74656447443189</v>
      </c>
      <c r="Y131" s="34">
        <v>1.74495402592864</v>
      </c>
      <c r="Z131" s="34">
        <v>1.7457256796743601</v>
      </c>
      <c r="AA131" s="34">
        <v>1.7455150002936499</v>
      </c>
      <c r="AB131" s="33">
        <v>101.54218494657501</v>
      </c>
      <c r="AC131" s="33">
        <v>101.58483636077401</v>
      </c>
      <c r="AD131" s="33">
        <v>101.572509152291</v>
      </c>
      <c r="AE131" s="15">
        <v>-9.2249181397120099E-4</v>
      </c>
      <c r="AF131" s="15">
        <v>-5.0254360076714495E-4</v>
      </c>
      <c r="AG131" s="15">
        <v>-6.2389986742386399E-4</v>
      </c>
      <c r="AI131" s="12"/>
      <c r="AJ131">
        <f t="shared" si="26"/>
        <v>0</v>
      </c>
      <c r="AK131">
        <f t="shared" si="27"/>
        <v>0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1.4155918239679504E-3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2.6710298438228398E-3</v>
      </c>
      <c r="BE131" s="29">
        <f t="shared" si="42"/>
        <v>0</v>
      </c>
      <c r="BF131" s="29">
        <f t="shared" si="43"/>
        <v>4.08662166779079E-3</v>
      </c>
      <c r="BH131" s="29"/>
    </row>
    <row r="132" spans="1:60" x14ac:dyDescent="0.25">
      <c r="A132" s="1">
        <v>46216</v>
      </c>
      <c r="B132" s="33">
        <v>57.33</v>
      </c>
      <c r="C132" s="33">
        <v>99.97</v>
      </c>
      <c r="D132" s="15">
        <v>-3.4879665508839598E-4</v>
      </c>
      <c r="E132" s="15">
        <v>-1.1996402518381899E-3</v>
      </c>
      <c r="F132" s="33">
        <v>0</v>
      </c>
      <c r="G132" s="33">
        <v>0.84189700000000001</v>
      </c>
      <c r="H132" s="33">
        <v>0</v>
      </c>
      <c r="I132" s="33">
        <v>1.5459000000000001</v>
      </c>
      <c r="J132" s="33">
        <v>0.84189700000000001</v>
      </c>
      <c r="K132" s="33">
        <v>1.5459000000000001</v>
      </c>
      <c r="L132" s="33">
        <v>58.171897000000001</v>
      </c>
      <c r="M132" s="33">
        <v>101.5159</v>
      </c>
      <c r="N132" s="34">
        <v>1.7437641723356001</v>
      </c>
      <c r="O132" s="34">
        <v>1.74415850230319</v>
      </c>
      <c r="P132" s="34">
        <v>1.7443674414496599</v>
      </c>
      <c r="Q132" s="34">
        <v>1.7443463997080899</v>
      </c>
      <c r="R132" s="33">
        <v>99.992606937042197</v>
      </c>
      <c r="S132" s="33">
        <v>100.010476043309</v>
      </c>
      <c r="T132" s="33">
        <v>100.00287909526401</v>
      </c>
      <c r="U132" s="15">
        <v>2.2611164642078201E-4</v>
      </c>
      <c r="V132" s="15">
        <v>4.0479995510428799E-4</v>
      </c>
      <c r="W132" s="15">
        <v>3.2883554719834401E-4</v>
      </c>
      <c r="X132" s="34">
        <v>1.74510210660656</v>
      </c>
      <c r="Y132" s="34">
        <v>1.74495402592864</v>
      </c>
      <c r="Z132" s="34">
        <v>1.74564784212437</v>
      </c>
      <c r="AA132" s="34">
        <v>1.7455352002261999</v>
      </c>
      <c r="AB132" s="33">
        <v>101.50728586605599</v>
      </c>
      <c r="AC132" s="33">
        <v>101.552174428272</v>
      </c>
      <c r="AD132" s="33">
        <v>101.539918809037</v>
      </c>
      <c r="AE132" s="15">
        <v>-8.4858622544897096E-5</v>
      </c>
      <c r="AF132" s="15">
        <v>3.5726372804142399E-4</v>
      </c>
      <c r="AG132" s="15">
        <v>2.3657346330032599E-4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1.4155918239679504E-3</v>
      </c>
      <c r="AT132" s="12"/>
      <c r="AU132">
        <f t="shared" si="30"/>
        <v>0</v>
      </c>
      <c r="AV132">
        <f t="shared" si="31"/>
        <v>0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2.6710298438228398E-3</v>
      </c>
      <c r="BE132" s="29">
        <f t="shared" si="42"/>
        <v>0</v>
      </c>
      <c r="BF132" s="29">
        <f t="shared" si="43"/>
        <v>4.08662166779079E-3</v>
      </c>
      <c r="BH132" s="29"/>
    </row>
    <row r="133" spans="1:60" x14ac:dyDescent="0.25">
      <c r="A133" s="1">
        <v>46217</v>
      </c>
      <c r="B133" s="33">
        <v>57.34</v>
      </c>
      <c r="C133" s="33">
        <v>100.02</v>
      </c>
      <c r="D133" s="15">
        <v>1.7441353493247801E-4</v>
      </c>
      <c r="E133" s="15">
        <v>5.0002501166825802E-4</v>
      </c>
      <c r="F133" s="33">
        <v>0</v>
      </c>
      <c r="G133" s="33">
        <v>0.84189700000000001</v>
      </c>
      <c r="H133" s="33">
        <v>0</v>
      </c>
      <c r="I133" s="33">
        <v>1.5459000000000001</v>
      </c>
      <c r="J133" s="33">
        <v>0.84189700000000001</v>
      </c>
      <c r="K133" s="33">
        <v>1.5459000000000001</v>
      </c>
      <c r="L133" s="33">
        <v>58.181896999999999</v>
      </c>
      <c r="M133" s="33">
        <v>101.5659</v>
      </c>
      <c r="N133" s="34">
        <v>1.74433205441227</v>
      </c>
      <c r="O133" s="34">
        <v>1.74415850230319</v>
      </c>
      <c r="P133" s="34">
        <v>1.7442819998830801</v>
      </c>
      <c r="Q133" s="34">
        <v>1.7443530914184</v>
      </c>
      <c r="R133" s="33">
        <v>100.01004852206501</v>
      </c>
      <c r="S133" s="33">
        <v>100.022029092723</v>
      </c>
      <c r="T133" s="33">
        <v>100.02082255926101</v>
      </c>
      <c r="U133" s="15">
        <v>-9.9499830314918198E-5</v>
      </c>
      <c r="V133" s="15">
        <v>2.0286664088677301E-5</v>
      </c>
      <c r="W133" s="15">
        <v>8.2239140129263997E-6</v>
      </c>
      <c r="X133" s="34">
        <v>1.7456615414241301</v>
      </c>
      <c r="Y133" s="34">
        <v>1.74495402592864</v>
      </c>
      <c r="Z133" s="34">
        <v>1.7455870341352999</v>
      </c>
      <c r="AA133" s="34">
        <v>1.74555329568767</v>
      </c>
      <c r="AB133" s="33">
        <v>101.524735406315</v>
      </c>
      <c r="AC133" s="33">
        <v>101.565102948752</v>
      </c>
      <c r="AD133" s="33">
        <v>101.558549229435</v>
      </c>
      <c r="AE133" s="15">
        <v>-4.0538151023591403E-4</v>
      </c>
      <c r="AF133" s="15">
        <v>-7.8476572816479097E-6</v>
      </c>
      <c r="AG133" s="15">
        <v>-7.2377014144979799E-5</v>
      </c>
      <c r="AI133" s="12"/>
      <c r="AJ133">
        <f t="shared" si="26"/>
        <v>0</v>
      </c>
      <c r="AK133">
        <f t="shared" si="27"/>
        <v>0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1.4155918239679504E-3</v>
      </c>
      <c r="AT133" s="12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2.6710298438228398E-3</v>
      </c>
      <c r="BE133" s="29">
        <f t="shared" si="42"/>
        <v>0</v>
      </c>
      <c r="BF133" s="29">
        <f t="shared" si="43"/>
        <v>4.08662166779079E-3</v>
      </c>
      <c r="BH133" s="29"/>
    </row>
    <row r="134" spans="1:60" x14ac:dyDescent="0.25">
      <c r="A134" s="1">
        <v>46218</v>
      </c>
      <c r="B134" s="33">
        <v>57.25</v>
      </c>
      <c r="C134" s="33">
        <v>99.85</v>
      </c>
      <c r="D134" s="15">
        <v>-1.5708180208747599E-3</v>
      </c>
      <c r="E134" s="15">
        <v>-1.70110612893339E-3</v>
      </c>
      <c r="F134" s="33">
        <v>0</v>
      </c>
      <c r="G134" s="33">
        <v>0.84189700000000001</v>
      </c>
      <c r="H134" s="33">
        <v>0</v>
      </c>
      <c r="I134" s="33">
        <v>1.5459000000000001</v>
      </c>
      <c r="J134" s="33">
        <v>0.84189700000000001</v>
      </c>
      <c r="K134" s="33">
        <v>1.5459000000000001</v>
      </c>
      <c r="L134" s="33">
        <v>58.091897000000003</v>
      </c>
      <c r="M134" s="33">
        <v>101.3959</v>
      </c>
      <c r="N134" s="34">
        <v>1.7441048034934401</v>
      </c>
      <c r="O134" s="34">
        <v>1.74415850230319</v>
      </c>
      <c r="P134" s="34">
        <v>1.74416090493749</v>
      </c>
      <c r="Q134" s="34">
        <v>1.74435895898938</v>
      </c>
      <c r="R134" s="33">
        <v>99.853074256857994</v>
      </c>
      <c r="S134" s="33">
        <v>99.860144493306706</v>
      </c>
      <c r="T134" s="33">
        <v>99.864214483703805</v>
      </c>
      <c r="U134" s="15">
        <v>3.0788277743590399E-5</v>
      </c>
      <c r="V134" s="15">
        <v>1.01592168402353E-4</v>
      </c>
      <c r="W134" s="15">
        <v>1.4234824260891E-4</v>
      </c>
      <c r="X134" s="34">
        <v>1.74543964367354</v>
      </c>
      <c r="Y134" s="34">
        <v>1.74495402592864</v>
      </c>
      <c r="Z134" s="34">
        <v>1.7454912444722801</v>
      </c>
      <c r="AA134" s="34">
        <v>1.74557077416635</v>
      </c>
      <c r="AB134" s="33">
        <v>101.367689543982</v>
      </c>
      <c r="AC134" s="33">
        <v>101.404462191523</v>
      </c>
      <c r="AD134" s="33">
        <v>101.402502261099</v>
      </c>
      <c r="AE134" s="15">
        <v>-2.7825958559139601E-4</v>
      </c>
      <c r="AF134" s="15">
        <v>8.4439607861138197E-5</v>
      </c>
      <c r="AG134" s="15">
        <v>6.5111569201517199E-5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1.4155918239679504E-3</v>
      </c>
      <c r="AT134" s="12"/>
      <c r="AU134">
        <f t="shared" si="30"/>
        <v>0</v>
      </c>
      <c r="AV134">
        <f t="shared" si="31"/>
        <v>0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2.6710298438228398E-3</v>
      </c>
      <c r="BE134" s="29">
        <f t="shared" si="42"/>
        <v>0</v>
      </c>
      <c r="BF134" s="29">
        <f t="shared" si="43"/>
        <v>4.08662166779079E-3</v>
      </c>
      <c r="BH134" s="29"/>
    </row>
    <row r="135" spans="1:60" x14ac:dyDescent="0.25">
      <c r="A135" s="1">
        <v>46219</v>
      </c>
      <c r="B135" s="33">
        <v>57.12</v>
      </c>
      <c r="C135" s="33">
        <v>99.69</v>
      </c>
      <c r="D135" s="15">
        <v>-2.27332440302015E-3</v>
      </c>
      <c r="E135" s="15">
        <v>-1.6036888272115901E-3</v>
      </c>
      <c r="F135" s="33">
        <v>0</v>
      </c>
      <c r="G135" s="33">
        <v>0.84189700000000001</v>
      </c>
      <c r="H135" s="33">
        <v>0</v>
      </c>
      <c r="I135" s="33">
        <v>1.5459000000000001</v>
      </c>
      <c r="J135" s="33">
        <v>0.84189700000000001</v>
      </c>
      <c r="K135" s="33">
        <v>1.5459000000000001</v>
      </c>
      <c r="L135" s="33">
        <v>57.961897</v>
      </c>
      <c r="M135" s="33">
        <v>101.2359</v>
      </c>
      <c r="N135" s="34">
        <v>1.7452731092436899</v>
      </c>
      <c r="O135" s="34">
        <v>1.74415850230319</v>
      </c>
      <c r="P135" s="34">
        <v>1.7442837644621101</v>
      </c>
      <c r="Q135" s="34">
        <v>1.74443620330174</v>
      </c>
      <c r="R135" s="33">
        <v>99.626333651558497</v>
      </c>
      <c r="S135" s="33">
        <v>99.626470890029907</v>
      </c>
      <c r="T135" s="33">
        <v>99.637783737473697</v>
      </c>
      <c r="U135" s="15">
        <v>-6.3884729806480895E-4</v>
      </c>
      <c r="V135" s="15">
        <v>-6.37469766926314E-4</v>
      </c>
      <c r="W135" s="15">
        <v>-5.2392358698404495E-4</v>
      </c>
      <c r="X135" s="34">
        <v>1.7465939736237399</v>
      </c>
      <c r="Y135" s="34">
        <v>1.74495402592864</v>
      </c>
      <c r="Z135" s="34">
        <v>1.7456132141996901</v>
      </c>
      <c r="AA135" s="34">
        <v>1.74565879358073</v>
      </c>
      <c r="AB135" s="33">
        <v>101.14084552061099</v>
      </c>
      <c r="AC135" s="33">
        <v>101.171983726504</v>
      </c>
      <c r="AD135" s="33">
        <v>101.17659341844001</v>
      </c>
      <c r="AE135" s="15">
        <v>-9.3938150980656305E-4</v>
      </c>
      <c r="AF135" s="15">
        <v>-6.3155915119120698E-4</v>
      </c>
      <c r="AG135" s="15">
        <v>-5.85997259902581E-4</v>
      </c>
      <c r="AI135" s="12"/>
      <c r="AJ135">
        <f t="shared" si="26"/>
        <v>0</v>
      </c>
      <c r="AK135">
        <f t="shared" si="27"/>
        <v>0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1.4155918239679504E-3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2.6710298438228398E-3</v>
      </c>
      <c r="BE135" s="29">
        <f t="shared" si="42"/>
        <v>0</v>
      </c>
      <c r="BF135" s="29">
        <f t="shared" si="43"/>
        <v>4.08662166779079E-3</v>
      </c>
      <c r="BH135" s="29"/>
    </row>
    <row r="136" spans="1:60" x14ac:dyDescent="0.25">
      <c r="A136" s="1">
        <v>46220</v>
      </c>
      <c r="B136" s="33">
        <v>57.11</v>
      </c>
      <c r="C136" s="33">
        <v>99.63</v>
      </c>
      <c r="D136" s="15">
        <v>-1.7508535455739601E-4</v>
      </c>
      <c r="E136" s="15">
        <v>-6.0204697784770403E-4</v>
      </c>
      <c r="F136" s="33">
        <v>0</v>
      </c>
      <c r="G136" s="33">
        <v>0.84189700000000001</v>
      </c>
      <c r="H136" s="33">
        <v>0</v>
      </c>
      <c r="I136" s="33">
        <v>1.5459000000000001</v>
      </c>
      <c r="J136" s="33">
        <v>0.84189700000000001</v>
      </c>
      <c r="K136" s="33">
        <v>1.5459000000000001</v>
      </c>
      <c r="L136" s="33">
        <v>57.951897000000002</v>
      </c>
      <c r="M136" s="33">
        <v>101.1759</v>
      </c>
      <c r="N136" s="34">
        <v>1.7445281036596001</v>
      </c>
      <c r="O136" s="34">
        <v>1.74415850230319</v>
      </c>
      <c r="P136" s="34">
        <v>1.74438784262939</v>
      </c>
      <c r="Q136" s="34">
        <v>1.74444823555606</v>
      </c>
      <c r="R136" s="33">
        <v>99.608892066535503</v>
      </c>
      <c r="S136" s="33">
        <v>99.616045788431194</v>
      </c>
      <c r="T136" s="33">
        <v>99.624751570562694</v>
      </c>
      <c r="U136" s="15">
        <v>-2.1188567477445401E-4</v>
      </c>
      <c r="V136" s="15">
        <v>-1.40070148307201E-4</v>
      </c>
      <c r="W136" s="15">
        <v>-5.2680595038633801E-5</v>
      </c>
      <c r="X136" s="34">
        <v>1.74586001904303</v>
      </c>
      <c r="Y136" s="34">
        <v>1.74495402592864</v>
      </c>
      <c r="Z136" s="34">
        <v>1.74571686405028</v>
      </c>
      <c r="AA136" s="34">
        <v>1.7456824237500199</v>
      </c>
      <c r="AB136" s="33">
        <v>101.123395980352</v>
      </c>
      <c r="AC136" s="33">
        <v>101.16159719113899</v>
      </c>
      <c r="AD136" s="33">
        <v>101.164238602735</v>
      </c>
      <c r="AE136" s="15">
        <v>-5.1907269941002402E-4</v>
      </c>
      <c r="AF136" s="15">
        <v>-1.4137576161201901E-4</v>
      </c>
      <c r="AG136" s="15">
        <v>-1.15265289015052E-4</v>
      </c>
      <c r="AI136" s="12"/>
      <c r="AJ136">
        <f t="shared" si="26"/>
        <v>0</v>
      </c>
      <c r="AK136">
        <f t="shared" si="27"/>
        <v>0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1.4155918239679504E-3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1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2.6710298438228398E-3</v>
      </c>
      <c r="BE136" s="29">
        <f t="shared" si="42"/>
        <v>0</v>
      </c>
      <c r="BF136" s="29">
        <f t="shared" si="43"/>
        <v>4.08662166779079E-3</v>
      </c>
      <c r="BH136" s="29"/>
    </row>
    <row r="137" spans="1:60" x14ac:dyDescent="0.25">
      <c r="A137" s="1">
        <v>46223</v>
      </c>
      <c r="B137" s="33">
        <v>57.06</v>
      </c>
      <c r="C137" s="33">
        <v>99.52</v>
      </c>
      <c r="D137" s="15">
        <v>-8.7588689141759098E-4</v>
      </c>
      <c r="E137" s="15">
        <v>-1.10469506589556E-3</v>
      </c>
      <c r="F137" s="33">
        <v>0</v>
      </c>
      <c r="G137" s="33">
        <v>0.84189700000000001</v>
      </c>
      <c r="H137" s="33">
        <v>0</v>
      </c>
      <c r="I137" s="33">
        <v>1.5459000000000001</v>
      </c>
      <c r="J137" s="33">
        <v>0.84189700000000001</v>
      </c>
      <c r="K137" s="33">
        <v>1.5459000000000001</v>
      </c>
      <c r="L137" s="33">
        <v>57.901896999999998</v>
      </c>
      <c r="M137" s="33">
        <v>101.0659</v>
      </c>
      <c r="N137" s="34">
        <v>1.74412898703119</v>
      </c>
      <c r="O137" s="34">
        <v>1.74415850230319</v>
      </c>
      <c r="P137" s="34">
        <v>1.74438254056835</v>
      </c>
      <c r="Q137" s="34">
        <v>1.7444894675163201</v>
      </c>
      <c r="R137" s="33">
        <v>99.521684141420394</v>
      </c>
      <c r="S137" s="33">
        <v>99.534770300433095</v>
      </c>
      <c r="T137" s="33">
        <v>99.538216320829207</v>
      </c>
      <c r="U137" s="15">
        <v>1.6922499703576899E-5</v>
      </c>
      <c r="V137" s="15">
        <v>1.4840438576733399E-4</v>
      </c>
      <c r="W137" s="15">
        <v>1.83025058867247E-4</v>
      </c>
      <c r="X137" s="34">
        <v>1.74546785574227</v>
      </c>
      <c r="Y137" s="34">
        <v>1.74495402592864</v>
      </c>
      <c r="Z137" s="34">
        <v>1.74571283009189</v>
      </c>
      <c r="AA137" s="34">
        <v>1.7457351713592599</v>
      </c>
      <c r="AB137" s="33">
        <v>101.036148279055</v>
      </c>
      <c r="AC137" s="33">
        <v>101.080318053402</v>
      </c>
      <c r="AD137" s="33">
        <v>101.078323894684</v>
      </c>
      <c r="AE137" s="15">
        <v>-2.9442275733918E-4</v>
      </c>
      <c r="AF137" s="15">
        <v>1.4264974695867599E-4</v>
      </c>
      <c r="AG137" s="15">
        <v>1.2292109524918201E-4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1.4155918239679504E-3</v>
      </c>
      <c r="AT137" s="12"/>
      <c r="AU137">
        <f t="shared" si="30"/>
        <v>0</v>
      </c>
      <c r="AV137">
        <f t="shared" si="31"/>
        <v>0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2.6710298438228398E-3</v>
      </c>
      <c r="BE137" s="29">
        <f t="shared" si="42"/>
        <v>0</v>
      </c>
      <c r="BF137" s="29">
        <f t="shared" si="43"/>
        <v>4.08662166779079E-3</v>
      </c>
      <c r="BH137" s="29"/>
    </row>
    <row r="138" spans="1:60" x14ac:dyDescent="0.25">
      <c r="A138" s="1">
        <v>46224</v>
      </c>
      <c r="B138" s="33">
        <v>57</v>
      </c>
      <c r="C138" s="33">
        <v>99.39</v>
      </c>
      <c r="D138" s="15">
        <v>-1.0520779508037799E-3</v>
      </c>
      <c r="E138" s="15">
        <v>-1.3071240109550999E-3</v>
      </c>
      <c r="F138" s="33">
        <v>0</v>
      </c>
      <c r="G138" s="33">
        <v>0.84189700000000001</v>
      </c>
      <c r="H138" s="33">
        <v>0</v>
      </c>
      <c r="I138" s="33">
        <v>1.5459000000000001</v>
      </c>
      <c r="J138" s="33">
        <v>0.84189700000000001</v>
      </c>
      <c r="K138" s="33">
        <v>1.5459000000000001</v>
      </c>
      <c r="L138" s="33">
        <v>57.841897000000003</v>
      </c>
      <c r="M138" s="33">
        <v>100.9359</v>
      </c>
      <c r="N138" s="34">
        <v>1.74368421052631</v>
      </c>
      <c r="O138" s="34">
        <v>1.74415850230319</v>
      </c>
      <c r="P138" s="34">
        <v>1.74437726642265</v>
      </c>
      <c r="Q138" s="34">
        <v>1.74445851018735</v>
      </c>
      <c r="R138" s="33">
        <v>99.417034631282107</v>
      </c>
      <c r="S138" s="33">
        <v>99.429804812396299</v>
      </c>
      <c r="T138" s="33">
        <v>99.435899648430393</v>
      </c>
      <c r="U138" s="15">
        <v>2.7196855985473601E-4</v>
      </c>
      <c r="V138" s="15">
        <v>4.00410944631406E-4</v>
      </c>
      <c r="W138" s="15">
        <v>4.6170694388346199E-4</v>
      </c>
      <c r="X138" s="34">
        <v>1.7450309418448</v>
      </c>
      <c r="Y138" s="34">
        <v>1.74495402592864</v>
      </c>
      <c r="Z138" s="34">
        <v>1.7457087404651199</v>
      </c>
      <c r="AA138" s="34">
        <v>1.74571671351914</v>
      </c>
      <c r="AB138" s="33">
        <v>100.9314510375</v>
      </c>
      <c r="AC138" s="33">
        <v>100.975341709753</v>
      </c>
      <c r="AD138" s="33">
        <v>100.97663397103901</v>
      </c>
      <c r="AE138" s="15">
        <v>-4.4078078775567097E-5</v>
      </c>
      <c r="AF138" s="15">
        <v>3.90683648138192E-4</v>
      </c>
      <c r="AG138" s="15">
        <v>4.0348135691418199E-4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1.4155918239679504E-3</v>
      </c>
      <c r="AT138" s="12"/>
      <c r="AU138">
        <f t="shared" si="30"/>
        <v>0</v>
      </c>
      <c r="AV138">
        <f t="shared" si="31"/>
        <v>0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2.6710298438228398E-3</v>
      </c>
      <c r="BE138" s="29">
        <f t="shared" si="42"/>
        <v>0</v>
      </c>
      <c r="BF138" s="29">
        <f t="shared" si="43"/>
        <v>4.08662166779079E-3</v>
      </c>
      <c r="BH138" s="29"/>
    </row>
    <row r="139" spans="1:60" x14ac:dyDescent="0.25">
      <c r="A139" s="1">
        <v>46225</v>
      </c>
      <c r="B139" s="33">
        <v>56.81</v>
      </c>
      <c r="C139" s="33">
        <v>99.08</v>
      </c>
      <c r="D139" s="15">
        <v>-3.3389012655145899E-3</v>
      </c>
      <c r="E139" s="15">
        <v>-3.1239003587553598E-3</v>
      </c>
      <c r="F139" s="33">
        <v>0</v>
      </c>
      <c r="G139" s="33">
        <v>0.84189700000000001</v>
      </c>
      <c r="H139" s="33">
        <v>0</v>
      </c>
      <c r="I139" s="33">
        <v>1.5459000000000001</v>
      </c>
      <c r="J139" s="33">
        <v>0.84189700000000001</v>
      </c>
      <c r="K139" s="33">
        <v>1.5459000000000001</v>
      </c>
      <c r="L139" s="33">
        <v>57.651896999999998</v>
      </c>
      <c r="M139" s="33">
        <v>100.6259</v>
      </c>
      <c r="N139" s="34">
        <v>1.7440591445168101</v>
      </c>
      <c r="O139" s="34">
        <v>1.74415850230319</v>
      </c>
      <c r="P139" s="34">
        <v>1.7443369921424301</v>
      </c>
      <c r="Q139" s="34">
        <v>1.74442038821389</v>
      </c>
      <c r="R139" s="33">
        <v>99.085644515844507</v>
      </c>
      <c r="S139" s="33">
        <v>99.098072505471194</v>
      </c>
      <c r="T139" s="33">
        <v>99.102687963743804</v>
      </c>
      <c r="U139" s="15">
        <v>5.6967653095684303E-5</v>
      </c>
      <c r="V139" s="15">
        <v>1.8238653038511E-4</v>
      </c>
      <c r="W139" s="15">
        <v>2.2896009814097099E-4</v>
      </c>
      <c r="X139" s="34">
        <v>1.7454048389769301</v>
      </c>
      <c r="Y139" s="34">
        <v>1.74495402592864</v>
      </c>
      <c r="Z139" s="34">
        <v>1.7456702519768801</v>
      </c>
      <c r="AA139" s="34">
        <v>1.74569131305053</v>
      </c>
      <c r="AB139" s="33">
        <v>100.599909772573</v>
      </c>
      <c r="AC139" s="33">
        <v>100.643420497294</v>
      </c>
      <c r="AD139" s="33">
        <v>100.643880158984</v>
      </c>
      <c r="AE139" s="15">
        <v>-2.5831902577748899E-4</v>
      </c>
      <c r="AF139" s="15">
        <v>1.7410002971090301E-4</v>
      </c>
      <c r="AG139" s="15">
        <v>1.7866724967762301E-4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1.4155918239679504E-3</v>
      </c>
      <c r="AT139" s="12"/>
      <c r="AU139">
        <f t="shared" si="30"/>
        <v>0</v>
      </c>
      <c r="AV139">
        <f t="shared" si="31"/>
        <v>0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2.6710298438228398E-3</v>
      </c>
      <c r="BE139" s="29">
        <f t="shared" si="42"/>
        <v>0</v>
      </c>
      <c r="BF139" s="29">
        <f t="shared" si="43"/>
        <v>4.08662166779079E-3</v>
      </c>
      <c r="BH139" s="29"/>
    </row>
    <row r="140" spans="1:60" x14ac:dyDescent="0.25">
      <c r="A140" s="1">
        <v>46226</v>
      </c>
      <c r="B140" s="33">
        <v>56.47</v>
      </c>
      <c r="C140" s="33">
        <v>98.44</v>
      </c>
      <c r="D140" s="15">
        <v>-6.00284288429025E-3</v>
      </c>
      <c r="E140" s="15">
        <v>-6.48037909830368E-3</v>
      </c>
      <c r="F140" s="33">
        <v>0</v>
      </c>
      <c r="G140" s="33">
        <v>0.84189700000000001</v>
      </c>
      <c r="H140" s="33">
        <v>0</v>
      </c>
      <c r="I140" s="33">
        <v>1.5459000000000001</v>
      </c>
      <c r="J140" s="33">
        <v>0.84189700000000001</v>
      </c>
      <c r="K140" s="33">
        <v>1.5459000000000001</v>
      </c>
      <c r="L140" s="33">
        <v>57.311897000000002</v>
      </c>
      <c r="M140" s="33">
        <v>99.985900000000001</v>
      </c>
      <c r="N140" s="34">
        <v>1.7432264919426199</v>
      </c>
      <c r="O140" s="34">
        <v>1.74415850230319</v>
      </c>
      <c r="P140" s="34">
        <v>1.74423495514423</v>
      </c>
      <c r="Q140" s="34">
        <v>1.7443447105505501</v>
      </c>
      <c r="R140" s="33">
        <v>98.492630625061494</v>
      </c>
      <c r="S140" s="33">
        <v>98.502709946283403</v>
      </c>
      <c r="T140" s="33">
        <v>98.507419322438693</v>
      </c>
      <c r="U140" s="15">
        <v>5.3450386710916895E-4</v>
      </c>
      <c r="V140" s="15">
        <v>6.3683442174524004E-4</v>
      </c>
      <c r="W140" s="15">
        <v>6.8464288899177099E-4</v>
      </c>
      <c r="X140" s="34">
        <v>1.7445924011204801</v>
      </c>
      <c r="Y140" s="34">
        <v>1.74495402592864</v>
      </c>
      <c r="Z140" s="34">
        <v>1.74557177964874</v>
      </c>
      <c r="AA140" s="34">
        <v>1.74562937489561</v>
      </c>
      <c r="AB140" s="33">
        <v>100.006625403757</v>
      </c>
      <c r="AC140" s="33">
        <v>100.04767367726301</v>
      </c>
      <c r="AD140" s="33">
        <v>100.048880727346</v>
      </c>
      <c r="AE140" s="15">
        <v>2.0726178431186299E-4</v>
      </c>
      <c r="AF140" s="15">
        <v>6.1763311119876301E-4</v>
      </c>
      <c r="AG140" s="15">
        <v>6.2969778754532195E-4</v>
      </c>
      <c r="AI140" s="12"/>
      <c r="AJ140">
        <f t="shared" si="26"/>
        <v>0</v>
      </c>
      <c r="AK140">
        <f t="shared" si="27"/>
        <v>1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1.4155918239679504E-3</v>
      </c>
      <c r="AT140" s="12"/>
      <c r="AU140">
        <f t="shared" si="30"/>
        <v>0</v>
      </c>
      <c r="AV140">
        <f t="shared" si="31"/>
        <v>0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2.6710298438228398E-3</v>
      </c>
      <c r="BE140" s="29">
        <f t="shared" si="42"/>
        <v>0</v>
      </c>
      <c r="BF140" s="29">
        <f t="shared" si="43"/>
        <v>4.08662166779079E-3</v>
      </c>
      <c r="BH140" s="29"/>
    </row>
    <row r="141" spans="1:60" x14ac:dyDescent="0.25">
      <c r="A141" s="1">
        <v>46227</v>
      </c>
      <c r="B141" s="33">
        <v>56.52</v>
      </c>
      <c r="C141" s="33">
        <v>98.59</v>
      </c>
      <c r="D141" s="15">
        <v>8.8503413158153097E-4</v>
      </c>
      <c r="E141" s="15">
        <v>1.52261106409501E-3</v>
      </c>
      <c r="F141" s="33">
        <v>0</v>
      </c>
      <c r="G141" s="33">
        <v>0.84189700000000001</v>
      </c>
      <c r="H141" s="33">
        <v>0</v>
      </c>
      <c r="I141" s="33">
        <v>1.5459000000000001</v>
      </c>
      <c r="J141" s="33">
        <v>0.84189700000000001</v>
      </c>
      <c r="K141" s="33">
        <v>1.5459000000000001</v>
      </c>
      <c r="L141" s="33">
        <v>57.361896999999999</v>
      </c>
      <c r="M141" s="33">
        <v>100.13590000000001</v>
      </c>
      <c r="N141" s="34">
        <v>1.74433828733191</v>
      </c>
      <c r="O141" s="34">
        <v>1.74415850230319</v>
      </c>
      <c r="P141" s="34">
        <v>1.7441439364493401</v>
      </c>
      <c r="Q141" s="34">
        <v>1.74430706366606</v>
      </c>
      <c r="R141" s="33">
        <v>98.579838550176603</v>
      </c>
      <c r="S141" s="33">
        <v>98.584159664751894</v>
      </c>
      <c r="T141" s="33">
        <v>98.590363040317101</v>
      </c>
      <c r="U141" s="15">
        <v>-1.03073065404407E-4</v>
      </c>
      <c r="V141" s="15">
        <v>-5.92403716562627E-5</v>
      </c>
      <c r="W141" s="15">
        <v>3.6823171591424099E-6</v>
      </c>
      <c r="X141" s="34">
        <v>1.7456866881511901</v>
      </c>
      <c r="Y141" s="34">
        <v>1.74495402592864</v>
      </c>
      <c r="Z141" s="34">
        <v>1.74548400102067</v>
      </c>
      <c r="AA141" s="34">
        <v>1.74560484034751</v>
      </c>
      <c r="AB141" s="33">
        <v>100.093873105054</v>
      </c>
      <c r="AC141" s="33">
        <v>100.129308630317</v>
      </c>
      <c r="AD141" s="33">
        <v>100.132612402936</v>
      </c>
      <c r="AE141" s="15">
        <v>-4.1978667718690601E-4</v>
      </c>
      <c r="AF141" s="15">
        <v>-6.5826408188472406E-5</v>
      </c>
      <c r="AG141" s="15">
        <v>-3.2831891784608301E-5</v>
      </c>
      <c r="AI141" s="12"/>
      <c r="AJ141">
        <f t="shared" si="26"/>
        <v>0</v>
      </c>
      <c r="AK141">
        <f t="shared" si="27"/>
        <v>0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1.4155918239679504E-3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2.6710298438228398E-3</v>
      </c>
      <c r="BE141" s="29">
        <f t="shared" si="42"/>
        <v>0</v>
      </c>
      <c r="BF141" s="29">
        <f t="shared" si="43"/>
        <v>4.08662166779079E-3</v>
      </c>
      <c r="BH141" s="29"/>
    </row>
    <row r="142" spans="1:60" x14ac:dyDescent="0.25">
      <c r="A142" s="1">
        <v>46230</v>
      </c>
      <c r="B142" s="33">
        <v>56.67</v>
      </c>
      <c r="C142" s="33">
        <v>98.77</v>
      </c>
      <c r="D142" s="15">
        <v>2.6504123652011202E-3</v>
      </c>
      <c r="E142" s="15">
        <v>1.8240783330858599E-3</v>
      </c>
      <c r="F142" s="33">
        <v>0</v>
      </c>
      <c r="G142" s="33">
        <v>0.84189700000000001</v>
      </c>
      <c r="H142" s="33">
        <v>0</v>
      </c>
      <c r="I142" s="33">
        <v>1.5459000000000001</v>
      </c>
      <c r="J142" s="33">
        <v>0.84189700000000001</v>
      </c>
      <c r="K142" s="33">
        <v>1.5459000000000001</v>
      </c>
      <c r="L142" s="33">
        <v>57.511896999999998</v>
      </c>
      <c r="M142" s="33">
        <v>100.3159</v>
      </c>
      <c r="N142" s="34">
        <v>1.7428974766190199</v>
      </c>
      <c r="O142" s="34">
        <v>1.74415850230319</v>
      </c>
      <c r="P142" s="34">
        <v>1.7440572668776899</v>
      </c>
      <c r="Q142" s="34">
        <v>1.74421235416367</v>
      </c>
      <c r="R142" s="33">
        <v>98.841462325522102</v>
      </c>
      <c r="S142" s="33">
        <v>98.840636878584604</v>
      </c>
      <c r="T142" s="33">
        <v>98.849881297955605</v>
      </c>
      <c r="U142" s="15">
        <v>7.2326096671077803E-4</v>
      </c>
      <c r="V142" s="15">
        <v>7.1490971041758902E-4</v>
      </c>
      <c r="W142" s="15">
        <v>8.0843386588067901E-4</v>
      </c>
      <c r="X142" s="34">
        <v>1.7442634521340801</v>
      </c>
      <c r="Y142" s="34">
        <v>1.74495402592864</v>
      </c>
      <c r="Z142" s="34">
        <v>1.7454001355734201</v>
      </c>
      <c r="AA142" s="34">
        <v>1.7455239888489</v>
      </c>
      <c r="AB142" s="33">
        <v>100.355616208943</v>
      </c>
      <c r="AC142" s="33">
        <v>100.386096081848</v>
      </c>
      <c r="AD142" s="33">
        <v>100.39304578076801</v>
      </c>
      <c r="AE142" s="15">
        <v>3.95833053066403E-4</v>
      </c>
      <c r="AF142" s="15">
        <v>6.9950559617118404E-4</v>
      </c>
      <c r="AG142" s="15">
        <v>7.68732895955444E-4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1.4155918239679504E-3</v>
      </c>
      <c r="AT142" s="12"/>
      <c r="AU142">
        <f t="shared" si="30"/>
        <v>0</v>
      </c>
      <c r="AV142">
        <f t="shared" si="31"/>
        <v>0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2.6710298438228398E-3</v>
      </c>
      <c r="BE142" s="29">
        <f t="shared" si="42"/>
        <v>0</v>
      </c>
      <c r="BF142" s="29">
        <f t="shared" si="43"/>
        <v>4.08662166779079E-3</v>
      </c>
      <c r="BH142" s="29"/>
    </row>
    <row r="143" spans="1:60" x14ac:dyDescent="0.25">
      <c r="A143" s="1">
        <v>46231</v>
      </c>
      <c r="B143" s="33">
        <v>56.74</v>
      </c>
      <c r="C143" s="33">
        <v>98.87</v>
      </c>
      <c r="D143" s="15">
        <v>1.23445919917736E-3</v>
      </c>
      <c r="E143" s="15">
        <v>1.0119409890056901E-3</v>
      </c>
      <c r="F143" s="33">
        <v>0</v>
      </c>
      <c r="G143" s="33">
        <v>0.84189700000000001</v>
      </c>
      <c r="H143" s="33">
        <v>0</v>
      </c>
      <c r="I143" s="33">
        <v>1.5459000000000001</v>
      </c>
      <c r="J143" s="33">
        <v>0.84189700000000001</v>
      </c>
      <c r="K143" s="33">
        <v>1.5459000000000001</v>
      </c>
      <c r="L143" s="33">
        <v>57.581896999999998</v>
      </c>
      <c r="M143" s="33">
        <v>100.41589999999999</v>
      </c>
      <c r="N143" s="34">
        <v>1.74250969333803</v>
      </c>
      <c r="O143" s="34">
        <v>1.74415850230319</v>
      </c>
      <c r="P143" s="34">
        <v>1.74387503077026</v>
      </c>
      <c r="Q143" s="34">
        <v>1.74407851532667</v>
      </c>
      <c r="R143" s="33">
        <v>98.963553420683297</v>
      </c>
      <c r="S143" s="33">
        <v>98.957809322640202</v>
      </c>
      <c r="T143" s="33">
        <v>98.966608975247098</v>
      </c>
      <c r="U143" s="15">
        <v>9.4577917688254702E-4</v>
      </c>
      <c r="V143" s="15">
        <v>8.8773493178305604E-4</v>
      </c>
      <c r="W143" s="15">
        <v>9.7665425450576301E-4</v>
      </c>
      <c r="X143" s="34">
        <v>1.7438796780175501</v>
      </c>
      <c r="Y143" s="34">
        <v>1.74495402592864</v>
      </c>
      <c r="Z143" s="34">
        <v>1.7452219492327601</v>
      </c>
      <c r="AA143" s="34">
        <v>1.7454044916840299</v>
      </c>
      <c r="AB143" s="33">
        <v>100.47776299075799</v>
      </c>
      <c r="AC143" s="33">
        <v>100.50345083037401</v>
      </c>
      <c r="AD143" s="33">
        <v>100.51058253692599</v>
      </c>
      <c r="AE143" s="15">
        <v>6.1587799030673703E-4</v>
      </c>
      <c r="AF143" s="15">
        <v>8.7150227745008604E-4</v>
      </c>
      <c r="AG143" s="15">
        <v>9.4245957764605597E-4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1.4155918239679504E-3</v>
      </c>
      <c r="AT143" s="12"/>
      <c r="AU143">
        <f t="shared" si="30"/>
        <v>0</v>
      </c>
      <c r="AV143">
        <f t="shared" si="31"/>
        <v>0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2.6710298438228398E-3</v>
      </c>
      <c r="BE143" s="29">
        <f t="shared" si="42"/>
        <v>0</v>
      </c>
      <c r="BF143" s="29">
        <f t="shared" si="43"/>
        <v>4.08662166779079E-3</v>
      </c>
      <c r="BH143" s="29"/>
    </row>
    <row r="144" spans="1:60" x14ac:dyDescent="0.25">
      <c r="A144" s="1">
        <v>46232</v>
      </c>
      <c r="B144" s="33">
        <v>56.59</v>
      </c>
      <c r="C144" s="33">
        <v>98.86</v>
      </c>
      <c r="D144" s="15">
        <v>-2.6471382262728501E-3</v>
      </c>
      <c r="E144" s="15">
        <v>-1.0114803022844099E-4</v>
      </c>
      <c r="F144" s="33">
        <v>0</v>
      </c>
      <c r="G144" s="33">
        <v>0.84189700000000001</v>
      </c>
      <c r="H144" s="33">
        <v>0</v>
      </c>
      <c r="I144" s="33">
        <v>1.5459000000000001</v>
      </c>
      <c r="J144" s="33">
        <v>0.84189700000000001</v>
      </c>
      <c r="K144" s="33">
        <v>1.5459000000000001</v>
      </c>
      <c r="L144" s="33">
        <v>57.431896999999999</v>
      </c>
      <c r="M144" s="33">
        <v>100.4059</v>
      </c>
      <c r="N144" s="34">
        <v>1.74695175826117</v>
      </c>
      <c r="O144" s="34">
        <v>1.74415850230319</v>
      </c>
      <c r="P144" s="34">
        <v>1.7441597262470301</v>
      </c>
      <c r="Q144" s="34">
        <v>1.74416031559226</v>
      </c>
      <c r="R144" s="33">
        <v>98.701929645337898</v>
      </c>
      <c r="S144" s="33">
        <v>98.685887991289405</v>
      </c>
      <c r="T144" s="33">
        <v>98.6974031823366</v>
      </c>
      <c r="U144" s="15">
        <v>-1.60021101916179E-3</v>
      </c>
      <c r="V144" s="15">
        <v>-1.7627504734795199E-3</v>
      </c>
      <c r="W144" s="15">
        <v>-1.6460719948518999E-3</v>
      </c>
      <c r="X144" s="34">
        <v>1.7482602046037199</v>
      </c>
      <c r="Y144" s="34">
        <v>1.74495402592864</v>
      </c>
      <c r="Z144" s="34">
        <v>1.74550400532578</v>
      </c>
      <c r="AA144" s="34">
        <v>1.7454976248990299</v>
      </c>
      <c r="AB144" s="33">
        <v>100.21601988686901</v>
      </c>
      <c r="AC144" s="33">
        <v>100.231407230475</v>
      </c>
      <c r="AD144" s="33">
        <v>100.241890989734</v>
      </c>
      <c r="AE144" s="15">
        <v>-1.8929154893423501E-3</v>
      </c>
      <c r="AF144" s="15">
        <v>-1.73938552033692E-3</v>
      </c>
      <c r="AG144" s="15">
        <v>-1.6347954391427899E-3</v>
      </c>
      <c r="AI144" s="12"/>
      <c r="AJ144">
        <f t="shared" si="26"/>
        <v>1</v>
      </c>
      <c r="AK144">
        <f t="shared" si="27"/>
        <v>0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1.4155918239679504E-3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2.6710298438228398E-3</v>
      </c>
      <c r="BE144" s="29">
        <f t="shared" si="42"/>
        <v>0</v>
      </c>
      <c r="BF144" s="29">
        <f t="shared" si="43"/>
        <v>4.08662166779079E-3</v>
      </c>
      <c r="BH144" s="29"/>
    </row>
    <row r="145" spans="1:60" x14ac:dyDescent="0.25">
      <c r="A145" s="1">
        <v>46233</v>
      </c>
      <c r="B145" s="33">
        <v>56.56</v>
      </c>
      <c r="C145" s="33">
        <v>98.72</v>
      </c>
      <c r="D145" s="15">
        <v>-5.3026956611522196E-4</v>
      </c>
      <c r="E145" s="15">
        <v>-1.41714772173552E-3</v>
      </c>
      <c r="F145" s="33">
        <v>0</v>
      </c>
      <c r="G145" s="33">
        <v>0.84189700000000001</v>
      </c>
      <c r="H145" s="33">
        <v>0</v>
      </c>
      <c r="I145" s="33">
        <v>1.5459000000000001</v>
      </c>
      <c r="J145" s="33">
        <v>0.84189700000000001</v>
      </c>
      <c r="K145" s="33">
        <v>1.5459000000000001</v>
      </c>
      <c r="L145" s="33">
        <v>57.401896999999998</v>
      </c>
      <c r="M145" s="33">
        <v>100.2659</v>
      </c>
      <c r="N145" s="34">
        <v>1.7454031117397399</v>
      </c>
      <c r="O145" s="34">
        <v>1.74415850230319</v>
      </c>
      <c r="P145" s="34">
        <v>1.74417272649664</v>
      </c>
      <c r="Q145" s="34">
        <v>1.7442282454793701</v>
      </c>
      <c r="R145" s="33">
        <v>98.649604890268705</v>
      </c>
      <c r="S145" s="33">
        <v>98.649674116532495</v>
      </c>
      <c r="T145" s="33">
        <v>98.649707449898699</v>
      </c>
      <c r="U145" s="15">
        <v>-7.13332863541479E-4</v>
      </c>
      <c r="V145" s="15">
        <v>-7.12631124902287E-4</v>
      </c>
      <c r="W145" s="15">
        <v>-7.1229322859569502E-4</v>
      </c>
      <c r="X145" s="34">
        <v>1.74673495546671</v>
      </c>
      <c r="Y145" s="34">
        <v>1.74495402592864</v>
      </c>
      <c r="Z145" s="34">
        <v>1.74551810351008</v>
      </c>
      <c r="AA145" s="34">
        <v>1.74556565885488</v>
      </c>
      <c r="AB145" s="33">
        <v>100.163671266091</v>
      </c>
      <c r="AC145" s="33">
        <v>100.195241126798</v>
      </c>
      <c r="AD145" s="33">
        <v>100.19487487819799</v>
      </c>
      <c r="AE145" s="15">
        <v>-1.0200964072082899E-3</v>
      </c>
      <c r="AF145" s="15">
        <v>-7.0496332337576396E-4</v>
      </c>
      <c r="AG145" s="15">
        <v>-7.0861867930348905E-4</v>
      </c>
      <c r="AI145" s="12"/>
      <c r="AJ145">
        <f t="shared" si="26"/>
        <v>0</v>
      </c>
      <c r="AK145">
        <f t="shared" si="27"/>
        <v>0</v>
      </c>
      <c r="AL145">
        <f t="shared" si="34"/>
        <v>1</v>
      </c>
      <c r="AM145">
        <f t="shared" si="24"/>
        <v>1</v>
      </c>
      <c r="AN145">
        <f t="shared" si="35"/>
        <v>1</v>
      </c>
      <c r="AO145" s="28">
        <f t="shared" si="28"/>
        <v>-5.3026956611522196E-4</v>
      </c>
      <c r="AP145" s="28">
        <f t="shared" si="29"/>
        <v>1.41714772173552E-3</v>
      </c>
      <c r="AQ145" s="28">
        <f t="shared" si="36"/>
        <v>8.8687815562029802E-4</v>
      </c>
      <c r="AR145" s="29">
        <f t="shared" si="37"/>
        <v>2.3024699795882483E-3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2.6710298438228398E-3</v>
      </c>
      <c r="BE145" s="29">
        <f t="shared" si="42"/>
        <v>8.8687815562029802E-4</v>
      </c>
      <c r="BF145" s="29">
        <f t="shared" si="43"/>
        <v>4.9734998234110877E-3</v>
      </c>
      <c r="BH145" s="29"/>
    </row>
    <row r="146" spans="1:60" x14ac:dyDescent="0.25">
      <c r="A146" s="1">
        <v>46234</v>
      </c>
      <c r="B146" s="33">
        <v>56.53</v>
      </c>
      <c r="C146" s="33">
        <v>98.66</v>
      </c>
      <c r="D146" s="15">
        <v>-5.3055090111791398E-4</v>
      </c>
      <c r="E146" s="15">
        <v>-6.0796435148547105E-4</v>
      </c>
      <c r="F146" s="33">
        <v>0</v>
      </c>
      <c r="G146" s="33">
        <v>0.84189700000000001</v>
      </c>
      <c r="H146" s="33">
        <v>0</v>
      </c>
      <c r="I146" s="33">
        <v>1.5459000000000001</v>
      </c>
      <c r="J146" s="33">
        <v>0.84189700000000001</v>
      </c>
      <c r="K146" s="33">
        <v>1.5459000000000001</v>
      </c>
      <c r="L146" s="33">
        <v>57.371896999999997</v>
      </c>
      <c r="M146" s="33">
        <v>100.2059</v>
      </c>
      <c r="N146" s="34">
        <v>1.7452679992924101</v>
      </c>
      <c r="O146" s="34">
        <v>1.74415850230319</v>
      </c>
      <c r="P146" s="34">
        <v>1.74424671605992</v>
      </c>
      <c r="Q146" s="34">
        <v>1.74431727934465</v>
      </c>
      <c r="R146" s="33">
        <v>98.597280135199696</v>
      </c>
      <c r="S146" s="33">
        <v>98.598084228855299</v>
      </c>
      <c r="T146" s="33">
        <v>98.601222716949195</v>
      </c>
      <c r="U146" s="15">
        <v>-6.3591941317391596E-4</v>
      </c>
      <c r="V146" s="15">
        <v>-6.2776411339578501E-4</v>
      </c>
      <c r="W146" s="15">
        <v>-5.9593349347312899E-4</v>
      </c>
      <c r="X146" s="34">
        <v>1.7466025221372701</v>
      </c>
      <c r="Y146" s="34">
        <v>1.74495402592864</v>
      </c>
      <c r="Z146" s="34">
        <v>1.7455923538195</v>
      </c>
      <c r="AA146" s="34">
        <v>1.7456546089348901</v>
      </c>
      <c r="AB146" s="33">
        <v>100.111322645313</v>
      </c>
      <c r="AC146" s="33">
        <v>100.143684846215</v>
      </c>
      <c r="AD146" s="33">
        <v>100.146413186559</v>
      </c>
      <c r="AE146" s="15">
        <v>-9.4427588866254802E-4</v>
      </c>
      <c r="AF146" s="15">
        <v>-6.2106598156272104E-4</v>
      </c>
      <c r="AG146" s="15">
        <v>-5.9382209510919204E-4</v>
      </c>
      <c r="AI146" s="12"/>
      <c r="AJ146">
        <f t="shared" si="26"/>
        <v>0</v>
      </c>
      <c r="AK146">
        <f t="shared" si="27"/>
        <v>0</v>
      </c>
      <c r="AL146">
        <f t="shared" si="34"/>
        <v>1</v>
      </c>
      <c r="AM146">
        <f t="shared" si="24"/>
        <v>0</v>
      </c>
      <c r="AN146">
        <f t="shared" si="35"/>
        <v>1</v>
      </c>
      <c r="AO146" s="28">
        <f t="shared" si="28"/>
        <v>-5.3055090111791398E-4</v>
      </c>
      <c r="AP146" s="28">
        <f t="shared" si="29"/>
        <v>6.0796435148547105E-4</v>
      </c>
      <c r="AQ146" s="28">
        <f t="shared" si="36"/>
        <v>7.7413450367557076E-5</v>
      </c>
      <c r="AR146" s="29">
        <f t="shared" si="37"/>
        <v>2.3798834299558055E-3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0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2.6710298438228398E-3</v>
      </c>
      <c r="BE146" s="29">
        <f t="shared" si="42"/>
        <v>7.7413450367557076E-5</v>
      </c>
      <c r="BF146" s="29">
        <f t="shared" si="43"/>
        <v>5.0509132737786445E-3</v>
      </c>
      <c r="BH146" s="29"/>
    </row>
    <row r="147" spans="1:60" x14ac:dyDescent="0.25">
      <c r="A147" s="1">
        <v>46237</v>
      </c>
      <c r="B147" s="33">
        <v>56.37</v>
      </c>
      <c r="C147" s="33">
        <v>98.45</v>
      </c>
      <c r="D147" s="15">
        <v>-2.8343685937158398E-3</v>
      </c>
      <c r="E147" s="15">
        <v>-2.1307907204576098E-3</v>
      </c>
      <c r="F147" s="33">
        <v>0.14026</v>
      </c>
      <c r="G147" s="33">
        <v>0.98215699999999995</v>
      </c>
      <c r="H147" s="33">
        <v>0.25640000000000002</v>
      </c>
      <c r="I147" s="33">
        <v>1.8023</v>
      </c>
      <c r="J147" s="33">
        <v>0.98215699999999995</v>
      </c>
      <c r="K147" s="33">
        <v>1.8023</v>
      </c>
      <c r="L147" s="33">
        <v>57.352156999999998</v>
      </c>
      <c r="M147" s="33">
        <v>100.25230000000001</v>
      </c>
      <c r="N147" s="34">
        <v>1.74649636331381</v>
      </c>
      <c r="O147" s="34">
        <v>1.74415850230319</v>
      </c>
      <c r="P147" s="34">
        <v>1.7444834536881799</v>
      </c>
      <c r="Q147" s="34">
        <v>1.7444329971282699</v>
      </c>
      <c r="R147" s="33">
        <v>98.318214774831105</v>
      </c>
      <c r="S147" s="33">
        <v>98.323187384297896</v>
      </c>
      <c r="T147" s="33">
        <v>98.3271650366584</v>
      </c>
      <c r="U147" s="15">
        <v>-1.3394972864321599E-3</v>
      </c>
      <c r="V147" s="15">
        <v>-1.2889218794907399E-3</v>
      </c>
      <c r="W147" s="15">
        <v>-1.24846782169743E-3</v>
      </c>
      <c r="X147" s="34">
        <v>1.748012720777</v>
      </c>
      <c r="Y147" s="34">
        <v>1.74495402592864</v>
      </c>
      <c r="Z147" s="34">
        <v>1.7458468403229701</v>
      </c>
      <c r="AA147" s="34">
        <v>1.7457798352074301</v>
      </c>
      <c r="AB147" s="33">
        <v>100.076877252841</v>
      </c>
      <c r="AC147" s="33">
        <v>100.11348673425501</v>
      </c>
      <c r="AD147" s="33">
        <v>100.117057199407</v>
      </c>
      <c r="AE147" s="15">
        <v>-1.75134540461895E-3</v>
      </c>
      <c r="AF147" s="15">
        <v>-1.38559871139177E-3</v>
      </c>
      <c r="AG147" s="15">
        <v>-1.3499351699351801E-3</v>
      </c>
      <c r="AI147" s="12"/>
      <c r="AJ147">
        <f t="shared" si="26"/>
        <v>1</v>
      </c>
      <c r="AK147">
        <f t="shared" si="27"/>
        <v>0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2.3798834299558055E-3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2.6710298438228398E-3</v>
      </c>
      <c r="BE147" s="29">
        <f t="shared" si="42"/>
        <v>0</v>
      </c>
      <c r="BF147" s="29">
        <f t="shared" si="43"/>
        <v>5.0509132737786445E-3</v>
      </c>
      <c r="BH147" s="29"/>
    </row>
    <row r="148" spans="1:60" x14ac:dyDescent="0.25">
      <c r="A148" s="1">
        <v>46238</v>
      </c>
      <c r="B148" s="33">
        <v>56.59</v>
      </c>
      <c r="C148" s="33">
        <v>98.79</v>
      </c>
      <c r="D148" s="15">
        <v>3.8951890609489098E-3</v>
      </c>
      <c r="E148" s="15">
        <v>3.44757997124804E-3</v>
      </c>
      <c r="F148" s="33">
        <v>0</v>
      </c>
      <c r="G148" s="33">
        <v>0.98215699999999995</v>
      </c>
      <c r="H148" s="33">
        <v>0</v>
      </c>
      <c r="I148" s="33">
        <v>1.8023</v>
      </c>
      <c r="J148" s="33">
        <v>0.98215699999999995</v>
      </c>
      <c r="K148" s="33">
        <v>1.8023</v>
      </c>
      <c r="L148" s="33">
        <v>57.572156999999997</v>
      </c>
      <c r="M148" s="33">
        <v>100.59229999999999</v>
      </c>
      <c r="N148" s="34">
        <v>1.74571479059904</v>
      </c>
      <c r="O148" s="34">
        <v>1.74415850230319</v>
      </c>
      <c r="P148" s="34">
        <v>1.74468651169546</v>
      </c>
      <c r="Q148" s="34">
        <v>1.74453188905906</v>
      </c>
      <c r="R148" s="33">
        <v>98.701929645337898</v>
      </c>
      <c r="S148" s="33">
        <v>98.720318644214501</v>
      </c>
      <c r="T148" s="33">
        <v>98.717463307488899</v>
      </c>
      <c r="U148" s="15">
        <v>-8.9188819673120302E-4</v>
      </c>
      <c r="V148" s="15">
        <v>-7.0559714707369304E-4</v>
      </c>
      <c r="W148" s="15">
        <v>-7.3452106120558901E-4</v>
      </c>
      <c r="X148" s="34">
        <v>1.74723868692291</v>
      </c>
      <c r="Y148" s="34">
        <v>1.74495402592864</v>
      </c>
      <c r="Z148" s="34">
        <v>1.7460676148307801</v>
      </c>
      <c r="AA148" s="34">
        <v>1.74588817764795</v>
      </c>
      <c r="AB148" s="33">
        <v>100.460767138546</v>
      </c>
      <c r="AC148" s="33">
        <v>100.51216838902801</v>
      </c>
      <c r="AD148" s="33">
        <v>100.50831075999599</v>
      </c>
      <c r="AE148" s="15">
        <v>-1.3084394293649099E-3</v>
      </c>
      <c r="AF148" s="15">
        <v>-7.9691531326241203E-4</v>
      </c>
      <c r="AG148" s="15">
        <v>-8.3529577129861905E-4</v>
      </c>
      <c r="AI148" s="12"/>
      <c r="AJ148">
        <f t="shared" si="26"/>
        <v>0</v>
      </c>
      <c r="AK148">
        <f t="shared" si="27"/>
        <v>0</v>
      </c>
      <c r="AL148">
        <f t="shared" si="34"/>
        <v>1</v>
      </c>
      <c r="AM148">
        <f t="shared" si="24"/>
        <v>1</v>
      </c>
      <c r="AN148">
        <f t="shared" si="35"/>
        <v>1</v>
      </c>
      <c r="AO148" s="28">
        <f t="shared" si="28"/>
        <v>3.8951890609489098E-3</v>
      </c>
      <c r="AP148" s="28">
        <f t="shared" si="29"/>
        <v>-3.44757997124804E-3</v>
      </c>
      <c r="AQ148" s="28">
        <f t="shared" si="36"/>
        <v>4.4760908970086985E-4</v>
      </c>
      <c r="AR148" s="29">
        <f t="shared" si="37"/>
        <v>2.8274925196566754E-3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2.6710298438228398E-3</v>
      </c>
      <c r="BE148" s="29">
        <f t="shared" si="42"/>
        <v>4.4760908970086985E-4</v>
      </c>
      <c r="BF148" s="29">
        <f t="shared" si="43"/>
        <v>5.4985223634795143E-3</v>
      </c>
      <c r="BH148" s="29"/>
    </row>
    <row r="149" spans="1:60" x14ac:dyDescent="0.25">
      <c r="A149" s="1">
        <v>46239</v>
      </c>
      <c r="B149" s="33">
        <v>56.68</v>
      </c>
      <c r="C149" s="33">
        <v>98.89</v>
      </c>
      <c r="D149" s="15">
        <v>1.58912366804711E-3</v>
      </c>
      <c r="E149" s="15">
        <v>1.01173622551669E-3</v>
      </c>
      <c r="F149" s="33">
        <v>0</v>
      </c>
      <c r="G149" s="33">
        <v>0.98215699999999995</v>
      </c>
      <c r="H149" s="33">
        <v>0</v>
      </c>
      <c r="I149" s="33">
        <v>1.8023</v>
      </c>
      <c r="J149" s="33">
        <v>0.98215699999999995</v>
      </c>
      <c r="K149" s="33">
        <v>1.8023</v>
      </c>
      <c r="L149" s="33">
        <v>57.662157000000001</v>
      </c>
      <c r="M149" s="33">
        <v>100.6923</v>
      </c>
      <c r="N149" s="34">
        <v>1.74470712773465</v>
      </c>
      <c r="O149" s="34">
        <v>1.74415850230319</v>
      </c>
      <c r="P149" s="34">
        <v>1.74475131001724</v>
      </c>
      <c r="Q149" s="34">
        <v>1.7445441510798401</v>
      </c>
      <c r="R149" s="33">
        <v>98.858903910545095</v>
      </c>
      <c r="S149" s="33">
        <v>98.888831482898695</v>
      </c>
      <c r="T149" s="33">
        <v>98.880067471867505</v>
      </c>
      <c r="U149" s="15">
        <v>-3.1450075420087699E-4</v>
      </c>
      <c r="V149" s="15">
        <v>-1.18164021150329E-5</v>
      </c>
      <c r="W149" s="15">
        <v>-1.0044521163184201E-4</v>
      </c>
      <c r="X149" s="34">
        <v>1.7462458090147399</v>
      </c>
      <c r="Y149" s="34">
        <v>1.74495402592864</v>
      </c>
      <c r="Z149" s="34">
        <v>1.74615171183457</v>
      </c>
      <c r="AA149" s="34">
        <v>1.7459109819057299</v>
      </c>
      <c r="AB149" s="33">
        <v>100.617813000879</v>
      </c>
      <c r="AC149" s="33">
        <v>100.68202493898799</v>
      </c>
      <c r="AD149" s="33">
        <v>100.67167820397999</v>
      </c>
      <c r="AE149" s="15">
        <v>-7.4002245996764699E-4</v>
      </c>
      <c r="AF149" s="15">
        <v>-1.02049365265555E-4</v>
      </c>
      <c r="AG149" s="15">
        <v>-2.0482110331427E-4</v>
      </c>
      <c r="AI149" s="12"/>
      <c r="AJ149">
        <f t="shared" si="26"/>
        <v>0</v>
      </c>
      <c r="AK149">
        <f t="shared" si="27"/>
        <v>0</v>
      </c>
      <c r="AL149">
        <f t="shared" si="34"/>
        <v>1</v>
      </c>
      <c r="AM149">
        <f t="shared" ref="AM149:AM176" si="44">IF(F150+H150&gt;0,0,1)</f>
        <v>1</v>
      </c>
      <c r="AN149">
        <f t="shared" si="35"/>
        <v>1</v>
      </c>
      <c r="AO149" s="28">
        <f t="shared" si="28"/>
        <v>1.58912366804711E-3</v>
      </c>
      <c r="AP149" s="28">
        <f t="shared" si="29"/>
        <v>-1.01173622551669E-3</v>
      </c>
      <c r="AQ149" s="28">
        <f t="shared" si="36"/>
        <v>5.7738744253042003E-4</v>
      </c>
      <c r="AR149" s="29">
        <f t="shared" si="37"/>
        <v>3.4048799621870952E-3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2.6710298438228398E-3</v>
      </c>
      <c r="BE149" s="29">
        <f t="shared" si="42"/>
        <v>5.7738744253042003E-4</v>
      </c>
      <c r="BF149" s="29">
        <f t="shared" si="43"/>
        <v>6.0759098060099341E-3</v>
      </c>
      <c r="BH149" s="29"/>
    </row>
    <row r="150" spans="1:60" x14ac:dyDescent="0.25">
      <c r="A150" s="1">
        <v>46240</v>
      </c>
      <c r="B150" s="33">
        <v>56.66</v>
      </c>
      <c r="C150" s="33">
        <v>98.86</v>
      </c>
      <c r="D150" s="15">
        <v>-3.5292042010927701E-4</v>
      </c>
      <c r="E150" s="15">
        <v>-3.0341340308618503E-4</v>
      </c>
      <c r="F150" s="33">
        <v>0</v>
      </c>
      <c r="G150" s="33">
        <v>0.98215699999999995</v>
      </c>
      <c r="H150" s="33">
        <v>0</v>
      </c>
      <c r="I150" s="33">
        <v>1.8023</v>
      </c>
      <c r="J150" s="33">
        <v>0.98215699999999995</v>
      </c>
      <c r="K150" s="33">
        <v>1.8023</v>
      </c>
      <c r="L150" s="33">
        <v>57.642156999999997</v>
      </c>
      <c r="M150" s="33">
        <v>100.6623</v>
      </c>
      <c r="N150" s="34">
        <v>1.7447935051182399</v>
      </c>
      <c r="O150" s="34">
        <v>1.74415850230319</v>
      </c>
      <c r="P150" s="34">
        <v>1.7449080113347999</v>
      </c>
      <c r="Q150" s="34">
        <v>1.7445714832395101</v>
      </c>
      <c r="R150" s="33">
        <v>98.824020740499094</v>
      </c>
      <c r="S150" s="33">
        <v>98.857609225576994</v>
      </c>
      <c r="T150" s="33">
        <v>98.845871600183699</v>
      </c>
      <c r="U150" s="15">
        <v>-3.6400777122387899E-4</v>
      </c>
      <c r="V150" s="15">
        <v>-2.4183727816665499E-5</v>
      </c>
      <c r="W150" s="15">
        <v>-1.4292342180750601E-4</v>
      </c>
      <c r="X150" s="34">
        <v>1.7463312484992499</v>
      </c>
      <c r="Y150" s="34">
        <v>1.74495402592864</v>
      </c>
      <c r="Z150" s="34">
        <v>1.74632559657244</v>
      </c>
      <c r="AA150" s="34">
        <v>1.7459486881105899</v>
      </c>
      <c r="AB150" s="33">
        <v>100.58291392036099</v>
      </c>
      <c r="AC150" s="33">
        <v>100.65195111938699</v>
      </c>
      <c r="AD150" s="33">
        <v>100.638074927034</v>
      </c>
      <c r="AE150" s="15">
        <v>-7.8894878750341896E-4</v>
      </c>
      <c r="AF150" s="15">
        <v>-1.02813194441373E-4</v>
      </c>
      <c r="AG150" s="15">
        <v>-2.4068582178739001E-4</v>
      </c>
      <c r="AI150" s="12"/>
      <c r="AJ150">
        <f t="shared" ref="AJ150:AJ176" si="46">IF($AG150&lt;AI$21,1,0)</f>
        <v>0</v>
      </c>
      <c r="AK150">
        <f t="shared" ref="AK150:AK176" si="47">IF($AG150&gt;AI$22,1,0)</f>
        <v>0</v>
      </c>
      <c r="AL150">
        <f t="shared" si="34"/>
        <v>1</v>
      </c>
      <c r="AM150">
        <f t="shared" si="44"/>
        <v>1</v>
      </c>
      <c r="AN150">
        <f t="shared" si="35"/>
        <v>1</v>
      </c>
      <c r="AO150" s="28">
        <f t="shared" ref="AO150:AO176" si="48">AN150*D150</f>
        <v>-3.5292042010927701E-4</v>
      </c>
      <c r="AP150" s="28">
        <f t="shared" ref="AP150:AP176" si="49">-AN150*$E150</f>
        <v>3.0341340308618503E-4</v>
      </c>
      <c r="AQ150" s="28">
        <f t="shared" si="36"/>
        <v>-4.9507017023091987E-5</v>
      </c>
      <c r="AR150" s="29">
        <f t="shared" si="37"/>
        <v>3.3553729451640032E-3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2.6710298438228398E-3</v>
      </c>
      <c r="BE150" s="29">
        <f t="shared" si="42"/>
        <v>-4.9507017023091987E-5</v>
      </c>
      <c r="BF150" s="29">
        <f t="shared" si="43"/>
        <v>6.0264027889868422E-3</v>
      </c>
      <c r="BH150" s="29"/>
    </row>
    <row r="151" spans="1:60" x14ac:dyDescent="0.25">
      <c r="A151" s="1">
        <v>46241</v>
      </c>
      <c r="B151" s="33">
        <v>56.83</v>
      </c>
      <c r="C151" s="33">
        <v>99.14</v>
      </c>
      <c r="D151" s="15">
        <v>2.9958609066596301E-3</v>
      </c>
      <c r="E151" s="15">
        <v>2.8282847136145402E-3</v>
      </c>
      <c r="F151" s="33">
        <v>0</v>
      </c>
      <c r="G151" s="33">
        <v>0.98215699999999995</v>
      </c>
      <c r="H151" s="33">
        <v>0</v>
      </c>
      <c r="I151" s="33">
        <v>1.8023</v>
      </c>
      <c r="J151" s="33">
        <v>0.98215699999999995</v>
      </c>
      <c r="K151" s="33">
        <v>1.8023</v>
      </c>
      <c r="L151" s="33">
        <v>57.812156999999999</v>
      </c>
      <c r="M151" s="33">
        <v>100.9423</v>
      </c>
      <c r="N151" s="34">
        <v>1.7445011437620901</v>
      </c>
      <c r="O151" s="34">
        <v>1.74415850230319</v>
      </c>
      <c r="P151" s="34">
        <v>1.74492429697782</v>
      </c>
      <c r="Q151" s="34">
        <v>1.7445341167135799</v>
      </c>
      <c r="R151" s="33">
        <v>99.120527685890593</v>
      </c>
      <c r="S151" s="33">
        <v>99.163122284156998</v>
      </c>
      <c r="T151" s="33">
        <v>99.143997392501802</v>
      </c>
      <c r="U151" s="15">
        <v>-1.9643157817887899E-4</v>
      </c>
      <c r="V151" s="15">
        <v>2.3320141403254199E-4</v>
      </c>
      <c r="W151" s="15">
        <v>4.03198700345081E-5</v>
      </c>
      <c r="X151" s="34">
        <v>1.7460393321771399</v>
      </c>
      <c r="Y151" s="34">
        <v>1.74495402592864</v>
      </c>
      <c r="Z151" s="34">
        <v>1.7463608609750401</v>
      </c>
      <c r="AA151" s="34">
        <v>1.7459224309978501</v>
      </c>
      <c r="AB151" s="33">
        <v>100.879556104768</v>
      </c>
      <c r="AC151" s="33">
        <v>100.958849562164</v>
      </c>
      <c r="AD151" s="33">
        <v>100.93705967099299</v>
      </c>
      <c r="AE151" s="15">
        <v>-6.2177504917887395E-4</v>
      </c>
      <c r="AF151" s="15">
        <v>1.6393727562120101E-4</v>
      </c>
      <c r="AG151" s="15">
        <v>-5.19154510498749E-5</v>
      </c>
      <c r="AI151" s="12"/>
      <c r="AJ151">
        <f t="shared" si="46"/>
        <v>0</v>
      </c>
      <c r="AK151">
        <f t="shared" si="47"/>
        <v>0</v>
      </c>
      <c r="AL151">
        <f t="shared" ref="AL151:AL176" si="54">AN151</f>
        <v>1</v>
      </c>
      <c r="AM151">
        <f t="shared" si="44"/>
        <v>1</v>
      </c>
      <c r="AN151">
        <f t="shared" ref="AN151:AN176" si="55">IF(AJ150,1,IF(AK150,0,AL150))*AM150</f>
        <v>1</v>
      </c>
      <c r="AO151" s="28">
        <f t="shared" si="48"/>
        <v>2.9958609066596301E-3</v>
      </c>
      <c r="AP151" s="28">
        <f t="shared" si="49"/>
        <v>-2.8282847136145402E-3</v>
      </c>
      <c r="AQ151" s="28">
        <f t="shared" ref="AQ151:AQ176" si="56">AO151+AP151</f>
        <v>1.6757619304508991E-4</v>
      </c>
      <c r="AR151" s="29">
        <f t="shared" ref="AR151:AR176" si="57">AR150+AQ151</f>
        <v>3.5229491382090931E-3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2.6710298438228398E-3</v>
      </c>
      <c r="BE151" s="29">
        <f t="shared" ref="BE151:BE176" si="62">AQ151+BB151</f>
        <v>1.6757619304508991E-4</v>
      </c>
      <c r="BF151" s="29">
        <f t="shared" ref="BF151:BF176" si="63">BF150+BE151</f>
        <v>6.1939789820319325E-3</v>
      </c>
      <c r="BH151" s="29"/>
    </row>
    <row r="152" spans="1:60" x14ac:dyDescent="0.25">
      <c r="A152" s="1">
        <v>46244</v>
      </c>
      <c r="B152" s="33">
        <v>56.79</v>
      </c>
      <c r="C152" s="33">
        <v>99.1</v>
      </c>
      <c r="D152" s="15">
        <v>-7.0410141968891605E-4</v>
      </c>
      <c r="E152" s="15">
        <v>-4.0355125648555798E-4</v>
      </c>
      <c r="F152" s="33">
        <v>0</v>
      </c>
      <c r="G152" s="33">
        <v>0.98215699999999995</v>
      </c>
      <c r="H152" s="33">
        <v>0</v>
      </c>
      <c r="I152" s="33">
        <v>1.8023</v>
      </c>
      <c r="J152" s="33">
        <v>0.98215699999999995</v>
      </c>
      <c r="K152" s="33">
        <v>1.8023</v>
      </c>
      <c r="L152" s="33">
        <v>57.772157</v>
      </c>
      <c r="M152" s="33">
        <v>100.9023</v>
      </c>
      <c r="N152" s="34">
        <v>1.7450255326641999</v>
      </c>
      <c r="O152" s="34">
        <v>1.74415850230319</v>
      </c>
      <c r="P152" s="34">
        <v>1.7451371025823399</v>
      </c>
      <c r="Q152" s="34">
        <v>1.7445971847300099</v>
      </c>
      <c r="R152" s="33">
        <v>99.050761345798506</v>
      </c>
      <c r="S152" s="33">
        <v>99.094250825370693</v>
      </c>
      <c r="T152" s="33">
        <v>99.0720924881646</v>
      </c>
      <c r="U152" s="15">
        <v>-4.9698174138228799E-4</v>
      </c>
      <c r="V152" s="15">
        <v>-5.8015554002953199E-5</v>
      </c>
      <c r="W152" s="15">
        <v>-2.81649264227533E-4</v>
      </c>
      <c r="X152" s="34">
        <v>1.74655587119587</v>
      </c>
      <c r="Y152" s="34">
        <v>1.74495402592864</v>
      </c>
      <c r="Z152" s="34">
        <v>1.7465901028812201</v>
      </c>
      <c r="AA152" s="34">
        <v>1.74599511922732</v>
      </c>
      <c r="AB152" s="33">
        <v>100.809757943731</v>
      </c>
      <c r="AC152" s="33">
        <v>100.891033838905</v>
      </c>
      <c r="AD152" s="33">
        <v>100.865704793429</v>
      </c>
      <c r="AE152" s="15">
        <v>-9.1756599684083499E-4</v>
      </c>
      <c r="AF152" s="15">
        <v>-1.11660389291538E-4</v>
      </c>
      <c r="AG152" s="15">
        <v>-3.6274539175769203E-4</v>
      </c>
      <c r="AI152" s="12"/>
      <c r="AJ152">
        <f t="shared" si="46"/>
        <v>0</v>
      </c>
      <c r="AK152">
        <f t="shared" si="47"/>
        <v>0</v>
      </c>
      <c r="AL152">
        <f t="shared" si="54"/>
        <v>1</v>
      </c>
      <c r="AM152">
        <f t="shared" si="44"/>
        <v>1</v>
      </c>
      <c r="AN152">
        <f t="shared" si="55"/>
        <v>1</v>
      </c>
      <c r="AO152" s="28">
        <f t="shared" si="48"/>
        <v>-7.0410141968891605E-4</v>
      </c>
      <c r="AP152" s="28">
        <f t="shared" si="49"/>
        <v>4.0355125648555798E-4</v>
      </c>
      <c r="AQ152" s="28">
        <f t="shared" si="56"/>
        <v>-3.0055016320335807E-4</v>
      </c>
      <c r="AR152" s="29">
        <f t="shared" si="57"/>
        <v>3.222398975005735E-3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2.6710298438228398E-3</v>
      </c>
      <c r="BE152" s="29">
        <f t="shared" si="62"/>
        <v>-3.0055016320335807E-4</v>
      </c>
      <c r="BF152" s="29">
        <f t="shared" si="63"/>
        <v>5.8934288188285744E-3</v>
      </c>
      <c r="BH152" s="29"/>
    </row>
    <row r="153" spans="1:60" x14ac:dyDescent="0.25">
      <c r="A153" s="1">
        <v>46245</v>
      </c>
      <c r="B153" s="33">
        <v>56.83</v>
      </c>
      <c r="C153" s="33">
        <v>99.17</v>
      </c>
      <c r="D153" s="15">
        <v>7.0410141968888201E-4</v>
      </c>
      <c r="E153" s="15">
        <v>7.0610786209139304E-4</v>
      </c>
      <c r="F153" s="33">
        <v>0</v>
      </c>
      <c r="G153" s="33">
        <v>0.98215699999999995</v>
      </c>
      <c r="H153" s="33">
        <v>0</v>
      </c>
      <c r="I153" s="33">
        <v>1.8023</v>
      </c>
      <c r="J153" s="33">
        <v>0.98215699999999995</v>
      </c>
      <c r="K153" s="33">
        <v>1.8023</v>
      </c>
      <c r="L153" s="33">
        <v>57.812156999999999</v>
      </c>
      <c r="M153" s="33">
        <v>100.9723</v>
      </c>
      <c r="N153" s="34">
        <v>1.74502903396093</v>
      </c>
      <c r="O153" s="34">
        <v>1.74415850230319</v>
      </c>
      <c r="P153" s="34">
        <v>1.7453890366446301</v>
      </c>
      <c r="Q153" s="34">
        <v>1.7446320337074499</v>
      </c>
      <c r="R153" s="33">
        <v>99.120527685890593</v>
      </c>
      <c r="S153" s="33">
        <v>99.176141539754497</v>
      </c>
      <c r="T153" s="33">
        <v>99.145458008206802</v>
      </c>
      <c r="U153" s="15">
        <v>-4.9898818378485996E-4</v>
      </c>
      <c r="V153" s="15">
        <v>6.1927494115540495E-5</v>
      </c>
      <c r="W153" s="15">
        <v>-2.4750457846201202E-4</v>
      </c>
      <c r="X153" s="34">
        <v>1.7465582541747999</v>
      </c>
      <c r="Y153" s="34">
        <v>1.74495402592864</v>
      </c>
      <c r="Z153" s="34">
        <v>1.7468579604969401</v>
      </c>
      <c r="AA153" s="34">
        <v>1.74603995486485</v>
      </c>
      <c r="AB153" s="33">
        <v>100.879556104768</v>
      </c>
      <c r="AC153" s="33">
        <v>100.974141242415</v>
      </c>
      <c r="AD153" s="33">
        <v>100.93974395400301</v>
      </c>
      <c r="AE153" s="15">
        <v>-9.1893038337217503E-4</v>
      </c>
      <c r="AF153" s="15">
        <v>1.8234957783790099E-5</v>
      </c>
      <c r="AG153" s="15">
        <v>-3.2247750694769801E-4</v>
      </c>
      <c r="AI153" s="12"/>
      <c r="AJ153">
        <f t="shared" si="46"/>
        <v>0</v>
      </c>
      <c r="AK153">
        <f t="shared" si="47"/>
        <v>0</v>
      </c>
      <c r="AL153">
        <f t="shared" si="54"/>
        <v>1</v>
      </c>
      <c r="AM153">
        <f t="shared" si="44"/>
        <v>1</v>
      </c>
      <c r="AN153">
        <f t="shared" si="55"/>
        <v>1</v>
      </c>
      <c r="AO153" s="28">
        <f t="shared" si="48"/>
        <v>7.0410141968888201E-4</v>
      </c>
      <c r="AP153" s="28">
        <f t="shared" si="49"/>
        <v>-7.0610786209139304E-4</v>
      </c>
      <c r="AQ153" s="28">
        <f t="shared" si="56"/>
        <v>-2.0064424025110356E-6</v>
      </c>
      <c r="AR153" s="29">
        <f t="shared" si="57"/>
        <v>3.220392532603224E-3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2.6710298438228398E-3</v>
      </c>
      <c r="BE153" s="29">
        <f t="shared" si="62"/>
        <v>-2.0064424025110356E-6</v>
      </c>
      <c r="BF153" s="29">
        <f t="shared" si="63"/>
        <v>5.8914223764260634E-3</v>
      </c>
      <c r="BH153" s="29"/>
    </row>
    <row r="154" spans="1:60" x14ac:dyDescent="0.25">
      <c r="A154" s="1">
        <v>46246</v>
      </c>
      <c r="B154" s="33">
        <v>56.85</v>
      </c>
      <c r="C154" s="33">
        <v>99.21</v>
      </c>
      <c r="D154" s="15">
        <v>3.5186488751495998E-4</v>
      </c>
      <c r="E154" s="15">
        <v>4.03266463777353E-4</v>
      </c>
      <c r="F154" s="33">
        <v>0</v>
      </c>
      <c r="G154" s="33">
        <v>0.98215699999999995</v>
      </c>
      <c r="H154" s="33">
        <v>0</v>
      </c>
      <c r="I154" s="33">
        <v>1.8023</v>
      </c>
      <c r="J154" s="33">
        <v>0.98215699999999995</v>
      </c>
      <c r="K154" s="33">
        <v>1.8023</v>
      </c>
      <c r="L154" s="33">
        <v>57.832157000000002</v>
      </c>
      <c r="M154" s="33">
        <v>101.0123</v>
      </c>
      <c r="N154" s="34">
        <v>1.74511873350923</v>
      </c>
      <c r="O154" s="34">
        <v>1.74415850230319</v>
      </c>
      <c r="P154" s="34">
        <v>1.74520573416943</v>
      </c>
      <c r="Q154" s="34">
        <v>1.7446827302082299</v>
      </c>
      <c r="R154" s="33">
        <v>99.155410855936694</v>
      </c>
      <c r="S154" s="33">
        <v>99.225366733247398</v>
      </c>
      <c r="T154" s="33">
        <v>99.1823311162685</v>
      </c>
      <c r="U154" s="15">
        <v>-5.5038976004716505E-4</v>
      </c>
      <c r="V154" s="15">
        <v>1.54878976778241E-4</v>
      </c>
      <c r="W154" s="15">
        <v>-2.78930982414294E-4</v>
      </c>
      <c r="X154" s="34">
        <v>1.74664590151807</v>
      </c>
      <c r="Y154" s="34">
        <v>1.74495402592864</v>
      </c>
      <c r="Z154" s="34">
        <v>1.7466965301883799</v>
      </c>
      <c r="AA154" s="34">
        <v>1.74610026775708</v>
      </c>
      <c r="AB154" s="33">
        <v>100.914455185287</v>
      </c>
      <c r="AC154" s="33">
        <v>101.024563828159</v>
      </c>
      <c r="AD154" s="33">
        <v>100.977256798017</v>
      </c>
      <c r="AE154" s="15">
        <v>-9.6911201569574402E-4</v>
      </c>
      <c r="AF154" s="15">
        <v>1.21401886189052E-4</v>
      </c>
      <c r="AG154" s="15">
        <v>-3.4698033789342899E-4</v>
      </c>
      <c r="AI154" s="12"/>
      <c r="AJ154">
        <f t="shared" si="46"/>
        <v>0</v>
      </c>
      <c r="AK154">
        <f t="shared" si="47"/>
        <v>0</v>
      </c>
      <c r="AL154">
        <f t="shared" si="54"/>
        <v>1</v>
      </c>
      <c r="AM154">
        <f t="shared" si="44"/>
        <v>1</v>
      </c>
      <c r="AN154">
        <f t="shared" si="55"/>
        <v>1</v>
      </c>
      <c r="AO154" s="28">
        <f t="shared" si="48"/>
        <v>3.5186488751495998E-4</v>
      </c>
      <c r="AP154" s="28">
        <f t="shared" si="49"/>
        <v>-4.03266463777353E-4</v>
      </c>
      <c r="AQ154" s="28">
        <f t="shared" si="56"/>
        <v>-5.140157626239302E-5</v>
      </c>
      <c r="AR154" s="29">
        <f t="shared" si="57"/>
        <v>3.1689909563408312E-3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2.6710298438228398E-3</v>
      </c>
      <c r="BE154" s="29">
        <f t="shared" si="62"/>
        <v>-5.140157626239302E-5</v>
      </c>
      <c r="BF154" s="29">
        <f t="shared" si="63"/>
        <v>5.8400208001636702E-3</v>
      </c>
      <c r="BH154" s="29"/>
    </row>
    <row r="155" spans="1:60" x14ac:dyDescent="0.25">
      <c r="A155" s="1">
        <v>46247</v>
      </c>
      <c r="B155" s="33">
        <v>56.93</v>
      </c>
      <c r="C155" s="33">
        <v>99.35</v>
      </c>
      <c r="D155" s="15">
        <v>1.4062227664453501E-3</v>
      </c>
      <c r="E155" s="15">
        <v>1.41015333601467E-3</v>
      </c>
      <c r="F155" s="33">
        <v>0</v>
      </c>
      <c r="G155" s="33">
        <v>0.98215699999999995</v>
      </c>
      <c r="H155" s="33">
        <v>0</v>
      </c>
      <c r="I155" s="33">
        <v>1.8023</v>
      </c>
      <c r="J155" s="33">
        <v>0.98215699999999995</v>
      </c>
      <c r="K155" s="33">
        <v>1.8023</v>
      </c>
      <c r="L155" s="33">
        <v>57.912157000000001</v>
      </c>
      <c r="M155" s="33">
        <v>101.1523</v>
      </c>
      <c r="N155" s="34">
        <v>1.7451255928333</v>
      </c>
      <c r="O155" s="34">
        <v>1.74415850230319</v>
      </c>
      <c r="P155" s="34">
        <v>1.7451779822787901</v>
      </c>
      <c r="Q155" s="34">
        <v>1.74467535438771</v>
      </c>
      <c r="R155" s="33">
        <v>99.294943536120897</v>
      </c>
      <c r="S155" s="33">
        <v>99.354562446266101</v>
      </c>
      <c r="T155" s="33">
        <v>99.324787830755</v>
      </c>
      <c r="U155" s="15">
        <v>-5.5432032961651005E-4</v>
      </c>
      <c r="V155" s="15">
        <v>4.5921907487367902E-5</v>
      </c>
      <c r="W155" s="15">
        <v>-2.53803410644652E-4</v>
      </c>
      <c r="X155" s="34">
        <v>1.74665053487819</v>
      </c>
      <c r="Y155" s="34">
        <v>1.74495402592864</v>
      </c>
      <c r="Z155" s="34">
        <v>1.7466880881295199</v>
      </c>
      <c r="AA155" s="34">
        <v>1.7461030958198001</v>
      </c>
      <c r="AB155" s="33">
        <v>101.054051507361</v>
      </c>
      <c r="AC155" s="33">
        <v>101.154963687624</v>
      </c>
      <c r="AD155" s="33">
        <v>101.12043284409</v>
      </c>
      <c r="AE155" s="15">
        <v>-9.7176473080416205E-4</v>
      </c>
      <c r="AF155" s="15">
        <v>2.6333089345333602E-5</v>
      </c>
      <c r="AG155" s="15">
        <v>-3.1509097371038399E-4</v>
      </c>
      <c r="AI155" s="12"/>
      <c r="AJ155">
        <f t="shared" si="46"/>
        <v>0</v>
      </c>
      <c r="AK155">
        <f t="shared" si="47"/>
        <v>0</v>
      </c>
      <c r="AL155">
        <f t="shared" si="54"/>
        <v>1</v>
      </c>
      <c r="AM155">
        <f t="shared" si="44"/>
        <v>1</v>
      </c>
      <c r="AN155">
        <f t="shared" si="55"/>
        <v>1</v>
      </c>
      <c r="AO155" s="28">
        <f t="shared" si="48"/>
        <v>1.4062227664453501E-3</v>
      </c>
      <c r="AP155" s="28">
        <f t="shared" si="49"/>
        <v>-1.41015333601467E-3</v>
      </c>
      <c r="AQ155" s="28">
        <f t="shared" si="56"/>
        <v>-3.9305695693199558E-6</v>
      </c>
      <c r="AR155" s="29">
        <f t="shared" si="57"/>
        <v>3.1650603867715114E-3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2.6710298438228398E-3</v>
      </c>
      <c r="BE155" s="29">
        <f t="shared" si="62"/>
        <v>-3.9305695693199558E-6</v>
      </c>
      <c r="BF155" s="29">
        <f t="shared" si="63"/>
        <v>5.8360902305943504E-3</v>
      </c>
      <c r="BH155" s="29"/>
    </row>
    <row r="156" spans="1:60" x14ac:dyDescent="0.25">
      <c r="A156" s="1">
        <v>46248</v>
      </c>
      <c r="B156" s="33">
        <v>56.81</v>
      </c>
      <c r="C156" s="33">
        <v>99.15</v>
      </c>
      <c r="D156" s="15">
        <v>-2.1100763939549899E-3</v>
      </c>
      <c r="E156" s="15">
        <v>-2.0151140320207499E-3</v>
      </c>
      <c r="F156" s="33">
        <v>0</v>
      </c>
      <c r="G156" s="33">
        <v>0.98215699999999995</v>
      </c>
      <c r="H156" s="33">
        <v>0</v>
      </c>
      <c r="I156" s="33">
        <v>1.8023</v>
      </c>
      <c r="J156" s="33">
        <v>0.98215699999999995</v>
      </c>
      <c r="K156" s="33">
        <v>1.8023</v>
      </c>
      <c r="L156" s="33">
        <v>57.792157000000003</v>
      </c>
      <c r="M156" s="33">
        <v>100.95229999999999</v>
      </c>
      <c r="N156" s="34">
        <v>1.7452913219503601</v>
      </c>
      <c r="O156" s="34">
        <v>1.74415850230319</v>
      </c>
      <c r="P156" s="34">
        <v>1.7451803145445901</v>
      </c>
      <c r="Q156" s="34">
        <v>1.7447135153022499</v>
      </c>
      <c r="R156" s="33">
        <v>99.085644515844507</v>
      </c>
      <c r="S156" s="33">
        <v>99.143561173258306</v>
      </c>
      <c r="T156" s="33">
        <v>99.115006882766295</v>
      </c>
      <c r="U156" s="15">
        <v>-6.4928269155070802E-4</v>
      </c>
      <c r="V156" s="15">
        <v>-6.4942368333178996E-5</v>
      </c>
      <c r="W156" s="15">
        <v>-3.52993381405971E-4</v>
      </c>
      <c r="X156" s="34">
        <v>1.74681661388759</v>
      </c>
      <c r="Y156" s="34">
        <v>1.74495402592864</v>
      </c>
      <c r="Z156" s="34">
        <v>1.74670949730456</v>
      </c>
      <c r="AA156" s="34">
        <v>1.74615092556203</v>
      </c>
      <c r="AB156" s="33">
        <v>100.84465702425</v>
      </c>
      <c r="AC156" s="33">
        <v>100.94487221921101</v>
      </c>
      <c r="AD156" s="33">
        <v>100.91106425180401</v>
      </c>
      <c r="AE156" s="15">
        <v>-1.06684449108145E-3</v>
      </c>
      <c r="AF156" s="15">
        <v>-7.3579839778075795E-5</v>
      </c>
      <c r="AG156" s="15">
        <v>-4.0855109021080399E-4</v>
      </c>
      <c r="AI156" s="12"/>
      <c r="AJ156">
        <f t="shared" si="46"/>
        <v>0</v>
      </c>
      <c r="AK156">
        <f t="shared" si="47"/>
        <v>0</v>
      </c>
      <c r="AL156">
        <f t="shared" si="54"/>
        <v>1</v>
      </c>
      <c r="AM156">
        <f t="shared" si="44"/>
        <v>1</v>
      </c>
      <c r="AN156">
        <f t="shared" si="55"/>
        <v>1</v>
      </c>
      <c r="AO156" s="28">
        <f t="shared" si="48"/>
        <v>-2.1100763939549899E-3</v>
      </c>
      <c r="AP156" s="28">
        <f t="shared" si="49"/>
        <v>2.0151140320207499E-3</v>
      </c>
      <c r="AQ156" s="28">
        <f t="shared" si="56"/>
        <v>-9.4962361934240042E-5</v>
      </c>
      <c r="AR156" s="29">
        <f t="shared" si="57"/>
        <v>3.0700980248372714E-3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2.6710298438228398E-3</v>
      </c>
      <c r="BE156" s="29">
        <f t="shared" si="62"/>
        <v>-9.4962361934240042E-5</v>
      </c>
      <c r="BF156" s="29">
        <f t="shared" si="63"/>
        <v>5.7411278686601104E-3</v>
      </c>
      <c r="BH156" s="29"/>
    </row>
    <row r="157" spans="1:60" x14ac:dyDescent="0.25">
      <c r="A157" s="1">
        <v>46251</v>
      </c>
      <c r="B157" s="33">
        <v>56.65</v>
      </c>
      <c r="C157" s="33">
        <v>98.85</v>
      </c>
      <c r="D157" s="15">
        <v>-2.82037909502024E-3</v>
      </c>
      <c r="E157" s="15">
        <v>-3.0303053491791999E-3</v>
      </c>
      <c r="F157" s="33">
        <v>0</v>
      </c>
      <c r="G157" s="33">
        <v>0.98215699999999995</v>
      </c>
      <c r="H157" s="33">
        <v>0</v>
      </c>
      <c r="I157" s="33">
        <v>1.8023</v>
      </c>
      <c r="J157" s="33">
        <v>0.98215699999999995</v>
      </c>
      <c r="K157" s="33">
        <v>1.8023</v>
      </c>
      <c r="L157" s="33">
        <v>57.632156999999999</v>
      </c>
      <c r="M157" s="33">
        <v>100.6523</v>
      </c>
      <c r="N157" s="34">
        <v>1.74492497793468</v>
      </c>
      <c r="O157" s="34">
        <v>1.74415850230319</v>
      </c>
      <c r="P157" s="34">
        <v>1.7450231760066699</v>
      </c>
      <c r="Q157" s="34">
        <v>1.7447533148474299</v>
      </c>
      <c r="R157" s="33">
        <v>98.806579155476001</v>
      </c>
      <c r="S157" s="33">
        <v>98.864464818951006</v>
      </c>
      <c r="T157" s="33">
        <v>98.838020641872802</v>
      </c>
      <c r="U157" s="15">
        <v>-4.3935643739175499E-4</v>
      </c>
      <c r="V157" s="15">
        <v>1.4632029062809499E-4</v>
      </c>
      <c r="W157" s="15">
        <v>-1.21194578233631E-4</v>
      </c>
      <c r="X157" s="34">
        <v>1.7464607475996401</v>
      </c>
      <c r="Y157" s="34">
        <v>1.74495402592864</v>
      </c>
      <c r="Z157" s="34">
        <v>1.74655429998682</v>
      </c>
      <c r="AA157" s="34">
        <v>1.7462005701548999</v>
      </c>
      <c r="AB157" s="33">
        <v>100.56546438010101</v>
      </c>
      <c r="AC157" s="33">
        <v>100.666635982047</v>
      </c>
      <c r="AD157" s="33">
        <v>100.63444428768599</v>
      </c>
      <c r="AE157" s="15">
        <v>-8.6310098471012605E-4</v>
      </c>
      <c r="AF157" s="15">
        <v>1.42420602431823E-4</v>
      </c>
      <c r="AG157" s="15">
        <v>-1.7741568053705899E-4</v>
      </c>
      <c r="AI157" s="12"/>
      <c r="AJ157">
        <f t="shared" si="46"/>
        <v>0</v>
      </c>
      <c r="AK157">
        <f t="shared" si="47"/>
        <v>0</v>
      </c>
      <c r="AL157">
        <f t="shared" si="54"/>
        <v>1</v>
      </c>
      <c r="AM157">
        <f t="shared" si="44"/>
        <v>1</v>
      </c>
      <c r="AN157">
        <f t="shared" si="55"/>
        <v>1</v>
      </c>
      <c r="AO157" s="28">
        <f t="shared" si="48"/>
        <v>-2.82037909502024E-3</v>
      </c>
      <c r="AP157" s="28">
        <f t="shared" si="49"/>
        <v>3.0303053491791999E-3</v>
      </c>
      <c r="AQ157" s="28">
        <f t="shared" si="56"/>
        <v>2.0992625415895997E-4</v>
      </c>
      <c r="AR157" s="29">
        <f t="shared" si="57"/>
        <v>3.2800242789962314E-3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2.6710298438228398E-3</v>
      </c>
      <c r="BE157" s="29">
        <f t="shared" si="62"/>
        <v>2.0992625415895997E-4</v>
      </c>
      <c r="BF157" s="29">
        <f t="shared" si="63"/>
        <v>5.9510541228190699E-3</v>
      </c>
      <c r="BH157" s="29"/>
    </row>
    <row r="158" spans="1:60" x14ac:dyDescent="0.25">
      <c r="A158" s="1">
        <v>46252</v>
      </c>
      <c r="B158" s="33">
        <v>56.53</v>
      </c>
      <c r="C158" s="33">
        <v>98.6</v>
      </c>
      <c r="D158" s="15">
        <v>-2.1205167868158601E-3</v>
      </c>
      <c r="E158" s="15">
        <v>-2.5322880080361401E-3</v>
      </c>
      <c r="F158" s="33">
        <v>0</v>
      </c>
      <c r="G158" s="33">
        <v>0.98215699999999995</v>
      </c>
      <c r="H158" s="33">
        <v>0</v>
      </c>
      <c r="I158" s="33">
        <v>1.8023</v>
      </c>
      <c r="J158" s="33">
        <v>0.98215699999999995</v>
      </c>
      <c r="K158" s="33">
        <v>1.8023</v>
      </c>
      <c r="L158" s="33">
        <v>57.512157000000002</v>
      </c>
      <c r="M158" s="33">
        <v>100.4023</v>
      </c>
      <c r="N158" s="34">
        <v>1.74420661595612</v>
      </c>
      <c r="O158" s="34">
        <v>1.74415850230319</v>
      </c>
      <c r="P158" s="34">
        <v>1.74487235854238</v>
      </c>
      <c r="Q158" s="34">
        <v>1.7447794351189201</v>
      </c>
      <c r="R158" s="33">
        <v>98.597280135199696</v>
      </c>
      <c r="S158" s="33">
        <v>98.646160139657397</v>
      </c>
      <c r="T158" s="33">
        <v>98.630904888325304</v>
      </c>
      <c r="U158" s="15">
        <v>-2.75852161714423E-5</v>
      </c>
      <c r="V158" s="15">
        <v>4.6804602398790201E-4</v>
      </c>
      <c r="W158" s="15">
        <v>3.1338789015640799E-4</v>
      </c>
      <c r="X158" s="34">
        <v>1.74575785776909</v>
      </c>
      <c r="Y158" s="34">
        <v>1.74495402592864</v>
      </c>
      <c r="Z158" s="34">
        <v>1.7464062170714401</v>
      </c>
      <c r="AA158" s="34">
        <v>1.74623691595111</v>
      </c>
      <c r="AB158" s="33">
        <v>100.35606989698999</v>
      </c>
      <c r="AC158" s="33">
        <v>100.448105109867</v>
      </c>
      <c r="AD158" s="33">
        <v>100.42776134423799</v>
      </c>
      <c r="AE158" s="15">
        <v>-4.6055468422559698E-4</v>
      </c>
      <c r="AF158" s="15">
        <v>4.5611170797871698E-4</v>
      </c>
      <c r="AG158" s="15">
        <v>2.53561087460664E-4</v>
      </c>
      <c r="AI158" s="12"/>
      <c r="AJ158">
        <f t="shared" si="46"/>
        <v>0</v>
      </c>
      <c r="AK158">
        <f t="shared" si="47"/>
        <v>1</v>
      </c>
      <c r="AL158">
        <f t="shared" si="54"/>
        <v>1</v>
      </c>
      <c r="AM158">
        <f t="shared" si="44"/>
        <v>1</v>
      </c>
      <c r="AN158">
        <f t="shared" si="55"/>
        <v>1</v>
      </c>
      <c r="AO158" s="28">
        <f t="shared" si="48"/>
        <v>-2.1205167868158601E-3</v>
      </c>
      <c r="AP158" s="28">
        <f t="shared" si="49"/>
        <v>2.5322880080361401E-3</v>
      </c>
      <c r="AQ158" s="28">
        <f t="shared" si="56"/>
        <v>4.1177122122027995E-4</v>
      </c>
      <c r="AR158" s="29">
        <f t="shared" si="57"/>
        <v>3.6917955002165113E-3</v>
      </c>
      <c r="AT158" s="12"/>
      <c r="AU158">
        <f t="shared" si="50"/>
        <v>0</v>
      </c>
      <c r="AV158">
        <f t="shared" si="51"/>
        <v>0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2.6710298438228398E-3</v>
      </c>
      <c r="BE158" s="29">
        <f t="shared" si="62"/>
        <v>4.1177122122027995E-4</v>
      </c>
      <c r="BF158" s="29">
        <f t="shared" si="63"/>
        <v>6.3628253440393499E-3</v>
      </c>
      <c r="BH158" s="29"/>
    </row>
    <row r="159" spans="1:60" x14ac:dyDescent="0.25">
      <c r="A159" s="1">
        <v>46253</v>
      </c>
      <c r="B159" s="33">
        <v>56.65</v>
      </c>
      <c r="C159" s="33">
        <v>98.84</v>
      </c>
      <c r="D159" s="15">
        <v>2.1205167868158098E-3</v>
      </c>
      <c r="E159" s="15">
        <v>2.4311195118196698E-3</v>
      </c>
      <c r="F159" s="33">
        <v>0</v>
      </c>
      <c r="G159" s="33">
        <v>0.98215699999999995</v>
      </c>
      <c r="H159" s="33">
        <v>0</v>
      </c>
      <c r="I159" s="33">
        <v>1.8023</v>
      </c>
      <c r="J159" s="33">
        <v>0.98215699999999995</v>
      </c>
      <c r="K159" s="33">
        <v>1.8023</v>
      </c>
      <c r="L159" s="33">
        <v>57.632156999999999</v>
      </c>
      <c r="M159" s="33">
        <v>100.64230000000001</v>
      </c>
      <c r="N159" s="34">
        <v>1.7447484554280599</v>
      </c>
      <c r="O159" s="34">
        <v>1.74415850230319</v>
      </c>
      <c r="P159" s="34">
        <v>1.7448764913117201</v>
      </c>
      <c r="Q159" s="34">
        <v>1.7448139006644801</v>
      </c>
      <c r="R159" s="33">
        <v>98.806579155476001</v>
      </c>
      <c r="S159" s="33">
        <v>98.847019111426107</v>
      </c>
      <c r="T159" s="33">
        <v>98.841754999486895</v>
      </c>
      <c r="U159" s="15">
        <v>-3.3818794117528299E-4</v>
      </c>
      <c r="V159" s="15">
        <v>7.1012365511893298E-5</v>
      </c>
      <c r="W159" s="15">
        <v>1.77558064175819E-5</v>
      </c>
      <c r="X159" s="34">
        <v>1.74628723335827</v>
      </c>
      <c r="Y159" s="34">
        <v>1.74495402592864</v>
      </c>
      <c r="Z159" s="34">
        <v>1.74641035950579</v>
      </c>
      <c r="AA159" s="34">
        <v>1.7462810356701799</v>
      </c>
      <c r="AB159" s="33">
        <v>100.56546438010101</v>
      </c>
      <c r="AC159" s="33">
        <v>100.649157288037</v>
      </c>
      <c r="AD159" s="33">
        <v>100.63940009929</v>
      </c>
      <c r="AE159" s="15">
        <v>-7.6374412160286104E-4</v>
      </c>
      <c r="AF159" s="15">
        <v>6.8132926578234798E-5</v>
      </c>
      <c r="AG159" s="15">
        <v>-2.8814350318458601E-5</v>
      </c>
      <c r="AI159" s="12"/>
      <c r="AJ159">
        <f t="shared" si="46"/>
        <v>0</v>
      </c>
      <c r="AK159">
        <f t="shared" si="47"/>
        <v>0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3.6917955002165113E-3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2.6710298438228398E-3</v>
      </c>
      <c r="BE159" s="29">
        <f t="shared" si="62"/>
        <v>0</v>
      </c>
      <c r="BF159" s="29">
        <f t="shared" si="63"/>
        <v>6.3628253440393499E-3</v>
      </c>
      <c r="BH159" s="29"/>
    </row>
    <row r="160" spans="1:60" x14ac:dyDescent="0.25">
      <c r="A160" s="1">
        <v>46254</v>
      </c>
      <c r="B160" s="33">
        <v>56.58</v>
      </c>
      <c r="C160" s="33">
        <v>98.62</v>
      </c>
      <c r="D160" s="15">
        <v>-1.23642160059417E-3</v>
      </c>
      <c r="E160" s="15">
        <v>-2.2283003244292698E-3</v>
      </c>
      <c r="F160" s="33">
        <v>0</v>
      </c>
      <c r="G160" s="33">
        <v>0.98215699999999995</v>
      </c>
      <c r="H160" s="33">
        <v>0</v>
      </c>
      <c r="I160" s="33">
        <v>1.8023</v>
      </c>
      <c r="J160" s="33">
        <v>0.98215699999999995</v>
      </c>
      <c r="K160" s="33">
        <v>1.8023</v>
      </c>
      <c r="L160" s="33">
        <v>57.562156999999999</v>
      </c>
      <c r="M160" s="33">
        <v>100.42230000000001</v>
      </c>
      <c r="N160" s="34">
        <v>1.74301873453517</v>
      </c>
      <c r="O160" s="34">
        <v>1.74415850230319</v>
      </c>
      <c r="P160" s="34">
        <v>1.74469901425341</v>
      </c>
      <c r="Q160" s="34">
        <v>1.7448035127941099</v>
      </c>
      <c r="R160" s="33">
        <v>98.684488060314806</v>
      </c>
      <c r="S160" s="33">
        <v>98.725111878417394</v>
      </c>
      <c r="T160" s="33">
        <v>98.721570499596595</v>
      </c>
      <c r="U160" s="15">
        <v>6.5369078265976595E-4</v>
      </c>
      <c r="V160" s="15">
        <v>1.0652596089851601E-3</v>
      </c>
      <c r="W160" s="15">
        <v>1.0293878609406201E-3</v>
      </c>
      <c r="X160" s="34">
        <v>1.74458889718118</v>
      </c>
      <c r="Y160" s="34">
        <v>1.74495402592864</v>
      </c>
      <c r="Z160" s="34">
        <v>1.7462361243739799</v>
      </c>
      <c r="AA160" s="34">
        <v>1.7462808604732101</v>
      </c>
      <c r="AB160" s="33">
        <v>100.443317598286</v>
      </c>
      <c r="AC160" s="33">
        <v>100.52714730029901</v>
      </c>
      <c r="AD160" s="33">
        <v>100.51970314136901</v>
      </c>
      <c r="AE160" s="15">
        <v>2.0927024360673199E-4</v>
      </c>
      <c r="AF160" s="15">
        <v>1.0435192653872299E-3</v>
      </c>
      <c r="AG160" s="15">
        <v>9.6946529322655402E-4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3.6917955002165113E-3</v>
      </c>
      <c r="AT160" s="12"/>
      <c r="AU160">
        <f t="shared" si="50"/>
        <v>0</v>
      </c>
      <c r="AV160">
        <f t="shared" si="51"/>
        <v>0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2.6710298438228398E-3</v>
      </c>
      <c r="BE160" s="29">
        <f t="shared" si="62"/>
        <v>0</v>
      </c>
      <c r="BF160" s="29">
        <f t="shared" si="63"/>
        <v>6.3628253440393499E-3</v>
      </c>
      <c r="BH160" s="29"/>
    </row>
    <row r="161" spans="1:60" x14ac:dyDescent="0.25">
      <c r="A161" s="1">
        <v>46255</v>
      </c>
      <c r="B161" s="33">
        <v>56.51</v>
      </c>
      <c r="C161" s="33">
        <v>98.55</v>
      </c>
      <c r="D161" s="15">
        <v>-1.23795223166916E-3</v>
      </c>
      <c r="E161" s="15">
        <v>-7.1004719725088902E-4</v>
      </c>
      <c r="F161" s="33">
        <v>0</v>
      </c>
      <c r="G161" s="33">
        <v>0.98215699999999995</v>
      </c>
      <c r="H161" s="33">
        <v>0</v>
      </c>
      <c r="I161" s="33">
        <v>1.8023</v>
      </c>
      <c r="J161" s="33">
        <v>0.98215699999999995</v>
      </c>
      <c r="K161" s="33">
        <v>1.8023</v>
      </c>
      <c r="L161" s="33">
        <v>57.492156999999999</v>
      </c>
      <c r="M161" s="33">
        <v>100.3523</v>
      </c>
      <c r="N161" s="34">
        <v>1.74393912581843</v>
      </c>
      <c r="O161" s="34">
        <v>1.74415850230319</v>
      </c>
      <c r="P161" s="34">
        <v>1.7446428124590501</v>
      </c>
      <c r="Q161" s="34">
        <v>1.7447835547184301</v>
      </c>
      <c r="R161" s="33">
        <v>98.562396965153596</v>
      </c>
      <c r="S161" s="33">
        <v>98.592941295460705</v>
      </c>
      <c r="T161" s="33">
        <v>98.598846507995304</v>
      </c>
      <c r="U161" s="15">
        <v>1.25785748241476E-4</v>
      </c>
      <c r="V161" s="15">
        <v>4.3563615169432202E-4</v>
      </c>
      <c r="W161" s="15">
        <v>4.9552923955717605E-4</v>
      </c>
      <c r="X161" s="34">
        <v>1.74549547688739</v>
      </c>
      <c r="Y161" s="34">
        <v>1.74495402592864</v>
      </c>
      <c r="Z161" s="34">
        <v>1.74618173884501</v>
      </c>
      <c r="AA161" s="34">
        <v>1.7462712999100201</v>
      </c>
      <c r="AB161" s="33">
        <v>100.321170816471</v>
      </c>
      <c r="AC161" s="33">
        <v>100.39488142158</v>
      </c>
      <c r="AD161" s="33">
        <v>100.397453396421</v>
      </c>
      <c r="AE161" s="15">
        <v>-3.1024712585315498E-4</v>
      </c>
      <c r="AF161" s="15">
        <v>4.2422934078579502E-4</v>
      </c>
      <c r="AG161" s="15">
        <v>4.4984759800541398E-4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3.6917955002165113E-3</v>
      </c>
      <c r="AT161" s="12"/>
      <c r="AU161">
        <f t="shared" si="50"/>
        <v>0</v>
      </c>
      <c r="AV161">
        <f t="shared" si="51"/>
        <v>0</v>
      </c>
      <c r="AW161">
        <f t="shared" si="58"/>
        <v>0</v>
      </c>
      <c r="AX161">
        <f t="shared" si="45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2.6710298438228398E-3</v>
      </c>
      <c r="BE161" s="29">
        <f t="shared" si="62"/>
        <v>0</v>
      </c>
      <c r="BF161" s="29">
        <f t="shared" si="63"/>
        <v>6.3628253440393499E-3</v>
      </c>
      <c r="BH161" s="29"/>
    </row>
    <row r="162" spans="1:60" x14ac:dyDescent="0.25">
      <c r="A162" s="1">
        <v>46258</v>
      </c>
      <c r="B162" s="33">
        <v>56.52</v>
      </c>
      <c r="C162" s="33">
        <v>98.63</v>
      </c>
      <c r="D162" s="15">
        <v>1.76944174574842E-4</v>
      </c>
      <c r="E162" s="15">
        <v>8.1144136717289895E-4</v>
      </c>
      <c r="F162" s="33">
        <v>0</v>
      </c>
      <c r="G162" s="33">
        <v>0.98215699999999995</v>
      </c>
      <c r="H162" s="33">
        <v>0</v>
      </c>
      <c r="I162" s="33">
        <v>1.8023</v>
      </c>
      <c r="J162" s="33">
        <v>0.98215699999999995</v>
      </c>
      <c r="K162" s="33">
        <v>1.8023</v>
      </c>
      <c r="L162" s="33">
        <v>57.502156999999997</v>
      </c>
      <c r="M162" s="33">
        <v>100.4323</v>
      </c>
      <c r="N162" s="34">
        <v>1.7450460014154201</v>
      </c>
      <c r="O162" s="34">
        <v>1.74415850230319</v>
      </c>
      <c r="P162" s="34">
        <v>1.7446448593341699</v>
      </c>
      <c r="Q162" s="34">
        <v>1.74489098095825</v>
      </c>
      <c r="R162" s="33">
        <v>98.579838550176603</v>
      </c>
      <c r="S162" s="33">
        <v>98.607211760185606</v>
      </c>
      <c r="T162" s="33">
        <v>98.615166512686201</v>
      </c>
      <c r="U162" s="15">
        <v>-5.0871144435641398E-4</v>
      </c>
      <c r="V162" s="15">
        <v>-2.3107444799426799E-4</v>
      </c>
      <c r="W162" s="15">
        <v>-1.5040659909708101E-4</v>
      </c>
      <c r="X162" s="34">
        <v>1.74658317600155</v>
      </c>
      <c r="Y162" s="34">
        <v>1.74495402592864</v>
      </c>
      <c r="Z162" s="34">
        <v>1.7461844693255799</v>
      </c>
      <c r="AA162" s="34">
        <v>1.7463872861034</v>
      </c>
      <c r="AB162" s="33">
        <v>100.338620356731</v>
      </c>
      <c r="AC162" s="33">
        <v>100.409216497599</v>
      </c>
      <c r="AD162" s="33">
        <v>100.41436645202</v>
      </c>
      <c r="AE162" s="15">
        <v>-9.3319938864596503E-4</v>
      </c>
      <c r="AF162" s="15">
        <v>-2.2986783713978601E-4</v>
      </c>
      <c r="AG162" s="15">
        <v>-1.7857949393861101E-4</v>
      </c>
      <c r="AI162" s="12"/>
      <c r="AJ162">
        <f t="shared" si="46"/>
        <v>0</v>
      </c>
      <c r="AK162">
        <f t="shared" si="47"/>
        <v>0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3.6917955002165113E-3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2.6710298438228398E-3</v>
      </c>
      <c r="BE162" s="29">
        <f t="shared" si="62"/>
        <v>0</v>
      </c>
      <c r="BF162" s="29">
        <f t="shared" si="63"/>
        <v>6.3628253440393499E-3</v>
      </c>
      <c r="BH162" s="29"/>
    </row>
    <row r="163" spans="1:60" x14ac:dyDescent="0.25">
      <c r="A163" s="1">
        <v>46259</v>
      </c>
      <c r="B163" s="33">
        <v>56.56</v>
      </c>
      <c r="C163" s="33">
        <v>98.63</v>
      </c>
      <c r="D163" s="15">
        <v>7.0746377199069899E-4</v>
      </c>
      <c r="E163" s="15">
        <v>0</v>
      </c>
      <c r="F163" s="33">
        <v>0</v>
      </c>
      <c r="G163" s="33">
        <v>0.98215699999999995</v>
      </c>
      <c r="H163" s="33">
        <v>0</v>
      </c>
      <c r="I163" s="33">
        <v>1.8023</v>
      </c>
      <c r="J163" s="33">
        <v>0.98215699999999995</v>
      </c>
      <c r="K163" s="33">
        <v>1.8023</v>
      </c>
      <c r="L163" s="33">
        <v>57.542157000000003</v>
      </c>
      <c r="M163" s="33">
        <v>100.4323</v>
      </c>
      <c r="N163" s="34">
        <v>1.74381188118811</v>
      </c>
      <c r="O163" s="34">
        <v>1.74415850230319</v>
      </c>
      <c r="P163" s="34">
        <v>1.74452314405689</v>
      </c>
      <c r="Q163" s="34">
        <v>1.7449560903507599</v>
      </c>
      <c r="R163" s="33">
        <v>98.649604890268705</v>
      </c>
      <c r="S163" s="33">
        <v>98.677113243940994</v>
      </c>
      <c r="T163" s="33">
        <v>98.691033882999093</v>
      </c>
      <c r="U163" s="15">
        <v>1.9875232763412299E-4</v>
      </c>
      <c r="V163" s="15">
        <v>4.7756255779960003E-4</v>
      </c>
      <c r="W163" s="15">
        <v>6.1862522960236396E-4</v>
      </c>
      <c r="X163" s="34">
        <v>1.7453690517719</v>
      </c>
      <c r="Y163" s="34">
        <v>1.74495402592864</v>
      </c>
      <c r="Z163" s="34">
        <v>1.7460655490852901</v>
      </c>
      <c r="AA163" s="34">
        <v>1.7464617547911101</v>
      </c>
      <c r="AB163" s="33">
        <v>100.408418517768</v>
      </c>
      <c r="AC163" s="33">
        <v>100.479220884894</v>
      </c>
      <c r="AD163" s="33">
        <v>100.490891399765</v>
      </c>
      <c r="AE163" s="15">
        <v>-2.37815145460092E-4</v>
      </c>
      <c r="AF163" s="15">
        <v>4.6708009118361001E-4</v>
      </c>
      <c r="AG163" s="15">
        <v>5.8322188711508504E-4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3.6917955002165113E-3</v>
      </c>
      <c r="AT163" s="12"/>
      <c r="AU163">
        <f t="shared" si="50"/>
        <v>0</v>
      </c>
      <c r="AV163">
        <f t="shared" si="51"/>
        <v>0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2.6710298438228398E-3</v>
      </c>
      <c r="BE163" s="29">
        <f t="shared" si="62"/>
        <v>0</v>
      </c>
      <c r="BF163" s="29">
        <f t="shared" si="63"/>
        <v>6.3628253440393499E-3</v>
      </c>
      <c r="BH163" s="29"/>
    </row>
    <row r="164" spans="1:60" x14ac:dyDescent="0.25">
      <c r="A164" s="1">
        <v>46260</v>
      </c>
      <c r="B164" s="33">
        <v>56.49</v>
      </c>
      <c r="C164" s="33">
        <v>98.5</v>
      </c>
      <c r="D164" s="15">
        <v>-1.2383902511465799E-3</v>
      </c>
      <c r="E164" s="15">
        <v>-1.3189267878588699E-3</v>
      </c>
      <c r="F164" s="33">
        <v>0</v>
      </c>
      <c r="G164" s="33">
        <v>0.98215699999999995</v>
      </c>
      <c r="H164" s="33">
        <v>0</v>
      </c>
      <c r="I164" s="33">
        <v>1.8023</v>
      </c>
      <c r="J164" s="33">
        <v>0.98215699999999995</v>
      </c>
      <c r="K164" s="33">
        <v>1.8023</v>
      </c>
      <c r="L164" s="33">
        <v>57.472157000000003</v>
      </c>
      <c r="M164" s="33">
        <v>100.3023</v>
      </c>
      <c r="N164" s="34">
        <v>1.74367144627367</v>
      </c>
      <c r="O164" s="34">
        <v>1.74415850230319</v>
      </c>
      <c r="P164" s="34">
        <v>1.7443784153333299</v>
      </c>
      <c r="Q164" s="34">
        <v>1.7447920747513801</v>
      </c>
      <c r="R164" s="33">
        <v>98.527513795107495</v>
      </c>
      <c r="S164" s="33">
        <v>98.5481124077739</v>
      </c>
      <c r="T164" s="33">
        <v>98.572569543914597</v>
      </c>
      <c r="U164" s="15">
        <v>2.7928886434645599E-4</v>
      </c>
      <c r="V164" s="15">
        <v>4.8833158706426899E-4</v>
      </c>
      <c r="W164" s="15">
        <v>7.36475374149854E-4</v>
      </c>
      <c r="X164" s="34">
        <v>1.7452329133914299</v>
      </c>
      <c r="Y164" s="34">
        <v>1.74495402592864</v>
      </c>
      <c r="Z164" s="34">
        <v>1.74592425027262</v>
      </c>
      <c r="AA164" s="34">
        <v>1.7463103902304999</v>
      </c>
      <c r="AB164" s="33">
        <v>100.28627173595299</v>
      </c>
      <c r="AC164" s="33">
        <v>100.35015336932101</v>
      </c>
      <c r="AD164" s="33">
        <v>100.37292416584999</v>
      </c>
      <c r="AE164" s="15">
        <v>-1.59812335689539E-4</v>
      </c>
      <c r="AF164" s="15">
        <v>4.7697767383128798E-4</v>
      </c>
      <c r="AG164" s="15">
        <v>7.0386535318448299E-4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3.6917955002165113E-3</v>
      </c>
      <c r="AT164" s="12"/>
      <c r="AU164">
        <f t="shared" si="50"/>
        <v>0</v>
      </c>
      <c r="AV164">
        <f t="shared" si="51"/>
        <v>0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2.6710298438228398E-3</v>
      </c>
      <c r="BE164" s="29">
        <f t="shared" si="62"/>
        <v>0</v>
      </c>
      <c r="BF164" s="29">
        <f t="shared" si="63"/>
        <v>6.3628253440393499E-3</v>
      </c>
      <c r="BH164" s="29"/>
    </row>
    <row r="165" spans="1:60" x14ac:dyDescent="0.25">
      <c r="A165" s="1">
        <v>46261</v>
      </c>
      <c r="B165" s="33">
        <v>56.41</v>
      </c>
      <c r="C165" s="33">
        <v>98.4</v>
      </c>
      <c r="D165" s="15">
        <v>-1.41718358528609E-3</v>
      </c>
      <c r="E165" s="15">
        <v>-1.0157441198354101E-3</v>
      </c>
      <c r="F165" s="33">
        <v>0</v>
      </c>
      <c r="G165" s="33">
        <v>0.98215699999999995</v>
      </c>
      <c r="H165" s="33">
        <v>0</v>
      </c>
      <c r="I165" s="33">
        <v>1.8023</v>
      </c>
      <c r="J165" s="33">
        <v>0.98215699999999995</v>
      </c>
      <c r="K165" s="33">
        <v>1.8023</v>
      </c>
      <c r="L165" s="33">
        <v>57.392156999999997</v>
      </c>
      <c r="M165" s="33">
        <v>100.20229999999999</v>
      </c>
      <c r="N165" s="34">
        <v>1.74437156532529</v>
      </c>
      <c r="O165" s="34">
        <v>1.74415850230319</v>
      </c>
      <c r="P165" s="34">
        <v>1.7443030125825301</v>
      </c>
      <c r="Q165" s="34">
        <v>1.74474049743066</v>
      </c>
      <c r="R165" s="33">
        <v>98.387981114923306</v>
      </c>
      <c r="S165" s="33">
        <v>98.400386408953594</v>
      </c>
      <c r="T165" s="33">
        <v>98.4237209367258</v>
      </c>
      <c r="U165" s="15">
        <v>-1.22150601104243E-4</v>
      </c>
      <c r="V165" s="15">
        <v>3.9269125497466097E-6</v>
      </c>
      <c r="W165" s="15">
        <v>2.4103737829741999E-4</v>
      </c>
      <c r="X165" s="34">
        <v>1.7459232278027099</v>
      </c>
      <c r="Y165" s="34">
        <v>1.74495402592864</v>
      </c>
      <c r="Z165" s="34">
        <v>1.7458515195650699</v>
      </c>
      <c r="AA165" s="34">
        <v>1.7462698038472999</v>
      </c>
      <c r="AB165" s="33">
        <v>100.146675413878</v>
      </c>
      <c r="AC165" s="33">
        <v>100.202358681753</v>
      </c>
      <c r="AD165" s="33">
        <v>100.22452008684</v>
      </c>
      <c r="AE165" s="15">
        <v>-5.5527698542423099E-4</v>
      </c>
      <c r="AF165" s="15">
        <v>5.85632632545967E-7</v>
      </c>
      <c r="AG165" s="15">
        <v>2.2172768017536399E-4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3.6917955002165113E-3</v>
      </c>
      <c r="AT165" s="12"/>
      <c r="AU165">
        <f t="shared" si="50"/>
        <v>0</v>
      </c>
      <c r="AV165">
        <f t="shared" si="51"/>
        <v>0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2.6710298438228398E-3</v>
      </c>
      <c r="BE165" s="29">
        <f t="shared" si="62"/>
        <v>0</v>
      </c>
      <c r="BF165" s="29">
        <f t="shared" si="63"/>
        <v>6.3628253440393499E-3</v>
      </c>
      <c r="BH165" s="29"/>
    </row>
    <row r="166" spans="1:60" x14ac:dyDescent="0.25">
      <c r="A166" s="1">
        <v>46262</v>
      </c>
      <c r="B166" s="33">
        <v>56.27</v>
      </c>
      <c r="C166" s="33">
        <v>98.31</v>
      </c>
      <c r="D166" s="15">
        <v>-2.4849143066970501E-3</v>
      </c>
      <c r="E166" s="15">
        <v>-9.1505267937487598E-4</v>
      </c>
      <c r="F166" s="33">
        <v>0</v>
      </c>
      <c r="G166" s="33">
        <v>0.98215699999999995</v>
      </c>
      <c r="H166" s="33">
        <v>0</v>
      </c>
      <c r="I166" s="33">
        <v>1.8023</v>
      </c>
      <c r="J166" s="33">
        <v>0.98215699999999995</v>
      </c>
      <c r="K166" s="33">
        <v>1.8023</v>
      </c>
      <c r="L166" s="33">
        <v>57.252156999999997</v>
      </c>
      <c r="M166" s="33">
        <v>100.1123</v>
      </c>
      <c r="N166" s="34">
        <v>1.74711213790652</v>
      </c>
      <c r="O166" s="34">
        <v>1.74415850230319</v>
      </c>
      <c r="P166" s="34">
        <v>1.74448509417815</v>
      </c>
      <c r="Q166" s="34">
        <v>1.7448327043613701</v>
      </c>
      <c r="R166" s="33">
        <v>98.143798924600802</v>
      </c>
      <c r="S166" s="33">
        <v>98.151930518019398</v>
      </c>
      <c r="T166" s="33">
        <v>98.176547790423598</v>
      </c>
      <c r="U166" s="15">
        <v>-1.6920122284264101E-3</v>
      </c>
      <c r="V166" s="15">
        <v>-1.6091617920336199E-3</v>
      </c>
      <c r="W166" s="15">
        <v>-1.3583854121083699E-3</v>
      </c>
      <c r="X166" s="34">
        <v>1.7486205803564701</v>
      </c>
      <c r="Y166" s="34">
        <v>1.74495402592864</v>
      </c>
      <c r="Z166" s="34">
        <v>1.74603191621196</v>
      </c>
      <c r="AA166" s="34">
        <v>1.7463707067582599</v>
      </c>
      <c r="AB166" s="33">
        <v>99.902381850248901</v>
      </c>
      <c r="AC166" s="33">
        <v>99.953765296828394</v>
      </c>
      <c r="AD166" s="33">
        <v>99.977712974225</v>
      </c>
      <c r="AE166" s="15">
        <v>-2.09902818015896E-3</v>
      </c>
      <c r="AF166" s="15">
        <v>-1.58482385424544E-3</v>
      </c>
      <c r="AG166" s="15">
        <v>-1.34526500420118E-3</v>
      </c>
      <c r="AI166" s="12"/>
      <c r="AJ166">
        <f t="shared" si="46"/>
        <v>1</v>
      </c>
      <c r="AK166">
        <f t="shared" si="47"/>
        <v>0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3.6917955002165113E-3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2.6710298438228398E-3</v>
      </c>
      <c r="BE166" s="29">
        <f t="shared" si="62"/>
        <v>0</v>
      </c>
      <c r="BF166" s="29">
        <f t="shared" si="63"/>
        <v>6.3628253440393499E-3</v>
      </c>
      <c r="BH166" s="29"/>
    </row>
    <row r="167" spans="1:60" x14ac:dyDescent="0.25">
      <c r="A167" s="1">
        <v>46265</v>
      </c>
      <c r="B167" s="33">
        <v>56.19</v>
      </c>
      <c r="C167" s="33">
        <v>98.13</v>
      </c>
      <c r="D167" s="15">
        <v>-1.42272832108082E-3</v>
      </c>
      <c r="E167" s="15">
        <v>-1.83262116043076E-3</v>
      </c>
      <c r="F167" s="33">
        <v>0</v>
      </c>
      <c r="G167" s="33">
        <v>0.98215699999999995</v>
      </c>
      <c r="H167" s="33">
        <v>0</v>
      </c>
      <c r="I167" s="33">
        <v>1.8023</v>
      </c>
      <c r="J167" s="33">
        <v>0.98215699999999995</v>
      </c>
      <c r="K167" s="33">
        <v>1.8023</v>
      </c>
      <c r="L167" s="33">
        <v>57.172156999999999</v>
      </c>
      <c r="M167" s="33">
        <v>99.932299999999998</v>
      </c>
      <c r="N167" s="34">
        <v>1.7463961558996199</v>
      </c>
      <c r="O167" s="34">
        <v>1.74415850230319</v>
      </c>
      <c r="P167" s="34">
        <v>1.74463221197464</v>
      </c>
      <c r="Q167" s="34">
        <v>1.74482769399066</v>
      </c>
      <c r="R167" s="33">
        <v>98.004266244416598</v>
      </c>
      <c r="S167" s="33">
        <v>98.022617441870395</v>
      </c>
      <c r="T167" s="33">
        <v>98.042149658065497</v>
      </c>
      <c r="U167" s="15">
        <v>-1.28211938907646E-3</v>
      </c>
      <c r="V167" s="15">
        <v>-1.0948879526290001E-3</v>
      </c>
      <c r="W167" s="15">
        <v>-8.95645462011623E-4</v>
      </c>
      <c r="X167" s="34">
        <v>1.7479190088979799</v>
      </c>
      <c r="Y167" s="34">
        <v>1.74495402592864</v>
      </c>
      <c r="Z167" s="34">
        <v>1.7461777423417999</v>
      </c>
      <c r="AA167" s="34">
        <v>1.7463660211643099</v>
      </c>
      <c r="AB167" s="33">
        <v>99.762785528174604</v>
      </c>
      <c r="AC167" s="33">
        <v>99.824410840681395</v>
      </c>
      <c r="AD167" s="33">
        <v>99.843780226984407</v>
      </c>
      <c r="AE167" s="15">
        <v>-1.69773344289331E-3</v>
      </c>
      <c r="AF167" s="15">
        <v>-1.08020570978885E-3</v>
      </c>
      <c r="AG167" s="15">
        <v>-8.8618996536622696E-4</v>
      </c>
      <c r="AI167" s="12"/>
      <c r="AJ167">
        <f t="shared" si="46"/>
        <v>0</v>
      </c>
      <c r="AK167">
        <f t="shared" si="47"/>
        <v>0</v>
      </c>
      <c r="AL167">
        <f t="shared" si="54"/>
        <v>1</v>
      </c>
      <c r="AM167">
        <f t="shared" si="44"/>
        <v>0</v>
      </c>
      <c r="AN167">
        <f t="shared" si="55"/>
        <v>1</v>
      </c>
      <c r="AO167" s="28">
        <f t="shared" si="48"/>
        <v>-1.42272832108082E-3</v>
      </c>
      <c r="AP167" s="28">
        <f t="shared" si="49"/>
        <v>1.83262116043076E-3</v>
      </c>
      <c r="AQ167" s="28">
        <f t="shared" si="56"/>
        <v>4.0989283934994005E-4</v>
      </c>
      <c r="AR167" s="29">
        <f t="shared" si="57"/>
        <v>4.1016883395664514E-3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0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2.6710298438228398E-3</v>
      </c>
      <c r="BE167" s="29">
        <f t="shared" si="62"/>
        <v>4.0989283934994005E-4</v>
      </c>
      <c r="BF167" s="29">
        <f t="shared" si="63"/>
        <v>6.7727181833892904E-3</v>
      </c>
      <c r="BH167" s="29"/>
    </row>
    <row r="168" spans="1:60" x14ac:dyDescent="0.25">
      <c r="A168" s="1">
        <v>46266</v>
      </c>
      <c r="B168" s="33">
        <v>55.75</v>
      </c>
      <c r="C168" s="33">
        <v>97.46</v>
      </c>
      <c r="D168" s="15">
        <v>-7.8613947838787005E-3</v>
      </c>
      <c r="E168" s="15">
        <v>-6.8510928030421298E-3</v>
      </c>
      <c r="F168" s="33">
        <v>0.143787</v>
      </c>
      <c r="G168" s="33">
        <v>1.1259440000000001</v>
      </c>
      <c r="H168" s="33">
        <v>0.26019999999999999</v>
      </c>
      <c r="I168" s="33">
        <v>2.0625</v>
      </c>
      <c r="J168" s="33">
        <v>1.1259440000000001</v>
      </c>
      <c r="K168" s="33">
        <v>2.0625</v>
      </c>
      <c r="L168" s="33">
        <v>56.875943999999997</v>
      </c>
      <c r="M168" s="33">
        <v>99.522499999999994</v>
      </c>
      <c r="N168" s="34">
        <v>1.74816143497757</v>
      </c>
      <c r="O168" s="34">
        <v>1.74415850230319</v>
      </c>
      <c r="P168" s="34">
        <v>1.7450276938767899</v>
      </c>
      <c r="Q168" s="34">
        <v>1.7449500262095801</v>
      </c>
      <c r="R168" s="33">
        <v>97.236836503403197</v>
      </c>
      <c r="S168" s="33">
        <v>97.263245817586593</v>
      </c>
      <c r="T168" s="33">
        <v>97.274143939979396</v>
      </c>
      <c r="U168" s="15">
        <v>-2.2924213699131802E-3</v>
      </c>
      <c r="V168" s="15">
        <v>-2.0208604118861998E-3</v>
      </c>
      <c r="W168" s="15">
        <v>-1.90881899488354E-3</v>
      </c>
      <c r="X168" s="34">
        <v>1.7498171107278599</v>
      </c>
      <c r="Y168" s="34">
        <v>1.74495402592864</v>
      </c>
      <c r="Z168" s="34">
        <v>1.74658366763767</v>
      </c>
      <c r="AA168" s="34">
        <v>1.7464949423545599</v>
      </c>
      <c r="AB168" s="33">
        <v>99.245907461292205</v>
      </c>
      <c r="AC168" s="33">
        <v>99.315507487478698</v>
      </c>
      <c r="AD168" s="33">
        <v>99.3262160232442</v>
      </c>
      <c r="AE168" s="15">
        <v>-2.7830651839323801E-3</v>
      </c>
      <c r="AF168" s="15">
        <v>-2.0820223448191001E-3</v>
      </c>
      <c r="AG168" s="15">
        <v>-1.9742047565838999E-3</v>
      </c>
      <c r="AI168" s="12"/>
      <c r="AJ168">
        <f t="shared" si="46"/>
        <v>1</v>
      </c>
      <c r="AK168">
        <f t="shared" si="47"/>
        <v>0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4.1016883395664514E-3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2.6710298438228398E-3</v>
      </c>
      <c r="BE168" s="29">
        <f t="shared" si="62"/>
        <v>0</v>
      </c>
      <c r="BF168" s="29">
        <f t="shared" si="63"/>
        <v>6.7727181833892904E-3</v>
      </c>
      <c r="BH168" s="29"/>
    </row>
    <row r="169" spans="1:60" x14ac:dyDescent="0.25">
      <c r="A169" s="1">
        <v>46267</v>
      </c>
      <c r="B169" s="33">
        <v>55.73</v>
      </c>
      <c r="C169" s="33">
        <v>97.42</v>
      </c>
      <c r="D169" s="15">
        <v>-3.58808758783232E-4</v>
      </c>
      <c r="E169" s="15">
        <v>-4.1050903696347501E-4</v>
      </c>
      <c r="F169" s="33">
        <v>0</v>
      </c>
      <c r="G169" s="33">
        <v>1.1259440000000001</v>
      </c>
      <c r="H169" s="33">
        <v>0</v>
      </c>
      <c r="I169" s="33">
        <v>2.0625</v>
      </c>
      <c r="J169" s="33">
        <v>1.1259440000000001</v>
      </c>
      <c r="K169" s="33">
        <v>2.0625</v>
      </c>
      <c r="L169" s="33">
        <v>56.855943999999901</v>
      </c>
      <c r="M169" s="33">
        <v>99.482500000000002</v>
      </c>
      <c r="N169" s="34">
        <v>1.74807105688139</v>
      </c>
      <c r="O169" s="34">
        <v>1.74415850230319</v>
      </c>
      <c r="P169" s="34">
        <v>1.7453599540221201</v>
      </c>
      <c r="Q169" s="34">
        <v>1.74511822266692</v>
      </c>
      <c r="R169" s="33">
        <v>97.201953333357096</v>
      </c>
      <c r="S169" s="33">
        <v>97.250393379753604</v>
      </c>
      <c r="T169" s="33">
        <v>97.246064960660306</v>
      </c>
      <c r="U169" s="15">
        <v>-2.2407210917327501E-3</v>
      </c>
      <c r="V169" s="15">
        <v>-1.7425008519950701E-3</v>
      </c>
      <c r="W169" s="15">
        <v>-1.78700982795155E-3</v>
      </c>
      <c r="X169" s="34">
        <v>1.7497291048408199</v>
      </c>
      <c r="Y169" s="34">
        <v>1.74495402592864</v>
      </c>
      <c r="Z169" s="34">
        <v>1.7469278547859299</v>
      </c>
      <c r="AA169" s="34">
        <v>1.74666910714586</v>
      </c>
      <c r="AB169" s="33">
        <v>99.211008380773606</v>
      </c>
      <c r="AC169" s="33">
        <v>99.303663198522401</v>
      </c>
      <c r="AD169" s="33">
        <v>99.298618638794096</v>
      </c>
      <c r="AE169" s="15">
        <v>-2.7327695846509699E-3</v>
      </c>
      <c r="AF169" s="15">
        <v>-1.79928871152576E-3</v>
      </c>
      <c r="AG169" s="15">
        <v>-1.8500893335806701E-3</v>
      </c>
      <c r="AI169" s="12"/>
      <c r="AJ169">
        <f t="shared" si="46"/>
        <v>1</v>
      </c>
      <c r="AK169">
        <f t="shared" si="47"/>
        <v>0</v>
      </c>
      <c r="AL169">
        <f t="shared" si="54"/>
        <v>1</v>
      </c>
      <c r="AM169">
        <f t="shared" si="44"/>
        <v>1</v>
      </c>
      <c r="AN169">
        <f t="shared" si="55"/>
        <v>1</v>
      </c>
      <c r="AO169" s="28">
        <f t="shared" si="48"/>
        <v>-3.58808758783232E-4</v>
      </c>
      <c r="AP169" s="28">
        <f t="shared" si="49"/>
        <v>4.1050903696347501E-4</v>
      </c>
      <c r="AQ169" s="28">
        <f t="shared" si="56"/>
        <v>5.1700278180243011E-5</v>
      </c>
      <c r="AR169" s="29">
        <f t="shared" si="57"/>
        <v>4.1533886177466941E-3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2.6710298438228398E-3</v>
      </c>
      <c r="BE169" s="29">
        <f t="shared" si="62"/>
        <v>5.1700278180243011E-5</v>
      </c>
      <c r="BF169" s="29">
        <f t="shared" si="63"/>
        <v>6.8244184615695331E-3</v>
      </c>
      <c r="BH169" s="29"/>
    </row>
    <row r="170" spans="1:60" x14ac:dyDescent="0.25">
      <c r="A170" s="1">
        <v>46268</v>
      </c>
      <c r="B170" s="33">
        <v>55.74</v>
      </c>
      <c r="C170" s="33">
        <v>97.26</v>
      </c>
      <c r="D170" s="15">
        <v>1.7942047235732799E-4</v>
      </c>
      <c r="E170" s="15">
        <v>-1.6437234027568701E-3</v>
      </c>
      <c r="F170" s="33">
        <v>0</v>
      </c>
      <c r="G170" s="33">
        <v>1.1259440000000001</v>
      </c>
      <c r="H170" s="33">
        <v>0</v>
      </c>
      <c r="I170" s="33">
        <v>2.0625</v>
      </c>
      <c r="J170" s="33">
        <v>1.1259440000000001</v>
      </c>
      <c r="K170" s="33">
        <v>2.0625</v>
      </c>
      <c r="L170" s="33">
        <v>56.865943999999999</v>
      </c>
      <c r="M170" s="33">
        <v>99.322500000000005</v>
      </c>
      <c r="N170" s="34">
        <v>1.7448869752421901</v>
      </c>
      <c r="O170" s="34">
        <v>1.74415850230319</v>
      </c>
      <c r="P170" s="34">
        <v>1.74554677809282</v>
      </c>
      <c r="Q170" s="34">
        <v>1.74512289617312</v>
      </c>
      <c r="R170" s="33">
        <v>97.219394918380104</v>
      </c>
      <c r="S170" s="33">
        <v>97.286363837193207</v>
      </c>
      <c r="T170" s="33">
        <v>97.272889731454399</v>
      </c>
      <c r="U170" s="15">
        <v>-4.1757721661873698E-4</v>
      </c>
      <c r="V170" s="15">
        <v>2.7102883687606398E-4</v>
      </c>
      <c r="W170" s="15">
        <v>1.3251981699445001E-4</v>
      </c>
      <c r="X170" s="34">
        <v>1.74660777635204</v>
      </c>
      <c r="Y170" s="34">
        <v>1.74495402592864</v>
      </c>
      <c r="Z170" s="34">
        <v>1.7471297427030099</v>
      </c>
      <c r="AA170" s="34">
        <v>1.7466829335384999</v>
      </c>
      <c r="AB170" s="33">
        <v>99.228457921032899</v>
      </c>
      <c r="AC170" s="33">
        <v>99.340701562296999</v>
      </c>
      <c r="AD170" s="33">
        <v>99.325987633486704</v>
      </c>
      <c r="AE170" s="15">
        <v>-9.4728413284041397E-4</v>
      </c>
      <c r="AF170" s="15">
        <v>1.83240400887464E-4</v>
      </c>
      <c r="AG170" s="15">
        <v>3.51136173110383E-5</v>
      </c>
      <c r="AI170" s="12"/>
      <c r="AJ170">
        <f t="shared" si="46"/>
        <v>0</v>
      </c>
      <c r="AK170">
        <f t="shared" si="47"/>
        <v>1</v>
      </c>
      <c r="AL170">
        <f t="shared" si="54"/>
        <v>1</v>
      </c>
      <c r="AM170">
        <f t="shared" si="44"/>
        <v>1</v>
      </c>
      <c r="AN170">
        <f t="shared" si="55"/>
        <v>1</v>
      </c>
      <c r="AO170" s="28">
        <f t="shared" si="48"/>
        <v>1.7942047235732799E-4</v>
      </c>
      <c r="AP170" s="28">
        <f t="shared" si="49"/>
        <v>1.6437234027568701E-3</v>
      </c>
      <c r="AQ170" s="28">
        <f t="shared" si="56"/>
        <v>1.8231438751141981E-3</v>
      </c>
      <c r="AR170" s="29">
        <f t="shared" si="57"/>
        <v>5.9765324928608924E-3</v>
      </c>
      <c r="AT170" s="12"/>
      <c r="AU170">
        <f t="shared" si="50"/>
        <v>0</v>
      </c>
      <c r="AV170">
        <f t="shared" si="51"/>
        <v>0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2.6710298438228398E-3</v>
      </c>
      <c r="BE170" s="29">
        <f t="shared" si="62"/>
        <v>1.8231438751141981E-3</v>
      </c>
      <c r="BF170" s="29">
        <f t="shared" si="63"/>
        <v>8.6475623366837305E-3</v>
      </c>
      <c r="BH170" s="29"/>
    </row>
    <row r="171" spans="1:60" x14ac:dyDescent="0.25">
      <c r="A171" s="1">
        <v>46269</v>
      </c>
      <c r="B171" s="33">
        <v>55.7</v>
      </c>
      <c r="C171" s="33">
        <v>97.28</v>
      </c>
      <c r="D171" s="15">
        <v>-7.1787512056377899E-4</v>
      </c>
      <c r="E171" s="15">
        <v>2.0561324221712399E-4</v>
      </c>
      <c r="F171" s="33">
        <v>0</v>
      </c>
      <c r="G171" s="33">
        <v>1.1259440000000001</v>
      </c>
      <c r="H171" s="33">
        <v>0</v>
      </c>
      <c r="I171" s="33">
        <v>2.0625</v>
      </c>
      <c r="J171" s="33">
        <v>1.1259440000000001</v>
      </c>
      <c r="K171" s="33">
        <v>2.0625</v>
      </c>
      <c r="L171" s="33">
        <v>56.825944</v>
      </c>
      <c r="M171" s="33">
        <v>99.342500000000001</v>
      </c>
      <c r="N171" s="34">
        <v>1.74649910233393</v>
      </c>
      <c r="O171" s="34">
        <v>1.74415850230319</v>
      </c>
      <c r="P171" s="34">
        <v>1.7458027757443699</v>
      </c>
      <c r="Q171" s="34">
        <v>1.74522279410171</v>
      </c>
      <c r="R171" s="33">
        <v>97.149628578288002</v>
      </c>
      <c r="S171" s="33">
        <v>97.226955539770401</v>
      </c>
      <c r="T171" s="33">
        <v>97.203345316842899</v>
      </c>
      <c r="U171" s="15">
        <v>-1.34106557939966E-3</v>
      </c>
      <c r="V171" s="15">
        <v>-5.45424829639893E-4</v>
      </c>
      <c r="W171" s="15">
        <v>-7.8829050376128895E-4</v>
      </c>
      <c r="X171" s="34">
        <v>1.7481891721851499</v>
      </c>
      <c r="Y171" s="34">
        <v>1.74495402592864</v>
      </c>
      <c r="Z171" s="34">
        <v>1.7473991122327901</v>
      </c>
      <c r="AA171" s="34">
        <v>1.7467904255389</v>
      </c>
      <c r="AB171" s="33">
        <v>99.1586597599958</v>
      </c>
      <c r="AC171" s="33">
        <v>99.282296919576197</v>
      </c>
      <c r="AD171" s="33">
        <v>99.256906567014695</v>
      </c>
      <c r="AE171" s="15">
        <v>-1.85228431701664E-3</v>
      </c>
      <c r="AF171" s="15">
        <v>-6.0619905672474499E-4</v>
      </c>
      <c r="AG171" s="15">
        <v>-8.6197073560703805E-4</v>
      </c>
      <c r="AI171" s="12"/>
      <c r="AJ171">
        <f t="shared" si="46"/>
        <v>0</v>
      </c>
      <c r="AK171">
        <f t="shared" si="47"/>
        <v>0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5.9765324928608924E-3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2.6710298438228398E-3</v>
      </c>
      <c r="BE171" s="29">
        <f t="shared" si="62"/>
        <v>0</v>
      </c>
      <c r="BF171" s="29">
        <f t="shared" si="63"/>
        <v>8.6475623366837305E-3</v>
      </c>
      <c r="BH171" s="29"/>
    </row>
    <row r="172" spans="1:60" x14ac:dyDescent="0.25">
      <c r="A172" s="1">
        <v>46273</v>
      </c>
      <c r="B172" s="33">
        <v>55.75</v>
      </c>
      <c r="C172" s="33">
        <v>97.22</v>
      </c>
      <c r="D172" s="15">
        <v>8.9726340698968298E-4</v>
      </c>
      <c r="E172" s="15">
        <v>-6.1696660054746098E-4</v>
      </c>
      <c r="F172" s="33">
        <v>0</v>
      </c>
      <c r="G172" s="33">
        <v>1.1259440000000001</v>
      </c>
      <c r="H172" s="33">
        <v>0</v>
      </c>
      <c r="I172" s="33">
        <v>2.0625</v>
      </c>
      <c r="J172" s="33">
        <v>1.1259440000000001</v>
      </c>
      <c r="K172" s="33">
        <v>2.0625</v>
      </c>
      <c r="L172" s="33">
        <v>56.875943999999997</v>
      </c>
      <c r="M172" s="33">
        <v>99.282499999999999</v>
      </c>
      <c r="N172" s="34">
        <v>1.7438565022421499</v>
      </c>
      <c r="O172" s="34">
        <v>1.74415850230319</v>
      </c>
      <c r="P172" s="34">
        <v>1.74568382582704</v>
      </c>
      <c r="Q172" s="34">
        <v>1.74516434258061</v>
      </c>
      <c r="R172" s="33">
        <v>97.236836503403197</v>
      </c>
      <c r="S172" s="33">
        <v>97.328504747748994</v>
      </c>
      <c r="T172" s="33">
        <v>97.296170771170594</v>
      </c>
      <c r="U172" s="15">
        <v>1.73164428137559E-4</v>
      </c>
      <c r="V172" s="15">
        <v>1.1154519963043599E-3</v>
      </c>
      <c r="W172" s="15">
        <v>7.8318193044878105E-4</v>
      </c>
      <c r="X172" s="34">
        <v>1.745597400546</v>
      </c>
      <c r="Y172" s="34">
        <v>1.74495402592864</v>
      </c>
      <c r="Z172" s="34">
        <v>1.7473005346872399</v>
      </c>
      <c r="AA172" s="34">
        <v>1.74674250200641</v>
      </c>
      <c r="AB172" s="33">
        <v>99.245907461292205</v>
      </c>
      <c r="AC172" s="33">
        <v>99.384974053002196</v>
      </c>
      <c r="AD172" s="33">
        <v>99.350354422686905</v>
      </c>
      <c r="AE172" s="15">
        <v>-3.6863781450834001E-4</v>
      </c>
      <c r="AF172" s="15">
        <v>1.0316138822285899E-3</v>
      </c>
      <c r="AG172" s="15">
        <v>6.8321452182305202E-4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5.9765324928608924E-3</v>
      </c>
      <c r="AT172" s="12"/>
      <c r="AU172">
        <f t="shared" si="50"/>
        <v>0</v>
      </c>
      <c r="AV172">
        <f t="shared" si="51"/>
        <v>0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2.6710298438228398E-3</v>
      </c>
      <c r="BE172" s="29">
        <f t="shared" si="62"/>
        <v>0</v>
      </c>
      <c r="BF172" s="29">
        <f t="shared" si="63"/>
        <v>8.6475623366837305E-3</v>
      </c>
      <c r="BH172" s="29"/>
    </row>
    <row r="173" spans="1:60" x14ac:dyDescent="0.25">
      <c r="A173" s="1">
        <v>46274</v>
      </c>
      <c r="B173" s="33">
        <v>55.45</v>
      </c>
      <c r="C173" s="33">
        <v>96.78</v>
      </c>
      <c r="D173" s="15">
        <v>-5.3956965438520903E-3</v>
      </c>
      <c r="E173" s="15">
        <v>-4.5360902521369602E-3</v>
      </c>
      <c r="F173" s="33">
        <v>0</v>
      </c>
      <c r="G173" s="33">
        <v>1.1259440000000001</v>
      </c>
      <c r="H173" s="33">
        <v>0</v>
      </c>
      <c r="I173" s="33">
        <v>2.0625</v>
      </c>
      <c r="J173" s="33">
        <v>1.1259440000000001</v>
      </c>
      <c r="K173" s="33">
        <v>2.0625</v>
      </c>
      <c r="L173" s="33">
        <v>56.575944</v>
      </c>
      <c r="M173" s="33">
        <v>98.842500000000001</v>
      </c>
      <c r="N173" s="34">
        <v>1.7453561767357899</v>
      </c>
      <c r="O173" s="34">
        <v>1.74415850230319</v>
      </c>
      <c r="P173" s="34">
        <v>1.7458382553818099</v>
      </c>
      <c r="Q173" s="34">
        <v>1.74518069971935</v>
      </c>
      <c r="R173" s="33">
        <v>96.7135889527122</v>
      </c>
      <c r="S173" s="33">
        <v>96.798168142109901</v>
      </c>
      <c r="T173" s="33">
        <v>96.769362796094896</v>
      </c>
      <c r="U173" s="15">
        <v>-6.8644186357758995E-4</v>
      </c>
      <c r="V173" s="15">
        <v>1.87708586537513E-4</v>
      </c>
      <c r="W173" s="15">
        <v>-1.09917219690864E-4</v>
      </c>
      <c r="X173" s="34">
        <v>1.7470764606243201</v>
      </c>
      <c r="Y173" s="34">
        <v>1.74495402592864</v>
      </c>
      <c r="Z173" s="34">
        <v>1.7474712755724799</v>
      </c>
      <c r="AA173" s="34">
        <v>1.74676841232888</v>
      </c>
      <c r="AB173" s="33">
        <v>98.722421253513602</v>
      </c>
      <c r="AC173" s="33">
        <v>98.8551772016353</v>
      </c>
      <c r="AD173" s="33">
        <v>98.823605975934598</v>
      </c>
      <c r="AE173" s="15">
        <v>-1.21558787370482E-3</v>
      </c>
      <c r="AF173" s="15">
        <v>1.2824836216797201E-4</v>
      </c>
      <c r="AG173" s="15">
        <v>-1.91171106747249E-4</v>
      </c>
      <c r="AI173" s="12"/>
      <c r="AJ173">
        <f t="shared" si="46"/>
        <v>0</v>
      </c>
      <c r="AK173">
        <f t="shared" si="47"/>
        <v>0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5.9765324928608924E-3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2.6710298438228398E-3</v>
      </c>
      <c r="BE173" s="29">
        <f t="shared" si="62"/>
        <v>0</v>
      </c>
      <c r="BF173" s="29">
        <f t="shared" si="63"/>
        <v>8.6475623366837305E-3</v>
      </c>
      <c r="BH173" s="29"/>
    </row>
    <row r="174" spans="1:60" x14ac:dyDescent="0.25">
      <c r="A174" s="1">
        <v>46275</v>
      </c>
      <c r="B174" s="33">
        <v>55.09</v>
      </c>
      <c r="C174" s="33">
        <v>96.13</v>
      </c>
      <c r="D174" s="15">
        <v>-6.5135023117509098E-3</v>
      </c>
      <c r="E174" s="15">
        <v>-6.7389192874478003E-3</v>
      </c>
      <c r="F174" s="33">
        <v>0</v>
      </c>
      <c r="G174" s="33">
        <v>1.1259440000000001</v>
      </c>
      <c r="H174" s="33">
        <v>0</v>
      </c>
      <c r="I174" s="33">
        <v>2.0625</v>
      </c>
      <c r="J174" s="33">
        <v>1.1259440000000001</v>
      </c>
      <c r="K174" s="33">
        <v>2.0625</v>
      </c>
      <c r="L174" s="33">
        <v>56.215944</v>
      </c>
      <c r="M174" s="33">
        <v>98.192499999999995</v>
      </c>
      <c r="N174" s="34">
        <v>1.74496278816482</v>
      </c>
      <c r="O174" s="34">
        <v>1.74415850230319</v>
      </c>
      <c r="P174" s="34">
        <v>1.74596738957093</v>
      </c>
      <c r="Q174" s="34">
        <v>1.7451729024521301</v>
      </c>
      <c r="R174" s="33">
        <v>96.085691891883101</v>
      </c>
      <c r="S174" s="33">
        <v>96.1782294889843</v>
      </c>
      <c r="T174" s="33">
        <v>96.142004747539303</v>
      </c>
      <c r="U174" s="15">
        <v>-4.6102488788067999E-4</v>
      </c>
      <c r="V174" s="15">
        <v>5.0158529485347803E-4</v>
      </c>
      <c r="W174" s="15">
        <v>1.2487254783331901E-4</v>
      </c>
      <c r="X174" s="34">
        <v>1.7467019676837501</v>
      </c>
      <c r="Y174" s="34">
        <v>1.74495402592864</v>
      </c>
      <c r="Z174" s="34">
        <v>1.74761818100171</v>
      </c>
      <c r="AA174" s="34">
        <v>1.74677121563717</v>
      </c>
      <c r="AB174" s="33">
        <v>98.094237804179301</v>
      </c>
      <c r="AC174" s="33">
        <v>98.235747369191202</v>
      </c>
      <c r="AD174" s="33">
        <v>98.196235248449597</v>
      </c>
      <c r="AE174" s="15">
        <v>-1.00121083195195E-3</v>
      </c>
      <c r="AF174" s="15">
        <v>4.4033758351224602E-4</v>
      </c>
      <c r="AG174" s="15">
        <v>3.8039335050220701E-5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5.9765324928608924E-3</v>
      </c>
      <c r="AT174" s="12"/>
      <c r="AU174">
        <f t="shared" si="50"/>
        <v>0</v>
      </c>
      <c r="AV174">
        <f t="shared" si="51"/>
        <v>0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2.6710298438228398E-3</v>
      </c>
      <c r="BE174" s="29">
        <f t="shared" si="62"/>
        <v>0</v>
      </c>
      <c r="BF174" s="29">
        <f t="shared" si="63"/>
        <v>8.6475623366837305E-3</v>
      </c>
      <c r="BH174" s="29"/>
    </row>
    <row r="175" spans="1:60" x14ac:dyDescent="0.25">
      <c r="A175" s="1">
        <v>46276</v>
      </c>
      <c r="B175" s="33">
        <v>55.34</v>
      </c>
      <c r="C175" s="33">
        <v>96.39</v>
      </c>
      <c r="D175" s="15">
        <v>4.5277628741547801E-3</v>
      </c>
      <c r="E175" s="15">
        <v>2.7010197181519301E-3</v>
      </c>
      <c r="F175" s="33">
        <v>0</v>
      </c>
      <c r="G175" s="33">
        <v>1.1259440000000001</v>
      </c>
      <c r="H175" s="33">
        <v>0</v>
      </c>
      <c r="I175" s="33">
        <v>2.0625</v>
      </c>
      <c r="J175" s="33">
        <v>1.1259440000000001</v>
      </c>
      <c r="K175" s="33">
        <v>2.0625</v>
      </c>
      <c r="L175" s="33">
        <v>56.465944</v>
      </c>
      <c r="M175" s="33">
        <v>98.452500000000001</v>
      </c>
      <c r="N175" s="34">
        <v>1.74177809902421</v>
      </c>
      <c r="O175" s="34">
        <v>1.74415850230319</v>
      </c>
      <c r="P175" s="34">
        <v>1.74570804294082</v>
      </c>
      <c r="Q175" s="34">
        <v>1.7450055277616801</v>
      </c>
      <c r="R175" s="33">
        <v>96.521731517458903</v>
      </c>
      <c r="S175" s="33">
        <v>96.621835338855306</v>
      </c>
      <c r="T175" s="33">
        <v>96.577868421701098</v>
      </c>
      <c r="U175" s="15">
        <v>1.36571826812208E-3</v>
      </c>
      <c r="V175" s="15">
        <v>2.4022925842033999E-3</v>
      </c>
      <c r="W175" s="15">
        <v>1.94714780853963E-3</v>
      </c>
      <c r="X175" s="34">
        <v>1.7435730818562001</v>
      </c>
      <c r="Y175" s="34">
        <v>1.74495402592864</v>
      </c>
      <c r="Z175" s="34">
        <v>1.74738316640706</v>
      </c>
      <c r="AA175" s="34">
        <v>1.7466173429860701</v>
      </c>
      <c r="AB175" s="33">
        <v>98.530476310661399</v>
      </c>
      <c r="AC175" s="33">
        <v>98.680910341824699</v>
      </c>
      <c r="AD175" s="33">
        <v>98.633085642980404</v>
      </c>
      <c r="AE175" s="15">
        <v>7.9170612806110402E-4</v>
      </c>
      <c r="AF175" s="15">
        <v>2.3173184458343001E-3</v>
      </c>
      <c r="AG175" s="15">
        <v>1.8325611477814901E-3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5.9765324928608924E-3</v>
      </c>
      <c r="AT175" s="12"/>
      <c r="AU175">
        <f t="shared" si="50"/>
        <v>1</v>
      </c>
      <c r="AV175">
        <f t="shared" si="51"/>
        <v>0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2.6710298438228398E-3</v>
      </c>
      <c r="BE175" s="29">
        <f t="shared" si="62"/>
        <v>0</v>
      </c>
      <c r="BF175" s="29">
        <f t="shared" si="63"/>
        <v>8.6475623366837305E-3</v>
      </c>
      <c r="BH175" s="29"/>
    </row>
    <row r="176" spans="1:60" x14ac:dyDescent="0.25">
      <c r="A176" s="1">
        <v>46279</v>
      </c>
      <c r="B176" s="33">
        <v>55.3</v>
      </c>
      <c r="C176" s="33">
        <v>96.39</v>
      </c>
      <c r="D176" s="15">
        <v>-7.2306583049089801E-4</v>
      </c>
      <c r="E176" s="15">
        <v>0</v>
      </c>
      <c r="F176" s="33">
        <v>0</v>
      </c>
      <c r="G176" s="33">
        <v>1.1259440000000001</v>
      </c>
      <c r="H176" s="33">
        <v>0</v>
      </c>
      <c r="I176" s="33">
        <v>2.0625</v>
      </c>
      <c r="J176" s="33">
        <v>1.1259440000000001</v>
      </c>
      <c r="K176" s="33">
        <v>2.0625</v>
      </c>
      <c r="L176" s="33">
        <v>56.425943999999902</v>
      </c>
      <c r="M176" s="33">
        <v>98.452500000000001</v>
      </c>
      <c r="N176" s="34">
        <v>1.74303797468354</v>
      </c>
      <c r="O176" s="34">
        <v>1.74415850230319</v>
      </c>
      <c r="P176" s="34">
        <v>1.74530062661852</v>
      </c>
      <c r="Q176" s="34">
        <v>1.74489286039833</v>
      </c>
      <c r="R176" s="33">
        <v>96.451965177366702</v>
      </c>
      <c r="S176" s="33">
        <v>96.537654774627498</v>
      </c>
      <c r="T176" s="33">
        <v>96.498805685220901</v>
      </c>
      <c r="U176" s="15">
        <v>6.4265243763108704E-4</v>
      </c>
      <c r="V176" s="15">
        <v>1.5306753573427099E-3</v>
      </c>
      <c r="W176" s="15">
        <v>1.12817015352216E-3</v>
      </c>
      <c r="X176" s="34">
        <v>1.74480908994628</v>
      </c>
      <c r="Y176" s="34">
        <v>1.74495402592864</v>
      </c>
      <c r="Z176" s="34">
        <v>1.7470020173660401</v>
      </c>
      <c r="AA176" s="34">
        <v>1.7465169667889999</v>
      </c>
      <c r="AB176" s="33">
        <v>98.4606781496243</v>
      </c>
      <c r="AC176" s="33">
        <v>98.5977446942276</v>
      </c>
      <c r="AD176" s="33">
        <v>98.554532384760805</v>
      </c>
      <c r="AE176" s="15">
        <v>8.3063507540566704E-5</v>
      </c>
      <c r="AF176" s="15">
        <v>1.4741896997622201E-3</v>
      </c>
      <c r="AG176" s="15">
        <v>1.0358248905999799E-3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5.9765324928608924E-3</v>
      </c>
      <c r="AT176" s="12"/>
      <c r="AU176">
        <f t="shared" si="50"/>
        <v>1</v>
      </c>
      <c r="AV176">
        <f t="shared" si="51"/>
        <v>0</v>
      </c>
      <c r="AW176">
        <f t="shared" si="58"/>
        <v>1</v>
      </c>
      <c r="AX176">
        <f t="shared" si="45"/>
        <v>1</v>
      </c>
      <c r="AY176">
        <f t="shared" si="59"/>
        <v>1</v>
      </c>
      <c r="AZ176" s="28">
        <f t="shared" si="52"/>
        <v>7.2306583049089801E-4</v>
      </c>
      <c r="BA176" s="28">
        <f t="shared" si="53"/>
        <v>0</v>
      </c>
      <c r="BB176" s="28">
        <f t="shared" si="60"/>
        <v>7.2306583049089801E-4</v>
      </c>
      <c r="BC176" s="29">
        <f t="shared" si="61"/>
        <v>3.3940956743137378E-3</v>
      </c>
      <c r="BE176" s="29">
        <f t="shared" si="62"/>
        <v>7.2306583049089801E-4</v>
      </c>
      <c r="BF176" s="29">
        <f t="shared" si="63"/>
        <v>9.3706281671746289E-3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2026-09-22T13:22:53Z</dcterms:created>
  <dcterms:modified xsi:type="dcterms:W3CDTF">2026-09-22T13:26:21Z</dcterms:modified>
</cp:coreProperties>
</file>