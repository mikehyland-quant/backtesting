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micha\git-projects\backtesting\backtests\"/>
    </mc:Choice>
  </mc:AlternateContent>
  <xr:revisionPtr revIDLastSave="0" documentId="13_ncr:1_{C0155C6E-E7C8-4BE2-BBE9-D4AF65B0A97A}" xr6:coauthVersionLast="47" xr6:coauthVersionMax="47" xr10:uidLastSave="{00000000-0000-0000-0000-000000000000}"/>
  <bookViews>
    <workbookView xWindow="-108" yWindow="-108" windowWidth="23256" windowHeight="12456" xr2:uid="{DB0E9052-E157-43A5-9229-A98A1ADD1ECD}"/>
  </bookViews>
  <sheets>
    <sheet name="CMF_VTEC_2" sheetId="1" r:id="rId1"/>
  </sheets>
  <externalReferences>
    <externalReference r:id="rId2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Q167" i="1" l="1"/>
  <c r="BO167" i="1"/>
  <c r="BN167" i="1"/>
  <c r="BE167" i="1"/>
  <c r="BC167" i="1"/>
  <c r="BB167" i="1"/>
  <c r="BQ166" i="1"/>
  <c r="BO166" i="1"/>
  <c r="BN166" i="1"/>
  <c r="BF166" i="1"/>
  <c r="BD166" i="1" s="1"/>
  <c r="BE166" i="1"/>
  <c r="BC166" i="1"/>
  <c r="BB166" i="1"/>
  <c r="BQ165" i="1"/>
  <c r="BO165" i="1"/>
  <c r="BN165" i="1"/>
  <c r="BE165" i="1"/>
  <c r="BC165" i="1"/>
  <c r="BB165" i="1"/>
  <c r="BQ164" i="1"/>
  <c r="BO164" i="1"/>
  <c r="BN164" i="1"/>
  <c r="BE164" i="1"/>
  <c r="BC164" i="1"/>
  <c r="BB164" i="1"/>
  <c r="BQ163" i="1"/>
  <c r="BO163" i="1"/>
  <c r="BN163" i="1"/>
  <c r="BE163" i="1"/>
  <c r="BC163" i="1"/>
  <c r="BB163" i="1"/>
  <c r="BQ162" i="1"/>
  <c r="BO162" i="1"/>
  <c r="BN162" i="1"/>
  <c r="BE162" i="1"/>
  <c r="BC162" i="1"/>
  <c r="BB162" i="1"/>
  <c r="BQ161" i="1"/>
  <c r="BO161" i="1"/>
  <c r="BN161" i="1"/>
  <c r="BE161" i="1"/>
  <c r="BC161" i="1"/>
  <c r="BB161" i="1"/>
  <c r="BQ160" i="1"/>
  <c r="BO160" i="1"/>
  <c r="BN160" i="1"/>
  <c r="BE160" i="1"/>
  <c r="BC160" i="1"/>
  <c r="BB160" i="1"/>
  <c r="BF161" i="1" s="1"/>
  <c r="BH161" i="1" s="1"/>
  <c r="BQ159" i="1"/>
  <c r="BO159" i="1"/>
  <c r="BN159" i="1"/>
  <c r="BE159" i="1"/>
  <c r="BC159" i="1"/>
  <c r="BB159" i="1"/>
  <c r="BQ158" i="1"/>
  <c r="BO158" i="1"/>
  <c r="BN158" i="1"/>
  <c r="BE158" i="1"/>
  <c r="BC158" i="1"/>
  <c r="BB158" i="1"/>
  <c r="BF159" i="1" s="1"/>
  <c r="BG159" i="1" s="1"/>
  <c r="BQ157" i="1"/>
  <c r="BO157" i="1"/>
  <c r="BN157" i="1"/>
  <c r="BE157" i="1"/>
  <c r="BC157" i="1"/>
  <c r="BB157" i="1"/>
  <c r="BQ156" i="1"/>
  <c r="BO156" i="1"/>
  <c r="BN156" i="1"/>
  <c r="BE156" i="1"/>
  <c r="BC156" i="1"/>
  <c r="BB156" i="1"/>
  <c r="BQ155" i="1"/>
  <c r="BO155" i="1"/>
  <c r="BN155" i="1"/>
  <c r="BE155" i="1"/>
  <c r="BC155" i="1"/>
  <c r="BB155" i="1"/>
  <c r="BQ154" i="1"/>
  <c r="BO154" i="1"/>
  <c r="BN154" i="1"/>
  <c r="BR155" i="1" s="1"/>
  <c r="BE154" i="1"/>
  <c r="BC154" i="1"/>
  <c r="BB154" i="1"/>
  <c r="BQ153" i="1"/>
  <c r="BO153" i="1"/>
  <c r="BN153" i="1"/>
  <c r="BE153" i="1"/>
  <c r="BC153" i="1"/>
  <c r="BB153" i="1"/>
  <c r="BQ152" i="1"/>
  <c r="BO152" i="1"/>
  <c r="BN152" i="1"/>
  <c r="BE152" i="1"/>
  <c r="BC152" i="1"/>
  <c r="BB152" i="1"/>
  <c r="BQ151" i="1"/>
  <c r="BO151" i="1"/>
  <c r="BN151" i="1"/>
  <c r="BE151" i="1"/>
  <c r="BC151" i="1"/>
  <c r="BB151" i="1"/>
  <c r="BQ150" i="1"/>
  <c r="BO150" i="1"/>
  <c r="BN150" i="1"/>
  <c r="BE150" i="1"/>
  <c r="BC150" i="1"/>
  <c r="BB150" i="1"/>
  <c r="BQ149" i="1"/>
  <c r="BO149" i="1"/>
  <c r="BN149" i="1"/>
  <c r="BE149" i="1"/>
  <c r="BC149" i="1"/>
  <c r="BB149" i="1"/>
  <c r="BQ148" i="1"/>
  <c r="BO148" i="1"/>
  <c r="BN148" i="1"/>
  <c r="BE148" i="1"/>
  <c r="BC148" i="1"/>
  <c r="BB148" i="1"/>
  <c r="BQ147" i="1"/>
  <c r="BO147" i="1"/>
  <c r="BN147" i="1"/>
  <c r="BR148" i="1" s="1"/>
  <c r="BP148" i="1" s="1"/>
  <c r="BE147" i="1"/>
  <c r="BC147" i="1"/>
  <c r="BB147" i="1"/>
  <c r="BQ146" i="1"/>
  <c r="BO146" i="1"/>
  <c r="BN146" i="1"/>
  <c r="BE146" i="1"/>
  <c r="BC146" i="1"/>
  <c r="BB146" i="1"/>
  <c r="BQ145" i="1"/>
  <c r="BO145" i="1"/>
  <c r="BN145" i="1"/>
  <c r="BF145" i="1"/>
  <c r="BE145" i="1"/>
  <c r="BC145" i="1"/>
  <c r="BB145" i="1"/>
  <c r="BQ144" i="1"/>
  <c r="BO144" i="1"/>
  <c r="BN144" i="1"/>
  <c r="BE144" i="1"/>
  <c r="BC144" i="1"/>
  <c r="BB144" i="1"/>
  <c r="BQ143" i="1"/>
  <c r="BO143" i="1"/>
  <c r="BN143" i="1"/>
  <c r="BE143" i="1"/>
  <c r="BC143" i="1"/>
  <c r="BB143" i="1"/>
  <c r="BQ142" i="1"/>
  <c r="BO142" i="1"/>
  <c r="BN142" i="1"/>
  <c r="BE142" i="1"/>
  <c r="BF143" i="1" s="1"/>
  <c r="BC142" i="1"/>
  <c r="BB142" i="1"/>
  <c r="BQ141" i="1"/>
  <c r="BO141" i="1"/>
  <c r="BN141" i="1"/>
  <c r="BE141" i="1"/>
  <c r="BC141" i="1"/>
  <c r="BB141" i="1"/>
  <c r="BQ140" i="1"/>
  <c r="BO140" i="1"/>
  <c r="BN140" i="1"/>
  <c r="BE140" i="1"/>
  <c r="BC140" i="1"/>
  <c r="BB140" i="1"/>
  <c r="BF141" i="1" s="1"/>
  <c r="BQ139" i="1"/>
  <c r="BO139" i="1"/>
  <c r="BN139" i="1"/>
  <c r="BE139" i="1"/>
  <c r="BC139" i="1"/>
  <c r="BB139" i="1"/>
  <c r="BQ138" i="1"/>
  <c r="BO138" i="1"/>
  <c r="BN138" i="1"/>
  <c r="BE138" i="1"/>
  <c r="BC138" i="1"/>
  <c r="BB138" i="1"/>
  <c r="BQ137" i="1"/>
  <c r="BO137" i="1"/>
  <c r="BN137" i="1"/>
  <c r="BE137" i="1"/>
  <c r="BC137" i="1"/>
  <c r="BB137" i="1"/>
  <c r="BF138" i="1" s="1"/>
  <c r="BQ136" i="1"/>
  <c r="BO136" i="1"/>
  <c r="BN136" i="1"/>
  <c r="BE136" i="1"/>
  <c r="BC136" i="1"/>
  <c r="BB136" i="1"/>
  <c r="BQ135" i="1"/>
  <c r="BO135" i="1"/>
  <c r="BN135" i="1"/>
  <c r="BF135" i="1"/>
  <c r="BG135" i="1" s="1"/>
  <c r="BE135" i="1"/>
  <c r="BD135" i="1"/>
  <c r="BC135" i="1"/>
  <c r="BB135" i="1"/>
  <c r="BQ134" i="1"/>
  <c r="BO134" i="1"/>
  <c r="BN134" i="1"/>
  <c r="BE134" i="1"/>
  <c r="BC134" i="1"/>
  <c r="BB134" i="1"/>
  <c r="BQ133" i="1"/>
  <c r="BO133" i="1"/>
  <c r="BN133" i="1"/>
  <c r="BE133" i="1"/>
  <c r="BC133" i="1"/>
  <c r="BB133" i="1"/>
  <c r="BQ132" i="1"/>
  <c r="BO132" i="1"/>
  <c r="BN132" i="1"/>
  <c r="BE132" i="1"/>
  <c r="BC132" i="1"/>
  <c r="BB132" i="1"/>
  <c r="BQ131" i="1"/>
  <c r="BO131" i="1"/>
  <c r="BN131" i="1"/>
  <c r="BE131" i="1"/>
  <c r="BC131" i="1"/>
  <c r="BB131" i="1"/>
  <c r="BQ130" i="1"/>
  <c r="BO130" i="1"/>
  <c r="BN130" i="1"/>
  <c r="BE130" i="1"/>
  <c r="BC130" i="1"/>
  <c r="BB130" i="1"/>
  <c r="BQ129" i="1"/>
  <c r="BO129" i="1"/>
  <c r="BN129" i="1"/>
  <c r="BE129" i="1"/>
  <c r="BC129" i="1"/>
  <c r="BB129" i="1"/>
  <c r="BQ128" i="1"/>
  <c r="BO128" i="1"/>
  <c r="BN128" i="1"/>
  <c r="BE128" i="1"/>
  <c r="BC128" i="1"/>
  <c r="BB128" i="1"/>
  <c r="BQ127" i="1"/>
  <c r="BO127" i="1"/>
  <c r="BN127" i="1"/>
  <c r="BE127" i="1"/>
  <c r="BC127" i="1"/>
  <c r="BB127" i="1"/>
  <c r="BQ126" i="1"/>
  <c r="BO126" i="1"/>
  <c r="BN126" i="1"/>
  <c r="BE126" i="1"/>
  <c r="BC126" i="1"/>
  <c r="BB126" i="1"/>
  <c r="BQ125" i="1"/>
  <c r="BO125" i="1"/>
  <c r="BN125" i="1"/>
  <c r="BE125" i="1"/>
  <c r="BC125" i="1"/>
  <c r="BB125" i="1"/>
  <c r="BQ124" i="1"/>
  <c r="BO124" i="1"/>
  <c r="BN124" i="1"/>
  <c r="BE124" i="1"/>
  <c r="BC124" i="1"/>
  <c r="BB124" i="1"/>
  <c r="BQ123" i="1"/>
  <c r="BO123" i="1"/>
  <c r="BN123" i="1"/>
  <c r="BE123" i="1"/>
  <c r="BC123" i="1"/>
  <c r="BB123" i="1"/>
  <c r="BQ122" i="1"/>
  <c r="BO122" i="1"/>
  <c r="BN122" i="1"/>
  <c r="BE122" i="1"/>
  <c r="BC122" i="1"/>
  <c r="BB122" i="1"/>
  <c r="BQ121" i="1"/>
  <c r="BO121" i="1"/>
  <c r="BN121" i="1"/>
  <c r="BE121" i="1"/>
  <c r="BC121" i="1"/>
  <c r="BB121" i="1"/>
  <c r="BQ120" i="1"/>
  <c r="BO120" i="1"/>
  <c r="BN120" i="1"/>
  <c r="BE120" i="1"/>
  <c r="BC120" i="1"/>
  <c r="BB120" i="1"/>
  <c r="BQ119" i="1"/>
  <c r="BO119" i="1"/>
  <c r="BN119" i="1"/>
  <c r="BE119" i="1"/>
  <c r="BC119" i="1"/>
  <c r="BB119" i="1"/>
  <c r="BQ118" i="1"/>
  <c r="BO118" i="1"/>
  <c r="BN118" i="1"/>
  <c r="BE118" i="1"/>
  <c r="BC118" i="1"/>
  <c r="BB118" i="1"/>
  <c r="BQ117" i="1"/>
  <c r="BO117" i="1"/>
  <c r="BN117" i="1"/>
  <c r="BE117" i="1"/>
  <c r="BC117" i="1"/>
  <c r="BB117" i="1"/>
  <c r="BQ116" i="1"/>
  <c r="BO116" i="1"/>
  <c r="BN116" i="1"/>
  <c r="BR117" i="1" s="1"/>
  <c r="BP117" i="1" s="1"/>
  <c r="BE116" i="1"/>
  <c r="BC116" i="1"/>
  <c r="BB116" i="1"/>
  <c r="BQ115" i="1"/>
  <c r="BO115" i="1"/>
  <c r="BN115" i="1"/>
  <c r="BE115" i="1"/>
  <c r="BC115" i="1"/>
  <c r="BB115" i="1"/>
  <c r="BQ114" i="1"/>
  <c r="BO114" i="1"/>
  <c r="BN114" i="1"/>
  <c r="BE114" i="1"/>
  <c r="BC114" i="1"/>
  <c r="BB114" i="1"/>
  <c r="BQ113" i="1"/>
  <c r="BO113" i="1"/>
  <c r="BN113" i="1"/>
  <c r="BE113" i="1"/>
  <c r="BC113" i="1"/>
  <c r="BB113" i="1"/>
  <c r="BQ112" i="1"/>
  <c r="BO112" i="1"/>
  <c r="BN112" i="1"/>
  <c r="BE112" i="1"/>
  <c r="BC112" i="1"/>
  <c r="BB112" i="1"/>
  <c r="BQ111" i="1"/>
  <c r="BO111" i="1"/>
  <c r="BN111" i="1"/>
  <c r="BH111" i="1"/>
  <c r="BE111" i="1"/>
  <c r="BC111" i="1"/>
  <c r="BB111" i="1"/>
  <c r="BQ110" i="1"/>
  <c r="BO110" i="1"/>
  <c r="BN110" i="1"/>
  <c r="BE110" i="1"/>
  <c r="BC110" i="1"/>
  <c r="BB110" i="1"/>
  <c r="BF111" i="1" s="1"/>
  <c r="BQ109" i="1"/>
  <c r="BO109" i="1"/>
  <c r="BN109" i="1"/>
  <c r="BR110" i="1" s="1"/>
  <c r="BT110" i="1" s="1"/>
  <c r="BE109" i="1"/>
  <c r="BC109" i="1"/>
  <c r="BB109" i="1"/>
  <c r="BQ108" i="1"/>
  <c r="BO108" i="1"/>
  <c r="BN108" i="1"/>
  <c r="BE108" i="1"/>
  <c r="BC108" i="1"/>
  <c r="BB108" i="1"/>
  <c r="BQ107" i="1"/>
  <c r="BO107" i="1"/>
  <c r="BN107" i="1"/>
  <c r="BE107" i="1"/>
  <c r="BC107" i="1"/>
  <c r="BB107" i="1"/>
  <c r="BQ106" i="1"/>
  <c r="BO106" i="1"/>
  <c r="BN106" i="1"/>
  <c r="BE106" i="1"/>
  <c r="BC106" i="1"/>
  <c r="BB106" i="1"/>
  <c r="BQ105" i="1"/>
  <c r="BO105" i="1"/>
  <c r="BN105" i="1"/>
  <c r="BE105" i="1"/>
  <c r="BC105" i="1"/>
  <c r="BB105" i="1"/>
  <c r="BQ104" i="1"/>
  <c r="BO104" i="1"/>
  <c r="BN104" i="1"/>
  <c r="BR105" i="1" s="1"/>
  <c r="BS105" i="1" s="1"/>
  <c r="BE104" i="1"/>
  <c r="BC104" i="1"/>
  <c r="BB104" i="1"/>
  <c r="BQ103" i="1"/>
  <c r="BO103" i="1"/>
  <c r="BN103" i="1"/>
  <c r="BE103" i="1"/>
  <c r="BC103" i="1"/>
  <c r="BB103" i="1"/>
  <c r="BQ102" i="1"/>
  <c r="BO102" i="1"/>
  <c r="BN102" i="1"/>
  <c r="BE102" i="1"/>
  <c r="BC102" i="1"/>
  <c r="BB102" i="1"/>
  <c r="BQ101" i="1"/>
  <c r="BO101" i="1"/>
  <c r="BN101" i="1"/>
  <c r="BF101" i="1"/>
  <c r="BH101" i="1" s="1"/>
  <c r="BE101" i="1"/>
  <c r="BD101" i="1"/>
  <c r="BC101" i="1"/>
  <c r="BB101" i="1"/>
  <c r="BQ100" i="1"/>
  <c r="BO100" i="1"/>
  <c r="BN100" i="1"/>
  <c r="BE100" i="1"/>
  <c r="BC100" i="1"/>
  <c r="BB100" i="1"/>
  <c r="BQ99" i="1"/>
  <c r="BO99" i="1"/>
  <c r="BN99" i="1"/>
  <c r="BE99" i="1"/>
  <c r="BC99" i="1"/>
  <c r="BB99" i="1"/>
  <c r="BQ98" i="1"/>
  <c r="BO98" i="1"/>
  <c r="BN98" i="1"/>
  <c r="BE98" i="1"/>
  <c r="BC98" i="1"/>
  <c r="BB98" i="1"/>
  <c r="BQ97" i="1"/>
  <c r="BO97" i="1"/>
  <c r="BN97" i="1"/>
  <c r="BE97" i="1"/>
  <c r="BC97" i="1"/>
  <c r="BB97" i="1"/>
  <c r="BQ96" i="1"/>
  <c r="BO96" i="1"/>
  <c r="BN96" i="1"/>
  <c r="BE96" i="1"/>
  <c r="BC96" i="1"/>
  <c r="BB96" i="1"/>
  <c r="BQ95" i="1"/>
  <c r="BO95" i="1"/>
  <c r="BN95" i="1"/>
  <c r="BE95" i="1"/>
  <c r="BC95" i="1"/>
  <c r="BF96" i="1" s="1"/>
  <c r="BB95" i="1"/>
  <c r="BQ94" i="1"/>
  <c r="BO94" i="1"/>
  <c r="BN94" i="1"/>
  <c r="BF94" i="1"/>
  <c r="BH94" i="1" s="1"/>
  <c r="BE94" i="1"/>
  <c r="BD94" i="1"/>
  <c r="BC94" i="1"/>
  <c r="BB94" i="1"/>
  <c r="BQ93" i="1"/>
  <c r="BO93" i="1"/>
  <c r="BN93" i="1"/>
  <c r="BE93" i="1"/>
  <c r="BC93" i="1"/>
  <c r="BB93" i="1"/>
  <c r="BQ92" i="1"/>
  <c r="BO92" i="1"/>
  <c r="BN92" i="1"/>
  <c r="BE92" i="1"/>
  <c r="BC92" i="1"/>
  <c r="BB92" i="1"/>
  <c r="BQ91" i="1"/>
  <c r="BO91" i="1"/>
  <c r="BN91" i="1"/>
  <c r="BE91" i="1"/>
  <c r="BC91" i="1"/>
  <c r="BB91" i="1"/>
  <c r="BQ90" i="1"/>
  <c r="BO90" i="1"/>
  <c r="BN90" i="1"/>
  <c r="BH90" i="1"/>
  <c r="BE90" i="1"/>
  <c r="BC90" i="1"/>
  <c r="BB90" i="1"/>
  <c r="BF91" i="1" s="1"/>
  <c r="BQ89" i="1"/>
  <c r="BO89" i="1"/>
  <c r="BN89" i="1"/>
  <c r="BE89" i="1"/>
  <c r="BC89" i="1"/>
  <c r="BB89" i="1"/>
  <c r="BF90" i="1" s="1"/>
  <c r="BQ88" i="1"/>
  <c r="BO88" i="1"/>
  <c r="BN88" i="1"/>
  <c r="BE88" i="1"/>
  <c r="BC88" i="1"/>
  <c r="BB88" i="1"/>
  <c r="BQ87" i="1"/>
  <c r="BO87" i="1"/>
  <c r="BN87" i="1"/>
  <c r="BE87" i="1"/>
  <c r="BC87" i="1"/>
  <c r="BB87" i="1"/>
  <c r="BQ86" i="1"/>
  <c r="BO86" i="1"/>
  <c r="BR87" i="1" s="1"/>
  <c r="BP87" i="1" s="1"/>
  <c r="BN86" i="1"/>
  <c r="BE86" i="1"/>
  <c r="BC86" i="1"/>
  <c r="BB86" i="1"/>
  <c r="BQ85" i="1"/>
  <c r="BO85" i="1"/>
  <c r="BN85" i="1"/>
  <c r="BE85" i="1"/>
  <c r="BC85" i="1"/>
  <c r="BB85" i="1"/>
  <c r="BQ84" i="1"/>
  <c r="BO84" i="1"/>
  <c r="BN84" i="1"/>
  <c r="BE84" i="1"/>
  <c r="BC84" i="1"/>
  <c r="BB84" i="1"/>
  <c r="BQ83" i="1"/>
  <c r="BO83" i="1"/>
  <c r="BN83" i="1"/>
  <c r="BE83" i="1"/>
  <c r="BC83" i="1"/>
  <c r="BB83" i="1"/>
  <c r="BQ82" i="1"/>
  <c r="BO82" i="1"/>
  <c r="BN82" i="1"/>
  <c r="BR83" i="1" s="1"/>
  <c r="BE82" i="1"/>
  <c r="BC82" i="1"/>
  <c r="BB82" i="1"/>
  <c r="BQ81" i="1"/>
  <c r="BO81" i="1"/>
  <c r="BN81" i="1"/>
  <c r="BE81" i="1"/>
  <c r="BC81" i="1"/>
  <c r="BB81" i="1"/>
  <c r="BQ80" i="1"/>
  <c r="BO80" i="1"/>
  <c r="BN80" i="1"/>
  <c r="BE80" i="1"/>
  <c r="BC80" i="1"/>
  <c r="BB80" i="1"/>
  <c r="BF81" i="1" s="1"/>
  <c r="BQ79" i="1"/>
  <c r="BO79" i="1"/>
  <c r="BN79" i="1"/>
  <c r="BE79" i="1"/>
  <c r="BC79" i="1"/>
  <c r="BB79" i="1"/>
  <c r="BQ78" i="1"/>
  <c r="BO78" i="1"/>
  <c r="BN78" i="1"/>
  <c r="BE78" i="1"/>
  <c r="BC78" i="1"/>
  <c r="BB78" i="1"/>
  <c r="BQ77" i="1"/>
  <c r="BO77" i="1"/>
  <c r="BN77" i="1"/>
  <c r="BE77" i="1"/>
  <c r="BC77" i="1"/>
  <c r="BB77" i="1"/>
  <c r="BQ76" i="1"/>
  <c r="BO76" i="1"/>
  <c r="BN76" i="1"/>
  <c r="BE76" i="1"/>
  <c r="BC76" i="1"/>
  <c r="BB76" i="1"/>
  <c r="BQ75" i="1"/>
  <c r="BO75" i="1"/>
  <c r="BN75" i="1"/>
  <c r="BE75" i="1"/>
  <c r="BC75" i="1"/>
  <c r="BB75" i="1"/>
  <c r="BQ74" i="1"/>
  <c r="BO74" i="1"/>
  <c r="BN74" i="1"/>
  <c r="BE74" i="1"/>
  <c r="BC74" i="1"/>
  <c r="BB74" i="1"/>
  <c r="BF75" i="1" s="1"/>
  <c r="BG75" i="1" s="1"/>
  <c r="BQ73" i="1"/>
  <c r="BO73" i="1"/>
  <c r="BN73" i="1"/>
  <c r="BE73" i="1"/>
  <c r="BC73" i="1"/>
  <c r="BB73" i="1"/>
  <c r="BQ72" i="1"/>
  <c r="BO72" i="1"/>
  <c r="BN72" i="1"/>
  <c r="BE72" i="1"/>
  <c r="BC72" i="1"/>
  <c r="BB72" i="1"/>
  <c r="BQ71" i="1"/>
  <c r="BO71" i="1"/>
  <c r="BN71" i="1"/>
  <c r="BE71" i="1"/>
  <c r="BC71" i="1"/>
  <c r="BB71" i="1"/>
  <c r="BQ70" i="1"/>
  <c r="BO70" i="1"/>
  <c r="BN70" i="1"/>
  <c r="BE70" i="1"/>
  <c r="BC70" i="1"/>
  <c r="BB70" i="1"/>
  <c r="BQ69" i="1"/>
  <c r="BO69" i="1"/>
  <c r="BN69" i="1"/>
  <c r="BE69" i="1"/>
  <c r="BC69" i="1"/>
  <c r="BB69" i="1"/>
  <c r="BQ68" i="1"/>
  <c r="BO68" i="1"/>
  <c r="BN68" i="1"/>
  <c r="BR69" i="1" s="1"/>
  <c r="BT69" i="1" s="1"/>
  <c r="BE68" i="1"/>
  <c r="BC68" i="1"/>
  <c r="BB68" i="1"/>
  <c r="BQ67" i="1"/>
  <c r="BO67" i="1"/>
  <c r="BN67" i="1"/>
  <c r="BE67" i="1"/>
  <c r="BC67" i="1"/>
  <c r="BB67" i="1"/>
  <c r="BQ66" i="1"/>
  <c r="BO66" i="1"/>
  <c r="BN66" i="1"/>
  <c r="BE66" i="1"/>
  <c r="BC66" i="1"/>
  <c r="BB66" i="1"/>
  <c r="BQ65" i="1"/>
  <c r="BO65" i="1"/>
  <c r="BN65" i="1"/>
  <c r="BE65" i="1"/>
  <c r="BC65" i="1"/>
  <c r="BB65" i="1"/>
  <c r="BQ64" i="1"/>
  <c r="BO64" i="1"/>
  <c r="BN64" i="1"/>
  <c r="BE64" i="1"/>
  <c r="BC64" i="1"/>
  <c r="BB64" i="1"/>
  <c r="BQ63" i="1"/>
  <c r="BO63" i="1"/>
  <c r="BN63" i="1"/>
  <c r="BE63" i="1"/>
  <c r="BC63" i="1"/>
  <c r="BB63" i="1"/>
  <c r="BQ62" i="1"/>
  <c r="BO62" i="1"/>
  <c r="BN62" i="1"/>
  <c r="BH62" i="1"/>
  <c r="BI62" i="1" s="1"/>
  <c r="BE62" i="1"/>
  <c r="BC62" i="1"/>
  <c r="BF63" i="1" s="1"/>
  <c r="BB62" i="1"/>
  <c r="BQ61" i="1"/>
  <c r="BO61" i="1"/>
  <c r="BN61" i="1"/>
  <c r="BE61" i="1"/>
  <c r="BC61" i="1"/>
  <c r="BB61" i="1"/>
  <c r="BF62" i="1" s="1"/>
  <c r="BG62" i="1" s="1"/>
  <c r="BQ60" i="1"/>
  <c r="BO60" i="1"/>
  <c r="BN60" i="1"/>
  <c r="BE60" i="1"/>
  <c r="BC60" i="1"/>
  <c r="BB60" i="1"/>
  <c r="BQ59" i="1"/>
  <c r="BO59" i="1"/>
  <c r="BN59" i="1"/>
  <c r="BE59" i="1"/>
  <c r="BC59" i="1"/>
  <c r="BB59" i="1"/>
  <c r="BF60" i="1" s="1"/>
  <c r="BQ58" i="1"/>
  <c r="BO58" i="1"/>
  <c r="BN58" i="1"/>
  <c r="BE58" i="1"/>
  <c r="BC58" i="1"/>
  <c r="BB58" i="1"/>
  <c r="BQ57" i="1"/>
  <c r="BO57" i="1"/>
  <c r="BN57" i="1"/>
  <c r="BR58" i="1" s="1"/>
  <c r="BT58" i="1" s="1"/>
  <c r="BE57" i="1"/>
  <c r="BC57" i="1"/>
  <c r="BB57" i="1"/>
  <c r="BQ56" i="1"/>
  <c r="BO56" i="1"/>
  <c r="BN56" i="1"/>
  <c r="BE56" i="1"/>
  <c r="BC56" i="1"/>
  <c r="BB56" i="1"/>
  <c r="BQ55" i="1"/>
  <c r="BO55" i="1"/>
  <c r="BN55" i="1"/>
  <c r="BE55" i="1"/>
  <c r="BC55" i="1"/>
  <c r="BB55" i="1"/>
  <c r="BQ54" i="1"/>
  <c r="BO54" i="1"/>
  <c r="BN54" i="1"/>
  <c r="BE54" i="1"/>
  <c r="BC54" i="1"/>
  <c r="BB54" i="1"/>
  <c r="BQ53" i="1"/>
  <c r="BO53" i="1"/>
  <c r="BN53" i="1"/>
  <c r="BE53" i="1"/>
  <c r="BC53" i="1"/>
  <c r="BB53" i="1"/>
  <c r="BQ52" i="1"/>
  <c r="BO52" i="1"/>
  <c r="BN52" i="1"/>
  <c r="BE52" i="1"/>
  <c r="BC52" i="1"/>
  <c r="BB52" i="1"/>
  <c r="BF53" i="1" s="1"/>
  <c r="BQ51" i="1"/>
  <c r="BO51" i="1"/>
  <c r="BN51" i="1"/>
  <c r="BE51" i="1"/>
  <c r="BC51" i="1"/>
  <c r="BB51" i="1"/>
  <c r="BF52" i="1" s="1"/>
  <c r="BH52" i="1" s="1"/>
  <c r="BQ50" i="1"/>
  <c r="BO50" i="1"/>
  <c r="BN50" i="1"/>
  <c r="BE50" i="1"/>
  <c r="BC50" i="1"/>
  <c r="BB50" i="1"/>
  <c r="BF51" i="1" s="1"/>
  <c r="BQ49" i="1"/>
  <c r="BO49" i="1"/>
  <c r="BN49" i="1"/>
  <c r="BF49" i="1"/>
  <c r="BD49" i="1" s="1"/>
  <c r="BE49" i="1"/>
  <c r="BC49" i="1"/>
  <c r="BB49" i="1"/>
  <c r="BF50" i="1" s="1"/>
  <c r="BD50" i="1" s="1"/>
  <c r="BQ48" i="1"/>
  <c r="BO48" i="1"/>
  <c r="BN48" i="1"/>
  <c r="BE48" i="1"/>
  <c r="BC48" i="1"/>
  <c r="BB48" i="1"/>
  <c r="BQ47" i="1"/>
  <c r="BO47" i="1"/>
  <c r="BN47" i="1"/>
  <c r="BE47" i="1"/>
  <c r="BC47" i="1"/>
  <c r="BB47" i="1"/>
  <c r="BQ46" i="1"/>
  <c r="BO46" i="1"/>
  <c r="BN46" i="1"/>
  <c r="BE46" i="1"/>
  <c r="BC46" i="1"/>
  <c r="BB46" i="1"/>
  <c r="BQ45" i="1"/>
  <c r="BO45" i="1"/>
  <c r="BN45" i="1"/>
  <c r="BF45" i="1"/>
  <c r="BH45" i="1" s="1"/>
  <c r="BE45" i="1"/>
  <c r="BD45" i="1"/>
  <c r="BC45" i="1"/>
  <c r="BB45" i="1"/>
  <c r="BQ44" i="1"/>
  <c r="BO44" i="1"/>
  <c r="BN44" i="1"/>
  <c r="BE44" i="1"/>
  <c r="BC44" i="1"/>
  <c r="BB44" i="1"/>
  <c r="BQ43" i="1"/>
  <c r="BO43" i="1"/>
  <c r="BN43" i="1"/>
  <c r="BE43" i="1"/>
  <c r="BC43" i="1"/>
  <c r="BB43" i="1"/>
  <c r="BF44" i="1" s="1"/>
  <c r="BQ42" i="1"/>
  <c r="BO42" i="1"/>
  <c r="BN42" i="1"/>
  <c r="BE42" i="1"/>
  <c r="BC42" i="1"/>
  <c r="BB42" i="1"/>
  <c r="BQ41" i="1"/>
  <c r="BO41" i="1"/>
  <c r="BN41" i="1"/>
  <c r="BF41" i="1"/>
  <c r="BH41" i="1" s="1"/>
  <c r="BE41" i="1"/>
  <c r="BC41" i="1"/>
  <c r="BB41" i="1"/>
  <c r="BQ40" i="1"/>
  <c r="BO40" i="1"/>
  <c r="BN40" i="1"/>
  <c r="BE40" i="1"/>
  <c r="BC40" i="1"/>
  <c r="BB40" i="1"/>
  <c r="BQ39" i="1"/>
  <c r="BO39" i="1"/>
  <c r="BN39" i="1"/>
  <c r="BE39" i="1"/>
  <c r="BC39" i="1"/>
  <c r="BB39" i="1"/>
  <c r="BQ38" i="1"/>
  <c r="BO38" i="1"/>
  <c r="BN38" i="1"/>
  <c r="BE38" i="1"/>
  <c r="BC38" i="1"/>
  <c r="BB38" i="1"/>
  <c r="BF39" i="1" s="1"/>
  <c r="BQ37" i="1"/>
  <c r="BO37" i="1"/>
  <c r="BN37" i="1"/>
  <c r="BE37" i="1"/>
  <c r="BC37" i="1"/>
  <c r="BB37" i="1"/>
  <c r="BQ36" i="1"/>
  <c r="BO36" i="1"/>
  <c r="BN36" i="1"/>
  <c r="BR37" i="1" s="1"/>
  <c r="BE36" i="1"/>
  <c r="BC36" i="1"/>
  <c r="BB36" i="1"/>
  <c r="BQ35" i="1"/>
  <c r="BO35" i="1"/>
  <c r="BN35" i="1"/>
  <c r="BE35" i="1"/>
  <c r="BC35" i="1"/>
  <c r="BB35" i="1"/>
  <c r="BQ34" i="1"/>
  <c r="BO34" i="1"/>
  <c r="BN34" i="1"/>
  <c r="BE34" i="1"/>
  <c r="BC34" i="1"/>
  <c r="BB34" i="1"/>
  <c r="BQ33" i="1"/>
  <c r="BO33" i="1"/>
  <c r="BN33" i="1"/>
  <c r="BE33" i="1"/>
  <c r="BC33" i="1"/>
  <c r="BB33" i="1"/>
  <c r="BQ32" i="1"/>
  <c r="BO32" i="1"/>
  <c r="BN32" i="1"/>
  <c r="BR33" i="1" s="1"/>
  <c r="BP33" i="1" s="1"/>
  <c r="BF32" i="1"/>
  <c r="BH32" i="1" s="1"/>
  <c r="BE32" i="1"/>
  <c r="BD32" i="1"/>
  <c r="BC32" i="1"/>
  <c r="BB32" i="1"/>
  <c r="BQ31" i="1"/>
  <c r="BO31" i="1"/>
  <c r="BN31" i="1"/>
  <c r="BE31" i="1"/>
  <c r="BC31" i="1"/>
  <c r="BB31" i="1"/>
  <c r="BQ30" i="1"/>
  <c r="BO30" i="1"/>
  <c r="BN30" i="1"/>
  <c r="BE30" i="1"/>
  <c r="BC30" i="1"/>
  <c r="BF31" i="1" s="1"/>
  <c r="BD31" i="1" s="1"/>
  <c r="BB30" i="1"/>
  <c r="BQ29" i="1"/>
  <c r="BO29" i="1"/>
  <c r="BN29" i="1"/>
  <c r="BE29" i="1"/>
  <c r="BC29" i="1"/>
  <c r="BB29" i="1"/>
  <c r="BF30" i="1" s="1"/>
  <c r="BQ28" i="1"/>
  <c r="BO28" i="1"/>
  <c r="BN28" i="1"/>
  <c r="BE28" i="1"/>
  <c r="BC28" i="1"/>
  <c r="BB28" i="1"/>
  <c r="BQ27" i="1"/>
  <c r="BO27" i="1"/>
  <c r="BN27" i="1"/>
  <c r="BF27" i="1"/>
  <c r="BH27" i="1" s="1"/>
  <c r="BE27" i="1"/>
  <c r="BC27" i="1"/>
  <c r="BB27" i="1"/>
  <c r="BQ26" i="1"/>
  <c r="BO26" i="1"/>
  <c r="BN26" i="1"/>
  <c r="BE26" i="1"/>
  <c r="BC26" i="1"/>
  <c r="BB26" i="1"/>
  <c r="BQ25" i="1"/>
  <c r="BO25" i="1"/>
  <c r="BN25" i="1"/>
  <c r="BR26" i="1" s="1"/>
  <c r="BP26" i="1" s="1"/>
  <c r="BE25" i="1"/>
  <c r="BC25" i="1"/>
  <c r="BB25" i="1"/>
  <c r="BQ24" i="1"/>
  <c r="BO24" i="1"/>
  <c r="BN24" i="1"/>
  <c r="BR25" i="1" s="1"/>
  <c r="BT25" i="1" s="1"/>
  <c r="BE24" i="1"/>
  <c r="BC24" i="1"/>
  <c r="BB24" i="1"/>
  <c r="BQ23" i="1"/>
  <c r="BO23" i="1"/>
  <c r="BN23" i="1"/>
  <c r="BE23" i="1"/>
  <c r="BC23" i="1"/>
  <c r="BB23" i="1"/>
  <c r="BT22" i="1"/>
  <c r="BS22" i="1"/>
  <c r="BU22" i="1" s="1"/>
  <c r="BQ22" i="1"/>
  <c r="BP22" i="1"/>
  <c r="BO22" i="1"/>
  <c r="BN22" i="1"/>
  <c r="BF22" i="1"/>
  <c r="BH22" i="1" s="1"/>
  <c r="BE22" i="1"/>
  <c r="BD22" i="1"/>
  <c r="BC22" i="1"/>
  <c r="BB22" i="1"/>
  <c r="BQ21" i="1"/>
  <c r="BR22" i="1" s="1"/>
  <c r="BE21" i="1"/>
  <c r="BT20" i="1"/>
  <c r="BS20" i="1"/>
  <c r="BH20" i="1"/>
  <c r="BG20" i="1"/>
  <c r="CL16" i="1"/>
  <c r="CL17" i="1" s="1"/>
  <c r="CL18" i="1" s="1"/>
  <c r="CL19" i="1" s="1"/>
  <c r="CL20" i="1" s="1"/>
  <c r="CL21" i="1" s="1"/>
  <c r="CL22" i="1" s="1"/>
  <c r="CQ14" i="1"/>
  <c r="CR14" i="1" s="1"/>
  <c r="CS14" i="1" s="1"/>
  <c r="CT14" i="1" s="1"/>
  <c r="CO14" i="1"/>
  <c r="CP14" i="1" s="1"/>
  <c r="CN14" i="1"/>
  <c r="CL5" i="1"/>
  <c r="CL6" i="1" s="1"/>
  <c r="CL7" i="1" s="1"/>
  <c r="CL8" i="1" s="1"/>
  <c r="CL9" i="1" s="1"/>
  <c r="CL10" i="1" s="1"/>
  <c r="CL11" i="1" s="1"/>
  <c r="CN3" i="1"/>
  <c r="CO3" i="1" s="1"/>
  <c r="CP3" i="1" s="1"/>
  <c r="CQ3" i="1" s="1"/>
  <c r="CR3" i="1" s="1"/>
  <c r="CS3" i="1" s="1"/>
  <c r="CT3" i="1" s="1"/>
  <c r="BR118" i="1" l="1"/>
  <c r="BT118" i="1" s="1"/>
  <c r="BR107" i="1"/>
  <c r="BR114" i="1"/>
  <c r="BT114" i="1" s="1"/>
  <c r="BR50" i="1"/>
  <c r="BP50" i="1" s="1"/>
  <c r="BR51" i="1" s="1"/>
  <c r="BR46" i="1"/>
  <c r="BT46" i="1" s="1"/>
  <c r="BR67" i="1"/>
  <c r="BP67" i="1" s="1"/>
  <c r="BR56" i="1"/>
  <c r="BR93" i="1"/>
  <c r="BR104" i="1"/>
  <c r="BT104" i="1" s="1"/>
  <c r="BR135" i="1"/>
  <c r="BP135" i="1" s="1"/>
  <c r="BR70" i="1"/>
  <c r="BP70" i="1" s="1"/>
  <c r="BR84" i="1"/>
  <c r="BT84" i="1" s="1"/>
  <c r="BR152" i="1"/>
  <c r="BP152" i="1" s="1"/>
  <c r="BR36" i="1"/>
  <c r="BT36" i="1" s="1"/>
  <c r="BR99" i="1"/>
  <c r="BT99" i="1" s="1"/>
  <c r="BR108" i="1"/>
  <c r="BT108" i="1" s="1"/>
  <c r="BR80" i="1"/>
  <c r="BS80" i="1" s="1"/>
  <c r="BR145" i="1"/>
  <c r="BT145" i="1" s="1"/>
  <c r="BR71" i="1"/>
  <c r="BT71" i="1" s="1"/>
  <c r="BR85" i="1"/>
  <c r="BP85" i="1" s="1"/>
  <c r="BR86" i="1" s="1"/>
  <c r="BR134" i="1"/>
  <c r="BP134" i="1" s="1"/>
  <c r="BR150" i="1"/>
  <c r="BT150" i="1" s="1"/>
  <c r="BR157" i="1"/>
  <c r="BT157" i="1" s="1"/>
  <c r="BR43" i="1"/>
  <c r="BT43" i="1" s="1"/>
  <c r="BR123" i="1"/>
  <c r="BP123" i="1" s="1"/>
  <c r="BR132" i="1"/>
  <c r="BP132" i="1" s="1"/>
  <c r="BR133" i="1" s="1"/>
  <c r="BR130" i="1"/>
  <c r="BT130" i="1" s="1"/>
  <c r="BR65" i="1"/>
  <c r="BT65" i="1" s="1"/>
  <c r="BR115" i="1"/>
  <c r="BT115" i="1" s="1"/>
  <c r="BR151" i="1"/>
  <c r="BS151" i="1" s="1"/>
  <c r="BR77" i="1"/>
  <c r="BR158" i="1"/>
  <c r="BT158" i="1" s="1"/>
  <c r="BT37" i="1"/>
  <c r="BP37" i="1"/>
  <c r="BP43" i="1"/>
  <c r="BR44" i="1" s="1"/>
  <c r="BR61" i="1"/>
  <c r="BT61" i="1" s="1"/>
  <c r="BR136" i="1"/>
  <c r="BS136" i="1" s="1"/>
  <c r="BR153" i="1"/>
  <c r="BP153" i="1" s="1"/>
  <c r="BR28" i="1"/>
  <c r="BT28" i="1" s="1"/>
  <c r="BR73" i="1"/>
  <c r="BT73" i="1" s="1"/>
  <c r="BR120" i="1"/>
  <c r="BR74" i="1"/>
  <c r="BS74" i="1" s="1"/>
  <c r="BR113" i="1"/>
  <c r="BR131" i="1"/>
  <c r="BP131" i="1" s="1"/>
  <c r="BR116" i="1"/>
  <c r="BS116" i="1" s="1"/>
  <c r="BR122" i="1"/>
  <c r="BR160" i="1"/>
  <c r="BP160" i="1" s="1"/>
  <c r="BR161" i="1" s="1"/>
  <c r="BR124" i="1"/>
  <c r="BP124" i="1" s="1"/>
  <c r="BR167" i="1"/>
  <c r="BR38" i="1"/>
  <c r="BT38" i="1" s="1"/>
  <c r="BR23" i="1"/>
  <c r="BP23" i="1" s="1"/>
  <c r="BR54" i="1"/>
  <c r="BS54" i="1" s="1"/>
  <c r="BR72" i="1"/>
  <c r="BT72" i="1" s="1"/>
  <c r="BR109" i="1"/>
  <c r="BT109" i="1" s="1"/>
  <c r="BR142" i="1"/>
  <c r="BT142" i="1" s="1"/>
  <c r="BR125" i="1"/>
  <c r="BP125" i="1" s="1"/>
  <c r="BR68" i="1"/>
  <c r="BP68" i="1" s="1"/>
  <c r="BR106" i="1"/>
  <c r="BR146" i="1"/>
  <c r="BH39" i="1"/>
  <c r="BD39" i="1"/>
  <c r="BD96" i="1"/>
  <c r="BH96" i="1"/>
  <c r="BG96" i="1"/>
  <c r="BH91" i="1"/>
  <c r="BG91" i="1"/>
  <c r="BI91" i="1" s="1"/>
  <c r="BD53" i="1"/>
  <c r="BH53" i="1"/>
  <c r="BG53" i="1"/>
  <c r="BI53" i="1" s="1"/>
  <c r="BF100" i="1"/>
  <c r="BH100" i="1" s="1"/>
  <c r="BF140" i="1"/>
  <c r="BD140" i="1" s="1"/>
  <c r="BG45" i="1"/>
  <c r="BI45" i="1" s="1"/>
  <c r="BG94" i="1"/>
  <c r="BI94" i="1" s="1"/>
  <c r="BG49" i="1"/>
  <c r="BF58" i="1"/>
  <c r="BH49" i="1"/>
  <c r="BF88" i="1"/>
  <c r="BD88" i="1" s="1"/>
  <c r="BF164" i="1"/>
  <c r="BG164" i="1" s="1"/>
  <c r="BF46" i="1"/>
  <c r="BD46" i="1" s="1"/>
  <c r="BF89" i="1"/>
  <c r="BH89" i="1" s="1"/>
  <c r="BG166" i="1"/>
  <c r="BI166" i="1" s="1"/>
  <c r="BH166" i="1"/>
  <c r="BG101" i="1"/>
  <c r="BI101" i="1" s="1"/>
  <c r="BF108" i="1"/>
  <c r="BD108" i="1" s="1"/>
  <c r="BF109" i="1" s="1"/>
  <c r="BF79" i="1"/>
  <c r="BD79" i="1" s="1"/>
  <c r="BF80" i="1" s="1"/>
  <c r="BF66" i="1"/>
  <c r="BD66" i="1" s="1"/>
  <c r="BF67" i="1" s="1"/>
  <c r="BF29" i="1"/>
  <c r="BD29" i="1" s="1"/>
  <c r="BF47" i="1"/>
  <c r="BF86" i="1"/>
  <c r="BF127" i="1"/>
  <c r="BD127" i="1" s="1"/>
  <c r="BF128" i="1" s="1"/>
  <c r="BD62" i="1"/>
  <c r="BF133" i="1"/>
  <c r="BG133" i="1" s="1"/>
  <c r="BF129" i="1"/>
  <c r="BG129" i="1" s="1"/>
  <c r="BG89" i="1"/>
  <c r="BD89" i="1"/>
  <c r="BH66" i="1"/>
  <c r="BG31" i="1"/>
  <c r="BF40" i="1"/>
  <c r="BR42" i="1"/>
  <c r="BH44" i="1"/>
  <c r="BG44" i="1"/>
  <c r="BI44" i="1" s="1"/>
  <c r="BD44" i="1"/>
  <c r="BS114" i="1"/>
  <c r="BP114" i="1"/>
  <c r="BR137" i="1"/>
  <c r="BR154" i="1"/>
  <c r="BR24" i="1"/>
  <c r="BH88" i="1"/>
  <c r="BG88" i="1"/>
  <c r="BI88" i="1" s="1"/>
  <c r="BH143" i="1"/>
  <c r="BG143" i="1"/>
  <c r="BI143" i="1" s="1"/>
  <c r="BD143" i="1"/>
  <c r="BP145" i="1"/>
  <c r="BG51" i="1"/>
  <c r="BH51" i="1"/>
  <c r="BD51" i="1"/>
  <c r="BP56" i="1"/>
  <c r="BR57" i="1" s="1"/>
  <c r="BT56" i="1"/>
  <c r="BS56" i="1"/>
  <c r="BR76" i="1"/>
  <c r="BD90" i="1"/>
  <c r="BG90" i="1"/>
  <c r="BI90" i="1" s="1"/>
  <c r="BH135" i="1"/>
  <c r="BI135" i="1" s="1"/>
  <c r="BD159" i="1"/>
  <c r="BH159" i="1"/>
  <c r="BI159" i="1" s="1"/>
  <c r="BH81" i="1"/>
  <c r="BG81" i="1"/>
  <c r="BI81" i="1" s="1"/>
  <c r="BD27" i="1"/>
  <c r="BF28" i="1" s="1"/>
  <c r="BG27" i="1"/>
  <c r="BI27" i="1" s="1"/>
  <c r="BP46" i="1"/>
  <c r="BR47" i="1" s="1"/>
  <c r="BS46" i="1"/>
  <c r="BU46" i="1" s="1"/>
  <c r="BS33" i="1"/>
  <c r="BT33" i="1"/>
  <c r="BT68" i="1"/>
  <c r="BS68" i="1"/>
  <c r="BT85" i="1"/>
  <c r="BT116" i="1"/>
  <c r="BD129" i="1"/>
  <c r="BH79" i="1"/>
  <c r="BG79" i="1"/>
  <c r="BI79" i="1" s="1"/>
  <c r="BH31" i="1"/>
  <c r="BH30" i="1"/>
  <c r="BG30" i="1"/>
  <c r="BD30" i="1"/>
  <c r="BG52" i="1"/>
  <c r="BI52" i="1" s="1"/>
  <c r="BD52" i="1"/>
  <c r="BR102" i="1"/>
  <c r="BF136" i="1"/>
  <c r="BH133" i="1"/>
  <c r="BD133" i="1"/>
  <c r="BF134" i="1" s="1"/>
  <c r="BG47" i="1"/>
  <c r="BH47" i="1"/>
  <c r="BD47" i="1"/>
  <c r="BF48" i="1" s="1"/>
  <c r="BD128" i="1"/>
  <c r="BG128" i="1"/>
  <c r="BH128" i="1"/>
  <c r="BG58" i="1"/>
  <c r="BH58" i="1"/>
  <c r="BD58" i="1"/>
  <c r="BF59" i="1" s="1"/>
  <c r="BV22" i="1"/>
  <c r="BF33" i="1"/>
  <c r="BR35" i="1"/>
  <c r="BH50" i="1"/>
  <c r="BG50" i="1"/>
  <c r="BS58" i="1"/>
  <c r="BU58" i="1" s="1"/>
  <c r="BP58" i="1"/>
  <c r="BD81" i="1"/>
  <c r="BS26" i="1"/>
  <c r="BT26" i="1"/>
  <c r="BH46" i="1"/>
  <c r="BH63" i="1"/>
  <c r="BD63" i="1"/>
  <c r="BF82" i="1"/>
  <c r="BP110" i="1"/>
  <c r="BR111" i="1" s="1"/>
  <c r="BP111" i="1" s="1"/>
  <c r="BS110" i="1"/>
  <c r="BU110" i="1" s="1"/>
  <c r="BP25" i="1"/>
  <c r="BS25" i="1"/>
  <c r="BU25" i="1" s="1"/>
  <c r="BG63" i="1"/>
  <c r="BP105" i="1"/>
  <c r="BT105" i="1"/>
  <c r="BU105" i="1" s="1"/>
  <c r="BF23" i="1"/>
  <c r="BD41" i="1"/>
  <c r="BF42" i="1" s="1"/>
  <c r="BG41" i="1"/>
  <c r="BI41" i="1" s="1"/>
  <c r="BT50" i="1"/>
  <c r="BS50" i="1"/>
  <c r="BF57" i="1"/>
  <c r="BD60" i="1"/>
  <c r="BF61" i="1" s="1"/>
  <c r="BH60" i="1"/>
  <c r="BG60" i="1"/>
  <c r="BI60" i="1" s="1"/>
  <c r="BD138" i="1"/>
  <c r="BH138" i="1"/>
  <c r="BG138" i="1"/>
  <c r="BI138" i="1" s="1"/>
  <c r="BF118" i="1"/>
  <c r="BR27" i="1"/>
  <c r="BR34" i="1"/>
  <c r="BR48" i="1"/>
  <c r="BD75" i="1"/>
  <c r="BF76" i="1" s="1"/>
  <c r="BH75" i="1"/>
  <c r="BI75" i="1" s="1"/>
  <c r="BR78" i="1"/>
  <c r="BP84" i="1"/>
  <c r="BG22" i="1"/>
  <c r="BI22" i="1" s="1"/>
  <c r="BS37" i="1"/>
  <c r="BF87" i="1"/>
  <c r="BS117" i="1"/>
  <c r="BG32" i="1"/>
  <c r="BI32" i="1" s="1"/>
  <c r="BG39" i="1"/>
  <c r="BI39" i="1" s="1"/>
  <c r="BP69" i="1"/>
  <c r="BG111" i="1"/>
  <c r="BI111" i="1" s="1"/>
  <c r="BD111" i="1"/>
  <c r="BF112" i="1" s="1"/>
  <c r="BT117" i="1"/>
  <c r="BH141" i="1"/>
  <c r="BG141" i="1"/>
  <c r="BD141" i="1"/>
  <c r="BP83" i="1"/>
  <c r="BT83" i="1"/>
  <c r="BF142" i="1"/>
  <c r="BD145" i="1"/>
  <c r="BF146" i="1" s="1"/>
  <c r="BH145" i="1"/>
  <c r="BG145" i="1"/>
  <c r="BH164" i="1"/>
  <c r="BI164" i="1" s="1"/>
  <c r="BD164" i="1"/>
  <c r="BF54" i="1"/>
  <c r="BS69" i="1"/>
  <c r="BU69" i="1" s="1"/>
  <c r="BS83" i="1"/>
  <c r="BT107" i="1"/>
  <c r="BS107" i="1"/>
  <c r="BP107" i="1"/>
  <c r="BT135" i="1"/>
  <c r="BS135" i="1"/>
  <c r="BS142" i="1"/>
  <c r="BP142" i="1"/>
  <c r="BR143" i="1" s="1"/>
  <c r="BR156" i="1"/>
  <c r="BD161" i="1"/>
  <c r="BG161" i="1"/>
  <c r="BI161" i="1" s="1"/>
  <c r="BD91" i="1"/>
  <c r="BF97" i="1"/>
  <c r="BR128" i="1"/>
  <c r="BG140" i="1"/>
  <c r="BF55" i="1"/>
  <c r="BH86" i="1"/>
  <c r="BG86" i="1"/>
  <c r="BD86" i="1"/>
  <c r="BR59" i="1"/>
  <c r="BS67" i="1"/>
  <c r="BT67" i="1"/>
  <c r="BR98" i="1"/>
  <c r="BF64" i="1"/>
  <c r="BT87" i="1"/>
  <c r="BS87" i="1"/>
  <c r="BH108" i="1"/>
  <c r="BG108" i="1"/>
  <c r="BI108" i="1" s="1"/>
  <c r="BS111" i="1"/>
  <c r="BH127" i="1"/>
  <c r="BG127" i="1"/>
  <c r="BR147" i="1"/>
  <c r="BT93" i="1"/>
  <c r="BS93" i="1"/>
  <c r="BU93" i="1" s="1"/>
  <c r="BP93" i="1"/>
  <c r="BR94" i="1" s="1"/>
  <c r="BP155" i="1"/>
  <c r="BS155" i="1"/>
  <c r="BT155" i="1"/>
  <c r="BF165" i="1"/>
  <c r="BF68" i="1"/>
  <c r="BR88" i="1"/>
  <c r="BR112" i="1"/>
  <c r="BS148" i="1"/>
  <c r="BR103" i="1"/>
  <c r="BT148" i="1"/>
  <c r="BT160" i="1"/>
  <c r="BF95" i="1"/>
  <c r="BR126" i="1"/>
  <c r="BF144" i="1"/>
  <c r="BF148" i="1"/>
  <c r="BR163" i="1"/>
  <c r="BF162" i="1"/>
  <c r="BF92" i="1"/>
  <c r="BR119" i="1"/>
  <c r="BR121" i="1"/>
  <c r="BF102" i="1"/>
  <c r="BF130" i="1"/>
  <c r="BR149" i="1"/>
  <c r="BF139" i="1"/>
  <c r="BF160" i="1"/>
  <c r="BF167" i="1"/>
  <c r="BS47" i="1" l="1"/>
  <c r="BP47" i="1"/>
  <c r="BP51" i="1"/>
  <c r="BR52" i="1" s="1"/>
  <c r="BT52" i="1" s="1"/>
  <c r="BS51" i="1"/>
  <c r="BS85" i="1"/>
  <c r="BU114" i="1"/>
  <c r="BS104" i="1"/>
  <c r="BP130" i="1"/>
  <c r="BS130" i="1"/>
  <c r="BT111" i="1"/>
  <c r="BS70" i="1"/>
  <c r="BU70" i="1" s="1"/>
  <c r="BS84" i="1"/>
  <c r="BP109" i="1"/>
  <c r="BT70" i="1"/>
  <c r="BU50" i="1"/>
  <c r="BS152" i="1"/>
  <c r="BS109" i="1"/>
  <c r="BU109" i="1" s="1"/>
  <c r="BS118" i="1"/>
  <c r="BU118" i="1" s="1"/>
  <c r="BP118" i="1"/>
  <c r="BP104" i="1"/>
  <c r="BT152" i="1"/>
  <c r="BT44" i="1"/>
  <c r="BS44" i="1"/>
  <c r="BP44" i="1"/>
  <c r="BR45" i="1" s="1"/>
  <c r="BS45" i="1" s="1"/>
  <c r="BT86" i="1"/>
  <c r="BP86" i="1"/>
  <c r="BP94" i="1"/>
  <c r="BR95" i="1" s="1"/>
  <c r="BT94" i="1"/>
  <c r="BS94" i="1"/>
  <c r="BT143" i="1"/>
  <c r="BS143" i="1"/>
  <c r="BU143" i="1" s="1"/>
  <c r="BX143" i="1" s="1"/>
  <c r="BT133" i="1"/>
  <c r="BS133" i="1"/>
  <c r="BP133" i="1"/>
  <c r="BP57" i="1"/>
  <c r="BT57" i="1"/>
  <c r="BS57" i="1"/>
  <c r="BS123" i="1"/>
  <c r="BS108" i="1"/>
  <c r="BU108" i="1" s="1"/>
  <c r="BT123" i="1"/>
  <c r="BP99" i="1"/>
  <c r="BR100" i="1" s="1"/>
  <c r="BP100" i="1" s="1"/>
  <c r="BR101" i="1" s="1"/>
  <c r="BX108" i="1"/>
  <c r="BS99" i="1"/>
  <c r="BU99" i="1" s="1"/>
  <c r="BU51" i="1"/>
  <c r="BP73" i="1"/>
  <c r="BS132" i="1"/>
  <c r="BU132" i="1" s="1"/>
  <c r="BT132" i="1"/>
  <c r="BU83" i="1"/>
  <c r="BT47" i="1"/>
  <c r="BU47" i="1" s="1"/>
  <c r="BP80" i="1"/>
  <c r="BR81" i="1" s="1"/>
  <c r="BT81" i="1" s="1"/>
  <c r="BT80" i="1"/>
  <c r="BU80" i="1" s="1"/>
  <c r="BP65" i="1"/>
  <c r="BR66" i="1" s="1"/>
  <c r="BS145" i="1"/>
  <c r="BS36" i="1"/>
  <c r="BU36" i="1" s="1"/>
  <c r="BP36" i="1"/>
  <c r="BT51" i="1"/>
  <c r="BP108" i="1"/>
  <c r="BS157" i="1"/>
  <c r="BU157" i="1" s="1"/>
  <c r="BP151" i="1"/>
  <c r="BP54" i="1"/>
  <c r="BR55" i="1" s="1"/>
  <c r="BS134" i="1"/>
  <c r="BT134" i="1"/>
  <c r="BT151" i="1"/>
  <c r="BU151" i="1" s="1"/>
  <c r="BT54" i="1"/>
  <c r="BU54" i="1" s="1"/>
  <c r="BP28" i="1"/>
  <c r="BR29" i="1" s="1"/>
  <c r="BT131" i="1"/>
  <c r="BS72" i="1"/>
  <c r="BU72" i="1" s="1"/>
  <c r="BP143" i="1"/>
  <c r="BR144" i="1" s="1"/>
  <c r="BT144" i="1" s="1"/>
  <c r="BS28" i="1"/>
  <c r="BU28" i="1" s="1"/>
  <c r="BS158" i="1"/>
  <c r="BU158" i="1" s="1"/>
  <c r="BS131" i="1"/>
  <c r="BP71" i="1"/>
  <c r="BS73" i="1"/>
  <c r="BU73" i="1" s="1"/>
  <c r="BS150" i="1"/>
  <c r="BP150" i="1"/>
  <c r="BP158" i="1"/>
  <c r="BR159" i="1" s="1"/>
  <c r="BT159" i="1" s="1"/>
  <c r="BP45" i="1"/>
  <c r="BS81" i="1"/>
  <c r="BU81" i="1" s="1"/>
  <c r="BX81" i="1" s="1"/>
  <c r="BS65" i="1"/>
  <c r="BU65" i="1" s="1"/>
  <c r="BP157" i="1"/>
  <c r="BU37" i="1"/>
  <c r="BP81" i="1"/>
  <c r="BR82" i="1" s="1"/>
  <c r="BP82" i="1" s="1"/>
  <c r="BS71" i="1"/>
  <c r="BU71" i="1" s="1"/>
  <c r="BT77" i="1"/>
  <c r="BP77" i="1"/>
  <c r="BP116" i="1"/>
  <c r="BS43" i="1"/>
  <c r="BU43" i="1" s="1"/>
  <c r="BU148" i="1"/>
  <c r="BP61" i="1"/>
  <c r="BR62" i="1" s="1"/>
  <c r="BS62" i="1" s="1"/>
  <c r="BU135" i="1"/>
  <c r="BX135" i="1" s="1"/>
  <c r="BP164" i="1"/>
  <c r="BR165" i="1" s="1"/>
  <c r="BS165" i="1" s="1"/>
  <c r="BU84" i="1"/>
  <c r="BU145" i="1"/>
  <c r="BU116" i="1"/>
  <c r="BS115" i="1"/>
  <c r="BU115" i="1" s="1"/>
  <c r="BS77" i="1"/>
  <c r="BP115" i="1"/>
  <c r="BS160" i="1"/>
  <c r="BU160" i="1" s="1"/>
  <c r="BT167" i="1"/>
  <c r="BS167" i="1"/>
  <c r="BP167" i="1"/>
  <c r="BS23" i="1"/>
  <c r="BT136" i="1"/>
  <c r="BU136" i="1" s="1"/>
  <c r="BU111" i="1"/>
  <c r="BX111" i="1" s="1"/>
  <c r="BU117" i="1"/>
  <c r="BT23" i="1"/>
  <c r="BS61" i="1"/>
  <c r="BU61" i="1" s="1"/>
  <c r="BU123" i="1"/>
  <c r="BT146" i="1"/>
  <c r="BS146" i="1"/>
  <c r="BP146" i="1"/>
  <c r="BS122" i="1"/>
  <c r="BP122" i="1"/>
  <c r="BT122" i="1"/>
  <c r="BT113" i="1"/>
  <c r="BS113" i="1"/>
  <c r="BP113" i="1"/>
  <c r="BT125" i="1"/>
  <c r="BT124" i="1"/>
  <c r="BT106" i="1"/>
  <c r="BS106" i="1"/>
  <c r="BP106" i="1"/>
  <c r="BT120" i="1"/>
  <c r="BS120" i="1"/>
  <c r="BU120" i="1" s="1"/>
  <c r="BP120" i="1"/>
  <c r="BP72" i="1"/>
  <c r="BP74" i="1"/>
  <c r="BR75" i="1" s="1"/>
  <c r="BS124" i="1"/>
  <c r="BU150" i="1"/>
  <c r="BP127" i="1"/>
  <c r="BT127" i="1"/>
  <c r="BS127" i="1"/>
  <c r="BT153" i="1"/>
  <c r="BS153" i="1"/>
  <c r="BU153" i="1" s="1"/>
  <c r="BT139" i="1"/>
  <c r="BS139" i="1"/>
  <c r="BP139" i="1"/>
  <c r="BR140" i="1" s="1"/>
  <c r="BP140" i="1" s="1"/>
  <c r="BR141" i="1" s="1"/>
  <c r="BU33" i="1"/>
  <c r="BU104" i="1"/>
  <c r="BT74" i="1"/>
  <c r="BU74" i="1" s="1"/>
  <c r="BP38" i="1"/>
  <c r="BR39" i="1" s="1"/>
  <c r="BS159" i="1"/>
  <c r="BU159" i="1" s="1"/>
  <c r="BX159" i="1" s="1"/>
  <c r="BU142" i="1"/>
  <c r="BS75" i="1"/>
  <c r="BS38" i="1"/>
  <c r="BP136" i="1"/>
  <c r="BS125" i="1"/>
  <c r="BU68" i="1"/>
  <c r="BS86" i="1"/>
  <c r="BU86" i="1" s="1"/>
  <c r="BI89" i="1"/>
  <c r="BI96" i="1"/>
  <c r="BH140" i="1"/>
  <c r="BI128" i="1"/>
  <c r="BG29" i="1"/>
  <c r="BH29" i="1"/>
  <c r="BG100" i="1"/>
  <c r="BI100" i="1" s="1"/>
  <c r="BD100" i="1"/>
  <c r="BH129" i="1"/>
  <c r="BI129" i="1" s="1"/>
  <c r="BI47" i="1"/>
  <c r="BG66" i="1"/>
  <c r="BG46" i="1"/>
  <c r="BI46" i="1" s="1"/>
  <c r="BX46" i="1" s="1"/>
  <c r="BI49" i="1"/>
  <c r="BD59" i="1"/>
  <c r="BH59" i="1"/>
  <c r="BG59" i="1"/>
  <c r="BI59" i="1" s="1"/>
  <c r="BD109" i="1"/>
  <c r="BF110" i="1" s="1"/>
  <c r="BG109" i="1"/>
  <c r="BH109" i="1"/>
  <c r="BG146" i="1"/>
  <c r="BD146" i="1"/>
  <c r="BF147" i="1" s="1"/>
  <c r="BH146" i="1"/>
  <c r="BG80" i="1"/>
  <c r="BI80" i="1" s="1"/>
  <c r="BD80" i="1"/>
  <c r="BH80" i="1"/>
  <c r="BH134" i="1"/>
  <c r="BG134" i="1"/>
  <c r="BI134" i="1" s="1"/>
  <c r="BD134" i="1"/>
  <c r="BD112" i="1"/>
  <c r="BF113" i="1" s="1"/>
  <c r="BG112" i="1"/>
  <c r="BH112" i="1"/>
  <c r="BG118" i="1"/>
  <c r="BD118" i="1"/>
  <c r="BF119" i="1" s="1"/>
  <c r="BH118" i="1"/>
  <c r="BU56" i="1"/>
  <c r="BT24" i="1"/>
  <c r="BS24" i="1"/>
  <c r="BP24" i="1"/>
  <c r="BD130" i="1"/>
  <c r="BF131" i="1" s="1"/>
  <c r="BH130" i="1"/>
  <c r="BG130" i="1"/>
  <c r="BI130" i="1" s="1"/>
  <c r="BH148" i="1"/>
  <c r="BG148" i="1"/>
  <c r="BI148" i="1" s="1"/>
  <c r="BD148" i="1"/>
  <c r="BF149" i="1" s="1"/>
  <c r="BS88" i="1"/>
  <c r="BP88" i="1"/>
  <c r="BR89" i="1" s="1"/>
  <c r="BT88" i="1"/>
  <c r="BP147" i="1"/>
  <c r="BT147" i="1"/>
  <c r="BS147" i="1"/>
  <c r="BH57" i="1"/>
  <c r="BG57" i="1"/>
  <c r="BI57" i="1" s="1"/>
  <c r="BD57" i="1"/>
  <c r="BI63" i="1"/>
  <c r="BG82" i="1"/>
  <c r="BH82" i="1"/>
  <c r="BD82" i="1"/>
  <c r="BF83" i="1" s="1"/>
  <c r="BP154" i="1"/>
  <c r="BT154" i="1"/>
  <c r="BS154" i="1"/>
  <c r="BI66" i="1"/>
  <c r="BD102" i="1"/>
  <c r="BF103" i="1" s="1"/>
  <c r="BG102" i="1"/>
  <c r="BH102" i="1"/>
  <c r="BD144" i="1"/>
  <c r="BH144" i="1"/>
  <c r="BG144" i="1"/>
  <c r="BI144" i="1" s="1"/>
  <c r="BI127" i="1"/>
  <c r="BI86" i="1"/>
  <c r="BU107" i="1"/>
  <c r="BI145" i="1"/>
  <c r="BU38" i="1"/>
  <c r="BT137" i="1"/>
  <c r="BS137" i="1"/>
  <c r="BP137" i="1"/>
  <c r="BR138" i="1" s="1"/>
  <c r="BP138" i="1" s="1"/>
  <c r="BR139" i="1" s="1"/>
  <c r="BD67" i="1"/>
  <c r="BG67" i="1"/>
  <c r="BH67" i="1"/>
  <c r="BP103" i="1"/>
  <c r="BS103" i="1"/>
  <c r="BT103" i="1"/>
  <c r="BD95" i="1"/>
  <c r="BH95" i="1"/>
  <c r="BG95" i="1"/>
  <c r="BT78" i="1"/>
  <c r="BS78" i="1"/>
  <c r="BP78" i="1"/>
  <c r="BR79" i="1" s="1"/>
  <c r="BP79" i="1" s="1"/>
  <c r="BI30" i="1"/>
  <c r="BG167" i="1"/>
  <c r="BD167" i="1"/>
  <c r="BH167" i="1"/>
  <c r="BG55" i="1"/>
  <c r="BH55" i="1"/>
  <c r="BD55" i="1"/>
  <c r="BF56" i="1" s="1"/>
  <c r="BG33" i="1"/>
  <c r="BH33" i="1"/>
  <c r="BD33" i="1"/>
  <c r="BF34" i="1" s="1"/>
  <c r="BD28" i="1"/>
  <c r="BH28" i="1"/>
  <c r="BG28" i="1"/>
  <c r="BI28" i="1" s="1"/>
  <c r="BU155" i="1"/>
  <c r="BH162" i="1"/>
  <c r="BG162" i="1"/>
  <c r="BI162" i="1" s="1"/>
  <c r="BD162" i="1"/>
  <c r="BF163" i="1" s="1"/>
  <c r="BJ22" i="1"/>
  <c r="BX22" i="1"/>
  <c r="BT48" i="1"/>
  <c r="BS48" i="1"/>
  <c r="BP48" i="1"/>
  <c r="BR49" i="1" s="1"/>
  <c r="BT49" i="1" s="1"/>
  <c r="BT100" i="1"/>
  <c r="BP126" i="1"/>
  <c r="BR127" i="1" s="1"/>
  <c r="BT126" i="1"/>
  <c r="BS126" i="1"/>
  <c r="BH87" i="1"/>
  <c r="BG87" i="1"/>
  <c r="BI87" i="1" s="1"/>
  <c r="BD87" i="1"/>
  <c r="BT35" i="1"/>
  <c r="BS35" i="1"/>
  <c r="BP35" i="1"/>
  <c r="BP119" i="1"/>
  <c r="BT119" i="1"/>
  <c r="BS119" i="1"/>
  <c r="BH92" i="1"/>
  <c r="BG92" i="1"/>
  <c r="BI92" i="1" s="1"/>
  <c r="BD92" i="1"/>
  <c r="BF93" i="1" s="1"/>
  <c r="BT156" i="1"/>
  <c r="BS156" i="1"/>
  <c r="BP156" i="1"/>
  <c r="BS79" i="1"/>
  <c r="BT79" i="1"/>
  <c r="BU85" i="1"/>
  <c r="BG139" i="1"/>
  <c r="BD139" i="1"/>
  <c r="BH139" i="1"/>
  <c r="BP112" i="1"/>
  <c r="BT112" i="1"/>
  <c r="BS112" i="1"/>
  <c r="BD42" i="1"/>
  <c r="BF43" i="1" s="1"/>
  <c r="BH42" i="1"/>
  <c r="BG42" i="1"/>
  <c r="BI42" i="1" s="1"/>
  <c r="BI58" i="1"/>
  <c r="BX58" i="1" s="1"/>
  <c r="BD48" i="1"/>
  <c r="BG48" i="1"/>
  <c r="BH48" i="1"/>
  <c r="BU87" i="1"/>
  <c r="BU67" i="1"/>
  <c r="BI140" i="1"/>
  <c r="BI141" i="1"/>
  <c r="BT34" i="1"/>
  <c r="BS34" i="1"/>
  <c r="BP34" i="1"/>
  <c r="BT42" i="1"/>
  <c r="BS42" i="1"/>
  <c r="BP42" i="1"/>
  <c r="BD68" i="1"/>
  <c r="BF69" i="1" s="1"/>
  <c r="BG68" i="1"/>
  <c r="BH68" i="1"/>
  <c r="BT121" i="1"/>
  <c r="BS121" i="1"/>
  <c r="BP121" i="1"/>
  <c r="BD165" i="1"/>
  <c r="BG165" i="1"/>
  <c r="BH165" i="1"/>
  <c r="BP98" i="1"/>
  <c r="BT98" i="1"/>
  <c r="BS98" i="1"/>
  <c r="BH142" i="1"/>
  <c r="BD142" i="1"/>
  <c r="BG142" i="1"/>
  <c r="BI142" i="1" s="1"/>
  <c r="BI51" i="1"/>
  <c r="BG160" i="1"/>
  <c r="BD160" i="1"/>
  <c r="BH160" i="1"/>
  <c r="BD76" i="1"/>
  <c r="BF77" i="1" s="1"/>
  <c r="BG76" i="1"/>
  <c r="BH76" i="1"/>
  <c r="BT59" i="1"/>
  <c r="BP59" i="1"/>
  <c r="BR60" i="1" s="1"/>
  <c r="BS59" i="1"/>
  <c r="BG61" i="1"/>
  <c r="BD61" i="1"/>
  <c r="BH61" i="1"/>
  <c r="BP161" i="1"/>
  <c r="BR162" i="1" s="1"/>
  <c r="BT161" i="1"/>
  <c r="BS161" i="1"/>
  <c r="BU161" i="1" s="1"/>
  <c r="BX161" i="1" s="1"/>
  <c r="BT27" i="1"/>
  <c r="BS27" i="1"/>
  <c r="BP27" i="1"/>
  <c r="BH23" i="1"/>
  <c r="BG23" i="1"/>
  <c r="BI23" i="1" s="1"/>
  <c r="BD23" i="1"/>
  <c r="BF24" i="1" s="1"/>
  <c r="BH136" i="1"/>
  <c r="BD136" i="1"/>
  <c r="BF137" i="1" s="1"/>
  <c r="BG136" i="1"/>
  <c r="BI136" i="1" s="1"/>
  <c r="BP76" i="1"/>
  <c r="BT76" i="1"/>
  <c r="BS76" i="1"/>
  <c r="BU76" i="1" s="1"/>
  <c r="BG40" i="1"/>
  <c r="BH40" i="1"/>
  <c r="BD40" i="1"/>
  <c r="BT149" i="1"/>
  <c r="BS149" i="1"/>
  <c r="BP149" i="1"/>
  <c r="BT128" i="1"/>
  <c r="BS128" i="1"/>
  <c r="BP128" i="1"/>
  <c r="BR129" i="1" s="1"/>
  <c r="BG54" i="1"/>
  <c r="BH54" i="1"/>
  <c r="BD54" i="1"/>
  <c r="BU26" i="1"/>
  <c r="BT102" i="1"/>
  <c r="BS102" i="1"/>
  <c r="BP102" i="1"/>
  <c r="BT163" i="1"/>
  <c r="BS163" i="1"/>
  <c r="BP163" i="1"/>
  <c r="BR164" i="1" s="1"/>
  <c r="BT164" i="1" s="1"/>
  <c r="BH64" i="1"/>
  <c r="BG64" i="1"/>
  <c r="BI64" i="1" s="1"/>
  <c r="BD64" i="1"/>
  <c r="BF65" i="1" s="1"/>
  <c r="BG97" i="1"/>
  <c r="BD97" i="1"/>
  <c r="BF98" i="1" s="1"/>
  <c r="BH97" i="1"/>
  <c r="BU130" i="1"/>
  <c r="BI50" i="1"/>
  <c r="BX50" i="1" s="1"/>
  <c r="BI133" i="1"/>
  <c r="BS52" i="1"/>
  <c r="BI31" i="1"/>
  <c r="BP52" i="1" l="1"/>
  <c r="BR53" i="1" s="1"/>
  <c r="BS53" i="1" s="1"/>
  <c r="BU27" i="1"/>
  <c r="BX27" i="1" s="1"/>
  <c r="BU24" i="1"/>
  <c r="BS164" i="1"/>
  <c r="BU164" i="1" s="1"/>
  <c r="BX164" i="1" s="1"/>
  <c r="BU57" i="1"/>
  <c r="BU44" i="1"/>
  <c r="BX44" i="1" s="1"/>
  <c r="BU134" i="1"/>
  <c r="BU156" i="1"/>
  <c r="BP165" i="1"/>
  <c r="BR166" i="1" s="1"/>
  <c r="BT166" i="1" s="1"/>
  <c r="BU126" i="1"/>
  <c r="BU133" i="1"/>
  <c r="BS138" i="1"/>
  <c r="BU138" i="1" s="1"/>
  <c r="BX138" i="1" s="1"/>
  <c r="BT138" i="1"/>
  <c r="BU152" i="1"/>
  <c r="BU112" i="1"/>
  <c r="BS100" i="1"/>
  <c r="BP141" i="1"/>
  <c r="BS141" i="1"/>
  <c r="BT141" i="1"/>
  <c r="BS101" i="1"/>
  <c r="BP101" i="1"/>
  <c r="BT101" i="1"/>
  <c r="BU101" i="1" s="1"/>
  <c r="BX101" i="1" s="1"/>
  <c r="BU165" i="1"/>
  <c r="BS89" i="1"/>
  <c r="BP89" i="1"/>
  <c r="BR90" i="1" s="1"/>
  <c r="BT89" i="1"/>
  <c r="BT82" i="1"/>
  <c r="BP49" i="1"/>
  <c r="BT55" i="1"/>
  <c r="BS55" i="1"/>
  <c r="BU55" i="1" s="1"/>
  <c r="BP55" i="1"/>
  <c r="BU149" i="1"/>
  <c r="BU34" i="1"/>
  <c r="BU78" i="1"/>
  <c r="BX51" i="1"/>
  <c r="BT165" i="1"/>
  <c r="BS140" i="1"/>
  <c r="BU140" i="1" s="1"/>
  <c r="BX140" i="1" s="1"/>
  <c r="BP95" i="1"/>
  <c r="BR96" i="1" s="1"/>
  <c r="BT95" i="1"/>
  <c r="BT39" i="1"/>
  <c r="BP39" i="1"/>
  <c r="BR40" i="1" s="1"/>
  <c r="BS39" i="1"/>
  <c r="BT29" i="1"/>
  <c r="BP29" i="1"/>
  <c r="BR30" i="1" s="1"/>
  <c r="BS29" i="1"/>
  <c r="BP162" i="1"/>
  <c r="BT162" i="1"/>
  <c r="BS162" i="1"/>
  <c r="BU162" i="1" s="1"/>
  <c r="BX162" i="1" s="1"/>
  <c r="BU94" i="1"/>
  <c r="BX94" i="1" s="1"/>
  <c r="BU131" i="1"/>
  <c r="BT140" i="1"/>
  <c r="BS49" i="1"/>
  <c r="BU49" i="1" s="1"/>
  <c r="BX49" i="1" s="1"/>
  <c r="BX47" i="1"/>
  <c r="BT75" i="1"/>
  <c r="BU75" i="1" s="1"/>
  <c r="BX75" i="1" s="1"/>
  <c r="BP75" i="1"/>
  <c r="BS95" i="1"/>
  <c r="BP53" i="1"/>
  <c r="BT53" i="1"/>
  <c r="BU53" i="1" s="1"/>
  <c r="BX53" i="1" s="1"/>
  <c r="BS129" i="1"/>
  <c r="BT129" i="1"/>
  <c r="BU129" i="1" s="1"/>
  <c r="BX129" i="1" s="1"/>
  <c r="BP129" i="1"/>
  <c r="BT60" i="1"/>
  <c r="BP60" i="1"/>
  <c r="BS60" i="1"/>
  <c r="BX80" i="1"/>
  <c r="BS82" i="1"/>
  <c r="BT66" i="1"/>
  <c r="BS66" i="1"/>
  <c r="BP66" i="1"/>
  <c r="BS144" i="1"/>
  <c r="BU144" i="1" s="1"/>
  <c r="BX144" i="1" s="1"/>
  <c r="BU163" i="1"/>
  <c r="BU128" i="1"/>
  <c r="BX128" i="1" s="1"/>
  <c r="BP159" i="1"/>
  <c r="BP144" i="1"/>
  <c r="BT45" i="1"/>
  <c r="BU45" i="1" s="1"/>
  <c r="BX45" i="1" s="1"/>
  <c r="BX28" i="1"/>
  <c r="BU100" i="1"/>
  <c r="BU113" i="1"/>
  <c r="BX100" i="1"/>
  <c r="BU48" i="1"/>
  <c r="BU121" i="1"/>
  <c r="BU106" i="1"/>
  <c r="BU77" i="1"/>
  <c r="BT62" i="1"/>
  <c r="BU62" i="1" s="1"/>
  <c r="BX62" i="1" s="1"/>
  <c r="BX145" i="1"/>
  <c r="BX142" i="1"/>
  <c r="BX148" i="1"/>
  <c r="BU167" i="1"/>
  <c r="BU125" i="1"/>
  <c r="BU122" i="1"/>
  <c r="BU59" i="1"/>
  <c r="BX59" i="1" s="1"/>
  <c r="BP62" i="1"/>
  <c r="BR63" i="1" s="1"/>
  <c r="BU42" i="1"/>
  <c r="BX42" i="1" s="1"/>
  <c r="BX86" i="1"/>
  <c r="BU124" i="1"/>
  <c r="BX136" i="1"/>
  <c r="BU23" i="1"/>
  <c r="BV23" i="1" s="1"/>
  <c r="BU35" i="1"/>
  <c r="BU139" i="1"/>
  <c r="BX87" i="1"/>
  <c r="BU79" i="1"/>
  <c r="BX79" i="1" s="1"/>
  <c r="BX134" i="1"/>
  <c r="BU137" i="1"/>
  <c r="BU127" i="1"/>
  <c r="BX127" i="1" s="1"/>
  <c r="BU146" i="1"/>
  <c r="BI29" i="1"/>
  <c r="BI139" i="1"/>
  <c r="BH149" i="1"/>
  <c r="BG149" i="1"/>
  <c r="BI149" i="1" s="1"/>
  <c r="BX149" i="1" s="1"/>
  <c r="BD149" i="1"/>
  <c r="BF150" i="1" s="1"/>
  <c r="BJ23" i="1"/>
  <c r="BI48" i="1"/>
  <c r="BI33" i="1"/>
  <c r="BX33" i="1" s="1"/>
  <c r="BU102" i="1"/>
  <c r="BI76" i="1"/>
  <c r="BX76" i="1" s="1"/>
  <c r="BD163" i="1"/>
  <c r="BH163" i="1"/>
  <c r="BG163" i="1"/>
  <c r="BH56" i="1"/>
  <c r="BG56" i="1"/>
  <c r="BI56" i="1" s="1"/>
  <c r="BX56" i="1" s="1"/>
  <c r="BD56" i="1"/>
  <c r="BI95" i="1"/>
  <c r="BD83" i="1"/>
  <c r="BF84" i="1" s="1"/>
  <c r="BH83" i="1"/>
  <c r="BG83" i="1"/>
  <c r="BI83" i="1" s="1"/>
  <c r="BX83" i="1" s="1"/>
  <c r="BU88" i="1"/>
  <c r="BX88" i="1" s="1"/>
  <c r="BG77" i="1"/>
  <c r="BH77" i="1"/>
  <c r="BD77" i="1"/>
  <c r="BF78" i="1" s="1"/>
  <c r="BG98" i="1"/>
  <c r="BI98" i="1" s="1"/>
  <c r="BH98" i="1"/>
  <c r="BD98" i="1"/>
  <c r="BF99" i="1" s="1"/>
  <c r="BI82" i="1"/>
  <c r="BI40" i="1"/>
  <c r="BG119" i="1"/>
  <c r="BH119" i="1"/>
  <c r="BD119" i="1"/>
  <c r="BF120" i="1" s="1"/>
  <c r="BI160" i="1"/>
  <c r="BX160" i="1" s="1"/>
  <c r="BU103" i="1"/>
  <c r="BX130" i="1"/>
  <c r="BI118" i="1"/>
  <c r="BX118" i="1" s="1"/>
  <c r="BX57" i="1"/>
  <c r="BH93" i="1"/>
  <c r="BG93" i="1"/>
  <c r="BD93" i="1"/>
  <c r="BI67" i="1"/>
  <c r="BX67" i="1" s="1"/>
  <c r="BI54" i="1"/>
  <c r="BX54" i="1" s="1"/>
  <c r="BD137" i="1"/>
  <c r="BH137" i="1"/>
  <c r="BG137" i="1"/>
  <c r="BI137" i="1" s="1"/>
  <c r="BI61" i="1"/>
  <c r="BX61" i="1" s="1"/>
  <c r="BI102" i="1"/>
  <c r="BD110" i="1"/>
  <c r="BH110" i="1"/>
  <c r="BG110" i="1"/>
  <c r="BI97" i="1"/>
  <c r="BD131" i="1"/>
  <c r="BF132" i="1" s="1"/>
  <c r="BG131" i="1"/>
  <c r="BH131" i="1"/>
  <c r="BI109" i="1"/>
  <c r="BX109" i="1" s="1"/>
  <c r="BU52" i="1"/>
  <c r="BX52" i="1" s="1"/>
  <c r="BU98" i="1"/>
  <c r="BI68" i="1"/>
  <c r="BX68" i="1" s="1"/>
  <c r="BD103" i="1"/>
  <c r="BF104" i="1" s="1"/>
  <c r="BH103" i="1"/>
  <c r="BG103" i="1"/>
  <c r="BI103" i="1" s="1"/>
  <c r="BU147" i="1"/>
  <c r="BH113" i="1"/>
  <c r="BG113" i="1"/>
  <c r="BD113" i="1"/>
  <c r="BF114" i="1" s="1"/>
  <c r="BG69" i="1"/>
  <c r="BD69" i="1"/>
  <c r="BF70" i="1" s="1"/>
  <c r="BH69" i="1"/>
  <c r="BI55" i="1"/>
  <c r="BI165" i="1"/>
  <c r="BG65" i="1"/>
  <c r="BD65" i="1"/>
  <c r="BH65" i="1"/>
  <c r="BH43" i="1"/>
  <c r="BG43" i="1"/>
  <c r="BD43" i="1"/>
  <c r="BH147" i="1"/>
  <c r="BG147" i="1"/>
  <c r="BD147" i="1"/>
  <c r="BI167" i="1"/>
  <c r="BI146" i="1"/>
  <c r="BI112" i="1"/>
  <c r="BX112" i="1" s="1"/>
  <c r="BX133" i="1"/>
  <c r="BH24" i="1"/>
  <c r="BG24" i="1"/>
  <c r="BI24" i="1" s="1"/>
  <c r="BD24" i="1"/>
  <c r="BF25" i="1" s="1"/>
  <c r="BU119" i="1"/>
  <c r="BY22" i="1"/>
  <c r="BD34" i="1"/>
  <c r="BF35" i="1" s="1"/>
  <c r="BG34" i="1"/>
  <c r="BI34" i="1" s="1"/>
  <c r="BX34" i="1" s="1"/>
  <c r="BH34" i="1"/>
  <c r="BU154" i="1"/>
  <c r="BU60" i="1" l="1"/>
  <c r="BX60" i="1" s="1"/>
  <c r="BU82" i="1"/>
  <c r="BS166" i="1"/>
  <c r="BU166" i="1" s="1"/>
  <c r="BX166" i="1" s="1"/>
  <c r="BV24" i="1"/>
  <c r="BV25" i="1" s="1"/>
  <c r="BV26" i="1" s="1"/>
  <c r="BV27" i="1" s="1"/>
  <c r="BV28" i="1" s="1"/>
  <c r="BV29" i="1" s="1"/>
  <c r="BP166" i="1"/>
  <c r="BX24" i="1"/>
  <c r="BU66" i="1"/>
  <c r="BX66" i="1" s="1"/>
  <c r="BU39" i="1"/>
  <c r="BX39" i="1" s="1"/>
  <c r="BU89" i="1"/>
  <c r="BX89" i="1" s="1"/>
  <c r="BU95" i="1"/>
  <c r="BX165" i="1"/>
  <c r="BX48" i="1"/>
  <c r="BX55" i="1"/>
  <c r="BX95" i="1"/>
  <c r="BP40" i="1"/>
  <c r="BR41" i="1" s="1"/>
  <c r="BS40" i="1"/>
  <c r="BT40" i="1"/>
  <c r="BP63" i="1"/>
  <c r="BR64" i="1" s="1"/>
  <c r="BT63" i="1"/>
  <c r="BS63" i="1"/>
  <c r="BU63" i="1" s="1"/>
  <c r="BX63" i="1" s="1"/>
  <c r="BT90" i="1"/>
  <c r="BP90" i="1"/>
  <c r="BR91" i="1" s="1"/>
  <c r="BS90" i="1"/>
  <c r="BU90" i="1" s="1"/>
  <c r="BX90" i="1" s="1"/>
  <c r="BP96" i="1"/>
  <c r="BR97" i="1" s="1"/>
  <c r="BT96" i="1"/>
  <c r="BS96" i="1"/>
  <c r="BU29" i="1"/>
  <c r="BX29" i="1" s="1"/>
  <c r="BU141" i="1"/>
  <c r="BX141" i="1" s="1"/>
  <c r="BS30" i="1"/>
  <c r="BT30" i="1"/>
  <c r="BP30" i="1"/>
  <c r="BR31" i="1" s="1"/>
  <c r="BX137" i="1"/>
  <c r="BX82" i="1"/>
  <c r="BX167" i="1"/>
  <c r="BX146" i="1"/>
  <c r="BX23" i="1"/>
  <c r="BX139" i="1"/>
  <c r="BX98" i="1"/>
  <c r="BY23" i="1"/>
  <c r="BY24" i="1" s="1"/>
  <c r="BX103" i="1"/>
  <c r="BX102" i="1"/>
  <c r="BI131" i="1"/>
  <c r="BX131" i="1" s="1"/>
  <c r="BI147" i="1"/>
  <c r="BX147" i="1" s="1"/>
  <c r="BD78" i="1"/>
  <c r="BH78" i="1"/>
  <c r="BG78" i="1"/>
  <c r="BI78" i="1" s="1"/>
  <c r="BX78" i="1" s="1"/>
  <c r="BI65" i="1"/>
  <c r="BX65" i="1" s="1"/>
  <c r="BG104" i="1"/>
  <c r="BD104" i="1"/>
  <c r="BF105" i="1" s="1"/>
  <c r="BH104" i="1"/>
  <c r="BH70" i="1"/>
  <c r="BD70" i="1"/>
  <c r="BF71" i="1" s="1"/>
  <c r="BG70" i="1"/>
  <c r="BI70" i="1" s="1"/>
  <c r="BX70" i="1" s="1"/>
  <c r="BI119" i="1"/>
  <c r="BX119" i="1" s="1"/>
  <c r="BH84" i="1"/>
  <c r="BG84" i="1"/>
  <c r="BI84" i="1" s="1"/>
  <c r="BX84" i="1" s="1"/>
  <c r="BD84" i="1"/>
  <c r="BF85" i="1" s="1"/>
  <c r="BD114" i="1"/>
  <c r="BF115" i="1" s="1"/>
  <c r="BH114" i="1"/>
  <c r="BG114" i="1"/>
  <c r="BH25" i="1"/>
  <c r="BG25" i="1"/>
  <c r="BI25" i="1" s="1"/>
  <c r="BX25" i="1" s="1"/>
  <c r="BD25" i="1"/>
  <c r="BF26" i="1" s="1"/>
  <c r="BI77" i="1"/>
  <c r="BX77" i="1" s="1"/>
  <c r="BH120" i="1"/>
  <c r="BG120" i="1"/>
  <c r="BI120" i="1" s="1"/>
  <c r="BX120" i="1" s="1"/>
  <c r="BD120" i="1"/>
  <c r="BF121" i="1" s="1"/>
  <c r="BJ24" i="1"/>
  <c r="BI69" i="1"/>
  <c r="BX69" i="1" s="1"/>
  <c r="BH150" i="1"/>
  <c r="BG150" i="1"/>
  <c r="BD150" i="1"/>
  <c r="BF151" i="1" s="1"/>
  <c r="BD35" i="1"/>
  <c r="BF36" i="1" s="1"/>
  <c r="BG35" i="1"/>
  <c r="BH35" i="1"/>
  <c r="BG132" i="1"/>
  <c r="BD132" i="1"/>
  <c r="BH132" i="1"/>
  <c r="BI113" i="1"/>
  <c r="BX113" i="1" s="1"/>
  <c r="BH99" i="1"/>
  <c r="BG99" i="1"/>
  <c r="BD99" i="1"/>
  <c r="BI163" i="1"/>
  <c r="BX163" i="1" s="1"/>
  <c r="BI43" i="1"/>
  <c r="BX43" i="1" s="1"/>
  <c r="BI110" i="1"/>
  <c r="BX110" i="1" s="1"/>
  <c r="BI93" i="1"/>
  <c r="BX93" i="1" s="1"/>
  <c r="BU96" i="1" l="1"/>
  <c r="BX96" i="1" s="1"/>
  <c r="BU30" i="1"/>
  <c r="BX30" i="1" s="1"/>
  <c r="BS64" i="1"/>
  <c r="BT64" i="1"/>
  <c r="BU64" i="1" s="1"/>
  <c r="BX64" i="1" s="1"/>
  <c r="BP64" i="1"/>
  <c r="BS31" i="1"/>
  <c r="BP31" i="1"/>
  <c r="BR32" i="1" s="1"/>
  <c r="BT31" i="1"/>
  <c r="BV30" i="1"/>
  <c r="BP41" i="1"/>
  <c r="BT41" i="1"/>
  <c r="BS41" i="1"/>
  <c r="BU41" i="1" s="1"/>
  <c r="BX41" i="1" s="1"/>
  <c r="BP97" i="1"/>
  <c r="BT97" i="1"/>
  <c r="BS97" i="1"/>
  <c r="BU40" i="1"/>
  <c r="BX40" i="1" s="1"/>
  <c r="BP91" i="1"/>
  <c r="BR92" i="1" s="1"/>
  <c r="BT91" i="1"/>
  <c r="BS91" i="1"/>
  <c r="BU91" i="1" s="1"/>
  <c r="BX91" i="1" s="1"/>
  <c r="BY25" i="1"/>
  <c r="BI99" i="1"/>
  <c r="BX99" i="1" s="1"/>
  <c r="BI132" i="1"/>
  <c r="BX132" i="1" s="1"/>
  <c r="BG71" i="1"/>
  <c r="BD71" i="1"/>
  <c r="BF72" i="1" s="1"/>
  <c r="BH71" i="1"/>
  <c r="BI35" i="1"/>
  <c r="BX35" i="1" s="1"/>
  <c r="BD151" i="1"/>
  <c r="BF152" i="1" s="1"/>
  <c r="BG151" i="1"/>
  <c r="BH151" i="1"/>
  <c r="BH105" i="1"/>
  <c r="BG105" i="1"/>
  <c r="BI105" i="1" s="1"/>
  <c r="BX105" i="1" s="1"/>
  <c r="BD105" i="1"/>
  <c r="BF106" i="1" s="1"/>
  <c r="BI150" i="1"/>
  <c r="BX150" i="1" s="1"/>
  <c r="BI104" i="1"/>
  <c r="BX104" i="1" s="1"/>
  <c r="BH121" i="1"/>
  <c r="BG121" i="1"/>
  <c r="BD121" i="1"/>
  <c r="BF122" i="1" s="1"/>
  <c r="BG26" i="1"/>
  <c r="BH26" i="1"/>
  <c r="BD26" i="1"/>
  <c r="BH36" i="1"/>
  <c r="BG36" i="1"/>
  <c r="BI36" i="1" s="1"/>
  <c r="BX36" i="1" s="1"/>
  <c r="BD36" i="1"/>
  <c r="BF37" i="1" s="1"/>
  <c r="BI114" i="1"/>
  <c r="BX114" i="1" s="1"/>
  <c r="BH115" i="1"/>
  <c r="BG115" i="1"/>
  <c r="BI115" i="1" s="1"/>
  <c r="BX115" i="1" s="1"/>
  <c r="BD115" i="1"/>
  <c r="BF116" i="1" s="1"/>
  <c r="BJ25" i="1"/>
  <c r="BH85" i="1"/>
  <c r="BG85" i="1"/>
  <c r="BD85" i="1"/>
  <c r="BU97" i="1" l="1"/>
  <c r="BX97" i="1" s="1"/>
  <c r="BT32" i="1"/>
  <c r="BS32" i="1"/>
  <c r="BU32" i="1" s="1"/>
  <c r="BX32" i="1" s="1"/>
  <c r="BP32" i="1"/>
  <c r="BU31" i="1"/>
  <c r="BP92" i="1"/>
  <c r="BS92" i="1"/>
  <c r="BT92" i="1"/>
  <c r="BD116" i="1"/>
  <c r="BF117" i="1" s="1"/>
  <c r="BG116" i="1"/>
  <c r="BH116" i="1"/>
  <c r="BH106" i="1"/>
  <c r="BG106" i="1"/>
  <c r="BD106" i="1"/>
  <c r="BF107" i="1" s="1"/>
  <c r="BH37" i="1"/>
  <c r="BG37" i="1"/>
  <c r="BI37" i="1" s="1"/>
  <c r="BX37" i="1" s="1"/>
  <c r="BD37" i="1"/>
  <c r="BF38" i="1" s="1"/>
  <c r="BI151" i="1"/>
  <c r="BX151" i="1" s="1"/>
  <c r="BD152" i="1"/>
  <c r="BF153" i="1" s="1"/>
  <c r="BH152" i="1"/>
  <c r="BG152" i="1"/>
  <c r="BI152" i="1" s="1"/>
  <c r="BX152" i="1" s="1"/>
  <c r="BI26" i="1"/>
  <c r="BD72" i="1"/>
  <c r="BF73" i="1" s="1"/>
  <c r="BH72" i="1"/>
  <c r="BG72" i="1"/>
  <c r="BI72" i="1" s="1"/>
  <c r="BX72" i="1" s="1"/>
  <c r="BI71" i="1"/>
  <c r="BX71" i="1" s="1"/>
  <c r="BH122" i="1"/>
  <c r="BD122" i="1"/>
  <c r="BF123" i="1" s="1"/>
  <c r="BG122" i="1"/>
  <c r="BI122" i="1" s="1"/>
  <c r="BX122" i="1" s="1"/>
  <c r="BI85" i="1"/>
  <c r="BX85" i="1" s="1"/>
  <c r="BI121" i="1"/>
  <c r="BX121" i="1" s="1"/>
  <c r="BU92" i="1" l="1"/>
  <c r="BX92" i="1" s="1"/>
  <c r="BX31" i="1"/>
  <c r="BV9" i="1"/>
  <c r="BV10" i="1"/>
  <c r="BV11" i="1" s="1"/>
  <c r="CL14" i="1" s="1"/>
  <c r="BV31" i="1"/>
  <c r="BV32" i="1" s="1"/>
  <c r="BV33" i="1" s="1"/>
  <c r="BV34" i="1" s="1"/>
  <c r="BV35" i="1" s="1"/>
  <c r="BV36" i="1" s="1"/>
  <c r="BV37" i="1" s="1"/>
  <c r="BV38" i="1" s="1"/>
  <c r="BV39" i="1" s="1"/>
  <c r="BV40" i="1" s="1"/>
  <c r="BV41" i="1" s="1"/>
  <c r="BV42" i="1" s="1"/>
  <c r="BV43" i="1" s="1"/>
  <c r="BV44" i="1" s="1"/>
  <c r="BV45" i="1" s="1"/>
  <c r="BV46" i="1" s="1"/>
  <c r="BV47" i="1" s="1"/>
  <c r="BV48" i="1" s="1"/>
  <c r="BV49" i="1" s="1"/>
  <c r="BV50" i="1" s="1"/>
  <c r="BV51" i="1" s="1"/>
  <c r="BV52" i="1" s="1"/>
  <c r="BV53" i="1" s="1"/>
  <c r="BV54" i="1" s="1"/>
  <c r="BV55" i="1" s="1"/>
  <c r="BV56" i="1" s="1"/>
  <c r="BV57" i="1" s="1"/>
  <c r="BV58" i="1" s="1"/>
  <c r="BV59" i="1" s="1"/>
  <c r="BV60" i="1" s="1"/>
  <c r="BV61" i="1" s="1"/>
  <c r="BV62" i="1" s="1"/>
  <c r="BV63" i="1" s="1"/>
  <c r="BV64" i="1" s="1"/>
  <c r="BV65" i="1" s="1"/>
  <c r="BV66" i="1" s="1"/>
  <c r="BV67" i="1" s="1"/>
  <c r="BV68" i="1" s="1"/>
  <c r="BV69" i="1" s="1"/>
  <c r="BV70" i="1" s="1"/>
  <c r="BV71" i="1" s="1"/>
  <c r="BV72" i="1" s="1"/>
  <c r="BV73" i="1" s="1"/>
  <c r="BV74" i="1" s="1"/>
  <c r="BV75" i="1" s="1"/>
  <c r="BV76" i="1" s="1"/>
  <c r="BV77" i="1" s="1"/>
  <c r="BV78" i="1" s="1"/>
  <c r="BV79" i="1" s="1"/>
  <c r="BV80" i="1" s="1"/>
  <c r="BV81" i="1" s="1"/>
  <c r="BV82" i="1" s="1"/>
  <c r="BV83" i="1" s="1"/>
  <c r="BV84" i="1" s="1"/>
  <c r="BV85" i="1" s="1"/>
  <c r="BV86" i="1" s="1"/>
  <c r="BV87" i="1" s="1"/>
  <c r="BV88" i="1" s="1"/>
  <c r="BV89" i="1" s="1"/>
  <c r="BV90" i="1" s="1"/>
  <c r="BV91" i="1" s="1"/>
  <c r="BV92" i="1" s="1"/>
  <c r="BV93" i="1" s="1"/>
  <c r="BV94" i="1" s="1"/>
  <c r="BV95" i="1" s="1"/>
  <c r="BV96" i="1" s="1"/>
  <c r="BV97" i="1" s="1"/>
  <c r="BV98" i="1" s="1"/>
  <c r="BV99" i="1" s="1"/>
  <c r="BV100" i="1" s="1"/>
  <c r="BV101" i="1" s="1"/>
  <c r="BV102" i="1" s="1"/>
  <c r="BV103" i="1" s="1"/>
  <c r="BV104" i="1" s="1"/>
  <c r="BV105" i="1" s="1"/>
  <c r="BV106" i="1" s="1"/>
  <c r="BV107" i="1" s="1"/>
  <c r="BV108" i="1" s="1"/>
  <c r="BV109" i="1" s="1"/>
  <c r="BV110" i="1" s="1"/>
  <c r="BV111" i="1" s="1"/>
  <c r="BV112" i="1" s="1"/>
  <c r="BV113" i="1" s="1"/>
  <c r="BV114" i="1" s="1"/>
  <c r="BV115" i="1" s="1"/>
  <c r="BV116" i="1" s="1"/>
  <c r="BV117" i="1" s="1"/>
  <c r="BV118" i="1" s="1"/>
  <c r="BV119" i="1" s="1"/>
  <c r="BV120" i="1" s="1"/>
  <c r="BV121" i="1" s="1"/>
  <c r="BV122" i="1" s="1"/>
  <c r="BV123" i="1" s="1"/>
  <c r="BV124" i="1" s="1"/>
  <c r="BV125" i="1" s="1"/>
  <c r="BV126" i="1" s="1"/>
  <c r="BV127" i="1" s="1"/>
  <c r="BV128" i="1" s="1"/>
  <c r="BV129" i="1" s="1"/>
  <c r="BV130" i="1" s="1"/>
  <c r="BV131" i="1" s="1"/>
  <c r="BV132" i="1" s="1"/>
  <c r="BV133" i="1" s="1"/>
  <c r="BV134" i="1" s="1"/>
  <c r="BV135" i="1" s="1"/>
  <c r="BV136" i="1" s="1"/>
  <c r="BV137" i="1" s="1"/>
  <c r="BV138" i="1" s="1"/>
  <c r="BV139" i="1" s="1"/>
  <c r="BV140" i="1" s="1"/>
  <c r="BV141" i="1" s="1"/>
  <c r="BV142" i="1" s="1"/>
  <c r="BV143" i="1" s="1"/>
  <c r="BV144" i="1" s="1"/>
  <c r="BV145" i="1" s="1"/>
  <c r="BV146" i="1" s="1"/>
  <c r="BV147" i="1" s="1"/>
  <c r="BV148" i="1" s="1"/>
  <c r="BV149" i="1" s="1"/>
  <c r="BV150" i="1" s="1"/>
  <c r="BV151" i="1" s="1"/>
  <c r="BV152" i="1" s="1"/>
  <c r="BV153" i="1" s="1"/>
  <c r="BV154" i="1" s="1"/>
  <c r="BV155" i="1" s="1"/>
  <c r="BV156" i="1" s="1"/>
  <c r="BV157" i="1" s="1"/>
  <c r="BV158" i="1" s="1"/>
  <c r="BV159" i="1" s="1"/>
  <c r="BV160" i="1" s="1"/>
  <c r="BV161" i="1" s="1"/>
  <c r="BV162" i="1" s="1"/>
  <c r="BV163" i="1" s="1"/>
  <c r="BV164" i="1" s="1"/>
  <c r="BV165" i="1" s="1"/>
  <c r="BV166" i="1" s="1"/>
  <c r="BV167" i="1" s="1"/>
  <c r="BV1" i="1" s="1"/>
  <c r="BX26" i="1"/>
  <c r="BH38" i="1"/>
  <c r="BG38" i="1"/>
  <c r="BD38" i="1"/>
  <c r="BG107" i="1"/>
  <c r="BH107" i="1"/>
  <c r="BD107" i="1"/>
  <c r="BJ26" i="1"/>
  <c r="BJ27" i="1" s="1"/>
  <c r="BJ28" i="1" s="1"/>
  <c r="BJ29" i="1" s="1"/>
  <c r="BJ30" i="1" s="1"/>
  <c r="BJ31" i="1" s="1"/>
  <c r="BJ32" i="1" s="1"/>
  <c r="BJ33" i="1" s="1"/>
  <c r="BJ34" i="1" s="1"/>
  <c r="BJ35" i="1" s="1"/>
  <c r="BJ36" i="1" s="1"/>
  <c r="BJ37" i="1" s="1"/>
  <c r="BI106" i="1"/>
  <c r="BX106" i="1" s="1"/>
  <c r="BI116" i="1"/>
  <c r="BX116" i="1" s="1"/>
  <c r="BG153" i="1"/>
  <c r="BD153" i="1"/>
  <c r="BF154" i="1" s="1"/>
  <c r="BH153" i="1"/>
  <c r="BD123" i="1"/>
  <c r="BF124" i="1" s="1"/>
  <c r="BG123" i="1"/>
  <c r="BH123" i="1"/>
  <c r="BG73" i="1"/>
  <c r="BH73" i="1"/>
  <c r="BD73" i="1"/>
  <c r="BF74" i="1" s="1"/>
  <c r="BD117" i="1"/>
  <c r="BH117" i="1"/>
  <c r="BG117" i="1"/>
  <c r="BI117" i="1" s="1"/>
  <c r="BX117" i="1" s="1"/>
  <c r="BI153" i="1" l="1"/>
  <c r="BX153" i="1" s="1"/>
  <c r="BG154" i="1"/>
  <c r="BH154" i="1"/>
  <c r="BD154" i="1"/>
  <c r="BF155" i="1" s="1"/>
  <c r="BH74" i="1"/>
  <c r="BD74" i="1"/>
  <c r="BG74" i="1"/>
  <c r="BI107" i="1"/>
  <c r="BX107" i="1" s="1"/>
  <c r="BI73" i="1"/>
  <c r="BX73" i="1" s="1"/>
  <c r="BI38" i="1"/>
  <c r="BJ38" i="1"/>
  <c r="BJ39" i="1" s="1"/>
  <c r="BJ40" i="1" s="1"/>
  <c r="BJ41" i="1" s="1"/>
  <c r="BJ42" i="1" s="1"/>
  <c r="BJ43" i="1" s="1"/>
  <c r="BJ44" i="1" s="1"/>
  <c r="BJ45" i="1" s="1"/>
  <c r="BJ46" i="1" s="1"/>
  <c r="BJ47" i="1" s="1"/>
  <c r="BJ48" i="1" s="1"/>
  <c r="BJ49" i="1" s="1"/>
  <c r="BJ50" i="1" s="1"/>
  <c r="BJ51" i="1" s="1"/>
  <c r="BJ52" i="1" s="1"/>
  <c r="BJ53" i="1" s="1"/>
  <c r="BJ54" i="1" s="1"/>
  <c r="BJ55" i="1" s="1"/>
  <c r="BJ56" i="1" s="1"/>
  <c r="BJ57" i="1" s="1"/>
  <c r="BJ58" i="1" s="1"/>
  <c r="BJ59" i="1" s="1"/>
  <c r="BJ60" i="1" s="1"/>
  <c r="BJ61" i="1" s="1"/>
  <c r="BJ62" i="1" s="1"/>
  <c r="BJ63" i="1" s="1"/>
  <c r="BJ64" i="1" s="1"/>
  <c r="BJ65" i="1" s="1"/>
  <c r="BJ66" i="1" s="1"/>
  <c r="BJ67" i="1" s="1"/>
  <c r="BJ68" i="1" s="1"/>
  <c r="BJ69" i="1" s="1"/>
  <c r="BJ70" i="1" s="1"/>
  <c r="BJ71" i="1" s="1"/>
  <c r="BJ72" i="1" s="1"/>
  <c r="BJ73" i="1" s="1"/>
  <c r="BI123" i="1"/>
  <c r="BX123" i="1" s="1"/>
  <c r="BD124" i="1"/>
  <c r="BF125" i="1" s="1"/>
  <c r="BH124" i="1"/>
  <c r="BG124" i="1"/>
  <c r="BY26" i="1"/>
  <c r="BY27" i="1" s="1"/>
  <c r="BY28" i="1" s="1"/>
  <c r="BY29" i="1" s="1"/>
  <c r="BY30" i="1" s="1"/>
  <c r="BY31" i="1" s="1"/>
  <c r="BY32" i="1" s="1"/>
  <c r="BY33" i="1" s="1"/>
  <c r="BY34" i="1" s="1"/>
  <c r="BY35" i="1" s="1"/>
  <c r="BY36" i="1" s="1"/>
  <c r="BY37" i="1" s="1"/>
  <c r="BI74" i="1" l="1"/>
  <c r="BX74" i="1" s="1"/>
  <c r="BI154" i="1"/>
  <c r="BX154" i="1" s="1"/>
  <c r="BI124" i="1"/>
  <c r="BX124" i="1" s="1"/>
  <c r="BX38" i="1"/>
  <c r="BY38" i="1" s="1"/>
  <c r="BY39" i="1" s="1"/>
  <c r="BY40" i="1" s="1"/>
  <c r="BY41" i="1" s="1"/>
  <c r="BY42" i="1" s="1"/>
  <c r="BY43" i="1" s="1"/>
  <c r="BY44" i="1" s="1"/>
  <c r="BY45" i="1" s="1"/>
  <c r="BY46" i="1" s="1"/>
  <c r="BY47" i="1" s="1"/>
  <c r="BY48" i="1" s="1"/>
  <c r="BY49" i="1" s="1"/>
  <c r="BY50" i="1" s="1"/>
  <c r="BY51" i="1" s="1"/>
  <c r="BY52" i="1" s="1"/>
  <c r="BY53" i="1" s="1"/>
  <c r="BY54" i="1" s="1"/>
  <c r="BY55" i="1" s="1"/>
  <c r="BY56" i="1" s="1"/>
  <c r="BY57" i="1" s="1"/>
  <c r="BY58" i="1" s="1"/>
  <c r="BY59" i="1" s="1"/>
  <c r="BY60" i="1" s="1"/>
  <c r="BY61" i="1" s="1"/>
  <c r="BY62" i="1" s="1"/>
  <c r="BY63" i="1" s="1"/>
  <c r="BY64" i="1" s="1"/>
  <c r="BY65" i="1" s="1"/>
  <c r="BY66" i="1" s="1"/>
  <c r="BY67" i="1" s="1"/>
  <c r="BY68" i="1" s="1"/>
  <c r="BY69" i="1" s="1"/>
  <c r="BY70" i="1" s="1"/>
  <c r="BY71" i="1" s="1"/>
  <c r="BY72" i="1" s="1"/>
  <c r="BY73" i="1" s="1"/>
  <c r="BY74" i="1" s="1"/>
  <c r="BY75" i="1" s="1"/>
  <c r="BY76" i="1" s="1"/>
  <c r="BY77" i="1" s="1"/>
  <c r="BY78" i="1" s="1"/>
  <c r="BY79" i="1" s="1"/>
  <c r="BY80" i="1" s="1"/>
  <c r="BY81" i="1" s="1"/>
  <c r="BY82" i="1" s="1"/>
  <c r="BY83" i="1" s="1"/>
  <c r="BY84" i="1" s="1"/>
  <c r="BY85" i="1" s="1"/>
  <c r="BY86" i="1" s="1"/>
  <c r="BY87" i="1" s="1"/>
  <c r="BY88" i="1" s="1"/>
  <c r="BY89" i="1" s="1"/>
  <c r="BY90" i="1" s="1"/>
  <c r="BY91" i="1" s="1"/>
  <c r="BY92" i="1" s="1"/>
  <c r="BY93" i="1" s="1"/>
  <c r="BY94" i="1" s="1"/>
  <c r="BY95" i="1" s="1"/>
  <c r="BY96" i="1" s="1"/>
  <c r="BY97" i="1" s="1"/>
  <c r="BY98" i="1" s="1"/>
  <c r="BY99" i="1" s="1"/>
  <c r="BY100" i="1" s="1"/>
  <c r="BY101" i="1" s="1"/>
  <c r="BY102" i="1" s="1"/>
  <c r="BY103" i="1" s="1"/>
  <c r="BY104" i="1" s="1"/>
  <c r="BY105" i="1" s="1"/>
  <c r="BY106" i="1" s="1"/>
  <c r="BY107" i="1" s="1"/>
  <c r="BY108" i="1" s="1"/>
  <c r="BY109" i="1" s="1"/>
  <c r="BY110" i="1" s="1"/>
  <c r="BY111" i="1" s="1"/>
  <c r="BY112" i="1" s="1"/>
  <c r="BY113" i="1" s="1"/>
  <c r="BY114" i="1" s="1"/>
  <c r="BY115" i="1" s="1"/>
  <c r="BY116" i="1" s="1"/>
  <c r="BY117" i="1" s="1"/>
  <c r="BY118" i="1" s="1"/>
  <c r="BY119" i="1" s="1"/>
  <c r="BY120" i="1" s="1"/>
  <c r="BY121" i="1" s="1"/>
  <c r="BY122" i="1" s="1"/>
  <c r="BY123" i="1" s="1"/>
  <c r="BY124" i="1" s="1"/>
  <c r="BG125" i="1"/>
  <c r="BD125" i="1"/>
  <c r="BF126" i="1" s="1"/>
  <c r="BH125" i="1"/>
  <c r="BH155" i="1"/>
  <c r="BG155" i="1"/>
  <c r="BI155" i="1" s="1"/>
  <c r="BX155" i="1" s="1"/>
  <c r="BD155" i="1"/>
  <c r="BF156" i="1" s="1"/>
  <c r="BJ74" i="1" l="1"/>
  <c r="BJ75" i="1" s="1"/>
  <c r="BJ76" i="1" s="1"/>
  <c r="BJ77" i="1" s="1"/>
  <c r="BJ78" i="1" s="1"/>
  <c r="BJ79" i="1" s="1"/>
  <c r="BJ80" i="1" s="1"/>
  <c r="BJ81" i="1" s="1"/>
  <c r="BJ82" i="1" s="1"/>
  <c r="BJ83" i="1" s="1"/>
  <c r="BJ84" i="1" s="1"/>
  <c r="BJ85" i="1" s="1"/>
  <c r="BJ86" i="1" s="1"/>
  <c r="BJ87" i="1" s="1"/>
  <c r="BJ88" i="1" s="1"/>
  <c r="BJ89" i="1" s="1"/>
  <c r="BJ90" i="1" s="1"/>
  <c r="BJ91" i="1" s="1"/>
  <c r="BJ92" i="1" s="1"/>
  <c r="BJ93" i="1" s="1"/>
  <c r="BJ94" i="1" s="1"/>
  <c r="BJ95" i="1" s="1"/>
  <c r="BJ96" i="1" s="1"/>
  <c r="BJ97" i="1" s="1"/>
  <c r="BJ98" i="1" s="1"/>
  <c r="BJ99" i="1" s="1"/>
  <c r="BJ100" i="1" s="1"/>
  <c r="BJ101" i="1" s="1"/>
  <c r="BJ102" i="1" s="1"/>
  <c r="BJ103" i="1" s="1"/>
  <c r="BJ104" i="1" s="1"/>
  <c r="BJ105" i="1" s="1"/>
  <c r="BJ106" i="1" s="1"/>
  <c r="BJ107" i="1" s="1"/>
  <c r="BJ108" i="1" s="1"/>
  <c r="BJ109" i="1" s="1"/>
  <c r="BJ110" i="1" s="1"/>
  <c r="BJ111" i="1" s="1"/>
  <c r="BJ112" i="1" s="1"/>
  <c r="BJ113" i="1" s="1"/>
  <c r="BJ114" i="1" s="1"/>
  <c r="BJ115" i="1" s="1"/>
  <c r="BJ116" i="1" s="1"/>
  <c r="BJ117" i="1" s="1"/>
  <c r="BJ118" i="1" s="1"/>
  <c r="BJ119" i="1" s="1"/>
  <c r="BJ120" i="1" s="1"/>
  <c r="BJ121" i="1" s="1"/>
  <c r="BJ122" i="1" s="1"/>
  <c r="BJ123" i="1" s="1"/>
  <c r="BJ124" i="1" s="1"/>
  <c r="BD126" i="1"/>
  <c r="BH126" i="1"/>
  <c r="BG126" i="1"/>
  <c r="BI125" i="1"/>
  <c r="BD156" i="1"/>
  <c r="BF157" i="1" s="1"/>
  <c r="BH156" i="1"/>
  <c r="BG156" i="1"/>
  <c r="BI156" i="1" s="1"/>
  <c r="BX156" i="1" s="1"/>
  <c r="BI126" i="1" l="1"/>
  <c r="BX126" i="1" s="1"/>
  <c r="BH157" i="1"/>
  <c r="BD157" i="1"/>
  <c r="BF158" i="1" s="1"/>
  <c r="BG157" i="1"/>
  <c r="BI157" i="1" s="1"/>
  <c r="BX157" i="1" s="1"/>
  <c r="BX125" i="1"/>
  <c r="BJ125" i="1"/>
  <c r="BJ126" i="1" s="1"/>
  <c r="BJ127" i="1" s="1"/>
  <c r="BJ128" i="1" s="1"/>
  <c r="BJ129" i="1" s="1"/>
  <c r="BJ130" i="1" s="1"/>
  <c r="BJ131" i="1" s="1"/>
  <c r="BJ132" i="1" s="1"/>
  <c r="BJ133" i="1" s="1"/>
  <c r="BJ134" i="1" s="1"/>
  <c r="BJ135" i="1" s="1"/>
  <c r="BJ136" i="1" s="1"/>
  <c r="BJ137" i="1" s="1"/>
  <c r="BJ138" i="1" s="1"/>
  <c r="BJ139" i="1" s="1"/>
  <c r="BJ140" i="1" s="1"/>
  <c r="BJ141" i="1" s="1"/>
  <c r="BJ142" i="1" s="1"/>
  <c r="BJ143" i="1" s="1"/>
  <c r="BJ144" i="1" s="1"/>
  <c r="BJ145" i="1" s="1"/>
  <c r="BJ146" i="1" s="1"/>
  <c r="BJ147" i="1" s="1"/>
  <c r="BJ148" i="1" s="1"/>
  <c r="BJ149" i="1" s="1"/>
  <c r="BJ150" i="1" s="1"/>
  <c r="BJ151" i="1" s="1"/>
  <c r="BJ152" i="1" s="1"/>
  <c r="BJ153" i="1" s="1"/>
  <c r="BJ154" i="1" s="1"/>
  <c r="BJ155" i="1" s="1"/>
  <c r="BJ156" i="1" s="1"/>
  <c r="BJ157" i="1" s="1"/>
  <c r="BY125" i="1" l="1"/>
  <c r="BY126" i="1" s="1"/>
  <c r="BY127" i="1" s="1"/>
  <c r="BY128" i="1" s="1"/>
  <c r="BY129" i="1" s="1"/>
  <c r="BY130" i="1" s="1"/>
  <c r="BY131" i="1" s="1"/>
  <c r="BY132" i="1" s="1"/>
  <c r="BY133" i="1" s="1"/>
  <c r="BY134" i="1" s="1"/>
  <c r="BY135" i="1" s="1"/>
  <c r="BY136" i="1" s="1"/>
  <c r="BY137" i="1" s="1"/>
  <c r="BY138" i="1" s="1"/>
  <c r="BY139" i="1" s="1"/>
  <c r="BY140" i="1" s="1"/>
  <c r="BY141" i="1" s="1"/>
  <c r="BY142" i="1" s="1"/>
  <c r="BY143" i="1" s="1"/>
  <c r="BY144" i="1" s="1"/>
  <c r="BY145" i="1" s="1"/>
  <c r="BY146" i="1" s="1"/>
  <c r="BY147" i="1" s="1"/>
  <c r="BY148" i="1" s="1"/>
  <c r="BY149" i="1" s="1"/>
  <c r="BY150" i="1" s="1"/>
  <c r="BY151" i="1" s="1"/>
  <c r="BY152" i="1" s="1"/>
  <c r="BY153" i="1" s="1"/>
  <c r="BY154" i="1" s="1"/>
  <c r="BY155" i="1" s="1"/>
  <c r="BY156" i="1" s="1"/>
  <c r="BY157" i="1" s="1"/>
  <c r="BD158" i="1"/>
  <c r="BH158" i="1"/>
  <c r="BG158" i="1"/>
  <c r="BI158" i="1" l="1"/>
  <c r="BX158" i="1"/>
  <c r="BY158" i="1" s="1"/>
  <c r="BY159" i="1" s="1"/>
  <c r="BY160" i="1" s="1"/>
  <c r="BY161" i="1" s="1"/>
  <c r="BY162" i="1" s="1"/>
  <c r="BY163" i="1" s="1"/>
  <c r="BY164" i="1" s="1"/>
  <c r="BY165" i="1" s="1"/>
  <c r="BY166" i="1" s="1"/>
  <c r="BY167" i="1" s="1"/>
  <c r="BY1" i="1" s="1"/>
  <c r="BJ9" i="1"/>
  <c r="BJ10" i="1"/>
  <c r="BJ158" i="1"/>
  <c r="BJ159" i="1" s="1"/>
  <c r="BJ160" i="1" s="1"/>
  <c r="BJ161" i="1" s="1"/>
  <c r="BJ162" i="1" s="1"/>
  <c r="BJ163" i="1" s="1"/>
  <c r="BJ164" i="1" s="1"/>
  <c r="BJ165" i="1" s="1"/>
  <c r="BJ166" i="1" s="1"/>
  <c r="BJ167" i="1" s="1"/>
  <c r="BJ1" i="1" s="1"/>
  <c r="BJ11" i="1" l="1"/>
  <c r="CL3" i="1" s="1"/>
  <c r="BY9" i="1"/>
  <c r="BY10" i="1"/>
  <c r="BY11" i="1" l="1"/>
</calcChain>
</file>

<file path=xl/sharedStrings.xml><?xml version="1.0" encoding="utf-8"?>
<sst xmlns="http://schemas.openxmlformats.org/spreadsheetml/2006/main" count="65" uniqueCount="50">
  <si>
    <t>date</t>
  </si>
  <si>
    <t>CMF</t>
  </si>
  <si>
    <t>VTEC</t>
  </si>
  <si>
    <t>CMF log rtn</t>
  </si>
  <si>
    <t>VTEC log rtn</t>
  </si>
  <si>
    <t>CMF div</t>
  </si>
  <si>
    <t>CMF div cumsum</t>
  </si>
  <si>
    <t>VTEC div</t>
  </si>
  <si>
    <t>VTEC div cumsum</t>
  </si>
  <si>
    <t>CMF div adjustment</t>
  </si>
  <si>
    <t>VTEC div adjustment</t>
  </si>
  <si>
    <t>CMF*</t>
  </si>
  <si>
    <t>VTEC*</t>
  </si>
  <si>
    <t>VTEC/CMF</t>
  </si>
  <si>
    <t>VTEC/CMF avg</t>
  </si>
  <si>
    <t>VTEC/CMF 10 dma</t>
  </si>
  <si>
    <t>VTEC/CMF 20 dma</t>
  </si>
  <si>
    <t>CMF x avg</t>
  </si>
  <si>
    <t>CMF x 10 dma</t>
  </si>
  <si>
    <t>CMF x 20 dma</t>
  </si>
  <si>
    <t>log diff CMF x avg / VTEC</t>
  </si>
  <si>
    <t>log diff CMF x 10 dma / VTEC</t>
  </si>
  <si>
    <t>log diff CMF x 20 dma / VTEC</t>
  </si>
  <si>
    <t>VTEC*/CMF*</t>
  </si>
  <si>
    <t>VTEC*/CMF* avg</t>
  </si>
  <si>
    <t>VTEC*/CMF* 10 dma</t>
  </si>
  <si>
    <t>VTEC*/CMF* 20 dma</t>
  </si>
  <si>
    <t>CMF* x avg</t>
  </si>
  <si>
    <t>CMF* x 10 dma</t>
  </si>
  <si>
    <t>CMF* x 20 dma</t>
  </si>
  <si>
    <t>log diff CMF* x avg / VTEC*</t>
  </si>
  <si>
    <t>log diff CMF* x 10 dma / VTEC*</t>
  </si>
  <si>
    <t>log diff CMF* x 20 dma / VTEC*</t>
  </si>
  <si>
    <t>enter</t>
  </si>
  <si>
    <t>row</t>
  </si>
  <si>
    <t>ba20</t>
  </si>
  <si>
    <t>col</t>
  </si>
  <si>
    <t>ba21</t>
  </si>
  <si>
    <t>exit</t>
  </si>
  <si>
    <t>bm20</t>
  </si>
  <si>
    <t>bm21</t>
  </si>
  <si>
    <t>grand</t>
  </si>
  <si>
    <t>signal</t>
  </si>
  <si>
    <t>under</t>
  </si>
  <si>
    <t>over</t>
  </si>
  <si>
    <t>yday</t>
  </si>
  <si>
    <t>ex-date</t>
  </si>
  <si>
    <t>position</t>
  </si>
  <si>
    <t>sum</t>
  </si>
  <si>
    <t>cumsum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</si>
</sst>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(&quot;$&quot;* #,##0.0000_);_(&quot;$&quot;* \(#,##0.0000\);_(&quot;$&quot;* &quot;-&quot;??_);_(@_)"/>
    <numFmt numFmtId="165" formatCode="_(* #,##0.0000_);_(* \(#,##0.0000\);_(* &quot;-&quot;??_);_(@_)"/>
  </numFmts>
  <fonts count="24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u/>
      <sz val="11"/>
      <color theme="1"/>
      <name val="Aptos Narrow"/>
      <family val="2"/>
      <scheme val="minor"/>
    </font>
    <font>
      <b/>
      <u/>
      <sz val="11"/>
      <color rgb="FF000000"/>
      <name val="Aptos Narrow"/>
      <family val="2"/>
    </font>
    <font>
      <sz val="11"/>
      <color rgb="FF000000"/>
      <name val="Aptos Narrow"/>
      <family val="2"/>
    </font>
    <font>
      <b/>
      <sz val="11"/>
      <color rgb="FF000000"/>
      <name val="Aptos Narrow"/>
      <family val="2"/>
    </font>
    <font>
      <sz val="11"/>
      <color rgb="FF0070C0"/>
      <name val="Aptos Narrow"/>
      <family val="2"/>
    </font>
    <font>
      <b/>
      <sz val="11"/>
      <color rgb="FFC00000"/>
      <name val="Aptos Narrow"/>
      <family val="2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rgb="FF000000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45">
    <xf numFmtId="0" fontId="0" fillId="0" borderId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4">
    <xf numFmtId="0" fontId="0" fillId="0" borderId="0" xfId="0"/>
    <xf numFmtId="14" fontId="0" fillId="0" borderId="0" xfId="0" applyNumberFormat="1"/>
    <xf numFmtId="0" fontId="18" fillId="0" borderId="0" xfId="0" applyFont="1" applyAlignment="1">
      <alignment horizontal="center"/>
    </xf>
    <xf numFmtId="164" fontId="18" fillId="0" borderId="0" xfId="2" applyNumberFormat="1" applyFont="1" applyAlignment="1">
      <alignment horizontal="center"/>
    </xf>
    <xf numFmtId="10" fontId="18" fillId="0" borderId="0" xfId="3" applyNumberFormat="1" applyFont="1" applyAlignment="1">
      <alignment horizontal="center"/>
    </xf>
    <xf numFmtId="165" fontId="18" fillId="0" borderId="0" xfId="1" applyNumberFormat="1" applyFont="1" applyAlignment="1">
      <alignment horizontal="center"/>
    </xf>
    <xf numFmtId="164" fontId="0" fillId="0" borderId="0" xfId="2" applyNumberFormat="1" applyFont="1"/>
    <xf numFmtId="10" fontId="0" fillId="0" borderId="0" xfId="3" applyNumberFormat="1" applyFont="1"/>
    <xf numFmtId="165" fontId="0" fillId="0" borderId="0" xfId="1" applyNumberFormat="1" applyFont="1"/>
    <xf numFmtId="0" fontId="19" fillId="0" borderId="0" xfId="0" applyFont="1" applyAlignment="1">
      <alignment horizontal="center"/>
    </xf>
    <xf numFmtId="0" fontId="19" fillId="0" borderId="0" xfId="0" applyFont="1" applyAlignment="1">
      <alignment horizontal="right"/>
    </xf>
    <xf numFmtId="10" fontId="19" fillId="0" borderId="0" xfId="0" applyNumberFormat="1" applyFont="1" applyAlignment="1">
      <alignment horizontal="right"/>
    </xf>
    <xf numFmtId="0" fontId="20" fillId="0" borderId="0" xfId="0" applyFont="1"/>
    <xf numFmtId="44" fontId="20" fillId="0" borderId="0" xfId="2" applyFont="1" applyFill="1" applyBorder="1"/>
    <xf numFmtId="43" fontId="21" fillId="0" borderId="0" xfId="1" applyFont="1" applyFill="1" applyBorder="1"/>
    <xf numFmtId="10" fontId="21" fillId="0" borderId="0" xfId="3" applyNumberFormat="1" applyFont="1" applyFill="1" applyBorder="1"/>
    <xf numFmtId="43" fontId="20" fillId="0" borderId="0" xfId="1" applyFont="1" applyFill="1" applyBorder="1"/>
    <xf numFmtId="43" fontId="20" fillId="0" borderId="10" xfId="1" applyFont="1" applyFill="1" applyBorder="1"/>
    <xf numFmtId="10" fontId="20" fillId="0" borderId="0" xfId="0" applyNumberFormat="1" applyFont="1"/>
    <xf numFmtId="44" fontId="22" fillId="0" borderId="0" xfId="2" applyFont="1" applyFill="1" applyBorder="1"/>
    <xf numFmtId="44" fontId="19" fillId="0" borderId="0" xfId="2" applyFont="1" applyFill="1" applyBorder="1" applyAlignment="1">
      <alignment horizontal="right"/>
    </xf>
    <xf numFmtId="10" fontId="19" fillId="33" borderId="0" xfId="2" applyNumberFormat="1" applyFont="1" applyFill="1" applyBorder="1" applyAlignment="1">
      <alignment horizontal="right"/>
    </xf>
    <xf numFmtId="0" fontId="23" fillId="0" borderId="0" xfId="0" applyFont="1"/>
    <xf numFmtId="10" fontId="20" fillId="0" borderId="0" xfId="3" applyNumberFormat="1" applyFont="1" applyFill="1" applyBorder="1"/>
  </cellXfs>
  <cellStyles count="45">
    <cellStyle name="20% - Accent1" xfId="22" builtinId="30" customBuiltin="1"/>
    <cellStyle name="20% - Accent2" xfId="26" builtinId="34" customBuiltin="1"/>
    <cellStyle name="20% - Accent3" xfId="30" builtinId="38" customBuiltin="1"/>
    <cellStyle name="20% - Accent4" xfId="34" builtinId="42" customBuiltin="1"/>
    <cellStyle name="20% - Accent5" xfId="38" builtinId="46" customBuiltin="1"/>
    <cellStyle name="20% - Accent6" xfId="42" builtinId="50" customBuiltin="1"/>
    <cellStyle name="40% - Accent1" xfId="23" builtinId="31" customBuiltin="1"/>
    <cellStyle name="40% - Accent2" xfId="27" builtinId="35" customBuiltin="1"/>
    <cellStyle name="40% - Accent3" xfId="31" builtinId="39" customBuiltin="1"/>
    <cellStyle name="40% - Accent4" xfId="35" builtinId="43" customBuiltin="1"/>
    <cellStyle name="40% - Accent5" xfId="39" builtinId="47" customBuiltin="1"/>
    <cellStyle name="40% - Accent6" xfId="43" builtinId="51" customBuiltin="1"/>
    <cellStyle name="60% - Accent1" xfId="24" builtinId="32" customBuiltin="1"/>
    <cellStyle name="60% - Accent2" xfId="28" builtinId="36" customBuiltin="1"/>
    <cellStyle name="60% - Accent3" xfId="32" builtinId="40" customBuiltin="1"/>
    <cellStyle name="60% - Accent4" xfId="36" builtinId="44" customBuiltin="1"/>
    <cellStyle name="60% - Accent5" xfId="40" builtinId="48" customBuiltin="1"/>
    <cellStyle name="60% - Accent6" xfId="44" builtinId="52" customBuiltin="1"/>
    <cellStyle name="Accent1" xfId="21" builtinId="29" customBuiltin="1"/>
    <cellStyle name="Accent2" xfId="25" builtinId="33" customBuiltin="1"/>
    <cellStyle name="Accent3" xfId="29" builtinId="37" customBuiltin="1"/>
    <cellStyle name="Accent4" xfId="33" builtinId="41" customBuiltin="1"/>
    <cellStyle name="Accent5" xfId="37" builtinId="45" customBuiltin="1"/>
    <cellStyle name="Accent6" xfId="41" builtinId="49" customBuiltin="1"/>
    <cellStyle name="Bad" xfId="10" builtinId="27" customBuiltin="1"/>
    <cellStyle name="Calculation" xfId="14" builtinId="22" customBuiltin="1"/>
    <cellStyle name="Check Cell" xfId="16" builtinId="23" customBuiltin="1"/>
    <cellStyle name="Comma" xfId="1" builtinId="3"/>
    <cellStyle name="Currency" xfId="2" builtinId="4"/>
    <cellStyle name="Explanatory Text" xfId="19" builtinId="53" customBuiltin="1"/>
    <cellStyle name="Good" xfId="9" builtinId="26" customBuiltin="1"/>
    <cellStyle name="Heading 1" xfId="5" builtinId="16" customBuiltin="1"/>
    <cellStyle name="Heading 2" xfId="6" builtinId="17" customBuiltin="1"/>
    <cellStyle name="Heading 3" xfId="7" builtinId="18" customBuiltin="1"/>
    <cellStyle name="Heading 4" xfId="8" builtinId="19" customBuiltin="1"/>
    <cellStyle name="Input" xfId="12" builtinId="20" customBuiltin="1"/>
    <cellStyle name="Linked Cell" xfId="15" builtinId="24" customBuiltin="1"/>
    <cellStyle name="Neutral" xfId="11" builtinId="28" customBuiltin="1"/>
    <cellStyle name="Normal" xfId="0" builtinId="0"/>
    <cellStyle name="Note" xfId="18" builtinId="10" customBuiltin="1"/>
    <cellStyle name="Output" xfId="13" builtinId="21" customBuiltin="1"/>
    <cellStyle name="Percent" xfId="3" builtinId="5"/>
    <cellStyle name="Title" xfId="4" builtinId="15" customBuiltin="1"/>
    <cellStyle name="Total" xfId="20" builtinId="25" customBuiltin="1"/>
    <cellStyle name="Warning Text" xfId="17" builtinId="11" customBuiltin="1"/>
  </cellStyles>
  <dxfs count="3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CMF_VTEC_2!$O$1</c:f>
              <c:strCache>
                <c:ptCount val="1"/>
                <c:pt idx="0">
                  <c:v> VTEC/CMF avg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CMF_VTEC_2!$O$2:$O$167</c:f>
              <c:numCache>
                <c:formatCode>_(* #,##0.0000_);_(* \(#,##0.0000\);_(* "-"??_);_(@_)</c:formatCode>
                <c:ptCount val="166"/>
                <c:pt idx="0">
                  <c:v>1.7441031794745401</c:v>
                </c:pt>
                <c:pt idx="1">
                  <c:v>1.7441031794745401</c:v>
                </c:pt>
                <c:pt idx="2">
                  <c:v>1.7441031794745401</c:v>
                </c:pt>
                <c:pt idx="3">
                  <c:v>1.7441031794745401</c:v>
                </c:pt>
                <c:pt idx="4">
                  <c:v>1.7441031794745401</c:v>
                </c:pt>
                <c:pt idx="5">
                  <c:v>1.7441031794745401</c:v>
                </c:pt>
                <c:pt idx="6">
                  <c:v>1.7441031794745401</c:v>
                </c:pt>
                <c:pt idx="7">
                  <c:v>1.7441031794745401</c:v>
                </c:pt>
                <c:pt idx="8">
                  <c:v>1.7441031794745401</c:v>
                </c:pt>
                <c:pt idx="9">
                  <c:v>1.7441031794745401</c:v>
                </c:pt>
                <c:pt idx="10">
                  <c:v>1.7441031794745401</c:v>
                </c:pt>
                <c:pt idx="11">
                  <c:v>1.7441031794745401</c:v>
                </c:pt>
                <c:pt idx="12">
                  <c:v>1.7441031794745401</c:v>
                </c:pt>
                <c:pt idx="13">
                  <c:v>1.7441031794745401</c:v>
                </c:pt>
                <c:pt idx="14">
                  <c:v>1.7441031794745401</c:v>
                </c:pt>
                <c:pt idx="15">
                  <c:v>1.7441031794745401</c:v>
                </c:pt>
                <c:pt idx="16">
                  <c:v>1.7441031794745401</c:v>
                </c:pt>
                <c:pt idx="17">
                  <c:v>1.7441031794745401</c:v>
                </c:pt>
                <c:pt idx="18">
                  <c:v>1.7441031794745401</c:v>
                </c:pt>
                <c:pt idx="19">
                  <c:v>1.7441031794745401</c:v>
                </c:pt>
                <c:pt idx="20">
                  <c:v>1.7441031794745401</c:v>
                </c:pt>
                <c:pt idx="21">
                  <c:v>1.7441031794745401</c:v>
                </c:pt>
                <c:pt idx="22">
                  <c:v>1.7441031794745401</c:v>
                </c:pt>
                <c:pt idx="23">
                  <c:v>1.7441031794745401</c:v>
                </c:pt>
                <c:pt idx="24">
                  <c:v>1.7441031794745401</c:v>
                </c:pt>
                <c:pt idx="25">
                  <c:v>1.7441031794745401</c:v>
                </c:pt>
                <c:pt idx="26">
                  <c:v>1.7441031794745401</c:v>
                </c:pt>
                <c:pt idx="27">
                  <c:v>1.7441031794745401</c:v>
                </c:pt>
                <c:pt idx="28">
                  <c:v>1.7441031794745401</c:v>
                </c:pt>
                <c:pt idx="29">
                  <c:v>1.7441031794745401</c:v>
                </c:pt>
                <c:pt idx="30">
                  <c:v>1.7441031794745401</c:v>
                </c:pt>
                <c:pt idx="31">
                  <c:v>1.7441031794745401</c:v>
                </c:pt>
                <c:pt idx="32">
                  <c:v>1.7441031794745401</c:v>
                </c:pt>
                <c:pt idx="33">
                  <c:v>1.7441031794745401</c:v>
                </c:pt>
                <c:pt idx="34">
                  <c:v>1.7441031794745401</c:v>
                </c:pt>
                <c:pt idx="35">
                  <c:v>1.7441031794745401</c:v>
                </c:pt>
                <c:pt idx="36">
                  <c:v>1.7441031794745401</c:v>
                </c:pt>
                <c:pt idx="37">
                  <c:v>1.7441031794745401</c:v>
                </c:pt>
                <c:pt idx="38">
                  <c:v>1.7441031794745401</c:v>
                </c:pt>
                <c:pt idx="39">
                  <c:v>1.7441031794745401</c:v>
                </c:pt>
                <c:pt idx="40">
                  <c:v>1.7441031794745401</c:v>
                </c:pt>
                <c:pt idx="41">
                  <c:v>1.7441031794745401</c:v>
                </c:pt>
                <c:pt idx="42">
                  <c:v>1.7441031794745401</c:v>
                </c:pt>
                <c:pt idx="43">
                  <c:v>1.7441031794745401</c:v>
                </c:pt>
                <c:pt idx="44">
                  <c:v>1.7441031794745401</c:v>
                </c:pt>
                <c:pt idx="45">
                  <c:v>1.7441031794745401</c:v>
                </c:pt>
                <c:pt idx="46">
                  <c:v>1.7441031794745401</c:v>
                </c:pt>
                <c:pt idx="47">
                  <c:v>1.7441031794745401</c:v>
                </c:pt>
                <c:pt idx="48">
                  <c:v>1.7441031794745401</c:v>
                </c:pt>
                <c:pt idx="49">
                  <c:v>1.7441031794745401</c:v>
                </c:pt>
                <c:pt idx="50">
                  <c:v>1.7441031794745401</c:v>
                </c:pt>
                <c:pt idx="51">
                  <c:v>1.7441031794745401</c:v>
                </c:pt>
                <c:pt idx="52">
                  <c:v>1.7441031794745401</c:v>
                </c:pt>
                <c:pt idx="53">
                  <c:v>1.7441031794745401</c:v>
                </c:pt>
                <c:pt idx="54">
                  <c:v>1.7441031794745401</c:v>
                </c:pt>
                <c:pt idx="55">
                  <c:v>1.7441031794745401</c:v>
                </c:pt>
                <c:pt idx="56">
                  <c:v>1.7441031794745401</c:v>
                </c:pt>
                <c:pt idx="57">
                  <c:v>1.7441031794745401</c:v>
                </c:pt>
                <c:pt idx="58">
                  <c:v>1.7441031794745401</c:v>
                </c:pt>
                <c:pt idx="59">
                  <c:v>1.7441031794745401</c:v>
                </c:pt>
                <c:pt idx="60">
                  <c:v>1.7441031794745401</c:v>
                </c:pt>
                <c:pt idx="61">
                  <c:v>1.7441031794745401</c:v>
                </c:pt>
                <c:pt idx="62">
                  <c:v>1.7441031794745401</c:v>
                </c:pt>
                <c:pt idx="63">
                  <c:v>1.7441031794745401</c:v>
                </c:pt>
                <c:pt idx="64">
                  <c:v>1.7441031794745401</c:v>
                </c:pt>
                <c:pt idx="65">
                  <c:v>1.7441031794745401</c:v>
                </c:pt>
                <c:pt idx="66">
                  <c:v>1.7441031794745401</c:v>
                </c:pt>
                <c:pt idx="67">
                  <c:v>1.7441031794745401</c:v>
                </c:pt>
                <c:pt idx="68">
                  <c:v>1.7441031794745401</c:v>
                </c:pt>
                <c:pt idx="69">
                  <c:v>1.7441031794745401</c:v>
                </c:pt>
                <c:pt idx="70">
                  <c:v>1.7441031794745401</c:v>
                </c:pt>
                <c:pt idx="71">
                  <c:v>1.7441031794745401</c:v>
                </c:pt>
                <c:pt idx="72">
                  <c:v>1.7441031794745401</c:v>
                </c:pt>
                <c:pt idx="73">
                  <c:v>1.7441031794745401</c:v>
                </c:pt>
                <c:pt idx="74">
                  <c:v>1.7441031794745401</c:v>
                </c:pt>
                <c:pt idx="75">
                  <c:v>1.7441031794745401</c:v>
                </c:pt>
                <c:pt idx="76">
                  <c:v>1.7441031794745401</c:v>
                </c:pt>
                <c:pt idx="77">
                  <c:v>1.7441031794745401</c:v>
                </c:pt>
                <c:pt idx="78">
                  <c:v>1.7441031794745401</c:v>
                </c:pt>
                <c:pt idx="79">
                  <c:v>1.7441031794745401</c:v>
                </c:pt>
                <c:pt idx="80">
                  <c:v>1.7441031794745401</c:v>
                </c:pt>
                <c:pt idx="81">
                  <c:v>1.7441031794745401</c:v>
                </c:pt>
                <c:pt idx="82">
                  <c:v>1.7441031794745401</c:v>
                </c:pt>
                <c:pt idx="83">
                  <c:v>1.7441031794745401</c:v>
                </c:pt>
                <c:pt idx="84">
                  <c:v>1.7441031794745401</c:v>
                </c:pt>
                <c:pt idx="85">
                  <c:v>1.7441031794745401</c:v>
                </c:pt>
                <c:pt idx="86">
                  <c:v>1.7441031794745401</c:v>
                </c:pt>
                <c:pt idx="87">
                  <c:v>1.7441031794745401</c:v>
                </c:pt>
                <c:pt idx="88">
                  <c:v>1.7441031794745401</c:v>
                </c:pt>
                <c:pt idx="89">
                  <c:v>1.7441031794745401</c:v>
                </c:pt>
                <c:pt idx="90">
                  <c:v>1.7441031794745401</c:v>
                </c:pt>
                <c:pt idx="91">
                  <c:v>1.7441031794745401</c:v>
                </c:pt>
                <c:pt idx="92">
                  <c:v>1.7441031794745401</c:v>
                </c:pt>
                <c:pt idx="93">
                  <c:v>1.7441031794745401</c:v>
                </c:pt>
                <c:pt idx="94">
                  <c:v>1.7441031794745401</c:v>
                </c:pt>
                <c:pt idx="95">
                  <c:v>1.7441031794745401</c:v>
                </c:pt>
                <c:pt idx="96">
                  <c:v>1.7441031794745401</c:v>
                </c:pt>
                <c:pt idx="97">
                  <c:v>1.7441031794745401</c:v>
                </c:pt>
                <c:pt idx="98">
                  <c:v>1.7441031794745401</c:v>
                </c:pt>
                <c:pt idx="99">
                  <c:v>1.7441031794745401</c:v>
                </c:pt>
                <c:pt idx="100">
                  <c:v>1.7441031794745401</c:v>
                </c:pt>
                <c:pt idx="101">
                  <c:v>1.7441031794745401</c:v>
                </c:pt>
                <c:pt idx="102">
                  <c:v>1.7441031794745401</c:v>
                </c:pt>
                <c:pt idx="103">
                  <c:v>1.7441031794745401</c:v>
                </c:pt>
                <c:pt idx="104">
                  <c:v>1.7441031794745401</c:v>
                </c:pt>
                <c:pt idx="105">
                  <c:v>1.7441031794745401</c:v>
                </c:pt>
                <c:pt idx="106">
                  <c:v>1.7441031794745401</c:v>
                </c:pt>
                <c:pt idx="107">
                  <c:v>1.7441031794745401</c:v>
                </c:pt>
                <c:pt idx="108">
                  <c:v>1.7441031794745401</c:v>
                </c:pt>
                <c:pt idx="109">
                  <c:v>1.7441031794745401</c:v>
                </c:pt>
                <c:pt idx="110">
                  <c:v>1.7441031794745401</c:v>
                </c:pt>
                <c:pt idx="111">
                  <c:v>1.7441031794745401</c:v>
                </c:pt>
                <c:pt idx="112">
                  <c:v>1.7441031794745401</c:v>
                </c:pt>
                <c:pt idx="113">
                  <c:v>1.7441031794745401</c:v>
                </c:pt>
                <c:pt idx="114">
                  <c:v>1.7441031794745401</c:v>
                </c:pt>
                <c:pt idx="115">
                  <c:v>1.7441031794745401</c:v>
                </c:pt>
                <c:pt idx="116">
                  <c:v>1.7441031794745401</c:v>
                </c:pt>
                <c:pt idx="117">
                  <c:v>1.7441031794745401</c:v>
                </c:pt>
                <c:pt idx="118">
                  <c:v>1.7441031794745401</c:v>
                </c:pt>
                <c:pt idx="119">
                  <c:v>1.7441031794745401</c:v>
                </c:pt>
                <c:pt idx="120">
                  <c:v>1.7441031794745401</c:v>
                </c:pt>
                <c:pt idx="121">
                  <c:v>1.7441031794745401</c:v>
                </c:pt>
                <c:pt idx="122">
                  <c:v>1.7441031794745401</c:v>
                </c:pt>
                <c:pt idx="123">
                  <c:v>1.7441031794745401</c:v>
                </c:pt>
                <c:pt idx="124">
                  <c:v>1.7441031794745401</c:v>
                </c:pt>
                <c:pt idx="125">
                  <c:v>1.7441031794745401</c:v>
                </c:pt>
                <c:pt idx="126">
                  <c:v>1.7441031794745401</c:v>
                </c:pt>
                <c:pt idx="127">
                  <c:v>1.7441031794745401</c:v>
                </c:pt>
                <c:pt idx="128">
                  <c:v>1.7441031794745401</c:v>
                </c:pt>
                <c:pt idx="129">
                  <c:v>1.7441031794745401</c:v>
                </c:pt>
                <c:pt idx="130">
                  <c:v>1.7441031794745401</c:v>
                </c:pt>
                <c:pt idx="131">
                  <c:v>1.7441031794745401</c:v>
                </c:pt>
                <c:pt idx="132">
                  <c:v>1.7441031794745401</c:v>
                </c:pt>
                <c:pt idx="133">
                  <c:v>1.7441031794745401</c:v>
                </c:pt>
                <c:pt idx="134">
                  <c:v>1.7441031794745401</c:v>
                </c:pt>
                <c:pt idx="135">
                  <c:v>1.7441031794745401</c:v>
                </c:pt>
                <c:pt idx="136">
                  <c:v>1.7441031794745401</c:v>
                </c:pt>
                <c:pt idx="137">
                  <c:v>1.7441031794745401</c:v>
                </c:pt>
                <c:pt idx="138">
                  <c:v>1.7441031794745401</c:v>
                </c:pt>
                <c:pt idx="139">
                  <c:v>1.7441031794745401</c:v>
                </c:pt>
                <c:pt idx="140">
                  <c:v>1.7441031794745401</c:v>
                </c:pt>
                <c:pt idx="141">
                  <c:v>1.7441031794745401</c:v>
                </c:pt>
                <c:pt idx="142">
                  <c:v>1.7441031794745401</c:v>
                </c:pt>
                <c:pt idx="143">
                  <c:v>1.7441031794745401</c:v>
                </c:pt>
                <c:pt idx="144">
                  <c:v>1.7441031794745401</c:v>
                </c:pt>
                <c:pt idx="145">
                  <c:v>1.7441031794745401</c:v>
                </c:pt>
                <c:pt idx="146">
                  <c:v>1.7441031794745401</c:v>
                </c:pt>
                <c:pt idx="147">
                  <c:v>1.7441031794745401</c:v>
                </c:pt>
                <c:pt idx="148">
                  <c:v>1.7441031794745401</c:v>
                </c:pt>
                <c:pt idx="149">
                  <c:v>1.7441031794745401</c:v>
                </c:pt>
                <c:pt idx="150">
                  <c:v>1.7441031794745401</c:v>
                </c:pt>
                <c:pt idx="151">
                  <c:v>1.7441031794745401</c:v>
                </c:pt>
                <c:pt idx="152">
                  <c:v>1.7441031794745401</c:v>
                </c:pt>
                <c:pt idx="153">
                  <c:v>1.7441031794745401</c:v>
                </c:pt>
                <c:pt idx="154">
                  <c:v>1.7441031794745401</c:v>
                </c:pt>
                <c:pt idx="155">
                  <c:v>1.7441031794745401</c:v>
                </c:pt>
                <c:pt idx="156">
                  <c:v>1.7441031794745401</c:v>
                </c:pt>
                <c:pt idx="157">
                  <c:v>1.7441031794745401</c:v>
                </c:pt>
                <c:pt idx="158">
                  <c:v>1.7441031794745401</c:v>
                </c:pt>
                <c:pt idx="159">
                  <c:v>1.7441031794745401</c:v>
                </c:pt>
                <c:pt idx="160">
                  <c:v>1.7441031794745401</c:v>
                </c:pt>
                <c:pt idx="161">
                  <c:v>1.7441031794745401</c:v>
                </c:pt>
                <c:pt idx="162">
                  <c:v>1.7441031794745401</c:v>
                </c:pt>
                <c:pt idx="163">
                  <c:v>1.7441031794745401</c:v>
                </c:pt>
                <c:pt idx="164">
                  <c:v>1.7441031794745401</c:v>
                </c:pt>
                <c:pt idx="165">
                  <c:v>1.7441031794745401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A44-4817-989C-0A1EF48240B3}"/>
            </c:ext>
          </c:extLst>
        </c:ser>
        <c:ser>
          <c:idx val="1"/>
          <c:order val="1"/>
          <c:tx>
            <c:strRef>
              <c:f>CMF_VTEC_2!$P$1</c:f>
              <c:strCache>
                <c:ptCount val="1"/>
                <c:pt idx="0">
                  <c:v> VTEC/CMF 10 dma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CMF_VTEC_2!$P$2:$P$167</c:f>
              <c:numCache>
                <c:formatCode>_(* #,##0.0000_);_(* \(#,##0.0000\);_(* "-"??_);_(@_)</c:formatCode>
                <c:ptCount val="166"/>
                <c:pt idx="9">
                  <c:v>1.74427358789669</c:v>
                </c:pt>
                <c:pt idx="10">
                  <c:v>1.74425539992931</c:v>
                </c:pt>
                <c:pt idx="11">
                  <c:v>1.7444814804443201</c:v>
                </c:pt>
                <c:pt idx="12">
                  <c:v>1.7444396912264</c:v>
                </c:pt>
                <c:pt idx="13">
                  <c:v>1.7443099966387901</c:v>
                </c:pt>
                <c:pt idx="14">
                  <c:v>1.74414156777948</c:v>
                </c:pt>
                <c:pt idx="15">
                  <c:v>1.74419793016771</c:v>
                </c:pt>
                <c:pt idx="16">
                  <c:v>1.7441806231410599</c:v>
                </c:pt>
                <c:pt idx="17">
                  <c:v>1.7441592848935701</c:v>
                </c:pt>
                <c:pt idx="18">
                  <c:v>1.74403824045296</c:v>
                </c:pt>
                <c:pt idx="19">
                  <c:v>1.7440342472253301</c:v>
                </c:pt>
                <c:pt idx="20">
                  <c:v>1.7440765270428999</c:v>
                </c:pt>
                <c:pt idx="21">
                  <c:v>1.7438483331271899</c:v>
                </c:pt>
                <c:pt idx="22">
                  <c:v>1.7439831429599999</c:v>
                </c:pt>
                <c:pt idx="23">
                  <c:v>1.7441320769314901</c:v>
                </c:pt>
                <c:pt idx="24">
                  <c:v>1.7441989971559699</c:v>
                </c:pt>
                <c:pt idx="25">
                  <c:v>1.7442742649176499</c:v>
                </c:pt>
                <c:pt idx="26">
                  <c:v>1.74410030917534</c:v>
                </c:pt>
                <c:pt idx="27">
                  <c:v>1.74398998462471</c:v>
                </c:pt>
                <c:pt idx="28">
                  <c:v>1.7439068779763101</c:v>
                </c:pt>
                <c:pt idx="29">
                  <c:v>1.7439010991468999</c:v>
                </c:pt>
                <c:pt idx="30">
                  <c:v>1.7438492374071699</c:v>
                </c:pt>
                <c:pt idx="31">
                  <c:v>1.7438742800543501</c:v>
                </c:pt>
                <c:pt idx="32">
                  <c:v>1.7437871896404</c:v>
                </c:pt>
                <c:pt idx="33">
                  <c:v>1.74376427218688</c:v>
                </c:pt>
                <c:pt idx="34">
                  <c:v>1.7438490241990701</c:v>
                </c:pt>
                <c:pt idx="35">
                  <c:v>1.7439380378515399</c:v>
                </c:pt>
                <c:pt idx="36">
                  <c:v>1.7440101482844299</c:v>
                </c:pt>
                <c:pt idx="37">
                  <c:v>1.7440186936519699</c:v>
                </c:pt>
                <c:pt idx="38">
                  <c:v>1.7440479317201101</c:v>
                </c:pt>
                <c:pt idx="39">
                  <c:v>1.7441375421121801</c:v>
                </c:pt>
                <c:pt idx="40">
                  <c:v>1.74425017626858</c:v>
                </c:pt>
                <c:pt idx="41">
                  <c:v>1.7441346241376701</c:v>
                </c:pt>
                <c:pt idx="42">
                  <c:v>1.7440957859561701</c:v>
                </c:pt>
                <c:pt idx="43">
                  <c:v>1.7441558596131199</c:v>
                </c:pt>
                <c:pt idx="44">
                  <c:v>1.7440170633885601</c:v>
                </c:pt>
                <c:pt idx="45">
                  <c:v>1.7440503320827301</c:v>
                </c:pt>
                <c:pt idx="46">
                  <c:v>1.74409280848058</c:v>
                </c:pt>
                <c:pt idx="47">
                  <c:v>1.7442325678914701</c:v>
                </c:pt>
                <c:pt idx="48">
                  <c:v>1.7442866502141501</c:v>
                </c:pt>
                <c:pt idx="49">
                  <c:v>1.7441462593663699</c:v>
                </c:pt>
                <c:pt idx="50">
                  <c:v>1.7439267342087901</c:v>
                </c:pt>
                <c:pt idx="51">
                  <c:v>1.74397850485281</c:v>
                </c:pt>
                <c:pt idx="52">
                  <c:v>1.7440254241114601</c:v>
                </c:pt>
                <c:pt idx="53">
                  <c:v>1.74408300761699</c:v>
                </c:pt>
                <c:pt idx="54">
                  <c:v>1.7439870452875299</c:v>
                </c:pt>
                <c:pt idx="55">
                  <c:v>1.74410224941916</c:v>
                </c:pt>
                <c:pt idx="56">
                  <c:v>1.74423044366451</c:v>
                </c:pt>
                <c:pt idx="57">
                  <c:v>1.7441583682594699</c:v>
                </c:pt>
                <c:pt idx="58">
                  <c:v>1.7441887709749599</c:v>
                </c:pt>
                <c:pt idx="59">
                  <c:v>1.7441176174826001</c:v>
                </c:pt>
                <c:pt idx="60">
                  <c:v>1.7440700458877401</c:v>
                </c:pt>
                <c:pt idx="61">
                  <c:v>1.7439108622577899</c:v>
                </c:pt>
                <c:pt idx="62">
                  <c:v>1.7438854332407701</c:v>
                </c:pt>
                <c:pt idx="63">
                  <c:v>1.7436494670396301</c:v>
                </c:pt>
                <c:pt idx="64">
                  <c:v>1.7438465099309399</c:v>
                </c:pt>
                <c:pt idx="65">
                  <c:v>1.7435183057705801</c:v>
                </c:pt>
                <c:pt idx="66">
                  <c:v>1.7433924125552001</c:v>
                </c:pt>
                <c:pt idx="67">
                  <c:v>1.74341654457317</c:v>
                </c:pt>
                <c:pt idx="68">
                  <c:v>1.7434112389426399</c:v>
                </c:pt>
                <c:pt idx="69">
                  <c:v>1.7435810623958301</c:v>
                </c:pt>
                <c:pt idx="70">
                  <c:v>1.74387015711295</c:v>
                </c:pt>
                <c:pt idx="71">
                  <c:v>1.74403297340915</c:v>
                </c:pt>
                <c:pt idx="72">
                  <c:v>1.7440426755740699</c:v>
                </c:pt>
                <c:pt idx="73">
                  <c:v>1.7441926262913301</c:v>
                </c:pt>
                <c:pt idx="74">
                  <c:v>1.74419686250246</c:v>
                </c:pt>
                <c:pt idx="75">
                  <c:v>1.74433449804741</c:v>
                </c:pt>
                <c:pt idx="76">
                  <c:v>1.74425815007115</c:v>
                </c:pt>
                <c:pt idx="77">
                  <c:v>1.74423869238243</c:v>
                </c:pt>
                <c:pt idx="78">
                  <c:v>1.7441966219721099</c:v>
                </c:pt>
                <c:pt idx="79">
                  <c:v>1.74411441044874</c:v>
                </c:pt>
                <c:pt idx="80">
                  <c:v>1.74401410639063</c:v>
                </c:pt>
                <c:pt idx="81">
                  <c:v>1.74406198753507</c:v>
                </c:pt>
                <c:pt idx="82">
                  <c:v>1.7441460319391699</c:v>
                </c:pt>
                <c:pt idx="83">
                  <c:v>1.7440725639947401</c:v>
                </c:pt>
                <c:pt idx="84">
                  <c:v>1.74404342224399</c:v>
                </c:pt>
                <c:pt idx="85">
                  <c:v>1.7438843038177401</c:v>
                </c:pt>
                <c:pt idx="86">
                  <c:v>1.7438594222249399</c:v>
                </c:pt>
                <c:pt idx="87">
                  <c:v>1.7436258930278199</c:v>
                </c:pt>
                <c:pt idx="88">
                  <c:v>1.7434310937065001</c:v>
                </c:pt>
                <c:pt idx="89">
                  <c:v>1.7434363256843499</c:v>
                </c:pt>
                <c:pt idx="90">
                  <c:v>1.74338993404288</c:v>
                </c:pt>
                <c:pt idx="91">
                  <c:v>1.7432164202698199</c:v>
                </c:pt>
                <c:pt idx="92">
                  <c:v>1.7430590541518201</c:v>
                </c:pt>
                <c:pt idx="93">
                  <c:v>1.74284881927029</c:v>
                </c:pt>
                <c:pt idx="94">
                  <c:v>1.7425705673059</c:v>
                </c:pt>
                <c:pt idx="95">
                  <c:v>1.7426482339510101</c:v>
                </c:pt>
                <c:pt idx="96">
                  <c:v>1.7427040458785099</c:v>
                </c:pt>
                <c:pt idx="97">
                  <c:v>1.7428429486425201</c:v>
                </c:pt>
                <c:pt idx="98">
                  <c:v>1.74296328191758</c:v>
                </c:pt>
                <c:pt idx="99">
                  <c:v>1.74304226871006</c:v>
                </c:pt>
                <c:pt idx="100">
                  <c:v>1.7430228654209401</c:v>
                </c:pt>
                <c:pt idx="101">
                  <c:v>1.74319675951138</c:v>
                </c:pt>
                <c:pt idx="102">
                  <c:v>1.7433113824020701</c:v>
                </c:pt>
                <c:pt idx="103">
                  <c:v>1.74356759304812</c:v>
                </c:pt>
                <c:pt idx="104">
                  <c:v>1.74382594916375</c:v>
                </c:pt>
                <c:pt idx="105">
                  <c:v>1.7437238460195501</c:v>
                </c:pt>
                <c:pt idx="106">
                  <c:v>1.7437428601882601</c:v>
                </c:pt>
                <c:pt idx="107">
                  <c:v>1.7438398886650599</c:v>
                </c:pt>
                <c:pt idx="108">
                  <c:v>1.74384778867457</c:v>
                </c:pt>
                <c:pt idx="109">
                  <c:v>1.74390103757959</c:v>
                </c:pt>
                <c:pt idx="110">
                  <c:v>1.7438844660870401</c:v>
                </c:pt>
                <c:pt idx="111">
                  <c:v>1.74384918784607</c:v>
                </c:pt>
                <c:pt idx="112">
                  <c:v>1.7438244529696101</c:v>
                </c:pt>
                <c:pt idx="113">
                  <c:v>1.74376852941194</c:v>
                </c:pt>
                <c:pt idx="114">
                  <c:v>1.74379490221045</c:v>
                </c:pt>
                <c:pt idx="115">
                  <c:v>1.7438485855117101</c:v>
                </c:pt>
                <c:pt idx="116">
                  <c:v>1.74392487094294</c:v>
                </c:pt>
                <c:pt idx="117">
                  <c:v>1.7439961373883299</c:v>
                </c:pt>
                <c:pt idx="118">
                  <c:v>1.7441630127476999</c:v>
                </c:pt>
                <c:pt idx="119">
                  <c:v>1.74420516565882</c:v>
                </c:pt>
                <c:pt idx="120">
                  <c:v>1.7443253579665099</c:v>
                </c:pt>
                <c:pt idx="121">
                  <c:v>1.7444241829537299</c:v>
                </c:pt>
                <c:pt idx="122">
                  <c:v>1.74455701304127</c:v>
                </c:pt>
                <c:pt idx="123">
                  <c:v>1.7445886421413701</c:v>
                </c:pt>
                <c:pt idx="124">
                  <c:v>1.74450862848274</c:v>
                </c:pt>
                <c:pt idx="125">
                  <c:v>1.7445963944642799</c:v>
                </c:pt>
                <c:pt idx="126">
                  <c:v>1.74453975395206</c:v>
                </c:pt>
                <c:pt idx="127">
                  <c:v>1.7445037842853499</c:v>
                </c:pt>
                <c:pt idx="128">
                  <c:v>1.7444544659568699</c:v>
                </c:pt>
                <c:pt idx="129">
                  <c:v>1.74447019088277</c:v>
                </c:pt>
                <c:pt idx="130">
                  <c:v>1.7443674414496599</c:v>
                </c:pt>
                <c:pt idx="131">
                  <c:v>1.7442819998830801</c:v>
                </c:pt>
                <c:pt idx="132">
                  <c:v>1.74416090493749</c:v>
                </c:pt>
                <c:pt idx="133">
                  <c:v>1.7442837644621101</c:v>
                </c:pt>
                <c:pt idx="134">
                  <c:v>1.74438784262939</c:v>
                </c:pt>
                <c:pt idx="135">
                  <c:v>1.74438254056835</c:v>
                </c:pt>
                <c:pt idx="136">
                  <c:v>1.74437726642265</c:v>
                </c:pt>
                <c:pt idx="137">
                  <c:v>1.7443369921424301</c:v>
                </c:pt>
                <c:pt idx="138">
                  <c:v>1.74423495514423</c:v>
                </c:pt>
                <c:pt idx="139">
                  <c:v>1.7441439364493401</c:v>
                </c:pt>
                <c:pt idx="140">
                  <c:v>1.7440572668776899</c:v>
                </c:pt>
                <c:pt idx="141">
                  <c:v>1.74387503077026</c:v>
                </c:pt>
                <c:pt idx="142">
                  <c:v>1.7441597262470301</c:v>
                </c:pt>
                <c:pt idx="143">
                  <c:v>1.74417272649664</c:v>
                </c:pt>
                <c:pt idx="144">
                  <c:v>1.74424671605992</c:v>
                </c:pt>
                <c:pt idx="145">
                  <c:v>1.7444834536881799</c:v>
                </c:pt>
                <c:pt idx="146">
                  <c:v>1.74468651169546</c:v>
                </c:pt>
                <c:pt idx="147">
                  <c:v>1.74475131001724</c:v>
                </c:pt>
                <c:pt idx="148">
                  <c:v>1.7449080113347999</c:v>
                </c:pt>
                <c:pt idx="149">
                  <c:v>1.74492429697782</c:v>
                </c:pt>
                <c:pt idx="150">
                  <c:v>1.7451371025823399</c:v>
                </c:pt>
                <c:pt idx="151">
                  <c:v>1.7453890366446301</c:v>
                </c:pt>
                <c:pt idx="152">
                  <c:v>1.74520573416943</c:v>
                </c:pt>
                <c:pt idx="153">
                  <c:v>1.7451779822787901</c:v>
                </c:pt>
                <c:pt idx="154">
                  <c:v>1.7451803145445901</c:v>
                </c:pt>
                <c:pt idx="155">
                  <c:v>1.7450231760066699</c:v>
                </c:pt>
                <c:pt idx="156">
                  <c:v>1.74487235854238</c:v>
                </c:pt>
                <c:pt idx="157">
                  <c:v>1.7448764913117201</c:v>
                </c:pt>
                <c:pt idx="158">
                  <c:v>1.74469901425341</c:v>
                </c:pt>
                <c:pt idx="159">
                  <c:v>1.7446428124590501</c:v>
                </c:pt>
                <c:pt idx="160">
                  <c:v>1.7446448593341699</c:v>
                </c:pt>
                <c:pt idx="161">
                  <c:v>1.74452314405689</c:v>
                </c:pt>
                <c:pt idx="162">
                  <c:v>1.7443784153333299</c:v>
                </c:pt>
                <c:pt idx="163">
                  <c:v>1.7443030125825301</c:v>
                </c:pt>
                <c:pt idx="164">
                  <c:v>1.74448509417815</c:v>
                </c:pt>
                <c:pt idx="165">
                  <c:v>1.74463221197464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A44-4817-989C-0A1EF48240B3}"/>
            </c:ext>
          </c:extLst>
        </c:ser>
        <c:ser>
          <c:idx val="2"/>
          <c:order val="2"/>
          <c:tx>
            <c:strRef>
              <c:f>CMF_VTEC_2!$Q$1</c:f>
              <c:strCache>
                <c:ptCount val="1"/>
                <c:pt idx="0">
                  <c:v> VTEC/CMF 20 dma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CMF_VTEC_2!$Q$2:$Q$167</c:f>
              <c:numCache>
                <c:formatCode>_(* #,##0.0000_);_(* \(#,##0.0000\);_(* "-"??_);_(@_)</c:formatCode>
                <c:ptCount val="166"/>
                <c:pt idx="19">
                  <c:v>1.7441539175610099</c:v>
                </c:pt>
                <c:pt idx="20">
                  <c:v>1.7441659634861</c:v>
                </c:pt>
                <c:pt idx="21">
                  <c:v>1.7441649067857601</c:v>
                </c:pt>
                <c:pt idx="22">
                  <c:v>1.7442114170931999</c:v>
                </c:pt>
                <c:pt idx="23">
                  <c:v>1.7442210367851401</c:v>
                </c:pt>
                <c:pt idx="24">
                  <c:v>1.7441702824677201</c:v>
                </c:pt>
                <c:pt idx="25">
                  <c:v>1.7442360975426801</c:v>
                </c:pt>
                <c:pt idx="26">
                  <c:v>1.7441404661582001</c:v>
                </c:pt>
                <c:pt idx="27">
                  <c:v>1.74407463475914</c:v>
                </c:pt>
                <c:pt idx="28">
                  <c:v>1.74397255921464</c:v>
                </c:pt>
                <c:pt idx="29">
                  <c:v>1.74396767318612</c:v>
                </c:pt>
                <c:pt idx="30">
                  <c:v>1.7439628822250299</c:v>
                </c:pt>
                <c:pt idx="31">
                  <c:v>1.74386130659077</c:v>
                </c:pt>
                <c:pt idx="32">
                  <c:v>1.7438851663002</c:v>
                </c:pt>
                <c:pt idx="33">
                  <c:v>1.74394817455919</c:v>
                </c:pt>
                <c:pt idx="34">
                  <c:v>1.74402401067752</c:v>
                </c:pt>
                <c:pt idx="35">
                  <c:v>1.7441061513845999</c:v>
                </c:pt>
                <c:pt idx="36">
                  <c:v>1.7440552287298801</c:v>
                </c:pt>
                <c:pt idx="37">
                  <c:v>1.74400433913834</c:v>
                </c:pt>
                <c:pt idx="38">
                  <c:v>1.74397740484821</c:v>
                </c:pt>
                <c:pt idx="39">
                  <c:v>1.74401932062954</c:v>
                </c:pt>
                <c:pt idx="40">
                  <c:v>1.74404970683787</c:v>
                </c:pt>
                <c:pt idx="41">
                  <c:v>1.7440044520960101</c:v>
                </c:pt>
                <c:pt idx="42">
                  <c:v>1.74394148779828</c:v>
                </c:pt>
                <c:pt idx="43">
                  <c:v>1.7439600659000001</c:v>
                </c:pt>
                <c:pt idx="44">
                  <c:v>1.7439330437938101</c:v>
                </c:pt>
                <c:pt idx="45">
                  <c:v>1.7439941849671401</c:v>
                </c:pt>
                <c:pt idx="46">
                  <c:v>1.7440514783825101</c:v>
                </c:pt>
                <c:pt idx="47">
                  <c:v>1.7441256307717199</c:v>
                </c:pt>
                <c:pt idx="48">
                  <c:v>1.74416729096713</c:v>
                </c:pt>
                <c:pt idx="49">
                  <c:v>1.74414190073928</c:v>
                </c:pt>
                <c:pt idx="50">
                  <c:v>1.7440884552386799</c:v>
                </c:pt>
                <c:pt idx="51">
                  <c:v>1.7440565644952399</c:v>
                </c:pt>
                <c:pt idx="52">
                  <c:v>1.7440606050338101</c:v>
                </c:pt>
                <c:pt idx="53">
                  <c:v>1.7441194336150601</c:v>
                </c:pt>
                <c:pt idx="54">
                  <c:v>1.7440020543380399</c:v>
                </c:pt>
                <c:pt idx="55">
                  <c:v>1.7440762907509499</c:v>
                </c:pt>
                <c:pt idx="56">
                  <c:v>1.7441616260725401</c:v>
                </c:pt>
                <c:pt idx="57">
                  <c:v>1.7441954680754701</c:v>
                </c:pt>
                <c:pt idx="58">
                  <c:v>1.7442377105945599</c:v>
                </c:pt>
                <c:pt idx="59">
                  <c:v>1.74413193842448</c:v>
                </c:pt>
                <c:pt idx="60">
                  <c:v>1.7439983900482701</c:v>
                </c:pt>
                <c:pt idx="61">
                  <c:v>1.7439446835553001</c:v>
                </c:pt>
                <c:pt idx="62">
                  <c:v>1.7439554286761101</c:v>
                </c:pt>
                <c:pt idx="63">
                  <c:v>1.74386623732831</c:v>
                </c:pt>
                <c:pt idx="64">
                  <c:v>1.7439167776092299</c:v>
                </c:pt>
                <c:pt idx="65">
                  <c:v>1.7438102775948701</c:v>
                </c:pt>
                <c:pt idx="66">
                  <c:v>1.74381142810985</c:v>
                </c:pt>
                <c:pt idx="67">
                  <c:v>1.74378745641632</c:v>
                </c:pt>
                <c:pt idx="68">
                  <c:v>1.7438000049588001</c:v>
                </c:pt>
                <c:pt idx="69">
                  <c:v>1.7438493399392101</c:v>
                </c:pt>
                <c:pt idx="70">
                  <c:v>1.7439701015003499</c:v>
                </c:pt>
                <c:pt idx="71">
                  <c:v>1.7439719178334701</c:v>
                </c:pt>
                <c:pt idx="72">
                  <c:v>1.74396405440742</c:v>
                </c:pt>
                <c:pt idx="73">
                  <c:v>1.74392104666548</c:v>
                </c:pt>
                <c:pt idx="74">
                  <c:v>1.7440216862167</c:v>
                </c:pt>
                <c:pt idx="75">
                  <c:v>1.74392640190899</c:v>
                </c:pt>
                <c:pt idx="76">
                  <c:v>1.7438252813131701</c:v>
                </c:pt>
                <c:pt idx="77">
                  <c:v>1.7438276184778001</c:v>
                </c:pt>
                <c:pt idx="78">
                  <c:v>1.74380393045738</c:v>
                </c:pt>
                <c:pt idx="79">
                  <c:v>1.74384773642228</c:v>
                </c:pt>
                <c:pt idx="80">
                  <c:v>1.74394213175179</c:v>
                </c:pt>
                <c:pt idx="81">
                  <c:v>1.74404748047211</c:v>
                </c:pt>
                <c:pt idx="82">
                  <c:v>1.74409435375662</c:v>
                </c:pt>
                <c:pt idx="83">
                  <c:v>1.74413259514303</c:v>
                </c:pt>
                <c:pt idx="84">
                  <c:v>1.74412014237323</c:v>
                </c:pt>
                <c:pt idx="85">
                  <c:v>1.7441094009325699</c:v>
                </c:pt>
                <c:pt idx="86">
                  <c:v>1.7440587861480401</c:v>
                </c:pt>
                <c:pt idx="87">
                  <c:v>1.74393229270512</c:v>
                </c:pt>
                <c:pt idx="88">
                  <c:v>1.7438138578393001</c:v>
                </c:pt>
                <c:pt idx="89">
                  <c:v>1.74377536806654</c:v>
                </c:pt>
                <c:pt idx="90">
                  <c:v>1.7437020202167499</c:v>
                </c:pt>
                <c:pt idx="91">
                  <c:v>1.74363920390245</c:v>
                </c:pt>
                <c:pt idx="92">
                  <c:v>1.7436025430455</c:v>
                </c:pt>
                <c:pt idx="93">
                  <c:v>1.7434606916325099</c:v>
                </c:pt>
                <c:pt idx="94">
                  <c:v>1.74330699477494</c:v>
                </c:pt>
                <c:pt idx="95">
                  <c:v>1.7432662688843801</c:v>
                </c:pt>
                <c:pt idx="96">
                  <c:v>1.7432817340517299</c:v>
                </c:pt>
                <c:pt idx="97">
                  <c:v>1.74323442083517</c:v>
                </c:pt>
                <c:pt idx="98">
                  <c:v>1.74319718781204</c:v>
                </c:pt>
                <c:pt idx="99">
                  <c:v>1.7432392971971999</c:v>
                </c:pt>
                <c:pt idx="100">
                  <c:v>1.7432063997319101</c:v>
                </c:pt>
                <c:pt idx="101">
                  <c:v>1.7432065898906</c:v>
                </c:pt>
                <c:pt idx="102">
                  <c:v>1.7431852182769501</c:v>
                </c:pt>
                <c:pt idx="103">
                  <c:v>1.7432082061592</c:v>
                </c:pt>
                <c:pt idx="104">
                  <c:v>1.74319825823482</c:v>
                </c:pt>
                <c:pt idx="105">
                  <c:v>1.7431860399852801</c:v>
                </c:pt>
                <c:pt idx="106">
                  <c:v>1.7432234530333901</c:v>
                </c:pt>
                <c:pt idx="107">
                  <c:v>1.7433414186537901</c:v>
                </c:pt>
                <c:pt idx="108">
                  <c:v>1.74340553529608</c:v>
                </c:pt>
                <c:pt idx="109">
                  <c:v>1.74347165314483</c:v>
                </c:pt>
                <c:pt idx="110">
                  <c:v>1.7434536657539901</c:v>
                </c:pt>
                <c:pt idx="111">
                  <c:v>1.7435229736787301</c:v>
                </c:pt>
                <c:pt idx="112">
                  <c:v>1.7435679176858401</c:v>
                </c:pt>
                <c:pt idx="113">
                  <c:v>1.7436680612300299</c:v>
                </c:pt>
                <c:pt idx="114">
                  <c:v>1.7438104256871001</c:v>
                </c:pt>
                <c:pt idx="115">
                  <c:v>1.7437862157656301</c:v>
                </c:pt>
                <c:pt idx="116">
                  <c:v>1.7438338655656</c:v>
                </c:pt>
                <c:pt idx="117">
                  <c:v>1.74391801302669</c:v>
                </c:pt>
                <c:pt idx="118">
                  <c:v>1.7440054007111301</c:v>
                </c:pt>
                <c:pt idx="119">
                  <c:v>1.7440531016192</c:v>
                </c:pt>
                <c:pt idx="120">
                  <c:v>1.74410491202677</c:v>
                </c:pt>
                <c:pt idx="121">
                  <c:v>1.7441366853999001</c:v>
                </c:pt>
                <c:pt idx="122">
                  <c:v>1.74419073300544</c:v>
                </c:pt>
                <c:pt idx="123">
                  <c:v>1.7441785857766601</c:v>
                </c:pt>
                <c:pt idx="124">
                  <c:v>1.7441517653466001</c:v>
                </c:pt>
                <c:pt idx="125">
                  <c:v>1.7442224899879999</c:v>
                </c:pt>
                <c:pt idx="126">
                  <c:v>1.7442323124475001</c:v>
                </c:pt>
                <c:pt idx="127">
                  <c:v>1.74424996083684</c:v>
                </c:pt>
                <c:pt idx="128">
                  <c:v>1.74430873935228</c:v>
                </c:pt>
                <c:pt idx="129">
                  <c:v>1.74433767827079</c:v>
                </c:pt>
                <c:pt idx="130">
                  <c:v>1.7443463997080899</c:v>
                </c:pt>
                <c:pt idx="131">
                  <c:v>1.7443530914184</c:v>
                </c:pt>
                <c:pt idx="132">
                  <c:v>1.74435895898938</c:v>
                </c:pt>
                <c:pt idx="133">
                  <c:v>1.74443620330174</c:v>
                </c:pt>
                <c:pt idx="134">
                  <c:v>1.74444823555606</c:v>
                </c:pt>
                <c:pt idx="135">
                  <c:v>1.7444894675163201</c:v>
                </c:pt>
                <c:pt idx="136">
                  <c:v>1.74445851018735</c:v>
                </c:pt>
                <c:pt idx="137">
                  <c:v>1.74442038821389</c:v>
                </c:pt>
                <c:pt idx="138">
                  <c:v>1.7443447105505501</c:v>
                </c:pt>
                <c:pt idx="139">
                  <c:v>1.74430706366606</c:v>
                </c:pt>
                <c:pt idx="140">
                  <c:v>1.74421235416367</c:v>
                </c:pt>
                <c:pt idx="141">
                  <c:v>1.74407851532667</c:v>
                </c:pt>
                <c:pt idx="142">
                  <c:v>1.74416031559226</c:v>
                </c:pt>
                <c:pt idx="143">
                  <c:v>1.7442282454793701</c:v>
                </c:pt>
                <c:pt idx="144">
                  <c:v>1.74431727934465</c:v>
                </c:pt>
                <c:pt idx="145">
                  <c:v>1.7444329971282699</c:v>
                </c:pt>
                <c:pt idx="146">
                  <c:v>1.74453188905906</c:v>
                </c:pt>
                <c:pt idx="147">
                  <c:v>1.7445441510798401</c:v>
                </c:pt>
                <c:pt idx="148">
                  <c:v>1.7445714832395101</c:v>
                </c:pt>
                <c:pt idx="149">
                  <c:v>1.7445341167135799</c:v>
                </c:pt>
                <c:pt idx="150">
                  <c:v>1.7445971847300099</c:v>
                </c:pt>
                <c:pt idx="151">
                  <c:v>1.7446320337074499</c:v>
                </c:pt>
                <c:pt idx="152">
                  <c:v>1.7446827302082299</c:v>
                </c:pt>
                <c:pt idx="153">
                  <c:v>1.74467535438771</c:v>
                </c:pt>
                <c:pt idx="154">
                  <c:v>1.7447135153022499</c:v>
                </c:pt>
                <c:pt idx="155">
                  <c:v>1.7447533148474299</c:v>
                </c:pt>
                <c:pt idx="156">
                  <c:v>1.7447794351189201</c:v>
                </c:pt>
                <c:pt idx="157">
                  <c:v>1.7448139006644801</c:v>
                </c:pt>
                <c:pt idx="158">
                  <c:v>1.7448035127941099</c:v>
                </c:pt>
                <c:pt idx="159">
                  <c:v>1.7447835547184301</c:v>
                </c:pt>
                <c:pt idx="160">
                  <c:v>1.74489098095825</c:v>
                </c:pt>
                <c:pt idx="161">
                  <c:v>1.7449560903507599</c:v>
                </c:pt>
                <c:pt idx="162">
                  <c:v>1.7447920747513801</c:v>
                </c:pt>
                <c:pt idx="163">
                  <c:v>1.74474049743066</c:v>
                </c:pt>
                <c:pt idx="164">
                  <c:v>1.7448327043613701</c:v>
                </c:pt>
                <c:pt idx="165">
                  <c:v>1.74482769399066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A44-4817-989C-0A1EF48240B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86993888"/>
        <c:axId val="254732912"/>
      </c:lineChart>
      <c:catAx>
        <c:axId val="16869938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54732912"/>
        <c:crosses val="autoZero"/>
        <c:auto val="1"/>
        <c:lblAlgn val="ctr"/>
        <c:lblOffset val="100"/>
        <c:noMultiLvlLbl val="0"/>
      </c:catAx>
      <c:valAx>
        <c:axId val="2547329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.0000_);_(* \(#,##0.000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69938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CMF_VTEC_2!$AE$1</c:f>
              <c:strCache>
                <c:ptCount val="1"/>
                <c:pt idx="0">
                  <c:v>log diff CMF* x avg / VTEC*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CMF_VTEC_2!$AE$2:$AE$167</c:f>
              <c:numCache>
                <c:formatCode>0.00%</c:formatCode>
                <c:ptCount val="166"/>
                <c:pt idx="1">
                  <c:v>2.3300373841160101E-4</c:v>
                </c:pt>
                <c:pt idx="2">
                  <c:v>5.7795254708331199E-4</c:v>
                </c:pt>
                <c:pt idx="3">
                  <c:v>3.2348924914453301E-4</c:v>
                </c:pt>
                <c:pt idx="4">
                  <c:v>-9.7066861944360405E-5</c:v>
                </c:pt>
                <c:pt idx="5">
                  <c:v>1.16382092416212E-3</c:v>
                </c:pt>
                <c:pt idx="6">
                  <c:v>1.7126501141058199E-4</c:v>
                </c:pt>
                <c:pt idx="7">
                  <c:v>1.4592728579135799E-4</c:v>
                </c:pt>
                <c:pt idx="8">
                  <c:v>-1.53525992140594E-4</c:v>
                </c:pt>
                <c:pt idx="9">
                  <c:v>6.3701071989964698E-4</c:v>
                </c:pt>
                <c:pt idx="10">
                  <c:v>3.9045189071179999E-4</c:v>
                </c:pt>
                <c:pt idx="11">
                  <c:v>-1.06216299152426E-3</c:v>
                </c:pt>
                <c:pt idx="12">
                  <c:v>8.1762047064358901E-4</c:v>
                </c:pt>
                <c:pt idx="13">
                  <c:v>1.06730689324808E-3</c:v>
                </c:pt>
                <c:pt idx="14">
                  <c:v>8.6859849716467005E-4</c:v>
                </c:pt>
                <c:pt idx="15">
                  <c:v>8.40475113483848E-4</c:v>
                </c:pt>
                <c:pt idx="16">
                  <c:v>2.7047628189213801E-4</c:v>
                </c:pt>
                <c:pt idx="17">
                  <c:v>2.68245550210339E-4</c:v>
                </c:pt>
                <c:pt idx="18">
                  <c:v>5.4033338049562095E-4</c:v>
                </c:pt>
                <c:pt idx="19">
                  <c:v>6.5991139663608097E-4</c:v>
                </c:pt>
                <c:pt idx="20">
                  <c:v>4.8597221504939901E-5</c:v>
                </c:pt>
                <c:pt idx="21">
                  <c:v>1.45469775226723E-4</c:v>
                </c:pt>
                <c:pt idx="22">
                  <c:v>-5.4412865138664802E-5</c:v>
                </c:pt>
                <c:pt idx="23">
                  <c:v>1.13848708251301E-4</c:v>
                </c:pt>
                <c:pt idx="24">
                  <c:v>3.8480595094662E-4</c:v>
                </c:pt>
                <c:pt idx="25">
                  <c:v>3.0907123394820403E-4</c:v>
                </c:pt>
                <c:pt idx="26">
                  <c:v>1.16647916065019E-3</c:v>
                </c:pt>
                <c:pt idx="27">
                  <c:v>7.9999178326990001E-4</c:v>
                </c:pt>
                <c:pt idx="28">
                  <c:v>9.15994546282499E-4</c:v>
                </c:pt>
                <c:pt idx="29">
                  <c:v>5.9293170499479105E-4</c:v>
                </c:pt>
                <c:pt idx="30">
                  <c:v>3.4591392045008003E-4</c:v>
                </c:pt>
                <c:pt idx="31">
                  <c:v>2.9078115782310699E-6</c:v>
                </c:pt>
                <c:pt idx="32">
                  <c:v>4.4422706361998602E-4</c:v>
                </c:pt>
                <c:pt idx="33">
                  <c:v>2.4541599825170398E-4</c:v>
                </c:pt>
                <c:pt idx="34">
                  <c:v>-9.9311575216405999E-5</c:v>
                </c:pt>
                <c:pt idx="35">
                  <c:v>-1.9935684041230101E-4</c:v>
                </c:pt>
                <c:pt idx="36">
                  <c:v>7.5426900295313102E-4</c:v>
                </c:pt>
                <c:pt idx="37">
                  <c:v>7.5173260335976001E-4</c:v>
                </c:pt>
                <c:pt idx="38">
                  <c:v>7.4919967592369503E-4</c:v>
                </c:pt>
                <c:pt idx="39">
                  <c:v>-5.8984370627732201E-6</c:v>
                </c:pt>
                <c:pt idx="40">
                  <c:v>-3.8448888577273201E-4</c:v>
                </c:pt>
                <c:pt idx="41">
                  <c:v>5.7516010756060497E-4</c:v>
                </c:pt>
                <c:pt idx="42">
                  <c:v>5.77592237986348E-4</c:v>
                </c:pt>
                <c:pt idx="43">
                  <c:v>-1.8518264731456899E-4</c:v>
                </c:pt>
                <c:pt idx="44">
                  <c:v>6.0535075683368703E-4</c:v>
                </c:pt>
                <c:pt idx="45">
                  <c:v>-4.76350664169677E-4</c:v>
                </c:pt>
                <c:pt idx="46">
                  <c:v>4.2162666102350598E-4</c:v>
                </c:pt>
                <c:pt idx="47">
                  <c:v>-1.3670100941076099E-4</c:v>
                </c:pt>
                <c:pt idx="48">
                  <c:v>3.5005320586660899E-4</c:v>
                </c:pt>
                <c:pt idx="49">
                  <c:v>7.93227699216558E-4</c:v>
                </c:pt>
                <c:pt idx="50">
                  <c:v>8.6701971882191596E-4</c:v>
                </c:pt>
                <c:pt idx="51">
                  <c:v>2.78360778004181E-4</c:v>
                </c:pt>
                <c:pt idx="52">
                  <c:v>3.0830400951671399E-4</c:v>
                </c:pt>
                <c:pt idx="53">
                  <c:v>-5.16488391963465E-4</c:v>
                </c:pt>
                <c:pt idx="54">
                  <c:v>1.1507375428313699E-3</c:v>
                </c:pt>
                <c:pt idx="55">
                  <c:v>-1.1361920793452899E-3</c:v>
                </c:pt>
                <c:pt idx="56">
                  <c:v>-3.1206030240202602E-4</c:v>
                </c:pt>
                <c:pt idx="57">
                  <c:v>2.7229509853718799E-4</c:v>
                </c:pt>
                <c:pt idx="58">
                  <c:v>1.7373077214358399E-4</c:v>
                </c:pt>
                <c:pt idx="59">
                  <c:v>1.1968045632679699E-3</c:v>
                </c:pt>
                <c:pt idx="60">
                  <c:v>1.13641779270516E-3</c:v>
                </c:pt>
                <c:pt idx="61">
                  <c:v>1.04986247387387E-3</c:v>
                </c:pt>
                <c:pt idx="62">
                  <c:v>3.1908225520428001E-4</c:v>
                </c:pt>
                <c:pt idx="63">
                  <c:v>6.9566507495322E-4</c:v>
                </c:pt>
                <c:pt idx="64">
                  <c:v>-1.0587497865771E-4</c:v>
                </c:pt>
                <c:pt idx="65">
                  <c:v>6.0392654418554099E-4</c:v>
                </c:pt>
                <c:pt idx="66">
                  <c:v>2.75538304978892E-4</c:v>
                </c:pt>
                <c:pt idx="67">
                  <c:v>5.01098313028702E-6</c:v>
                </c:pt>
                <c:pt idx="68">
                  <c:v>7.4821521079011002E-5</c:v>
                </c:pt>
                <c:pt idx="69">
                  <c:v>9.80444608970643E-5</c:v>
                </c:pt>
                <c:pt idx="70">
                  <c:v>-6.4153981337500396E-4</c:v>
                </c:pt>
                <c:pt idx="71">
                  <c:v>1.25504046897654E-4</c:v>
                </c:pt>
                <c:pt idx="72">
                  <c:v>2.6661069672423698E-4</c:v>
                </c:pt>
                <c:pt idx="73">
                  <c:v>-1.5471918399864899E-4</c:v>
                </c:pt>
                <c:pt idx="74">
                  <c:v>-1.2753248024380899E-4</c:v>
                </c:pt>
                <c:pt idx="75">
                  <c:v>-1.78027164653494E-4</c:v>
                </c:pt>
                <c:pt idx="76">
                  <c:v>7.1113897015934603E-4</c:v>
                </c:pt>
                <c:pt idx="77">
                  <c:v>1.1699542542935001E-4</c:v>
                </c:pt>
                <c:pt idx="78">
                  <c:v>3.1500405331216699E-4</c:v>
                </c:pt>
                <c:pt idx="79">
                  <c:v>5.6621892888949403E-4</c:v>
                </c:pt>
                <c:pt idx="80">
                  <c:v>-7.1019084060609594E-5</c:v>
                </c:pt>
                <c:pt idx="81">
                  <c:v>-1.46964361168369E-4</c:v>
                </c:pt>
                <c:pt idx="82">
                  <c:v>-3.5977875327016803E-4</c:v>
                </c:pt>
                <c:pt idx="83">
                  <c:v>1.13550322349604E-4</c:v>
                </c:pt>
                <c:pt idx="84">
                  <c:v>-1.10540018519756E-4</c:v>
                </c:pt>
                <c:pt idx="85">
                  <c:v>5.7779000887155096E-4</c:v>
                </c:pt>
                <c:pt idx="86">
                  <c:v>7.0244341190612495E-4</c:v>
                </c:pt>
                <c:pt idx="87">
                  <c:v>1.29511599095834E-3</c:v>
                </c:pt>
                <c:pt idx="88">
                  <c:v>1.27250326911437E-3</c:v>
                </c:pt>
                <c:pt idx="89">
                  <c:v>3.8632477492007999E-4</c:v>
                </c:pt>
                <c:pt idx="90">
                  <c:v>4.3689344897305202E-5</c:v>
                </c:pt>
                <c:pt idx="91">
                  <c:v>6.8961770340800503E-4</c:v>
                </c:pt>
                <c:pt idx="92">
                  <c:v>5.30519927562331E-4</c:v>
                </c:pt>
                <c:pt idx="93">
                  <c:v>1.30495302552854E-3</c:v>
                </c:pt>
                <c:pt idx="94">
                  <c:v>1.4658288990054801E-3</c:v>
                </c:pt>
                <c:pt idx="95">
                  <c:v>1.3281652199050199E-4</c:v>
                </c:pt>
                <c:pt idx="96">
                  <c:v>3.81718573254186E-4</c:v>
                </c:pt>
                <c:pt idx="97">
                  <c:v>5.02510056148056E-4</c:v>
                </c:pt>
                <c:pt idx="98">
                  <c:v>5.8759659336060405E-4</c:v>
                </c:pt>
                <c:pt idx="99">
                  <c:v>-6.1867111659120896E-5</c:v>
                </c:pt>
                <c:pt idx="100">
                  <c:v>1.5569721495396001E-4</c:v>
                </c:pt>
                <c:pt idx="101">
                  <c:v>-2.9498067792800998E-4</c:v>
                </c:pt>
                <c:pt idx="102">
                  <c:v>-2.7970572609682399E-4</c:v>
                </c:pt>
                <c:pt idx="103">
                  <c:v>-3.0853444651609299E-4</c:v>
                </c:pt>
                <c:pt idx="104">
                  <c:v>-1.5946161304188799E-4</c:v>
                </c:pt>
                <c:pt idx="105">
                  <c:v>5.5272825221121702E-4</c:v>
                </c:pt>
                <c:pt idx="106">
                  <c:v>1.13810811312099E-4</c:v>
                </c:pt>
                <c:pt idx="107">
                  <c:v>-2.0790485620485999E-4</c:v>
                </c:pt>
                <c:pt idx="108">
                  <c:v>3.8053504411903301E-4</c:v>
                </c:pt>
                <c:pt idx="109">
                  <c:v>-5.2606028954499395E-4</c:v>
                </c:pt>
                <c:pt idx="110">
                  <c:v>8.6474619140556003E-5</c:v>
                </c:pt>
                <c:pt idx="111">
                  <c:v>-2.5823826429725199E-4</c:v>
                </c:pt>
                <c:pt idx="112">
                  <c:v>-1.38162382612829E-4</c:v>
                </c:pt>
                <c:pt idx="113">
                  <c:v>8.8254244690137007E-6</c:v>
                </c:pt>
                <c:pt idx="114">
                  <c:v>-3.0853444651609299E-4</c:v>
                </c:pt>
                <c:pt idx="115">
                  <c:v>2.4995400706505301E-4</c:v>
                </c:pt>
                <c:pt idx="116">
                  <c:v>-3.1580398096071302E-4</c:v>
                </c:pt>
                <c:pt idx="117">
                  <c:v>-6.0953210755903501E-4</c:v>
                </c:pt>
                <c:pt idx="118">
                  <c:v>-5.6274621469819502E-4</c:v>
                </c:pt>
                <c:pt idx="119">
                  <c:v>-7.6103679091498496E-4</c:v>
                </c:pt>
                <c:pt idx="120">
                  <c:v>-5.9099643100745595E-4</c:v>
                </c:pt>
                <c:pt idx="121">
                  <c:v>-8.1386246787125503E-4</c:v>
                </c:pt>
                <c:pt idx="122">
                  <c:v>-8.8711231384158804E-4</c:v>
                </c:pt>
                <c:pt idx="123">
                  <c:v>-3.0032690826677203E-4</c:v>
                </c:pt>
                <c:pt idx="124">
                  <c:v>1.52724693033969E-5</c:v>
                </c:pt>
                <c:pt idx="125">
                  <c:v>-3.7705402198413E-4</c:v>
                </c:pt>
                <c:pt idx="126">
                  <c:v>-1.27031110258471E-4</c:v>
                </c:pt>
                <c:pt idx="127">
                  <c:v>-5.38320871027273E-4</c:v>
                </c:pt>
                <c:pt idx="128">
                  <c:v>-4.1653598070262999E-4</c:v>
                </c:pt>
                <c:pt idx="129">
                  <c:v>-9.8200533369412093E-4</c:v>
                </c:pt>
                <c:pt idx="130">
                  <c:v>-1.4437153372562101E-4</c:v>
                </c:pt>
                <c:pt idx="131">
                  <c:v>-4.64894725740026E-4</c:v>
                </c:pt>
                <c:pt idx="132">
                  <c:v>-3.3777005841319798E-4</c:v>
                </c:pt>
                <c:pt idx="133">
                  <c:v>-9.9888800593908307E-4</c:v>
                </c:pt>
                <c:pt idx="134">
                  <c:v>-5.7857888890430395E-4</c:v>
                </c:pt>
                <c:pt idx="135">
                  <c:v>-3.5392741205389602E-4</c:v>
                </c:pt>
                <c:pt idx="136">
                  <c:v>-1.0358088825235E-4</c:v>
                </c:pt>
                <c:pt idx="137">
                  <c:v>-3.1781596666217998E-4</c:v>
                </c:pt>
                <c:pt idx="138">
                  <c:v>1.4777544223390301E-4</c:v>
                </c:pt>
                <c:pt idx="139">
                  <c:v>-4.7927458579273102E-4</c:v>
                </c:pt>
                <c:pt idx="140">
                  <c:v>3.3634046121943799E-4</c:v>
                </c:pt>
                <c:pt idx="141">
                  <c:v>5.5638322129751203E-4</c:v>
                </c:pt>
                <c:pt idx="142">
                  <c:v>-1.9524055865050201E-3</c:v>
                </c:pt>
                <c:pt idx="143">
                  <c:v>-1.0795855670716499E-3</c:v>
                </c:pt>
                <c:pt idx="144">
                  <c:v>-1.0037641102463601E-3</c:v>
                </c:pt>
                <c:pt idx="145">
                  <c:v>-1.8101355643414601E-3</c:v>
                </c:pt>
                <c:pt idx="146">
                  <c:v>-1.3672391169478101E-3</c:v>
                </c:pt>
                <c:pt idx="147">
                  <c:v>-7.9882602435651104E-4</c:v>
                </c:pt>
                <c:pt idx="148">
                  <c:v>-8.4775149142617395E-4</c:v>
                </c:pt>
                <c:pt idx="149">
                  <c:v>-6.8058504808803696E-4</c:v>
                </c:pt>
                <c:pt idx="150">
                  <c:v>-9.7637428314506199E-4</c:v>
                </c:pt>
                <c:pt idx="151">
                  <c:v>-9.7774038228137209E-4</c:v>
                </c:pt>
                <c:pt idx="152">
                  <c:v>-1.0279228700190101E-3</c:v>
                </c:pt>
                <c:pt idx="153">
                  <c:v>-1.0305790008754E-3</c:v>
                </c:pt>
                <c:pt idx="154">
                  <c:v>-1.12565363398448E-3</c:v>
                </c:pt>
                <c:pt idx="155">
                  <c:v>-9.2190325817584297E-4</c:v>
                </c:pt>
                <c:pt idx="156">
                  <c:v>-5.1935178053017395E-4</c:v>
                </c:pt>
                <c:pt idx="157">
                  <c:v>-8.2254639506856896E-4</c:v>
                </c:pt>
                <c:pt idx="158">
                  <c:v>1.5047098752829E-4</c:v>
                </c:pt>
                <c:pt idx="159">
                  <c:v>-3.6904335719642201E-4</c:v>
                </c:pt>
                <c:pt idx="160">
                  <c:v>-9.9199605254518693E-4</c:v>
                </c:pt>
                <c:pt idx="161">
                  <c:v>-2.9661353807950401E-4</c:v>
                </c:pt>
                <c:pt idx="162">
                  <c:v>-2.18607701469592E-4</c:v>
                </c:pt>
                <c:pt idx="163">
                  <c:v>-6.1406888291818502E-4</c:v>
                </c:pt>
                <c:pt idx="164">
                  <c:v>-2.1578139848296499E-3</c:v>
                </c:pt>
                <c:pt idx="165">
                  <c:v>-1.75651575255322E-3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D83-4FF6-AA27-5FD3EA499F57}"/>
            </c:ext>
          </c:extLst>
        </c:ser>
        <c:ser>
          <c:idx val="1"/>
          <c:order val="1"/>
          <c:tx>
            <c:strRef>
              <c:f>CMF_VTEC_2!$AF$1</c:f>
              <c:strCache>
                <c:ptCount val="1"/>
                <c:pt idx="0">
                  <c:v>log diff CMF* x 10 dma / VTEC*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CMF_VTEC_2!$AF$2:$AF$167</c:f>
              <c:numCache>
                <c:formatCode>0.00%</c:formatCode>
                <c:ptCount val="166"/>
                <c:pt idx="10">
                  <c:v>6.1713257478969498E-5</c:v>
                </c:pt>
                <c:pt idx="11">
                  <c:v>-1.4013289237392501E-3</c:v>
                </c:pt>
                <c:pt idx="12">
                  <c:v>6.0806048068601996E-4</c:v>
                </c:pt>
                <c:pt idx="13">
                  <c:v>8.3379152231710099E-4</c:v>
                </c:pt>
                <c:pt idx="14">
                  <c:v>5.6073294392021303E-4</c:v>
                </c:pt>
                <c:pt idx="15">
                  <c:v>4.3604588072007101E-4</c:v>
                </c:pt>
                <c:pt idx="16">
                  <c:v>-1.01638213001099E-4</c:v>
                </c:pt>
                <c:pt idx="17">
                  <c:v>-1.13791621587886E-4</c:v>
                </c:pt>
                <c:pt idx="18">
                  <c:v>1.46062167257958E-4</c:v>
                </c:pt>
                <c:pt idx="19">
                  <c:v>1.96237897678701E-4</c:v>
                </c:pt>
                <c:pt idx="20">
                  <c:v>-4.1736592461052801E-4</c:v>
                </c:pt>
                <c:pt idx="21">
                  <c:v>-2.8630006274257803E-4</c:v>
                </c:pt>
                <c:pt idx="22">
                  <c:v>-6.0706083382851598E-4</c:v>
                </c:pt>
                <c:pt idx="23">
                  <c:v>-3.5158481049053E-4</c:v>
                </c:pt>
                <c:pt idx="24">
                  <c:v>1.47017790915537E-5</c:v>
                </c:pt>
                <c:pt idx="25">
                  <c:v>-1.2667264881221101E-5</c:v>
                </c:pt>
                <c:pt idx="26">
                  <c:v>8.9786619455344897E-4</c:v>
                </c:pt>
                <c:pt idx="27">
                  <c:v>4.4181481451241098E-4</c:v>
                </c:pt>
                <c:pt idx="28">
                  <c:v>5.04650895080294E-4</c:v>
                </c:pt>
                <c:pt idx="29">
                  <c:v>1.4403313163939999E-4</c:v>
                </c:pt>
                <c:pt idx="30">
                  <c:v>-9.6287895101261498E-5</c:v>
                </c:pt>
                <c:pt idx="31">
                  <c:v>-4.6903339974141E-4</c:v>
                </c:pt>
                <c:pt idx="32">
                  <c:v>-1.3452381457591299E-5</c:v>
                </c:pt>
                <c:pt idx="33">
                  <c:v>-2.6214178872262001E-4</c:v>
                </c:pt>
                <c:pt idx="34">
                  <c:v>-6.2003049294116698E-4</c:v>
                </c:pt>
                <c:pt idx="35">
                  <c:v>-6.7164687601260103E-4</c:v>
                </c:pt>
                <c:pt idx="36">
                  <c:v>3.32841709693126E-4</c:v>
                </c:pt>
                <c:pt idx="37">
                  <c:v>3.7150326756512199E-4</c:v>
                </c:pt>
                <c:pt idx="38">
                  <c:v>3.7379433757106099E-4</c:v>
                </c:pt>
                <c:pt idx="39">
                  <c:v>-3.6463205131541902E-4</c:v>
                </c:pt>
                <c:pt idx="40">
                  <c:v>-6.8333737255805603E-4</c:v>
                </c:pt>
                <c:pt idx="41">
                  <c:v>3.4937247444976097E-4</c:v>
                </c:pt>
                <c:pt idx="42">
                  <c:v>2.9458135644838701E-4</c:v>
                </c:pt>
                <c:pt idx="43">
                  <c:v>-4.8152709616100802E-4</c:v>
                </c:pt>
                <c:pt idx="44">
                  <c:v>3.5207671059150799E-4</c:v>
                </c:pt>
                <c:pt idx="45">
                  <c:v>-8.0009344586821603E-4</c:v>
                </c:pt>
                <c:pt idx="46">
                  <c:v>1.2560120953959201E-4</c:v>
                </c:pt>
                <c:pt idx="47">
                  <c:v>-3.9947248862525598E-4</c:v>
                </c:pt>
                <c:pt idx="48">
                  <c:v>1.76117169719424E-4</c:v>
                </c:pt>
                <c:pt idx="49">
                  <c:v>6.5919052163657197E-4</c:v>
                </c:pt>
                <c:pt idx="50">
                  <c:v>6.5308747877823397E-4</c:v>
                </c:pt>
                <c:pt idx="51">
                  <c:v>-6.0726741537944101E-5</c:v>
                </c:pt>
                <c:pt idx="52">
                  <c:v>-1.10661933662544E-6</c:v>
                </c:pt>
                <c:pt idx="53">
                  <c:v>-7.9897415613332397E-4</c:v>
                </c:pt>
                <c:pt idx="54">
                  <c:v>9.0140279272072298E-4</c:v>
                </c:pt>
                <c:pt idx="55">
                  <c:v>-1.4400327159469501E-3</c:v>
                </c:pt>
                <c:pt idx="56">
                  <c:v>-5.4984568752304097E-4</c:v>
                </c:pt>
                <c:pt idx="57">
                  <c:v>1.07889146930014E-4</c:v>
                </c:pt>
                <c:pt idx="58">
                  <c:v>-3.1579578574530398E-5</c:v>
                </c:pt>
                <c:pt idx="59">
                  <c:v>1.00912530288314E-3</c:v>
                </c:pt>
                <c:pt idx="60">
                  <c:v>9.08412601661597E-4</c:v>
                </c:pt>
                <c:pt idx="61">
                  <c:v>7.9493794867142398E-4</c:v>
                </c:pt>
                <c:pt idx="62">
                  <c:v>-1.2963852893994101E-5</c:v>
                </c:pt>
                <c:pt idx="63">
                  <c:v>3.6254112192370098E-4</c:v>
                </c:pt>
                <c:pt idx="64">
                  <c:v>-5.60251160404326E-4</c:v>
                </c:pt>
                <c:pt idx="65">
                  <c:v>2.7519517761639002E-4</c:v>
                </c:pt>
                <c:pt idx="66">
                  <c:v>-2.27323649972009E-4</c:v>
                </c:pt>
                <c:pt idx="67">
                  <c:v>-5.5664319072549497E-4</c:v>
                </c:pt>
                <c:pt idx="68">
                  <c:v>-4.60093290116478E-4</c:v>
                </c:pt>
                <c:pt idx="69">
                  <c:v>-4.2697541171280698E-4</c:v>
                </c:pt>
                <c:pt idx="70">
                  <c:v>-1.0567031531814001E-3</c:v>
                </c:pt>
                <c:pt idx="71">
                  <c:v>-1.11849494798434E-4</c:v>
                </c:pt>
                <c:pt idx="72">
                  <c:v>1.21656354726893E-4</c:v>
                </c:pt>
                <c:pt idx="73">
                  <c:v>-2.9442715986524999E-4</c:v>
                </c:pt>
                <c:pt idx="74">
                  <c:v>-1.8221676159003799E-4</c:v>
                </c:pt>
                <c:pt idx="75">
                  <c:v>-2.3054532697187701E-4</c:v>
                </c:pt>
                <c:pt idx="76">
                  <c:v>7.3680058060202199E-4</c:v>
                </c:pt>
                <c:pt idx="77">
                  <c:v>9.9118623046691003E-5</c:v>
                </c:pt>
                <c:pt idx="78">
                  <c:v>2.85929226934036E-4</c:v>
                </c:pt>
                <c:pt idx="79">
                  <c:v>5.1312954369134799E-4</c:v>
                </c:pt>
                <c:pt idx="80">
                  <c:v>-1.7091394961897899E-4</c:v>
                </c:pt>
                <c:pt idx="81">
                  <c:v>-3.0393896107650502E-4</c:v>
                </c:pt>
                <c:pt idx="82">
                  <c:v>-4.8950231379248804E-4</c:v>
                </c:pt>
                <c:pt idx="83">
                  <c:v>4.6474790117315097E-5</c:v>
                </c:pt>
                <c:pt idx="84">
                  <c:v>-2.0444521313226399E-4</c:v>
                </c:pt>
                <c:pt idx="85">
                  <c:v>4.8218520476384102E-4</c:v>
                </c:pt>
                <c:pt idx="86">
                  <c:v>5.3126191379571205E-4</c:v>
                </c:pt>
                <c:pt idx="87">
                  <c:v>1.1248035826776201E-3</c:v>
                </c:pt>
                <c:pt idx="88">
                  <c:v>9.8443496463350389E-4</c:v>
                </c:pt>
                <c:pt idx="89">
                  <c:v>2.5503726136255099E-6</c:v>
                </c:pt>
                <c:pt idx="90">
                  <c:v>-3.2209746766363598E-4</c:v>
                </c:pt>
                <c:pt idx="91">
                  <c:v>3.1235562864786001E-4</c:v>
                </c:pt>
                <c:pt idx="92">
                  <c:v>6.9587280784535904E-5</c:v>
                </c:pt>
                <c:pt idx="93">
                  <c:v>7.5495309883351195E-4</c:v>
                </c:pt>
                <c:pt idx="94">
                  <c:v>7.9670057122686996E-4</c:v>
                </c:pt>
                <c:pt idx="95">
                  <c:v>-6.9395979720587495E-4</c:v>
                </c:pt>
                <c:pt idx="96">
                  <c:v>-4.0054040355147599E-4</c:v>
                </c:pt>
                <c:pt idx="97">
                  <c:v>-2.4766924718316402E-4</c:v>
                </c:pt>
                <c:pt idx="98">
                  <c:v>-8.3337034358323402E-5</c:v>
                </c:pt>
                <c:pt idx="99">
                  <c:v>-6.64330159377661E-4</c:v>
                </c:pt>
                <c:pt idx="100">
                  <c:v>-4.0192791368162602E-4</c:v>
                </c:pt>
                <c:pt idx="101">
                  <c:v>-8.6381178673352905E-4</c:v>
                </c:pt>
                <c:pt idx="102">
                  <c:v>-7.5004525737906095E-4</c:v>
                </c:pt>
                <c:pt idx="103">
                  <c:v>-6.9782674250043095E-4</c:v>
                </c:pt>
                <c:pt idx="104">
                  <c:v>-3.8743572946243999E-4</c:v>
                </c:pt>
                <c:pt idx="105">
                  <c:v>4.8720091547381299E-4</c:v>
                </c:pt>
                <c:pt idx="106">
                  <c:v>6.3030603103591302E-6</c:v>
                </c:pt>
                <c:pt idx="107">
                  <c:v>-2.8862594702709599E-4</c:v>
                </c:pt>
                <c:pt idx="108">
                  <c:v>3.7084819314225199E-4</c:v>
                </c:pt>
                <c:pt idx="109">
                  <c:v>-5.1505101996150195E-4</c:v>
                </c:pt>
                <c:pt idx="110">
                  <c:v>1.4391526538625E-4</c:v>
                </c:pt>
                <c:pt idx="111">
                  <c:v>-1.9387661811583301E-4</c:v>
                </c:pt>
                <c:pt idx="112">
                  <c:v>-7.7475764480138603E-5</c:v>
                </c:pt>
                <c:pt idx="113">
                  <c:v>5.5355509538979201E-5</c:v>
                </c:pt>
                <c:pt idx="114">
                  <c:v>-2.9374413165123698E-4</c:v>
                </c:pt>
                <c:pt idx="115">
                  <c:v>2.7965476227992701E-4</c:v>
                </c:pt>
                <c:pt idx="116">
                  <c:v>-2.5583930709848401E-4</c:v>
                </c:pt>
                <c:pt idx="117">
                  <c:v>-5.0660511420519601E-4</c:v>
                </c:pt>
                <c:pt idx="118">
                  <c:v>-4.1964501963522298E-4</c:v>
                </c:pt>
                <c:pt idx="119">
                  <c:v>-5.2361681914997005E-4</c:v>
                </c:pt>
                <c:pt idx="120">
                  <c:v>-3.30069540335978E-4</c:v>
                </c:pt>
                <c:pt idx="121">
                  <c:v>-4.85191352674301E-4</c:v>
                </c:pt>
                <c:pt idx="122">
                  <c:v>-5.0286879805847603E-4</c:v>
                </c:pt>
                <c:pt idx="123">
                  <c:v>1.58818413851794E-4</c:v>
                </c:pt>
                <c:pt idx="124">
                  <c:v>5.0532286010364304E-4</c:v>
                </c:pt>
                <c:pt idx="125">
                  <c:v>8.0626271435352205E-5</c:v>
                </c:pt>
                <c:pt idx="126">
                  <c:v>3.9332331561211701E-4</c:v>
                </c:pt>
                <c:pt idx="127">
                  <c:v>-3.6838268052988303E-5</c:v>
                </c:pt>
                <c:pt idx="128">
                  <c:v>7.7824957357472898E-5</c:v>
                </c:pt>
                <c:pt idx="129">
                  <c:v>-5.0226545692513803E-4</c:v>
                </c:pt>
                <c:pt idx="130">
                  <c:v>3.5747361187086699E-4</c:v>
                </c:pt>
                <c:pt idx="131">
                  <c:v>-7.7070758042980304E-6</c:v>
                </c:pt>
                <c:pt idx="132">
                  <c:v>8.4513849548292698E-5</c:v>
                </c:pt>
                <c:pt idx="133">
                  <c:v>-6.3155028086114796E-4</c:v>
                </c:pt>
                <c:pt idx="134">
                  <c:v>-1.4136777279219701E-4</c:v>
                </c:pt>
                <c:pt idx="135">
                  <c:v>1.4265784096360699E-4</c:v>
                </c:pt>
                <c:pt idx="136">
                  <c:v>3.9069200425588399E-4</c:v>
                </c:pt>
                <c:pt idx="137">
                  <c:v>1.74112789415346E-4</c:v>
                </c:pt>
                <c:pt idx="138">
                  <c:v>6.1765487285249203E-4</c:v>
                </c:pt>
                <c:pt idx="139">
                  <c:v>-6.5808960019728106E-5</c:v>
                </c:pt>
                <c:pt idx="140">
                  <c:v>6.9951579927948402E-4</c:v>
                </c:pt>
                <c:pt idx="141">
                  <c:v>8.7150827229947898E-4</c:v>
                </c:pt>
                <c:pt idx="142">
                  <c:v>-1.7393766981428601E-3</c:v>
                </c:pt>
                <c:pt idx="143">
                  <c:v>-7.0495560279867995E-4</c:v>
                </c:pt>
                <c:pt idx="144">
                  <c:v>-6.2105905746369199E-4</c:v>
                </c:pt>
                <c:pt idx="145">
                  <c:v>-1.38489552279282E-3</c:v>
                </c:pt>
                <c:pt idx="146">
                  <c:v>-7.9629318899221099E-4</c:v>
                </c:pt>
                <c:pt idx="147">
                  <c:v>-1.0150146689064599E-4</c:v>
                </c:pt>
                <c:pt idx="148">
                  <c:v>-1.02333769968424E-4</c:v>
                </c:pt>
                <c:pt idx="149">
                  <c:v>1.64341061412036E-4</c:v>
                </c:pt>
                <c:pt idx="150">
                  <c:v>-1.11322663846716E-4</c:v>
                </c:pt>
                <c:pt idx="151">
                  <c:v>1.8502586896887399E-5</c:v>
                </c:pt>
                <c:pt idx="152">
                  <c:v>1.21600258582582E-4</c:v>
                </c:pt>
                <c:pt idx="153">
                  <c:v>2.6460079221345999E-5</c:v>
                </c:pt>
                <c:pt idx="154">
                  <c:v>-7.3515212926433297E-5</c:v>
                </c:pt>
                <c:pt idx="155">
                  <c:v>1.4242419419849099E-4</c:v>
                </c:pt>
                <c:pt idx="156">
                  <c:v>4.5612168961143299E-4</c:v>
                </c:pt>
                <c:pt idx="157">
                  <c:v>6.8137472644641593E-5</c:v>
                </c:pt>
                <c:pt idx="158">
                  <c:v>1.04352669975017E-3</c:v>
                </c:pt>
                <c:pt idx="159">
                  <c:v>4.2423945582222402E-4</c:v>
                </c:pt>
                <c:pt idx="160">
                  <c:v>-2.2985953098854001E-4</c:v>
                </c:pt>
                <c:pt idx="161">
                  <c:v>4.6708550611427799E-4</c:v>
                </c:pt>
                <c:pt idx="162">
                  <c:v>4.7698495501390499E-4</c:v>
                </c:pt>
                <c:pt idx="163">
                  <c:v>5.9483319542271098E-7</c:v>
                </c:pt>
                <c:pt idx="164">
                  <c:v>-1.58481079875736E-3</c:v>
                </c:pt>
                <c:pt idx="165">
                  <c:v>-1.0801914955112001E-3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D83-4FF6-AA27-5FD3EA499F57}"/>
            </c:ext>
          </c:extLst>
        </c:ser>
        <c:ser>
          <c:idx val="2"/>
          <c:order val="2"/>
          <c:tx>
            <c:strRef>
              <c:f>CMF_VTEC_2!$AG$1</c:f>
              <c:strCache>
                <c:ptCount val="1"/>
                <c:pt idx="0">
                  <c:v>log diff CMF* x 20 dma / VTEC*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CMF_VTEC_2!$AG$2:$AG$167</c:f>
              <c:numCache>
                <c:formatCode>0.00%</c:formatCode>
                <c:ptCount val="166"/>
                <c:pt idx="20">
                  <c:v>-3.4875131434834001E-4</c:v>
                </c:pt>
                <c:pt idx="21">
                  <c:v>-2.3999703793029599E-4</c:v>
                </c:pt>
                <c:pt idx="22">
                  <c:v>-4.3550213079252898E-4</c:v>
                </c:pt>
                <c:pt idx="23">
                  <c:v>-2.3561901333168499E-4</c:v>
                </c:pt>
                <c:pt idx="24">
                  <c:v>4.5821572602401699E-5</c:v>
                </c:pt>
                <c:pt idx="25">
                  <c:v>-5.40117771284781E-5</c:v>
                </c:pt>
                <c:pt idx="26">
                  <c:v>8.4611676922582003E-4</c:v>
                </c:pt>
                <c:pt idx="27">
                  <c:v>4.2988478415576501E-4</c:v>
                </c:pt>
                <c:pt idx="28">
                  <c:v>5.13187150496023E-4</c:v>
                </c:pt>
                <c:pt idx="29">
                  <c:v>1.3664569612548101E-4</c:v>
                </c:pt>
                <c:pt idx="30">
                  <c:v>-1.08168489808114E-4</c:v>
                </c:pt>
                <c:pt idx="31">
                  <c:v>-4.4894751134911702E-4</c:v>
                </c:pt>
                <c:pt idx="32">
                  <c:v>-6.0935515886393803E-5</c:v>
                </c:pt>
                <c:pt idx="33">
                  <c:v>-2.41079432799533E-4</c:v>
                </c:pt>
                <c:pt idx="34">
                  <c:v>-5.4472028440611395E-4</c:v>
                </c:pt>
                <c:pt idx="35">
                  <c:v>-5.9636827440656204E-4</c:v>
                </c:pt>
                <c:pt idx="36">
                  <c:v>4.0925179230211401E-4</c:v>
                </c:pt>
                <c:pt idx="37">
                  <c:v>3.8252951187216097E-4</c:v>
                </c:pt>
                <c:pt idx="38">
                  <c:v>3.5582534259156199E-4</c:v>
                </c:pt>
                <c:pt idx="39">
                  <c:v>-4.0971351465174898E-4</c:v>
                </c:pt>
                <c:pt idx="40">
                  <c:v>-7.5501146816908801E-4</c:v>
                </c:pt>
                <c:pt idx="41">
                  <c:v>2.2630325929340201E-4</c:v>
                </c:pt>
                <c:pt idx="42">
                  <c:v>2.0725088831672801E-4</c:v>
                </c:pt>
                <c:pt idx="43">
                  <c:v>-5.8712818884058002E-4</c:v>
                </c:pt>
                <c:pt idx="44">
                  <c:v>2.1836321569495301E-4</c:v>
                </c:pt>
                <c:pt idx="45">
                  <c:v>-8.7436431453315005E-4</c:v>
                </c:pt>
                <c:pt idx="46">
                  <c:v>6.2902254354405798E-5</c:v>
                </c:pt>
                <c:pt idx="47">
                  <c:v>-4.5819969237191702E-4</c:v>
                </c:pt>
                <c:pt idx="48">
                  <c:v>7.5387592351618306E-5</c:v>
                </c:pt>
                <c:pt idx="49">
                  <c:v>5.4684861436144405E-4</c:v>
                </c:pt>
                <c:pt idx="50">
                  <c:v>6.1063025675334604E-4</c:v>
                </c:pt>
                <c:pt idx="51">
                  <c:v>-4.07519371415868E-6</c:v>
                </c:pt>
                <c:pt idx="52">
                  <c:v>1.20933414394587E-5</c:v>
                </c:pt>
                <c:pt idx="53">
                  <c:v>-8.0590347446369995E-4</c:v>
                </c:pt>
                <c:pt idx="54">
                  <c:v>8.9943314659482899E-4</c:v>
                </c:pt>
                <c:pt idx="55">
                  <c:v>-1.44998373898349E-3</c:v>
                </c:pt>
                <c:pt idx="56">
                  <c:v>-5.7896529671657999E-4</c:v>
                </c:pt>
                <c:pt idx="57">
                  <c:v>5.87075925985618E-5</c:v>
                </c:pt>
                <c:pt idx="58">
                  <c:v>-1.58922982457521E-5</c:v>
                </c:pt>
                <c:pt idx="59">
                  <c:v>1.03594670396981E-3</c:v>
                </c:pt>
                <c:pt idx="60">
                  <c:v>9.1544910191728303E-4</c:v>
                </c:pt>
                <c:pt idx="61">
                  <c:v>7.5285733692786203E-4</c:v>
                </c:pt>
                <c:pt idx="62">
                  <c:v>-1.64604922585605E-6</c:v>
                </c:pt>
                <c:pt idx="63">
                  <c:v>3.8786053688169098E-4</c:v>
                </c:pt>
                <c:pt idx="64">
                  <c:v>-4.5772518933789402E-4</c:v>
                </c:pt>
                <c:pt idx="65">
                  <c:v>2.8764062004381201E-4</c:v>
                </c:pt>
                <c:pt idx="66">
                  <c:v>-9.4776581858649006E-5</c:v>
                </c:pt>
                <c:pt idx="67">
                  <c:v>-3.5799935383256499E-4</c:v>
                </c:pt>
                <c:pt idx="68">
                  <c:v>-2.9527747999032303E-4</c:v>
                </c:pt>
                <c:pt idx="69">
                  <c:v>-2.58290880764185E-4</c:v>
                </c:pt>
                <c:pt idx="70">
                  <c:v>-9.6311970027832905E-4</c:v>
                </c:pt>
                <c:pt idx="71">
                  <c:v>-1.20634947958913E-4</c:v>
                </c:pt>
                <c:pt idx="72">
                  <c:v>2.8114847092254301E-5</c:v>
                </c:pt>
                <c:pt idx="73">
                  <c:v>-3.91130472229031E-4</c:v>
                </c:pt>
                <c:pt idx="74">
                  <c:v>-3.82042742588726E-4</c:v>
                </c:pt>
                <c:pt idx="75">
                  <c:v>-3.6864239238038098E-4</c:v>
                </c:pt>
                <c:pt idx="76">
                  <c:v>4.7257371504959799E-4</c:v>
                </c:pt>
                <c:pt idx="77">
                  <c:v>-1.7273310096169799E-4</c:v>
                </c:pt>
                <c:pt idx="78">
                  <c:v>3.3041218786381601E-5</c:v>
                </c:pt>
                <c:pt idx="79">
                  <c:v>2.7719213978341298E-4</c:v>
                </c:pt>
                <c:pt idx="80">
                  <c:v>-3.2853576246679199E-4</c:v>
                </c:pt>
                <c:pt idx="81">
                  <c:v>-3.4412762437374499E-4</c:v>
                </c:pt>
                <c:pt idx="82">
                  <c:v>-4.9711767553305304E-4</c:v>
                </c:pt>
                <c:pt idx="83">
                  <c:v>1.01592277342101E-5</c:v>
                </c:pt>
                <c:pt idx="84">
                  <c:v>-1.8483456421408299E-4</c:v>
                </c:pt>
                <c:pt idx="85">
                  <c:v>5.03728757715777E-4</c:v>
                </c:pt>
                <c:pt idx="86">
                  <c:v>6.2968831147328802E-4</c:v>
                </c:pt>
                <c:pt idx="87">
                  <c:v>1.20102429020336E-3</c:v>
                </c:pt>
                <c:pt idx="88">
                  <c:v>1.1139400883875699E-3</c:v>
                </c:pt>
                <c:pt idx="89">
                  <c:v>1.6790655024038001E-4</c:v>
                </c:pt>
                <c:pt idx="90">
                  <c:v>-1.8914265684631399E-4</c:v>
                </c:pt>
                <c:pt idx="91">
                  <c:v>4.2250543189541699E-4</c:v>
                </c:pt>
                <c:pt idx="92">
                  <c:v>2.35205536344432E-4</c:v>
                </c:pt>
                <c:pt idx="93">
                  <c:v>9.9644444806069594E-4</c:v>
                </c:pt>
                <c:pt idx="94">
                  <c:v>1.08435349801588E-3</c:v>
                </c:pt>
                <c:pt idx="95">
                  <c:v>-3.2830721318997502E-4</c:v>
                </c:pt>
                <c:pt idx="96">
                  <c:v>-9.4954987243971197E-5</c:v>
                </c:pt>
                <c:pt idx="97">
                  <c:v>4.2306231043544998E-5</c:v>
                </c:pt>
                <c:pt idx="98">
                  <c:v>1.08113950492801E-4</c:v>
                </c:pt>
                <c:pt idx="99">
                  <c:v>-5.5497985858130397E-4</c:v>
                </c:pt>
                <c:pt idx="100">
                  <c:v>-3.06004155401845E-4</c:v>
                </c:pt>
                <c:pt idx="101">
                  <c:v>-7.6802268237379705E-4</c:v>
                </c:pt>
                <c:pt idx="102">
                  <c:v>-7.4534180406541305E-4</c:v>
                </c:pt>
                <c:pt idx="103">
                  <c:v>-7.7817732948797305E-4</c:v>
                </c:pt>
                <c:pt idx="104">
                  <c:v>-6.0798850801213004E-4</c:v>
                </c:pt>
                <c:pt idx="105">
                  <c:v>1.06648861744293E-4</c:v>
                </c:pt>
                <c:pt idx="106">
                  <c:v>-3.3101564144080497E-4</c:v>
                </c:pt>
                <c:pt idx="107">
                  <c:v>-6.2329903149552495E-4</c:v>
                </c:pt>
                <c:pt idx="108">
                  <c:v>4.0279460682462398E-5</c:v>
                </c:pt>
                <c:pt idx="109">
                  <c:v>-8.2174013507752496E-4</c:v>
                </c:pt>
                <c:pt idx="110">
                  <c:v>-1.6357033381685199E-4</c:v>
                </c:pt>
                <c:pt idx="111">
                  <c:v>-5.1042287897713897E-4</c:v>
                </c:pt>
                <c:pt idx="112">
                  <c:v>-3.4295359059141698E-4</c:v>
                </c:pt>
                <c:pt idx="113">
                  <c:v>-1.6253193834494899E-4</c:v>
                </c:pt>
                <c:pt idx="114">
                  <c:v>-4.1511898047276501E-4</c:v>
                </c:pt>
                <c:pt idx="115">
                  <c:v>2.32041849852527E-4</c:v>
                </c:pt>
                <c:pt idx="116">
                  <c:v>-3.3957201365390999E-4</c:v>
                </c:pt>
                <c:pt idx="117">
                  <c:v>-5.9842494046594597E-4</c:v>
                </c:pt>
                <c:pt idx="118">
                  <c:v>-4.9603612463161898E-4</c:v>
                </c:pt>
                <c:pt idx="119">
                  <c:v>-6.3681576251479099E-4</c:v>
                </c:pt>
                <c:pt idx="120">
                  <c:v>-4.3180748671723702E-4</c:v>
                </c:pt>
                <c:pt idx="121">
                  <c:v>-6.17337354745206E-4</c:v>
                </c:pt>
                <c:pt idx="122">
                  <c:v>-6.6463416075076903E-4</c:v>
                </c:pt>
                <c:pt idx="123">
                  <c:v>-4.7467923256156698E-5</c:v>
                </c:pt>
                <c:pt idx="124">
                  <c:v>2.6772105615308599E-4</c:v>
                </c:pt>
                <c:pt idx="125">
                  <c:v>-1.3334060185665199E-4</c:v>
                </c:pt>
                <c:pt idx="126">
                  <c:v>1.6315493444814E-4</c:v>
                </c:pt>
                <c:pt idx="127">
                  <c:v>-2.3609621704144499E-4</c:v>
                </c:pt>
                <c:pt idx="128">
                  <c:v>-9.7789491215341903E-5</c:v>
                </c:pt>
                <c:pt idx="129">
                  <c:v>-6.2341806955998498E-4</c:v>
                </c:pt>
                <c:pt idx="130">
                  <c:v>2.37021739609043E-4</c:v>
                </c:pt>
                <c:pt idx="131">
                  <c:v>-7.1963278611097194E-5</c:v>
                </c:pt>
                <c:pt idx="132">
                  <c:v>6.5493834342883199E-5</c:v>
                </c:pt>
                <c:pt idx="133">
                  <c:v>-5.8564542876126096E-4</c:v>
                </c:pt>
                <c:pt idx="134">
                  <c:v>-1.14947786449618E-4</c:v>
                </c:pt>
                <c:pt idx="135">
                  <c:v>1.23205550364051E-4</c:v>
                </c:pt>
                <c:pt idx="136">
                  <c:v>4.0373285596770298E-4</c:v>
                </c:pt>
                <c:pt idx="137">
                  <c:v>1.7888972427310099E-4</c:v>
                </c:pt>
                <c:pt idx="138">
                  <c:v>6.2989570149110999E-4</c:v>
                </c:pt>
                <c:pt idx="139">
                  <c:v>-3.26712854871142E-5</c:v>
                </c:pt>
                <c:pt idx="140">
                  <c:v>7.6885310671211604E-4</c:v>
                </c:pt>
                <c:pt idx="141">
                  <c:v>9.4254209448920703E-4</c:v>
                </c:pt>
                <c:pt idx="142">
                  <c:v>-1.6347437148851701E-3</c:v>
                </c:pt>
                <c:pt idx="143">
                  <c:v>-7.0860171574913802E-4</c:v>
                </c:pt>
                <c:pt idx="144">
                  <c:v>-5.9380565443531604E-4</c:v>
                </c:pt>
                <c:pt idx="145">
                  <c:v>-1.3492222807910601E-3</c:v>
                </c:pt>
                <c:pt idx="146">
                  <c:v>-8.3462897187171301E-4</c:v>
                </c:pt>
                <c:pt idx="147">
                  <c:v>-2.0419409415520001E-4</c:v>
                </c:pt>
                <c:pt idx="148">
                  <c:v>-2.4009342521937301E-4</c:v>
                </c:pt>
                <c:pt idx="149">
                  <c:v>-5.1365910683167901E-5</c:v>
                </c:pt>
                <c:pt idx="150">
                  <c:v>-3.6222931949105399E-4</c:v>
                </c:pt>
                <c:pt idx="151">
                  <c:v>-3.2199838198980599E-4</c:v>
                </c:pt>
                <c:pt idx="152">
                  <c:v>-3.4653723385838801E-4</c:v>
                </c:pt>
                <c:pt idx="153">
                  <c:v>-3.1468626841648799E-4</c:v>
                </c:pt>
                <c:pt idx="154">
                  <c:v>-4.0817587943593698E-4</c:v>
                </c:pt>
                <c:pt idx="155">
                  <c:v>-1.7706845712544701E-4</c:v>
                </c:pt>
                <c:pt idx="156">
                  <c:v>2.53878373834742E-4</c:v>
                </c:pt>
                <c:pt idx="157">
                  <c:v>-2.8537509001114099E-5</c:v>
                </c:pt>
                <c:pt idx="158">
                  <c:v>9.6971042899010097E-4</c:v>
                </c:pt>
                <c:pt idx="159">
                  <c:v>4.5006143744180698E-4</c:v>
                </c:pt>
                <c:pt idx="160">
                  <c:v>-1.7840065817809701E-4</c:v>
                </c:pt>
                <c:pt idx="161">
                  <c:v>5.8336422819101898E-4</c:v>
                </c:pt>
                <c:pt idx="162">
                  <c:v>7.0397594768170201E-4</c:v>
                </c:pt>
                <c:pt idx="163">
                  <c:v>2.2180697718237599E-4</c:v>
                </c:pt>
                <c:pt idx="164">
                  <c:v>-1.3452144849431401E-3</c:v>
                </c:pt>
                <c:pt idx="165">
                  <c:v>-8.8617107953510403E-4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4D83-4FF6-AA27-5FD3EA499F5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79644688"/>
        <c:axId val="205301072"/>
      </c:lineChart>
      <c:catAx>
        <c:axId val="1679644688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5301072"/>
        <c:crosses val="autoZero"/>
        <c:auto val="1"/>
        <c:lblAlgn val="ctr"/>
        <c:lblOffset val="100"/>
        <c:noMultiLvlLbl val="0"/>
      </c:catAx>
      <c:valAx>
        <c:axId val="205301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796446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CMF_VTEC_2!$Y$1</c:f>
              <c:strCache>
                <c:ptCount val="1"/>
                <c:pt idx="0">
                  <c:v> VTEC*/CMF* avg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CMF_VTEC_2!$Y$2:$Y$167</c:f>
              <c:numCache>
                <c:formatCode>_(* #,##0.0000_);_(* \(#,##0.0000\);_(* "-"??_);_(@_)</c:formatCode>
                <c:ptCount val="166"/>
                <c:pt idx="0">
                  <c:v>1.7448470922733199</c:v>
                </c:pt>
                <c:pt idx="1">
                  <c:v>1.7448470922733199</c:v>
                </c:pt>
                <c:pt idx="2">
                  <c:v>1.7448470922733199</c:v>
                </c:pt>
                <c:pt idx="3">
                  <c:v>1.7448470922733199</c:v>
                </c:pt>
                <c:pt idx="4">
                  <c:v>1.7448470922733199</c:v>
                </c:pt>
                <c:pt idx="5">
                  <c:v>1.7448470922733199</c:v>
                </c:pt>
                <c:pt idx="6">
                  <c:v>1.7448470922733199</c:v>
                </c:pt>
                <c:pt idx="7">
                  <c:v>1.7448470922733199</c:v>
                </c:pt>
                <c:pt idx="8">
                  <c:v>1.7448470922733199</c:v>
                </c:pt>
                <c:pt idx="9">
                  <c:v>1.7448470922733199</c:v>
                </c:pt>
                <c:pt idx="10">
                  <c:v>1.7448470922733199</c:v>
                </c:pt>
                <c:pt idx="11">
                  <c:v>1.7448470922733199</c:v>
                </c:pt>
                <c:pt idx="12">
                  <c:v>1.7448470922733199</c:v>
                </c:pt>
                <c:pt idx="13">
                  <c:v>1.7448470922733199</c:v>
                </c:pt>
                <c:pt idx="14">
                  <c:v>1.7448470922733199</c:v>
                </c:pt>
                <c:pt idx="15">
                  <c:v>1.7448470922733199</c:v>
                </c:pt>
                <c:pt idx="16">
                  <c:v>1.7448470922733199</c:v>
                </c:pt>
                <c:pt idx="17">
                  <c:v>1.7448470922733199</c:v>
                </c:pt>
                <c:pt idx="18">
                  <c:v>1.7448470922733199</c:v>
                </c:pt>
                <c:pt idx="19">
                  <c:v>1.7448470922733199</c:v>
                </c:pt>
                <c:pt idx="20">
                  <c:v>1.7448470922733199</c:v>
                </c:pt>
                <c:pt idx="21">
                  <c:v>1.7448470922733199</c:v>
                </c:pt>
                <c:pt idx="22">
                  <c:v>1.7448470922733199</c:v>
                </c:pt>
                <c:pt idx="23">
                  <c:v>1.7448470922733199</c:v>
                </c:pt>
                <c:pt idx="24">
                  <c:v>1.7448470922733199</c:v>
                </c:pt>
                <c:pt idx="25">
                  <c:v>1.7448470922733199</c:v>
                </c:pt>
                <c:pt idx="26">
                  <c:v>1.7448470922733199</c:v>
                </c:pt>
                <c:pt idx="27">
                  <c:v>1.7448470922733199</c:v>
                </c:pt>
                <c:pt idx="28">
                  <c:v>1.7448470922733199</c:v>
                </c:pt>
                <c:pt idx="29">
                  <c:v>1.7448470922733199</c:v>
                </c:pt>
                <c:pt idx="30">
                  <c:v>1.7448470922733199</c:v>
                </c:pt>
                <c:pt idx="31">
                  <c:v>1.7448470922733199</c:v>
                </c:pt>
                <c:pt idx="32">
                  <c:v>1.7448470922733199</c:v>
                </c:pt>
                <c:pt idx="33">
                  <c:v>1.7448470922733199</c:v>
                </c:pt>
                <c:pt idx="34">
                  <c:v>1.7448470922733199</c:v>
                </c:pt>
                <c:pt idx="35">
                  <c:v>1.7448470922733199</c:v>
                </c:pt>
                <c:pt idx="36">
                  <c:v>1.7448470922733199</c:v>
                </c:pt>
                <c:pt idx="37">
                  <c:v>1.7448470922733199</c:v>
                </c:pt>
                <c:pt idx="38">
                  <c:v>1.7448470922733199</c:v>
                </c:pt>
                <c:pt idx="39">
                  <c:v>1.7448470922733199</c:v>
                </c:pt>
                <c:pt idx="40">
                  <c:v>1.7448470922733199</c:v>
                </c:pt>
                <c:pt idx="41">
                  <c:v>1.7448470922733199</c:v>
                </c:pt>
                <c:pt idx="42">
                  <c:v>1.7448470922733199</c:v>
                </c:pt>
                <c:pt idx="43">
                  <c:v>1.7448470922733199</c:v>
                </c:pt>
                <c:pt idx="44">
                  <c:v>1.7448470922733199</c:v>
                </c:pt>
                <c:pt idx="45">
                  <c:v>1.7448470922733199</c:v>
                </c:pt>
                <c:pt idx="46">
                  <c:v>1.7448470922733199</c:v>
                </c:pt>
                <c:pt idx="47">
                  <c:v>1.7448470922733199</c:v>
                </c:pt>
                <c:pt idx="48">
                  <c:v>1.7448470922733199</c:v>
                </c:pt>
                <c:pt idx="49">
                  <c:v>1.7448470922733199</c:v>
                </c:pt>
                <c:pt idx="50">
                  <c:v>1.7448470922733199</c:v>
                </c:pt>
                <c:pt idx="51">
                  <c:v>1.7448470922733199</c:v>
                </c:pt>
                <c:pt idx="52">
                  <c:v>1.7448470922733199</c:v>
                </c:pt>
                <c:pt idx="53">
                  <c:v>1.7448470922733199</c:v>
                </c:pt>
                <c:pt idx="54">
                  <c:v>1.7448470922733199</c:v>
                </c:pt>
                <c:pt idx="55">
                  <c:v>1.7448470922733199</c:v>
                </c:pt>
                <c:pt idx="56">
                  <c:v>1.7448470922733199</c:v>
                </c:pt>
                <c:pt idx="57">
                  <c:v>1.7448470922733199</c:v>
                </c:pt>
                <c:pt idx="58">
                  <c:v>1.7448470922733199</c:v>
                </c:pt>
                <c:pt idx="59">
                  <c:v>1.7448470922733199</c:v>
                </c:pt>
                <c:pt idx="60">
                  <c:v>1.7448470922733199</c:v>
                </c:pt>
                <c:pt idx="61">
                  <c:v>1.7448470922733199</c:v>
                </c:pt>
                <c:pt idx="62">
                  <c:v>1.7448470922733199</c:v>
                </c:pt>
                <c:pt idx="63">
                  <c:v>1.7448470922733199</c:v>
                </c:pt>
                <c:pt idx="64">
                  <c:v>1.7448470922733199</c:v>
                </c:pt>
                <c:pt idx="65">
                  <c:v>1.7448470922733199</c:v>
                </c:pt>
                <c:pt idx="66">
                  <c:v>1.7448470922733199</c:v>
                </c:pt>
                <c:pt idx="67">
                  <c:v>1.7448470922733199</c:v>
                </c:pt>
                <c:pt idx="68">
                  <c:v>1.7448470922733199</c:v>
                </c:pt>
                <c:pt idx="69">
                  <c:v>1.7448470922733199</c:v>
                </c:pt>
                <c:pt idx="70">
                  <c:v>1.7448470922733199</c:v>
                </c:pt>
                <c:pt idx="71">
                  <c:v>1.7448470922733199</c:v>
                </c:pt>
                <c:pt idx="72">
                  <c:v>1.7448470922733199</c:v>
                </c:pt>
                <c:pt idx="73">
                  <c:v>1.7448470922733199</c:v>
                </c:pt>
                <c:pt idx="74">
                  <c:v>1.7448470922733199</c:v>
                </c:pt>
                <c:pt idx="75">
                  <c:v>1.7448470922733199</c:v>
                </c:pt>
                <c:pt idx="76">
                  <c:v>1.7448470922733199</c:v>
                </c:pt>
                <c:pt idx="77">
                  <c:v>1.7448470922733199</c:v>
                </c:pt>
                <c:pt idx="78">
                  <c:v>1.7448470922733199</c:v>
                </c:pt>
                <c:pt idx="79">
                  <c:v>1.7448470922733199</c:v>
                </c:pt>
                <c:pt idx="80">
                  <c:v>1.7448470922733199</c:v>
                </c:pt>
                <c:pt idx="81">
                  <c:v>1.7448470922733199</c:v>
                </c:pt>
                <c:pt idx="82">
                  <c:v>1.7448470922733199</c:v>
                </c:pt>
                <c:pt idx="83">
                  <c:v>1.7448470922733199</c:v>
                </c:pt>
                <c:pt idx="84">
                  <c:v>1.7448470922733199</c:v>
                </c:pt>
                <c:pt idx="85">
                  <c:v>1.7448470922733199</c:v>
                </c:pt>
                <c:pt idx="86">
                  <c:v>1.7448470922733199</c:v>
                </c:pt>
                <c:pt idx="87">
                  <c:v>1.7448470922733199</c:v>
                </c:pt>
                <c:pt idx="88">
                  <c:v>1.7448470922733199</c:v>
                </c:pt>
                <c:pt idx="89">
                  <c:v>1.7448470922733199</c:v>
                </c:pt>
                <c:pt idx="90">
                  <c:v>1.7448470922733199</c:v>
                </c:pt>
                <c:pt idx="91">
                  <c:v>1.7448470922733199</c:v>
                </c:pt>
                <c:pt idx="92">
                  <c:v>1.7448470922733199</c:v>
                </c:pt>
                <c:pt idx="93">
                  <c:v>1.7448470922733199</c:v>
                </c:pt>
                <c:pt idx="94">
                  <c:v>1.7448470922733199</c:v>
                </c:pt>
                <c:pt idx="95">
                  <c:v>1.7448470922733199</c:v>
                </c:pt>
                <c:pt idx="96">
                  <c:v>1.7448470922733199</c:v>
                </c:pt>
                <c:pt idx="97">
                  <c:v>1.7448470922733199</c:v>
                </c:pt>
                <c:pt idx="98">
                  <c:v>1.7448470922733199</c:v>
                </c:pt>
                <c:pt idx="99">
                  <c:v>1.7448470922733199</c:v>
                </c:pt>
                <c:pt idx="100">
                  <c:v>1.7448470922733199</c:v>
                </c:pt>
                <c:pt idx="101">
                  <c:v>1.7448470922733199</c:v>
                </c:pt>
                <c:pt idx="102">
                  <c:v>1.7448470922733199</c:v>
                </c:pt>
                <c:pt idx="103">
                  <c:v>1.7448470922733199</c:v>
                </c:pt>
                <c:pt idx="104">
                  <c:v>1.7448470922733199</c:v>
                </c:pt>
                <c:pt idx="105">
                  <c:v>1.7448470922733199</c:v>
                </c:pt>
                <c:pt idx="106">
                  <c:v>1.7448470922733199</c:v>
                </c:pt>
                <c:pt idx="107">
                  <c:v>1.7448470922733199</c:v>
                </c:pt>
                <c:pt idx="108">
                  <c:v>1.7448470922733199</c:v>
                </c:pt>
                <c:pt idx="109">
                  <c:v>1.7448470922733199</c:v>
                </c:pt>
                <c:pt idx="110">
                  <c:v>1.7448470922733199</c:v>
                </c:pt>
                <c:pt idx="111">
                  <c:v>1.7448470922733199</c:v>
                </c:pt>
                <c:pt idx="112">
                  <c:v>1.7448470922733199</c:v>
                </c:pt>
                <c:pt idx="113">
                  <c:v>1.7448470922733199</c:v>
                </c:pt>
                <c:pt idx="114">
                  <c:v>1.7448470922733199</c:v>
                </c:pt>
                <c:pt idx="115">
                  <c:v>1.7448470922733199</c:v>
                </c:pt>
                <c:pt idx="116">
                  <c:v>1.7448470922733199</c:v>
                </c:pt>
                <c:pt idx="117">
                  <c:v>1.7448470922733199</c:v>
                </c:pt>
                <c:pt idx="118">
                  <c:v>1.7448470922733199</c:v>
                </c:pt>
                <c:pt idx="119">
                  <c:v>1.7448470922733199</c:v>
                </c:pt>
                <c:pt idx="120">
                  <c:v>1.7448470922733199</c:v>
                </c:pt>
                <c:pt idx="121">
                  <c:v>1.7448470922733199</c:v>
                </c:pt>
                <c:pt idx="122">
                  <c:v>1.7448470922733199</c:v>
                </c:pt>
                <c:pt idx="123">
                  <c:v>1.7448470922733199</c:v>
                </c:pt>
                <c:pt idx="124">
                  <c:v>1.7448470922733199</c:v>
                </c:pt>
                <c:pt idx="125">
                  <c:v>1.7448470922733199</c:v>
                </c:pt>
                <c:pt idx="126">
                  <c:v>1.7448470922733199</c:v>
                </c:pt>
                <c:pt idx="127">
                  <c:v>1.7448470922733199</c:v>
                </c:pt>
                <c:pt idx="128">
                  <c:v>1.7448470922733199</c:v>
                </c:pt>
                <c:pt idx="129">
                  <c:v>1.7448470922733199</c:v>
                </c:pt>
                <c:pt idx="130">
                  <c:v>1.7448470922733199</c:v>
                </c:pt>
                <c:pt idx="131">
                  <c:v>1.7448470922733199</c:v>
                </c:pt>
                <c:pt idx="132">
                  <c:v>1.7448470922733199</c:v>
                </c:pt>
                <c:pt idx="133">
                  <c:v>1.7448470922733199</c:v>
                </c:pt>
                <c:pt idx="134">
                  <c:v>1.7448470922733199</c:v>
                </c:pt>
                <c:pt idx="135">
                  <c:v>1.7448470922733199</c:v>
                </c:pt>
                <c:pt idx="136">
                  <c:v>1.7448470922733199</c:v>
                </c:pt>
                <c:pt idx="137">
                  <c:v>1.7448470922733199</c:v>
                </c:pt>
                <c:pt idx="138">
                  <c:v>1.7448470922733199</c:v>
                </c:pt>
                <c:pt idx="139">
                  <c:v>1.7448470922733199</c:v>
                </c:pt>
                <c:pt idx="140">
                  <c:v>1.7448470922733199</c:v>
                </c:pt>
                <c:pt idx="141">
                  <c:v>1.7448470922733199</c:v>
                </c:pt>
                <c:pt idx="142">
                  <c:v>1.7448470922733199</c:v>
                </c:pt>
                <c:pt idx="143">
                  <c:v>1.7448470922733199</c:v>
                </c:pt>
                <c:pt idx="144">
                  <c:v>1.7448470922733199</c:v>
                </c:pt>
                <c:pt idx="145">
                  <c:v>1.7448470922733199</c:v>
                </c:pt>
                <c:pt idx="146">
                  <c:v>1.7448470922733199</c:v>
                </c:pt>
                <c:pt idx="147">
                  <c:v>1.7448470922733199</c:v>
                </c:pt>
                <c:pt idx="148">
                  <c:v>1.7448470922733199</c:v>
                </c:pt>
                <c:pt idx="149">
                  <c:v>1.7448470922733199</c:v>
                </c:pt>
                <c:pt idx="150">
                  <c:v>1.7448470922733199</c:v>
                </c:pt>
                <c:pt idx="151">
                  <c:v>1.7448470922733199</c:v>
                </c:pt>
                <c:pt idx="152">
                  <c:v>1.7448470922733199</c:v>
                </c:pt>
                <c:pt idx="153">
                  <c:v>1.7448470922733199</c:v>
                </c:pt>
                <c:pt idx="154">
                  <c:v>1.7448470922733199</c:v>
                </c:pt>
                <c:pt idx="155">
                  <c:v>1.7448470922733199</c:v>
                </c:pt>
                <c:pt idx="156">
                  <c:v>1.7448470922733199</c:v>
                </c:pt>
                <c:pt idx="157">
                  <c:v>1.7448470922733199</c:v>
                </c:pt>
                <c:pt idx="158">
                  <c:v>1.7448470922733199</c:v>
                </c:pt>
                <c:pt idx="159">
                  <c:v>1.7448470922733199</c:v>
                </c:pt>
                <c:pt idx="160">
                  <c:v>1.7448470922733199</c:v>
                </c:pt>
                <c:pt idx="161">
                  <c:v>1.7448470922733199</c:v>
                </c:pt>
                <c:pt idx="162">
                  <c:v>1.7448470922733199</c:v>
                </c:pt>
                <c:pt idx="163">
                  <c:v>1.7448470922733199</c:v>
                </c:pt>
                <c:pt idx="164">
                  <c:v>1.7448470922733199</c:v>
                </c:pt>
                <c:pt idx="165">
                  <c:v>1.7448470922733199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1A6-4EF2-9502-A7777730FB24}"/>
            </c:ext>
          </c:extLst>
        </c:ser>
        <c:ser>
          <c:idx val="1"/>
          <c:order val="1"/>
          <c:tx>
            <c:strRef>
              <c:f>CMF_VTEC_2!$Z$1</c:f>
              <c:strCache>
                <c:ptCount val="1"/>
                <c:pt idx="0">
                  <c:v> VTEC*/CMF* 10 dma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CMF_VTEC_2!$Z$2:$Z$167</c:f>
              <c:numCache>
                <c:formatCode>_(* #,##0.0000_);_(* \(#,##0.0000\);_(* "-"??_);_(@_)</c:formatCode>
                <c:ptCount val="166"/>
                <c:pt idx="9">
                  <c:v>1.74427358789669</c:v>
                </c:pt>
                <c:pt idx="10">
                  <c:v>1.74425539992931</c:v>
                </c:pt>
                <c:pt idx="11">
                  <c:v>1.7444814804443201</c:v>
                </c:pt>
                <c:pt idx="12">
                  <c:v>1.7444396912264</c:v>
                </c:pt>
                <c:pt idx="13">
                  <c:v>1.7443099966387901</c:v>
                </c:pt>
                <c:pt idx="14">
                  <c:v>1.74414156777948</c:v>
                </c:pt>
                <c:pt idx="15">
                  <c:v>1.74419793016771</c:v>
                </c:pt>
                <c:pt idx="16">
                  <c:v>1.7441806231410599</c:v>
                </c:pt>
                <c:pt idx="17">
                  <c:v>1.7441592848935701</c:v>
                </c:pt>
                <c:pt idx="18">
                  <c:v>1.74403824045296</c:v>
                </c:pt>
                <c:pt idx="19">
                  <c:v>1.7440342472253301</c:v>
                </c:pt>
                <c:pt idx="20">
                  <c:v>1.74409388254533</c:v>
                </c:pt>
                <c:pt idx="21">
                  <c:v>1.74388307247842</c:v>
                </c:pt>
                <c:pt idx="22">
                  <c:v>1.74403517091386</c:v>
                </c:pt>
                <c:pt idx="23">
                  <c:v>1.74420143657252</c:v>
                </c:pt>
                <c:pt idx="24">
                  <c:v>1.7442857980889801</c:v>
                </c:pt>
                <c:pt idx="25">
                  <c:v>1.74437846666275</c:v>
                </c:pt>
                <c:pt idx="26">
                  <c:v>1.7442222401413601</c:v>
                </c:pt>
                <c:pt idx="27">
                  <c:v>1.74412950809656</c:v>
                </c:pt>
                <c:pt idx="28">
                  <c:v>1.7440640086785799</c:v>
                </c:pt>
                <c:pt idx="29">
                  <c:v>1.7440756882919399</c:v>
                </c:pt>
                <c:pt idx="30">
                  <c:v>1.7440238213060499</c:v>
                </c:pt>
                <c:pt idx="31">
                  <c:v>1.7440486943434801</c:v>
                </c:pt>
                <c:pt idx="32">
                  <c:v>1.7439617062558399</c:v>
                </c:pt>
                <c:pt idx="33">
                  <c:v>1.74393875389884</c:v>
                </c:pt>
                <c:pt idx="34">
                  <c:v>1.7440232129483</c:v>
                </c:pt>
                <c:pt idx="35">
                  <c:v>1.74411192100757</c:v>
                </c:pt>
                <c:pt idx="36">
                  <c:v>1.7441837763364401</c:v>
                </c:pt>
                <c:pt idx="37">
                  <c:v>1.7441921902948101</c:v>
                </c:pt>
                <c:pt idx="38">
                  <c:v>1.74422126922818</c:v>
                </c:pt>
                <c:pt idx="39">
                  <c:v>1.74432572526887</c:v>
                </c:pt>
                <c:pt idx="40">
                  <c:v>1.7444531718510601</c:v>
                </c:pt>
                <c:pt idx="41">
                  <c:v>1.7443533514298899</c:v>
                </c:pt>
                <c:pt idx="42">
                  <c:v>1.7443300931321299</c:v>
                </c:pt>
                <c:pt idx="43">
                  <c:v>1.7444052237494601</c:v>
                </c:pt>
                <c:pt idx="44">
                  <c:v>1.74428230205034</c:v>
                </c:pt>
                <c:pt idx="45">
                  <c:v>1.7443306495689199</c:v>
                </c:pt>
                <c:pt idx="46">
                  <c:v>1.7443886564564399</c:v>
                </c:pt>
                <c:pt idx="47">
                  <c:v>1.74454362687895</c:v>
                </c:pt>
                <c:pt idx="48">
                  <c:v>1.7446132335669899</c:v>
                </c:pt>
                <c:pt idx="49">
                  <c:v>1.7444738531516999</c:v>
                </c:pt>
                <c:pt idx="50">
                  <c:v>1.7442555367010399</c:v>
                </c:pt>
                <c:pt idx="51">
                  <c:v>1.7443073015500401</c:v>
                </c:pt>
                <c:pt idx="52">
                  <c:v>1.74435426742038</c:v>
                </c:pt>
                <c:pt idx="53">
                  <c:v>1.7444120954917399</c:v>
                </c:pt>
                <c:pt idx="54">
                  <c:v>1.74431701735526</c:v>
                </c:pt>
                <c:pt idx="55">
                  <c:v>1.74443224246007</c:v>
                </c:pt>
                <c:pt idx="56">
                  <c:v>1.7445602526064199</c:v>
                </c:pt>
                <c:pt idx="57">
                  <c:v>1.74448889387703</c:v>
                </c:pt>
                <c:pt idx="58">
                  <c:v>1.7445196513894501</c:v>
                </c:pt>
                <c:pt idx="59">
                  <c:v>1.74444930342938</c:v>
                </c:pt>
                <c:pt idx="60">
                  <c:v>1.7444023446477099</c:v>
                </c:pt>
                <c:pt idx="61">
                  <c:v>1.7442678187651799</c:v>
                </c:pt>
                <c:pt idx="62">
                  <c:v>1.74426593871597</c:v>
                </c:pt>
                <c:pt idx="63">
                  <c:v>1.7440544554050901</c:v>
                </c:pt>
                <c:pt idx="64">
                  <c:v>1.7442736005717401</c:v>
                </c:pt>
                <c:pt idx="65">
                  <c:v>1.7439698956262999</c:v>
                </c:pt>
                <c:pt idx="66">
                  <c:v>1.7438673667804101</c:v>
                </c:pt>
                <c:pt idx="67">
                  <c:v>1.7439139973058</c:v>
                </c:pt>
                <c:pt idx="68">
                  <c:v>1.74393125331307</c:v>
                </c:pt>
                <c:pt idx="69">
                  <c:v>1.7441228460776701</c:v>
                </c:pt>
                <c:pt idx="70">
                  <c:v>1.7444329957818201</c:v>
                </c:pt>
                <c:pt idx="71">
                  <c:v>1.7445941874414399</c:v>
                </c:pt>
                <c:pt idx="72">
                  <c:v>1.7446033402453101</c:v>
                </c:pt>
                <c:pt idx="73">
                  <c:v>1.7447516791728399</c:v>
                </c:pt>
                <c:pt idx="74">
                  <c:v>1.74475545851674</c:v>
                </c:pt>
                <c:pt idx="75">
                  <c:v>1.7448918684341901</c:v>
                </c:pt>
                <c:pt idx="76">
                  <c:v>1.74481590026547</c:v>
                </c:pt>
                <c:pt idx="77">
                  <c:v>1.7447963618845399</c:v>
                </c:pt>
                <c:pt idx="78">
                  <c:v>1.7447544618727899</c:v>
                </c:pt>
                <c:pt idx="79">
                  <c:v>1.7446727997132201</c:v>
                </c:pt>
                <c:pt idx="80">
                  <c:v>1.74457321709539</c:v>
                </c:pt>
                <c:pt idx="81">
                  <c:v>1.7446207591766201</c:v>
                </c:pt>
                <c:pt idx="82">
                  <c:v>1.74473005965099</c:v>
                </c:pt>
                <c:pt idx="83">
                  <c:v>1.7446832497605</c:v>
                </c:pt>
                <c:pt idx="84">
                  <c:v>1.7446802844828</c:v>
                </c:pt>
                <c:pt idx="85">
                  <c:v>1.7445484322973499</c:v>
                </c:pt>
                <c:pt idx="86">
                  <c:v>1.7445499484673099</c:v>
                </c:pt>
                <c:pt idx="87">
                  <c:v>1.7443445295195401</c:v>
                </c:pt>
                <c:pt idx="88">
                  <c:v>1.7441775930998999</c:v>
                </c:pt>
                <c:pt idx="89">
                  <c:v>1.74420896693306</c:v>
                </c:pt>
                <c:pt idx="90">
                  <c:v>1.7441889517926701</c:v>
                </c:pt>
                <c:pt idx="91">
                  <c:v>1.74404302061053</c:v>
                </c:pt>
                <c:pt idx="92">
                  <c:v>1.7438876903601499</c:v>
                </c:pt>
                <c:pt idx="93">
                  <c:v>1.74367995618169</c:v>
                </c:pt>
                <c:pt idx="94">
                  <c:v>1.74340509020553</c:v>
                </c:pt>
                <c:pt idx="95">
                  <c:v>1.7434827036944101</c:v>
                </c:pt>
                <c:pt idx="96">
                  <c:v>1.74353863494738</c:v>
                </c:pt>
                <c:pt idx="97">
                  <c:v>1.74367680831921</c:v>
                </c:pt>
                <c:pt idx="98">
                  <c:v>1.7437962029690699</c:v>
                </c:pt>
                <c:pt idx="99">
                  <c:v>1.74387439291504</c:v>
                </c:pt>
                <c:pt idx="100">
                  <c:v>1.7438548512026699</c:v>
                </c:pt>
                <c:pt idx="101">
                  <c:v>1.7440266146764301</c:v>
                </c:pt>
                <c:pt idx="102">
                  <c:v>1.7441679689399401</c:v>
                </c:pt>
                <c:pt idx="103">
                  <c:v>1.74444935763749</c:v>
                </c:pt>
                <c:pt idx="104">
                  <c:v>1.7447327608362999</c:v>
                </c:pt>
                <c:pt idx="105">
                  <c:v>1.74465951776962</c:v>
                </c:pt>
                <c:pt idx="106">
                  <c:v>1.7447062519971801</c:v>
                </c:pt>
                <c:pt idx="107">
                  <c:v>1.7448301902814201</c:v>
                </c:pt>
                <c:pt idx="108">
                  <c:v>1.7448663018710799</c:v>
                </c:pt>
                <c:pt idx="109">
                  <c:v>1.7449473202964501</c:v>
                </c:pt>
                <c:pt idx="110">
                  <c:v>1.74495939711853</c:v>
                </c:pt>
                <c:pt idx="111">
                  <c:v>1.74495298435559</c:v>
                </c:pt>
                <c:pt idx="112">
                  <c:v>1.7449282820458201</c:v>
                </c:pt>
                <c:pt idx="113">
                  <c:v>1.7448728993020499</c:v>
                </c:pt>
                <c:pt idx="114">
                  <c:v>1.7448989163192901</c:v>
                </c:pt>
                <c:pt idx="115">
                  <c:v>1.7449517245972299</c:v>
                </c:pt>
                <c:pt idx="116">
                  <c:v>1.74502669338113</c:v>
                </c:pt>
                <c:pt idx="117">
                  <c:v>1.7450967998437199</c:v>
                </c:pt>
                <c:pt idx="118">
                  <c:v>1.7452614030015701</c:v>
                </c:pt>
                <c:pt idx="119">
                  <c:v>1.74530242920204</c:v>
                </c:pt>
                <c:pt idx="120">
                  <c:v>1.7454206673666</c:v>
                </c:pt>
                <c:pt idx="121">
                  <c:v>1.7455176672783499</c:v>
                </c:pt>
                <c:pt idx="122">
                  <c:v>1.7456484146011699</c:v>
                </c:pt>
                <c:pt idx="123">
                  <c:v>1.74570236481898</c:v>
                </c:pt>
                <c:pt idx="124">
                  <c:v>1.74564585717801</c:v>
                </c:pt>
                <c:pt idx="125">
                  <c:v>1.74575526744624</c:v>
                </c:pt>
                <c:pt idx="126">
                  <c:v>1.7457223221728799</c:v>
                </c:pt>
                <c:pt idx="127">
                  <c:v>1.7457098897677401</c:v>
                </c:pt>
                <c:pt idx="128">
                  <c:v>1.7456843658230401</c:v>
                </c:pt>
                <c:pt idx="129">
                  <c:v>1.7457229550717499</c:v>
                </c:pt>
                <c:pt idx="130">
                  <c:v>1.7456449971971699</c:v>
                </c:pt>
                <c:pt idx="131">
                  <c:v>1.74558406871793</c:v>
                </c:pt>
                <c:pt idx="132">
                  <c:v>1.7454881581714401</c:v>
                </c:pt>
                <c:pt idx="133">
                  <c:v>1.7456101256091501</c:v>
                </c:pt>
                <c:pt idx="134">
                  <c:v>1.74571377278068</c:v>
                </c:pt>
                <c:pt idx="135">
                  <c:v>1.7457097360657601</c:v>
                </c:pt>
                <c:pt idx="136">
                  <c:v>1.7457056438887599</c:v>
                </c:pt>
                <c:pt idx="137">
                  <c:v>1.74566715268122</c:v>
                </c:pt>
                <c:pt idx="138">
                  <c:v>1.7455686757329001</c:v>
                </c:pt>
                <c:pt idx="139">
                  <c:v>1.74548089278931</c:v>
                </c:pt>
                <c:pt idx="140">
                  <c:v>1.7453970239463299</c:v>
                </c:pt>
                <c:pt idx="141">
                  <c:v>1.7452188347042801</c:v>
                </c:pt>
                <c:pt idx="142">
                  <c:v>1.7455008867350099</c:v>
                </c:pt>
                <c:pt idx="143">
                  <c:v>1.74551498186607</c:v>
                </c:pt>
                <c:pt idx="144">
                  <c:v>1.7455892289052499</c:v>
                </c:pt>
                <c:pt idx="145">
                  <c:v>1.74584359006166</c:v>
                </c:pt>
                <c:pt idx="146">
                  <c:v>1.7460642413244201</c:v>
                </c:pt>
                <c:pt idx="147">
                  <c:v>1.7461482170976299</c:v>
                </c:pt>
                <c:pt idx="148">
                  <c:v>1.7463219821374001</c:v>
                </c:pt>
                <c:pt idx="149">
                  <c:v>1.74635712811122</c:v>
                </c:pt>
                <c:pt idx="150">
                  <c:v>1.7465862500893099</c:v>
                </c:pt>
                <c:pt idx="151">
                  <c:v>1.7468539876270801</c:v>
                </c:pt>
                <c:pt idx="152">
                  <c:v>1.74669243896861</c:v>
                </c:pt>
                <c:pt idx="153">
                  <c:v>1.7466838790454899</c:v>
                </c:pt>
                <c:pt idx="154">
                  <c:v>1.74670516955975</c:v>
                </c:pt>
                <c:pt idx="155">
                  <c:v>1.7465499747445901</c:v>
                </c:pt>
                <c:pt idx="156">
                  <c:v>1.74640189174465</c:v>
                </c:pt>
                <c:pt idx="157">
                  <c:v>1.7464060339432901</c:v>
                </c:pt>
                <c:pt idx="158">
                  <c:v>1.74623179864223</c:v>
                </c:pt>
                <c:pt idx="159">
                  <c:v>1.7461774108446599</c:v>
                </c:pt>
                <c:pt idx="160">
                  <c:v>1.7461801392885199</c:v>
                </c:pt>
                <c:pt idx="161">
                  <c:v>1.7460612173166601</c:v>
                </c:pt>
                <c:pt idx="162">
                  <c:v>1.7459199161502801</c:v>
                </c:pt>
                <c:pt idx="163">
                  <c:v>1.74584718171625</c:v>
                </c:pt>
                <c:pt idx="164">
                  <c:v>1.74602757383581</c:v>
                </c:pt>
                <c:pt idx="165">
                  <c:v>1.74617339611431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1A6-4EF2-9502-A7777730FB24}"/>
            </c:ext>
          </c:extLst>
        </c:ser>
        <c:ser>
          <c:idx val="2"/>
          <c:order val="2"/>
          <c:tx>
            <c:strRef>
              <c:f>CMF_VTEC_2!$AA$1</c:f>
              <c:strCache>
                <c:ptCount val="1"/>
                <c:pt idx="0">
                  <c:v> VTEC*/CMF* 20 dma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CMF_VTEC_2!$AA$2:$AA$167</c:f>
              <c:numCache>
                <c:formatCode>_(* #,##0.0000_);_(* \(#,##0.0000\);_(* "-"??_);_(@_)</c:formatCode>
                <c:ptCount val="166"/>
                <c:pt idx="19">
                  <c:v>1.7441539175610099</c:v>
                </c:pt>
                <c:pt idx="20">
                  <c:v>1.74417464123732</c:v>
                </c:pt>
                <c:pt idx="21">
                  <c:v>1.7441822764613699</c:v>
                </c:pt>
                <c:pt idx="22">
                  <c:v>1.7442374310701301</c:v>
                </c:pt>
                <c:pt idx="23">
                  <c:v>1.74425571660566</c:v>
                </c:pt>
                <c:pt idx="24">
                  <c:v>1.7442136829342301</c:v>
                </c:pt>
                <c:pt idx="25">
                  <c:v>1.7442881984152301</c:v>
                </c:pt>
                <c:pt idx="26">
                  <c:v>1.74420143164121</c:v>
                </c:pt>
                <c:pt idx="27">
                  <c:v>1.74414439649506</c:v>
                </c:pt>
                <c:pt idx="28">
                  <c:v>1.7440511245657699</c:v>
                </c:pt>
                <c:pt idx="29">
                  <c:v>1.7440549677586401</c:v>
                </c:pt>
                <c:pt idx="30">
                  <c:v>1.7440588519256901</c:v>
                </c:pt>
                <c:pt idx="31">
                  <c:v>1.7439658834109499</c:v>
                </c:pt>
                <c:pt idx="32">
                  <c:v>1.7439984385848499</c:v>
                </c:pt>
                <c:pt idx="33">
                  <c:v>1.74407009523568</c:v>
                </c:pt>
                <c:pt idx="34">
                  <c:v>1.74415450551864</c:v>
                </c:pt>
                <c:pt idx="35">
                  <c:v>1.74424519383516</c:v>
                </c:pt>
                <c:pt idx="36">
                  <c:v>1.7442030082389</c:v>
                </c:pt>
                <c:pt idx="37">
                  <c:v>1.7441608491956799</c:v>
                </c:pt>
                <c:pt idx="38">
                  <c:v>1.7441426389533801</c:v>
                </c:pt>
                <c:pt idx="39">
                  <c:v>1.7442007067804099</c:v>
                </c:pt>
                <c:pt idx="40">
                  <c:v>1.74423849657856</c:v>
                </c:pt>
                <c:pt idx="41">
                  <c:v>1.74420102288668</c:v>
                </c:pt>
                <c:pt idx="42">
                  <c:v>1.74414589969399</c:v>
                </c:pt>
                <c:pt idx="43">
                  <c:v>1.74417198882415</c:v>
                </c:pt>
                <c:pt idx="44">
                  <c:v>1.7441527574993201</c:v>
                </c:pt>
                <c:pt idx="45">
                  <c:v>1.7442212852882399</c:v>
                </c:pt>
                <c:pt idx="46">
                  <c:v>1.7442862163964401</c:v>
                </c:pt>
                <c:pt idx="47">
                  <c:v>1.74436790858688</c:v>
                </c:pt>
                <c:pt idx="48">
                  <c:v>1.74441725139758</c:v>
                </c:pt>
                <c:pt idx="49">
                  <c:v>1.74439978921028</c:v>
                </c:pt>
                <c:pt idx="50">
                  <c:v>1.74435435427605</c:v>
                </c:pt>
                <c:pt idx="51">
                  <c:v>1.7443303264899701</c:v>
                </c:pt>
                <c:pt idx="52">
                  <c:v>1.74434218027625</c:v>
                </c:pt>
                <c:pt idx="53">
                  <c:v>1.7444086596206001</c:v>
                </c:pt>
                <c:pt idx="54">
                  <c:v>1.7442996597028</c:v>
                </c:pt>
                <c:pt idx="55">
                  <c:v>1.74438144601449</c:v>
                </c:pt>
                <c:pt idx="56">
                  <c:v>1.7444744545314299</c:v>
                </c:pt>
                <c:pt idx="57">
                  <c:v>1.74451626037799</c:v>
                </c:pt>
                <c:pt idx="58">
                  <c:v>1.7445664424782199</c:v>
                </c:pt>
                <c:pt idx="59">
                  <c:v>1.7444615782905399</c:v>
                </c:pt>
                <c:pt idx="60">
                  <c:v>1.74432894067438</c:v>
                </c:pt>
                <c:pt idx="61">
                  <c:v>1.74428756015761</c:v>
                </c:pt>
                <c:pt idx="62">
                  <c:v>1.74431010306817</c:v>
                </c:pt>
                <c:pt idx="63">
                  <c:v>1.74423327544842</c:v>
                </c:pt>
                <c:pt idx="64">
                  <c:v>1.7442953089635</c:v>
                </c:pt>
                <c:pt idx="65">
                  <c:v>1.74420106904318</c:v>
                </c:pt>
                <c:pt idx="66">
                  <c:v>1.7442138096934201</c:v>
                </c:pt>
                <c:pt idx="67">
                  <c:v>1.7442014455914101</c:v>
                </c:pt>
                <c:pt idx="68">
                  <c:v>1.7442254523512599</c:v>
                </c:pt>
                <c:pt idx="69">
                  <c:v>1.74428607475353</c:v>
                </c:pt>
                <c:pt idx="70">
                  <c:v>1.74441767021477</c:v>
                </c:pt>
                <c:pt idx="71">
                  <c:v>1.7444310031033099</c:v>
                </c:pt>
                <c:pt idx="72">
                  <c:v>1.74443463948064</c:v>
                </c:pt>
                <c:pt idx="73">
                  <c:v>1.7444030672889601</c:v>
                </c:pt>
                <c:pt idx="74">
                  <c:v>1.7445145295442399</c:v>
                </c:pt>
                <c:pt idx="75">
                  <c:v>1.7444308820302501</c:v>
                </c:pt>
                <c:pt idx="76">
                  <c:v>1.74434163352294</c:v>
                </c:pt>
                <c:pt idx="77">
                  <c:v>1.7443551795951699</c:v>
                </c:pt>
                <c:pt idx="78">
                  <c:v>1.7443428575929301</c:v>
                </c:pt>
                <c:pt idx="79">
                  <c:v>1.74439782289545</c:v>
                </c:pt>
                <c:pt idx="80">
                  <c:v>1.7445031064386101</c:v>
                </c:pt>
                <c:pt idx="81">
                  <c:v>1.74460747330903</c:v>
                </c:pt>
                <c:pt idx="82">
                  <c:v>1.7446666999481499</c:v>
                </c:pt>
                <c:pt idx="83">
                  <c:v>1.7447174644666701</c:v>
                </c:pt>
                <c:pt idx="84">
                  <c:v>1.74471787149977</c:v>
                </c:pt>
                <c:pt idx="85">
                  <c:v>1.7447201503657701</c:v>
                </c:pt>
                <c:pt idx="86">
                  <c:v>1.7446829243663899</c:v>
                </c:pt>
                <c:pt idx="87">
                  <c:v>1.7445704457020399</c:v>
                </c:pt>
                <c:pt idx="88">
                  <c:v>1.7444660274863499</c:v>
                </c:pt>
                <c:pt idx="89">
                  <c:v>1.74444088332314</c:v>
                </c:pt>
                <c:pt idx="90">
                  <c:v>1.74438108444403</c:v>
                </c:pt>
                <c:pt idx="91">
                  <c:v>1.74433188989358</c:v>
                </c:pt>
                <c:pt idx="92">
                  <c:v>1.74430887500557</c:v>
                </c:pt>
                <c:pt idx="93">
                  <c:v>1.7441816029710899</c:v>
                </c:pt>
                <c:pt idx="94">
                  <c:v>1.7440426873441599</c:v>
                </c:pt>
                <c:pt idx="95">
                  <c:v>1.74401556799588</c:v>
                </c:pt>
                <c:pt idx="96">
                  <c:v>1.74404429170734</c:v>
                </c:pt>
                <c:pt idx="97">
                  <c:v>1.7440106689193799</c:v>
                </c:pt>
                <c:pt idx="98">
                  <c:v>1.7439868980344899</c:v>
                </c:pt>
                <c:pt idx="99">
                  <c:v>1.7440416799240499</c:v>
                </c:pt>
                <c:pt idx="100">
                  <c:v>1.7440219014976699</c:v>
                </c:pt>
                <c:pt idx="101">
                  <c:v>1.7440348176434799</c:v>
                </c:pt>
                <c:pt idx="102">
                  <c:v>1.74402782965004</c:v>
                </c:pt>
                <c:pt idx="103">
                  <c:v>1.7440646569095899</c:v>
                </c:pt>
                <c:pt idx="104">
                  <c:v>1.7440689255209201</c:v>
                </c:pt>
                <c:pt idx="105">
                  <c:v>1.7440711107320199</c:v>
                </c:pt>
                <c:pt idx="106">
                  <c:v>1.74412244347228</c:v>
                </c:pt>
                <c:pt idx="107">
                  <c:v>1.74425349930032</c:v>
                </c:pt>
                <c:pt idx="108">
                  <c:v>1.74433125242008</c:v>
                </c:pt>
                <c:pt idx="109">
                  <c:v>1.7444108566057499</c:v>
                </c:pt>
                <c:pt idx="110">
                  <c:v>1.7444071241606001</c:v>
                </c:pt>
                <c:pt idx="111">
                  <c:v>1.74448979951601</c:v>
                </c:pt>
                <c:pt idx="112">
                  <c:v>1.7445481254928801</c:v>
                </c:pt>
                <c:pt idx="113">
                  <c:v>1.74466112846977</c:v>
                </c:pt>
                <c:pt idx="114">
                  <c:v>1.7448158385778001</c:v>
                </c:pt>
                <c:pt idx="115">
                  <c:v>1.74480562118343</c:v>
                </c:pt>
                <c:pt idx="116">
                  <c:v>1.7448664726891501</c:v>
                </c:pt>
                <c:pt idx="117">
                  <c:v>1.7449634950625701</c:v>
                </c:pt>
                <c:pt idx="118">
                  <c:v>1.74506385243633</c:v>
                </c:pt>
                <c:pt idx="119">
                  <c:v>1.74512487474925</c:v>
                </c:pt>
                <c:pt idx="120">
                  <c:v>1.74519003224257</c:v>
                </c:pt>
                <c:pt idx="121">
                  <c:v>1.7452353258169699</c:v>
                </c:pt>
                <c:pt idx="122">
                  <c:v>1.74528834832349</c:v>
                </c:pt>
                <c:pt idx="123">
                  <c:v>1.74528763206051</c:v>
                </c:pt>
                <c:pt idx="124">
                  <c:v>1.7452723867486499</c:v>
                </c:pt>
                <c:pt idx="125">
                  <c:v>1.7453534960217401</c:v>
                </c:pt>
                <c:pt idx="126">
                  <c:v>1.74537450777701</c:v>
                </c:pt>
                <c:pt idx="127">
                  <c:v>1.74540334480573</c:v>
                </c:pt>
                <c:pt idx="128">
                  <c:v>1.74547288441231</c:v>
                </c:pt>
                <c:pt idx="129">
                  <c:v>1.74551269213689</c:v>
                </c:pt>
                <c:pt idx="130">
                  <c:v>1.7455328322818899</c:v>
                </c:pt>
                <c:pt idx="131">
                  <c:v>1.74555086799814</c:v>
                </c:pt>
                <c:pt idx="132">
                  <c:v>1.7455682863863</c:v>
                </c:pt>
                <c:pt idx="133">
                  <c:v>1.74565624521406</c:v>
                </c:pt>
                <c:pt idx="134">
                  <c:v>1.74567981497935</c:v>
                </c:pt>
                <c:pt idx="135">
                  <c:v>1.7457325017559999</c:v>
                </c:pt>
                <c:pt idx="136">
                  <c:v>1.7457139830308199</c:v>
                </c:pt>
                <c:pt idx="137">
                  <c:v>1.7456885212244799</c:v>
                </c:pt>
                <c:pt idx="138">
                  <c:v>1.74562652077797</c:v>
                </c:pt>
                <c:pt idx="139">
                  <c:v>1.74560192393053</c:v>
                </c:pt>
                <c:pt idx="140">
                  <c:v>1.74552101057175</c:v>
                </c:pt>
                <c:pt idx="141">
                  <c:v>1.7454014517111001</c:v>
                </c:pt>
                <c:pt idx="142">
                  <c:v>1.7454945224532199</c:v>
                </c:pt>
                <c:pt idx="143">
                  <c:v>1.74556255373761</c:v>
                </c:pt>
                <c:pt idx="144">
                  <c:v>1.74565150084297</c:v>
                </c:pt>
                <c:pt idx="145">
                  <c:v>1.7457766630637099</c:v>
                </c:pt>
                <c:pt idx="146">
                  <c:v>1.7458849426065901</c:v>
                </c:pt>
                <c:pt idx="147">
                  <c:v>1.7459076848894299</c:v>
                </c:pt>
                <c:pt idx="148">
                  <c:v>1.7459453289351501</c:v>
                </c:pt>
                <c:pt idx="149">
                  <c:v>1.74591901045027</c:v>
                </c:pt>
                <c:pt idx="150">
                  <c:v>1.7459916370178199</c:v>
                </c:pt>
                <c:pt idx="151">
                  <c:v>1.7460364111656801</c:v>
                </c:pt>
                <c:pt idx="152">
                  <c:v>1.74609666285181</c:v>
                </c:pt>
                <c:pt idx="153">
                  <c:v>1.74609943045578</c:v>
                </c:pt>
                <c:pt idx="154">
                  <c:v>1.7461471992324999</c:v>
                </c:pt>
                <c:pt idx="155">
                  <c:v>1.7461967824031199</c:v>
                </c:pt>
                <c:pt idx="156">
                  <c:v>1.74623306653453</c:v>
                </c:pt>
                <c:pt idx="157">
                  <c:v>1.7462771255204601</c:v>
                </c:pt>
                <c:pt idx="158">
                  <c:v>1.74627689038981</c:v>
                </c:pt>
                <c:pt idx="159">
                  <c:v>1.74626726947794</c:v>
                </c:pt>
                <c:pt idx="160">
                  <c:v>1.7463831946889199</c:v>
                </c:pt>
                <c:pt idx="161">
                  <c:v>1.7464576024718701</c:v>
                </c:pt>
                <c:pt idx="162">
                  <c:v>1.74630617755944</c:v>
                </c:pt>
                <c:pt idx="163">
                  <c:v>1.7462655303808701</c:v>
                </c:pt>
                <c:pt idx="164">
                  <c:v>1.74636637169778</c:v>
                </c:pt>
                <c:pt idx="165">
                  <c:v>1.7463616854294499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1A6-4EF2-9502-A7777730FB2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79547712"/>
        <c:axId val="205325072"/>
      </c:lineChart>
      <c:catAx>
        <c:axId val="1679547712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5325072"/>
        <c:crosses val="autoZero"/>
        <c:auto val="1"/>
        <c:lblAlgn val="ctr"/>
        <c:lblOffset val="100"/>
        <c:noMultiLvlLbl val="0"/>
      </c:catAx>
      <c:valAx>
        <c:axId val="205325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.0000_);_(* \(#,##0.000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795477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CMF_VTEC_2!$U$1</c:f>
              <c:strCache>
                <c:ptCount val="1"/>
                <c:pt idx="0">
                  <c:v>log diff CMF x avg / VTEC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CMF_VTEC_2!$U$2:$U$167</c:f>
              <c:numCache>
                <c:formatCode>0.00%</c:formatCode>
                <c:ptCount val="166"/>
                <c:pt idx="1">
                  <c:v>-1.93435592682793E-4</c:v>
                </c:pt>
                <c:pt idx="2">
                  <c:v>1.5151321598867601E-4</c:v>
                </c:pt>
                <c:pt idx="3">
                  <c:v>-1.0295008195023101E-4</c:v>
                </c:pt>
                <c:pt idx="4">
                  <c:v>-5.2350619303907601E-4</c:v>
                </c:pt>
                <c:pt idx="5">
                  <c:v>7.3738159306737099E-4</c:v>
                </c:pt>
                <c:pt idx="6">
                  <c:v>-2.55174319684122E-4</c:v>
                </c:pt>
                <c:pt idx="7">
                  <c:v>-2.8051204530319198E-4</c:v>
                </c:pt>
                <c:pt idx="8">
                  <c:v>-5.7996532323516899E-4</c:v>
                </c:pt>
                <c:pt idx="9">
                  <c:v>2.10571388804785E-4</c:v>
                </c:pt>
                <c:pt idx="10">
                  <c:v>-3.5987440382722001E-5</c:v>
                </c:pt>
                <c:pt idx="11">
                  <c:v>-1.4886023226188499E-3</c:v>
                </c:pt>
                <c:pt idx="12">
                  <c:v>3.91181139549128E-4</c:v>
                </c:pt>
                <c:pt idx="13">
                  <c:v>6.4086756215355899E-4</c:v>
                </c:pt>
                <c:pt idx="14">
                  <c:v>4.4215916607024601E-4</c:v>
                </c:pt>
                <c:pt idx="15">
                  <c:v>4.14035782389183E-4</c:v>
                </c:pt>
                <c:pt idx="16">
                  <c:v>-1.5596304920255101E-4</c:v>
                </c:pt>
                <c:pt idx="17">
                  <c:v>-1.5819378088424899E-4</c:v>
                </c:pt>
                <c:pt idx="18">
                  <c:v>1.13894049401097E-4</c:v>
                </c:pt>
                <c:pt idx="19">
                  <c:v>2.3347206554135899E-4</c:v>
                </c:pt>
                <c:pt idx="20">
                  <c:v>-2.7836514539452501E-4</c:v>
                </c:pt>
                <c:pt idx="21">
                  <c:v>-1.8132045666870701E-4</c:v>
                </c:pt>
                <c:pt idx="22">
                  <c:v>-3.8176890994143703E-4</c:v>
                </c:pt>
                <c:pt idx="23">
                  <c:v>-2.1324368527977599E-4</c:v>
                </c:pt>
                <c:pt idx="24">
                  <c:v>5.8368948386862499E-5</c:v>
                </c:pt>
                <c:pt idx="25">
                  <c:v>-1.7605433989697402E-5</c:v>
                </c:pt>
                <c:pt idx="26">
                  <c:v>8.4177262163099501E-4</c:v>
                </c:pt>
                <c:pt idx="27">
                  <c:v>4.74463722606564E-4</c:v>
                </c:pt>
                <c:pt idx="28">
                  <c:v>5.9056266780314795E-4</c:v>
                </c:pt>
                <c:pt idx="29">
                  <c:v>2.6661388085392102E-4</c:v>
                </c:pt>
                <c:pt idx="30">
                  <c:v>1.8951055559015801E-5</c:v>
                </c:pt>
                <c:pt idx="31">
                  <c:v>-3.2486878623262297E-4</c:v>
                </c:pt>
                <c:pt idx="32">
                  <c:v>1.17507208006742E-4</c:v>
                </c:pt>
                <c:pt idx="33">
                  <c:v>-8.1863429421693E-5</c:v>
                </c:pt>
                <c:pt idx="34">
                  <c:v>-4.2747599766037702E-4</c:v>
                </c:pt>
                <c:pt idx="35">
                  <c:v>-5.2783544801527304E-4</c:v>
                </c:pt>
                <c:pt idx="36">
                  <c:v>4.2805724199507499E-4</c:v>
                </c:pt>
                <c:pt idx="37">
                  <c:v>4.2544590338246399E-4</c:v>
                </c:pt>
                <c:pt idx="38">
                  <c:v>4.2283814813885202E-4</c:v>
                </c:pt>
                <c:pt idx="39">
                  <c:v>-2.4718176382755998E-4</c:v>
                </c:pt>
                <c:pt idx="40">
                  <c:v>-6.2665258181554496E-4</c:v>
                </c:pt>
                <c:pt idx="41">
                  <c:v>3.3766580184480303E-4</c:v>
                </c:pt>
                <c:pt idx="42">
                  <c:v>3.4024100007963299E-4</c:v>
                </c:pt>
                <c:pt idx="43">
                  <c:v>-4.2621460225273402E-4</c:v>
                </c:pt>
                <c:pt idx="44">
                  <c:v>3.68303266536449E-4</c:v>
                </c:pt>
                <c:pt idx="45">
                  <c:v>-7.1846619487432302E-4</c:v>
                </c:pt>
                <c:pt idx="46">
                  <c:v>1.8443972801604301E-4</c:v>
                </c:pt>
                <c:pt idx="47">
                  <c:v>-3.7589928729819198E-4</c:v>
                </c:pt>
                <c:pt idx="48">
                  <c:v>1.12668395790744E-4</c:v>
                </c:pt>
                <c:pt idx="49">
                  <c:v>5.5788904602491998E-4</c:v>
                </c:pt>
                <c:pt idx="50">
                  <c:v>6.3202141734495197E-4</c:v>
                </c:pt>
                <c:pt idx="51">
                  <c:v>4.07771688386671E-5</c:v>
                </c:pt>
                <c:pt idx="52">
                  <c:v>7.1169126490747397E-5</c:v>
                </c:pt>
                <c:pt idx="53">
                  <c:v>-7.5618058582736097E-4</c:v>
                </c:pt>
                <c:pt idx="54">
                  <c:v>9.1886764378094302E-4</c:v>
                </c:pt>
                <c:pt idx="55">
                  <c:v>-1.37830911926283E-3</c:v>
                </c:pt>
                <c:pt idx="56">
                  <c:v>-5.5044102037308802E-4</c:v>
                </c:pt>
                <c:pt idx="57">
                  <c:v>3.7282704705310802E-5</c:v>
                </c:pt>
                <c:pt idx="58">
                  <c:v>-6.1653234515988701E-5</c:v>
                </c:pt>
                <c:pt idx="59">
                  <c:v>9.6616611527449499E-4</c:v>
                </c:pt>
                <c:pt idx="60">
                  <c:v>9.0498788118978997E-4</c:v>
                </c:pt>
                <c:pt idx="61">
                  <c:v>9.5392735586323398E-4</c:v>
                </c:pt>
                <c:pt idx="62">
                  <c:v>2.1699009259466899E-4</c:v>
                </c:pt>
                <c:pt idx="63">
                  <c:v>5.9664856208665302E-4</c:v>
                </c:pt>
                <c:pt idx="64">
                  <c:v>-2.1129831327132599E-4</c:v>
                </c:pt>
                <c:pt idx="65">
                  <c:v>5.02660146155718E-4</c:v>
                </c:pt>
                <c:pt idx="66">
                  <c:v>1.71244182866502E-4</c:v>
                </c:pt>
                <c:pt idx="67">
                  <c:v>-1.01076358619268E-4</c:v>
                </c:pt>
                <c:pt idx="68">
                  <c:v>-3.1234253705958002E-5</c:v>
                </c:pt>
                <c:pt idx="69">
                  <c:v>-8.00116678442031E-6</c:v>
                </c:pt>
                <c:pt idx="70">
                  <c:v>-7.5269328149064798E-4</c:v>
                </c:pt>
                <c:pt idx="71">
                  <c:v>1.9948260376740699E-5</c:v>
                </c:pt>
                <c:pt idx="72">
                  <c:v>1.6135117987388999E-4</c:v>
                </c:pt>
                <c:pt idx="73">
                  <c:v>-2.6325303621229599E-4</c:v>
                </c:pt>
                <c:pt idx="74">
                  <c:v>-2.35581651260062E-4</c:v>
                </c:pt>
                <c:pt idx="75">
                  <c:v>-2.8657305077374099E-4</c:v>
                </c:pt>
                <c:pt idx="76">
                  <c:v>6.0916421914737802E-4</c:v>
                </c:pt>
                <c:pt idx="77">
                  <c:v>1.04813036404591E-5</c:v>
                </c:pt>
                <c:pt idx="78">
                  <c:v>2.1000245354404099E-4</c:v>
                </c:pt>
                <c:pt idx="79">
                  <c:v>4.6347465123803899E-4</c:v>
                </c:pt>
                <c:pt idx="80">
                  <c:v>-1.77856885437176E-4</c:v>
                </c:pt>
                <c:pt idx="81">
                  <c:v>-2.5455114228328498E-4</c:v>
                </c:pt>
                <c:pt idx="82">
                  <c:v>-3.20487952490589E-4</c:v>
                </c:pt>
                <c:pt idx="83">
                  <c:v>1.57961012718395E-4</c:v>
                </c:pt>
                <c:pt idx="84">
                  <c:v>-6.8519745941052903E-5</c:v>
                </c:pt>
                <c:pt idx="85">
                  <c:v>6.2590404232939795E-4</c:v>
                </c:pt>
                <c:pt idx="86">
                  <c:v>7.51922582529461E-4</c:v>
                </c:pt>
                <c:pt idx="87">
                  <c:v>1.3503569152880199E-3</c:v>
                </c:pt>
                <c:pt idx="88">
                  <c:v>1.3277639999523399E-3</c:v>
                </c:pt>
                <c:pt idx="89">
                  <c:v>4.3346309678700499E-4</c:v>
                </c:pt>
                <c:pt idx="90">
                  <c:v>8.8122561565329104E-5</c:v>
                </c:pt>
                <c:pt idx="91">
                  <c:v>7.4055016148162004E-4</c:v>
                </c:pt>
                <c:pt idx="92">
                  <c:v>5.8190523712023899E-4</c:v>
                </c:pt>
                <c:pt idx="93">
                  <c:v>1.3642826714692401E-3</c:v>
                </c:pt>
                <c:pt idx="94">
                  <c:v>1.5280318127900299E-3</c:v>
                </c:pt>
                <c:pt idx="95">
                  <c:v>1.8041455677463101E-4</c:v>
                </c:pt>
                <c:pt idx="96">
                  <c:v>4.31729553530076E-4</c:v>
                </c:pt>
                <c:pt idx="97">
                  <c:v>5.5318488723603699E-4</c:v>
                </c:pt>
                <c:pt idx="98">
                  <c:v>6.3714228686230999E-4</c:v>
                </c:pt>
                <c:pt idx="99">
                  <c:v>-1.9509771136432899E-5</c:v>
                </c:pt>
                <c:pt idx="100">
                  <c:v>1.9938936551016099E-4</c:v>
                </c:pt>
                <c:pt idx="101">
                  <c:v>-2.5673117486764001E-4</c:v>
                </c:pt>
                <c:pt idx="102">
                  <c:v>-7.5463653372444099E-5</c:v>
                </c:pt>
                <c:pt idx="103">
                  <c:v>-1.05652788305214E-4</c:v>
                </c:pt>
                <c:pt idx="104">
                  <c:v>4.5553896732054601E-5</c:v>
                </c:pt>
                <c:pt idx="105">
                  <c:v>7.6611084462235E-4</c:v>
                </c:pt>
                <c:pt idx="106">
                  <c:v>3.2266867684189402E-4</c:v>
                </c:pt>
                <c:pt idx="107">
                  <c:v>-3.29111734081741E-6</c:v>
                </c:pt>
                <c:pt idx="108">
                  <c:v>5.9181890518325195E-4</c:v>
                </c:pt>
                <c:pt idx="109">
                  <c:v>-3.2476544687476497E-4</c:v>
                </c:pt>
                <c:pt idx="110">
                  <c:v>2.9442723303469402E-4</c:v>
                </c:pt>
                <c:pt idx="111">
                  <c:v>-5.4491123610545597E-5</c:v>
                </c:pt>
                <c:pt idx="112">
                  <c:v>6.6355730349149496E-5</c:v>
                </c:pt>
                <c:pt idx="113">
                  <c:v>2.1500837408817099E-4</c:v>
                </c:pt>
                <c:pt idx="114">
                  <c:v>-1.05652788305214E-4</c:v>
                </c:pt>
                <c:pt idx="115">
                  <c:v>4.5812349498688102E-4</c:v>
                </c:pt>
                <c:pt idx="116">
                  <c:v>-1.14767375398114E-4</c:v>
                </c:pt>
                <c:pt idx="117">
                  <c:v>-4.1182001355322801E-4</c:v>
                </c:pt>
                <c:pt idx="118">
                  <c:v>-3.6508705094928499E-4</c:v>
                </c:pt>
                <c:pt idx="119">
                  <c:v>-5.6634595786116397E-4</c:v>
                </c:pt>
                <c:pt idx="120">
                  <c:v>-3.9467351778996602E-4</c:v>
                </c:pt>
                <c:pt idx="121">
                  <c:v>-6.2092330939631001E-4</c:v>
                </c:pt>
                <c:pt idx="122">
                  <c:v>-6.9500025482247896E-4</c:v>
                </c:pt>
                <c:pt idx="123">
                  <c:v>3.3637037267755603E-5</c:v>
                </c:pt>
                <c:pt idx="124">
                  <c:v>3.5317076008955898E-4</c:v>
                </c:pt>
                <c:pt idx="125">
                  <c:v>-4.5195941722968402E-5</c:v>
                </c:pt>
                <c:pt idx="126">
                  <c:v>2.1000245354404099E-4</c:v>
                </c:pt>
                <c:pt idx="127">
                  <c:v>-2.0564778863850901E-4</c:v>
                </c:pt>
                <c:pt idx="128">
                  <c:v>-8.2378458882571999E-5</c:v>
                </c:pt>
                <c:pt idx="129">
                  <c:v>-6.5645137605282197E-4</c:v>
                </c:pt>
                <c:pt idx="130">
                  <c:v>1.9439222069689001E-4</c:v>
                </c:pt>
                <c:pt idx="131">
                  <c:v>-1.3121925603883401E-4</c:v>
                </c:pt>
                <c:pt idx="132">
                  <c:v>-9.3114798025254695E-7</c:v>
                </c:pt>
                <c:pt idx="133">
                  <c:v>-6.7056672378884704E-4</c:v>
                </c:pt>
                <c:pt idx="134">
                  <c:v>-2.4360510049838499E-4</c:v>
                </c:pt>
                <c:pt idx="135">
                  <c:v>-1.4796926020450499E-5</c:v>
                </c:pt>
                <c:pt idx="136">
                  <c:v>2.40249134130812E-4</c:v>
                </c:pt>
                <c:pt idx="137">
                  <c:v>2.5248227371792201E-5</c:v>
                </c:pt>
                <c:pt idx="138">
                  <c:v>5.0278444138502796E-4</c:v>
                </c:pt>
                <c:pt idx="139">
                  <c:v>-1.3479249112821999E-4</c:v>
                </c:pt>
                <c:pt idx="140">
                  <c:v>6.9154154098693401E-4</c:v>
                </c:pt>
                <c:pt idx="141">
                  <c:v>9.140597511586E-4</c:v>
                </c:pt>
                <c:pt idx="142">
                  <c:v>-1.63193044488583E-3</c:v>
                </c:pt>
                <c:pt idx="143">
                  <c:v>-7.4505228926544705E-4</c:v>
                </c:pt>
                <c:pt idx="144">
                  <c:v>-6.6763883889786699E-4</c:v>
                </c:pt>
                <c:pt idx="145">
                  <c:v>-1.37121671215599E-3</c:v>
                </c:pt>
                <c:pt idx="146">
                  <c:v>-9.2360762245525304E-4</c:v>
                </c:pt>
                <c:pt idx="147">
                  <c:v>-3.4622017992484499E-4</c:v>
                </c:pt>
                <c:pt idx="148">
                  <c:v>-3.95727196947918E-4</c:v>
                </c:pt>
                <c:pt idx="149">
                  <c:v>-2.2815100390288599E-4</c:v>
                </c:pt>
                <c:pt idx="150">
                  <c:v>-5.2870116710604701E-4</c:v>
                </c:pt>
                <c:pt idx="151">
                  <c:v>-5.3070760950878605E-4</c:v>
                </c:pt>
                <c:pt idx="152">
                  <c:v>-5.8210918577098695E-4</c:v>
                </c:pt>
                <c:pt idx="153">
                  <c:v>-5.8603975534037098E-4</c:v>
                </c:pt>
                <c:pt idx="154">
                  <c:v>-6.8100211727455801E-4</c:v>
                </c:pt>
                <c:pt idx="155">
                  <c:v>-4.7107586311561901E-4</c:v>
                </c:pt>
                <c:pt idx="156">
                  <c:v>-5.9304641895341398E-5</c:v>
                </c:pt>
                <c:pt idx="157">
                  <c:v>-3.6990736689917998E-4</c:v>
                </c:pt>
                <c:pt idx="158">
                  <c:v>6.2197135693602601E-4</c:v>
                </c:pt>
                <c:pt idx="159">
                  <c:v>9.4066322517583797E-5</c:v>
                </c:pt>
                <c:pt idx="160">
                  <c:v>-5.4043087008036003E-4</c:v>
                </c:pt>
                <c:pt idx="161">
                  <c:v>1.6703290191008899E-4</c:v>
                </c:pt>
                <c:pt idx="162">
                  <c:v>2.4756943862249699E-4</c:v>
                </c:pt>
                <c:pt idx="163">
                  <c:v>-1.5387002682823201E-4</c:v>
                </c:pt>
                <c:pt idx="164">
                  <c:v>-1.72373165415038E-3</c:v>
                </c:pt>
                <c:pt idx="165">
                  <c:v>-1.3138388148004601E-3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F32-4334-9B53-1162DFE48A21}"/>
            </c:ext>
          </c:extLst>
        </c:ser>
        <c:ser>
          <c:idx val="1"/>
          <c:order val="1"/>
          <c:tx>
            <c:strRef>
              <c:f>CMF_VTEC_2!$V$1</c:f>
              <c:strCache>
                <c:ptCount val="1"/>
                <c:pt idx="0">
                  <c:v>log diff CMF x 10 dma / VTEC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CMF_VTEC_2!$V$2:$V$167</c:f>
              <c:numCache>
                <c:formatCode>0.00%</c:formatCode>
                <c:ptCount val="166"/>
                <c:pt idx="10">
                  <c:v>6.1713257478969498E-5</c:v>
                </c:pt>
                <c:pt idx="11">
                  <c:v>-1.4013289237392501E-3</c:v>
                </c:pt>
                <c:pt idx="12">
                  <c:v>6.0806048068601996E-4</c:v>
                </c:pt>
                <c:pt idx="13">
                  <c:v>8.3379152231710099E-4</c:v>
                </c:pt>
                <c:pt idx="14">
                  <c:v>5.6073294392021303E-4</c:v>
                </c:pt>
                <c:pt idx="15">
                  <c:v>4.3604588072007101E-4</c:v>
                </c:pt>
                <c:pt idx="16">
                  <c:v>-1.01638213001099E-4</c:v>
                </c:pt>
                <c:pt idx="17">
                  <c:v>-1.13791621587886E-4</c:v>
                </c:pt>
                <c:pt idx="18">
                  <c:v>1.46062167257958E-4</c:v>
                </c:pt>
                <c:pt idx="19">
                  <c:v>1.96237897678701E-4</c:v>
                </c:pt>
                <c:pt idx="20">
                  <c:v>-3.1788896041533499E-4</c:v>
                </c:pt>
                <c:pt idx="21">
                  <c:v>-1.96602026933534E-4</c:v>
                </c:pt>
                <c:pt idx="22">
                  <c:v>-5.2789843432464695E-4</c:v>
                </c:pt>
                <c:pt idx="23">
                  <c:v>-2.82070258643321E-4</c:v>
                </c:pt>
                <c:pt idx="24">
                  <c:v>7.4937473631719894E-5</c:v>
                </c:pt>
                <c:pt idx="25">
                  <c:v>3.7331137788930601E-5</c:v>
                </c:pt>
                <c:pt idx="26">
                  <c:v>9.3986145862047998E-4</c:v>
                </c:pt>
                <c:pt idx="27">
                  <c:v>4.7281800485706799E-4</c:v>
                </c:pt>
                <c:pt idx="28">
                  <c:v>5.2565909754921398E-4</c:v>
                </c:pt>
                <c:pt idx="29">
                  <c:v>1.54056006763954E-4</c:v>
                </c:pt>
                <c:pt idx="30">
                  <c:v>-9.6920549933512804E-5</c:v>
                </c:pt>
                <c:pt idx="31">
                  <c:v>-4.70479756488515E-4</c:v>
                </c:pt>
                <c:pt idx="32">
                  <c:v>-1.37433078989723E-5</c:v>
                </c:pt>
                <c:pt idx="33">
                  <c:v>-2.63055956456589E-4</c:v>
                </c:pt>
                <c:pt idx="34">
                  <c:v>-6.2181095643650301E-4</c:v>
                </c:pt>
                <c:pt idx="35">
                  <c:v>-6.7356868119851105E-4</c:v>
                </c:pt>
                <c:pt idx="36">
                  <c:v>3.3336706327968601E-4</c:v>
                </c:pt>
                <c:pt idx="37">
                  <c:v>3.7210406417806E-4</c:v>
                </c:pt>
                <c:pt idx="38">
                  <c:v>3.7439613512812601E-4</c:v>
                </c:pt>
                <c:pt idx="39">
                  <c:v>-2.78859149735146E-4</c:v>
                </c:pt>
                <c:pt idx="40">
                  <c:v>-6.0695059425678905E-4</c:v>
                </c:pt>
                <c:pt idx="41">
                  <c:v>4.2194441650215899E-4</c:v>
                </c:pt>
                <c:pt idx="42">
                  <c:v>3.5826996765900602E-4</c:v>
                </c:pt>
                <c:pt idx="43">
                  <c:v>-4.3045376317288998E-4</c:v>
                </c:pt>
                <c:pt idx="44">
                  <c:v>3.9850752487618297E-4</c:v>
                </c:pt>
                <c:pt idx="45">
                  <c:v>-7.6784298237090405E-4</c:v>
                </c:pt>
                <c:pt idx="46">
                  <c:v>1.5413865804759201E-4</c:v>
                </c:pt>
                <c:pt idx="47">
                  <c:v>-3.8184562402224101E-4</c:v>
                </c:pt>
                <c:pt idx="48">
                  <c:v>1.86851861124455E-4</c:v>
                </c:pt>
                <c:pt idx="49">
                  <c:v>6.6307840199962998E-4</c:v>
                </c:pt>
                <c:pt idx="50">
                  <c:v>6.5672142380410301E-4</c:v>
                </c:pt>
                <c:pt idx="51">
                  <c:v>-6.03947077005008E-5</c:v>
                </c:pt>
                <c:pt idx="52">
                  <c:v>-3.1694124451524801E-7</c:v>
                </c:pt>
                <c:pt idx="53">
                  <c:v>-8.0076343923065501E-4</c:v>
                </c:pt>
                <c:pt idx="54">
                  <c:v>9.0730182907883304E-4</c:v>
                </c:pt>
                <c:pt idx="55">
                  <c:v>-1.4448981003745099E-3</c:v>
                </c:pt>
                <c:pt idx="56">
                  <c:v>-5.5097427760029505E-4</c:v>
                </c:pt>
                <c:pt idx="57">
                  <c:v>1.10248311653951E-4</c:v>
                </c:pt>
                <c:pt idx="58">
                  <c:v>-3.0010661744192499E-5</c:v>
                </c:pt>
                <c:pt idx="59">
                  <c:v>1.0152397029556501E-3</c:v>
                </c:pt>
                <c:pt idx="60">
                  <c:v>9.1326603151474701E-4</c:v>
                </c:pt>
                <c:pt idx="61">
                  <c:v>9.3492968306923803E-4</c:v>
                </c:pt>
                <c:pt idx="62">
                  <c:v>1.06716902956153E-4</c:v>
                </c:pt>
                <c:pt idx="63">
                  <c:v>4.7179366247262198E-4</c:v>
                </c:pt>
                <c:pt idx="64">
                  <c:v>-4.7147297784719798E-4</c:v>
                </c:pt>
                <c:pt idx="65">
                  <c:v>3.5548511961107398E-4</c:v>
                </c:pt>
                <c:pt idx="66">
                  <c:v>-1.6415557993187401E-4</c:v>
                </c:pt>
                <c:pt idx="67">
                  <c:v>-5.0868514860671497E-4</c:v>
                </c:pt>
                <c:pt idx="68">
                  <c:v>-4.2500115085453101E-4</c:v>
                </c:pt>
                <c:pt idx="69">
                  <c:v>-4.0481130601521603E-4</c:v>
                </c:pt>
                <c:pt idx="70">
                  <c:v>-1.0520994469570099E-3</c:v>
                </c:pt>
                <c:pt idx="71">
                  <c:v>-1.1366650065881E-4</c:v>
                </c:pt>
                <c:pt idx="72">
                  <c:v>1.21096979742955E-4</c:v>
                </c:pt>
                <c:pt idx="73">
                  <c:v>-2.9794418903769399E-4</c:v>
                </c:pt>
                <c:pt idx="74">
                  <c:v>-1.8429768809281999E-4</c:v>
                </c:pt>
                <c:pt idx="75">
                  <c:v>-2.3286033866898E-4</c:v>
                </c:pt>
                <c:pt idx="76">
                  <c:v>7.4178437441061796E-4</c:v>
                </c:pt>
                <c:pt idx="77">
                  <c:v>9.9331386572091302E-5</c:v>
                </c:pt>
                <c:pt idx="78">
                  <c:v>2.87697193874872E-4</c:v>
                </c:pt>
                <c:pt idx="79">
                  <c:v>5.1704946012024995E-4</c:v>
                </c:pt>
                <c:pt idx="80">
                  <c:v>-1.71417508356583E-4</c:v>
                </c:pt>
                <c:pt idx="81">
                  <c:v>-3.0562344096315801E-4</c:v>
                </c:pt>
                <c:pt idx="82">
                  <c:v>-3.44106065449542E-4</c:v>
                </c:pt>
                <c:pt idx="83">
                  <c:v>1.8253062460079101E-4</c:v>
                </c:pt>
                <c:pt idx="84">
                  <c:v>-8.6073609078081794E-5</c:v>
                </c:pt>
                <c:pt idx="85">
                  <c:v>5.9164101535738698E-4</c:v>
                </c:pt>
                <c:pt idx="86">
                  <c:v>6.2642003521206897E-4</c:v>
                </c:pt>
                <c:pt idx="87">
                  <c:v>1.21058635130657E-3</c:v>
                </c:pt>
                <c:pt idx="88">
                  <c:v>1.05406931795584E-3</c:v>
                </c:pt>
                <c:pt idx="89">
                  <c:v>4.8041349666956403E-5</c:v>
                </c:pt>
                <c:pt idx="90">
                  <c:v>-2.9429822382101101E-4</c:v>
                </c:pt>
                <c:pt idx="91">
                  <c:v>3.31519709873077E-4</c:v>
                </c:pt>
                <c:pt idx="92">
                  <c:v>7.3343174789989495E-5</c:v>
                </c:pt>
                <c:pt idx="93">
                  <c:v>7.6544310854607305E-4</c:v>
                </c:pt>
                <c:pt idx="94">
                  <c:v>8.0857237726858196E-4</c:v>
                </c:pt>
                <c:pt idx="95">
                  <c:v>-6.9871115366096099E-4</c:v>
                </c:pt>
                <c:pt idx="96">
                  <c:v>-4.0282699235145498E-4</c:v>
                </c:pt>
                <c:pt idx="97">
                  <c:v>-2.49345095460534E-4</c:v>
                </c:pt>
                <c:pt idx="98">
                  <c:v>-8.5685563398731494E-5</c:v>
                </c:pt>
                <c:pt idx="99">
                  <c:v>-6.7329576011960601E-4</c:v>
                </c:pt>
                <c:pt idx="100">
                  <c:v>-4.09080119329329E-4</c:v>
                </c:pt>
                <c:pt idx="101">
                  <c:v>-8.7633257398726403E-4</c:v>
                </c:pt>
                <c:pt idx="102">
                  <c:v>-5.9530421737728398E-4</c:v>
                </c:pt>
                <c:pt idx="103">
                  <c:v>-5.5974109471281701E-4</c:v>
                </c:pt>
                <c:pt idx="104">
                  <c:v>-2.6157740410452901E-4</c:v>
                </c:pt>
                <c:pt idx="105">
                  <c:v>6.0714528016105399E-4</c:v>
                </c:pt>
                <c:pt idx="106">
                  <c:v>1.0515017394300299E-4</c:v>
                </c:pt>
                <c:pt idx="107">
                  <c:v>-2.09905333369151E-4</c:v>
                </c:pt>
                <c:pt idx="108">
                  <c:v>4.40846939852998E-4</c:v>
                </c:pt>
                <c:pt idx="109">
                  <c:v>-4.7120718458944298E-4</c:v>
                </c:pt>
                <c:pt idx="110">
                  <c:v>1.7852032318436801E-4</c:v>
                </c:pt>
                <c:pt idx="111">
                  <c:v>-1.7990062043866901E-4</c:v>
                </c:pt>
                <c:pt idx="112">
                  <c:v>-7.9283660423690405E-5</c:v>
                </c:pt>
                <c:pt idx="113">
                  <c:v>5.5184814143552798E-5</c:v>
                </c:pt>
                <c:pt idx="114">
                  <c:v>-2.9754635065696401E-4</c:v>
                </c:pt>
                <c:pt idx="115">
                  <c:v>2.8135384308524601E-4</c:v>
                </c:pt>
                <c:pt idx="116">
                  <c:v>-2.60752171307781E-4</c:v>
                </c:pt>
                <c:pt idx="117">
                  <c:v>-5.1406032193028397E-4</c:v>
                </c:pt>
                <c:pt idx="118">
                  <c:v>-4.2646264637757702E-4</c:v>
                </c:pt>
                <c:pt idx="119">
                  <c:v>-5.32040506459276E-4</c:v>
                </c:pt>
                <c:pt idx="120">
                  <c:v>-3.3620037022423098E-4</c:v>
                </c:pt>
                <c:pt idx="121">
                  <c:v>-4.9354303493242397E-4</c:v>
                </c:pt>
                <c:pt idx="122">
                  <c:v>-5.10966451015987E-4</c:v>
                </c:pt>
                <c:pt idx="123">
                  <c:v>2.9381346274340899E-4</c:v>
                </c:pt>
                <c:pt idx="124">
                  <c:v>6.3147718255096802E-4</c:v>
                </c:pt>
                <c:pt idx="125">
                  <c:v>1.87245517715038E-4</c:v>
                </c:pt>
                <c:pt idx="126">
                  <c:v>4.9275250557929702E-4</c:v>
                </c:pt>
                <c:pt idx="127">
                  <c:v>4.4635480890417299E-5</c:v>
                </c:pt>
                <c:pt idx="128">
                  <c:v>1.47286170430563E-4</c:v>
                </c:pt>
                <c:pt idx="129">
                  <c:v>-4.5505783796544598E-4</c:v>
                </c:pt>
                <c:pt idx="130">
                  <c:v>4.0479995510428799E-4</c:v>
                </c:pt>
                <c:pt idx="131">
                  <c:v>2.0286664088677301E-5</c:v>
                </c:pt>
                <c:pt idx="132">
                  <c:v>1.01592168402353E-4</c:v>
                </c:pt>
                <c:pt idx="133">
                  <c:v>-6.37469766926314E-4</c:v>
                </c:pt>
                <c:pt idx="134">
                  <c:v>-1.40070148307201E-4</c:v>
                </c:pt>
                <c:pt idx="135">
                  <c:v>1.4840438576733399E-4</c:v>
                </c:pt>
                <c:pt idx="136">
                  <c:v>4.00410944631406E-4</c:v>
                </c:pt>
                <c:pt idx="137">
                  <c:v>1.8238653038511E-4</c:v>
                </c:pt>
                <c:pt idx="138">
                  <c:v>6.3683442174524004E-4</c:v>
                </c:pt>
                <c:pt idx="139">
                  <c:v>-5.92403716562627E-5</c:v>
                </c:pt>
                <c:pt idx="140">
                  <c:v>7.1490971041758902E-4</c:v>
                </c:pt>
                <c:pt idx="141">
                  <c:v>8.8773493178305604E-4</c:v>
                </c:pt>
                <c:pt idx="142">
                  <c:v>-1.7627504734795199E-3</c:v>
                </c:pt>
                <c:pt idx="143">
                  <c:v>-7.12631124902287E-4</c:v>
                </c:pt>
                <c:pt idx="144">
                  <c:v>-6.2776411339578501E-4</c:v>
                </c:pt>
                <c:pt idx="145">
                  <c:v>-1.2889218794907399E-3</c:v>
                </c:pt>
                <c:pt idx="146">
                  <c:v>-7.0559714707369304E-4</c:v>
                </c:pt>
                <c:pt idx="147">
                  <c:v>-1.18164021150329E-5</c:v>
                </c:pt>
                <c:pt idx="148">
                  <c:v>-2.4183727816665499E-5</c:v>
                </c:pt>
                <c:pt idx="149">
                  <c:v>2.3320141403254199E-4</c:v>
                </c:pt>
                <c:pt idx="150">
                  <c:v>-5.8015554002953199E-5</c:v>
                </c:pt>
                <c:pt idx="151">
                  <c:v>6.1927494115540495E-5</c:v>
                </c:pt>
                <c:pt idx="152">
                  <c:v>1.54878976778241E-4</c:v>
                </c:pt>
                <c:pt idx="153">
                  <c:v>4.5921907487367902E-5</c:v>
                </c:pt>
                <c:pt idx="154">
                  <c:v>-6.4942368333178996E-5</c:v>
                </c:pt>
                <c:pt idx="155">
                  <c:v>1.4632029062809499E-4</c:v>
                </c:pt>
                <c:pt idx="156">
                  <c:v>4.6804602398790201E-4</c:v>
                </c:pt>
                <c:pt idx="157">
                  <c:v>7.1012365511893298E-5</c:v>
                </c:pt>
                <c:pt idx="158">
                  <c:v>1.0652596089851601E-3</c:v>
                </c:pt>
                <c:pt idx="159">
                  <c:v>4.3563615169432202E-4</c:v>
                </c:pt>
                <c:pt idx="160">
                  <c:v>-2.3107444799426799E-4</c:v>
                </c:pt>
                <c:pt idx="161">
                  <c:v>4.7756255779960003E-4</c:v>
                </c:pt>
                <c:pt idx="162">
                  <c:v>4.8833158706426899E-4</c:v>
                </c:pt>
                <c:pt idx="163">
                  <c:v>3.9269125497466097E-6</c:v>
                </c:pt>
                <c:pt idx="164">
                  <c:v>-1.6091617920336199E-3</c:v>
                </c:pt>
                <c:pt idx="165">
                  <c:v>-1.0948879526290001E-3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F32-4334-9B53-1162DFE48A21}"/>
            </c:ext>
          </c:extLst>
        </c:ser>
        <c:ser>
          <c:idx val="2"/>
          <c:order val="2"/>
          <c:tx>
            <c:strRef>
              <c:f>CMF_VTEC_2!$W$1</c:f>
              <c:strCache>
                <c:ptCount val="1"/>
                <c:pt idx="0">
                  <c:v>log diff CMF x 20 dma / VTEC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CMF_VTEC_2!$W$2:$W$167</c:f>
              <c:numCache>
                <c:formatCode>0.00%</c:formatCode>
                <c:ptCount val="166"/>
                <c:pt idx="20">
                  <c:v>-2.4927435015307598E-4</c:v>
                </c:pt>
                <c:pt idx="21">
                  <c:v>-1.4532322767103501E-4</c:v>
                </c:pt>
                <c:pt idx="22">
                  <c:v>-3.4637752963505498E-4</c:v>
                </c:pt>
                <c:pt idx="23">
                  <c:v>-1.51186427712282E-4</c:v>
                </c:pt>
                <c:pt idx="24">
                  <c:v>1.2594140056819601E-4</c:v>
                </c:pt>
                <c:pt idx="25">
                  <c:v>2.0868036584246301E-5</c:v>
                </c:pt>
                <c:pt idx="26">
                  <c:v>9.1797969763744497E-4</c:v>
                </c:pt>
                <c:pt idx="27">
                  <c:v>4.9584220843098702E-4</c:v>
                </c:pt>
                <c:pt idx="28">
                  <c:v>5.7419611946881398E-4</c:v>
                </c:pt>
                <c:pt idx="29">
                  <c:v>1.91718569085074E-4</c:v>
                </c:pt>
                <c:pt idx="30">
                  <c:v>-5.8745926074633402E-5</c:v>
                </c:pt>
                <c:pt idx="31">
                  <c:v>-4.0531293327405901E-4</c:v>
                </c:pt>
                <c:pt idx="32">
                  <c:v>-2.1182784464449699E-5</c:v>
                </c:pt>
                <c:pt idx="33">
                  <c:v>-2.0687140135747001E-4</c:v>
                </c:pt>
                <c:pt idx="34">
                  <c:v>-5.1635365439103604E-4</c:v>
                </c:pt>
                <c:pt idx="35">
                  <c:v>-5.7322874517149402E-4</c:v>
                </c:pt>
                <c:pt idx="36">
                  <c:v>4.2976121660055397E-4</c:v>
                </c:pt>
                <c:pt idx="37">
                  <c:v>3.979524589666E-4</c:v>
                </c:pt>
                <c:pt idx="38">
                  <c:v>3.661653903795E-4</c:v>
                </c:pt>
                <c:pt idx="39">
                  <c:v>-3.1929857611959201E-4</c:v>
                </c:pt>
                <c:pt idx="40">
                  <c:v>-6.7473509325747204E-4</c:v>
                </c:pt>
                <c:pt idx="41">
                  <c:v>3.0700623019823398E-4</c:v>
                </c:pt>
                <c:pt idx="42">
                  <c:v>2.83633011462249E-4</c:v>
                </c:pt>
                <c:pt idx="43">
                  <c:v>-5.18926532168432E-4</c:v>
                </c:pt>
                <c:pt idx="44">
                  <c:v>2.8624421855091999E-4</c:v>
                </c:pt>
                <c:pt idx="45">
                  <c:v>-8.1602004464359403E-4</c:v>
                </c:pt>
                <c:pt idx="46">
                  <c:v>1.21944621918588E-4</c:v>
                </c:pt>
                <c:pt idx="47">
                  <c:v>-4.0554309447078299E-4</c:v>
                </c:pt>
                <c:pt idx="48">
                  <c:v>1.2554100157832301E-4</c:v>
                </c:pt>
                <c:pt idx="49">
                  <c:v>5.9464737262159505E-4</c:v>
                </c:pt>
                <c:pt idx="50">
                  <c:v>6.5422241747638396E-4</c:v>
                </c:pt>
                <c:pt idx="51">
                  <c:v>3.2334836883379103E-5</c:v>
                </c:pt>
                <c:pt idx="52">
                  <c:v>4.4441578030342297E-5</c:v>
                </c:pt>
                <c:pt idx="53">
                  <c:v>-7.8059138953713505E-4</c:v>
                </c:pt>
                <c:pt idx="54">
                  <c:v>9.2818708369197698E-4</c:v>
                </c:pt>
                <c:pt idx="55">
                  <c:v>-1.43629196653448E-3</c:v>
                </c:pt>
                <c:pt idx="56">
                  <c:v>-5.6585807320551698E-4</c:v>
                </c:pt>
                <c:pt idx="57">
                  <c:v>7.0793118204472494E-5</c:v>
                </c:pt>
                <c:pt idx="58">
                  <c:v>-8.7399892472548492E-6</c:v>
                </c:pt>
                <c:pt idx="59">
                  <c:v>1.0432979807251401E-3</c:v>
                </c:pt>
                <c:pt idx="60">
                  <c:v>9.2147699329166003E-4</c:v>
                </c:pt>
                <c:pt idx="61">
                  <c:v>8.9384342527153095E-4</c:v>
                </c:pt>
                <c:pt idx="62">
                  <c:v>1.2611065196282899E-4</c:v>
                </c:pt>
                <c:pt idx="63">
                  <c:v>5.11930491027902E-4</c:v>
                </c:pt>
                <c:pt idx="64">
                  <c:v>-3.4716082711528301E-4</c:v>
                </c:pt>
                <c:pt idx="65">
                  <c:v>3.9577895409117201E-4</c:v>
                </c:pt>
                <c:pt idx="66">
                  <c:v>3.2916898007824099E-6</c:v>
                </c:pt>
                <c:pt idx="67">
                  <c:v>-2.68369081170123E-4</c:v>
                </c:pt>
                <c:pt idx="68">
                  <c:v>-2.1227379424228901E-4</c:v>
                </c:pt>
                <c:pt idx="69">
                  <c:v>-1.81844591022304E-4</c:v>
                </c:pt>
                <c:pt idx="70">
                  <c:v>-8.9824545535663997E-4</c:v>
                </c:pt>
                <c:pt idx="71">
                  <c:v>-5.6356314403552001E-5</c:v>
                </c:pt>
                <c:pt idx="72">
                  <c:v>8.6088097821528201E-5</c:v>
                </c:pt>
                <c:pt idx="73">
                  <c:v>-3.43025046244403E-4</c:v>
                </c:pt>
                <c:pt idx="74">
                  <c:v>-3.4001487615481198E-4</c:v>
                </c:pt>
                <c:pt idx="75">
                  <c:v>-3.3329916350822802E-4</c:v>
                </c:pt>
                <c:pt idx="76">
                  <c:v>5.0780179570996905E-4</c:v>
                </c:pt>
                <c:pt idx="77">
                  <c:v>-1.4886724096141099E-4</c:v>
                </c:pt>
                <c:pt idx="78">
                  <c:v>5.1994159644287899E-5</c:v>
                </c:pt>
                <c:pt idx="79">
                  <c:v>2.9188234188857299E-4</c:v>
                </c:pt>
                <c:pt idx="80">
                  <c:v>-3.2432858694322398E-4</c:v>
                </c:pt>
                <c:pt idx="81">
                  <c:v>-3.4689382048374E-4</c:v>
                </c:pt>
                <c:pt idx="82">
                  <c:v>-3.5242407444067801E-4</c:v>
                </c:pt>
                <c:pt idx="83">
                  <c:v>1.52900681226513E-4</c:v>
                </c:pt>
                <c:pt idx="84">
                  <c:v>-5.1654103595235699E-5</c:v>
                </c:pt>
                <c:pt idx="85">
                  <c:v>6.3562985236206696E-4</c:v>
                </c:pt>
                <c:pt idx="86">
                  <c:v>7.5548971491842104E-4</c:v>
                </c:pt>
                <c:pt idx="87">
                  <c:v>1.32490320818815E-3</c:v>
                </c:pt>
                <c:pt idx="88">
                  <c:v>1.22977946343503E-3</c:v>
                </c:pt>
                <c:pt idx="89">
                  <c:v>2.6756371741488901E-4</c:v>
                </c:pt>
                <c:pt idx="90">
                  <c:v>-9.9849241059731501E-5</c:v>
                </c:pt>
                <c:pt idx="91">
                  <c:v>5.1051480309241104E-4</c:v>
                </c:pt>
                <c:pt idx="92">
                  <c:v>3.1584454580454302E-4</c:v>
                </c:pt>
                <c:pt idx="93">
                  <c:v>1.07719627582289E-3</c:v>
                </c:pt>
                <c:pt idx="94">
                  <c:v>1.1595867473886399E-3</c:v>
                </c:pt>
                <c:pt idx="95">
                  <c:v>-2.7619058781261699E-4</c:v>
                </c:pt>
                <c:pt idx="96">
                  <c:v>-4.8237148374028097E-5</c:v>
                </c:pt>
                <c:pt idx="97">
                  <c:v>8.2089520151745806E-5</c:v>
                </c:pt>
                <c:pt idx="98">
                  <c:v>1.38906235808722E-4</c:v>
                </c:pt>
                <c:pt idx="99">
                  <c:v>-5.3910463676746102E-4</c:v>
                </c:pt>
                <c:pt idx="100">
                  <c:v>-2.9604938235067298E-4</c:v>
                </c:pt>
                <c:pt idx="101">
                  <c:v>-7.7104155771622995E-4</c:v>
                </c:pt>
                <c:pt idx="102">
                  <c:v>-5.8966495063950098E-4</c:v>
                </c:pt>
                <c:pt idx="103">
                  <c:v>-6.3211410385475902E-4</c:v>
                </c:pt>
                <c:pt idx="104">
                  <c:v>-4.6772021963578002E-4</c:v>
                </c:pt>
                <c:pt idx="105">
                  <c:v>2.4713003600205802E-4</c:v>
                </c:pt>
                <c:pt idx="106">
                  <c:v>-2.0332125555588601E-4</c:v>
                </c:pt>
                <c:pt idx="107">
                  <c:v>-5.0781882725370797E-4</c:v>
                </c:pt>
                <c:pt idx="108">
                  <c:v>1.5495987478109099E-4</c:v>
                </c:pt>
                <c:pt idx="109">
                  <c:v>-7.2484713545031799E-4</c:v>
                </c:pt>
                <c:pt idx="110">
                  <c:v>-6.7730637073996506E-5</c:v>
                </c:pt>
                <c:pt idx="111">
                  <c:v>-4.2696604338023699E-4</c:v>
                </c:pt>
                <c:pt idx="112">
                  <c:v>-2.6636674372497698E-4</c:v>
                </c:pt>
                <c:pt idx="113">
                  <c:v>-9.1936735120481302E-5</c:v>
                </c:pt>
                <c:pt idx="114">
                  <c:v>-3.5516355993232802E-4</c:v>
                </c:pt>
                <c:pt idx="115">
                  <c:v>2.9025592642835201E-4</c:v>
                </c:pt>
                <c:pt idx="116">
                  <c:v>-2.9651838516812099E-4</c:v>
                </c:pt>
                <c:pt idx="117">
                  <c:v>-5.6624591401693196E-4</c:v>
                </c:pt>
                <c:pt idx="118">
                  <c:v>-4.7125982789000001E-4</c:v>
                </c:pt>
                <c:pt idx="119">
                  <c:v>-6.2241001732435896E-4</c:v>
                </c:pt>
                <c:pt idx="120">
                  <c:v>-4.2338659788146302E-4</c:v>
                </c:pt>
                <c:pt idx="121">
                  <c:v>-6.1992993274479803E-4</c:v>
                </c:pt>
                <c:pt idx="122">
                  <c:v>-6.7578946275390799E-4</c:v>
                </c:pt>
                <c:pt idx="123">
                  <c:v>8.3835520031543705E-5</c:v>
                </c:pt>
                <c:pt idx="124">
                  <c:v>3.9640482614728702E-4</c:v>
                </c:pt>
                <c:pt idx="125">
                  <c:v>-1.7339106238146201E-5</c:v>
                </c:pt>
                <c:pt idx="126">
                  <c:v>2.7840805830317398E-4</c:v>
                </c:pt>
                <c:pt idx="127">
                  <c:v>-1.3161077395369599E-4</c:v>
                </c:pt>
                <c:pt idx="128">
                  <c:v>1.77664611117435E-6</c:v>
                </c:pt>
                <c:pt idx="129">
                  <c:v>-5.3859839150483403E-4</c:v>
                </c:pt>
                <c:pt idx="130">
                  <c:v>3.2883554719834401E-4</c:v>
                </c:pt>
                <c:pt idx="131">
                  <c:v>8.2239140129263997E-6</c:v>
                </c:pt>
                <c:pt idx="132">
                  <c:v>1.4234824260891E-4</c:v>
                </c:pt>
                <c:pt idx="133">
                  <c:v>-5.2392358698404495E-4</c:v>
                </c:pt>
                <c:pt idx="134">
                  <c:v>-5.2680595038633801E-5</c:v>
                </c:pt>
                <c:pt idx="135">
                  <c:v>1.83025058867247E-4</c:v>
                </c:pt>
                <c:pt idx="136">
                  <c:v>4.6170694388346199E-4</c:v>
                </c:pt>
                <c:pt idx="137">
                  <c:v>2.2896009814097099E-4</c:v>
                </c:pt>
                <c:pt idx="138">
                  <c:v>6.8464288899177099E-4</c:v>
                </c:pt>
                <c:pt idx="139">
                  <c:v>3.6823171591424099E-6</c:v>
                </c:pt>
                <c:pt idx="140">
                  <c:v>8.0843386588067901E-4</c:v>
                </c:pt>
                <c:pt idx="141">
                  <c:v>9.7665425450576301E-4</c:v>
                </c:pt>
                <c:pt idx="142">
                  <c:v>-1.6460719948518999E-3</c:v>
                </c:pt>
                <c:pt idx="143">
                  <c:v>-7.1229322859569502E-4</c:v>
                </c:pt>
                <c:pt idx="144">
                  <c:v>-5.9593349347312899E-4</c:v>
                </c:pt>
                <c:pt idx="145">
                  <c:v>-1.24846782169743E-3</c:v>
                </c:pt>
                <c:pt idx="146">
                  <c:v>-7.3452106120558901E-4</c:v>
                </c:pt>
                <c:pt idx="147">
                  <c:v>-1.0044521163184201E-4</c:v>
                </c:pt>
                <c:pt idx="148">
                  <c:v>-1.4292342180750601E-4</c:v>
                </c:pt>
                <c:pt idx="149">
                  <c:v>4.03198700345081E-5</c:v>
                </c:pt>
                <c:pt idx="150">
                  <c:v>-2.81649264227533E-4</c:v>
                </c:pt>
                <c:pt idx="151">
                  <c:v>-2.4750457846201202E-4</c:v>
                </c:pt>
                <c:pt idx="152">
                  <c:v>-2.78930982414294E-4</c:v>
                </c:pt>
                <c:pt idx="153">
                  <c:v>-2.53803410644652E-4</c:v>
                </c:pt>
                <c:pt idx="154">
                  <c:v>-3.52993381405971E-4</c:v>
                </c:pt>
                <c:pt idx="155">
                  <c:v>-1.21194578233631E-4</c:v>
                </c:pt>
                <c:pt idx="156">
                  <c:v>3.1338789015640799E-4</c:v>
                </c:pt>
                <c:pt idx="157">
                  <c:v>1.77558064175819E-5</c:v>
                </c:pt>
                <c:pt idx="158">
                  <c:v>1.0293878609406201E-3</c:v>
                </c:pt>
                <c:pt idx="159">
                  <c:v>4.9552923955717605E-4</c:v>
                </c:pt>
                <c:pt idx="160">
                  <c:v>-1.5040659909708101E-4</c:v>
                </c:pt>
                <c:pt idx="161">
                  <c:v>6.1862522960236396E-4</c:v>
                </c:pt>
                <c:pt idx="162">
                  <c:v>7.36475374149854E-4</c:v>
                </c:pt>
                <c:pt idx="163">
                  <c:v>2.4103737829741999E-4</c:v>
                </c:pt>
                <c:pt idx="164">
                  <c:v>-1.3583854121083699E-3</c:v>
                </c:pt>
                <c:pt idx="165">
                  <c:v>-8.95645462011623E-4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AF32-4334-9B53-1162DFE48A2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69287584"/>
        <c:axId val="205412432"/>
      </c:lineChart>
      <c:catAx>
        <c:axId val="1669287584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5412432"/>
        <c:crosses val="autoZero"/>
        <c:auto val="1"/>
        <c:lblAlgn val="ctr"/>
        <c:lblOffset val="100"/>
        <c:noMultiLvlLbl val="0"/>
      </c:catAx>
      <c:valAx>
        <c:axId val="2054124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692875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Lit>
              <c:formatCode>General</c:formatCode>
              <c:ptCount val="135"/>
              <c:pt idx="0">
                <c:v>0</c:v>
              </c:pt>
              <c:pt idx="1">
                <c:v>2.5655612473939916E-4</c:v>
              </c:pt>
              <c:pt idx="2">
                <c:v>1.2322882204119003E-3</c:v>
              </c:pt>
              <c:pt idx="3">
                <c:v>-5.0947972912353499E-3</c:v>
              </c:pt>
              <c:pt idx="4">
                <c:v>-2.8633555070699951E-4</c:v>
              </c:pt>
              <c:pt idx="5">
                <c:v>-4.5251554042158998E-4</c:v>
              </c:pt>
              <c:pt idx="6">
                <c:v>1.1289511372309206E-3</c:v>
              </c:pt>
              <c:pt idx="7">
                <c:v>-9.8761185406727979E-4</c:v>
              </c:pt>
              <c:pt idx="8">
                <c:v>-5.4727685673478009E-4</c:v>
              </c:pt>
              <c:pt idx="9">
                <c:v>-5.594905262751998E-4</c:v>
              </c:pt>
              <c:pt idx="10">
                <c:v>1.29597048851968E-3</c:v>
              </c:pt>
              <c:pt idx="11">
                <c:v>7.191482242066994E-5</c:v>
              </c:pt>
              <c:pt idx="12">
                <c:v>9.3164059269089015E-4</c:v>
              </c:pt>
              <c:pt idx="13">
                <c:v>5.1716490161134035E-4</c:v>
              </c:pt>
              <c:pt idx="14">
                <c:v>-1.4985850797733808E-3</c:v>
              </c:pt>
              <c:pt idx="15">
                <c:v>1.5122813474586399E-3</c:v>
              </c:pt>
              <c:pt idx="16">
                <c:v>-9.5908364865202999E-4</c:v>
              </c:pt>
              <c:pt idx="17">
                <c:v>1.9681366196250098E-5</c:v>
              </c:pt>
              <c:pt idx="18">
                <c:v>-1.3677455060214019E-3</c:v>
              </c:pt>
              <c:pt idx="19">
                <c:v>-9.5638973534810032E-4</c:v>
              </c:pt>
              <c:pt idx="20">
                <c:v>3.9978956944260007E-4</c:v>
              </c:pt>
              <c:pt idx="21">
                <c:v>3.1650783210060993E-4</c:v>
              </c:pt>
              <c:pt idx="22">
                <c:v>1.3975054026032982E-3</c:v>
              </c:pt>
              <c:pt idx="23">
                <c:v>0</c:v>
              </c:pt>
              <c:pt idx="24">
                <c:v>0</c:v>
              </c:pt>
              <c:pt idx="25">
                <c:v>0</c:v>
              </c:pt>
              <c:pt idx="26">
                <c:v>0</c:v>
              </c:pt>
              <c:pt idx="27">
                <c:v>0</c:v>
              </c:pt>
              <c:pt idx="28">
                <c:v>0</c:v>
              </c:pt>
              <c:pt idx="29">
                <c:v>0</c:v>
              </c:pt>
              <c:pt idx="30">
                <c:v>0</c:v>
              </c:pt>
              <c:pt idx="31">
                <c:v>0</c:v>
              </c:pt>
              <c:pt idx="32">
                <c:v>0</c:v>
              </c:pt>
              <c:pt idx="33">
                <c:v>0</c:v>
              </c:pt>
              <c:pt idx="34">
                <c:v>0</c:v>
              </c:pt>
              <c:pt idx="35">
                <c:v>0</c:v>
              </c:pt>
              <c:pt idx="36">
                <c:v>0</c:v>
              </c:pt>
              <c:pt idx="37">
                <c:v>0</c:v>
              </c:pt>
              <c:pt idx="38">
                <c:v>0</c:v>
              </c:pt>
              <c:pt idx="39">
                <c:v>0</c:v>
              </c:pt>
              <c:pt idx="40">
                <c:v>0</c:v>
              </c:pt>
              <c:pt idx="41">
                <c:v>0</c:v>
              </c:pt>
              <c:pt idx="42">
                <c:v>0</c:v>
              </c:pt>
              <c:pt idx="43">
                <c:v>0</c:v>
              </c:pt>
              <c:pt idx="44">
                <c:v>0</c:v>
              </c:pt>
              <c:pt idx="45">
                <c:v>0</c:v>
              </c:pt>
              <c:pt idx="46">
                <c:v>0</c:v>
              </c:pt>
              <c:pt idx="47">
                <c:v>0</c:v>
              </c:pt>
              <c:pt idx="48">
                <c:v>0</c:v>
              </c:pt>
              <c:pt idx="49">
                <c:v>0</c:v>
              </c:pt>
              <c:pt idx="50">
                <c:v>0</c:v>
              </c:pt>
              <c:pt idx="51">
                <c:v>0</c:v>
              </c:pt>
              <c:pt idx="52">
                <c:v>0</c:v>
              </c:pt>
              <c:pt idx="53">
                <c:v>0</c:v>
              </c:pt>
              <c:pt idx="54">
                <c:v>0</c:v>
              </c:pt>
              <c:pt idx="55">
                <c:v>0</c:v>
              </c:pt>
              <c:pt idx="56">
                <c:v>0</c:v>
              </c:pt>
              <c:pt idx="57">
                <c:v>0</c:v>
              </c:pt>
              <c:pt idx="58">
                <c:v>0</c:v>
              </c:pt>
              <c:pt idx="59">
                <c:v>0</c:v>
              </c:pt>
              <c:pt idx="60">
                <c:v>1.6409299811566934E-4</c:v>
              </c:pt>
              <c:pt idx="61">
                <c:v>-3.7065137416799829E-4</c:v>
              </c:pt>
              <c:pt idx="62">
                <c:v>2.2687656697265896E-3</c:v>
              </c:pt>
              <c:pt idx="63">
                <c:v>0</c:v>
              </c:pt>
              <c:pt idx="64">
                <c:v>0</c:v>
              </c:pt>
              <c:pt idx="65">
                <c:v>0</c:v>
              </c:pt>
              <c:pt idx="66">
                <c:v>0</c:v>
              </c:pt>
              <c:pt idx="67">
                <c:v>0</c:v>
              </c:pt>
              <c:pt idx="68">
                <c:v>0</c:v>
              </c:pt>
              <c:pt idx="69">
                <c:v>0</c:v>
              </c:pt>
              <c:pt idx="70">
                <c:v>0</c:v>
              </c:pt>
              <c:pt idx="71">
                <c:v>0</c:v>
              </c:pt>
              <c:pt idx="72">
                <c:v>0</c:v>
              </c:pt>
              <c:pt idx="73">
                <c:v>-3.3131496543292987E-4</c:v>
              </c:pt>
              <c:pt idx="74">
                <c:v>3.0042270948379968E-4</c:v>
              </c:pt>
              <c:pt idx="75">
                <c:v>2.0987533391123941E-3</c:v>
              </c:pt>
              <c:pt idx="76">
                <c:v>0</c:v>
              </c:pt>
              <c:pt idx="77">
                <c:v>0</c:v>
              </c:pt>
              <c:pt idx="78">
                <c:v>1.5987367691278594E-3</c:v>
              </c:pt>
              <c:pt idx="79">
                <c:v>0</c:v>
              </c:pt>
              <c:pt idx="80">
                <c:v>0</c:v>
              </c:pt>
              <c:pt idx="81">
                <c:v>0</c:v>
              </c:pt>
              <c:pt idx="82">
                <c:v>0</c:v>
              </c:pt>
              <c:pt idx="83">
                <c:v>0</c:v>
              </c:pt>
              <c:pt idx="84">
                <c:v>0</c:v>
              </c:pt>
              <c:pt idx="85">
                <c:v>0</c:v>
              </c:pt>
              <c:pt idx="86">
                <c:v>0</c:v>
              </c:pt>
              <c:pt idx="87">
                <c:v>-4.5036590465891016E-4</c:v>
              </c:pt>
              <c:pt idx="88">
                <c:v>9.9027335604300049E-4</c:v>
              </c:pt>
              <c:pt idx="89">
                <c:v>-1.8314011768762999E-3</c:v>
              </c:pt>
              <c:pt idx="90">
                <c:v>1.0530970198409373E-6</c:v>
              </c:pt>
              <c:pt idx="91">
                <c:v>-1.9532654165801012E-4</c:v>
              </c:pt>
              <c:pt idx="92">
                <c:v>0</c:v>
              </c:pt>
              <c:pt idx="93">
                <c:v>-1.108290123227555E-3</c:v>
              </c:pt>
              <c:pt idx="94">
                <c:v>1.4700961019821004E-3</c:v>
              </c:pt>
              <c:pt idx="95">
                <c:v>1.5765128411539403E-3</c:v>
              </c:pt>
              <c:pt idx="96">
                <c:v>0</c:v>
              </c:pt>
              <c:pt idx="97">
                <c:v>0</c:v>
              </c:pt>
              <c:pt idx="98">
                <c:v>0</c:v>
              </c:pt>
              <c:pt idx="99">
                <c:v>0</c:v>
              </c:pt>
              <c:pt idx="100">
                <c:v>0</c:v>
              </c:pt>
              <c:pt idx="101">
                <c:v>0</c:v>
              </c:pt>
              <c:pt idx="102">
                <c:v>0</c:v>
              </c:pt>
              <c:pt idx="103">
                <c:v>0</c:v>
              </c:pt>
              <c:pt idx="104">
                <c:v>0</c:v>
              </c:pt>
              <c:pt idx="105">
                <c:v>0</c:v>
              </c:pt>
              <c:pt idx="106">
                <c:v>0</c:v>
              </c:pt>
              <c:pt idx="107">
                <c:v>0</c:v>
              </c:pt>
              <c:pt idx="108">
                <c:v>0</c:v>
              </c:pt>
              <c:pt idx="109">
                <c:v>0</c:v>
              </c:pt>
              <c:pt idx="110">
                <c:v>0</c:v>
              </c:pt>
              <c:pt idx="111">
                <c:v>0</c:v>
              </c:pt>
              <c:pt idx="112">
                <c:v>0</c:v>
              </c:pt>
              <c:pt idx="113">
                <c:v>0</c:v>
              </c:pt>
              <c:pt idx="114">
                <c:v>-3.1087123362060973E-4</c:v>
              </c:pt>
              <c:pt idx="115">
                <c:v>-5.3091986857230038E-4</c:v>
              </c:pt>
              <c:pt idx="116">
                <c:v>1.3855393723185942E-4</c:v>
              </c:pt>
              <c:pt idx="117">
                <c:v>6.7049373454159018E-4</c:v>
              </c:pt>
              <c:pt idx="118">
                <c:v>2.0287992299430034E-4</c:v>
              </c:pt>
              <c:pt idx="119">
                <c:v>-6.6965313589710009E-4</c:v>
              </c:pt>
              <c:pt idx="120">
                <c:v>-5.7123927667679982E-4</c:v>
              </c:pt>
              <c:pt idx="121">
                <c:v>-7.5904201566300011E-4</c:v>
              </c:pt>
              <c:pt idx="122">
                <c:v>1.2379197900768031E-4</c:v>
              </c:pt>
              <c:pt idx="123">
                <c:v>1.3552481405523994E-3</c:v>
              </c:pt>
              <c:pt idx="124">
                <c:v>-1.0494934167632301E-3</c:v>
              </c:pt>
              <c:pt idx="125">
                <c:v>4.4458284337378987E-4</c:v>
              </c:pt>
              <c:pt idx="126">
                <c:v>8.6329166118799701E-4</c:v>
              </c:pt>
              <c:pt idx="127">
                <c:v>-1.0430565057380041E-4</c:v>
              </c:pt>
              <c:pt idx="128">
                <c:v>2.5898888172290989E-4</c:v>
              </c:pt>
              <c:pt idx="129">
                <c:v>3.4648672890874501E-3</c:v>
              </c:pt>
              <c:pt idx="130">
                <c:v>0</c:v>
              </c:pt>
              <c:pt idx="131">
                <c:v>0</c:v>
              </c:pt>
              <c:pt idx="132">
                <c:v>0</c:v>
              </c:pt>
              <c:pt idx="133">
                <c:v>0</c:v>
              </c:pt>
              <c:pt idx="134">
                <c:v>0</c:v>
              </c:pt>
            </c:numLit>
          </c:val>
          <c:smooth val="0"/>
          <c:extLst>
            <c:ext xmlns:c16="http://schemas.microsoft.com/office/drawing/2014/chart" uri="{C3380CC4-5D6E-409C-BE32-E72D297353CC}">
              <c16:uniqueId val="{00000000-3B39-4025-8414-27A35539FCD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88199296"/>
        <c:axId val="1284373136"/>
      </c:lineChart>
      <c:catAx>
        <c:axId val="1288199296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84373136"/>
        <c:crosses val="autoZero"/>
        <c:auto val="1"/>
        <c:lblAlgn val="ctr"/>
        <c:lblOffset val="100"/>
        <c:noMultiLvlLbl val="0"/>
      </c:catAx>
      <c:valAx>
        <c:axId val="12843731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8819929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CMF_VTEC_2!$BY$22:$BY$167</c:f>
              <c:numCache>
                <c:formatCode>0.00%</c:formatCode>
                <c:ptCount val="14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8.2786809888977012E-4</c:v>
                </c:pt>
                <c:pt idx="37">
                  <c:v>1.4155918239679504E-3</c:v>
                </c:pt>
                <c:pt idx="38">
                  <c:v>1.4155918239679504E-3</c:v>
                </c:pt>
                <c:pt idx="39">
                  <c:v>1.4155918239679504E-3</c:v>
                </c:pt>
                <c:pt idx="40">
                  <c:v>1.4767700580524702E-3</c:v>
                </c:pt>
                <c:pt idx="41">
                  <c:v>1.4767700580524702E-3</c:v>
                </c:pt>
                <c:pt idx="42">
                  <c:v>1.4767700580524702E-3</c:v>
                </c:pt>
                <c:pt idx="43">
                  <c:v>1.4767700580524702E-3</c:v>
                </c:pt>
                <c:pt idx="44">
                  <c:v>1.4767700580524702E-3</c:v>
                </c:pt>
                <c:pt idx="45">
                  <c:v>1.4767700580524702E-3</c:v>
                </c:pt>
                <c:pt idx="46">
                  <c:v>1.4767700580524702E-3</c:v>
                </c:pt>
                <c:pt idx="47">
                  <c:v>1.4767700580524702E-3</c:v>
                </c:pt>
                <c:pt idx="48">
                  <c:v>1.4767700580524702E-3</c:v>
                </c:pt>
                <c:pt idx="49">
                  <c:v>1.4767700580524702E-3</c:v>
                </c:pt>
                <c:pt idx="50">
                  <c:v>1.4767700580524702E-3</c:v>
                </c:pt>
                <c:pt idx="51">
                  <c:v>1.4767700580524702E-3</c:v>
                </c:pt>
                <c:pt idx="52">
                  <c:v>1.4767700580524702E-3</c:v>
                </c:pt>
                <c:pt idx="53">
                  <c:v>1.4767700580524702E-3</c:v>
                </c:pt>
                <c:pt idx="54">
                  <c:v>1.4767700580524702E-3</c:v>
                </c:pt>
                <c:pt idx="55">
                  <c:v>1.4767700580524702E-3</c:v>
                </c:pt>
                <c:pt idx="56">
                  <c:v>1.4767700580524702E-3</c:v>
                </c:pt>
                <c:pt idx="57">
                  <c:v>1.4767700580524702E-3</c:v>
                </c:pt>
                <c:pt idx="58">
                  <c:v>1.4767700580524702E-3</c:v>
                </c:pt>
                <c:pt idx="59">
                  <c:v>1.4767700580524702E-3</c:v>
                </c:pt>
                <c:pt idx="60">
                  <c:v>1.4767700580524702E-3</c:v>
                </c:pt>
                <c:pt idx="61">
                  <c:v>1.4767700580524702E-3</c:v>
                </c:pt>
                <c:pt idx="62">
                  <c:v>1.4767700580524702E-3</c:v>
                </c:pt>
                <c:pt idx="63">
                  <c:v>1.4767700580524702E-3</c:v>
                </c:pt>
                <c:pt idx="64">
                  <c:v>1.4767700580524702E-3</c:v>
                </c:pt>
                <c:pt idx="65">
                  <c:v>1.4767700580524702E-3</c:v>
                </c:pt>
                <c:pt idx="66">
                  <c:v>1.4767700580524702E-3</c:v>
                </c:pt>
                <c:pt idx="67">
                  <c:v>1.4767700580524702E-3</c:v>
                </c:pt>
                <c:pt idx="68">
                  <c:v>1.4993629733881801E-3</c:v>
                </c:pt>
                <c:pt idx="69">
                  <c:v>2.3936638765534E-3</c:v>
                </c:pt>
                <c:pt idx="70">
                  <c:v>2.7390044117753002E-3</c:v>
                </c:pt>
                <c:pt idx="71">
                  <c:v>2.7390044117753002E-3</c:v>
                </c:pt>
                <c:pt idx="72">
                  <c:v>2.7390044117753002E-3</c:v>
                </c:pt>
                <c:pt idx="73">
                  <c:v>2.7390044117753002E-3</c:v>
                </c:pt>
                <c:pt idx="74">
                  <c:v>2.7390044117753002E-3</c:v>
                </c:pt>
                <c:pt idx="75">
                  <c:v>4.08662166779079E-3</c:v>
                </c:pt>
                <c:pt idx="76">
                  <c:v>4.08662166779079E-3</c:v>
                </c:pt>
                <c:pt idx="77">
                  <c:v>4.08662166779079E-3</c:v>
                </c:pt>
                <c:pt idx="78">
                  <c:v>4.08662166779079E-3</c:v>
                </c:pt>
                <c:pt idx="79">
                  <c:v>4.08662166779079E-3</c:v>
                </c:pt>
                <c:pt idx="80">
                  <c:v>4.08662166779079E-3</c:v>
                </c:pt>
                <c:pt idx="81">
                  <c:v>4.08662166779079E-3</c:v>
                </c:pt>
                <c:pt idx="82">
                  <c:v>4.08662166779079E-3</c:v>
                </c:pt>
                <c:pt idx="83">
                  <c:v>4.08662166779079E-3</c:v>
                </c:pt>
                <c:pt idx="84">
                  <c:v>4.08662166779079E-3</c:v>
                </c:pt>
                <c:pt idx="85">
                  <c:v>4.08662166779079E-3</c:v>
                </c:pt>
                <c:pt idx="86">
                  <c:v>4.08662166779079E-3</c:v>
                </c:pt>
                <c:pt idx="87">
                  <c:v>4.08662166779079E-3</c:v>
                </c:pt>
                <c:pt idx="88">
                  <c:v>4.08662166779079E-3</c:v>
                </c:pt>
                <c:pt idx="89">
                  <c:v>4.08662166779079E-3</c:v>
                </c:pt>
                <c:pt idx="90">
                  <c:v>4.08662166779079E-3</c:v>
                </c:pt>
                <c:pt idx="91">
                  <c:v>4.08662166779079E-3</c:v>
                </c:pt>
                <c:pt idx="92">
                  <c:v>4.08662166779079E-3</c:v>
                </c:pt>
                <c:pt idx="93">
                  <c:v>4.08662166779079E-3</c:v>
                </c:pt>
                <c:pt idx="94">
                  <c:v>4.08662166779079E-3</c:v>
                </c:pt>
                <c:pt idx="95">
                  <c:v>4.08662166779079E-3</c:v>
                </c:pt>
                <c:pt idx="96">
                  <c:v>4.08662166779079E-3</c:v>
                </c:pt>
                <c:pt idx="97">
                  <c:v>4.08662166779079E-3</c:v>
                </c:pt>
                <c:pt idx="98">
                  <c:v>4.08662166779079E-3</c:v>
                </c:pt>
                <c:pt idx="99">
                  <c:v>4.08662166779079E-3</c:v>
                </c:pt>
                <c:pt idx="100">
                  <c:v>4.08662166779079E-3</c:v>
                </c:pt>
                <c:pt idx="101">
                  <c:v>4.08662166779079E-3</c:v>
                </c:pt>
                <c:pt idx="102">
                  <c:v>4.08662166779079E-3</c:v>
                </c:pt>
                <c:pt idx="103">
                  <c:v>4.08662166779079E-3</c:v>
                </c:pt>
                <c:pt idx="104">
                  <c:v>4.08662166779079E-3</c:v>
                </c:pt>
                <c:pt idx="105">
                  <c:v>4.08662166779079E-3</c:v>
                </c:pt>
                <c:pt idx="106">
                  <c:v>4.08662166779079E-3</c:v>
                </c:pt>
                <c:pt idx="107">
                  <c:v>4.08662166779079E-3</c:v>
                </c:pt>
                <c:pt idx="108">
                  <c:v>4.08662166779079E-3</c:v>
                </c:pt>
                <c:pt idx="109">
                  <c:v>4.08662166779079E-3</c:v>
                </c:pt>
                <c:pt idx="110">
                  <c:v>4.08662166779079E-3</c:v>
                </c:pt>
                <c:pt idx="111">
                  <c:v>4.08662166779079E-3</c:v>
                </c:pt>
                <c:pt idx="112">
                  <c:v>4.08662166779079E-3</c:v>
                </c:pt>
                <c:pt idx="113">
                  <c:v>4.08662166779079E-3</c:v>
                </c:pt>
                <c:pt idx="114">
                  <c:v>4.08662166779079E-3</c:v>
                </c:pt>
                <c:pt idx="115">
                  <c:v>4.08662166779079E-3</c:v>
                </c:pt>
                <c:pt idx="116">
                  <c:v>4.08662166779079E-3</c:v>
                </c:pt>
                <c:pt idx="117">
                  <c:v>4.08662166779079E-3</c:v>
                </c:pt>
                <c:pt idx="118">
                  <c:v>4.08662166779079E-3</c:v>
                </c:pt>
                <c:pt idx="119">
                  <c:v>4.08662166779079E-3</c:v>
                </c:pt>
                <c:pt idx="120">
                  <c:v>4.08662166779079E-3</c:v>
                </c:pt>
                <c:pt idx="121">
                  <c:v>4.08662166779079E-3</c:v>
                </c:pt>
                <c:pt idx="122">
                  <c:v>4.08662166779079E-3</c:v>
                </c:pt>
                <c:pt idx="123">
                  <c:v>4.9734998234110877E-3</c:v>
                </c:pt>
                <c:pt idx="124">
                  <c:v>5.0509132737786445E-3</c:v>
                </c:pt>
                <c:pt idx="125">
                  <c:v>5.0509132737786445E-3</c:v>
                </c:pt>
                <c:pt idx="126">
                  <c:v>5.4985223634795143E-3</c:v>
                </c:pt>
                <c:pt idx="127">
                  <c:v>6.0759098060099341E-3</c:v>
                </c:pt>
                <c:pt idx="128">
                  <c:v>6.0264027889868422E-3</c:v>
                </c:pt>
                <c:pt idx="129">
                  <c:v>6.1939789820319325E-3</c:v>
                </c:pt>
                <c:pt idx="130">
                  <c:v>5.8934288188285744E-3</c:v>
                </c:pt>
                <c:pt idx="131">
                  <c:v>5.8914223764260634E-3</c:v>
                </c:pt>
                <c:pt idx="132">
                  <c:v>5.8400208001636702E-3</c:v>
                </c:pt>
                <c:pt idx="133">
                  <c:v>5.8360902305943504E-3</c:v>
                </c:pt>
                <c:pt idx="134">
                  <c:v>5.7411278686601104E-3</c:v>
                </c:pt>
                <c:pt idx="135">
                  <c:v>5.9510541228190699E-3</c:v>
                </c:pt>
                <c:pt idx="136">
                  <c:v>6.3628253440393499E-3</c:v>
                </c:pt>
                <c:pt idx="137">
                  <c:v>6.3628253440393499E-3</c:v>
                </c:pt>
                <c:pt idx="138">
                  <c:v>6.3628253440393499E-3</c:v>
                </c:pt>
                <c:pt idx="139">
                  <c:v>6.3628253440393499E-3</c:v>
                </c:pt>
                <c:pt idx="140">
                  <c:v>6.3628253440393499E-3</c:v>
                </c:pt>
                <c:pt idx="141">
                  <c:v>6.3628253440393499E-3</c:v>
                </c:pt>
                <c:pt idx="142">
                  <c:v>6.3628253440393499E-3</c:v>
                </c:pt>
                <c:pt idx="143">
                  <c:v>6.3628253440393499E-3</c:v>
                </c:pt>
                <c:pt idx="144">
                  <c:v>6.3628253440393499E-3</c:v>
                </c:pt>
                <c:pt idx="145">
                  <c:v>6.7727181833892904E-3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D36-4A94-9BDE-72A3996F8BD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88199296"/>
        <c:axId val="1284373136"/>
      </c:lineChart>
      <c:catAx>
        <c:axId val="1288199296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84373136"/>
        <c:crosses val="autoZero"/>
        <c:auto val="1"/>
        <c:lblAlgn val="ctr"/>
        <c:lblOffset val="100"/>
        <c:noMultiLvlLbl val="0"/>
      </c:catAx>
      <c:valAx>
        <c:axId val="12843731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8819929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CMF_VTEC_2!$BJ$22:$BJ$167</c:f>
              <c:numCache>
                <c:formatCode>0.00%</c:formatCode>
                <c:ptCount val="14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8.2786809888977012E-4</c:v>
                </c:pt>
                <c:pt idx="37">
                  <c:v>1.4155918239679504E-3</c:v>
                </c:pt>
                <c:pt idx="38">
                  <c:v>1.4155918239679504E-3</c:v>
                </c:pt>
                <c:pt idx="39">
                  <c:v>1.4155918239679504E-3</c:v>
                </c:pt>
                <c:pt idx="40">
                  <c:v>1.4155918239679504E-3</c:v>
                </c:pt>
                <c:pt idx="41">
                  <c:v>1.4155918239679504E-3</c:v>
                </c:pt>
                <c:pt idx="42">
                  <c:v>1.4155918239679504E-3</c:v>
                </c:pt>
                <c:pt idx="43">
                  <c:v>1.4155918239679504E-3</c:v>
                </c:pt>
                <c:pt idx="44">
                  <c:v>1.4155918239679504E-3</c:v>
                </c:pt>
                <c:pt idx="45">
                  <c:v>1.4155918239679504E-3</c:v>
                </c:pt>
                <c:pt idx="46">
                  <c:v>1.4155918239679504E-3</c:v>
                </c:pt>
                <c:pt idx="47">
                  <c:v>1.4155918239679504E-3</c:v>
                </c:pt>
                <c:pt idx="48">
                  <c:v>1.4155918239679504E-3</c:v>
                </c:pt>
                <c:pt idx="49">
                  <c:v>1.4155918239679504E-3</c:v>
                </c:pt>
                <c:pt idx="50">
                  <c:v>1.4155918239679504E-3</c:v>
                </c:pt>
                <c:pt idx="51">
                  <c:v>1.4155918239679504E-3</c:v>
                </c:pt>
                <c:pt idx="52">
                  <c:v>1.4155918239679504E-3</c:v>
                </c:pt>
                <c:pt idx="53">
                  <c:v>1.4155918239679504E-3</c:v>
                </c:pt>
                <c:pt idx="54">
                  <c:v>1.4155918239679504E-3</c:v>
                </c:pt>
                <c:pt idx="55">
                  <c:v>1.4155918239679504E-3</c:v>
                </c:pt>
                <c:pt idx="56">
                  <c:v>1.4155918239679504E-3</c:v>
                </c:pt>
                <c:pt idx="57">
                  <c:v>1.4155918239679504E-3</c:v>
                </c:pt>
                <c:pt idx="58">
                  <c:v>1.4155918239679504E-3</c:v>
                </c:pt>
                <c:pt idx="59">
                  <c:v>1.4155918239679504E-3</c:v>
                </c:pt>
                <c:pt idx="60">
                  <c:v>1.4155918239679504E-3</c:v>
                </c:pt>
                <c:pt idx="61">
                  <c:v>1.4155918239679504E-3</c:v>
                </c:pt>
                <c:pt idx="62">
                  <c:v>1.4155918239679504E-3</c:v>
                </c:pt>
                <c:pt idx="63">
                  <c:v>1.4155918239679504E-3</c:v>
                </c:pt>
                <c:pt idx="64">
                  <c:v>1.4155918239679504E-3</c:v>
                </c:pt>
                <c:pt idx="65">
                  <c:v>1.4155918239679504E-3</c:v>
                </c:pt>
                <c:pt idx="66">
                  <c:v>1.4155918239679504E-3</c:v>
                </c:pt>
                <c:pt idx="67">
                  <c:v>1.4155918239679504E-3</c:v>
                </c:pt>
                <c:pt idx="68">
                  <c:v>1.4155918239679504E-3</c:v>
                </c:pt>
                <c:pt idx="69">
                  <c:v>1.4155918239679504E-3</c:v>
                </c:pt>
                <c:pt idx="70">
                  <c:v>1.4155918239679504E-3</c:v>
                </c:pt>
                <c:pt idx="71">
                  <c:v>1.4155918239679504E-3</c:v>
                </c:pt>
                <c:pt idx="72">
                  <c:v>1.4155918239679504E-3</c:v>
                </c:pt>
                <c:pt idx="73">
                  <c:v>1.4155918239679504E-3</c:v>
                </c:pt>
                <c:pt idx="74">
                  <c:v>1.4155918239679504E-3</c:v>
                </c:pt>
                <c:pt idx="75">
                  <c:v>1.4155918239679504E-3</c:v>
                </c:pt>
                <c:pt idx="76">
                  <c:v>1.4155918239679504E-3</c:v>
                </c:pt>
                <c:pt idx="77">
                  <c:v>1.4155918239679504E-3</c:v>
                </c:pt>
                <c:pt idx="78">
                  <c:v>1.4155918239679504E-3</c:v>
                </c:pt>
                <c:pt idx="79">
                  <c:v>1.4155918239679504E-3</c:v>
                </c:pt>
                <c:pt idx="80">
                  <c:v>1.4155918239679504E-3</c:v>
                </c:pt>
                <c:pt idx="81">
                  <c:v>1.4155918239679504E-3</c:v>
                </c:pt>
                <c:pt idx="82">
                  <c:v>1.4155918239679504E-3</c:v>
                </c:pt>
                <c:pt idx="83">
                  <c:v>1.4155918239679504E-3</c:v>
                </c:pt>
                <c:pt idx="84">
                  <c:v>1.4155918239679504E-3</c:v>
                </c:pt>
                <c:pt idx="85">
                  <c:v>1.4155918239679504E-3</c:v>
                </c:pt>
                <c:pt idx="86">
                  <c:v>1.4155918239679504E-3</c:v>
                </c:pt>
                <c:pt idx="87">
                  <c:v>1.4155918239679504E-3</c:v>
                </c:pt>
                <c:pt idx="88">
                  <c:v>1.4155918239679504E-3</c:v>
                </c:pt>
                <c:pt idx="89">
                  <c:v>1.4155918239679504E-3</c:v>
                </c:pt>
                <c:pt idx="90">
                  <c:v>1.4155918239679504E-3</c:v>
                </c:pt>
                <c:pt idx="91">
                  <c:v>1.4155918239679504E-3</c:v>
                </c:pt>
                <c:pt idx="92">
                  <c:v>1.4155918239679504E-3</c:v>
                </c:pt>
                <c:pt idx="93">
                  <c:v>1.4155918239679504E-3</c:v>
                </c:pt>
                <c:pt idx="94">
                  <c:v>1.4155918239679504E-3</c:v>
                </c:pt>
                <c:pt idx="95">
                  <c:v>1.4155918239679504E-3</c:v>
                </c:pt>
                <c:pt idx="96">
                  <c:v>1.4155918239679504E-3</c:v>
                </c:pt>
                <c:pt idx="97">
                  <c:v>1.4155918239679504E-3</c:v>
                </c:pt>
                <c:pt idx="98">
                  <c:v>1.4155918239679504E-3</c:v>
                </c:pt>
                <c:pt idx="99">
                  <c:v>1.4155918239679504E-3</c:v>
                </c:pt>
                <c:pt idx="100">
                  <c:v>1.4155918239679504E-3</c:v>
                </c:pt>
                <c:pt idx="101">
                  <c:v>1.4155918239679504E-3</c:v>
                </c:pt>
                <c:pt idx="102">
                  <c:v>1.4155918239679504E-3</c:v>
                </c:pt>
                <c:pt idx="103">
                  <c:v>1.4155918239679504E-3</c:v>
                </c:pt>
                <c:pt idx="104">
                  <c:v>1.4155918239679504E-3</c:v>
                </c:pt>
                <c:pt idx="105">
                  <c:v>1.4155918239679504E-3</c:v>
                </c:pt>
                <c:pt idx="106">
                  <c:v>1.4155918239679504E-3</c:v>
                </c:pt>
                <c:pt idx="107">
                  <c:v>1.4155918239679504E-3</c:v>
                </c:pt>
                <c:pt idx="108">
                  <c:v>1.4155918239679504E-3</c:v>
                </c:pt>
                <c:pt idx="109">
                  <c:v>1.4155918239679504E-3</c:v>
                </c:pt>
                <c:pt idx="110">
                  <c:v>1.4155918239679504E-3</c:v>
                </c:pt>
                <c:pt idx="111">
                  <c:v>1.4155918239679504E-3</c:v>
                </c:pt>
                <c:pt idx="112">
                  <c:v>1.4155918239679504E-3</c:v>
                </c:pt>
                <c:pt idx="113">
                  <c:v>1.4155918239679504E-3</c:v>
                </c:pt>
                <c:pt idx="114">
                  <c:v>1.4155918239679504E-3</c:v>
                </c:pt>
                <c:pt idx="115">
                  <c:v>1.4155918239679504E-3</c:v>
                </c:pt>
                <c:pt idx="116">
                  <c:v>1.4155918239679504E-3</c:v>
                </c:pt>
                <c:pt idx="117">
                  <c:v>1.4155918239679504E-3</c:v>
                </c:pt>
                <c:pt idx="118">
                  <c:v>1.4155918239679504E-3</c:v>
                </c:pt>
                <c:pt idx="119">
                  <c:v>1.4155918239679504E-3</c:v>
                </c:pt>
                <c:pt idx="120">
                  <c:v>1.4155918239679504E-3</c:v>
                </c:pt>
                <c:pt idx="121">
                  <c:v>1.4155918239679504E-3</c:v>
                </c:pt>
                <c:pt idx="122">
                  <c:v>1.4155918239679504E-3</c:v>
                </c:pt>
                <c:pt idx="123">
                  <c:v>2.3024699795882483E-3</c:v>
                </c:pt>
                <c:pt idx="124">
                  <c:v>2.3798834299558055E-3</c:v>
                </c:pt>
                <c:pt idx="125">
                  <c:v>2.3798834299558055E-3</c:v>
                </c:pt>
                <c:pt idx="126">
                  <c:v>2.8274925196566754E-3</c:v>
                </c:pt>
                <c:pt idx="127">
                  <c:v>3.4048799621870952E-3</c:v>
                </c:pt>
                <c:pt idx="128">
                  <c:v>3.3553729451640032E-3</c:v>
                </c:pt>
                <c:pt idx="129">
                  <c:v>3.5229491382090931E-3</c:v>
                </c:pt>
                <c:pt idx="130">
                  <c:v>3.222398975005735E-3</c:v>
                </c:pt>
                <c:pt idx="131">
                  <c:v>3.220392532603224E-3</c:v>
                </c:pt>
                <c:pt idx="132">
                  <c:v>3.1689909563408312E-3</c:v>
                </c:pt>
                <c:pt idx="133">
                  <c:v>3.1650603867715114E-3</c:v>
                </c:pt>
                <c:pt idx="134">
                  <c:v>3.0700980248372714E-3</c:v>
                </c:pt>
                <c:pt idx="135">
                  <c:v>3.2800242789962314E-3</c:v>
                </c:pt>
                <c:pt idx="136">
                  <c:v>3.6917955002165113E-3</c:v>
                </c:pt>
                <c:pt idx="137">
                  <c:v>3.6917955002165113E-3</c:v>
                </c:pt>
                <c:pt idx="138">
                  <c:v>3.6917955002165113E-3</c:v>
                </c:pt>
                <c:pt idx="139">
                  <c:v>3.6917955002165113E-3</c:v>
                </c:pt>
                <c:pt idx="140">
                  <c:v>3.6917955002165113E-3</c:v>
                </c:pt>
                <c:pt idx="141">
                  <c:v>3.6917955002165113E-3</c:v>
                </c:pt>
                <c:pt idx="142">
                  <c:v>3.6917955002165113E-3</c:v>
                </c:pt>
                <c:pt idx="143">
                  <c:v>3.6917955002165113E-3</c:v>
                </c:pt>
                <c:pt idx="144">
                  <c:v>3.6917955002165113E-3</c:v>
                </c:pt>
                <c:pt idx="145">
                  <c:v>4.1016883395664514E-3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8A3-41C8-800B-ED47AF4BB0B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88199296"/>
        <c:axId val="1284373136"/>
      </c:lineChart>
      <c:catAx>
        <c:axId val="1288199296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84373136"/>
        <c:crosses val="autoZero"/>
        <c:auto val="1"/>
        <c:lblAlgn val="ctr"/>
        <c:lblOffset val="100"/>
        <c:noMultiLvlLbl val="0"/>
      </c:catAx>
      <c:valAx>
        <c:axId val="1284373136"/>
        <c:scaling>
          <c:orientation val="minMax"/>
        </c:scaling>
        <c:delete val="1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crossAx val="128819929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CMF_VTEC_2!$BV$22:$BV$167</c:f>
              <c:numCache>
                <c:formatCode>0.00%</c:formatCode>
                <c:ptCount val="14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6.1178234084519837E-5</c:v>
                </c:pt>
                <c:pt idx="41">
                  <c:v>6.1178234084519837E-5</c:v>
                </c:pt>
                <c:pt idx="42">
                  <c:v>6.1178234084519837E-5</c:v>
                </c:pt>
                <c:pt idx="43">
                  <c:v>6.1178234084519837E-5</c:v>
                </c:pt>
                <c:pt idx="44">
                  <c:v>6.1178234084519837E-5</c:v>
                </c:pt>
                <c:pt idx="45">
                  <c:v>6.1178234084519837E-5</c:v>
                </c:pt>
                <c:pt idx="46">
                  <c:v>6.1178234084519837E-5</c:v>
                </c:pt>
                <c:pt idx="47">
                  <c:v>6.1178234084519837E-5</c:v>
                </c:pt>
                <c:pt idx="48">
                  <c:v>6.1178234084519837E-5</c:v>
                </c:pt>
                <c:pt idx="49">
                  <c:v>6.1178234084519837E-5</c:v>
                </c:pt>
                <c:pt idx="50">
                  <c:v>6.1178234084519837E-5</c:v>
                </c:pt>
                <c:pt idx="51">
                  <c:v>6.1178234084519837E-5</c:v>
                </c:pt>
                <c:pt idx="52">
                  <c:v>6.1178234084519837E-5</c:v>
                </c:pt>
                <c:pt idx="53">
                  <c:v>6.1178234084519837E-5</c:v>
                </c:pt>
                <c:pt idx="54">
                  <c:v>6.1178234084519837E-5</c:v>
                </c:pt>
                <c:pt idx="55">
                  <c:v>6.1178234084519837E-5</c:v>
                </c:pt>
                <c:pt idx="56">
                  <c:v>6.1178234084519837E-5</c:v>
                </c:pt>
                <c:pt idx="57">
                  <c:v>6.1178234084519837E-5</c:v>
                </c:pt>
                <c:pt idx="58">
                  <c:v>6.1178234084519837E-5</c:v>
                </c:pt>
                <c:pt idx="59">
                  <c:v>6.1178234084519837E-5</c:v>
                </c:pt>
                <c:pt idx="60">
                  <c:v>6.1178234084519837E-5</c:v>
                </c:pt>
                <c:pt idx="61">
                  <c:v>6.1178234084519837E-5</c:v>
                </c:pt>
                <c:pt idx="62">
                  <c:v>6.1178234084519837E-5</c:v>
                </c:pt>
                <c:pt idx="63">
                  <c:v>6.1178234084519837E-5</c:v>
                </c:pt>
                <c:pt idx="64">
                  <c:v>6.1178234084519837E-5</c:v>
                </c:pt>
                <c:pt idx="65">
                  <c:v>6.1178234084519837E-5</c:v>
                </c:pt>
                <c:pt idx="66">
                  <c:v>6.1178234084519837E-5</c:v>
                </c:pt>
                <c:pt idx="67">
                  <c:v>6.1178234084519837E-5</c:v>
                </c:pt>
                <c:pt idx="68">
                  <c:v>8.3771149420229832E-5</c:v>
                </c:pt>
                <c:pt idx="69">
                  <c:v>9.7807205258544985E-4</c:v>
                </c:pt>
                <c:pt idx="70">
                  <c:v>1.3234125878073498E-3</c:v>
                </c:pt>
                <c:pt idx="71">
                  <c:v>1.3234125878073498E-3</c:v>
                </c:pt>
                <c:pt idx="72">
                  <c:v>1.3234125878073498E-3</c:v>
                </c:pt>
                <c:pt idx="73">
                  <c:v>1.3234125878073498E-3</c:v>
                </c:pt>
                <c:pt idx="74">
                  <c:v>1.3234125878073498E-3</c:v>
                </c:pt>
                <c:pt idx="75">
                  <c:v>2.6710298438228398E-3</c:v>
                </c:pt>
                <c:pt idx="76">
                  <c:v>2.6710298438228398E-3</c:v>
                </c:pt>
                <c:pt idx="77">
                  <c:v>2.6710298438228398E-3</c:v>
                </c:pt>
                <c:pt idx="78">
                  <c:v>2.6710298438228398E-3</c:v>
                </c:pt>
                <c:pt idx="79">
                  <c:v>2.6710298438228398E-3</c:v>
                </c:pt>
                <c:pt idx="80">
                  <c:v>2.6710298438228398E-3</c:v>
                </c:pt>
                <c:pt idx="81">
                  <c:v>2.6710298438228398E-3</c:v>
                </c:pt>
                <c:pt idx="82">
                  <c:v>2.6710298438228398E-3</c:v>
                </c:pt>
                <c:pt idx="83">
                  <c:v>2.6710298438228398E-3</c:v>
                </c:pt>
                <c:pt idx="84">
                  <c:v>2.6710298438228398E-3</c:v>
                </c:pt>
                <c:pt idx="85">
                  <c:v>2.6710298438228398E-3</c:v>
                </c:pt>
                <c:pt idx="86">
                  <c:v>2.6710298438228398E-3</c:v>
                </c:pt>
                <c:pt idx="87">
                  <c:v>2.6710298438228398E-3</c:v>
                </c:pt>
                <c:pt idx="88">
                  <c:v>2.6710298438228398E-3</c:v>
                </c:pt>
                <c:pt idx="89">
                  <c:v>2.6710298438228398E-3</c:v>
                </c:pt>
                <c:pt idx="90">
                  <c:v>2.6710298438228398E-3</c:v>
                </c:pt>
                <c:pt idx="91">
                  <c:v>2.6710298438228398E-3</c:v>
                </c:pt>
                <c:pt idx="92">
                  <c:v>2.6710298438228398E-3</c:v>
                </c:pt>
                <c:pt idx="93">
                  <c:v>2.6710298438228398E-3</c:v>
                </c:pt>
                <c:pt idx="94">
                  <c:v>2.6710298438228398E-3</c:v>
                </c:pt>
                <c:pt idx="95">
                  <c:v>2.6710298438228398E-3</c:v>
                </c:pt>
                <c:pt idx="96">
                  <c:v>2.6710298438228398E-3</c:v>
                </c:pt>
                <c:pt idx="97">
                  <c:v>2.6710298438228398E-3</c:v>
                </c:pt>
                <c:pt idx="98">
                  <c:v>2.6710298438228398E-3</c:v>
                </c:pt>
                <c:pt idx="99">
                  <c:v>2.6710298438228398E-3</c:v>
                </c:pt>
                <c:pt idx="100">
                  <c:v>2.6710298438228398E-3</c:v>
                </c:pt>
                <c:pt idx="101">
                  <c:v>2.6710298438228398E-3</c:v>
                </c:pt>
                <c:pt idx="102">
                  <c:v>2.6710298438228398E-3</c:v>
                </c:pt>
                <c:pt idx="103">
                  <c:v>2.6710298438228398E-3</c:v>
                </c:pt>
                <c:pt idx="104">
                  <c:v>2.6710298438228398E-3</c:v>
                </c:pt>
                <c:pt idx="105">
                  <c:v>2.6710298438228398E-3</c:v>
                </c:pt>
                <c:pt idx="106">
                  <c:v>2.6710298438228398E-3</c:v>
                </c:pt>
                <c:pt idx="107">
                  <c:v>2.6710298438228398E-3</c:v>
                </c:pt>
                <c:pt idx="108">
                  <c:v>2.6710298438228398E-3</c:v>
                </c:pt>
                <c:pt idx="109">
                  <c:v>2.6710298438228398E-3</c:v>
                </c:pt>
                <c:pt idx="110">
                  <c:v>2.6710298438228398E-3</c:v>
                </c:pt>
                <c:pt idx="111">
                  <c:v>2.6710298438228398E-3</c:v>
                </c:pt>
                <c:pt idx="112">
                  <c:v>2.6710298438228398E-3</c:v>
                </c:pt>
                <c:pt idx="113">
                  <c:v>2.6710298438228398E-3</c:v>
                </c:pt>
                <c:pt idx="114">
                  <c:v>2.6710298438228398E-3</c:v>
                </c:pt>
                <c:pt idx="115">
                  <c:v>2.6710298438228398E-3</c:v>
                </c:pt>
                <c:pt idx="116">
                  <c:v>2.6710298438228398E-3</c:v>
                </c:pt>
                <c:pt idx="117">
                  <c:v>2.6710298438228398E-3</c:v>
                </c:pt>
                <c:pt idx="118">
                  <c:v>2.6710298438228398E-3</c:v>
                </c:pt>
                <c:pt idx="119">
                  <c:v>2.6710298438228398E-3</c:v>
                </c:pt>
                <c:pt idx="120">
                  <c:v>2.6710298438228398E-3</c:v>
                </c:pt>
                <c:pt idx="121">
                  <c:v>2.6710298438228398E-3</c:v>
                </c:pt>
                <c:pt idx="122">
                  <c:v>2.6710298438228398E-3</c:v>
                </c:pt>
                <c:pt idx="123">
                  <c:v>2.6710298438228398E-3</c:v>
                </c:pt>
                <c:pt idx="124">
                  <c:v>2.6710298438228398E-3</c:v>
                </c:pt>
                <c:pt idx="125">
                  <c:v>2.6710298438228398E-3</c:v>
                </c:pt>
                <c:pt idx="126">
                  <c:v>2.6710298438228398E-3</c:v>
                </c:pt>
                <c:pt idx="127">
                  <c:v>2.6710298438228398E-3</c:v>
                </c:pt>
                <c:pt idx="128">
                  <c:v>2.6710298438228398E-3</c:v>
                </c:pt>
                <c:pt idx="129">
                  <c:v>2.6710298438228398E-3</c:v>
                </c:pt>
                <c:pt idx="130">
                  <c:v>2.6710298438228398E-3</c:v>
                </c:pt>
                <c:pt idx="131">
                  <c:v>2.6710298438228398E-3</c:v>
                </c:pt>
                <c:pt idx="132">
                  <c:v>2.6710298438228398E-3</c:v>
                </c:pt>
                <c:pt idx="133">
                  <c:v>2.6710298438228398E-3</c:v>
                </c:pt>
                <c:pt idx="134">
                  <c:v>2.6710298438228398E-3</c:v>
                </c:pt>
                <c:pt idx="135">
                  <c:v>2.6710298438228398E-3</c:v>
                </c:pt>
                <c:pt idx="136">
                  <c:v>2.6710298438228398E-3</c:v>
                </c:pt>
                <c:pt idx="137">
                  <c:v>2.6710298438228398E-3</c:v>
                </c:pt>
                <c:pt idx="138">
                  <c:v>2.6710298438228398E-3</c:v>
                </c:pt>
                <c:pt idx="139">
                  <c:v>2.6710298438228398E-3</c:v>
                </c:pt>
                <c:pt idx="140">
                  <c:v>2.6710298438228398E-3</c:v>
                </c:pt>
                <c:pt idx="141">
                  <c:v>2.6710298438228398E-3</c:v>
                </c:pt>
                <c:pt idx="142">
                  <c:v>2.6710298438228398E-3</c:v>
                </c:pt>
                <c:pt idx="143">
                  <c:v>2.6710298438228398E-3</c:v>
                </c:pt>
                <c:pt idx="144">
                  <c:v>2.6710298438228398E-3</c:v>
                </c:pt>
                <c:pt idx="145">
                  <c:v>2.6710298438228398E-3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7D8-4E8F-AADC-963238C5896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88199296"/>
        <c:axId val="1284373136"/>
      </c:lineChart>
      <c:catAx>
        <c:axId val="1288199296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84373136"/>
        <c:crosses val="autoZero"/>
        <c:auto val="1"/>
        <c:lblAlgn val="ctr"/>
        <c:lblOffset val="100"/>
        <c:noMultiLvlLbl val="0"/>
      </c:catAx>
      <c:valAx>
        <c:axId val="1284373136"/>
        <c:scaling>
          <c:orientation val="minMax"/>
        </c:scaling>
        <c:delete val="1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crossAx val="128819929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34</xdr:col>
      <xdr:colOff>0</xdr:colOff>
      <xdr:row>1</xdr:row>
      <xdr:rowOff>0</xdr:rowOff>
    </xdr:from>
    <xdr:to>
      <xdr:col>41</xdr:col>
      <xdr:colOff>304800</xdr:colOff>
      <xdr:row>16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BA03913-E5D7-41F1-9A3D-AE9AADF8B76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42</xdr:col>
      <xdr:colOff>0</xdr:colOff>
      <xdr:row>18</xdr:row>
      <xdr:rowOff>0</xdr:rowOff>
    </xdr:from>
    <xdr:to>
      <xdr:col>49</xdr:col>
      <xdr:colOff>304800</xdr:colOff>
      <xdr:row>33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B3B0D1CD-F55F-41F2-8D9E-1424370DCAA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42</xdr:col>
      <xdr:colOff>0</xdr:colOff>
      <xdr:row>1</xdr:row>
      <xdr:rowOff>0</xdr:rowOff>
    </xdr:from>
    <xdr:to>
      <xdr:col>49</xdr:col>
      <xdr:colOff>304800</xdr:colOff>
      <xdr:row>16</xdr:row>
      <xdr:rowOff>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1784453A-4D7C-405A-868F-A16231CA02B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34</xdr:col>
      <xdr:colOff>0</xdr:colOff>
      <xdr:row>18</xdr:row>
      <xdr:rowOff>0</xdr:rowOff>
    </xdr:from>
    <xdr:to>
      <xdr:col>41</xdr:col>
      <xdr:colOff>304800</xdr:colOff>
      <xdr:row>33</xdr:row>
      <xdr:rowOff>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D7E0BE4E-16E3-4314-809B-9A9DEEC4C56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52</xdr:col>
      <xdr:colOff>0</xdr:colOff>
      <xdr:row>1</xdr:row>
      <xdr:rowOff>0</xdr:rowOff>
    </xdr:from>
    <xdr:to>
      <xdr:col>60</xdr:col>
      <xdr:colOff>447675</xdr:colOff>
      <xdr:row>15</xdr:row>
      <xdr:rowOff>76200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01CB403F-F3C2-4950-B761-E906FEF5E70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78</xdr:col>
      <xdr:colOff>0</xdr:colOff>
      <xdr:row>1</xdr:row>
      <xdr:rowOff>0</xdr:rowOff>
    </xdr:from>
    <xdr:to>
      <xdr:col>87</xdr:col>
      <xdr:colOff>478155</xdr:colOff>
      <xdr:row>15</xdr:row>
      <xdr:rowOff>76200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79060B4C-C3D6-4B54-A248-FB74B2CAC26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52</xdr:col>
      <xdr:colOff>0</xdr:colOff>
      <xdr:row>1</xdr:row>
      <xdr:rowOff>0</xdr:rowOff>
    </xdr:from>
    <xdr:to>
      <xdr:col>60</xdr:col>
      <xdr:colOff>447675</xdr:colOff>
      <xdr:row>15</xdr:row>
      <xdr:rowOff>76200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876C7B10-9AD0-4930-B4AA-1418C1390CB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63</xdr:col>
      <xdr:colOff>0</xdr:colOff>
      <xdr:row>1</xdr:row>
      <xdr:rowOff>0</xdr:rowOff>
    </xdr:from>
    <xdr:to>
      <xdr:col>71</xdr:col>
      <xdr:colOff>386715</xdr:colOff>
      <xdr:row>15</xdr:row>
      <xdr:rowOff>76200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970B704E-898F-4607-AC9F-C02D5E7689D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icha\git-projects\backtesting\backtests\FALN_ANGL_2.xlsx" TargetMode="External"/><Relationship Id="rId1" Type="http://schemas.openxmlformats.org/officeDocument/2006/relationships/externalLinkPath" Target="FALN_ANGL_2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ALN_ANGL_2"/>
    </sheetNames>
    <sheetDataSet>
      <sheetData sheetId="0">
        <row r="22">
          <cell r="BJ22">
            <v>0</v>
          </cell>
          <cell r="BV22">
            <v>0</v>
          </cell>
          <cell r="BY22">
            <v>0</v>
          </cell>
        </row>
        <row r="23">
          <cell r="BJ23">
            <v>0</v>
          </cell>
          <cell r="BV23">
            <v>0</v>
          </cell>
          <cell r="BY23">
            <v>0</v>
          </cell>
        </row>
        <row r="24">
          <cell r="BJ24">
            <v>0</v>
          </cell>
          <cell r="BV24">
            <v>0</v>
          </cell>
          <cell r="BY24">
            <v>0</v>
          </cell>
        </row>
        <row r="25">
          <cell r="BJ25">
            <v>0</v>
          </cell>
          <cell r="BV25">
            <v>0</v>
          </cell>
          <cell r="BY25">
            <v>0</v>
          </cell>
        </row>
        <row r="26">
          <cell r="BJ26">
            <v>0</v>
          </cell>
          <cell r="BV26">
            <v>0</v>
          </cell>
          <cell r="BY26">
            <v>0</v>
          </cell>
        </row>
        <row r="27">
          <cell r="BJ27">
            <v>0</v>
          </cell>
          <cell r="BV27">
            <v>0</v>
          </cell>
          <cell r="BY27">
            <v>0</v>
          </cell>
        </row>
        <row r="28">
          <cell r="BJ28">
            <v>0</v>
          </cell>
          <cell r="BV28">
            <v>0</v>
          </cell>
          <cell r="BY28">
            <v>0</v>
          </cell>
        </row>
        <row r="29">
          <cell r="BJ29">
            <v>0</v>
          </cell>
          <cell r="BV29">
            <v>0</v>
          </cell>
          <cell r="BY29">
            <v>0</v>
          </cell>
        </row>
        <row r="30">
          <cell r="BJ30">
            <v>-2.6040087919132005E-4</v>
          </cell>
          <cell r="BV30">
            <v>0</v>
          </cell>
          <cell r="BY30">
            <v>-2.6040087919132005E-4</v>
          </cell>
        </row>
        <row r="31">
          <cell r="BJ31">
            <v>-5.2016789432217012E-4</v>
          </cell>
          <cell r="BV31">
            <v>0</v>
          </cell>
          <cell r="BY31">
            <v>-5.2016789432217012E-4</v>
          </cell>
        </row>
        <row r="32">
          <cell r="BJ32">
            <v>-2.3471958188806712E-4</v>
          </cell>
          <cell r="BV32">
            <v>0</v>
          </cell>
          <cell r="BY32">
            <v>-2.3471958188806712E-4</v>
          </cell>
        </row>
        <row r="33">
          <cell r="BJ33">
            <v>5.9193914594596277E-4</v>
          </cell>
          <cell r="BV33">
            <v>0</v>
          </cell>
          <cell r="BY33">
            <v>5.9193914594596277E-4</v>
          </cell>
        </row>
        <row r="34">
          <cell r="BJ34">
            <v>-2.9914338157780124E-5</v>
          </cell>
          <cell r="BV34">
            <v>0</v>
          </cell>
          <cell r="BY34">
            <v>-2.9914338157780124E-5</v>
          </cell>
        </row>
        <row r="35">
          <cell r="BJ35">
            <v>-3.9164340703231313E-4</v>
          </cell>
          <cell r="BV35">
            <v>0</v>
          </cell>
          <cell r="BY35">
            <v>-3.9164340703231313E-4</v>
          </cell>
        </row>
        <row r="36">
          <cell r="BJ36">
            <v>-1.5778340041225315E-4</v>
          </cell>
          <cell r="BV36">
            <v>0</v>
          </cell>
          <cell r="BY36">
            <v>-1.5778340041225315E-4</v>
          </cell>
        </row>
        <row r="37">
          <cell r="BJ37">
            <v>-5.2016789432194417E-4</v>
          </cell>
          <cell r="BV37">
            <v>0</v>
          </cell>
          <cell r="BY37">
            <v>-5.2016789432194417E-4</v>
          </cell>
        </row>
        <row r="38">
          <cell r="BJ38">
            <v>2.2994819176723187E-4</v>
          </cell>
          <cell r="BV38">
            <v>0</v>
          </cell>
          <cell r="BY38">
            <v>2.2994819176723187E-4</v>
          </cell>
        </row>
        <row r="39">
          <cell r="BJ39">
            <v>9.5379911009030891E-4</v>
          </cell>
          <cell r="BV39">
            <v>0</v>
          </cell>
          <cell r="BY39">
            <v>9.5379911009030891E-4</v>
          </cell>
        </row>
        <row r="40">
          <cell r="BJ40">
            <v>1.1143531353690786E-3</v>
          </cell>
          <cell r="BV40">
            <v>0</v>
          </cell>
          <cell r="BY40">
            <v>1.1143531353690786E-3</v>
          </cell>
        </row>
        <row r="41">
          <cell r="BJ41">
            <v>1.1143531353690786E-3</v>
          </cell>
          <cell r="BV41">
            <v>0</v>
          </cell>
          <cell r="BY41">
            <v>1.1143531353690786E-3</v>
          </cell>
        </row>
        <row r="42">
          <cell r="BJ42">
            <v>2.1065230957730383E-3</v>
          </cell>
          <cell r="BV42">
            <v>0</v>
          </cell>
          <cell r="BY42">
            <v>2.1065230957730383E-3</v>
          </cell>
        </row>
        <row r="43">
          <cell r="BJ43">
            <v>2.7073408026283582E-3</v>
          </cell>
          <cell r="BV43">
            <v>0</v>
          </cell>
          <cell r="BY43">
            <v>2.7073408026283582E-3</v>
          </cell>
        </row>
        <row r="44">
          <cell r="BJ44">
            <v>3.7107729497802386E-3</v>
          </cell>
          <cell r="BV44">
            <v>0</v>
          </cell>
          <cell r="BY44">
            <v>3.7107729497802386E-3</v>
          </cell>
        </row>
        <row r="45">
          <cell r="BJ45">
            <v>3.7107729497802386E-3</v>
          </cell>
          <cell r="BV45">
            <v>0</v>
          </cell>
          <cell r="BY45">
            <v>3.7107729497802386E-3</v>
          </cell>
        </row>
        <row r="46">
          <cell r="BJ46">
            <v>3.7107729497802386E-3</v>
          </cell>
          <cell r="BV46">
            <v>0</v>
          </cell>
          <cell r="BY46">
            <v>3.7107729497802386E-3</v>
          </cell>
        </row>
        <row r="47">
          <cell r="BJ47">
            <v>3.7107729497802386E-3</v>
          </cell>
          <cell r="BV47">
            <v>0</v>
          </cell>
          <cell r="BY47">
            <v>3.7107729497802386E-3</v>
          </cell>
        </row>
        <row r="48">
          <cell r="BJ48">
            <v>3.7107729497802386E-3</v>
          </cell>
          <cell r="BV48">
            <v>0</v>
          </cell>
          <cell r="BY48">
            <v>3.7107729497802386E-3</v>
          </cell>
        </row>
        <row r="49">
          <cell r="BJ49">
            <v>3.7107729497802386E-3</v>
          </cell>
          <cell r="BV49">
            <v>0</v>
          </cell>
          <cell r="BY49">
            <v>3.7107729497802386E-3</v>
          </cell>
        </row>
        <row r="50">
          <cell r="BJ50">
            <v>3.7107729497802386E-3</v>
          </cell>
          <cell r="BV50">
            <v>0</v>
          </cell>
          <cell r="BY50">
            <v>3.7107729497802386E-3</v>
          </cell>
        </row>
        <row r="51">
          <cell r="BJ51">
            <v>3.7107729497802386E-3</v>
          </cell>
          <cell r="BV51">
            <v>0</v>
          </cell>
          <cell r="BY51">
            <v>3.7107729497802386E-3</v>
          </cell>
        </row>
        <row r="52">
          <cell r="BJ52">
            <v>3.7107729497802386E-3</v>
          </cell>
          <cell r="BV52">
            <v>0</v>
          </cell>
          <cell r="BY52">
            <v>3.7107729497802386E-3</v>
          </cell>
        </row>
        <row r="53">
          <cell r="BJ53">
            <v>3.7107729497802386E-3</v>
          </cell>
          <cell r="BV53">
            <v>0</v>
          </cell>
          <cell r="BY53">
            <v>3.7107729497802386E-3</v>
          </cell>
        </row>
        <row r="54">
          <cell r="BJ54">
            <v>3.7107729497802386E-3</v>
          </cell>
          <cell r="BV54">
            <v>0</v>
          </cell>
          <cell r="BY54">
            <v>3.7107729497802386E-3</v>
          </cell>
        </row>
        <row r="55">
          <cell r="BJ55">
            <v>3.7107729497802386E-3</v>
          </cell>
          <cell r="BV55">
            <v>0</v>
          </cell>
          <cell r="BY55">
            <v>3.7107729497802386E-3</v>
          </cell>
        </row>
        <row r="56">
          <cell r="BJ56">
            <v>3.7107729497802386E-3</v>
          </cell>
          <cell r="BV56">
            <v>0</v>
          </cell>
          <cell r="BY56">
            <v>3.7107729497802386E-3</v>
          </cell>
        </row>
        <row r="57">
          <cell r="BJ57">
            <v>3.7107729497802386E-3</v>
          </cell>
          <cell r="BV57">
            <v>0</v>
          </cell>
          <cell r="BY57">
            <v>3.7107729497802386E-3</v>
          </cell>
        </row>
        <row r="58">
          <cell r="BJ58">
            <v>3.7107729497802386E-3</v>
          </cell>
          <cell r="BV58">
            <v>3.8710795014635941E-4</v>
          </cell>
          <cell r="BY58">
            <v>4.0978808999265984E-3</v>
          </cell>
        </row>
        <row r="59">
          <cell r="BJ59">
            <v>3.7107729497802386E-3</v>
          </cell>
          <cell r="BV59">
            <v>2.0768065326453884E-4</v>
          </cell>
          <cell r="BY59">
            <v>3.9184536030447779E-3</v>
          </cell>
        </row>
        <row r="60">
          <cell r="BJ60">
            <v>3.7107729497802386E-3</v>
          </cell>
          <cell r="BV60">
            <v>1.6042761898009991E-3</v>
          </cell>
          <cell r="BY60">
            <v>5.3150491395812377E-3</v>
          </cell>
        </row>
        <row r="61">
          <cell r="BJ61">
            <v>3.7107729497802386E-3</v>
          </cell>
          <cell r="BV61">
            <v>1.6042761898009991E-3</v>
          </cell>
          <cell r="BY61">
            <v>5.3150491395812377E-3</v>
          </cell>
        </row>
        <row r="62">
          <cell r="BJ62">
            <v>3.7107729497802386E-3</v>
          </cell>
          <cell r="BV62">
            <v>1.6042761898009991E-3</v>
          </cell>
          <cell r="BY62">
            <v>5.3150491395812377E-3</v>
          </cell>
        </row>
        <row r="63">
          <cell r="BJ63">
            <v>3.7107729497802386E-3</v>
          </cell>
          <cell r="BV63">
            <v>1.6042761898009991E-3</v>
          </cell>
          <cell r="BY63">
            <v>5.3150491395812377E-3</v>
          </cell>
        </row>
        <row r="64">
          <cell r="BJ64">
            <v>3.7107729497802386E-3</v>
          </cell>
          <cell r="BV64">
            <v>1.6042761898009991E-3</v>
          </cell>
          <cell r="BY64">
            <v>5.3150491395812377E-3</v>
          </cell>
        </row>
        <row r="65">
          <cell r="BJ65">
            <v>3.7107729497802386E-3</v>
          </cell>
          <cell r="BV65">
            <v>1.6042761898009991E-3</v>
          </cell>
          <cell r="BY65">
            <v>5.3150491395812377E-3</v>
          </cell>
        </row>
        <row r="66">
          <cell r="BJ66">
            <v>3.4707697760538486E-3</v>
          </cell>
          <cell r="BV66">
            <v>1.6042761898009991E-3</v>
          </cell>
          <cell r="BY66">
            <v>5.0750459658548477E-3</v>
          </cell>
        </row>
        <row r="67">
          <cell r="BJ67">
            <v>3.9966226014583883E-3</v>
          </cell>
          <cell r="BV67">
            <v>1.6042761898009991E-3</v>
          </cell>
          <cell r="BY67">
            <v>5.6008987912593879E-3</v>
          </cell>
        </row>
        <row r="68">
          <cell r="BJ68">
            <v>4.1269171292597478E-3</v>
          </cell>
          <cell r="BV68">
            <v>1.6042761898009991E-3</v>
          </cell>
          <cell r="BY68">
            <v>5.7311933190607473E-3</v>
          </cell>
        </row>
        <row r="69">
          <cell r="BJ69">
            <v>2.8616555278629975E-3</v>
          </cell>
          <cell r="BV69">
            <v>1.6042761898009991E-3</v>
          </cell>
          <cell r="BY69">
            <v>4.465931717663997E-3</v>
          </cell>
        </row>
        <row r="70">
          <cell r="BJ70">
            <v>3.1260506080115374E-3</v>
          </cell>
          <cell r="BV70">
            <v>1.6042761898009991E-3</v>
          </cell>
          <cell r="BY70">
            <v>4.7303267978125365E-3</v>
          </cell>
        </row>
        <row r="71">
          <cell r="BJ71">
            <v>3.7816288779940472E-3</v>
          </cell>
          <cell r="BV71">
            <v>1.6042761898009991E-3</v>
          </cell>
          <cell r="BY71">
            <v>5.3859050677950463E-3</v>
          </cell>
        </row>
        <row r="72">
          <cell r="BJ72">
            <v>3.3624049916606124E-3</v>
          </cell>
          <cell r="BV72">
            <v>1.6042761898009991E-3</v>
          </cell>
          <cell r="BY72">
            <v>4.9666811814616111E-3</v>
          </cell>
        </row>
        <row r="73">
          <cell r="BJ73">
            <v>2.5217096695886324E-3</v>
          </cell>
          <cell r="BV73">
            <v>1.6042761898009991E-3</v>
          </cell>
          <cell r="BY73">
            <v>4.1259858593896311E-3</v>
          </cell>
        </row>
        <row r="74">
          <cell r="BJ74">
            <v>2.838635700054222E-3</v>
          </cell>
          <cell r="BV74">
            <v>1.6042761898009991E-3</v>
          </cell>
          <cell r="BY74">
            <v>4.4429118898552207E-3</v>
          </cell>
        </row>
        <row r="75">
          <cell r="BJ75">
            <v>3.1001978465147921E-3</v>
          </cell>
          <cell r="BV75">
            <v>1.6042761898009991E-3</v>
          </cell>
          <cell r="BY75">
            <v>4.7044740363157908E-3</v>
          </cell>
        </row>
        <row r="76">
          <cell r="BJ76">
            <v>2.8896949543297822E-3</v>
          </cell>
          <cell r="BV76">
            <v>1.6042761898009991E-3</v>
          </cell>
          <cell r="BY76">
            <v>4.4939711441307813E-3</v>
          </cell>
        </row>
        <row r="77">
          <cell r="BJ77">
            <v>3.0213990207517524E-3</v>
          </cell>
          <cell r="BV77">
            <v>1.6042761898009991E-3</v>
          </cell>
          <cell r="BY77">
            <v>4.6256752105527515E-3</v>
          </cell>
        </row>
        <row r="78">
          <cell r="BJ78">
            <v>2.5482232077986325E-3</v>
          </cell>
          <cell r="BV78">
            <v>1.6042761898009991E-3</v>
          </cell>
          <cell r="BY78">
            <v>4.1524993975996316E-3</v>
          </cell>
        </row>
        <row r="79">
          <cell r="BJ79">
            <v>3.2837877867525423E-3</v>
          </cell>
          <cell r="BV79">
            <v>1.6042761898009991E-3</v>
          </cell>
          <cell r="BY79">
            <v>4.8880639765535418E-3</v>
          </cell>
        </row>
        <row r="80">
          <cell r="BJ80">
            <v>3.6774565247412612E-3</v>
          </cell>
          <cell r="BV80">
            <v>1.6042761898009991E-3</v>
          </cell>
          <cell r="BY80">
            <v>5.2817327145422612E-3</v>
          </cell>
        </row>
        <row r="81">
          <cell r="BJ81">
            <v>3.9668479226001412E-3</v>
          </cell>
          <cell r="BV81">
            <v>1.6042761898009991E-3</v>
          </cell>
          <cell r="BY81">
            <v>5.5711241124011416E-3</v>
          </cell>
        </row>
        <row r="82">
          <cell r="BJ82">
            <v>3.9668479226001412E-3</v>
          </cell>
          <cell r="BV82">
            <v>1.6042761898009991E-3</v>
          </cell>
          <cell r="BY82">
            <v>5.5711241124011416E-3</v>
          </cell>
        </row>
        <row r="83">
          <cell r="BJ83">
            <v>3.9668479226001412E-3</v>
          </cell>
          <cell r="BV83">
            <v>1.6042761898009991E-3</v>
          </cell>
          <cell r="BY83">
            <v>5.5711241124011416E-3</v>
          </cell>
        </row>
        <row r="84">
          <cell r="BJ84">
            <v>3.9668479226001412E-3</v>
          </cell>
          <cell r="BV84">
            <v>1.6042761898009991E-3</v>
          </cell>
          <cell r="BY84">
            <v>5.5711241124011416E-3</v>
          </cell>
        </row>
        <row r="85">
          <cell r="BJ85">
            <v>3.9668479226001412E-3</v>
          </cell>
          <cell r="BV85">
            <v>1.6042761898009991E-3</v>
          </cell>
          <cell r="BY85">
            <v>5.5711241124011416E-3</v>
          </cell>
        </row>
        <row r="86">
          <cell r="BJ86">
            <v>3.9668479226001412E-3</v>
          </cell>
          <cell r="BV86">
            <v>1.6042761898009991E-3</v>
          </cell>
          <cell r="BY86">
            <v>5.5711241124011416E-3</v>
          </cell>
        </row>
        <row r="87">
          <cell r="BJ87">
            <v>3.9668479226001412E-3</v>
          </cell>
          <cell r="BV87">
            <v>1.6042761898009991E-3</v>
          </cell>
          <cell r="BY87">
            <v>5.5711241124011416E-3</v>
          </cell>
        </row>
        <row r="88">
          <cell r="BJ88">
            <v>3.9668479226001412E-3</v>
          </cell>
          <cell r="BV88">
            <v>1.6042761898009991E-3</v>
          </cell>
          <cell r="BY88">
            <v>5.5711241124011416E-3</v>
          </cell>
        </row>
        <row r="89">
          <cell r="BJ89">
            <v>3.9668479226001412E-3</v>
          </cell>
          <cell r="BV89">
            <v>1.6042761898009991E-3</v>
          </cell>
          <cell r="BY89">
            <v>5.5711241124011416E-3</v>
          </cell>
        </row>
        <row r="90">
          <cell r="BJ90">
            <v>3.9668479226001412E-3</v>
          </cell>
          <cell r="BV90">
            <v>1.6042761898009991E-3</v>
          </cell>
          <cell r="BY90">
            <v>5.5711241124011416E-3</v>
          </cell>
        </row>
        <row r="91">
          <cell r="BJ91">
            <v>3.9668479226001412E-3</v>
          </cell>
          <cell r="BV91">
            <v>1.6042761898009991E-3</v>
          </cell>
          <cell r="BY91">
            <v>5.5711241124011416E-3</v>
          </cell>
        </row>
        <row r="92">
          <cell r="BJ92">
            <v>3.9668479226001412E-3</v>
          </cell>
          <cell r="BV92">
            <v>1.6042761898009991E-3</v>
          </cell>
          <cell r="BY92">
            <v>5.5711241124011416E-3</v>
          </cell>
        </row>
        <row r="93">
          <cell r="BJ93">
            <v>3.9668479226001412E-3</v>
          </cell>
          <cell r="BV93">
            <v>1.6042761898009991E-3</v>
          </cell>
          <cell r="BY93">
            <v>5.5711241124011416E-3</v>
          </cell>
        </row>
        <row r="94">
          <cell r="BJ94">
            <v>3.9668479226001412E-3</v>
          </cell>
          <cell r="BV94">
            <v>1.6042761898009991E-3</v>
          </cell>
          <cell r="BY94">
            <v>5.5711241124011416E-3</v>
          </cell>
        </row>
        <row r="95">
          <cell r="BJ95">
            <v>3.9668479226001412E-3</v>
          </cell>
          <cell r="BV95">
            <v>1.6042761898009991E-3</v>
          </cell>
          <cell r="BY95">
            <v>5.5711241124011416E-3</v>
          </cell>
        </row>
        <row r="96">
          <cell r="BJ96">
            <v>3.9668479226001412E-3</v>
          </cell>
          <cell r="BV96">
            <v>1.6042761898009991E-3</v>
          </cell>
          <cell r="BY96">
            <v>5.5711241124011416E-3</v>
          </cell>
        </row>
        <row r="97">
          <cell r="BJ97">
            <v>3.9668479226001412E-3</v>
          </cell>
          <cell r="BV97">
            <v>1.6042761898009991E-3</v>
          </cell>
          <cell r="BY97">
            <v>5.5711241124011416E-3</v>
          </cell>
        </row>
        <row r="98">
          <cell r="BJ98">
            <v>3.9668479226001412E-3</v>
          </cell>
          <cell r="BV98">
            <v>2.5117649296086588E-3</v>
          </cell>
          <cell r="BY98">
            <v>6.4786128522088017E-3</v>
          </cell>
        </row>
        <row r="99">
          <cell r="BJ99">
            <v>3.9668479226001412E-3</v>
          </cell>
          <cell r="BV99">
            <v>2.0642312272304191E-3</v>
          </cell>
          <cell r="BY99">
            <v>6.031079149830562E-3</v>
          </cell>
        </row>
        <row r="100">
          <cell r="BJ100">
            <v>3.9668479226001412E-3</v>
          </cell>
          <cell r="BV100">
            <v>3.3369207376346193E-3</v>
          </cell>
          <cell r="BY100">
            <v>7.3037686602347622E-3</v>
          </cell>
        </row>
        <row r="101">
          <cell r="BJ101">
            <v>3.9668479226001412E-3</v>
          </cell>
          <cell r="BV101">
            <v>3.3369207376346193E-3</v>
          </cell>
          <cell r="BY101">
            <v>7.3037686602347622E-3</v>
          </cell>
        </row>
        <row r="102">
          <cell r="BJ102">
            <v>3.9668479226001412E-3</v>
          </cell>
          <cell r="BV102">
            <v>3.3369207376346193E-3</v>
          </cell>
          <cell r="BY102">
            <v>7.3037686602347622E-3</v>
          </cell>
        </row>
        <row r="103">
          <cell r="BJ103">
            <v>3.9668479226001412E-3</v>
          </cell>
          <cell r="BV103">
            <v>3.3369207376346193E-3</v>
          </cell>
          <cell r="BY103">
            <v>7.3037686602347622E-3</v>
          </cell>
        </row>
        <row r="104">
          <cell r="BJ104">
            <v>3.9668479226001412E-3</v>
          </cell>
          <cell r="BV104">
            <v>3.3369207376346193E-3</v>
          </cell>
          <cell r="BY104">
            <v>7.3037686602347622E-3</v>
          </cell>
        </row>
        <row r="105">
          <cell r="BJ105">
            <v>3.9668479226001412E-3</v>
          </cell>
          <cell r="BV105">
            <v>3.3369207376346193E-3</v>
          </cell>
          <cell r="BY105">
            <v>7.3037686602347622E-3</v>
          </cell>
        </row>
        <row r="106">
          <cell r="BJ106">
            <v>3.9668479226001412E-3</v>
          </cell>
          <cell r="BV106">
            <v>3.3369207376346193E-3</v>
          </cell>
          <cell r="BY106">
            <v>7.3037686602347622E-3</v>
          </cell>
        </row>
        <row r="107">
          <cell r="BJ107">
            <v>3.9668479226001412E-3</v>
          </cell>
          <cell r="BV107">
            <v>3.3369207376346193E-3</v>
          </cell>
          <cell r="BY107">
            <v>7.3037686602347622E-3</v>
          </cell>
        </row>
        <row r="108">
          <cell r="BJ108">
            <v>3.9668479226001412E-3</v>
          </cell>
          <cell r="BV108">
            <v>3.3369207376346193E-3</v>
          </cell>
          <cell r="BY108">
            <v>7.3037686602347622E-3</v>
          </cell>
        </row>
        <row r="109">
          <cell r="BJ109">
            <v>3.9668479226001412E-3</v>
          </cell>
          <cell r="BV109">
            <v>3.3369207376346193E-3</v>
          </cell>
          <cell r="BY109">
            <v>7.3037686602347622E-3</v>
          </cell>
        </row>
        <row r="110">
          <cell r="BJ110">
            <v>3.9668479226001412E-3</v>
          </cell>
          <cell r="BV110">
            <v>3.3369207376346193E-3</v>
          </cell>
          <cell r="BY110">
            <v>7.3037686602347622E-3</v>
          </cell>
        </row>
        <row r="111">
          <cell r="BJ111">
            <v>3.9668479226001412E-3</v>
          </cell>
          <cell r="BV111">
            <v>3.3369207376346193E-3</v>
          </cell>
          <cell r="BY111">
            <v>7.3037686602347622E-3</v>
          </cell>
        </row>
        <row r="112">
          <cell r="BJ112">
            <v>3.9668479226001412E-3</v>
          </cell>
          <cell r="BV112">
            <v>3.3369207376346193E-3</v>
          </cell>
          <cell r="BY112">
            <v>7.3037686602347622E-3</v>
          </cell>
        </row>
        <row r="113">
          <cell r="BJ113">
            <v>3.9668479226001412E-3</v>
          </cell>
          <cell r="BV113">
            <v>3.3369207376346193E-3</v>
          </cell>
          <cell r="BY113">
            <v>7.3037686602347622E-3</v>
          </cell>
        </row>
        <row r="114">
          <cell r="BJ114">
            <v>3.9668479226001412E-3</v>
          </cell>
          <cell r="BV114">
            <v>3.3369207376346193E-3</v>
          </cell>
          <cell r="BY114">
            <v>7.3037686602347622E-3</v>
          </cell>
        </row>
        <row r="115">
          <cell r="BJ115">
            <v>3.9668479226001412E-3</v>
          </cell>
          <cell r="BV115">
            <v>3.3369207376346193E-3</v>
          </cell>
          <cell r="BY115">
            <v>7.3037686602347622E-3</v>
          </cell>
        </row>
        <row r="116">
          <cell r="BJ116">
            <v>3.9668479226001412E-3</v>
          </cell>
          <cell r="BV116">
            <v>3.3369207376346193E-3</v>
          </cell>
          <cell r="BY116">
            <v>7.3037686602347622E-3</v>
          </cell>
        </row>
        <row r="117">
          <cell r="BJ117">
            <v>3.9668479226001412E-3</v>
          </cell>
          <cell r="BV117">
            <v>3.3369207376346193E-3</v>
          </cell>
          <cell r="BY117">
            <v>7.3037686602347622E-3</v>
          </cell>
        </row>
        <row r="118">
          <cell r="BJ118">
            <v>3.9668479226001412E-3</v>
          </cell>
          <cell r="BV118">
            <v>3.3369207376346193E-3</v>
          </cell>
          <cell r="BY118">
            <v>7.3037686602347622E-3</v>
          </cell>
        </row>
        <row r="119">
          <cell r="BJ119">
            <v>3.9668479226001412E-3</v>
          </cell>
          <cell r="BV119">
            <v>3.3369207376346193E-3</v>
          </cell>
          <cell r="BY119">
            <v>7.3037686602347622E-3</v>
          </cell>
        </row>
        <row r="120">
          <cell r="BJ120">
            <v>3.9668479226001412E-3</v>
          </cell>
          <cell r="BV120">
            <v>3.3369207376346193E-3</v>
          </cell>
          <cell r="BY120">
            <v>7.3037686602347622E-3</v>
          </cell>
        </row>
        <row r="121">
          <cell r="BJ121">
            <v>3.9668479226001412E-3</v>
          </cell>
          <cell r="BV121">
            <v>3.3369207376346193E-3</v>
          </cell>
          <cell r="BY121">
            <v>7.3037686602347622E-3</v>
          </cell>
        </row>
        <row r="122">
          <cell r="BJ122">
            <v>3.9668479226001412E-3</v>
          </cell>
          <cell r="BV122">
            <v>3.3369207376346193E-3</v>
          </cell>
          <cell r="BY122">
            <v>7.3037686602347622E-3</v>
          </cell>
        </row>
        <row r="123">
          <cell r="BJ123">
            <v>3.9668479226001412E-3</v>
          </cell>
          <cell r="BV123">
            <v>3.3369207376346193E-3</v>
          </cell>
          <cell r="BY123">
            <v>7.3037686602347622E-3</v>
          </cell>
        </row>
        <row r="124">
          <cell r="BJ124">
            <v>3.9668479226001412E-3</v>
          </cell>
          <cell r="BV124">
            <v>3.3369207376346193E-3</v>
          </cell>
          <cell r="BY124">
            <v>7.3037686602347622E-3</v>
          </cell>
        </row>
        <row r="125">
          <cell r="BJ125">
            <v>3.9668479226001412E-3</v>
          </cell>
          <cell r="BV125">
            <v>3.3369207376346193E-3</v>
          </cell>
          <cell r="BY125">
            <v>7.3037686602347622E-3</v>
          </cell>
        </row>
        <row r="126">
          <cell r="BJ126">
            <v>3.9668479226001412E-3</v>
          </cell>
          <cell r="BV126">
            <v>3.3369207376346193E-3</v>
          </cell>
          <cell r="BY126">
            <v>7.3037686602347622E-3</v>
          </cell>
        </row>
        <row r="127">
          <cell r="BJ127">
            <v>3.9668479226001412E-3</v>
          </cell>
          <cell r="BV127">
            <v>3.3369207376346193E-3</v>
          </cell>
          <cell r="BY127">
            <v>7.3037686602347622E-3</v>
          </cell>
        </row>
        <row r="128">
          <cell r="BJ128">
            <v>3.9668479226001412E-3</v>
          </cell>
          <cell r="BV128">
            <v>3.3369207376346193E-3</v>
          </cell>
          <cell r="BY128">
            <v>7.3037686602347622E-3</v>
          </cell>
        </row>
        <row r="129">
          <cell r="BJ129">
            <v>3.9668479226001412E-3</v>
          </cell>
          <cell r="BV129">
            <v>3.3369207376346193E-3</v>
          </cell>
          <cell r="BY129">
            <v>7.3037686602347622E-3</v>
          </cell>
        </row>
        <row r="130">
          <cell r="BJ130">
            <v>3.9668479226001412E-3</v>
          </cell>
          <cell r="BV130">
            <v>3.3369207376346193E-3</v>
          </cell>
          <cell r="BY130">
            <v>7.3037686602347622E-3</v>
          </cell>
        </row>
        <row r="131">
          <cell r="BJ131">
            <v>3.9668479226001412E-3</v>
          </cell>
          <cell r="BV131">
            <v>3.3369207376346193E-3</v>
          </cell>
          <cell r="BY131">
            <v>7.3037686602347622E-3</v>
          </cell>
        </row>
        <row r="132">
          <cell r="BJ132">
            <v>3.9668479226001412E-3</v>
          </cell>
          <cell r="BV132">
            <v>3.3369207376346193E-3</v>
          </cell>
          <cell r="BY132">
            <v>7.3037686602347622E-3</v>
          </cell>
        </row>
        <row r="133">
          <cell r="BJ133">
            <v>3.9668479226001412E-3</v>
          </cell>
          <cell r="BV133">
            <v>3.3369207376346193E-3</v>
          </cell>
          <cell r="BY133">
            <v>7.3037686602347622E-3</v>
          </cell>
        </row>
        <row r="134">
          <cell r="BJ134">
            <v>3.9668479226001412E-3</v>
          </cell>
          <cell r="BV134">
            <v>3.3369207376346193E-3</v>
          </cell>
          <cell r="BY134">
            <v>7.3037686602347622E-3</v>
          </cell>
        </row>
        <row r="135">
          <cell r="BJ135">
            <v>3.9668479226001412E-3</v>
          </cell>
          <cell r="BV135">
            <v>3.3369207376346193E-3</v>
          </cell>
          <cell r="BY135">
            <v>7.3037686602347622E-3</v>
          </cell>
        </row>
        <row r="136">
          <cell r="BJ136">
            <v>3.9668479226001412E-3</v>
          </cell>
          <cell r="BV136">
            <v>3.3369207376346193E-3</v>
          </cell>
          <cell r="BY136">
            <v>7.3037686602347622E-3</v>
          </cell>
        </row>
        <row r="137">
          <cell r="BJ137">
            <v>3.9668479226001412E-3</v>
          </cell>
          <cell r="BV137">
            <v>3.3369207376346193E-3</v>
          </cell>
          <cell r="BY137">
            <v>7.3037686602347622E-3</v>
          </cell>
        </row>
        <row r="138">
          <cell r="BJ138">
            <v>3.9668479226001412E-3</v>
          </cell>
          <cell r="BV138">
            <v>3.3369207376346193E-3</v>
          </cell>
          <cell r="BY138">
            <v>7.3037686602347622E-3</v>
          </cell>
        </row>
        <row r="139">
          <cell r="BJ139">
            <v>3.9668479226001412E-3</v>
          </cell>
          <cell r="BV139">
            <v>3.3369207376346193E-3</v>
          </cell>
          <cell r="BY139">
            <v>7.3037686602347622E-3</v>
          </cell>
        </row>
        <row r="140">
          <cell r="BJ140">
            <v>3.9668479226001412E-3</v>
          </cell>
          <cell r="BV140">
            <v>3.3369207376346193E-3</v>
          </cell>
          <cell r="BY140">
            <v>7.3037686602347622E-3</v>
          </cell>
        </row>
        <row r="141">
          <cell r="BJ141">
            <v>3.9668479226001412E-3</v>
          </cell>
          <cell r="BV141">
            <v>3.3369207376346193E-3</v>
          </cell>
          <cell r="BY141">
            <v>7.3037686602347622E-3</v>
          </cell>
        </row>
        <row r="142">
          <cell r="BJ142">
            <v>3.9668479226001412E-3</v>
          </cell>
          <cell r="BV142">
            <v>3.3369207376346193E-3</v>
          </cell>
          <cell r="BY142">
            <v>7.3037686602347622E-3</v>
          </cell>
        </row>
        <row r="143">
          <cell r="BJ143">
            <v>5.1577921844129515E-3</v>
          </cell>
          <cell r="BV143">
            <v>3.3369207376346193E-3</v>
          </cell>
          <cell r="BY143">
            <v>8.4947129220475717E-3</v>
          </cell>
        </row>
        <row r="144">
          <cell r="BJ144">
            <v>4.5827707983140519E-3</v>
          </cell>
          <cell r="BV144">
            <v>3.3369207376346193E-3</v>
          </cell>
          <cell r="BY144">
            <v>7.9196915359486721E-3</v>
          </cell>
        </row>
        <row r="145">
          <cell r="BJ145">
            <v>4.8120704869333824E-3</v>
          </cell>
          <cell r="BV145">
            <v>3.3369207376346193E-3</v>
          </cell>
          <cell r="BY145">
            <v>8.1489912245680026E-3</v>
          </cell>
        </row>
        <row r="146">
          <cell r="BJ146">
            <v>4.0439996059340941E-3</v>
          </cell>
          <cell r="BV146">
            <v>3.3369207376346193E-3</v>
          </cell>
          <cell r="BY146">
            <v>7.3809203435687143E-3</v>
          </cell>
        </row>
        <row r="147">
          <cell r="BJ147">
            <v>4.0439996059340941E-3</v>
          </cell>
          <cell r="BV147">
            <v>3.3369207376346193E-3</v>
          </cell>
          <cell r="BY147">
            <v>7.3809203435687143E-3</v>
          </cell>
        </row>
        <row r="148">
          <cell r="BJ148">
            <v>3.9786089309936943E-3</v>
          </cell>
          <cell r="BV148">
            <v>3.3369207376346193E-3</v>
          </cell>
          <cell r="BY148">
            <v>7.3155296686283145E-3</v>
          </cell>
        </row>
        <row r="149">
          <cell r="BJ149">
            <v>3.9786089309936943E-3</v>
          </cell>
          <cell r="BV149">
            <v>3.3369207376346193E-3</v>
          </cell>
          <cell r="BY149">
            <v>7.3155296686283145E-3</v>
          </cell>
        </row>
        <row r="150">
          <cell r="BJ150">
            <v>2.8142727371461554E-3</v>
          </cell>
          <cell r="BV150">
            <v>3.3369207376346193E-3</v>
          </cell>
          <cell r="BY150">
            <v>6.1511934747807756E-3</v>
          </cell>
        </row>
        <row r="151">
          <cell r="BJ151">
            <v>2.6247495065141852E-3</v>
          </cell>
          <cell r="BV151">
            <v>3.3369207376346193E-3</v>
          </cell>
          <cell r="BY151">
            <v>5.9616702441488059E-3</v>
          </cell>
        </row>
        <row r="152">
          <cell r="BJ152">
            <v>4.694429445040265E-3</v>
          </cell>
          <cell r="BV152">
            <v>3.3369207376346193E-3</v>
          </cell>
          <cell r="BY152">
            <v>8.0313501826748852E-3</v>
          </cell>
        </row>
        <row r="153">
          <cell r="BJ153">
            <v>5.064868419456036E-3</v>
          </cell>
          <cell r="BV153">
            <v>3.3369207376346193E-3</v>
          </cell>
          <cell r="BY153">
            <v>8.4017891570906562E-3</v>
          </cell>
        </row>
        <row r="154">
          <cell r="BJ154">
            <v>5.064868419456036E-3</v>
          </cell>
          <cell r="BV154">
            <v>3.3369207376346193E-3</v>
          </cell>
          <cell r="BY154">
            <v>8.4017891570906562E-3</v>
          </cell>
        </row>
        <row r="155">
          <cell r="BJ155">
            <v>6.6943044890263358E-3</v>
          </cell>
          <cell r="BV155">
            <v>3.3369207376346193E-3</v>
          </cell>
          <cell r="BY155">
            <v>1.0031225226660955E-2</v>
          </cell>
        </row>
        <row r="156">
          <cell r="BJ156">
            <v>6.6943044890263358E-3</v>
          </cell>
          <cell r="BV156">
            <v>3.3369207376346193E-3</v>
          </cell>
          <cell r="BY156">
            <v>1.0031225226660955E-2</v>
          </cell>
        </row>
        <row r="157">
          <cell r="BJ157">
            <v>6.6943044890263358E-3</v>
          </cell>
          <cell r="BV157">
            <v>3.3369207376346193E-3</v>
          </cell>
          <cell r="BY157">
            <v>1.0031225226660955E-2</v>
          </cell>
        </row>
        <row r="158">
          <cell r="BJ158">
            <v>6.6943044890263358E-3</v>
          </cell>
          <cell r="BV158">
            <v>3.3369207376346193E-3</v>
          </cell>
          <cell r="BY158">
            <v>1.0031225226660955E-2</v>
          </cell>
        </row>
        <row r="159">
          <cell r="BJ159">
            <v>7.2687856984058755E-3</v>
          </cell>
          <cell r="BV159">
            <v>3.3369207376346193E-3</v>
          </cell>
          <cell r="BY159">
            <v>1.0605706436040495E-2</v>
          </cell>
        </row>
        <row r="160">
          <cell r="BJ160">
            <v>7.4353197137455255E-3</v>
          </cell>
          <cell r="BV160">
            <v>3.3369207376346193E-3</v>
          </cell>
          <cell r="BY160">
            <v>1.0772240451380144E-2</v>
          </cell>
        </row>
        <row r="161">
          <cell r="BJ161">
            <v>7.0904326608355397E-3</v>
          </cell>
          <cell r="BV161">
            <v>3.3369207376346193E-3</v>
          </cell>
          <cell r="BY161">
            <v>1.0427353398470158E-2</v>
          </cell>
        </row>
        <row r="162">
          <cell r="BJ162">
            <v>7.1669788947980101E-3</v>
          </cell>
          <cell r="BV162">
            <v>3.3369207376346193E-3</v>
          </cell>
          <cell r="BY162">
            <v>1.0503899632432628E-2</v>
          </cell>
        </row>
        <row r="163">
          <cell r="BJ163">
            <v>7.7391019576433101E-3</v>
          </cell>
          <cell r="BV163">
            <v>3.3369207376346193E-3</v>
          </cell>
          <cell r="BY163">
            <v>1.1076022695277927E-2</v>
          </cell>
        </row>
        <row r="164">
          <cell r="BJ164">
            <v>7.7391019576433101E-3</v>
          </cell>
          <cell r="BV164">
            <v>3.3369207376346193E-3</v>
          </cell>
          <cell r="BY164">
            <v>1.1076022695277927E-2</v>
          </cell>
        </row>
        <row r="165">
          <cell r="BJ165">
            <v>7.7391019576433101E-3</v>
          </cell>
          <cell r="BV165">
            <v>3.3369207376346193E-3</v>
          </cell>
          <cell r="BY165">
            <v>1.1076022695277927E-2</v>
          </cell>
        </row>
        <row r="166">
          <cell r="BJ166">
            <v>7.7391019576433101E-3</v>
          </cell>
          <cell r="BV166">
            <v>3.3369207376346193E-3</v>
          </cell>
          <cell r="BY166">
            <v>1.1076022695277927E-2</v>
          </cell>
        </row>
        <row r="167">
          <cell r="BJ167">
            <v>7.7391019576433101E-3</v>
          </cell>
          <cell r="BV167">
            <v>3.3369207376346193E-3</v>
          </cell>
          <cell r="BY167">
            <v>1.1076022695277927E-2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7A461E-E8D1-4854-B9FC-F31A5316BC18}">
  <dimension ref="A1:CW167"/>
  <sheetViews>
    <sheetView tabSelected="1" topLeftCell="BJ1" workbookViewId="0">
      <selection activeCell="BM22" sqref="BM22"/>
    </sheetView>
  </sheetViews>
  <sheetFormatPr defaultRowHeight="14.4" x14ac:dyDescent="0.3"/>
  <cols>
    <col min="1" max="1" width="9.33203125" bestFit="1" customWidth="1"/>
    <col min="2" max="3" width="10.6640625" style="6" bestFit="1" customWidth="1"/>
    <col min="4" max="5" width="10.6640625" style="7" customWidth="1"/>
    <col min="6" max="6" width="8.6640625" style="6" bestFit="1" customWidth="1"/>
    <col min="7" max="7" width="16.21875" style="6" bestFit="1" customWidth="1"/>
    <col min="8" max="8" width="9.33203125" style="6" bestFit="1" customWidth="1"/>
    <col min="9" max="9" width="17" style="6" bestFit="1" customWidth="1"/>
    <col min="10" max="10" width="18.6640625" style="6" bestFit="1" customWidth="1"/>
    <col min="11" max="11" width="19.44140625" style="6" bestFit="1" customWidth="1"/>
    <col min="12" max="13" width="10.6640625" style="6" bestFit="1" customWidth="1"/>
    <col min="14" max="14" width="10.44140625" style="8" bestFit="1" customWidth="1"/>
    <col min="15" max="15" width="13.6640625" style="8" bestFit="1" customWidth="1"/>
    <col min="16" max="17" width="17" style="8" bestFit="1" customWidth="1"/>
    <col min="18" max="18" width="10.6640625" style="6" bestFit="1" customWidth="1"/>
    <col min="19" max="20" width="13.44140625" style="6" bestFit="1" customWidth="1"/>
    <col min="21" max="21" width="20.21875" style="7" bestFit="1" customWidth="1"/>
    <col min="22" max="23" width="23.6640625" style="7" bestFit="1" customWidth="1"/>
    <col min="24" max="24" width="12.44140625" style="8" bestFit="1" customWidth="1"/>
    <col min="25" max="25" width="15.6640625" style="8" bestFit="1" customWidth="1"/>
    <col min="26" max="27" width="19.109375" style="8" bestFit="1" customWidth="1"/>
    <col min="28" max="28" width="11" style="6" bestFit="1" customWidth="1"/>
    <col min="29" max="30" width="14.44140625" style="6" bestFit="1" customWidth="1"/>
    <col min="31" max="31" width="22.33203125" style="7" bestFit="1" customWidth="1"/>
    <col min="32" max="33" width="25.77734375" style="7" bestFit="1" customWidth="1"/>
    <col min="51" max="51" width="8.88671875" style="12"/>
    <col min="52" max="53" width="8.88671875" style="13"/>
    <col min="54" max="57" width="8.88671875" style="12"/>
    <col min="58" max="58" width="13.5546875" style="12" bestFit="1" customWidth="1"/>
    <col min="59" max="59" width="9.77734375" style="12" bestFit="1" customWidth="1"/>
    <col min="60" max="60" width="10.5546875" style="12" bestFit="1" customWidth="1"/>
    <col min="61" max="61" width="9.77734375" style="12" customWidth="1"/>
    <col min="62" max="63" width="8.88671875" style="12"/>
    <col min="64" max="65" width="8.88671875" style="13"/>
    <col min="66" max="69" width="8.88671875" style="12"/>
    <col min="70" max="70" width="13.5546875" style="12" bestFit="1" customWidth="1"/>
    <col min="71" max="71" width="12.33203125" style="12" bestFit="1" customWidth="1"/>
    <col min="72" max="72" width="10.109375" style="12" bestFit="1" customWidth="1"/>
    <col min="73" max="73" width="9.77734375" style="12" customWidth="1"/>
    <col min="74" max="101" width="8.88671875" style="12"/>
  </cols>
  <sheetData>
    <row r="1" spans="1:101" s="2" customFormat="1" x14ac:dyDescent="0.3">
      <c r="A1" s="2" t="s">
        <v>0</v>
      </c>
      <c r="B1" s="3" t="s">
        <v>1</v>
      </c>
      <c r="C1" s="3" t="s">
        <v>2</v>
      </c>
      <c r="D1" s="4" t="s">
        <v>3</v>
      </c>
      <c r="E1" s="4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3" t="s">
        <v>17</v>
      </c>
      <c r="S1" s="3" t="s">
        <v>18</v>
      </c>
      <c r="T1" s="3" t="s">
        <v>19</v>
      </c>
      <c r="U1" s="4" t="s">
        <v>20</v>
      </c>
      <c r="V1" s="4" t="s">
        <v>21</v>
      </c>
      <c r="W1" s="4" t="s">
        <v>22</v>
      </c>
      <c r="X1" s="5" t="s">
        <v>23</v>
      </c>
      <c r="Y1" s="5" t="s">
        <v>24</v>
      </c>
      <c r="Z1" s="5" t="s">
        <v>25</v>
      </c>
      <c r="AA1" s="5" t="s">
        <v>26</v>
      </c>
      <c r="AB1" s="3" t="s">
        <v>27</v>
      </c>
      <c r="AC1" s="3" t="s">
        <v>28</v>
      </c>
      <c r="AD1" s="3" t="s">
        <v>29</v>
      </c>
      <c r="AE1" s="4" t="s">
        <v>30</v>
      </c>
      <c r="AF1" s="4" t="s">
        <v>31</v>
      </c>
      <c r="AG1" s="4" t="s">
        <v>32</v>
      </c>
      <c r="AY1" s="9"/>
      <c r="AZ1" s="9"/>
      <c r="BA1" s="9"/>
      <c r="BB1" s="9"/>
      <c r="BC1" s="9"/>
      <c r="BD1" s="9"/>
      <c r="BE1" s="9"/>
      <c r="BF1" s="9"/>
      <c r="BG1" s="10"/>
      <c r="BH1" s="10"/>
      <c r="BI1" s="10"/>
      <c r="BJ1" s="11">
        <f>BJ167</f>
        <v>4.1016883395664514E-3</v>
      </c>
      <c r="BK1" s="9"/>
      <c r="BL1" s="9"/>
      <c r="BM1" s="9"/>
      <c r="BN1" s="9"/>
      <c r="BO1" s="9"/>
      <c r="BP1" s="9"/>
      <c r="BQ1" s="9"/>
      <c r="BR1" s="9"/>
      <c r="BS1" s="10"/>
      <c r="BT1" s="10"/>
      <c r="BU1" s="10"/>
      <c r="BV1" s="11">
        <f>BV167</f>
        <v>2.6710298438228398E-3</v>
      </c>
      <c r="BW1" s="9"/>
      <c r="BX1" s="9"/>
      <c r="BY1" s="11">
        <f>BY167</f>
        <v>6.7727181833892904E-3</v>
      </c>
      <c r="BZ1" s="9"/>
      <c r="CA1" s="9"/>
      <c r="CB1" s="9"/>
      <c r="CC1" s="9"/>
      <c r="CD1" s="9"/>
      <c r="CE1" s="9"/>
      <c r="CF1" s="9"/>
      <c r="CG1" s="9"/>
      <c r="CH1" s="9"/>
      <c r="CI1" s="9"/>
      <c r="CJ1" s="9"/>
      <c r="CK1" s="9"/>
      <c r="CL1" s="9"/>
      <c r="CM1" s="9"/>
      <c r="CN1" s="9"/>
      <c r="CO1" s="9"/>
      <c r="CP1" s="9"/>
      <c r="CQ1" s="9"/>
      <c r="CR1" s="9"/>
      <c r="CS1" s="9"/>
      <c r="CT1" s="9"/>
      <c r="CU1" s="9"/>
      <c r="CV1" s="9"/>
      <c r="CW1" s="9"/>
    </row>
    <row r="2" spans="1:101" x14ac:dyDescent="0.3">
      <c r="A2" s="1">
        <v>46024</v>
      </c>
      <c r="B2" s="6">
        <v>57.5</v>
      </c>
      <c r="C2" s="6">
        <v>100.3</v>
      </c>
      <c r="F2" s="6">
        <v>0</v>
      </c>
      <c r="G2" s="6">
        <v>0</v>
      </c>
      <c r="H2" s="6">
        <v>0</v>
      </c>
      <c r="I2" s="6">
        <v>0</v>
      </c>
      <c r="J2" s="6">
        <v>0</v>
      </c>
      <c r="K2" s="6">
        <v>0</v>
      </c>
      <c r="L2" s="6">
        <v>57.5</v>
      </c>
      <c r="M2" s="6">
        <v>100.3</v>
      </c>
      <c r="N2" s="8">
        <v>1.74434782608695</v>
      </c>
      <c r="O2" s="8">
        <v>1.7441031794745401</v>
      </c>
      <c r="X2" s="8">
        <v>1.74434782608695</v>
      </c>
      <c r="Y2" s="8">
        <v>1.7448470922733199</v>
      </c>
    </row>
    <row r="3" spans="1:101" ht="15" thickBot="1" x14ac:dyDescent="0.35">
      <c r="A3" s="1">
        <v>46027</v>
      </c>
      <c r="B3" s="6">
        <v>57.56</v>
      </c>
      <c r="C3" s="6">
        <v>100.41</v>
      </c>
      <c r="D3" s="7">
        <v>1.04293421586244E-3</v>
      </c>
      <c r="E3" s="7">
        <v>1.09610892345515E-3</v>
      </c>
      <c r="F3" s="6">
        <v>0</v>
      </c>
      <c r="G3" s="6">
        <v>0</v>
      </c>
      <c r="H3" s="6">
        <v>0</v>
      </c>
      <c r="I3" s="6">
        <v>0</v>
      </c>
      <c r="J3" s="6">
        <v>0</v>
      </c>
      <c r="K3" s="6">
        <v>0</v>
      </c>
      <c r="L3" s="6">
        <v>57.56</v>
      </c>
      <c r="M3" s="6">
        <v>100.41</v>
      </c>
      <c r="N3" s="8">
        <v>1.7444405837387</v>
      </c>
      <c r="O3" s="8">
        <v>1.7441031794745401</v>
      </c>
      <c r="R3" s="6">
        <v>100.39057901055401</v>
      </c>
      <c r="U3" s="7">
        <v>-1.93435592682793E-4</v>
      </c>
      <c r="X3" s="8">
        <v>1.7444405837387</v>
      </c>
      <c r="Y3" s="8">
        <v>1.7448470922733199</v>
      </c>
      <c r="AB3" s="6">
        <v>100.433398631252</v>
      </c>
      <c r="AE3" s="7">
        <v>2.3300373841160101E-4</v>
      </c>
      <c r="CL3" s="14">
        <f>BJ11</f>
        <v>3.2348476408575051</v>
      </c>
      <c r="CM3" s="15">
        <v>0</v>
      </c>
      <c r="CN3" s="15">
        <f>CM3-0.0005</f>
        <v>-5.0000000000000001E-4</v>
      </c>
      <c r="CO3" s="15">
        <f t="shared" ref="CO3:CT3" si="0">CN3-0.0005</f>
        <v>-1E-3</v>
      </c>
      <c r="CP3" s="15">
        <f t="shared" si="0"/>
        <v>-1.5E-3</v>
      </c>
      <c r="CQ3" s="15">
        <f t="shared" si="0"/>
        <v>-2E-3</v>
      </c>
      <c r="CR3" s="15">
        <f t="shared" si="0"/>
        <v>-2.5000000000000001E-3</v>
      </c>
      <c r="CS3" s="15">
        <f t="shared" si="0"/>
        <v>-3.0000000000000001E-3</v>
      </c>
      <c r="CT3" s="15">
        <f t="shared" si="0"/>
        <v>-3.5000000000000001E-3</v>
      </c>
      <c r="CU3" s="12" t="s">
        <v>33</v>
      </c>
    </row>
    <row r="4" spans="1:101" ht="15" thickBot="1" x14ac:dyDescent="0.35">
      <c r="A4" s="1">
        <v>46028</v>
      </c>
      <c r="B4" s="6">
        <v>57.62</v>
      </c>
      <c r="C4" s="6">
        <v>100.48</v>
      </c>
      <c r="D4" s="7">
        <v>1.04184763721524E-3</v>
      </c>
      <c r="E4" s="7">
        <v>6.9689882854361495E-4</v>
      </c>
      <c r="F4" s="6">
        <v>0</v>
      </c>
      <c r="G4" s="6">
        <v>0</v>
      </c>
      <c r="H4" s="6">
        <v>0</v>
      </c>
      <c r="I4" s="6">
        <v>0</v>
      </c>
      <c r="J4" s="6">
        <v>0</v>
      </c>
      <c r="K4" s="6">
        <v>0</v>
      </c>
      <c r="L4" s="6">
        <v>57.62</v>
      </c>
      <c r="M4" s="6">
        <v>100.48</v>
      </c>
      <c r="N4" s="8">
        <v>1.74383894481082</v>
      </c>
      <c r="O4" s="8">
        <v>1.7441031794745401</v>
      </c>
      <c r="R4" s="6">
        <v>100.495225201323</v>
      </c>
      <c r="U4" s="7">
        <v>1.5151321598867601E-4</v>
      </c>
      <c r="X4" s="8">
        <v>1.74383894481082</v>
      </c>
      <c r="Y4" s="8">
        <v>1.7448470922733199</v>
      </c>
      <c r="AB4" s="6">
        <v>100.538089456788</v>
      </c>
      <c r="AE4" s="7">
        <v>5.7795254708331199E-4</v>
      </c>
      <c r="CL4" s="15">
        <v>0</v>
      </c>
      <c r="CM4" s="16">
        <f t="dataTable" ref="CM4:CT11" dt2D="1" dtr="1" r1="BA20" r2="BA21"/>
        <v>6.2848260280604258</v>
      </c>
      <c r="CN4" s="16">
        <v>5.1643413910704128</v>
      </c>
      <c r="CO4" s="17">
        <v>3.2348476408575051</v>
      </c>
      <c r="CP4" s="16">
        <v>1.4239006447491929</v>
      </c>
      <c r="CQ4" s="16" t="e">
        <v>#DIV/0!</v>
      </c>
      <c r="CR4" s="16" t="e">
        <v>#DIV/0!</v>
      </c>
      <c r="CS4" s="16" t="e">
        <v>#DIV/0!</v>
      </c>
      <c r="CT4" s="16" t="e">
        <v>#DIV/0!</v>
      </c>
      <c r="CV4" s="12" t="s">
        <v>34</v>
      </c>
      <c r="CW4" s="12" t="s">
        <v>35</v>
      </c>
    </row>
    <row r="5" spans="1:101" x14ac:dyDescent="0.3">
      <c r="A5" s="1">
        <v>46029</v>
      </c>
      <c r="B5" s="6">
        <v>57.72</v>
      </c>
      <c r="C5" s="6">
        <v>100.68</v>
      </c>
      <c r="D5" s="7">
        <v>1.7340042492876499E-3</v>
      </c>
      <c r="E5" s="7">
        <v>1.98846754722669E-3</v>
      </c>
      <c r="F5" s="6">
        <v>0</v>
      </c>
      <c r="G5" s="6">
        <v>0</v>
      </c>
      <c r="H5" s="6">
        <v>0</v>
      </c>
      <c r="I5" s="6">
        <v>0</v>
      </c>
      <c r="J5" s="6">
        <v>0</v>
      </c>
      <c r="K5" s="6">
        <v>0</v>
      </c>
      <c r="L5" s="6">
        <v>57.72</v>
      </c>
      <c r="M5" s="6">
        <v>100.68</v>
      </c>
      <c r="N5" s="8">
        <v>1.74428274428274</v>
      </c>
      <c r="O5" s="8">
        <v>1.7441031794745401</v>
      </c>
      <c r="R5" s="6">
        <v>100.66963551927</v>
      </c>
      <c r="U5" s="7">
        <v>-1.0295008195023101E-4</v>
      </c>
      <c r="X5" s="8">
        <v>1.74428274428274</v>
      </c>
      <c r="Y5" s="8">
        <v>1.7448470922733199</v>
      </c>
      <c r="AB5" s="6">
        <v>100.712574166016</v>
      </c>
      <c r="AE5" s="7">
        <v>3.2348924914453301E-4</v>
      </c>
      <c r="CL5" s="15">
        <f>CL4-0.0005</f>
        <v>-5.0000000000000001E-4</v>
      </c>
      <c r="CM5" s="16">
        <v>6.2848260280604258</v>
      </c>
      <c r="CN5" s="16">
        <v>5.5612044807285042</v>
      </c>
      <c r="CO5" s="16">
        <v>3.2070709705749549</v>
      </c>
      <c r="CP5" s="16">
        <v>1.4239006447491929</v>
      </c>
      <c r="CQ5" s="16" t="e">
        <v>#DIV/0!</v>
      </c>
      <c r="CR5" s="16" t="e">
        <v>#DIV/0!</v>
      </c>
      <c r="CS5" s="16" t="e">
        <v>#DIV/0!</v>
      </c>
      <c r="CT5" s="16" t="e">
        <v>#DIV/0!</v>
      </c>
      <c r="CV5" s="12" t="s">
        <v>36</v>
      </c>
      <c r="CW5" s="12" t="s">
        <v>37</v>
      </c>
    </row>
    <row r="6" spans="1:101" x14ac:dyDescent="0.3">
      <c r="A6" s="1">
        <v>46030</v>
      </c>
      <c r="B6" s="6">
        <v>57.69</v>
      </c>
      <c r="C6" s="6">
        <v>100.67</v>
      </c>
      <c r="D6" s="7">
        <v>-5.19885636872054E-4</v>
      </c>
      <c r="E6" s="7">
        <v>-9.9329525783192304E-5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57.69</v>
      </c>
      <c r="M6" s="6">
        <v>100.67</v>
      </c>
      <c r="N6" s="8">
        <v>1.7450164673253501</v>
      </c>
      <c r="O6" s="8">
        <v>1.7441031794745401</v>
      </c>
      <c r="R6" s="6">
        <v>100.61731242388601</v>
      </c>
      <c r="U6" s="7">
        <v>-5.2350619303907601E-4</v>
      </c>
      <c r="X6" s="8">
        <v>1.7450164673253501</v>
      </c>
      <c r="Y6" s="8">
        <v>1.7448470922733199</v>
      </c>
      <c r="AB6" s="6">
        <v>100.660228753247</v>
      </c>
      <c r="AE6" s="7">
        <v>-9.7066861944360405E-5</v>
      </c>
      <c r="CL6" s="15">
        <f t="shared" ref="CL6:CL11" si="1">CL5-0.0005</f>
        <v>-1E-3</v>
      </c>
      <c r="CM6" s="16">
        <v>6.2848260280604258</v>
      </c>
      <c r="CN6" s="16">
        <v>5.5612044807285042</v>
      </c>
      <c r="CO6" s="16">
        <v>2.5137155953864614</v>
      </c>
      <c r="CP6" s="16">
        <v>1.313783618888694</v>
      </c>
      <c r="CQ6" s="16" t="e">
        <v>#DIV/0!</v>
      </c>
      <c r="CR6" s="16" t="e">
        <v>#DIV/0!</v>
      </c>
      <c r="CS6" s="16" t="e">
        <v>#DIV/0!</v>
      </c>
      <c r="CT6" s="16" t="e">
        <v>#DIV/0!</v>
      </c>
    </row>
    <row r="7" spans="1:101" x14ac:dyDescent="0.3">
      <c r="A7" s="1">
        <v>46031</v>
      </c>
      <c r="B7" s="6">
        <v>57.78</v>
      </c>
      <c r="C7" s="6">
        <v>100.7</v>
      </c>
      <c r="D7" s="7">
        <v>1.55884676929109E-3</v>
      </c>
      <c r="E7" s="7">
        <v>2.9795898318468798E-4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57.78</v>
      </c>
      <c r="M7" s="6">
        <v>100.7</v>
      </c>
      <c r="N7" s="8">
        <v>1.74281758393907</v>
      </c>
      <c r="O7" s="8">
        <v>1.7441031794745401</v>
      </c>
      <c r="R7" s="6">
        <v>100.774281710038</v>
      </c>
      <c r="U7" s="7">
        <v>7.3738159306737099E-4</v>
      </c>
      <c r="X7" s="8">
        <v>1.74281758393907</v>
      </c>
      <c r="Y7" s="8">
        <v>1.7448470922733199</v>
      </c>
      <c r="AB7" s="6">
        <v>100.81726499155199</v>
      </c>
      <c r="AE7" s="7">
        <v>1.16382092416212E-3</v>
      </c>
      <c r="CL7" s="15">
        <f t="shared" si="1"/>
        <v>-1.5E-3</v>
      </c>
      <c r="CM7" s="16">
        <v>6.2848260280604258</v>
      </c>
      <c r="CN7" s="16">
        <v>5.5612044807285042</v>
      </c>
      <c r="CO7" s="16">
        <v>2.5137155953864614</v>
      </c>
      <c r="CP7" s="16">
        <v>1.313783618888694</v>
      </c>
      <c r="CQ7" s="16" t="e">
        <v>#DIV/0!</v>
      </c>
      <c r="CR7" s="16" t="e">
        <v>#DIV/0!</v>
      </c>
      <c r="CS7" s="16" t="e">
        <v>#DIV/0!</v>
      </c>
      <c r="CT7" s="16" t="e">
        <v>#DIV/0!</v>
      </c>
    </row>
    <row r="8" spans="1:101" x14ac:dyDescent="0.3">
      <c r="A8" s="1">
        <v>46034</v>
      </c>
      <c r="B8" s="6">
        <v>57.78</v>
      </c>
      <c r="C8" s="6">
        <v>100.8</v>
      </c>
      <c r="D8" s="7">
        <v>0</v>
      </c>
      <c r="E8" s="7">
        <v>9.9255591275164293E-4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57.78</v>
      </c>
      <c r="M8" s="6">
        <v>100.8</v>
      </c>
      <c r="N8" s="8">
        <v>1.74454828660436</v>
      </c>
      <c r="O8" s="8">
        <v>1.7441031794745401</v>
      </c>
      <c r="R8" s="6">
        <v>100.774281710038</v>
      </c>
      <c r="U8" s="7">
        <v>-2.55174319684122E-4</v>
      </c>
      <c r="X8" s="8">
        <v>1.74454828660436</v>
      </c>
      <c r="Y8" s="8">
        <v>1.7448470922733199</v>
      </c>
      <c r="AB8" s="6">
        <v>100.81726499155199</v>
      </c>
      <c r="AE8" s="7">
        <v>1.7126501141058199E-4</v>
      </c>
      <c r="CL8" s="15">
        <f t="shared" si="1"/>
        <v>-2E-3</v>
      </c>
      <c r="CM8" s="16">
        <v>6.2848260280604258</v>
      </c>
      <c r="CN8" s="16">
        <v>5.5612044807285042</v>
      </c>
      <c r="CO8" s="16">
        <v>2.5137155953864614</v>
      </c>
      <c r="CP8" s="16">
        <v>1.313783618888694</v>
      </c>
      <c r="CQ8" s="16" t="e">
        <v>#DIV/0!</v>
      </c>
      <c r="CR8" s="16" t="e">
        <v>#DIV/0!</v>
      </c>
      <c r="CS8" s="16" t="e">
        <v>#DIV/0!</v>
      </c>
      <c r="CT8" s="16" t="e">
        <v>#DIV/0!</v>
      </c>
    </row>
    <row r="9" spans="1:101" x14ac:dyDescent="0.3">
      <c r="A9" s="1">
        <v>46035</v>
      </c>
      <c r="B9" s="6">
        <v>57.79</v>
      </c>
      <c r="C9" s="6">
        <v>100.82</v>
      </c>
      <c r="D9" s="7">
        <v>1.7305529159733699E-4</v>
      </c>
      <c r="E9" s="7">
        <v>1.9839301721654099E-4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57.79</v>
      </c>
      <c r="M9" s="6">
        <v>100.82</v>
      </c>
      <c r="N9" s="8">
        <v>1.7445924900501799</v>
      </c>
      <c r="O9" s="8">
        <v>1.7441031794745401</v>
      </c>
      <c r="R9" s="6">
        <v>100.791722741833</v>
      </c>
      <c r="U9" s="7">
        <v>-2.8051204530319198E-4</v>
      </c>
      <c r="X9" s="8">
        <v>1.7445924900501799</v>
      </c>
      <c r="Y9" s="8">
        <v>1.7448470922733199</v>
      </c>
      <c r="AB9" s="6">
        <v>100.83471346247499</v>
      </c>
      <c r="AE9" s="7">
        <v>1.4592728579135799E-4</v>
      </c>
      <c r="BJ9" s="18">
        <f>AVERAGE(BI22:BI200)</f>
        <v>2.8093755750455147E-5</v>
      </c>
      <c r="BV9" s="18">
        <f>AVERAGE(BU22:BU200)</f>
        <v>1.8294724957690685E-5</v>
      </c>
      <c r="BY9" s="18">
        <f>AVERAGE(BX22:BX200)</f>
        <v>4.6388480708145826E-5</v>
      </c>
      <c r="CL9" s="15">
        <f t="shared" si="1"/>
        <v>-2.5000000000000001E-3</v>
      </c>
      <c r="CM9" s="16">
        <v>6.2848260280604258</v>
      </c>
      <c r="CN9" s="16">
        <v>5.5612044807285042</v>
      </c>
      <c r="CO9" s="16">
        <v>2.5137155953864614</v>
      </c>
      <c r="CP9" s="16">
        <v>1.313783618888694</v>
      </c>
      <c r="CQ9" s="16" t="e">
        <v>#DIV/0!</v>
      </c>
      <c r="CR9" s="16" t="e">
        <v>#DIV/0!</v>
      </c>
      <c r="CS9" s="16" t="e">
        <v>#DIV/0!</v>
      </c>
      <c r="CT9" s="16" t="e">
        <v>#DIV/0!</v>
      </c>
    </row>
    <row r="10" spans="1:101" x14ac:dyDescent="0.3">
      <c r="A10" s="1">
        <v>46036</v>
      </c>
      <c r="B10" s="6">
        <v>57.83</v>
      </c>
      <c r="C10" s="6">
        <v>100.92</v>
      </c>
      <c r="D10" s="7">
        <v>6.9192184044017E-4</v>
      </c>
      <c r="E10" s="7">
        <v>9.9137511837233891E-4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57.83</v>
      </c>
      <c r="M10" s="6">
        <v>100.92</v>
      </c>
      <c r="N10" s="8">
        <v>1.74511499221857</v>
      </c>
      <c r="O10" s="8">
        <v>1.7441031794745401</v>
      </c>
      <c r="R10" s="6">
        <v>100.861486869012</v>
      </c>
      <c r="U10" s="7">
        <v>-5.7996532323516899E-4</v>
      </c>
      <c r="X10" s="8">
        <v>1.74511499221857</v>
      </c>
      <c r="Y10" s="8">
        <v>1.7448470922733199</v>
      </c>
      <c r="AB10" s="6">
        <v>100.904507346166</v>
      </c>
      <c r="AE10" s="7">
        <v>-1.53525992140594E-4</v>
      </c>
      <c r="AZ10" s="19"/>
      <c r="BJ10" s="18">
        <f>STDEV(BI22:BI200)</f>
        <v>1.3786570378898896E-4</v>
      </c>
      <c r="BL10" s="19"/>
      <c r="BV10" s="18">
        <f>STDEV(BU22:BU200)</f>
        <v>1.36217217990687E-4</v>
      </c>
      <c r="BY10" s="18">
        <f>STDEV(BX22:BX200)</f>
        <v>1.9112053390993138E-4</v>
      </c>
      <c r="CL10" s="15">
        <f t="shared" si="1"/>
        <v>-3.0000000000000001E-3</v>
      </c>
      <c r="CM10" s="16">
        <v>6.2848260280604258</v>
      </c>
      <c r="CN10" s="16">
        <v>5.5612044807285042</v>
      </c>
      <c r="CO10" s="16">
        <v>2.5137155953864614</v>
      </c>
      <c r="CP10" s="16">
        <v>1.313783618888694</v>
      </c>
      <c r="CQ10" s="16" t="e">
        <v>#DIV/0!</v>
      </c>
      <c r="CR10" s="16" t="e">
        <v>#DIV/0!</v>
      </c>
      <c r="CS10" s="16" t="e">
        <v>#DIV/0!</v>
      </c>
      <c r="CT10" s="16" t="e">
        <v>#DIV/0!</v>
      </c>
    </row>
    <row r="11" spans="1:101" x14ac:dyDescent="0.3">
      <c r="A11" s="1">
        <v>46037</v>
      </c>
      <c r="B11" s="6">
        <v>57.87</v>
      </c>
      <c r="C11" s="6">
        <v>100.91</v>
      </c>
      <c r="D11" s="7">
        <v>6.9144341562048196E-4</v>
      </c>
      <c r="E11" s="7">
        <v>-9.90932964196671E-5</v>
      </c>
      <c r="F11" s="6">
        <v>0</v>
      </c>
      <c r="G11" s="6">
        <v>0</v>
      </c>
      <c r="H11" s="6">
        <v>0</v>
      </c>
      <c r="I11" s="6">
        <v>0</v>
      </c>
      <c r="J11" s="6">
        <v>0</v>
      </c>
      <c r="K11" s="6">
        <v>0</v>
      </c>
      <c r="L11" s="6">
        <v>57.87</v>
      </c>
      <c r="M11" s="6">
        <v>100.91</v>
      </c>
      <c r="N11" s="8">
        <v>1.7437359599101401</v>
      </c>
      <c r="O11" s="8">
        <v>1.7441031794745401</v>
      </c>
      <c r="P11" s="8">
        <v>1.74427358789669</v>
      </c>
      <c r="R11" s="6">
        <v>100.931250996191</v>
      </c>
      <c r="U11" s="7">
        <v>2.10571388804785E-4</v>
      </c>
      <c r="X11" s="8">
        <v>1.7437359599101401</v>
      </c>
      <c r="Y11" s="8">
        <v>1.7448470922733199</v>
      </c>
      <c r="Z11" s="8">
        <v>1.74427358789669</v>
      </c>
      <c r="AB11" s="6">
        <v>100.97430122985701</v>
      </c>
      <c r="AE11" s="7">
        <v>6.3701071989964698E-4</v>
      </c>
      <c r="BJ11" s="12">
        <f>SQRT(252)*BJ9/BJ10</f>
        <v>3.2348476408575051</v>
      </c>
      <c r="BV11" s="12">
        <f>SQRT(252)*BV9/BV10</f>
        <v>2.1320341109455998</v>
      </c>
      <c r="BY11" s="12">
        <f>SQRT(252)*BY9/BY10</f>
        <v>3.8530360231112861</v>
      </c>
      <c r="CL11" s="15">
        <f t="shared" si="1"/>
        <v>-3.5000000000000001E-3</v>
      </c>
      <c r="CM11" s="16">
        <v>6.2848260280604258</v>
      </c>
      <c r="CN11" s="16">
        <v>5.5612044807285042</v>
      </c>
      <c r="CO11" s="16">
        <v>2.5137155953864614</v>
      </c>
      <c r="CP11" s="16">
        <v>1.313783618888694</v>
      </c>
      <c r="CQ11" s="16" t="e">
        <v>#DIV/0!</v>
      </c>
      <c r="CR11" s="16" t="e">
        <v>#DIV/0!</v>
      </c>
      <c r="CS11" s="16" t="e">
        <v>#DIV/0!</v>
      </c>
      <c r="CT11" s="16" t="e">
        <v>#DIV/0!</v>
      </c>
    </row>
    <row r="12" spans="1:101" x14ac:dyDescent="0.3">
      <c r="A12" s="1">
        <v>46038</v>
      </c>
      <c r="B12" s="6">
        <v>57.85</v>
      </c>
      <c r="C12" s="6">
        <v>100.9</v>
      </c>
      <c r="D12" s="7">
        <v>-3.4566194606175501E-4</v>
      </c>
      <c r="E12" s="7">
        <v>-9.9103116874036493E-5</v>
      </c>
      <c r="F12" s="6">
        <v>0</v>
      </c>
      <c r="G12" s="6">
        <v>0</v>
      </c>
      <c r="H12" s="6">
        <v>0</v>
      </c>
      <c r="I12" s="6">
        <v>0</v>
      </c>
      <c r="J12" s="6">
        <v>0</v>
      </c>
      <c r="K12" s="6">
        <v>0</v>
      </c>
      <c r="L12" s="6">
        <v>57.85</v>
      </c>
      <c r="M12" s="6">
        <v>100.9</v>
      </c>
      <c r="N12" s="8">
        <v>1.7441659464131301</v>
      </c>
      <c r="O12" s="8">
        <v>1.7441031794745401</v>
      </c>
      <c r="P12" s="8">
        <v>1.74425539992931</v>
      </c>
      <c r="R12" s="6">
        <v>100.896368932602</v>
      </c>
      <c r="S12" s="6">
        <v>100.906227059823</v>
      </c>
      <c r="U12" s="7">
        <v>-3.5987440382722001E-5</v>
      </c>
      <c r="V12" s="7">
        <v>6.1713257478969498E-5</v>
      </c>
      <c r="X12" s="8">
        <v>1.7441659464131301</v>
      </c>
      <c r="Y12" s="8">
        <v>1.7448470922733199</v>
      </c>
      <c r="Z12" s="8">
        <v>1.74425539992931</v>
      </c>
      <c r="AB12" s="6">
        <v>100.939404288011</v>
      </c>
      <c r="AC12" s="6">
        <v>100.906227059823</v>
      </c>
      <c r="AE12" s="7">
        <v>3.9045189071179999E-4</v>
      </c>
      <c r="AF12" s="7">
        <v>6.1713257478969498E-5</v>
      </c>
      <c r="CL12" s="12" t="s">
        <v>38</v>
      </c>
    </row>
    <row r="13" spans="1:101" x14ac:dyDescent="0.3">
      <c r="A13" s="1">
        <v>46042</v>
      </c>
      <c r="B13" s="6">
        <v>57.6</v>
      </c>
      <c r="C13" s="6">
        <v>100.61</v>
      </c>
      <c r="D13" s="7">
        <v>-4.33088593784007E-3</v>
      </c>
      <c r="E13" s="7">
        <v>-2.8782710556039901E-3</v>
      </c>
      <c r="F13" s="6">
        <v>0</v>
      </c>
      <c r="G13" s="6">
        <v>0</v>
      </c>
      <c r="H13" s="6">
        <v>0</v>
      </c>
      <c r="I13" s="6">
        <v>0</v>
      </c>
      <c r="J13" s="6">
        <v>0</v>
      </c>
      <c r="K13" s="6">
        <v>0</v>
      </c>
      <c r="L13" s="6">
        <v>57.6</v>
      </c>
      <c r="M13" s="6">
        <v>100.61</v>
      </c>
      <c r="N13" s="8">
        <v>1.74670138888888</v>
      </c>
      <c r="O13" s="8">
        <v>1.7441031794745401</v>
      </c>
      <c r="P13" s="8">
        <v>1.7444814804443201</v>
      </c>
      <c r="R13" s="6">
        <v>100.46034313773301</v>
      </c>
      <c r="S13" s="6">
        <v>100.46911103592799</v>
      </c>
      <c r="U13" s="7">
        <v>-1.4886023226188499E-3</v>
      </c>
      <c r="V13" s="7">
        <v>-1.4013289237392501E-3</v>
      </c>
      <c r="X13" s="8">
        <v>1.74670138888888</v>
      </c>
      <c r="Y13" s="8">
        <v>1.7448470922733199</v>
      </c>
      <c r="Z13" s="8">
        <v>1.7444814804443201</v>
      </c>
      <c r="AB13" s="6">
        <v>100.503192514943</v>
      </c>
      <c r="AC13" s="6">
        <v>100.46911103592799</v>
      </c>
      <c r="AE13" s="7">
        <v>-1.06216299152426E-3</v>
      </c>
      <c r="AF13" s="7">
        <v>-1.4013289237392501E-3</v>
      </c>
    </row>
    <row r="14" spans="1:101" ht="15" thickBot="1" x14ac:dyDescent="0.35">
      <c r="A14" s="1">
        <v>46043</v>
      </c>
      <c r="B14" s="6">
        <v>57.76</v>
      </c>
      <c r="C14" s="6">
        <v>100.7</v>
      </c>
      <c r="D14" s="7">
        <v>2.7739268827252201E-3</v>
      </c>
      <c r="E14" s="7">
        <v>8.9414342055734103E-4</v>
      </c>
      <c r="F14" s="6">
        <v>0</v>
      </c>
      <c r="G14" s="6">
        <v>0</v>
      </c>
      <c r="H14" s="6">
        <v>0</v>
      </c>
      <c r="I14" s="6">
        <v>0</v>
      </c>
      <c r="J14" s="6">
        <v>0</v>
      </c>
      <c r="K14" s="6">
        <v>0</v>
      </c>
      <c r="L14" s="6">
        <v>57.76</v>
      </c>
      <c r="M14" s="6">
        <v>100.7</v>
      </c>
      <c r="N14" s="8">
        <v>1.7434210526315701</v>
      </c>
      <c r="O14" s="8">
        <v>1.7441031794745401</v>
      </c>
      <c r="P14" s="8">
        <v>1.7444396912264</v>
      </c>
      <c r="R14" s="6">
        <v>100.739399646449</v>
      </c>
      <c r="S14" s="6">
        <v>100.76125031046401</v>
      </c>
      <c r="U14" s="7">
        <v>3.91181139549128E-4</v>
      </c>
      <c r="V14" s="7">
        <v>6.0806048068601996E-4</v>
      </c>
      <c r="X14" s="8">
        <v>1.7434210526315701</v>
      </c>
      <c r="Y14" s="8">
        <v>1.7448470922733199</v>
      </c>
      <c r="Z14" s="8">
        <v>1.7444396912264</v>
      </c>
      <c r="AB14" s="6">
        <v>100.78236804970599</v>
      </c>
      <c r="AC14" s="6">
        <v>100.76125031046401</v>
      </c>
      <c r="AE14" s="7">
        <v>8.1762047064358901E-4</v>
      </c>
      <c r="AF14" s="7">
        <v>6.0806048068601996E-4</v>
      </c>
      <c r="CL14" s="14">
        <f>BV11</f>
        <v>2.1320341109455998</v>
      </c>
      <c r="CM14" s="15">
        <v>0</v>
      </c>
      <c r="CN14" s="15">
        <f>CM14+0.0005</f>
        <v>5.0000000000000001E-4</v>
      </c>
      <c r="CO14" s="15">
        <f t="shared" ref="CO14:CT14" si="2">CN14+0.0005</f>
        <v>1E-3</v>
      </c>
      <c r="CP14" s="15">
        <f t="shared" si="2"/>
        <v>1.5E-3</v>
      </c>
      <c r="CQ14" s="15">
        <f t="shared" si="2"/>
        <v>2E-3</v>
      </c>
      <c r="CR14" s="15">
        <f t="shared" si="2"/>
        <v>2.5000000000000001E-3</v>
      </c>
      <c r="CS14" s="15">
        <f t="shared" si="2"/>
        <v>3.0000000000000001E-3</v>
      </c>
      <c r="CT14" s="15">
        <f t="shared" si="2"/>
        <v>3.5000000000000001E-3</v>
      </c>
      <c r="CU14" s="12" t="s">
        <v>33</v>
      </c>
    </row>
    <row r="15" spans="1:101" ht="15" thickBot="1" x14ac:dyDescent="0.35">
      <c r="A15" s="1">
        <v>46044</v>
      </c>
      <c r="B15" s="6">
        <v>57.74</v>
      </c>
      <c r="C15" s="6">
        <v>100.64</v>
      </c>
      <c r="D15" s="7">
        <v>-3.4632034978172301E-4</v>
      </c>
      <c r="E15" s="7">
        <v>-5.9600677238624497E-4</v>
      </c>
      <c r="F15" s="6">
        <v>0</v>
      </c>
      <c r="G15" s="6">
        <v>0</v>
      </c>
      <c r="H15" s="6">
        <v>0</v>
      </c>
      <c r="I15" s="6">
        <v>0</v>
      </c>
      <c r="J15" s="6">
        <v>0</v>
      </c>
      <c r="K15" s="6">
        <v>0</v>
      </c>
      <c r="L15" s="6">
        <v>57.74</v>
      </c>
      <c r="M15" s="6">
        <v>100.64</v>
      </c>
      <c r="N15" s="8">
        <v>1.7429857984066499</v>
      </c>
      <c r="O15" s="8">
        <v>1.7441031794745401</v>
      </c>
      <c r="P15" s="8">
        <v>1.7443099966387901</v>
      </c>
      <c r="R15" s="6">
        <v>100.704517582859</v>
      </c>
      <c r="S15" s="6">
        <v>100.723947771412</v>
      </c>
      <c r="U15" s="7">
        <v>6.4086756215355899E-4</v>
      </c>
      <c r="V15" s="7">
        <v>8.3379152231710099E-4</v>
      </c>
      <c r="X15" s="8">
        <v>1.7429857984066499</v>
      </c>
      <c r="Y15" s="8">
        <v>1.7448470922733199</v>
      </c>
      <c r="Z15" s="8">
        <v>1.7443099966387901</v>
      </c>
      <c r="AB15" s="6">
        <v>100.747471107861</v>
      </c>
      <c r="AC15" s="6">
        <v>100.723947771412</v>
      </c>
      <c r="AE15" s="7">
        <v>1.06730689324808E-3</v>
      </c>
      <c r="AF15" s="7">
        <v>8.3379152231710099E-4</v>
      </c>
      <c r="CL15" s="15">
        <v>0</v>
      </c>
      <c r="CM15" s="16">
        <f t="dataTable" ref="CM15:CT22" dt2D="1" dtr="1" r1="BM20" r2="BM21"/>
        <v>5.570235451785214</v>
      </c>
      <c r="CN15" s="16">
        <v>3.6686918479522346</v>
      </c>
      <c r="CO15" s="17">
        <v>2.1320341109455998</v>
      </c>
      <c r="CP15" s="16" t="e">
        <v>#DIV/0!</v>
      </c>
      <c r="CQ15" s="16" t="e">
        <v>#DIV/0!</v>
      </c>
      <c r="CR15" s="16" t="e">
        <v>#DIV/0!</v>
      </c>
      <c r="CS15" s="16" t="e">
        <v>#DIV/0!</v>
      </c>
      <c r="CT15" s="16" t="e">
        <v>#DIV/0!</v>
      </c>
      <c r="CV15" s="12" t="s">
        <v>34</v>
      </c>
      <c r="CW15" s="12" t="s">
        <v>39</v>
      </c>
    </row>
    <row r="16" spans="1:101" x14ac:dyDescent="0.3">
      <c r="A16" s="1">
        <v>46045</v>
      </c>
      <c r="B16" s="6">
        <v>57.74</v>
      </c>
      <c r="C16" s="6">
        <v>100.66</v>
      </c>
      <c r="D16" s="7">
        <v>0</v>
      </c>
      <c r="E16" s="7">
        <v>1.9870839608344401E-4</v>
      </c>
      <c r="F16" s="6">
        <v>0</v>
      </c>
      <c r="G16" s="6">
        <v>0</v>
      </c>
      <c r="H16" s="6">
        <v>0</v>
      </c>
      <c r="I16" s="6">
        <v>0</v>
      </c>
      <c r="J16" s="6">
        <v>0</v>
      </c>
      <c r="K16" s="6">
        <v>0</v>
      </c>
      <c r="L16" s="6">
        <v>57.74</v>
      </c>
      <c r="M16" s="6">
        <v>100.66</v>
      </c>
      <c r="N16" s="8">
        <v>1.74333217873224</v>
      </c>
      <c r="O16" s="8">
        <v>1.7441031794745401</v>
      </c>
      <c r="P16" s="8">
        <v>1.74414156777948</v>
      </c>
      <c r="R16" s="6">
        <v>100.704517582859</v>
      </c>
      <c r="S16" s="6">
        <v>100.716459205924</v>
      </c>
      <c r="U16" s="7">
        <v>4.4215916607024601E-4</v>
      </c>
      <c r="V16" s="7">
        <v>5.6073294392021303E-4</v>
      </c>
      <c r="X16" s="8">
        <v>1.74333217873224</v>
      </c>
      <c r="Y16" s="8">
        <v>1.7448470922733199</v>
      </c>
      <c r="Z16" s="8">
        <v>1.74414156777948</v>
      </c>
      <c r="AB16" s="6">
        <v>100.747471107861</v>
      </c>
      <c r="AC16" s="6">
        <v>100.716459205924</v>
      </c>
      <c r="AE16" s="7">
        <v>8.6859849716467005E-4</v>
      </c>
      <c r="AF16" s="7">
        <v>5.6073294392021303E-4</v>
      </c>
      <c r="CL16" s="15">
        <f>CL15+0.0005</f>
        <v>5.0000000000000001E-4</v>
      </c>
      <c r="CM16" s="16">
        <v>5.570235451785214</v>
      </c>
      <c r="CN16" s="16">
        <v>3.0866334718213078</v>
      </c>
      <c r="CO16" s="16">
        <v>1.8945953625349279</v>
      </c>
      <c r="CP16" s="16" t="e">
        <v>#DIV/0!</v>
      </c>
      <c r="CQ16" s="16" t="e">
        <v>#DIV/0!</v>
      </c>
      <c r="CR16" s="16" t="e">
        <v>#DIV/0!</v>
      </c>
      <c r="CS16" s="16" t="e">
        <v>#DIV/0!</v>
      </c>
      <c r="CT16" s="16" t="e">
        <v>#DIV/0!</v>
      </c>
      <c r="CV16" s="12" t="s">
        <v>36</v>
      </c>
      <c r="CW16" s="12" t="s">
        <v>40</v>
      </c>
    </row>
    <row r="17" spans="1:98" x14ac:dyDescent="0.3">
      <c r="A17" s="1">
        <v>46048</v>
      </c>
      <c r="B17" s="6">
        <v>57.79</v>
      </c>
      <c r="C17" s="6">
        <v>100.75</v>
      </c>
      <c r="D17" s="7">
        <v>8.6557609489745996E-4</v>
      </c>
      <c r="E17" s="7">
        <v>8.9369947857843802E-4</v>
      </c>
      <c r="F17" s="6">
        <v>0</v>
      </c>
      <c r="G17" s="6">
        <v>0</v>
      </c>
      <c r="H17" s="6">
        <v>0</v>
      </c>
      <c r="I17" s="6">
        <v>0</v>
      </c>
      <c r="J17" s="6">
        <v>0</v>
      </c>
      <c r="K17" s="6">
        <v>0</v>
      </c>
      <c r="L17" s="6">
        <v>57.79</v>
      </c>
      <c r="M17" s="6">
        <v>100.75</v>
      </c>
      <c r="N17" s="8">
        <v>1.7433812078214199</v>
      </c>
      <c r="O17" s="8">
        <v>1.7441031794745401</v>
      </c>
      <c r="P17" s="8">
        <v>1.74419793016771</v>
      </c>
      <c r="R17" s="6">
        <v>100.791722741833</v>
      </c>
      <c r="S17" s="6">
        <v>100.793941201976</v>
      </c>
      <c r="U17" s="7">
        <v>4.14035782389183E-4</v>
      </c>
      <c r="V17" s="7">
        <v>4.3604588072007101E-4</v>
      </c>
      <c r="X17" s="8">
        <v>1.7433812078214199</v>
      </c>
      <c r="Y17" s="8">
        <v>1.7448470922733199</v>
      </c>
      <c r="Z17" s="8">
        <v>1.74419793016771</v>
      </c>
      <c r="AB17" s="6">
        <v>100.83471346247499</v>
      </c>
      <c r="AC17" s="6">
        <v>100.793941201976</v>
      </c>
      <c r="AE17" s="7">
        <v>8.40475113483848E-4</v>
      </c>
      <c r="AF17" s="7">
        <v>4.3604588072007101E-4</v>
      </c>
      <c r="CL17" s="15">
        <f t="shared" ref="CL17:CL23" si="3">CL16+0.0005</f>
        <v>1E-3</v>
      </c>
      <c r="CM17" s="16">
        <v>5.570235451785214</v>
      </c>
      <c r="CN17" s="16">
        <v>3.0866334718213078</v>
      </c>
      <c r="CO17" s="16">
        <v>1.8945953625349279</v>
      </c>
      <c r="CP17" s="16" t="e">
        <v>#DIV/0!</v>
      </c>
      <c r="CQ17" s="16" t="e">
        <v>#DIV/0!</v>
      </c>
      <c r="CR17" s="16" t="e">
        <v>#DIV/0!</v>
      </c>
      <c r="CS17" s="16" t="e">
        <v>#DIV/0!</v>
      </c>
      <c r="CT17" s="16" t="e">
        <v>#DIV/0!</v>
      </c>
    </row>
    <row r="18" spans="1:98" x14ac:dyDescent="0.3">
      <c r="A18" s="1">
        <v>46049</v>
      </c>
      <c r="B18" s="6">
        <v>57.78</v>
      </c>
      <c r="C18" s="6">
        <v>100.79</v>
      </c>
      <c r="D18" s="7">
        <v>-1.7305529159738901E-4</v>
      </c>
      <c r="E18" s="7">
        <v>3.9694353999424899E-4</v>
      </c>
      <c r="F18" s="6">
        <v>0</v>
      </c>
      <c r="G18" s="6">
        <v>0</v>
      </c>
      <c r="H18" s="6">
        <v>0</v>
      </c>
      <c r="I18" s="6">
        <v>0</v>
      </c>
      <c r="J18" s="6">
        <v>0</v>
      </c>
      <c r="K18" s="6">
        <v>0</v>
      </c>
      <c r="L18" s="6">
        <v>57.78</v>
      </c>
      <c r="M18" s="6">
        <v>100.79</v>
      </c>
      <c r="N18" s="8">
        <v>1.7443752163378301</v>
      </c>
      <c r="O18" s="8">
        <v>1.7441031794745401</v>
      </c>
      <c r="P18" s="8">
        <v>1.7441806231410599</v>
      </c>
      <c r="R18" s="6">
        <v>100.774281710038</v>
      </c>
      <c r="S18" s="6">
        <v>100.77975640509</v>
      </c>
      <c r="U18" s="7">
        <v>-1.5596304920255101E-4</v>
      </c>
      <c r="V18" s="7">
        <v>-1.01638213001099E-4</v>
      </c>
      <c r="X18" s="8">
        <v>1.7443752163378301</v>
      </c>
      <c r="Y18" s="8">
        <v>1.7448470922733199</v>
      </c>
      <c r="Z18" s="8">
        <v>1.7441806231410599</v>
      </c>
      <c r="AB18" s="6">
        <v>100.81726499155199</v>
      </c>
      <c r="AC18" s="6">
        <v>100.77975640509</v>
      </c>
      <c r="AE18" s="7">
        <v>2.7047628189213801E-4</v>
      </c>
      <c r="AF18" s="7">
        <v>-1.01638213001099E-4</v>
      </c>
      <c r="CL18" s="15">
        <f t="shared" si="3"/>
        <v>1.5E-3</v>
      </c>
      <c r="CM18" s="16">
        <v>5.570235451785214</v>
      </c>
      <c r="CN18" s="16">
        <v>3.0866334718213078</v>
      </c>
      <c r="CO18" s="16">
        <v>1.8945953625349279</v>
      </c>
      <c r="CP18" s="16" t="e">
        <v>#DIV/0!</v>
      </c>
      <c r="CQ18" s="16" t="e">
        <v>#DIV/0!</v>
      </c>
      <c r="CR18" s="16" t="e">
        <v>#DIV/0!</v>
      </c>
      <c r="CS18" s="16" t="e">
        <v>#DIV/0!</v>
      </c>
      <c r="CT18" s="16" t="e">
        <v>#DIV/0!</v>
      </c>
    </row>
    <row r="19" spans="1:98" x14ac:dyDescent="0.3">
      <c r="A19" s="1">
        <v>46050</v>
      </c>
      <c r="B19" s="6">
        <v>57.82</v>
      </c>
      <c r="C19" s="6">
        <v>100.86</v>
      </c>
      <c r="D19" s="7">
        <v>6.9204155011071404E-4</v>
      </c>
      <c r="E19" s="7">
        <v>6.9427228179256499E-4</v>
      </c>
      <c r="F19" s="6">
        <v>0</v>
      </c>
      <c r="G19" s="6">
        <v>0</v>
      </c>
      <c r="H19" s="6">
        <v>0</v>
      </c>
      <c r="I19" s="6">
        <v>0</v>
      </c>
      <c r="J19" s="6">
        <v>0</v>
      </c>
      <c r="K19" s="6">
        <v>0</v>
      </c>
      <c r="L19" s="6">
        <v>57.82</v>
      </c>
      <c r="M19" s="6">
        <v>100.86</v>
      </c>
      <c r="N19" s="8">
        <v>1.74437910757523</v>
      </c>
      <c r="O19" s="8">
        <v>1.7441031794745401</v>
      </c>
      <c r="P19" s="8">
        <v>1.7441592848935701</v>
      </c>
      <c r="R19" s="6">
        <v>100.844045837217</v>
      </c>
      <c r="S19" s="6">
        <v>100.848523630016</v>
      </c>
      <c r="U19" s="7">
        <v>-1.5819378088424899E-4</v>
      </c>
      <c r="V19" s="7">
        <v>-1.13791621587886E-4</v>
      </c>
      <c r="X19" s="8">
        <v>1.74437910757523</v>
      </c>
      <c r="Y19" s="8">
        <v>1.7448470922733199</v>
      </c>
      <c r="Z19" s="8">
        <v>1.7441592848935701</v>
      </c>
      <c r="AB19" s="6">
        <v>100.887058875243</v>
      </c>
      <c r="AC19" s="6">
        <v>100.848523630016</v>
      </c>
      <c r="AE19" s="7">
        <v>2.68245550210339E-4</v>
      </c>
      <c r="AF19" s="7">
        <v>-1.13791621587886E-4</v>
      </c>
      <c r="BX19" s="10" t="s">
        <v>41</v>
      </c>
      <c r="BY19" s="10" t="s">
        <v>41</v>
      </c>
      <c r="CL19" s="15">
        <f t="shared" si="3"/>
        <v>2E-3</v>
      </c>
      <c r="CM19" s="16">
        <v>5.570235451785214</v>
      </c>
      <c r="CN19" s="16">
        <v>3.0866334718213078</v>
      </c>
      <c r="CO19" s="16">
        <v>1.8945953625349279</v>
      </c>
      <c r="CP19" s="16" t="e">
        <v>#DIV/0!</v>
      </c>
      <c r="CQ19" s="16" t="e">
        <v>#DIV/0!</v>
      </c>
      <c r="CR19" s="16" t="e">
        <v>#DIV/0!</v>
      </c>
      <c r="CS19" s="16" t="e">
        <v>#DIV/0!</v>
      </c>
      <c r="CT19" s="16" t="e">
        <v>#DIV/0!</v>
      </c>
    </row>
    <row r="20" spans="1:98" x14ac:dyDescent="0.3">
      <c r="A20" s="1">
        <v>46051</v>
      </c>
      <c r="B20" s="6">
        <v>57.83</v>
      </c>
      <c r="C20" s="6">
        <v>100.85</v>
      </c>
      <c r="D20" s="7">
        <v>1.72935581926746E-4</v>
      </c>
      <c r="E20" s="7">
        <v>-9.9152248358528407E-5</v>
      </c>
      <c r="F20" s="6">
        <v>0</v>
      </c>
      <c r="G20" s="6">
        <v>0</v>
      </c>
      <c r="H20" s="6">
        <v>0</v>
      </c>
      <c r="I20" s="6">
        <v>0</v>
      </c>
      <c r="J20" s="6">
        <v>0</v>
      </c>
      <c r="K20" s="6">
        <v>0</v>
      </c>
      <c r="L20" s="6">
        <v>57.83</v>
      </c>
      <c r="M20" s="6">
        <v>100.85</v>
      </c>
      <c r="N20" s="8">
        <v>1.7439045478125501</v>
      </c>
      <c r="O20" s="8">
        <v>1.7441031794745401</v>
      </c>
      <c r="P20" s="8">
        <v>1.74403824045296</v>
      </c>
      <c r="R20" s="6">
        <v>100.861486869012</v>
      </c>
      <c r="S20" s="6">
        <v>100.86473144539499</v>
      </c>
      <c r="U20" s="7">
        <v>1.13894049401097E-4</v>
      </c>
      <c r="V20" s="7">
        <v>1.46062167257958E-4</v>
      </c>
      <c r="X20" s="8">
        <v>1.7439045478125501</v>
      </c>
      <c r="Y20" s="8">
        <v>1.7448470922733199</v>
      </c>
      <c r="Z20" s="8">
        <v>1.74403824045296</v>
      </c>
      <c r="AB20" s="6">
        <v>100.904507346166</v>
      </c>
      <c r="AC20" s="6">
        <v>100.86473144539499</v>
      </c>
      <c r="AE20" s="7">
        <v>5.4033338049562095E-4</v>
      </c>
      <c r="AF20" s="7">
        <v>1.46062167257958E-4</v>
      </c>
      <c r="AZ20" s="20" t="s">
        <v>42</v>
      </c>
      <c r="BA20" s="21">
        <v>-1E-3</v>
      </c>
      <c r="BB20" s="10" t="s">
        <v>43</v>
      </c>
      <c r="BC20" s="10" t="s">
        <v>44</v>
      </c>
      <c r="BD20" s="10" t="s">
        <v>45</v>
      </c>
      <c r="BE20" s="10" t="s">
        <v>46</v>
      </c>
      <c r="BF20" s="10" t="s">
        <v>47</v>
      </c>
      <c r="BG20" s="10" t="str">
        <f>D1</f>
        <v>CMF log rtn</v>
      </c>
      <c r="BH20" s="10" t="str">
        <f>E1</f>
        <v>VTEC log rtn</v>
      </c>
      <c r="BI20" s="10" t="s">
        <v>48</v>
      </c>
      <c r="BJ20" s="10" t="s">
        <v>49</v>
      </c>
      <c r="BL20" s="20" t="s">
        <v>42</v>
      </c>
      <c r="BM20" s="21">
        <v>1E-3</v>
      </c>
      <c r="BN20" s="10" t="s">
        <v>44</v>
      </c>
      <c r="BO20" s="10" t="s">
        <v>43</v>
      </c>
      <c r="BP20" s="10" t="s">
        <v>45</v>
      </c>
      <c r="BQ20" s="10" t="s">
        <v>46</v>
      </c>
      <c r="BR20" s="10" t="s">
        <v>47</v>
      </c>
      <c r="BS20" s="11" t="str">
        <f>D1</f>
        <v>CMF log rtn</v>
      </c>
      <c r="BT20" s="11" t="str">
        <f>E1</f>
        <v>VTEC log rtn</v>
      </c>
      <c r="BU20" s="10" t="s">
        <v>48</v>
      </c>
      <c r="BV20" s="10" t="s">
        <v>49</v>
      </c>
      <c r="BX20" s="10" t="s">
        <v>48</v>
      </c>
      <c r="BY20" s="10" t="s">
        <v>49</v>
      </c>
      <c r="CL20" s="15">
        <f t="shared" si="3"/>
        <v>2.5000000000000001E-3</v>
      </c>
      <c r="CM20" s="16">
        <v>5.570235451785214</v>
      </c>
      <c r="CN20" s="16">
        <v>3.0866334718213078</v>
      </c>
      <c r="CO20" s="16">
        <v>1.8945953625349279</v>
      </c>
      <c r="CP20" s="16" t="e">
        <v>#DIV/0!</v>
      </c>
      <c r="CQ20" s="16" t="e">
        <v>#DIV/0!</v>
      </c>
      <c r="CR20" s="16" t="e">
        <v>#DIV/0!</v>
      </c>
      <c r="CS20" s="16" t="e">
        <v>#DIV/0!</v>
      </c>
      <c r="CT20" s="16" t="e">
        <v>#DIV/0!</v>
      </c>
    </row>
    <row r="21" spans="1:98" x14ac:dyDescent="0.3">
      <c r="A21" s="1">
        <v>46052</v>
      </c>
      <c r="B21" s="6">
        <v>57.9</v>
      </c>
      <c r="C21" s="6">
        <v>100.96</v>
      </c>
      <c r="D21" s="7">
        <v>1.20971240882272E-3</v>
      </c>
      <c r="E21" s="7">
        <v>1.09013439268233E-3</v>
      </c>
      <c r="F21" s="6">
        <v>0</v>
      </c>
      <c r="G21" s="6">
        <v>0</v>
      </c>
      <c r="H21" s="6">
        <v>0</v>
      </c>
      <c r="I21" s="6">
        <v>0</v>
      </c>
      <c r="J21" s="6">
        <v>0</v>
      </c>
      <c r="K21" s="6">
        <v>0</v>
      </c>
      <c r="L21" s="6">
        <v>57.9</v>
      </c>
      <c r="M21" s="6">
        <v>100.96</v>
      </c>
      <c r="N21" s="8">
        <v>1.74369602763385</v>
      </c>
      <c r="O21" s="8">
        <v>1.7441031794745401</v>
      </c>
      <c r="P21" s="8">
        <v>1.7440342472253301</v>
      </c>
      <c r="Q21" s="8">
        <v>1.7441539175610099</v>
      </c>
      <c r="R21" s="6">
        <v>100.98357409157499</v>
      </c>
      <c r="S21" s="6">
        <v>100.979814122226</v>
      </c>
      <c r="U21" s="7">
        <v>2.3347206554135899E-4</v>
      </c>
      <c r="V21" s="7">
        <v>1.96237897678701E-4</v>
      </c>
      <c r="X21" s="8">
        <v>1.74369602763385</v>
      </c>
      <c r="Y21" s="8">
        <v>1.7448470922733199</v>
      </c>
      <c r="Z21" s="8">
        <v>1.7440342472253301</v>
      </c>
      <c r="AA21" s="8">
        <v>1.7441539175610099</v>
      </c>
      <c r="AB21" s="6">
        <v>101.026646642625</v>
      </c>
      <c r="AC21" s="6">
        <v>100.979814122226</v>
      </c>
      <c r="AE21" s="7">
        <v>6.5991139663608097E-4</v>
      </c>
      <c r="AF21" s="7">
        <v>1.96237897678701E-4</v>
      </c>
      <c r="BA21" s="21">
        <v>0</v>
      </c>
      <c r="BE21" s="12">
        <f>IF(F22+H22&gt;0,0,1)</f>
        <v>0</v>
      </c>
      <c r="BF21" s="22">
        <v>0</v>
      </c>
      <c r="BM21" s="21">
        <v>0</v>
      </c>
      <c r="BQ21" s="12">
        <f>IF(F22+H22&gt;0,0,1)</f>
        <v>0</v>
      </c>
      <c r="BR21" s="22">
        <v>0</v>
      </c>
      <c r="CL21" s="15">
        <f t="shared" si="3"/>
        <v>3.0000000000000001E-3</v>
      </c>
      <c r="CM21" s="16">
        <v>5.570235451785214</v>
      </c>
      <c r="CN21" s="16">
        <v>3.0866334718213078</v>
      </c>
      <c r="CO21" s="16">
        <v>1.8945953625349279</v>
      </c>
      <c r="CP21" s="16" t="e">
        <v>#DIV/0!</v>
      </c>
      <c r="CQ21" s="16" t="e">
        <v>#DIV/0!</v>
      </c>
      <c r="CR21" s="16" t="e">
        <v>#DIV/0!</v>
      </c>
      <c r="CS21" s="16" t="e">
        <v>#DIV/0!</v>
      </c>
      <c r="CT21" s="16" t="e">
        <v>#DIV/0!</v>
      </c>
    </row>
    <row r="22" spans="1:98" x14ac:dyDescent="0.3">
      <c r="A22" s="1">
        <v>46055</v>
      </c>
      <c r="B22" s="6">
        <v>57.75</v>
      </c>
      <c r="C22" s="6">
        <v>100.75</v>
      </c>
      <c r="D22" s="7">
        <v>-2.5940351770466401E-3</v>
      </c>
      <c r="E22" s="7">
        <v>-2.0821979661106E-3</v>
      </c>
      <c r="F22" s="6">
        <v>0.13800000000000001</v>
      </c>
      <c r="G22" s="6">
        <v>0.13800000000000001</v>
      </c>
      <c r="H22" s="6">
        <v>0.25080000000000002</v>
      </c>
      <c r="I22" s="6">
        <v>0.25080000000000002</v>
      </c>
      <c r="J22" s="6">
        <v>0.13800000000000001</v>
      </c>
      <c r="K22" s="6">
        <v>0.25080000000000002</v>
      </c>
      <c r="L22" s="6">
        <v>57.887999999999998</v>
      </c>
      <c r="M22" s="6">
        <v>101.0008</v>
      </c>
      <c r="N22" s="8">
        <v>1.74458874458874</v>
      </c>
      <c r="O22" s="8">
        <v>1.7441031794745401</v>
      </c>
      <c r="P22" s="8">
        <v>1.7440765270428999</v>
      </c>
      <c r="Q22" s="8">
        <v>1.7441659634861</v>
      </c>
      <c r="R22" s="6">
        <v>100.721958614654</v>
      </c>
      <c r="S22" s="6">
        <v>100.717977777263</v>
      </c>
      <c r="T22" s="6">
        <v>100.724888739148</v>
      </c>
      <c r="U22" s="7">
        <v>-2.7836514539452501E-4</v>
      </c>
      <c r="V22" s="7">
        <v>-3.1788896041533499E-4</v>
      </c>
      <c r="W22" s="7">
        <v>-2.4927435015307598E-4</v>
      </c>
      <c r="X22" s="8">
        <v>1.7447622996130401</v>
      </c>
      <c r="Y22" s="8">
        <v>1.7448470922733199</v>
      </c>
      <c r="Z22" s="8">
        <v>1.74409388254533</v>
      </c>
      <c r="AA22" s="8">
        <v>1.74417464123732</v>
      </c>
      <c r="AB22" s="6">
        <v>101.005708477517</v>
      </c>
      <c r="AC22" s="6">
        <v>100.95865450338</v>
      </c>
      <c r="AD22" s="6">
        <v>100.965581979772</v>
      </c>
      <c r="AE22" s="7">
        <v>4.8597221504939901E-5</v>
      </c>
      <c r="AF22" s="7">
        <v>-4.1736592461052801E-4</v>
      </c>
      <c r="AG22" s="7">
        <v>-3.4875131434834001E-4</v>
      </c>
      <c r="AZ22" s="23"/>
      <c r="BB22" s="12">
        <f>IF($AG22&lt;BA$20,1,0)</f>
        <v>0</v>
      </c>
      <c r="BC22" s="12">
        <f>IF($AG22&gt;BA$21,1,0)</f>
        <v>0</v>
      </c>
      <c r="BD22" s="12">
        <f>BF21</f>
        <v>0</v>
      </c>
      <c r="BE22" s="12">
        <f t="shared" ref="BE22:BE85" si="4">IF(F23+H23&gt;0,0,1)</f>
        <v>1</v>
      </c>
      <c r="BF22" s="12">
        <f>IF(BB21,1,IF(BC21,0,BD21))*BE21</f>
        <v>0</v>
      </c>
      <c r="BG22" s="23">
        <f>BF22*D22</f>
        <v>0</v>
      </c>
      <c r="BH22" s="23">
        <f>-BF22*$E22</f>
        <v>0</v>
      </c>
      <c r="BI22" s="23">
        <f>BG22+BH22</f>
        <v>0</v>
      </c>
      <c r="BJ22" s="18">
        <f>BJ21+BI22</f>
        <v>0</v>
      </c>
      <c r="BL22" s="23"/>
      <c r="BN22" s="12">
        <f>IF($AG22&gt;BM$20,1,0)</f>
        <v>0</v>
      </c>
      <c r="BO22" s="12">
        <f>IF($AG22&lt;BM$21,1,0)</f>
        <v>1</v>
      </c>
      <c r="BP22" s="12">
        <f>BR21</f>
        <v>0</v>
      </c>
      <c r="BQ22" s="12">
        <f t="shared" ref="BQ22:BQ85" si="5">IF(F23+H23&gt;0,0,1)</f>
        <v>1</v>
      </c>
      <c r="BR22" s="12">
        <f>IF(BN21,1,IF(BO21,0,BP21))*BQ21</f>
        <v>0</v>
      </c>
      <c r="BS22" s="23">
        <f>-BR22*D22</f>
        <v>0</v>
      </c>
      <c r="BT22" s="23">
        <f>BR22*$E22</f>
        <v>0</v>
      </c>
      <c r="BU22" s="23">
        <f>BS22+BT22</f>
        <v>0</v>
      </c>
      <c r="BV22" s="18">
        <f>BV21+BU22</f>
        <v>0</v>
      </c>
      <c r="BX22" s="18">
        <f>BI22+BU22</f>
        <v>0</v>
      </c>
      <c r="BY22" s="18">
        <f>BY21+BX22</f>
        <v>0</v>
      </c>
      <c r="CL22" s="15">
        <f t="shared" si="3"/>
        <v>3.5000000000000001E-3</v>
      </c>
      <c r="CM22" s="16">
        <v>5.570235451785214</v>
      </c>
      <c r="CN22" s="16">
        <v>3.0866334718213078</v>
      </c>
      <c r="CO22" s="16">
        <v>1.8945953625349279</v>
      </c>
      <c r="CP22" s="16" t="e">
        <v>#DIV/0!</v>
      </c>
      <c r="CQ22" s="16" t="e">
        <v>#DIV/0!</v>
      </c>
      <c r="CR22" s="16" t="e">
        <v>#DIV/0!</v>
      </c>
      <c r="CS22" s="16" t="e">
        <v>#DIV/0!</v>
      </c>
      <c r="CT22" s="16" t="e">
        <v>#DIV/0!</v>
      </c>
    </row>
    <row r="23" spans="1:98" x14ac:dyDescent="0.3">
      <c r="A23" s="1">
        <v>46056</v>
      </c>
      <c r="B23" s="6">
        <v>57.79</v>
      </c>
      <c r="C23" s="6">
        <v>100.81</v>
      </c>
      <c r="D23" s="7">
        <v>6.9240092778362502E-4</v>
      </c>
      <c r="E23" s="7">
        <v>5.9535623905778898E-4</v>
      </c>
      <c r="F23" s="6">
        <v>0</v>
      </c>
      <c r="G23" s="6">
        <v>0.13800000000000001</v>
      </c>
      <c r="H23" s="6">
        <v>0</v>
      </c>
      <c r="I23" s="6">
        <v>0.25080000000000002</v>
      </c>
      <c r="J23" s="6">
        <v>0.13800000000000001</v>
      </c>
      <c r="K23" s="6">
        <v>0.25080000000000002</v>
      </c>
      <c r="L23" s="6">
        <v>57.927999999999997</v>
      </c>
      <c r="M23" s="6">
        <v>101.0608</v>
      </c>
      <c r="N23" s="8">
        <v>1.74441944973178</v>
      </c>
      <c r="O23" s="8">
        <v>1.7441031794745401</v>
      </c>
      <c r="P23" s="8">
        <v>1.7438483331271899</v>
      </c>
      <c r="Q23" s="8">
        <v>1.7441649067857601</v>
      </c>
      <c r="R23" s="6">
        <v>100.791722741833</v>
      </c>
      <c r="S23" s="6">
        <v>100.790182497809</v>
      </c>
      <c r="T23" s="6">
        <v>100.795351029862</v>
      </c>
      <c r="U23" s="7">
        <v>-1.8132045666870701E-4</v>
      </c>
      <c r="V23" s="7">
        <v>-1.96602026933534E-4</v>
      </c>
      <c r="W23" s="7">
        <v>-1.4532322767103501E-4</v>
      </c>
      <c r="X23" s="8">
        <v>1.74459328821985</v>
      </c>
      <c r="Y23" s="8">
        <v>1.7448470922733199</v>
      </c>
      <c r="Z23" s="8">
        <v>1.74388307247842</v>
      </c>
      <c r="AA23" s="8">
        <v>1.7441822764613699</v>
      </c>
      <c r="AB23" s="6">
        <v>101.075502361208</v>
      </c>
      <c r="AC23" s="6">
        <v>101.031870428085</v>
      </c>
      <c r="AD23" s="6">
        <v>101.036548617595</v>
      </c>
      <c r="AE23" s="7">
        <v>1.45469775226723E-4</v>
      </c>
      <c r="AF23" s="7">
        <v>-2.8630006274257803E-4</v>
      </c>
      <c r="AG23" s="7">
        <v>-2.3999703793029599E-4</v>
      </c>
      <c r="AZ23" s="23"/>
      <c r="BB23" s="12">
        <f t="shared" ref="BB23:BB86" si="6">IF($AG23&lt;BA$20,1,0)</f>
        <v>0</v>
      </c>
      <c r="BC23" s="12">
        <f t="shared" ref="BC23:BC86" si="7">IF($AG23&gt;BA$21,1,0)</f>
        <v>0</v>
      </c>
      <c r="BD23" s="12">
        <f t="shared" ref="BD23:BD86" si="8">BF23</f>
        <v>0</v>
      </c>
      <c r="BE23" s="12">
        <f t="shared" si="4"/>
        <v>1</v>
      </c>
      <c r="BF23" s="12">
        <f t="shared" ref="BF23:BF86" si="9">IF(BB22,1,IF(BC22,0,BD22))*BE22</f>
        <v>0</v>
      </c>
      <c r="BG23" s="23">
        <f t="shared" ref="BG23:BG86" si="10">BF23*D23</f>
        <v>0</v>
      </c>
      <c r="BH23" s="23">
        <f t="shared" ref="BH23:BH86" si="11">-BF23*$E23</f>
        <v>0</v>
      </c>
      <c r="BI23" s="23">
        <f t="shared" ref="BI23:BI86" si="12">BG23+BH23</f>
        <v>0</v>
      </c>
      <c r="BJ23" s="18">
        <f t="shared" ref="BJ23:BJ86" si="13">BJ22+BI23</f>
        <v>0</v>
      </c>
      <c r="BL23" s="23"/>
      <c r="BN23" s="12">
        <f t="shared" ref="BN23:BN86" si="14">IF($AG23&gt;BM$20,1,0)</f>
        <v>0</v>
      </c>
      <c r="BO23" s="12">
        <f t="shared" ref="BO23:BO86" si="15">IF($AG23&lt;BM$21,1,0)</f>
        <v>1</v>
      </c>
      <c r="BP23" s="12">
        <f t="shared" ref="BP23:BP86" si="16">BR23</f>
        <v>0</v>
      </c>
      <c r="BQ23" s="12">
        <f t="shared" si="5"/>
        <v>1</v>
      </c>
      <c r="BR23" s="12">
        <f t="shared" ref="BR23:BR86" si="17">IF(BN22,1,IF(BO22,0,BP22))*BQ22</f>
        <v>0</v>
      </c>
      <c r="BS23" s="23">
        <f t="shared" ref="BS23:BS86" si="18">-BR23*D23</f>
        <v>0</v>
      </c>
      <c r="BT23" s="23">
        <f t="shared" ref="BT23:BT86" si="19">BR23*$E23</f>
        <v>0</v>
      </c>
      <c r="BU23" s="23">
        <f t="shared" ref="BU23:BU86" si="20">BS23+BT23</f>
        <v>0</v>
      </c>
      <c r="BV23" s="18">
        <f t="shared" ref="BV23:BV86" si="21">BV22+BU23</f>
        <v>0</v>
      </c>
      <c r="BX23" s="18">
        <f t="shared" ref="BX23:BX86" si="22">BI23+BU23</f>
        <v>0</v>
      </c>
      <c r="BY23" s="18">
        <f t="shared" ref="BY23:BY86" si="23">BY22+BX23</f>
        <v>0</v>
      </c>
      <c r="CL23" s="12" t="s">
        <v>38</v>
      </c>
    </row>
    <row r="24" spans="1:98" x14ac:dyDescent="0.3">
      <c r="A24" s="1">
        <v>46057</v>
      </c>
      <c r="B24" s="6">
        <v>57.83</v>
      </c>
      <c r="C24" s="6">
        <v>100.9</v>
      </c>
      <c r="D24" s="7">
        <v>6.9192184044017E-4</v>
      </c>
      <c r="E24" s="7">
        <v>8.92370293713052E-4</v>
      </c>
      <c r="F24" s="6">
        <v>0</v>
      </c>
      <c r="G24" s="6">
        <v>0.13800000000000001</v>
      </c>
      <c r="H24" s="6">
        <v>0</v>
      </c>
      <c r="I24" s="6">
        <v>0.25080000000000002</v>
      </c>
      <c r="J24" s="6">
        <v>0.13800000000000001</v>
      </c>
      <c r="K24" s="6">
        <v>0.25080000000000002</v>
      </c>
      <c r="L24" s="6">
        <v>57.967999999999897</v>
      </c>
      <c r="M24" s="6">
        <v>101.1508</v>
      </c>
      <c r="N24" s="8">
        <v>1.7447691509597001</v>
      </c>
      <c r="O24" s="8">
        <v>1.7441031794745401</v>
      </c>
      <c r="P24" s="8">
        <v>1.7439831429599999</v>
      </c>
      <c r="Q24" s="8">
        <v>1.7442114170931999</v>
      </c>
      <c r="R24" s="6">
        <v>100.861486869012</v>
      </c>
      <c r="S24" s="6">
        <v>100.846749104745</v>
      </c>
      <c r="T24" s="6">
        <v>100.86505655942</v>
      </c>
      <c r="U24" s="7">
        <v>-3.8176890994143703E-4</v>
      </c>
      <c r="V24" s="7">
        <v>-5.2789843432464695E-4</v>
      </c>
      <c r="W24" s="7">
        <v>-3.4637752963505498E-4</v>
      </c>
      <c r="X24" s="8">
        <v>1.7449420369859201</v>
      </c>
      <c r="Y24" s="8">
        <v>1.7448470922733199</v>
      </c>
      <c r="Z24" s="8">
        <v>1.74403517091386</v>
      </c>
      <c r="AA24" s="8">
        <v>1.7442374310701301</v>
      </c>
      <c r="AB24" s="6">
        <v>101.145296244899</v>
      </c>
      <c r="AC24" s="6">
        <v>101.089413945429</v>
      </c>
      <c r="AD24" s="6">
        <v>101.106758201913</v>
      </c>
      <c r="AE24" s="7">
        <v>-5.4412865138664802E-5</v>
      </c>
      <c r="AF24" s="7">
        <v>-6.0706083382851598E-4</v>
      </c>
      <c r="AG24" s="7">
        <v>-4.3550213079252898E-4</v>
      </c>
      <c r="AZ24" s="23"/>
      <c r="BB24" s="12">
        <f t="shared" si="6"/>
        <v>0</v>
      </c>
      <c r="BC24" s="12">
        <f t="shared" si="7"/>
        <v>0</v>
      </c>
      <c r="BD24" s="12">
        <f t="shared" si="8"/>
        <v>0</v>
      </c>
      <c r="BE24" s="12">
        <f t="shared" si="4"/>
        <v>1</v>
      </c>
      <c r="BF24" s="12">
        <f t="shared" si="9"/>
        <v>0</v>
      </c>
      <c r="BG24" s="23">
        <f t="shared" si="10"/>
        <v>0</v>
      </c>
      <c r="BH24" s="23">
        <f t="shared" si="11"/>
        <v>0</v>
      </c>
      <c r="BI24" s="23">
        <f t="shared" si="12"/>
        <v>0</v>
      </c>
      <c r="BJ24" s="18">
        <f t="shared" si="13"/>
        <v>0</v>
      </c>
      <c r="BL24" s="23"/>
      <c r="BN24" s="12">
        <f t="shared" si="14"/>
        <v>0</v>
      </c>
      <c r="BO24" s="12">
        <f t="shared" si="15"/>
        <v>1</v>
      </c>
      <c r="BP24" s="12">
        <f t="shared" si="16"/>
        <v>0</v>
      </c>
      <c r="BQ24" s="12">
        <f t="shared" si="5"/>
        <v>1</v>
      </c>
      <c r="BR24" s="12">
        <f t="shared" si="17"/>
        <v>0</v>
      </c>
      <c r="BS24" s="23">
        <f t="shared" si="18"/>
        <v>0</v>
      </c>
      <c r="BT24" s="23">
        <f t="shared" si="19"/>
        <v>0</v>
      </c>
      <c r="BU24" s="23">
        <f t="shared" si="20"/>
        <v>0</v>
      </c>
      <c r="BV24" s="18">
        <f t="shared" si="21"/>
        <v>0</v>
      </c>
      <c r="BX24" s="18">
        <f t="shared" si="22"/>
        <v>0</v>
      </c>
      <c r="BY24" s="18">
        <f t="shared" si="23"/>
        <v>0</v>
      </c>
    </row>
    <row r="25" spans="1:98" x14ac:dyDescent="0.3">
      <c r="A25" s="1">
        <v>46058</v>
      </c>
      <c r="B25" s="6">
        <v>57.92</v>
      </c>
      <c r="C25" s="6">
        <v>101.04</v>
      </c>
      <c r="D25" s="7">
        <v>1.55507590733408E-3</v>
      </c>
      <c r="E25" s="7">
        <v>1.3865506826723499E-3</v>
      </c>
      <c r="F25" s="6">
        <v>0</v>
      </c>
      <c r="G25" s="6">
        <v>0.13800000000000001</v>
      </c>
      <c r="H25" s="6">
        <v>0</v>
      </c>
      <c r="I25" s="6">
        <v>0.25080000000000002</v>
      </c>
      <c r="J25" s="6">
        <v>0.13800000000000001</v>
      </c>
      <c r="K25" s="6">
        <v>0.25080000000000002</v>
      </c>
      <c r="L25" s="6">
        <v>58.058</v>
      </c>
      <c r="M25" s="6">
        <v>101.2908</v>
      </c>
      <c r="N25" s="8">
        <v>1.74447513812154</v>
      </c>
      <c r="O25" s="8">
        <v>1.7441031794745401</v>
      </c>
      <c r="P25" s="8">
        <v>1.7441320769314901</v>
      </c>
      <c r="Q25" s="8">
        <v>1.7442210367851401</v>
      </c>
      <c r="R25" s="6">
        <v>101.018456155165</v>
      </c>
      <c r="S25" s="6">
        <v>101.01150364024301</v>
      </c>
      <c r="T25" s="6">
        <v>101.02472527803801</v>
      </c>
      <c r="U25" s="7">
        <v>-2.1324368527977599E-4</v>
      </c>
      <c r="V25" s="7">
        <v>-2.82070258643321E-4</v>
      </c>
      <c r="W25" s="7">
        <v>-1.51186427712282E-4</v>
      </c>
      <c r="X25" s="8">
        <v>1.7446484549932799</v>
      </c>
      <c r="Y25" s="8">
        <v>1.7448470922733199</v>
      </c>
      <c r="Z25" s="8">
        <v>1.74420143657252</v>
      </c>
      <c r="AA25" s="8">
        <v>1.74425571660566</v>
      </c>
      <c r="AB25" s="6">
        <v>101.302332483204</v>
      </c>
      <c r="AC25" s="6">
        <v>101.255193952917</v>
      </c>
      <c r="AD25" s="6">
        <v>101.26693677306901</v>
      </c>
      <c r="AE25" s="7">
        <v>1.13848708251301E-4</v>
      </c>
      <c r="AF25" s="7">
        <v>-3.5158481049053E-4</v>
      </c>
      <c r="AG25" s="7">
        <v>-2.3561901333168499E-4</v>
      </c>
      <c r="AZ25" s="23"/>
      <c r="BB25" s="12">
        <f t="shared" si="6"/>
        <v>0</v>
      </c>
      <c r="BC25" s="12">
        <f t="shared" si="7"/>
        <v>0</v>
      </c>
      <c r="BD25" s="12">
        <f t="shared" si="8"/>
        <v>0</v>
      </c>
      <c r="BE25" s="12">
        <f t="shared" si="4"/>
        <v>1</v>
      </c>
      <c r="BF25" s="12">
        <f t="shared" si="9"/>
        <v>0</v>
      </c>
      <c r="BG25" s="23">
        <f t="shared" si="10"/>
        <v>0</v>
      </c>
      <c r="BH25" s="23">
        <f t="shared" si="11"/>
        <v>0</v>
      </c>
      <c r="BI25" s="23">
        <f t="shared" si="12"/>
        <v>0</v>
      </c>
      <c r="BJ25" s="18">
        <f t="shared" si="13"/>
        <v>0</v>
      </c>
      <c r="BL25" s="23"/>
      <c r="BN25" s="12">
        <f t="shared" si="14"/>
        <v>0</v>
      </c>
      <c r="BO25" s="12">
        <f t="shared" si="15"/>
        <v>1</v>
      </c>
      <c r="BP25" s="12">
        <f t="shared" si="16"/>
        <v>0</v>
      </c>
      <c r="BQ25" s="12">
        <f t="shared" si="5"/>
        <v>1</v>
      </c>
      <c r="BR25" s="12">
        <f t="shared" si="17"/>
        <v>0</v>
      </c>
      <c r="BS25" s="23">
        <f t="shared" si="18"/>
        <v>0</v>
      </c>
      <c r="BT25" s="23">
        <f t="shared" si="19"/>
        <v>0</v>
      </c>
      <c r="BU25" s="23">
        <f t="shared" si="20"/>
        <v>0</v>
      </c>
      <c r="BV25" s="18">
        <f t="shared" si="21"/>
        <v>0</v>
      </c>
      <c r="BX25" s="18">
        <f t="shared" si="22"/>
        <v>0</v>
      </c>
      <c r="BY25" s="18">
        <f t="shared" si="23"/>
        <v>0</v>
      </c>
      <c r="CL25" s="15"/>
      <c r="CM25" s="15"/>
      <c r="CN25" s="15"/>
      <c r="CO25" s="15"/>
      <c r="CP25" s="15"/>
      <c r="CQ25" s="15"/>
      <c r="CR25" s="15"/>
      <c r="CS25" s="15"/>
      <c r="CT25" s="15"/>
    </row>
    <row r="26" spans="1:98" x14ac:dyDescent="0.3">
      <c r="A26" s="1">
        <v>46059</v>
      </c>
      <c r="B26" s="6">
        <v>57.93</v>
      </c>
      <c r="C26" s="6">
        <v>101.03</v>
      </c>
      <c r="D26" s="7">
        <v>1.7263703107170999E-4</v>
      </c>
      <c r="E26" s="7">
        <v>-9.8975602594825296E-5</v>
      </c>
      <c r="F26" s="6">
        <v>0</v>
      </c>
      <c r="G26" s="6">
        <v>0.13800000000000001</v>
      </c>
      <c r="H26" s="6">
        <v>0</v>
      </c>
      <c r="I26" s="6">
        <v>0.25080000000000002</v>
      </c>
      <c r="J26" s="6">
        <v>0.13800000000000001</v>
      </c>
      <c r="K26" s="6">
        <v>0.25080000000000002</v>
      </c>
      <c r="L26" s="6">
        <v>58.067999999999998</v>
      </c>
      <c r="M26" s="6">
        <v>101.2808</v>
      </c>
      <c r="N26" s="8">
        <v>1.74400138097704</v>
      </c>
      <c r="O26" s="8">
        <v>1.7441031794745401</v>
      </c>
      <c r="P26" s="8">
        <v>1.7441989971559699</v>
      </c>
      <c r="Q26" s="8">
        <v>1.7441702824677201</v>
      </c>
      <c r="R26" s="6">
        <v>101.03589718696</v>
      </c>
      <c r="S26" s="6">
        <v>101.037571216641</v>
      </c>
      <c r="T26" s="6">
        <v>101.042724660963</v>
      </c>
      <c r="U26" s="7">
        <v>5.8368948386862499E-5</v>
      </c>
      <c r="V26" s="7">
        <v>7.4937473631719894E-5</v>
      </c>
      <c r="W26" s="7">
        <v>1.2594140056819601E-4</v>
      </c>
      <c r="X26" s="8">
        <v>1.7441757938968101</v>
      </c>
      <c r="Y26" s="8">
        <v>1.7448470922733199</v>
      </c>
      <c r="Z26" s="8">
        <v>1.7442857980889801</v>
      </c>
      <c r="AA26" s="8">
        <v>1.7442136829342301</v>
      </c>
      <c r="AB26" s="6">
        <v>101.319780954127</v>
      </c>
      <c r="AC26" s="6">
        <v>101.282289018893</v>
      </c>
      <c r="AD26" s="6">
        <v>101.285440951857</v>
      </c>
      <c r="AE26" s="7">
        <v>3.8480595094662E-4</v>
      </c>
      <c r="AF26" s="7">
        <v>1.47017790915537E-5</v>
      </c>
      <c r="AG26" s="7">
        <v>4.5821572602401699E-5</v>
      </c>
      <c r="AZ26" s="23"/>
      <c r="BB26" s="12">
        <f t="shared" si="6"/>
        <v>0</v>
      </c>
      <c r="BC26" s="12">
        <f t="shared" si="7"/>
        <v>1</v>
      </c>
      <c r="BD26" s="12">
        <f t="shared" si="8"/>
        <v>0</v>
      </c>
      <c r="BE26" s="12">
        <f t="shared" si="4"/>
        <v>1</v>
      </c>
      <c r="BF26" s="12">
        <f t="shared" si="9"/>
        <v>0</v>
      </c>
      <c r="BG26" s="23">
        <f t="shared" si="10"/>
        <v>0</v>
      </c>
      <c r="BH26" s="23">
        <f t="shared" si="11"/>
        <v>0</v>
      </c>
      <c r="BI26" s="23">
        <f t="shared" si="12"/>
        <v>0</v>
      </c>
      <c r="BJ26" s="18">
        <f t="shared" si="13"/>
        <v>0</v>
      </c>
      <c r="BL26" s="23"/>
      <c r="BN26" s="12">
        <f t="shared" si="14"/>
        <v>0</v>
      </c>
      <c r="BO26" s="12">
        <f t="shared" si="15"/>
        <v>0</v>
      </c>
      <c r="BP26" s="12">
        <f t="shared" si="16"/>
        <v>0</v>
      </c>
      <c r="BQ26" s="12">
        <f t="shared" si="5"/>
        <v>1</v>
      </c>
      <c r="BR26" s="12">
        <f t="shared" si="17"/>
        <v>0</v>
      </c>
      <c r="BS26" s="23">
        <f t="shared" si="18"/>
        <v>0</v>
      </c>
      <c r="BT26" s="23">
        <f t="shared" si="19"/>
        <v>0</v>
      </c>
      <c r="BU26" s="23">
        <f t="shared" si="20"/>
        <v>0</v>
      </c>
      <c r="BV26" s="18">
        <f t="shared" si="21"/>
        <v>0</v>
      </c>
      <c r="BX26" s="18">
        <f t="shared" si="22"/>
        <v>0</v>
      </c>
      <c r="BY26" s="18">
        <f t="shared" si="23"/>
        <v>0</v>
      </c>
      <c r="CL26" s="15"/>
      <c r="CM26" s="16"/>
      <c r="CN26" s="16"/>
      <c r="CO26" s="16"/>
      <c r="CP26" s="16"/>
      <c r="CQ26" s="16"/>
      <c r="CR26" s="16"/>
      <c r="CS26" s="16"/>
      <c r="CT26" s="16"/>
    </row>
    <row r="27" spans="1:98" x14ac:dyDescent="0.3">
      <c r="A27" s="1">
        <v>46062</v>
      </c>
      <c r="B27" s="6">
        <v>57.96</v>
      </c>
      <c r="C27" s="6">
        <v>101.09</v>
      </c>
      <c r="D27" s="7">
        <v>5.1773234394885E-4</v>
      </c>
      <c r="E27" s="7">
        <v>5.9370672632536405E-4</v>
      </c>
      <c r="F27" s="6">
        <v>0</v>
      </c>
      <c r="G27" s="6">
        <v>0.13800000000000001</v>
      </c>
      <c r="H27" s="6">
        <v>0</v>
      </c>
      <c r="I27" s="6">
        <v>0.25080000000000002</v>
      </c>
      <c r="J27" s="6">
        <v>0.13800000000000001</v>
      </c>
      <c r="K27" s="6">
        <v>0.25080000000000002</v>
      </c>
      <c r="L27" s="6">
        <v>58.097999999999999</v>
      </c>
      <c r="M27" s="6">
        <v>101.3408</v>
      </c>
      <c r="N27" s="8">
        <v>1.74413388543823</v>
      </c>
      <c r="O27" s="8">
        <v>1.7441031794745401</v>
      </c>
      <c r="P27" s="8">
        <v>1.7442742649176499</v>
      </c>
      <c r="Q27" s="8">
        <v>1.7442360975426801</v>
      </c>
      <c r="R27" s="6">
        <v>101.088220282344</v>
      </c>
      <c r="S27" s="6">
        <v>101.09377387516</v>
      </c>
      <c r="T27" s="6">
        <v>101.092109571829</v>
      </c>
      <c r="U27" s="7">
        <v>-1.7605433989697402E-5</v>
      </c>
      <c r="V27" s="7">
        <v>3.7331137788930601E-5</v>
      </c>
      <c r="W27" s="7">
        <v>2.0868036584246301E-5</v>
      </c>
      <c r="X27" s="8">
        <v>1.7443078935591501</v>
      </c>
      <c r="Y27" s="8">
        <v>1.7448470922733199</v>
      </c>
      <c r="Z27" s="8">
        <v>1.74437846666275</v>
      </c>
      <c r="AA27" s="8">
        <v>1.7442881984152301</v>
      </c>
      <c r="AB27" s="6">
        <v>101.372126366895</v>
      </c>
      <c r="AC27" s="6">
        <v>101.339516297373</v>
      </c>
      <c r="AD27" s="6">
        <v>101.335326551113</v>
      </c>
      <c r="AE27" s="7">
        <v>3.0907123394820403E-4</v>
      </c>
      <c r="AF27" s="7">
        <v>-1.2667264881221101E-5</v>
      </c>
      <c r="AG27" s="7">
        <v>-5.40117771284781E-5</v>
      </c>
      <c r="AZ27" s="23"/>
      <c r="BB27" s="12">
        <f t="shared" si="6"/>
        <v>0</v>
      </c>
      <c r="BC27" s="12">
        <f t="shared" si="7"/>
        <v>0</v>
      </c>
      <c r="BD27" s="12">
        <f t="shared" si="8"/>
        <v>0</v>
      </c>
      <c r="BE27" s="12">
        <f t="shared" si="4"/>
        <v>1</v>
      </c>
      <c r="BF27" s="12">
        <f t="shared" si="9"/>
        <v>0</v>
      </c>
      <c r="BG27" s="23">
        <f t="shared" si="10"/>
        <v>0</v>
      </c>
      <c r="BH27" s="23">
        <f t="shared" si="11"/>
        <v>0</v>
      </c>
      <c r="BI27" s="23">
        <f t="shared" si="12"/>
        <v>0</v>
      </c>
      <c r="BJ27" s="18">
        <f t="shared" si="13"/>
        <v>0</v>
      </c>
      <c r="BL27" s="23"/>
      <c r="BN27" s="12">
        <f t="shared" si="14"/>
        <v>0</v>
      </c>
      <c r="BO27" s="12">
        <f t="shared" si="15"/>
        <v>1</v>
      </c>
      <c r="BP27" s="12">
        <f t="shared" si="16"/>
        <v>0</v>
      </c>
      <c r="BQ27" s="12">
        <f t="shared" si="5"/>
        <v>1</v>
      </c>
      <c r="BR27" s="12">
        <f t="shared" si="17"/>
        <v>0</v>
      </c>
      <c r="BS27" s="23">
        <f t="shared" si="18"/>
        <v>0</v>
      </c>
      <c r="BT27" s="23">
        <f t="shared" si="19"/>
        <v>0</v>
      </c>
      <c r="BU27" s="23">
        <f t="shared" si="20"/>
        <v>0</v>
      </c>
      <c r="BV27" s="18">
        <f t="shared" si="21"/>
        <v>0</v>
      </c>
      <c r="BX27" s="18">
        <f t="shared" si="22"/>
        <v>0</v>
      </c>
      <c r="BY27" s="18">
        <f t="shared" si="23"/>
        <v>0</v>
      </c>
      <c r="CL27" s="15"/>
      <c r="CM27" s="16"/>
      <c r="CN27" s="16"/>
      <c r="CO27" s="16"/>
      <c r="CP27" s="16"/>
      <c r="CQ27" s="16"/>
      <c r="CR27" s="16"/>
      <c r="CS27" s="16"/>
      <c r="CT27" s="16"/>
    </row>
    <row r="28" spans="1:98" ht="15" thickBot="1" x14ac:dyDescent="0.35">
      <c r="A28" s="1">
        <v>46063</v>
      </c>
      <c r="B28" s="6">
        <v>58.05</v>
      </c>
      <c r="C28" s="6">
        <v>101.16</v>
      </c>
      <c r="D28" s="7">
        <v>1.55159069141885E-3</v>
      </c>
      <c r="E28" s="7">
        <v>6.9221263579799497E-4</v>
      </c>
      <c r="F28" s="6">
        <v>0</v>
      </c>
      <c r="G28" s="6">
        <v>0.13800000000000001</v>
      </c>
      <c r="H28" s="6">
        <v>0</v>
      </c>
      <c r="I28" s="6">
        <v>0.25080000000000002</v>
      </c>
      <c r="J28" s="6">
        <v>0.13800000000000001</v>
      </c>
      <c r="K28" s="6">
        <v>0.25080000000000002</v>
      </c>
      <c r="L28" s="6">
        <v>58.187999999999903</v>
      </c>
      <c r="M28" s="6">
        <v>101.41079999999999</v>
      </c>
      <c r="N28" s="8">
        <v>1.7426356589147201</v>
      </c>
      <c r="O28" s="8">
        <v>1.7441031794745401</v>
      </c>
      <c r="P28" s="8">
        <v>1.74410030917534</v>
      </c>
      <c r="Q28" s="8">
        <v>1.7441404661582001</v>
      </c>
      <c r="R28" s="6">
        <v>101.245189568497</v>
      </c>
      <c r="S28" s="6">
        <v>101.255121078469</v>
      </c>
      <c r="T28" s="6">
        <v>101.252905462352</v>
      </c>
      <c r="U28" s="7">
        <v>8.4177262163099501E-4</v>
      </c>
      <c r="V28" s="7">
        <v>9.3986145862047998E-4</v>
      </c>
      <c r="W28" s="7">
        <v>9.1797969763744497E-4</v>
      </c>
      <c r="X28" s="8">
        <v>1.7428129511239401</v>
      </c>
      <c r="Y28" s="8">
        <v>1.7448470922733199</v>
      </c>
      <c r="Z28" s="8">
        <v>1.7442222401413601</v>
      </c>
      <c r="AA28" s="8">
        <v>1.74420143164121</v>
      </c>
      <c r="AB28" s="6">
        <v>101.52916260519901</v>
      </c>
      <c r="AC28" s="6">
        <v>101.501894218172</v>
      </c>
      <c r="AD28" s="6">
        <v>101.496641689385</v>
      </c>
      <c r="AE28" s="7">
        <v>1.16647916065019E-3</v>
      </c>
      <c r="AF28" s="7">
        <v>8.9786619455344897E-4</v>
      </c>
      <c r="AG28" s="7">
        <v>8.4611676922582003E-4</v>
      </c>
      <c r="AZ28" s="23"/>
      <c r="BB28" s="12">
        <f t="shared" si="6"/>
        <v>0</v>
      </c>
      <c r="BC28" s="12">
        <f t="shared" si="7"/>
        <v>1</v>
      </c>
      <c r="BD28" s="12">
        <f t="shared" si="8"/>
        <v>0</v>
      </c>
      <c r="BE28" s="12">
        <f t="shared" si="4"/>
        <v>1</v>
      </c>
      <c r="BF28" s="12">
        <f t="shared" si="9"/>
        <v>0</v>
      </c>
      <c r="BG28" s="23">
        <f t="shared" si="10"/>
        <v>0</v>
      </c>
      <c r="BH28" s="23">
        <f t="shared" si="11"/>
        <v>0</v>
      </c>
      <c r="BI28" s="23">
        <f t="shared" si="12"/>
        <v>0</v>
      </c>
      <c r="BJ28" s="18">
        <f t="shared" si="13"/>
        <v>0</v>
      </c>
      <c r="BL28" s="23"/>
      <c r="BN28" s="12">
        <f t="shared" si="14"/>
        <v>0</v>
      </c>
      <c r="BO28" s="12">
        <f t="shared" si="15"/>
        <v>0</v>
      </c>
      <c r="BP28" s="12">
        <f t="shared" si="16"/>
        <v>0</v>
      </c>
      <c r="BQ28" s="12">
        <f t="shared" si="5"/>
        <v>1</v>
      </c>
      <c r="BR28" s="12">
        <f t="shared" si="17"/>
        <v>0</v>
      </c>
      <c r="BS28" s="23">
        <f t="shared" si="18"/>
        <v>0</v>
      </c>
      <c r="BT28" s="23">
        <f t="shared" si="19"/>
        <v>0</v>
      </c>
      <c r="BU28" s="23">
        <f t="shared" si="20"/>
        <v>0</v>
      </c>
      <c r="BV28" s="18">
        <f t="shared" si="21"/>
        <v>0</v>
      </c>
      <c r="BX28" s="18">
        <f t="shared" si="22"/>
        <v>0</v>
      </c>
      <c r="BY28" s="18">
        <f t="shared" si="23"/>
        <v>0</v>
      </c>
      <c r="CL28" s="15"/>
      <c r="CM28" s="16"/>
      <c r="CN28" s="16"/>
      <c r="CO28" s="16"/>
      <c r="CP28" s="16"/>
      <c r="CQ28" s="16"/>
      <c r="CR28" s="16"/>
      <c r="CS28" s="16"/>
      <c r="CT28" s="16"/>
    </row>
    <row r="29" spans="1:98" ht="15" thickBot="1" x14ac:dyDescent="0.35">
      <c r="A29" s="1">
        <v>46064</v>
      </c>
      <c r="B29" s="6">
        <v>58</v>
      </c>
      <c r="C29" s="6">
        <v>101.11</v>
      </c>
      <c r="D29" s="7">
        <v>-8.6169759748111897E-4</v>
      </c>
      <c r="E29" s="7">
        <v>-4.9438869845667998E-4</v>
      </c>
      <c r="F29" s="6">
        <v>0</v>
      </c>
      <c r="G29" s="6">
        <v>0.13800000000000001</v>
      </c>
      <c r="H29" s="6">
        <v>0</v>
      </c>
      <c r="I29" s="6">
        <v>0.25080000000000002</v>
      </c>
      <c r="J29" s="6">
        <v>0.13800000000000001</v>
      </c>
      <c r="K29" s="6">
        <v>0.25080000000000002</v>
      </c>
      <c r="L29" s="6">
        <v>58.137999999999998</v>
      </c>
      <c r="M29" s="6">
        <v>101.3608</v>
      </c>
      <c r="N29" s="8">
        <v>1.7432758620689599</v>
      </c>
      <c r="O29" s="8">
        <v>1.7441031794745401</v>
      </c>
      <c r="P29" s="8">
        <v>1.74398998462471</v>
      </c>
      <c r="Q29" s="8">
        <v>1.74407463475914</v>
      </c>
      <c r="R29" s="6">
        <v>101.157984409523</v>
      </c>
      <c r="S29" s="6">
        <v>101.157817932169</v>
      </c>
      <c r="T29" s="6">
        <v>101.16014703717499</v>
      </c>
      <c r="U29" s="7">
        <v>4.74463722606564E-4</v>
      </c>
      <c r="V29" s="7">
        <v>4.7281800485706799E-4</v>
      </c>
      <c r="W29" s="7">
        <v>4.9584220843098702E-4</v>
      </c>
      <c r="X29" s="8">
        <v>1.74345178712718</v>
      </c>
      <c r="Y29" s="8">
        <v>1.7448470922733199</v>
      </c>
      <c r="Z29" s="8">
        <v>1.74412950809656</v>
      </c>
      <c r="AA29" s="8">
        <v>1.74414439649506</v>
      </c>
      <c r="AB29" s="6">
        <v>101.44192025058599</v>
      </c>
      <c r="AC29" s="6">
        <v>101.405592597338</v>
      </c>
      <c r="AD29" s="6">
        <v>101.40438283275699</v>
      </c>
      <c r="AE29" s="7">
        <v>7.9999178326990001E-4</v>
      </c>
      <c r="AF29" s="7">
        <v>4.4181481451241098E-4</v>
      </c>
      <c r="AG29" s="7">
        <v>4.2988478415576501E-4</v>
      </c>
      <c r="AZ29" s="23"/>
      <c r="BB29" s="12">
        <f t="shared" si="6"/>
        <v>0</v>
      </c>
      <c r="BC29" s="12">
        <f t="shared" si="7"/>
        <v>1</v>
      </c>
      <c r="BD29" s="12">
        <f t="shared" si="8"/>
        <v>0</v>
      </c>
      <c r="BE29" s="12">
        <f t="shared" si="4"/>
        <v>1</v>
      </c>
      <c r="BF29" s="12">
        <f t="shared" si="9"/>
        <v>0</v>
      </c>
      <c r="BG29" s="23">
        <f t="shared" si="10"/>
        <v>0</v>
      </c>
      <c r="BH29" s="23">
        <f t="shared" si="11"/>
        <v>0</v>
      </c>
      <c r="BI29" s="23">
        <f t="shared" si="12"/>
        <v>0</v>
      </c>
      <c r="BJ29" s="18">
        <f t="shared" si="13"/>
        <v>0</v>
      </c>
      <c r="BL29" s="23"/>
      <c r="BN29" s="12">
        <f t="shared" si="14"/>
        <v>0</v>
      </c>
      <c r="BO29" s="12">
        <f t="shared" si="15"/>
        <v>0</v>
      </c>
      <c r="BP29" s="12">
        <f t="shared" si="16"/>
        <v>0</v>
      </c>
      <c r="BQ29" s="12">
        <f t="shared" si="5"/>
        <v>1</v>
      </c>
      <c r="BR29" s="12">
        <f t="shared" si="17"/>
        <v>0</v>
      </c>
      <c r="BS29" s="23">
        <f t="shared" si="18"/>
        <v>0</v>
      </c>
      <c r="BT29" s="23">
        <f t="shared" si="19"/>
        <v>0</v>
      </c>
      <c r="BU29" s="23">
        <f t="shared" si="20"/>
        <v>0</v>
      </c>
      <c r="BV29" s="18">
        <f t="shared" si="21"/>
        <v>0</v>
      </c>
      <c r="BX29" s="18">
        <f t="shared" si="22"/>
        <v>0</v>
      </c>
      <c r="BY29" s="18">
        <f t="shared" si="23"/>
        <v>0</v>
      </c>
      <c r="CL29" s="15"/>
      <c r="CM29" s="16"/>
      <c r="CN29" s="16"/>
      <c r="CO29" s="16"/>
      <c r="CP29" s="16"/>
      <c r="CQ29" s="17"/>
      <c r="CR29" s="16"/>
      <c r="CS29" s="16"/>
      <c r="CT29" s="16"/>
    </row>
    <row r="30" spans="1:98" x14ac:dyDescent="0.3">
      <c r="A30" s="1">
        <v>46065</v>
      </c>
      <c r="B30" s="6">
        <v>58.11</v>
      </c>
      <c r="C30" s="6">
        <v>101.29</v>
      </c>
      <c r="D30" s="7">
        <v>1.8947555405947601E-3</v>
      </c>
      <c r="E30" s="7">
        <v>1.7786565953981199E-3</v>
      </c>
      <c r="F30" s="6">
        <v>0</v>
      </c>
      <c r="G30" s="6">
        <v>0.13800000000000001</v>
      </c>
      <c r="H30" s="6">
        <v>0</v>
      </c>
      <c r="I30" s="6">
        <v>0.25080000000000002</v>
      </c>
      <c r="J30" s="6">
        <v>0.13800000000000001</v>
      </c>
      <c r="K30" s="6">
        <v>0.25080000000000002</v>
      </c>
      <c r="L30" s="6">
        <v>58.247999999999998</v>
      </c>
      <c r="M30" s="6">
        <v>101.5408</v>
      </c>
      <c r="N30" s="8">
        <v>1.74307348132851</v>
      </c>
      <c r="O30" s="8">
        <v>1.7441031794745401</v>
      </c>
      <c r="P30" s="8">
        <v>1.7439068779763101</v>
      </c>
      <c r="Q30" s="8">
        <v>1.74397255921464</v>
      </c>
      <c r="R30" s="6">
        <v>101.34983575926501</v>
      </c>
      <c r="S30" s="6">
        <v>101.343258006542</v>
      </c>
      <c r="T30" s="6">
        <v>101.348177025853</v>
      </c>
      <c r="U30" s="7">
        <v>5.9056266780314795E-4</v>
      </c>
      <c r="V30" s="7">
        <v>5.2565909754921398E-4</v>
      </c>
      <c r="W30" s="7">
        <v>5.7419611946881398E-4</v>
      </c>
      <c r="X30" s="8">
        <v>1.7432495536327399</v>
      </c>
      <c r="Y30" s="8">
        <v>1.7448470922733199</v>
      </c>
      <c r="Z30" s="8">
        <v>1.7440640086785799</v>
      </c>
      <c r="AA30" s="8">
        <v>1.7440511245657699</v>
      </c>
      <c r="AB30" s="6">
        <v>101.633853430736</v>
      </c>
      <c r="AC30" s="6">
        <v>101.592055587608</v>
      </c>
      <c r="AD30" s="6">
        <v>101.592922807044</v>
      </c>
      <c r="AE30" s="7">
        <v>9.15994546282499E-4</v>
      </c>
      <c r="AF30" s="7">
        <v>5.04650895080294E-4</v>
      </c>
      <c r="AG30" s="7">
        <v>5.13187150496023E-4</v>
      </c>
      <c r="AZ30" s="23"/>
      <c r="BB30" s="12">
        <f t="shared" si="6"/>
        <v>0</v>
      </c>
      <c r="BC30" s="12">
        <f t="shared" si="7"/>
        <v>1</v>
      </c>
      <c r="BD30" s="12">
        <f t="shared" si="8"/>
        <v>0</v>
      </c>
      <c r="BE30" s="12">
        <f t="shared" si="4"/>
        <v>1</v>
      </c>
      <c r="BF30" s="12">
        <f t="shared" si="9"/>
        <v>0</v>
      </c>
      <c r="BG30" s="23">
        <f t="shared" si="10"/>
        <v>0</v>
      </c>
      <c r="BH30" s="23">
        <f t="shared" si="11"/>
        <v>0</v>
      </c>
      <c r="BI30" s="23">
        <f t="shared" si="12"/>
        <v>0</v>
      </c>
      <c r="BJ30" s="18">
        <f t="shared" si="13"/>
        <v>0</v>
      </c>
      <c r="BL30" s="23"/>
      <c r="BN30" s="12">
        <f t="shared" si="14"/>
        <v>0</v>
      </c>
      <c r="BO30" s="12">
        <f t="shared" si="15"/>
        <v>0</v>
      </c>
      <c r="BP30" s="12">
        <f t="shared" si="16"/>
        <v>0</v>
      </c>
      <c r="BQ30" s="12">
        <f t="shared" si="5"/>
        <v>1</v>
      </c>
      <c r="BR30" s="12">
        <f t="shared" si="17"/>
        <v>0</v>
      </c>
      <c r="BS30" s="23">
        <f t="shared" si="18"/>
        <v>0</v>
      </c>
      <c r="BT30" s="23">
        <f t="shared" si="19"/>
        <v>0</v>
      </c>
      <c r="BU30" s="23">
        <f t="shared" si="20"/>
        <v>0</v>
      </c>
      <c r="BV30" s="18">
        <f t="shared" si="21"/>
        <v>0</v>
      </c>
      <c r="BX30" s="18">
        <f t="shared" si="22"/>
        <v>0</v>
      </c>
      <c r="BY30" s="18">
        <f t="shared" si="23"/>
        <v>0</v>
      </c>
      <c r="CL30" s="15"/>
      <c r="CM30" s="16"/>
      <c r="CN30" s="16"/>
      <c r="CO30" s="16"/>
      <c r="CP30" s="16"/>
      <c r="CQ30" s="16"/>
      <c r="CR30" s="16"/>
      <c r="CS30" s="16"/>
      <c r="CT30" s="16"/>
    </row>
    <row r="31" spans="1:98" x14ac:dyDescent="0.3">
      <c r="A31" s="1">
        <v>46066</v>
      </c>
      <c r="B31" s="6">
        <v>58.16</v>
      </c>
      <c r="C31" s="6">
        <v>101.41</v>
      </c>
      <c r="D31" s="7">
        <v>8.6006713824963597E-4</v>
      </c>
      <c r="E31" s="7">
        <v>1.1840159251990999E-3</v>
      </c>
      <c r="F31" s="6">
        <v>0</v>
      </c>
      <c r="G31" s="6">
        <v>0.13800000000000001</v>
      </c>
      <c r="H31" s="6">
        <v>0</v>
      </c>
      <c r="I31" s="6">
        <v>0.25080000000000002</v>
      </c>
      <c r="J31" s="6">
        <v>0.13800000000000001</v>
      </c>
      <c r="K31" s="6">
        <v>0.25080000000000002</v>
      </c>
      <c r="L31" s="6">
        <v>58.297999999999902</v>
      </c>
      <c r="M31" s="6">
        <v>101.66079999999999</v>
      </c>
      <c r="N31" s="8">
        <v>1.74363823933975</v>
      </c>
      <c r="O31" s="8">
        <v>1.7441031794745401</v>
      </c>
      <c r="P31" s="8">
        <v>1.7439010991468999</v>
      </c>
      <c r="Q31" s="8">
        <v>1.74396767318612</v>
      </c>
      <c r="R31" s="6">
        <v>101.43704091823901</v>
      </c>
      <c r="S31" s="6">
        <v>101.425624023102</v>
      </c>
      <c r="T31" s="6">
        <v>101.429444043923</v>
      </c>
      <c r="U31" s="7">
        <v>2.6661388085392102E-4</v>
      </c>
      <c r="V31" s="7">
        <v>1.54056006763954E-4</v>
      </c>
      <c r="W31" s="7">
        <v>1.91718569085074E-4</v>
      </c>
      <c r="X31" s="8">
        <v>1.7438128237675301</v>
      </c>
      <c r="Y31" s="8">
        <v>1.7448470922733199</v>
      </c>
      <c r="Z31" s="8">
        <v>1.7440756882919399</v>
      </c>
      <c r="AA31" s="8">
        <v>1.7440549677586401</v>
      </c>
      <c r="AB31" s="6">
        <v>101.72109578535</v>
      </c>
      <c r="AC31" s="6">
        <v>101.675443577943</v>
      </c>
      <c r="AD31" s="6">
        <v>101.674692459935</v>
      </c>
      <c r="AE31" s="7">
        <v>5.9293170499479105E-4</v>
      </c>
      <c r="AF31" s="7">
        <v>1.4403313163939999E-4</v>
      </c>
      <c r="AG31" s="7">
        <v>1.3664569612548101E-4</v>
      </c>
      <c r="AZ31" s="23"/>
      <c r="BB31" s="12">
        <f t="shared" si="6"/>
        <v>0</v>
      </c>
      <c r="BC31" s="12">
        <f t="shared" si="7"/>
        <v>1</v>
      </c>
      <c r="BD31" s="12">
        <f t="shared" si="8"/>
        <v>0</v>
      </c>
      <c r="BE31" s="12">
        <f t="shared" si="4"/>
        <v>1</v>
      </c>
      <c r="BF31" s="12">
        <f t="shared" si="9"/>
        <v>0</v>
      </c>
      <c r="BG31" s="23">
        <f t="shared" si="10"/>
        <v>0</v>
      </c>
      <c r="BH31" s="23">
        <f t="shared" si="11"/>
        <v>0</v>
      </c>
      <c r="BI31" s="23">
        <f t="shared" si="12"/>
        <v>0</v>
      </c>
      <c r="BJ31" s="18">
        <f t="shared" si="13"/>
        <v>0</v>
      </c>
      <c r="BL31" s="23"/>
      <c r="BN31" s="12">
        <f t="shared" si="14"/>
        <v>0</v>
      </c>
      <c r="BO31" s="12">
        <f t="shared" si="15"/>
        <v>0</v>
      </c>
      <c r="BP31" s="12">
        <f t="shared" si="16"/>
        <v>0</v>
      </c>
      <c r="BQ31" s="12">
        <f t="shared" si="5"/>
        <v>1</v>
      </c>
      <c r="BR31" s="12">
        <f t="shared" si="17"/>
        <v>0</v>
      </c>
      <c r="BS31" s="23">
        <f t="shared" si="18"/>
        <v>0</v>
      </c>
      <c r="BT31" s="23">
        <f t="shared" si="19"/>
        <v>0</v>
      </c>
      <c r="BU31" s="23">
        <f t="shared" si="20"/>
        <v>0</v>
      </c>
      <c r="BV31" s="18">
        <f t="shared" si="21"/>
        <v>0</v>
      </c>
      <c r="BX31" s="18">
        <f t="shared" si="22"/>
        <v>0</v>
      </c>
      <c r="BY31" s="18">
        <f t="shared" si="23"/>
        <v>0</v>
      </c>
      <c r="CL31" s="15"/>
      <c r="CM31" s="16"/>
      <c r="CN31" s="16"/>
      <c r="CO31" s="16"/>
      <c r="CP31" s="16"/>
      <c r="CQ31" s="16"/>
      <c r="CR31" s="16"/>
      <c r="CS31" s="16"/>
      <c r="CT31" s="16"/>
    </row>
    <row r="32" spans="1:98" x14ac:dyDescent="0.3">
      <c r="A32" s="1">
        <v>46070</v>
      </c>
      <c r="B32" s="6">
        <v>58.18</v>
      </c>
      <c r="C32" s="6">
        <v>101.47</v>
      </c>
      <c r="D32" s="7">
        <v>3.4381984179163698E-4</v>
      </c>
      <c r="E32" s="7">
        <v>5.9148266708657299E-4</v>
      </c>
      <c r="F32" s="6">
        <v>0</v>
      </c>
      <c r="G32" s="6">
        <v>0.13800000000000001</v>
      </c>
      <c r="H32" s="6">
        <v>0</v>
      </c>
      <c r="I32" s="6">
        <v>0.25080000000000002</v>
      </c>
      <c r="J32" s="6">
        <v>0.13800000000000001</v>
      </c>
      <c r="K32" s="6">
        <v>0.25080000000000002</v>
      </c>
      <c r="L32" s="6">
        <v>58.317999999999998</v>
      </c>
      <c r="M32" s="6">
        <v>101.7208</v>
      </c>
      <c r="N32" s="8">
        <v>1.74407012719147</v>
      </c>
      <c r="O32" s="8">
        <v>1.7441031794745401</v>
      </c>
      <c r="P32" s="8">
        <v>1.7438492374071699</v>
      </c>
      <c r="Q32" s="8">
        <v>1.7439628822250299</v>
      </c>
      <c r="R32" s="6">
        <v>101.471922981828</v>
      </c>
      <c r="S32" s="6">
        <v>101.460165948366</v>
      </c>
      <c r="T32" s="6">
        <v>101.46403922596799</v>
      </c>
      <c r="U32" s="7">
        <v>1.8951055559015801E-5</v>
      </c>
      <c r="V32" s="7">
        <v>-9.6920549933512804E-5</v>
      </c>
      <c r="W32" s="7">
        <v>-5.8745926074633402E-5</v>
      </c>
      <c r="X32" s="8">
        <v>1.7442436297541</v>
      </c>
      <c r="Y32" s="8">
        <v>1.7448470922733199</v>
      </c>
      <c r="Z32" s="8">
        <v>1.7440238213060499</v>
      </c>
      <c r="AA32" s="8">
        <v>1.7440588519256901</v>
      </c>
      <c r="AB32" s="6">
        <v>101.75599272719499</v>
      </c>
      <c r="AC32" s="6">
        <v>101.711005989809</v>
      </c>
      <c r="AD32" s="6">
        <v>101.70979760974799</v>
      </c>
      <c r="AE32" s="7">
        <v>3.4591392045008003E-4</v>
      </c>
      <c r="AF32" s="7">
        <v>-9.6287895101261498E-5</v>
      </c>
      <c r="AG32" s="7">
        <v>-1.08168489808114E-4</v>
      </c>
      <c r="AZ32" s="23"/>
      <c r="BB32" s="12">
        <f t="shared" si="6"/>
        <v>0</v>
      </c>
      <c r="BC32" s="12">
        <f t="shared" si="7"/>
        <v>0</v>
      </c>
      <c r="BD32" s="12">
        <f t="shared" si="8"/>
        <v>0</v>
      </c>
      <c r="BE32" s="12">
        <f t="shared" si="4"/>
        <v>1</v>
      </c>
      <c r="BF32" s="12">
        <f t="shared" si="9"/>
        <v>0</v>
      </c>
      <c r="BG32" s="23">
        <f t="shared" si="10"/>
        <v>0</v>
      </c>
      <c r="BH32" s="23">
        <f t="shared" si="11"/>
        <v>0</v>
      </c>
      <c r="BI32" s="23">
        <f t="shared" si="12"/>
        <v>0</v>
      </c>
      <c r="BJ32" s="18">
        <f t="shared" si="13"/>
        <v>0</v>
      </c>
      <c r="BL32" s="23"/>
      <c r="BN32" s="12">
        <f t="shared" si="14"/>
        <v>0</v>
      </c>
      <c r="BO32" s="12">
        <f t="shared" si="15"/>
        <v>1</v>
      </c>
      <c r="BP32" s="12">
        <f t="shared" si="16"/>
        <v>0</v>
      </c>
      <c r="BQ32" s="12">
        <f t="shared" si="5"/>
        <v>1</v>
      </c>
      <c r="BR32" s="12">
        <f t="shared" si="17"/>
        <v>0</v>
      </c>
      <c r="BS32" s="23">
        <f t="shared" si="18"/>
        <v>0</v>
      </c>
      <c r="BT32" s="23">
        <f t="shared" si="19"/>
        <v>0</v>
      </c>
      <c r="BU32" s="23">
        <f t="shared" si="20"/>
        <v>0</v>
      </c>
      <c r="BV32" s="18">
        <f t="shared" si="21"/>
        <v>0</v>
      </c>
      <c r="BX32" s="18">
        <f t="shared" si="22"/>
        <v>0</v>
      </c>
      <c r="BY32" s="18">
        <f t="shared" si="23"/>
        <v>0</v>
      </c>
      <c r="CL32" s="15"/>
      <c r="CM32" s="16"/>
      <c r="CN32" s="16"/>
      <c r="CO32" s="16"/>
      <c r="CP32" s="16"/>
      <c r="CQ32" s="16"/>
      <c r="CR32" s="16"/>
      <c r="CS32" s="16"/>
      <c r="CT32" s="16"/>
    </row>
    <row r="33" spans="1:98" x14ac:dyDescent="0.3">
      <c r="A33" s="1">
        <v>46071</v>
      </c>
      <c r="B33" s="6">
        <v>58.16</v>
      </c>
      <c r="C33" s="6">
        <v>101.47</v>
      </c>
      <c r="D33" s="7">
        <v>-3.4381984179173499E-4</v>
      </c>
      <c r="E33" s="7">
        <v>0</v>
      </c>
      <c r="F33" s="6">
        <v>0</v>
      </c>
      <c r="G33" s="6">
        <v>0.13800000000000001</v>
      </c>
      <c r="H33" s="6">
        <v>0</v>
      </c>
      <c r="I33" s="6">
        <v>0.25080000000000002</v>
      </c>
      <c r="J33" s="6">
        <v>0.13800000000000001</v>
      </c>
      <c r="K33" s="6">
        <v>0.25080000000000002</v>
      </c>
      <c r="L33" s="6">
        <v>58.297999999999902</v>
      </c>
      <c r="M33" s="6">
        <v>101.7208</v>
      </c>
      <c r="N33" s="8">
        <v>1.7446698762035699</v>
      </c>
      <c r="O33" s="8">
        <v>1.7441031794745401</v>
      </c>
      <c r="P33" s="8">
        <v>1.7438742800543501</v>
      </c>
      <c r="Q33" s="8">
        <v>1.74386130659077</v>
      </c>
      <c r="R33" s="6">
        <v>101.43704091823901</v>
      </c>
      <c r="S33" s="6">
        <v>101.42227164760099</v>
      </c>
      <c r="T33" s="6">
        <v>101.42888123020801</v>
      </c>
      <c r="U33" s="7">
        <v>-3.2486878623262297E-4</v>
      </c>
      <c r="V33" s="7">
        <v>-4.70479756488515E-4</v>
      </c>
      <c r="W33" s="7">
        <v>-4.0531293327405901E-4</v>
      </c>
      <c r="X33" s="8">
        <v>1.74484201859412</v>
      </c>
      <c r="Y33" s="8">
        <v>1.7448470922733199</v>
      </c>
      <c r="Z33" s="8">
        <v>1.7440486943434801</v>
      </c>
      <c r="AA33" s="8">
        <v>1.7439658834109499</v>
      </c>
      <c r="AB33" s="6">
        <v>101.72109578535</v>
      </c>
      <c r="AC33" s="6">
        <v>101.6731007345</v>
      </c>
      <c r="AD33" s="6">
        <v>101.67514294956401</v>
      </c>
      <c r="AE33" s="7">
        <v>2.9078115782310699E-6</v>
      </c>
      <c r="AF33" s="7">
        <v>-4.6903339974141E-4</v>
      </c>
      <c r="AG33" s="7">
        <v>-4.4894751134911702E-4</v>
      </c>
      <c r="AZ33" s="23"/>
      <c r="BB33" s="12">
        <f t="shared" si="6"/>
        <v>0</v>
      </c>
      <c r="BC33" s="12">
        <f t="shared" si="7"/>
        <v>0</v>
      </c>
      <c r="BD33" s="12">
        <f t="shared" si="8"/>
        <v>0</v>
      </c>
      <c r="BE33" s="12">
        <f t="shared" si="4"/>
        <v>1</v>
      </c>
      <c r="BF33" s="12">
        <f t="shared" si="9"/>
        <v>0</v>
      </c>
      <c r="BG33" s="23">
        <f t="shared" si="10"/>
        <v>0</v>
      </c>
      <c r="BH33" s="23">
        <f t="shared" si="11"/>
        <v>0</v>
      </c>
      <c r="BI33" s="23">
        <f t="shared" si="12"/>
        <v>0</v>
      </c>
      <c r="BJ33" s="18">
        <f t="shared" si="13"/>
        <v>0</v>
      </c>
      <c r="BL33" s="23"/>
      <c r="BN33" s="12">
        <f t="shared" si="14"/>
        <v>0</v>
      </c>
      <c r="BO33" s="12">
        <f t="shared" si="15"/>
        <v>1</v>
      </c>
      <c r="BP33" s="12">
        <f t="shared" si="16"/>
        <v>0</v>
      </c>
      <c r="BQ33" s="12">
        <f t="shared" si="5"/>
        <v>1</v>
      </c>
      <c r="BR33" s="12">
        <f t="shared" si="17"/>
        <v>0</v>
      </c>
      <c r="BS33" s="23">
        <f t="shared" si="18"/>
        <v>0</v>
      </c>
      <c r="BT33" s="23">
        <f t="shared" si="19"/>
        <v>0</v>
      </c>
      <c r="BU33" s="23">
        <f t="shared" si="20"/>
        <v>0</v>
      </c>
      <c r="BV33" s="18">
        <f t="shared" si="21"/>
        <v>0</v>
      </c>
      <c r="BX33" s="18">
        <f t="shared" si="22"/>
        <v>0</v>
      </c>
      <c r="BY33" s="18">
        <f t="shared" si="23"/>
        <v>0</v>
      </c>
      <c r="CL33" s="15"/>
      <c r="CM33" s="16"/>
      <c r="CN33" s="16"/>
      <c r="CO33" s="16"/>
      <c r="CP33" s="16"/>
      <c r="CQ33" s="16"/>
      <c r="CR33" s="16"/>
      <c r="CS33" s="16"/>
      <c r="CT33" s="16"/>
    </row>
    <row r="34" spans="1:98" x14ac:dyDescent="0.3">
      <c r="A34" s="1">
        <v>46072</v>
      </c>
      <c r="B34" s="6">
        <v>58.18</v>
      </c>
      <c r="C34" s="6">
        <v>101.46</v>
      </c>
      <c r="D34" s="7">
        <v>3.4381984179163698E-4</v>
      </c>
      <c r="E34" s="7">
        <v>-9.8556152447645798E-5</v>
      </c>
      <c r="F34" s="6">
        <v>0</v>
      </c>
      <c r="G34" s="6">
        <v>0.13800000000000001</v>
      </c>
      <c r="H34" s="6">
        <v>0</v>
      </c>
      <c r="I34" s="6">
        <v>0.25080000000000002</v>
      </c>
      <c r="J34" s="6">
        <v>0.13800000000000001</v>
      </c>
      <c r="K34" s="6">
        <v>0.25080000000000002</v>
      </c>
      <c r="L34" s="6">
        <v>58.317999999999998</v>
      </c>
      <c r="M34" s="6">
        <v>101.710799999999</v>
      </c>
      <c r="N34" s="8">
        <v>1.74389824682021</v>
      </c>
      <c r="O34" s="8">
        <v>1.7441031794745401</v>
      </c>
      <c r="P34" s="8">
        <v>1.7437871896404</v>
      </c>
      <c r="Q34" s="8">
        <v>1.7438851663002</v>
      </c>
      <c r="R34" s="6">
        <v>101.471922981828</v>
      </c>
      <c r="S34" s="6">
        <v>101.458605613562</v>
      </c>
      <c r="T34" s="6">
        <v>101.457850817451</v>
      </c>
      <c r="U34" s="7">
        <v>1.17507208006742E-4</v>
      </c>
      <c r="V34" s="7">
        <v>-1.37433078989723E-5</v>
      </c>
      <c r="W34" s="7">
        <v>-2.1182784464449699E-5</v>
      </c>
      <c r="X34" s="8">
        <v>1.7440721561096</v>
      </c>
      <c r="Y34" s="8">
        <v>1.7448470922733199</v>
      </c>
      <c r="Z34" s="8">
        <v>1.7439617062558399</v>
      </c>
      <c r="AA34" s="8">
        <v>1.7439984385848499</v>
      </c>
      <c r="AB34" s="6">
        <v>101.75599272719499</v>
      </c>
      <c r="AC34" s="6">
        <v>101.70943175672301</v>
      </c>
      <c r="AD34" s="6">
        <v>101.70460238875999</v>
      </c>
      <c r="AE34" s="7">
        <v>4.4422706361998602E-4</v>
      </c>
      <c r="AF34" s="7">
        <v>-1.3452381457591299E-5</v>
      </c>
      <c r="AG34" s="7">
        <v>-6.0935515886393803E-5</v>
      </c>
      <c r="AZ34" s="23"/>
      <c r="BB34" s="12">
        <f t="shared" si="6"/>
        <v>0</v>
      </c>
      <c r="BC34" s="12">
        <f t="shared" si="7"/>
        <v>0</v>
      </c>
      <c r="BD34" s="12">
        <f t="shared" si="8"/>
        <v>0</v>
      </c>
      <c r="BE34" s="12">
        <f t="shared" si="4"/>
        <v>1</v>
      </c>
      <c r="BF34" s="12">
        <f t="shared" si="9"/>
        <v>0</v>
      </c>
      <c r="BG34" s="23">
        <f t="shared" si="10"/>
        <v>0</v>
      </c>
      <c r="BH34" s="23">
        <f t="shared" si="11"/>
        <v>0</v>
      </c>
      <c r="BI34" s="23">
        <f t="shared" si="12"/>
        <v>0</v>
      </c>
      <c r="BJ34" s="18">
        <f t="shared" si="13"/>
        <v>0</v>
      </c>
      <c r="BL34" s="23"/>
      <c r="BN34" s="12">
        <f t="shared" si="14"/>
        <v>0</v>
      </c>
      <c r="BO34" s="12">
        <f t="shared" si="15"/>
        <v>1</v>
      </c>
      <c r="BP34" s="12">
        <f t="shared" si="16"/>
        <v>0</v>
      </c>
      <c r="BQ34" s="12">
        <f t="shared" si="5"/>
        <v>1</v>
      </c>
      <c r="BR34" s="12">
        <f t="shared" si="17"/>
        <v>0</v>
      </c>
      <c r="BS34" s="23">
        <f t="shared" si="18"/>
        <v>0</v>
      </c>
      <c r="BT34" s="23">
        <f t="shared" si="19"/>
        <v>0</v>
      </c>
      <c r="BU34" s="23">
        <f t="shared" si="20"/>
        <v>0</v>
      </c>
      <c r="BV34" s="18">
        <f t="shared" si="21"/>
        <v>0</v>
      </c>
      <c r="BX34" s="18">
        <f t="shared" si="22"/>
        <v>0</v>
      </c>
      <c r="BY34" s="18">
        <f t="shared" si="23"/>
        <v>0</v>
      </c>
    </row>
    <row r="35" spans="1:98" x14ac:dyDescent="0.3">
      <c r="A35" s="1">
        <v>46073</v>
      </c>
      <c r="B35" s="6">
        <v>58.22</v>
      </c>
      <c r="C35" s="6">
        <v>101.55</v>
      </c>
      <c r="D35" s="7">
        <v>6.8728525042154498E-4</v>
      </c>
      <c r="E35" s="7">
        <v>8.8665588784969803E-4</v>
      </c>
      <c r="F35" s="6">
        <v>0</v>
      </c>
      <c r="G35" s="6">
        <v>0.13800000000000001</v>
      </c>
      <c r="H35" s="6">
        <v>0</v>
      </c>
      <c r="I35" s="6">
        <v>0.25080000000000002</v>
      </c>
      <c r="J35" s="6">
        <v>0.13800000000000001</v>
      </c>
      <c r="K35" s="6">
        <v>0.25080000000000002</v>
      </c>
      <c r="L35" s="6">
        <v>58.357999999999997</v>
      </c>
      <c r="M35" s="6">
        <v>101.8008</v>
      </c>
      <c r="N35" s="8">
        <v>1.7442459635863901</v>
      </c>
      <c r="O35" s="8">
        <v>1.7441031794745401</v>
      </c>
      <c r="P35" s="8">
        <v>1.74376427218688</v>
      </c>
      <c r="Q35" s="8">
        <v>1.74394817455919</v>
      </c>
      <c r="R35" s="6">
        <v>101.541687109007</v>
      </c>
      <c r="S35" s="6">
        <v>101.523290180864</v>
      </c>
      <c r="T35" s="6">
        <v>101.52899438199699</v>
      </c>
      <c r="U35" s="7">
        <v>-8.1863429421693E-5</v>
      </c>
      <c r="V35" s="7">
        <v>-2.63055956456589E-4</v>
      </c>
      <c r="W35" s="7">
        <v>-2.0687140135747001E-4</v>
      </c>
      <c r="X35" s="8">
        <v>1.7444189314232801</v>
      </c>
      <c r="Y35" s="8">
        <v>1.7448470922733199</v>
      </c>
      <c r="Z35" s="8">
        <v>1.74393875389884</v>
      </c>
      <c r="AA35" s="8">
        <v>1.74407009523568</v>
      </c>
      <c r="AB35" s="6">
        <v>101.825786610886</v>
      </c>
      <c r="AC35" s="6">
        <v>101.774117253678</v>
      </c>
      <c r="AD35" s="6">
        <v>101.77626087893501</v>
      </c>
      <c r="AE35" s="7">
        <v>2.4541599825170398E-4</v>
      </c>
      <c r="AF35" s="7">
        <v>-2.6214178872262001E-4</v>
      </c>
      <c r="AG35" s="7">
        <v>-2.41079432799533E-4</v>
      </c>
      <c r="AZ35" s="23"/>
      <c r="BB35" s="12">
        <f t="shared" si="6"/>
        <v>0</v>
      </c>
      <c r="BC35" s="12">
        <f t="shared" si="7"/>
        <v>0</v>
      </c>
      <c r="BD35" s="12">
        <f t="shared" si="8"/>
        <v>0</v>
      </c>
      <c r="BE35" s="12">
        <f t="shared" si="4"/>
        <v>1</v>
      </c>
      <c r="BF35" s="12">
        <f t="shared" si="9"/>
        <v>0</v>
      </c>
      <c r="BG35" s="23">
        <f t="shared" si="10"/>
        <v>0</v>
      </c>
      <c r="BH35" s="23">
        <f t="shared" si="11"/>
        <v>0</v>
      </c>
      <c r="BI35" s="23">
        <f t="shared" si="12"/>
        <v>0</v>
      </c>
      <c r="BJ35" s="18">
        <f t="shared" si="13"/>
        <v>0</v>
      </c>
      <c r="BL35" s="23"/>
      <c r="BN35" s="12">
        <f t="shared" si="14"/>
        <v>0</v>
      </c>
      <c r="BO35" s="12">
        <f t="shared" si="15"/>
        <v>1</v>
      </c>
      <c r="BP35" s="12">
        <f t="shared" si="16"/>
        <v>0</v>
      </c>
      <c r="BQ35" s="12">
        <f t="shared" si="5"/>
        <v>1</v>
      </c>
      <c r="BR35" s="12">
        <f t="shared" si="17"/>
        <v>0</v>
      </c>
      <c r="BS35" s="23">
        <f t="shared" si="18"/>
        <v>0</v>
      </c>
      <c r="BT35" s="23">
        <f t="shared" si="19"/>
        <v>0</v>
      </c>
      <c r="BU35" s="23">
        <f t="shared" si="20"/>
        <v>0</v>
      </c>
      <c r="BV35" s="18">
        <f t="shared" si="21"/>
        <v>0</v>
      </c>
      <c r="BX35" s="18">
        <f t="shared" si="22"/>
        <v>0</v>
      </c>
      <c r="BY35" s="18">
        <f t="shared" si="23"/>
        <v>0</v>
      </c>
    </row>
    <row r="36" spans="1:98" x14ac:dyDescent="0.3">
      <c r="A36" s="1">
        <v>46076</v>
      </c>
      <c r="B36" s="6">
        <v>58.24</v>
      </c>
      <c r="C36" s="6">
        <v>101.62</v>
      </c>
      <c r="D36" s="7">
        <v>3.43465570953438E-4</v>
      </c>
      <c r="E36" s="7">
        <v>6.8907813919225102E-4</v>
      </c>
      <c r="F36" s="6">
        <v>0</v>
      </c>
      <c r="G36" s="6">
        <v>0.13800000000000001</v>
      </c>
      <c r="H36" s="6">
        <v>0</v>
      </c>
      <c r="I36" s="6">
        <v>0.25080000000000002</v>
      </c>
      <c r="J36" s="6">
        <v>0.13800000000000001</v>
      </c>
      <c r="K36" s="6">
        <v>0.25080000000000002</v>
      </c>
      <c r="L36" s="6">
        <v>58.378</v>
      </c>
      <c r="M36" s="6">
        <v>101.8708</v>
      </c>
      <c r="N36" s="8">
        <v>1.7448489010988999</v>
      </c>
      <c r="O36" s="8">
        <v>1.7441031794745401</v>
      </c>
      <c r="P36" s="8">
        <v>1.7438490241990701</v>
      </c>
      <c r="Q36" s="8">
        <v>1.74402401067752</v>
      </c>
      <c r="R36" s="6">
        <v>101.576569172597</v>
      </c>
      <c r="S36" s="6">
        <v>101.556831212164</v>
      </c>
      <c r="T36" s="6">
        <v>101.567541686327</v>
      </c>
      <c r="U36" s="7">
        <v>-4.2747599766037702E-4</v>
      </c>
      <c r="V36" s="7">
        <v>-6.2181095643650301E-4</v>
      </c>
      <c r="W36" s="7">
        <v>-5.1635365439103604E-4</v>
      </c>
      <c r="X36" s="8">
        <v>1.7450203843913801</v>
      </c>
      <c r="Y36" s="8">
        <v>1.7448470922733199</v>
      </c>
      <c r="Z36" s="8">
        <v>1.7440232129483</v>
      </c>
      <c r="AA36" s="8">
        <v>1.74415450551864</v>
      </c>
      <c r="AB36" s="6">
        <v>101.860683552731</v>
      </c>
      <c r="AC36" s="6">
        <v>101.807656575107</v>
      </c>
      <c r="AD36" s="6">
        <v>101.815324019668</v>
      </c>
      <c r="AE36" s="7">
        <v>-9.9311575216405999E-5</v>
      </c>
      <c r="AF36" s="7">
        <v>-6.2003049294116698E-4</v>
      </c>
      <c r="AG36" s="7">
        <v>-5.4472028440611395E-4</v>
      </c>
      <c r="AZ36" s="23"/>
      <c r="BB36" s="12">
        <f t="shared" si="6"/>
        <v>0</v>
      </c>
      <c r="BC36" s="12">
        <f t="shared" si="7"/>
        <v>0</v>
      </c>
      <c r="BD36" s="12">
        <f t="shared" si="8"/>
        <v>0</v>
      </c>
      <c r="BE36" s="12">
        <f t="shared" si="4"/>
        <v>1</v>
      </c>
      <c r="BF36" s="12">
        <f t="shared" si="9"/>
        <v>0</v>
      </c>
      <c r="BG36" s="23">
        <f t="shared" si="10"/>
        <v>0</v>
      </c>
      <c r="BH36" s="23">
        <f t="shared" si="11"/>
        <v>0</v>
      </c>
      <c r="BI36" s="23">
        <f t="shared" si="12"/>
        <v>0</v>
      </c>
      <c r="BJ36" s="18">
        <f t="shared" si="13"/>
        <v>0</v>
      </c>
      <c r="BL36" s="23"/>
      <c r="BN36" s="12">
        <f t="shared" si="14"/>
        <v>0</v>
      </c>
      <c r="BO36" s="12">
        <f t="shared" si="15"/>
        <v>1</v>
      </c>
      <c r="BP36" s="12">
        <f t="shared" si="16"/>
        <v>0</v>
      </c>
      <c r="BQ36" s="12">
        <f t="shared" si="5"/>
        <v>1</v>
      </c>
      <c r="BR36" s="12">
        <f t="shared" si="17"/>
        <v>0</v>
      </c>
      <c r="BS36" s="23">
        <f t="shared" si="18"/>
        <v>0</v>
      </c>
      <c r="BT36" s="23">
        <f t="shared" si="19"/>
        <v>0</v>
      </c>
      <c r="BU36" s="23">
        <f t="shared" si="20"/>
        <v>0</v>
      </c>
      <c r="BV36" s="18">
        <f t="shared" si="21"/>
        <v>0</v>
      </c>
      <c r="BX36" s="18">
        <f t="shared" si="22"/>
        <v>0</v>
      </c>
      <c r="BY36" s="18">
        <f t="shared" si="23"/>
        <v>0</v>
      </c>
    </row>
    <row r="37" spans="1:98" x14ac:dyDescent="0.3">
      <c r="A37" s="1">
        <v>46077</v>
      </c>
      <c r="B37" s="6">
        <v>58.28</v>
      </c>
      <c r="C37" s="6">
        <v>101.7</v>
      </c>
      <c r="D37" s="7">
        <v>6.8657743857355102E-4</v>
      </c>
      <c r="E37" s="7">
        <v>7.8693688892837504E-4</v>
      </c>
      <c r="F37" s="6">
        <v>0</v>
      </c>
      <c r="G37" s="6">
        <v>0.13800000000000001</v>
      </c>
      <c r="H37" s="6">
        <v>0</v>
      </c>
      <c r="I37" s="6">
        <v>0.25080000000000002</v>
      </c>
      <c r="J37" s="6">
        <v>0.13800000000000001</v>
      </c>
      <c r="K37" s="6">
        <v>0.25080000000000002</v>
      </c>
      <c r="L37" s="6">
        <v>58.417999999999999</v>
      </c>
      <c r="M37" s="6">
        <v>101.9508</v>
      </c>
      <c r="N37" s="8">
        <v>1.74502402196293</v>
      </c>
      <c r="O37" s="8">
        <v>1.7441031794745401</v>
      </c>
      <c r="P37" s="8">
        <v>1.7439380378515399</v>
      </c>
      <c r="Q37" s="8">
        <v>1.7441061513845999</v>
      </c>
      <c r="R37" s="6">
        <v>101.646333299776</v>
      </c>
      <c r="S37" s="6">
        <v>101.631521130322</v>
      </c>
      <c r="T37" s="6">
        <v>101.641719342286</v>
      </c>
      <c r="U37" s="7">
        <v>-5.2783544801527304E-4</v>
      </c>
      <c r="V37" s="7">
        <v>-6.7356868119851105E-4</v>
      </c>
      <c r="W37" s="7">
        <v>-5.7322874517149402E-4</v>
      </c>
      <c r="X37" s="8">
        <v>1.7451949741518</v>
      </c>
      <c r="Y37" s="8">
        <v>1.7448470922733199</v>
      </c>
      <c r="Z37" s="8">
        <v>1.74411192100757</v>
      </c>
      <c r="AA37" s="8">
        <v>1.74424519383516</v>
      </c>
      <c r="AB37" s="6">
        <v>101.930477436422</v>
      </c>
      <c r="AC37" s="6">
        <v>101.882348054014</v>
      </c>
      <c r="AD37" s="6">
        <v>101.890017903388</v>
      </c>
      <c r="AE37" s="7">
        <v>-1.9935684041230101E-4</v>
      </c>
      <c r="AF37" s="7">
        <v>-6.7164687601260103E-4</v>
      </c>
      <c r="AG37" s="7">
        <v>-5.9636827440656204E-4</v>
      </c>
      <c r="AZ37" s="23"/>
      <c r="BB37" s="12">
        <f t="shared" si="6"/>
        <v>0</v>
      </c>
      <c r="BC37" s="12">
        <f t="shared" si="7"/>
        <v>0</v>
      </c>
      <c r="BD37" s="12">
        <f t="shared" si="8"/>
        <v>0</v>
      </c>
      <c r="BE37" s="12">
        <f t="shared" si="4"/>
        <v>1</v>
      </c>
      <c r="BF37" s="12">
        <f t="shared" si="9"/>
        <v>0</v>
      </c>
      <c r="BG37" s="23">
        <f t="shared" si="10"/>
        <v>0</v>
      </c>
      <c r="BH37" s="23">
        <f t="shared" si="11"/>
        <v>0</v>
      </c>
      <c r="BI37" s="23">
        <f t="shared" si="12"/>
        <v>0</v>
      </c>
      <c r="BJ37" s="18">
        <f t="shared" si="13"/>
        <v>0</v>
      </c>
      <c r="BL37" s="23"/>
      <c r="BN37" s="12">
        <f t="shared" si="14"/>
        <v>0</v>
      </c>
      <c r="BO37" s="12">
        <f t="shared" si="15"/>
        <v>1</v>
      </c>
      <c r="BP37" s="12">
        <f t="shared" si="16"/>
        <v>0</v>
      </c>
      <c r="BQ37" s="12">
        <f t="shared" si="5"/>
        <v>1</v>
      </c>
      <c r="BR37" s="12">
        <f t="shared" si="17"/>
        <v>0</v>
      </c>
      <c r="BS37" s="23">
        <f t="shared" si="18"/>
        <v>0</v>
      </c>
      <c r="BT37" s="23">
        <f t="shared" si="19"/>
        <v>0</v>
      </c>
      <c r="BU37" s="23">
        <f t="shared" si="20"/>
        <v>0</v>
      </c>
      <c r="BV37" s="18">
        <f t="shared" si="21"/>
        <v>0</v>
      </c>
      <c r="BX37" s="18">
        <f t="shared" si="22"/>
        <v>0</v>
      </c>
      <c r="BY37" s="18">
        <f t="shared" si="23"/>
        <v>0</v>
      </c>
    </row>
    <row r="38" spans="1:98" x14ac:dyDescent="0.3">
      <c r="A38" s="1">
        <v>46078</v>
      </c>
      <c r="B38" s="6">
        <v>58.33</v>
      </c>
      <c r="C38" s="6">
        <v>101.69</v>
      </c>
      <c r="D38" s="7">
        <v>8.5755943854211401E-4</v>
      </c>
      <c r="E38" s="7">
        <v>-9.8333251468190301E-5</v>
      </c>
      <c r="F38" s="6">
        <v>0</v>
      </c>
      <c r="G38" s="6">
        <v>0.13800000000000001</v>
      </c>
      <c r="H38" s="6">
        <v>0</v>
      </c>
      <c r="I38" s="6">
        <v>0.25080000000000002</v>
      </c>
      <c r="J38" s="6">
        <v>0.13800000000000001</v>
      </c>
      <c r="K38" s="6">
        <v>0.25080000000000002</v>
      </c>
      <c r="L38" s="6">
        <v>58.467999999999897</v>
      </c>
      <c r="M38" s="6">
        <v>101.9408</v>
      </c>
      <c r="N38" s="8">
        <v>1.74335676324361</v>
      </c>
      <c r="O38" s="8">
        <v>1.7441031794745401</v>
      </c>
      <c r="P38" s="8">
        <v>1.7440101482844299</v>
      </c>
      <c r="Q38" s="8">
        <v>1.7440552287298801</v>
      </c>
      <c r="R38" s="6">
        <v>101.733538458749</v>
      </c>
      <c r="S38" s="6">
        <v>101.72390574788</v>
      </c>
      <c r="T38" s="6">
        <v>101.733711810263</v>
      </c>
      <c r="U38" s="7">
        <v>4.2805724199507499E-4</v>
      </c>
      <c r="V38" s="7">
        <v>3.3336706327968601E-4</v>
      </c>
      <c r="W38" s="7">
        <v>4.2976121660055397E-4</v>
      </c>
      <c r="X38" s="8">
        <v>1.74353150441267</v>
      </c>
      <c r="Y38" s="8">
        <v>1.7448470922733199</v>
      </c>
      <c r="Z38" s="8">
        <v>1.7441837763364401</v>
      </c>
      <c r="AA38" s="8">
        <v>1.7442030082389</v>
      </c>
      <c r="AB38" s="6">
        <v>102.017719791036</v>
      </c>
      <c r="AC38" s="6">
        <v>101.97473579747</v>
      </c>
      <c r="AD38" s="6">
        <v>101.98252799315399</v>
      </c>
      <c r="AE38" s="7">
        <v>7.5426900295313102E-4</v>
      </c>
      <c r="AF38" s="7">
        <v>3.32841709693126E-4</v>
      </c>
      <c r="AG38" s="7">
        <v>4.0925179230211401E-4</v>
      </c>
      <c r="AZ38" s="23"/>
      <c r="BB38" s="12">
        <f t="shared" si="6"/>
        <v>0</v>
      </c>
      <c r="BC38" s="12">
        <f t="shared" si="7"/>
        <v>1</v>
      </c>
      <c r="BD38" s="12">
        <f t="shared" si="8"/>
        <v>0</v>
      </c>
      <c r="BE38" s="12">
        <f t="shared" si="4"/>
        <v>1</v>
      </c>
      <c r="BF38" s="12">
        <f t="shared" si="9"/>
        <v>0</v>
      </c>
      <c r="BG38" s="23">
        <f t="shared" si="10"/>
        <v>0</v>
      </c>
      <c r="BH38" s="23">
        <f t="shared" si="11"/>
        <v>0</v>
      </c>
      <c r="BI38" s="23">
        <f t="shared" si="12"/>
        <v>0</v>
      </c>
      <c r="BJ38" s="18">
        <f t="shared" si="13"/>
        <v>0</v>
      </c>
      <c r="BL38" s="23"/>
      <c r="BN38" s="12">
        <f t="shared" si="14"/>
        <v>0</v>
      </c>
      <c r="BO38" s="12">
        <f t="shared" si="15"/>
        <v>0</v>
      </c>
      <c r="BP38" s="12">
        <f t="shared" si="16"/>
        <v>0</v>
      </c>
      <c r="BQ38" s="12">
        <f t="shared" si="5"/>
        <v>1</v>
      </c>
      <c r="BR38" s="12">
        <f t="shared" si="17"/>
        <v>0</v>
      </c>
      <c r="BS38" s="23">
        <f t="shared" si="18"/>
        <v>0</v>
      </c>
      <c r="BT38" s="23">
        <f t="shared" si="19"/>
        <v>0</v>
      </c>
      <c r="BU38" s="23">
        <f t="shared" si="20"/>
        <v>0</v>
      </c>
      <c r="BV38" s="18">
        <f t="shared" si="21"/>
        <v>0</v>
      </c>
      <c r="BX38" s="18">
        <f t="shared" si="22"/>
        <v>0</v>
      </c>
      <c r="BY38" s="18">
        <f t="shared" si="23"/>
        <v>0</v>
      </c>
    </row>
    <row r="39" spans="1:98" x14ac:dyDescent="0.3">
      <c r="A39" s="1">
        <v>46079</v>
      </c>
      <c r="B39" s="6">
        <v>58.37</v>
      </c>
      <c r="C39" s="6">
        <v>101.76</v>
      </c>
      <c r="D39" s="7">
        <v>6.8551845015338102E-4</v>
      </c>
      <c r="E39" s="7">
        <v>6.8812978876604195E-4</v>
      </c>
      <c r="F39" s="6">
        <v>0</v>
      </c>
      <c r="G39" s="6">
        <v>0.13800000000000001</v>
      </c>
      <c r="H39" s="6">
        <v>0</v>
      </c>
      <c r="I39" s="6">
        <v>0.25080000000000002</v>
      </c>
      <c r="J39" s="6">
        <v>0.13800000000000001</v>
      </c>
      <c r="K39" s="6">
        <v>0.25080000000000002</v>
      </c>
      <c r="L39" s="6">
        <v>58.507999999999903</v>
      </c>
      <c r="M39" s="6">
        <v>102.0108</v>
      </c>
      <c r="N39" s="8">
        <v>1.7433613157443799</v>
      </c>
      <c r="O39" s="8">
        <v>1.7441031794745401</v>
      </c>
      <c r="P39" s="8">
        <v>1.7440186936519699</v>
      </c>
      <c r="Q39" s="8">
        <v>1.74400433913834</v>
      </c>
      <c r="R39" s="6">
        <v>101.80330258592799</v>
      </c>
      <c r="S39" s="6">
        <v>101.797872355362</v>
      </c>
      <c r="T39" s="6">
        <v>101.80050370096301</v>
      </c>
      <c r="U39" s="7">
        <v>4.2544590338246399E-4</v>
      </c>
      <c r="V39" s="7">
        <v>3.7210406417806E-4</v>
      </c>
      <c r="W39" s="7">
        <v>3.979524589666E-4</v>
      </c>
      <c r="X39" s="8">
        <v>1.7435359267108701</v>
      </c>
      <c r="Y39" s="8">
        <v>1.7448470922733199</v>
      </c>
      <c r="Z39" s="8">
        <v>1.7441921902948101</v>
      </c>
      <c r="AA39" s="8">
        <v>1.7441608491956799</v>
      </c>
      <c r="AB39" s="6">
        <v>102.08751367472701</v>
      </c>
      <c r="AC39" s="6">
        <v>102.04870438589199</v>
      </c>
      <c r="AD39" s="6">
        <v>102.049829606041</v>
      </c>
      <c r="AE39" s="7">
        <v>7.5173260335976001E-4</v>
      </c>
      <c r="AF39" s="7">
        <v>3.7150326756512199E-4</v>
      </c>
      <c r="AG39" s="7">
        <v>3.8252951187216097E-4</v>
      </c>
      <c r="AZ39" s="23"/>
      <c r="BB39" s="12">
        <f t="shared" si="6"/>
        <v>0</v>
      </c>
      <c r="BC39" s="12">
        <f t="shared" si="7"/>
        <v>1</v>
      </c>
      <c r="BD39" s="12">
        <f t="shared" si="8"/>
        <v>0</v>
      </c>
      <c r="BE39" s="12">
        <f t="shared" si="4"/>
        <v>1</v>
      </c>
      <c r="BF39" s="12">
        <f t="shared" si="9"/>
        <v>0</v>
      </c>
      <c r="BG39" s="23">
        <f t="shared" si="10"/>
        <v>0</v>
      </c>
      <c r="BH39" s="23">
        <f t="shared" si="11"/>
        <v>0</v>
      </c>
      <c r="BI39" s="23">
        <f t="shared" si="12"/>
        <v>0</v>
      </c>
      <c r="BJ39" s="18">
        <f t="shared" si="13"/>
        <v>0</v>
      </c>
      <c r="BL39" s="23"/>
      <c r="BN39" s="12">
        <f t="shared" si="14"/>
        <v>0</v>
      </c>
      <c r="BO39" s="12">
        <f t="shared" si="15"/>
        <v>0</v>
      </c>
      <c r="BP39" s="12">
        <f t="shared" si="16"/>
        <v>0</v>
      </c>
      <c r="BQ39" s="12">
        <f t="shared" si="5"/>
        <v>1</v>
      </c>
      <c r="BR39" s="12">
        <f t="shared" si="17"/>
        <v>0</v>
      </c>
      <c r="BS39" s="23">
        <f t="shared" si="18"/>
        <v>0</v>
      </c>
      <c r="BT39" s="23">
        <f t="shared" si="19"/>
        <v>0</v>
      </c>
      <c r="BU39" s="23">
        <f t="shared" si="20"/>
        <v>0</v>
      </c>
      <c r="BV39" s="18">
        <f t="shared" si="21"/>
        <v>0</v>
      </c>
      <c r="BX39" s="18">
        <f t="shared" si="22"/>
        <v>0</v>
      </c>
      <c r="BY39" s="18">
        <f t="shared" si="23"/>
        <v>0</v>
      </c>
    </row>
    <row r="40" spans="1:98" x14ac:dyDescent="0.3">
      <c r="A40" s="1">
        <v>46080</v>
      </c>
      <c r="B40" s="6">
        <v>58.41</v>
      </c>
      <c r="C40" s="6">
        <v>101.83</v>
      </c>
      <c r="D40" s="7">
        <v>6.85048836518421E-4</v>
      </c>
      <c r="E40" s="7">
        <v>6.8765659176191099E-4</v>
      </c>
      <c r="F40" s="6">
        <v>0</v>
      </c>
      <c r="G40" s="6">
        <v>0.13800000000000001</v>
      </c>
      <c r="H40" s="6">
        <v>0</v>
      </c>
      <c r="I40" s="6">
        <v>0.25080000000000002</v>
      </c>
      <c r="J40" s="6">
        <v>0.13800000000000001</v>
      </c>
      <c r="K40" s="6">
        <v>0.25080000000000002</v>
      </c>
      <c r="L40" s="6">
        <v>58.547999999999902</v>
      </c>
      <c r="M40" s="6">
        <v>102.0808</v>
      </c>
      <c r="N40" s="8">
        <v>1.7433658620099299</v>
      </c>
      <c r="O40" s="8">
        <v>1.7441031794745401</v>
      </c>
      <c r="P40" s="8">
        <v>1.7440479317201101</v>
      </c>
      <c r="Q40" s="8">
        <v>1.74397740484821</v>
      </c>
      <c r="R40" s="6">
        <v>101.87306671310699</v>
      </c>
      <c r="S40" s="6">
        <v>101.868131896211</v>
      </c>
      <c r="T40" s="6">
        <v>101.86729344907</v>
      </c>
      <c r="U40" s="7">
        <v>4.2283814813885202E-4</v>
      </c>
      <c r="V40" s="7">
        <v>3.7439613512812601E-4</v>
      </c>
      <c r="W40" s="7">
        <v>3.661653903795E-4</v>
      </c>
      <c r="X40" s="8">
        <v>1.74354034296645</v>
      </c>
      <c r="Y40" s="8">
        <v>1.7448470922733199</v>
      </c>
      <c r="Z40" s="8">
        <v>1.74422126922818</v>
      </c>
      <c r="AA40" s="8">
        <v>1.7441426389533801</v>
      </c>
      <c r="AB40" s="6">
        <v>102.157307558418</v>
      </c>
      <c r="AC40" s="6">
        <v>102.11896435737999</v>
      </c>
      <c r="AD40" s="6">
        <v>102.117129398709</v>
      </c>
      <c r="AE40" s="7">
        <v>7.4919967592369503E-4</v>
      </c>
      <c r="AF40" s="7">
        <v>3.7379433757106099E-4</v>
      </c>
      <c r="AG40" s="7">
        <v>3.5582534259156199E-4</v>
      </c>
      <c r="AZ40" s="23"/>
      <c r="BB40" s="12">
        <f t="shared" si="6"/>
        <v>0</v>
      </c>
      <c r="BC40" s="12">
        <f t="shared" si="7"/>
        <v>1</v>
      </c>
      <c r="BD40" s="12">
        <f t="shared" si="8"/>
        <v>0</v>
      </c>
      <c r="BE40" s="12">
        <f t="shared" si="4"/>
        <v>0</v>
      </c>
      <c r="BF40" s="12">
        <f t="shared" si="9"/>
        <v>0</v>
      </c>
      <c r="BG40" s="23">
        <f t="shared" si="10"/>
        <v>0</v>
      </c>
      <c r="BH40" s="23">
        <f t="shared" si="11"/>
        <v>0</v>
      </c>
      <c r="BI40" s="23">
        <f t="shared" si="12"/>
        <v>0</v>
      </c>
      <c r="BJ40" s="18">
        <f t="shared" si="13"/>
        <v>0</v>
      </c>
      <c r="BL40" s="23"/>
      <c r="BN40" s="12">
        <f t="shared" si="14"/>
        <v>0</v>
      </c>
      <c r="BO40" s="12">
        <f t="shared" si="15"/>
        <v>0</v>
      </c>
      <c r="BP40" s="12">
        <f t="shared" si="16"/>
        <v>0</v>
      </c>
      <c r="BQ40" s="12">
        <f t="shared" si="5"/>
        <v>0</v>
      </c>
      <c r="BR40" s="12">
        <f t="shared" si="17"/>
        <v>0</v>
      </c>
      <c r="BS40" s="23">
        <f t="shared" si="18"/>
        <v>0</v>
      </c>
      <c r="BT40" s="23">
        <f t="shared" si="19"/>
        <v>0</v>
      </c>
      <c r="BU40" s="23">
        <f t="shared" si="20"/>
        <v>0</v>
      </c>
      <c r="BV40" s="18">
        <f t="shared" si="21"/>
        <v>0</v>
      </c>
      <c r="BX40" s="18">
        <f t="shared" si="22"/>
        <v>0</v>
      </c>
      <c r="BY40" s="18">
        <f t="shared" si="23"/>
        <v>0</v>
      </c>
    </row>
    <row r="41" spans="1:98" x14ac:dyDescent="0.3">
      <c r="A41" s="1">
        <v>46083</v>
      </c>
      <c r="B41" s="6">
        <v>58.09</v>
      </c>
      <c r="C41" s="6">
        <v>101.34</v>
      </c>
      <c r="D41" s="7">
        <v>-5.4935760477767201E-3</v>
      </c>
      <c r="E41" s="7">
        <v>-4.8235561358103201E-3</v>
      </c>
      <c r="F41" s="6">
        <v>0.1421</v>
      </c>
      <c r="G41" s="6">
        <v>0.28010000000000002</v>
      </c>
      <c r="H41" s="6">
        <v>0.25669999999999998</v>
      </c>
      <c r="I41" s="6">
        <v>0.50749999999999995</v>
      </c>
      <c r="J41" s="6">
        <v>0.28010000000000002</v>
      </c>
      <c r="K41" s="6">
        <v>0.50749999999999995</v>
      </c>
      <c r="L41" s="6">
        <v>58.370100000000001</v>
      </c>
      <c r="M41" s="6">
        <v>101.8475</v>
      </c>
      <c r="N41" s="8">
        <v>1.7445343432604501</v>
      </c>
      <c r="O41" s="8">
        <v>1.7441031794745401</v>
      </c>
      <c r="P41" s="8">
        <v>1.7441375421121801</v>
      </c>
      <c r="Q41" s="8">
        <v>1.74401932062954</v>
      </c>
      <c r="R41" s="6">
        <v>101.314953695676</v>
      </c>
      <c r="S41" s="6">
        <v>101.31174435362099</v>
      </c>
      <c r="T41" s="6">
        <v>101.30764744763199</v>
      </c>
      <c r="U41" s="7">
        <v>-2.4718176382755998E-4</v>
      </c>
      <c r="V41" s="7">
        <v>-2.78859149735146E-4</v>
      </c>
      <c r="W41" s="7">
        <v>-3.1929857611959201E-4</v>
      </c>
      <c r="X41" s="8">
        <v>1.7448573841744299</v>
      </c>
      <c r="Y41" s="8">
        <v>1.7448470922733199</v>
      </c>
      <c r="Z41" s="8">
        <v>1.74432572526887</v>
      </c>
      <c r="AA41" s="8">
        <v>1.7442007067804099</v>
      </c>
      <c r="AB41" s="6">
        <v>101.846899260702</v>
      </c>
      <c r="AC41" s="6">
        <v>101.81036990697601</v>
      </c>
      <c r="AD41" s="6">
        <v>101.805780249972</v>
      </c>
      <c r="AE41" s="7">
        <v>-5.8984370627732201E-6</v>
      </c>
      <c r="AF41" s="7">
        <v>-3.6463205131541902E-4</v>
      </c>
      <c r="AG41" s="7">
        <v>-4.0971351465174898E-4</v>
      </c>
      <c r="AZ41" s="23"/>
      <c r="BB41" s="12">
        <f t="shared" si="6"/>
        <v>0</v>
      </c>
      <c r="BC41" s="12">
        <f t="shared" si="7"/>
        <v>0</v>
      </c>
      <c r="BD41" s="12">
        <f t="shared" si="8"/>
        <v>0</v>
      </c>
      <c r="BE41" s="12">
        <f t="shared" si="4"/>
        <v>1</v>
      </c>
      <c r="BF41" s="12">
        <f t="shared" si="9"/>
        <v>0</v>
      </c>
      <c r="BG41" s="23">
        <f t="shared" si="10"/>
        <v>0</v>
      </c>
      <c r="BH41" s="23">
        <f t="shared" si="11"/>
        <v>0</v>
      </c>
      <c r="BI41" s="23">
        <f t="shared" si="12"/>
        <v>0</v>
      </c>
      <c r="BJ41" s="18">
        <f t="shared" si="13"/>
        <v>0</v>
      </c>
      <c r="BL41" s="23"/>
      <c r="BN41" s="12">
        <f t="shared" si="14"/>
        <v>0</v>
      </c>
      <c r="BO41" s="12">
        <f t="shared" si="15"/>
        <v>1</v>
      </c>
      <c r="BP41" s="12">
        <f t="shared" si="16"/>
        <v>0</v>
      </c>
      <c r="BQ41" s="12">
        <f t="shared" si="5"/>
        <v>1</v>
      </c>
      <c r="BR41" s="12">
        <f t="shared" si="17"/>
        <v>0</v>
      </c>
      <c r="BS41" s="23">
        <f t="shared" si="18"/>
        <v>0</v>
      </c>
      <c r="BT41" s="23">
        <f t="shared" si="19"/>
        <v>0</v>
      </c>
      <c r="BU41" s="23">
        <f t="shared" si="20"/>
        <v>0</v>
      </c>
      <c r="BV41" s="18">
        <f t="shared" si="21"/>
        <v>0</v>
      </c>
      <c r="BX41" s="18">
        <f t="shared" si="22"/>
        <v>0</v>
      </c>
      <c r="BY41" s="18">
        <f t="shared" si="23"/>
        <v>0</v>
      </c>
    </row>
    <row r="42" spans="1:98" x14ac:dyDescent="0.3">
      <c r="A42" s="1">
        <v>46084</v>
      </c>
      <c r="B42" s="6">
        <v>57.77</v>
      </c>
      <c r="C42" s="6">
        <v>100.82</v>
      </c>
      <c r="D42" s="7">
        <v>-5.5239222112670001E-3</v>
      </c>
      <c r="E42" s="7">
        <v>-5.1444513932790504E-3</v>
      </c>
      <c r="F42" s="6">
        <v>0</v>
      </c>
      <c r="G42" s="6">
        <v>0.28010000000000002</v>
      </c>
      <c r="H42" s="6">
        <v>0</v>
      </c>
      <c r="I42" s="6">
        <v>0.50749999999999995</v>
      </c>
      <c r="J42" s="6">
        <v>0.28010000000000002</v>
      </c>
      <c r="K42" s="6">
        <v>0.50749999999999995</v>
      </c>
      <c r="L42" s="6">
        <v>58.0501</v>
      </c>
      <c r="M42" s="6">
        <v>101.32749999999901</v>
      </c>
      <c r="N42" s="8">
        <v>1.7451964687554</v>
      </c>
      <c r="O42" s="8">
        <v>1.7441031794745401</v>
      </c>
      <c r="P42" s="8">
        <v>1.74425017626858</v>
      </c>
      <c r="Q42" s="8">
        <v>1.74404970683787</v>
      </c>
      <c r="R42" s="6">
        <v>100.756840678244</v>
      </c>
      <c r="S42" s="6">
        <v>100.758825807821</v>
      </c>
      <c r="T42" s="6">
        <v>100.751996152768</v>
      </c>
      <c r="U42" s="7">
        <v>-6.2665258181554496E-4</v>
      </c>
      <c r="V42" s="7">
        <v>-6.0695059425678905E-4</v>
      </c>
      <c r="W42" s="7">
        <v>-6.7473509325747204E-4</v>
      </c>
      <c r="X42" s="8">
        <v>1.7455180955760601</v>
      </c>
      <c r="Y42" s="8">
        <v>1.7448470922733199</v>
      </c>
      <c r="Z42" s="8">
        <v>1.7444531718510601</v>
      </c>
      <c r="AA42" s="8">
        <v>1.74423849657856</v>
      </c>
      <c r="AB42" s="6">
        <v>101.288548191175</v>
      </c>
      <c r="AC42" s="6">
        <v>101.25828278442999</v>
      </c>
      <c r="AD42" s="6">
        <v>101.251025448673</v>
      </c>
      <c r="AE42" s="7">
        <v>-3.8448888577273201E-4</v>
      </c>
      <c r="AF42" s="7">
        <v>-6.8333737255805603E-4</v>
      </c>
      <c r="AG42" s="7">
        <v>-7.5501146816908801E-4</v>
      </c>
      <c r="AZ42" s="23"/>
      <c r="BB42" s="12">
        <f t="shared" si="6"/>
        <v>0</v>
      </c>
      <c r="BC42" s="12">
        <f t="shared" si="7"/>
        <v>0</v>
      </c>
      <c r="BD42" s="12">
        <f t="shared" si="8"/>
        <v>0</v>
      </c>
      <c r="BE42" s="12">
        <f t="shared" si="4"/>
        <v>1</v>
      </c>
      <c r="BF42" s="12">
        <f t="shared" si="9"/>
        <v>0</v>
      </c>
      <c r="BG42" s="23">
        <f t="shared" si="10"/>
        <v>0</v>
      </c>
      <c r="BH42" s="23">
        <f t="shared" si="11"/>
        <v>0</v>
      </c>
      <c r="BI42" s="23">
        <f t="shared" si="12"/>
        <v>0</v>
      </c>
      <c r="BJ42" s="18">
        <f t="shared" si="13"/>
        <v>0</v>
      </c>
      <c r="BL42" s="23"/>
      <c r="BN42" s="12">
        <f t="shared" si="14"/>
        <v>0</v>
      </c>
      <c r="BO42" s="12">
        <f t="shared" si="15"/>
        <v>1</v>
      </c>
      <c r="BP42" s="12">
        <f t="shared" si="16"/>
        <v>0</v>
      </c>
      <c r="BQ42" s="12">
        <f t="shared" si="5"/>
        <v>1</v>
      </c>
      <c r="BR42" s="12">
        <f t="shared" si="17"/>
        <v>0</v>
      </c>
      <c r="BS42" s="23">
        <f t="shared" si="18"/>
        <v>0</v>
      </c>
      <c r="BT42" s="23">
        <f t="shared" si="19"/>
        <v>0</v>
      </c>
      <c r="BU42" s="23">
        <f t="shared" si="20"/>
        <v>0</v>
      </c>
      <c r="BV42" s="18">
        <f t="shared" si="21"/>
        <v>0</v>
      </c>
      <c r="BX42" s="18">
        <f t="shared" si="22"/>
        <v>0</v>
      </c>
      <c r="BY42" s="18">
        <f t="shared" si="23"/>
        <v>0</v>
      </c>
    </row>
    <row r="43" spans="1:98" x14ac:dyDescent="0.3">
      <c r="A43" s="1">
        <v>46085</v>
      </c>
      <c r="B43" s="6">
        <v>57.82</v>
      </c>
      <c r="C43" s="6">
        <v>100.81</v>
      </c>
      <c r="D43" s="7">
        <v>8.6512679502586396E-4</v>
      </c>
      <c r="E43" s="7">
        <v>-9.9191588634498694E-5</v>
      </c>
      <c r="F43" s="6">
        <v>0</v>
      </c>
      <c r="G43" s="6">
        <v>0.28010000000000002</v>
      </c>
      <c r="H43" s="6">
        <v>0</v>
      </c>
      <c r="I43" s="6">
        <v>0.50749999999999995</v>
      </c>
      <c r="J43" s="6">
        <v>0.28010000000000002</v>
      </c>
      <c r="K43" s="6">
        <v>0.50749999999999995</v>
      </c>
      <c r="L43" s="6">
        <v>58.100099999999998</v>
      </c>
      <c r="M43" s="6">
        <v>101.3175</v>
      </c>
      <c r="N43" s="8">
        <v>1.7435143548945</v>
      </c>
      <c r="O43" s="8">
        <v>1.7441031794745401</v>
      </c>
      <c r="P43" s="8">
        <v>1.7441346241376701</v>
      </c>
      <c r="Q43" s="8">
        <v>1.7440044520960101</v>
      </c>
      <c r="R43" s="6">
        <v>100.844045837217</v>
      </c>
      <c r="S43" s="6">
        <v>100.852545191849</v>
      </c>
      <c r="T43" s="6">
        <v>100.840954049366</v>
      </c>
      <c r="U43" s="7">
        <v>3.3766580184480303E-4</v>
      </c>
      <c r="V43" s="7">
        <v>4.2194441650215899E-4</v>
      </c>
      <c r="W43" s="7">
        <v>3.0700623019823398E-4</v>
      </c>
      <c r="X43" s="8">
        <v>1.74384381438241</v>
      </c>
      <c r="Y43" s="8">
        <v>1.7448470922733199</v>
      </c>
      <c r="Z43" s="8">
        <v>1.7443533514298899</v>
      </c>
      <c r="AA43" s="8">
        <v>1.74420102288668</v>
      </c>
      <c r="AB43" s="6">
        <v>101.375790545789</v>
      </c>
      <c r="AC43" s="6">
        <v>101.352903729864</v>
      </c>
      <c r="AD43" s="6">
        <v>101.340431075064</v>
      </c>
      <c r="AE43" s="7">
        <v>5.7516010756060497E-4</v>
      </c>
      <c r="AF43" s="7">
        <v>3.4937247444976097E-4</v>
      </c>
      <c r="AG43" s="7">
        <v>2.2630325929340201E-4</v>
      </c>
      <c r="AZ43" s="23"/>
      <c r="BB43" s="12">
        <f t="shared" si="6"/>
        <v>0</v>
      </c>
      <c r="BC43" s="12">
        <f t="shared" si="7"/>
        <v>1</v>
      </c>
      <c r="BD43" s="12">
        <f t="shared" si="8"/>
        <v>0</v>
      </c>
      <c r="BE43" s="12">
        <f t="shared" si="4"/>
        <v>1</v>
      </c>
      <c r="BF43" s="12">
        <f t="shared" si="9"/>
        <v>0</v>
      </c>
      <c r="BG43" s="23">
        <f t="shared" si="10"/>
        <v>0</v>
      </c>
      <c r="BH43" s="23">
        <f t="shared" si="11"/>
        <v>0</v>
      </c>
      <c r="BI43" s="23">
        <f t="shared" si="12"/>
        <v>0</v>
      </c>
      <c r="BJ43" s="18">
        <f t="shared" si="13"/>
        <v>0</v>
      </c>
      <c r="BL43" s="23"/>
      <c r="BN43" s="12">
        <f t="shared" si="14"/>
        <v>0</v>
      </c>
      <c r="BO43" s="12">
        <f t="shared" si="15"/>
        <v>0</v>
      </c>
      <c r="BP43" s="12">
        <f t="shared" si="16"/>
        <v>0</v>
      </c>
      <c r="BQ43" s="12">
        <f t="shared" si="5"/>
        <v>1</v>
      </c>
      <c r="BR43" s="12">
        <f t="shared" si="17"/>
        <v>0</v>
      </c>
      <c r="BS43" s="23">
        <f t="shared" si="18"/>
        <v>0</v>
      </c>
      <c r="BT43" s="23">
        <f t="shared" si="19"/>
        <v>0</v>
      </c>
      <c r="BU43" s="23">
        <f t="shared" si="20"/>
        <v>0</v>
      </c>
      <c r="BV43" s="18">
        <f t="shared" si="21"/>
        <v>0</v>
      </c>
      <c r="BX43" s="18">
        <f t="shared" si="22"/>
        <v>0</v>
      </c>
      <c r="BY43" s="18">
        <f t="shared" si="23"/>
        <v>0</v>
      </c>
    </row>
    <row r="44" spans="1:98" x14ac:dyDescent="0.3">
      <c r="A44" s="1">
        <v>46086</v>
      </c>
      <c r="B44" s="6">
        <v>57.78</v>
      </c>
      <c r="C44" s="6">
        <v>100.74</v>
      </c>
      <c r="D44" s="7">
        <v>-6.9204155011080403E-4</v>
      </c>
      <c r="E44" s="7">
        <v>-6.9461674834581696E-4</v>
      </c>
      <c r="F44" s="6">
        <v>0</v>
      </c>
      <c r="G44" s="6">
        <v>0.28010000000000002</v>
      </c>
      <c r="H44" s="6">
        <v>0</v>
      </c>
      <c r="I44" s="6">
        <v>0.50749999999999995</v>
      </c>
      <c r="J44" s="6">
        <v>0.28010000000000002</v>
      </c>
      <c r="K44" s="6">
        <v>0.50749999999999995</v>
      </c>
      <c r="L44" s="6">
        <v>58.060099999999998</v>
      </c>
      <c r="M44" s="6">
        <v>101.24749999999899</v>
      </c>
      <c r="N44" s="8">
        <v>1.7435098650051899</v>
      </c>
      <c r="O44" s="8">
        <v>1.7441031794745401</v>
      </c>
      <c r="P44" s="8">
        <v>1.7440957859561701</v>
      </c>
      <c r="Q44" s="8">
        <v>1.74394148779828</v>
      </c>
      <c r="R44" s="6">
        <v>100.774281710038</v>
      </c>
      <c r="S44" s="6">
        <v>100.776098582674</v>
      </c>
      <c r="T44" s="6">
        <v>100.768577242107</v>
      </c>
      <c r="U44" s="7">
        <v>3.4024100007963299E-4</v>
      </c>
      <c r="V44" s="7">
        <v>3.5826996765900602E-4</v>
      </c>
      <c r="W44" s="7">
        <v>2.83633011462249E-4</v>
      </c>
      <c r="X44" s="8">
        <v>1.74383957313197</v>
      </c>
      <c r="Y44" s="8">
        <v>1.7448470922733199</v>
      </c>
      <c r="Z44" s="8">
        <v>1.7443300931321299</v>
      </c>
      <c r="AA44" s="8">
        <v>1.74414589969399</v>
      </c>
      <c r="AB44" s="6">
        <v>101.305996662098</v>
      </c>
      <c r="AC44" s="6">
        <v>101.27733001935501</v>
      </c>
      <c r="AD44" s="6">
        <v>101.26848580890299</v>
      </c>
      <c r="AE44" s="7">
        <v>5.77592237986348E-4</v>
      </c>
      <c r="AF44" s="7">
        <v>2.9458135644838701E-4</v>
      </c>
      <c r="AG44" s="7">
        <v>2.0725088831672801E-4</v>
      </c>
      <c r="AZ44" s="23"/>
      <c r="BB44" s="12">
        <f t="shared" si="6"/>
        <v>0</v>
      </c>
      <c r="BC44" s="12">
        <f t="shared" si="7"/>
        <v>1</v>
      </c>
      <c r="BD44" s="12">
        <f t="shared" si="8"/>
        <v>0</v>
      </c>
      <c r="BE44" s="12">
        <f t="shared" si="4"/>
        <v>1</v>
      </c>
      <c r="BF44" s="12">
        <f t="shared" si="9"/>
        <v>0</v>
      </c>
      <c r="BG44" s="23">
        <f t="shared" si="10"/>
        <v>0</v>
      </c>
      <c r="BH44" s="23">
        <f t="shared" si="11"/>
        <v>0</v>
      </c>
      <c r="BI44" s="23">
        <f t="shared" si="12"/>
        <v>0</v>
      </c>
      <c r="BJ44" s="18">
        <f t="shared" si="13"/>
        <v>0</v>
      </c>
      <c r="BL44" s="23"/>
      <c r="BN44" s="12">
        <f t="shared" si="14"/>
        <v>0</v>
      </c>
      <c r="BO44" s="12">
        <f t="shared" si="15"/>
        <v>0</v>
      </c>
      <c r="BP44" s="12">
        <f t="shared" si="16"/>
        <v>0</v>
      </c>
      <c r="BQ44" s="12">
        <f t="shared" si="5"/>
        <v>1</v>
      </c>
      <c r="BR44" s="12">
        <f t="shared" si="17"/>
        <v>0</v>
      </c>
      <c r="BS44" s="23">
        <f t="shared" si="18"/>
        <v>0</v>
      </c>
      <c r="BT44" s="23">
        <f t="shared" si="19"/>
        <v>0</v>
      </c>
      <c r="BU44" s="23">
        <f t="shared" si="20"/>
        <v>0</v>
      </c>
      <c r="BV44" s="18">
        <f t="shared" si="21"/>
        <v>0</v>
      </c>
      <c r="BX44" s="18">
        <f t="shared" si="22"/>
        <v>0</v>
      </c>
      <c r="BY44" s="18">
        <f t="shared" si="23"/>
        <v>0</v>
      </c>
    </row>
    <row r="45" spans="1:98" x14ac:dyDescent="0.3">
      <c r="A45" s="1">
        <v>46087</v>
      </c>
      <c r="B45" s="6">
        <v>57.73</v>
      </c>
      <c r="C45" s="6">
        <v>100.73</v>
      </c>
      <c r="D45" s="7">
        <v>-8.6572596524702296E-4</v>
      </c>
      <c r="E45" s="7">
        <v>-9.9270362914644303E-5</v>
      </c>
      <c r="F45" s="6">
        <v>0</v>
      </c>
      <c r="G45" s="6">
        <v>0.28010000000000002</v>
      </c>
      <c r="H45" s="6">
        <v>0</v>
      </c>
      <c r="I45" s="6">
        <v>0.50749999999999995</v>
      </c>
      <c r="J45" s="6">
        <v>0.28010000000000002</v>
      </c>
      <c r="K45" s="6">
        <v>0.50749999999999995</v>
      </c>
      <c r="L45" s="6">
        <v>58.010099999999902</v>
      </c>
      <c r="M45" s="6">
        <v>101.2375</v>
      </c>
      <c r="N45" s="8">
        <v>1.7448467001558901</v>
      </c>
      <c r="O45" s="8">
        <v>1.7441031794745401</v>
      </c>
      <c r="P45" s="8">
        <v>1.7441558596131199</v>
      </c>
      <c r="Q45" s="8">
        <v>1.7439600659000001</v>
      </c>
      <c r="R45" s="6">
        <v>100.687076551065</v>
      </c>
      <c r="S45" s="6">
        <v>100.686649723249</v>
      </c>
      <c r="T45" s="6">
        <v>100.677742090595</v>
      </c>
      <c r="U45" s="7">
        <v>-4.2621460225273402E-4</v>
      </c>
      <c r="V45" s="7">
        <v>-4.3045376317288998E-4</v>
      </c>
      <c r="W45" s="7">
        <v>-5.18926532168432E-4</v>
      </c>
      <c r="X45" s="8">
        <v>1.7451702375965501</v>
      </c>
      <c r="Y45" s="8">
        <v>1.7448470922733199</v>
      </c>
      <c r="Z45" s="8">
        <v>1.7444052237494601</v>
      </c>
      <c r="AA45" s="8">
        <v>1.74417198882415</v>
      </c>
      <c r="AB45" s="6">
        <v>101.21875430748401</v>
      </c>
      <c r="AC45" s="6">
        <v>101.18876313560401</v>
      </c>
      <c r="AD45" s="6">
        <v>101.178078055838</v>
      </c>
      <c r="AE45" s="7">
        <v>-1.8518264731456899E-4</v>
      </c>
      <c r="AF45" s="7">
        <v>-4.8152709616100802E-4</v>
      </c>
      <c r="AG45" s="7">
        <v>-5.8712818884058002E-4</v>
      </c>
      <c r="AZ45" s="23"/>
      <c r="BB45" s="12">
        <f t="shared" si="6"/>
        <v>0</v>
      </c>
      <c r="BC45" s="12">
        <f t="shared" si="7"/>
        <v>0</v>
      </c>
      <c r="BD45" s="12">
        <f t="shared" si="8"/>
        <v>0</v>
      </c>
      <c r="BE45" s="12">
        <f t="shared" si="4"/>
        <v>1</v>
      </c>
      <c r="BF45" s="12">
        <f t="shared" si="9"/>
        <v>0</v>
      </c>
      <c r="BG45" s="23">
        <f t="shared" si="10"/>
        <v>0</v>
      </c>
      <c r="BH45" s="23">
        <f t="shared" si="11"/>
        <v>0</v>
      </c>
      <c r="BI45" s="23">
        <f t="shared" si="12"/>
        <v>0</v>
      </c>
      <c r="BJ45" s="18">
        <f t="shared" si="13"/>
        <v>0</v>
      </c>
      <c r="BL45" s="23"/>
      <c r="BN45" s="12">
        <f t="shared" si="14"/>
        <v>0</v>
      </c>
      <c r="BO45" s="12">
        <f t="shared" si="15"/>
        <v>1</v>
      </c>
      <c r="BP45" s="12">
        <f t="shared" si="16"/>
        <v>0</v>
      </c>
      <c r="BQ45" s="12">
        <f t="shared" si="5"/>
        <v>1</v>
      </c>
      <c r="BR45" s="12">
        <f t="shared" si="17"/>
        <v>0</v>
      </c>
      <c r="BS45" s="23">
        <f t="shared" si="18"/>
        <v>0</v>
      </c>
      <c r="BT45" s="23">
        <f t="shared" si="19"/>
        <v>0</v>
      </c>
      <c r="BU45" s="23">
        <f t="shared" si="20"/>
        <v>0</v>
      </c>
      <c r="BV45" s="18">
        <f t="shared" si="21"/>
        <v>0</v>
      </c>
      <c r="BX45" s="18">
        <f t="shared" si="22"/>
        <v>0</v>
      </c>
      <c r="BY45" s="18">
        <f t="shared" si="23"/>
        <v>0</v>
      </c>
    </row>
    <row r="46" spans="1:98" x14ac:dyDescent="0.3">
      <c r="A46" s="1">
        <v>46090</v>
      </c>
      <c r="B46" s="6">
        <v>57.73</v>
      </c>
      <c r="C46" s="6">
        <v>100.65</v>
      </c>
      <c r="D46" s="7">
        <v>0</v>
      </c>
      <c r="E46" s="7">
        <v>-7.9451786878919402E-4</v>
      </c>
      <c r="F46" s="6">
        <v>0</v>
      </c>
      <c r="G46" s="6">
        <v>0.28010000000000002</v>
      </c>
      <c r="H46" s="6">
        <v>0</v>
      </c>
      <c r="I46" s="6">
        <v>0.50749999999999995</v>
      </c>
      <c r="J46" s="6">
        <v>0.28010000000000002</v>
      </c>
      <c r="K46" s="6">
        <v>0.50749999999999995</v>
      </c>
      <c r="L46" s="6">
        <v>58.010099999999902</v>
      </c>
      <c r="M46" s="6">
        <v>101.1575</v>
      </c>
      <c r="N46" s="8">
        <v>1.74346093885328</v>
      </c>
      <c r="O46" s="8">
        <v>1.7441031794745401</v>
      </c>
      <c r="P46" s="8">
        <v>1.7440170633885601</v>
      </c>
      <c r="Q46" s="8">
        <v>1.7439330437938101</v>
      </c>
      <c r="R46" s="6">
        <v>100.687076551065</v>
      </c>
      <c r="S46" s="6">
        <v>100.690117775465</v>
      </c>
      <c r="T46" s="6">
        <v>100.67881460440699</v>
      </c>
      <c r="U46" s="7">
        <v>3.68303266536449E-4</v>
      </c>
      <c r="V46" s="7">
        <v>3.9850752487618297E-4</v>
      </c>
      <c r="W46" s="7">
        <v>2.8624421855091999E-4</v>
      </c>
      <c r="X46" s="8">
        <v>1.7437911674001501</v>
      </c>
      <c r="Y46" s="8">
        <v>1.7448470922733199</v>
      </c>
      <c r="Z46" s="8">
        <v>1.74428230205034</v>
      </c>
      <c r="AA46" s="8">
        <v>1.7441527574993201</v>
      </c>
      <c r="AB46" s="6">
        <v>101.21875430748401</v>
      </c>
      <c r="AC46" s="6">
        <v>101.19312147022799</v>
      </c>
      <c r="AD46" s="6">
        <v>101.17959148888799</v>
      </c>
      <c r="AE46" s="7">
        <v>6.0535075683368703E-4</v>
      </c>
      <c r="AF46" s="7">
        <v>3.5207671059150799E-4</v>
      </c>
      <c r="AG46" s="7">
        <v>2.1836321569495301E-4</v>
      </c>
      <c r="AZ46" s="23"/>
      <c r="BB46" s="12">
        <f t="shared" si="6"/>
        <v>0</v>
      </c>
      <c r="BC46" s="12">
        <f t="shared" si="7"/>
        <v>1</v>
      </c>
      <c r="BD46" s="12">
        <f t="shared" si="8"/>
        <v>0</v>
      </c>
      <c r="BE46" s="12">
        <f t="shared" si="4"/>
        <v>1</v>
      </c>
      <c r="BF46" s="12">
        <f t="shared" si="9"/>
        <v>0</v>
      </c>
      <c r="BG46" s="23">
        <f t="shared" si="10"/>
        <v>0</v>
      </c>
      <c r="BH46" s="23">
        <f t="shared" si="11"/>
        <v>0</v>
      </c>
      <c r="BI46" s="23">
        <f t="shared" si="12"/>
        <v>0</v>
      </c>
      <c r="BJ46" s="18">
        <f t="shared" si="13"/>
        <v>0</v>
      </c>
      <c r="BL46" s="23"/>
      <c r="BN46" s="12">
        <f t="shared" si="14"/>
        <v>0</v>
      </c>
      <c r="BO46" s="12">
        <f t="shared" si="15"/>
        <v>0</v>
      </c>
      <c r="BP46" s="12">
        <f t="shared" si="16"/>
        <v>0</v>
      </c>
      <c r="BQ46" s="12">
        <f t="shared" si="5"/>
        <v>1</v>
      </c>
      <c r="BR46" s="12">
        <f t="shared" si="17"/>
        <v>0</v>
      </c>
      <c r="BS46" s="23">
        <f t="shared" si="18"/>
        <v>0</v>
      </c>
      <c r="BT46" s="23">
        <f t="shared" si="19"/>
        <v>0</v>
      </c>
      <c r="BU46" s="23">
        <f t="shared" si="20"/>
        <v>0</v>
      </c>
      <c r="BV46" s="18">
        <f t="shared" si="21"/>
        <v>0</v>
      </c>
      <c r="BX46" s="18">
        <f t="shared" si="22"/>
        <v>0</v>
      </c>
      <c r="BY46" s="18">
        <f t="shared" si="23"/>
        <v>0</v>
      </c>
    </row>
    <row r="47" spans="1:98" x14ac:dyDescent="0.3">
      <c r="A47" s="1">
        <v>46091</v>
      </c>
      <c r="B47" s="6">
        <v>57.61</v>
      </c>
      <c r="C47" s="6">
        <v>100.55</v>
      </c>
      <c r="D47" s="7">
        <v>-2.0808053285503998E-3</v>
      </c>
      <c r="E47" s="7">
        <v>-9.940358671395289E-4</v>
      </c>
      <c r="F47" s="6">
        <v>0</v>
      </c>
      <c r="G47" s="6">
        <v>0.28010000000000002</v>
      </c>
      <c r="H47" s="6">
        <v>0</v>
      </c>
      <c r="I47" s="6">
        <v>0.50749999999999995</v>
      </c>
      <c r="J47" s="6">
        <v>0.28010000000000002</v>
      </c>
      <c r="K47" s="6">
        <v>0.50749999999999995</v>
      </c>
      <c r="L47" s="6">
        <v>57.890099999999997</v>
      </c>
      <c r="M47" s="6">
        <v>101.057499999999</v>
      </c>
      <c r="N47" s="8">
        <v>1.7453567089047</v>
      </c>
      <c r="O47" s="8">
        <v>1.7441031794745401</v>
      </c>
      <c r="P47" s="8">
        <v>1.7440503320827301</v>
      </c>
      <c r="Q47" s="8">
        <v>1.7439941849671401</v>
      </c>
      <c r="R47" s="6">
        <v>100.47778416952799</v>
      </c>
      <c r="S47" s="6">
        <v>100.472823021815</v>
      </c>
      <c r="T47" s="6">
        <v>100.467982652961</v>
      </c>
      <c r="U47" s="7">
        <v>-7.1846619487432302E-4</v>
      </c>
      <c r="V47" s="7">
        <v>-7.6784298237090405E-4</v>
      </c>
      <c r="W47" s="7">
        <v>-8.1602004464359403E-4</v>
      </c>
      <c r="X47" s="8">
        <v>1.7456784493376201</v>
      </c>
      <c r="Y47" s="8">
        <v>1.7448470922733199</v>
      </c>
      <c r="Z47" s="8">
        <v>1.7443306495689199</v>
      </c>
      <c r="AA47" s="8">
        <v>1.7442212852882399</v>
      </c>
      <c r="AB47" s="6">
        <v>101.009372656411</v>
      </c>
      <c r="AC47" s="6">
        <v>100.97667689392399</v>
      </c>
      <c r="AD47" s="6">
        <v>100.969177546911</v>
      </c>
      <c r="AE47" s="7">
        <v>-4.76350664169677E-4</v>
      </c>
      <c r="AF47" s="7">
        <v>-8.0009344586821603E-4</v>
      </c>
      <c r="AG47" s="7">
        <v>-8.7436431453315005E-4</v>
      </c>
      <c r="AZ47" s="23"/>
      <c r="BB47" s="12">
        <f t="shared" si="6"/>
        <v>0</v>
      </c>
      <c r="BC47" s="12">
        <f t="shared" si="7"/>
        <v>0</v>
      </c>
      <c r="BD47" s="12">
        <f t="shared" si="8"/>
        <v>0</v>
      </c>
      <c r="BE47" s="12">
        <f t="shared" si="4"/>
        <v>1</v>
      </c>
      <c r="BF47" s="12">
        <f t="shared" si="9"/>
        <v>0</v>
      </c>
      <c r="BG47" s="23">
        <f t="shared" si="10"/>
        <v>0</v>
      </c>
      <c r="BH47" s="23">
        <f t="shared" si="11"/>
        <v>0</v>
      </c>
      <c r="BI47" s="23">
        <f t="shared" si="12"/>
        <v>0</v>
      </c>
      <c r="BJ47" s="18">
        <f t="shared" si="13"/>
        <v>0</v>
      </c>
      <c r="BL47" s="23"/>
      <c r="BN47" s="12">
        <f t="shared" si="14"/>
        <v>0</v>
      </c>
      <c r="BO47" s="12">
        <f t="shared" si="15"/>
        <v>1</v>
      </c>
      <c r="BP47" s="12">
        <f t="shared" si="16"/>
        <v>0</v>
      </c>
      <c r="BQ47" s="12">
        <f t="shared" si="5"/>
        <v>1</v>
      </c>
      <c r="BR47" s="12">
        <f t="shared" si="17"/>
        <v>0</v>
      </c>
      <c r="BS47" s="23">
        <f t="shared" si="18"/>
        <v>0</v>
      </c>
      <c r="BT47" s="23">
        <f t="shared" si="19"/>
        <v>0</v>
      </c>
      <c r="BU47" s="23">
        <f t="shared" si="20"/>
        <v>0</v>
      </c>
      <c r="BV47" s="18">
        <f t="shared" si="21"/>
        <v>0</v>
      </c>
      <c r="BX47" s="18">
        <f t="shared" si="22"/>
        <v>0</v>
      </c>
      <c r="BY47" s="18">
        <f t="shared" si="23"/>
        <v>0</v>
      </c>
    </row>
    <row r="48" spans="1:98" x14ac:dyDescent="0.3">
      <c r="A48" s="1">
        <v>46092</v>
      </c>
      <c r="B48" s="6">
        <v>57.49</v>
      </c>
      <c r="C48" s="6">
        <v>100.25</v>
      </c>
      <c r="D48" s="7">
        <v>-2.0851441090921101E-3</v>
      </c>
      <c r="E48" s="7">
        <v>-2.9880500319824799E-3</v>
      </c>
      <c r="F48" s="6">
        <v>0</v>
      </c>
      <c r="G48" s="6">
        <v>0.28010000000000002</v>
      </c>
      <c r="H48" s="6">
        <v>0</v>
      </c>
      <c r="I48" s="6">
        <v>0.50749999999999995</v>
      </c>
      <c r="J48" s="6">
        <v>0.28010000000000002</v>
      </c>
      <c r="K48" s="6">
        <v>0.50749999999999995</v>
      </c>
      <c r="L48" s="6">
        <v>57.770099999999999</v>
      </c>
      <c r="M48" s="6">
        <v>100.75749999999999</v>
      </c>
      <c r="N48" s="8">
        <v>1.74378152722212</v>
      </c>
      <c r="O48" s="8">
        <v>1.7441031794745401</v>
      </c>
      <c r="P48" s="8">
        <v>1.74409280848058</v>
      </c>
      <c r="Q48" s="8">
        <v>1.7440514783825101</v>
      </c>
      <c r="R48" s="6">
        <v>100.268491787991</v>
      </c>
      <c r="S48" s="6">
        <v>100.265453591436</v>
      </c>
      <c r="T48" s="6">
        <v>100.26222569376</v>
      </c>
      <c r="U48" s="7">
        <v>1.8443972801604301E-4</v>
      </c>
      <c r="V48" s="7">
        <v>1.5413865804759201E-4</v>
      </c>
      <c r="W48" s="7">
        <v>1.21944621918588E-4</v>
      </c>
      <c r="X48" s="8">
        <v>1.74411157328791</v>
      </c>
      <c r="Y48" s="8">
        <v>1.7448470922733199</v>
      </c>
      <c r="Z48" s="8">
        <v>1.7443886564564399</v>
      </c>
      <c r="AA48" s="8">
        <v>1.7442862163964401</v>
      </c>
      <c r="AB48" s="6">
        <v>100.799991005338</v>
      </c>
      <c r="AC48" s="6">
        <v>100.770156058661</v>
      </c>
      <c r="AD48" s="6">
        <v>100.76383807323</v>
      </c>
      <c r="AE48" s="7">
        <v>4.2162666102350598E-4</v>
      </c>
      <c r="AF48" s="7">
        <v>1.2560120953959201E-4</v>
      </c>
      <c r="AG48" s="7">
        <v>6.2902254354405798E-5</v>
      </c>
      <c r="AZ48" s="23"/>
      <c r="BB48" s="12">
        <f t="shared" si="6"/>
        <v>0</v>
      </c>
      <c r="BC48" s="12">
        <f t="shared" si="7"/>
        <v>1</v>
      </c>
      <c r="BD48" s="12">
        <f t="shared" si="8"/>
        <v>0</v>
      </c>
      <c r="BE48" s="12">
        <f t="shared" si="4"/>
        <v>1</v>
      </c>
      <c r="BF48" s="12">
        <f t="shared" si="9"/>
        <v>0</v>
      </c>
      <c r="BG48" s="23">
        <f t="shared" si="10"/>
        <v>0</v>
      </c>
      <c r="BH48" s="23">
        <f t="shared" si="11"/>
        <v>0</v>
      </c>
      <c r="BI48" s="23">
        <f t="shared" si="12"/>
        <v>0</v>
      </c>
      <c r="BJ48" s="18">
        <f t="shared" si="13"/>
        <v>0</v>
      </c>
      <c r="BL48" s="23"/>
      <c r="BN48" s="12">
        <f t="shared" si="14"/>
        <v>0</v>
      </c>
      <c r="BO48" s="12">
        <f t="shared" si="15"/>
        <v>0</v>
      </c>
      <c r="BP48" s="12">
        <f t="shared" si="16"/>
        <v>0</v>
      </c>
      <c r="BQ48" s="12">
        <f t="shared" si="5"/>
        <v>1</v>
      </c>
      <c r="BR48" s="12">
        <f t="shared" si="17"/>
        <v>0</v>
      </c>
      <c r="BS48" s="23">
        <f t="shared" si="18"/>
        <v>0</v>
      </c>
      <c r="BT48" s="23">
        <f t="shared" si="19"/>
        <v>0</v>
      </c>
      <c r="BU48" s="23">
        <f t="shared" si="20"/>
        <v>0</v>
      </c>
      <c r="BV48" s="18">
        <f t="shared" si="21"/>
        <v>0</v>
      </c>
      <c r="BX48" s="18">
        <f t="shared" si="22"/>
        <v>0</v>
      </c>
      <c r="BY48" s="18">
        <f t="shared" si="23"/>
        <v>0</v>
      </c>
    </row>
    <row r="49" spans="1:77" x14ac:dyDescent="0.3">
      <c r="A49" s="1">
        <v>46093</v>
      </c>
      <c r="B49" s="6">
        <v>57.24</v>
      </c>
      <c r="C49" s="6">
        <v>99.87</v>
      </c>
      <c r="D49" s="7">
        <v>-4.3580649469494104E-3</v>
      </c>
      <c r="E49" s="7">
        <v>-3.7977259316352699E-3</v>
      </c>
      <c r="F49" s="6">
        <v>0</v>
      </c>
      <c r="G49" s="6">
        <v>0.28010000000000002</v>
      </c>
      <c r="H49" s="6">
        <v>0</v>
      </c>
      <c r="I49" s="6">
        <v>0.50749999999999995</v>
      </c>
      <c r="J49" s="6">
        <v>0.28010000000000002</v>
      </c>
      <c r="K49" s="6">
        <v>0.50749999999999995</v>
      </c>
      <c r="L49" s="6">
        <v>57.520099999999999</v>
      </c>
      <c r="M49" s="6">
        <v>100.3775</v>
      </c>
      <c r="N49" s="8">
        <v>1.7447589098532399</v>
      </c>
      <c r="O49" s="8">
        <v>1.7441031794745401</v>
      </c>
      <c r="P49" s="8">
        <v>1.7442325678914701</v>
      </c>
      <c r="Q49" s="8">
        <v>1.7441256307717199</v>
      </c>
      <c r="R49" s="6">
        <v>99.832465993122696</v>
      </c>
      <c r="S49" s="6">
        <v>99.831872357428907</v>
      </c>
      <c r="T49" s="6">
        <v>99.8295066226149</v>
      </c>
      <c r="U49" s="7">
        <v>-3.7589928729819198E-4</v>
      </c>
      <c r="V49" s="7">
        <v>-3.8184562402224101E-4</v>
      </c>
      <c r="W49" s="7">
        <v>-4.0554309447078299E-4</v>
      </c>
      <c r="X49" s="8">
        <v>1.7450856309359599</v>
      </c>
      <c r="Y49" s="8">
        <v>1.7448470922733199</v>
      </c>
      <c r="Z49" s="8">
        <v>1.74454362687895</v>
      </c>
      <c r="AA49" s="8">
        <v>1.74436790858688</v>
      </c>
      <c r="AB49" s="6">
        <v>100.36377923227001</v>
      </c>
      <c r="AC49" s="6">
        <v>100.33740995824</v>
      </c>
      <c r="AD49" s="6">
        <v>100.331517595745</v>
      </c>
      <c r="AE49" s="7">
        <v>-1.3670100941076099E-4</v>
      </c>
      <c r="AF49" s="7">
        <v>-3.9947248862525598E-4</v>
      </c>
      <c r="AG49" s="7">
        <v>-4.5819969237191702E-4</v>
      </c>
      <c r="AZ49" s="23"/>
      <c r="BB49" s="12">
        <f t="shared" si="6"/>
        <v>0</v>
      </c>
      <c r="BC49" s="12">
        <f t="shared" si="7"/>
        <v>0</v>
      </c>
      <c r="BD49" s="12">
        <f t="shared" si="8"/>
        <v>0</v>
      </c>
      <c r="BE49" s="12">
        <f t="shared" si="4"/>
        <v>1</v>
      </c>
      <c r="BF49" s="12">
        <f t="shared" si="9"/>
        <v>0</v>
      </c>
      <c r="BG49" s="23">
        <f t="shared" si="10"/>
        <v>0</v>
      </c>
      <c r="BH49" s="23">
        <f t="shared" si="11"/>
        <v>0</v>
      </c>
      <c r="BI49" s="23">
        <f t="shared" si="12"/>
        <v>0</v>
      </c>
      <c r="BJ49" s="18">
        <f t="shared" si="13"/>
        <v>0</v>
      </c>
      <c r="BL49" s="23"/>
      <c r="BN49" s="12">
        <f t="shared" si="14"/>
        <v>0</v>
      </c>
      <c r="BO49" s="12">
        <f t="shared" si="15"/>
        <v>1</v>
      </c>
      <c r="BP49" s="12">
        <f t="shared" si="16"/>
        <v>0</v>
      </c>
      <c r="BQ49" s="12">
        <f t="shared" si="5"/>
        <v>1</v>
      </c>
      <c r="BR49" s="12">
        <f t="shared" si="17"/>
        <v>0</v>
      </c>
      <c r="BS49" s="23">
        <f t="shared" si="18"/>
        <v>0</v>
      </c>
      <c r="BT49" s="23">
        <f t="shared" si="19"/>
        <v>0</v>
      </c>
      <c r="BU49" s="23">
        <f t="shared" si="20"/>
        <v>0</v>
      </c>
      <c r="BV49" s="18">
        <f t="shared" si="21"/>
        <v>0</v>
      </c>
      <c r="BX49" s="18">
        <f t="shared" si="22"/>
        <v>0</v>
      </c>
      <c r="BY49" s="18">
        <f t="shared" si="23"/>
        <v>0</v>
      </c>
    </row>
    <row r="50" spans="1:77" x14ac:dyDescent="0.3">
      <c r="A50" s="1">
        <v>46094</v>
      </c>
      <c r="B50" s="6">
        <v>57.44</v>
      </c>
      <c r="C50" s="6">
        <v>100.17</v>
      </c>
      <c r="D50" s="7">
        <v>3.4879700517185998E-3</v>
      </c>
      <c r="E50" s="7">
        <v>2.9994023686295301E-3</v>
      </c>
      <c r="F50" s="6">
        <v>0</v>
      </c>
      <c r="G50" s="6">
        <v>0.28010000000000002</v>
      </c>
      <c r="H50" s="6">
        <v>0</v>
      </c>
      <c r="I50" s="6">
        <v>0.50749999999999995</v>
      </c>
      <c r="J50" s="6">
        <v>0.28010000000000002</v>
      </c>
      <c r="K50" s="6">
        <v>0.50749999999999995</v>
      </c>
      <c r="L50" s="6">
        <v>57.720099999999903</v>
      </c>
      <c r="M50" s="6">
        <v>100.67749999999999</v>
      </c>
      <c r="N50" s="8">
        <v>1.74390668523676</v>
      </c>
      <c r="O50" s="8">
        <v>1.7441031794745401</v>
      </c>
      <c r="P50" s="8">
        <v>1.7442866502141501</v>
      </c>
      <c r="Q50" s="8">
        <v>1.74416729096713</v>
      </c>
      <c r="R50" s="6">
        <v>100.18128662901699</v>
      </c>
      <c r="S50" s="6">
        <v>100.18871869968601</v>
      </c>
      <c r="T50" s="6">
        <v>100.18257623152699</v>
      </c>
      <c r="U50" s="7">
        <v>1.12668395790744E-4</v>
      </c>
      <c r="V50" s="7">
        <v>1.86851861124455E-4</v>
      </c>
      <c r="W50" s="7">
        <v>1.2554100157832301E-4</v>
      </c>
      <c r="X50" s="8">
        <v>1.7442364098468299</v>
      </c>
      <c r="Y50" s="8">
        <v>1.7448470922733199</v>
      </c>
      <c r="Z50" s="8">
        <v>1.7446132335669899</v>
      </c>
      <c r="AA50" s="8">
        <v>1.74441725139758</v>
      </c>
      <c r="AB50" s="6">
        <v>100.712748650725</v>
      </c>
      <c r="AC50" s="6">
        <v>100.695232597816</v>
      </c>
      <c r="AD50" s="6">
        <v>100.685090120425</v>
      </c>
      <c r="AE50" s="7">
        <v>3.5005320586660899E-4</v>
      </c>
      <c r="AF50" s="7">
        <v>1.76117169719424E-4</v>
      </c>
      <c r="AG50" s="7">
        <v>7.5387592351618306E-5</v>
      </c>
      <c r="AZ50" s="23"/>
      <c r="BB50" s="12">
        <f t="shared" si="6"/>
        <v>0</v>
      </c>
      <c r="BC50" s="12">
        <f t="shared" si="7"/>
        <v>1</v>
      </c>
      <c r="BD50" s="12">
        <f t="shared" si="8"/>
        <v>0</v>
      </c>
      <c r="BE50" s="12">
        <f t="shared" si="4"/>
        <v>1</v>
      </c>
      <c r="BF50" s="12">
        <f t="shared" si="9"/>
        <v>0</v>
      </c>
      <c r="BG50" s="23">
        <f t="shared" si="10"/>
        <v>0</v>
      </c>
      <c r="BH50" s="23">
        <f t="shared" si="11"/>
        <v>0</v>
      </c>
      <c r="BI50" s="23">
        <f t="shared" si="12"/>
        <v>0</v>
      </c>
      <c r="BJ50" s="18">
        <f t="shared" si="13"/>
        <v>0</v>
      </c>
      <c r="BL50" s="23"/>
      <c r="BN50" s="12">
        <f t="shared" si="14"/>
        <v>0</v>
      </c>
      <c r="BO50" s="12">
        <f t="shared" si="15"/>
        <v>0</v>
      </c>
      <c r="BP50" s="12">
        <f t="shared" si="16"/>
        <v>0</v>
      </c>
      <c r="BQ50" s="12">
        <f t="shared" si="5"/>
        <v>1</v>
      </c>
      <c r="BR50" s="12">
        <f t="shared" si="17"/>
        <v>0</v>
      </c>
      <c r="BS50" s="23">
        <f t="shared" si="18"/>
        <v>0</v>
      </c>
      <c r="BT50" s="23">
        <f t="shared" si="19"/>
        <v>0</v>
      </c>
      <c r="BU50" s="23">
        <f t="shared" si="20"/>
        <v>0</v>
      </c>
      <c r="BV50" s="18">
        <f t="shared" si="21"/>
        <v>0</v>
      </c>
      <c r="BX50" s="18">
        <f t="shared" si="22"/>
        <v>0</v>
      </c>
      <c r="BY50" s="18">
        <f t="shared" si="23"/>
        <v>0</v>
      </c>
    </row>
    <row r="51" spans="1:77" x14ac:dyDescent="0.3">
      <c r="A51" s="1">
        <v>46097</v>
      </c>
      <c r="B51" s="6">
        <v>57.5</v>
      </c>
      <c r="C51" s="6">
        <v>100.23</v>
      </c>
      <c r="D51" s="7">
        <v>1.0440230633361001E-3</v>
      </c>
      <c r="E51" s="7">
        <v>5.9880241310202205E-4</v>
      </c>
      <c r="F51" s="6">
        <v>0</v>
      </c>
      <c r="G51" s="6">
        <v>0.28010000000000002</v>
      </c>
      <c r="H51" s="6">
        <v>0</v>
      </c>
      <c r="I51" s="6">
        <v>0.50749999999999995</v>
      </c>
      <c r="J51" s="6">
        <v>0.28010000000000002</v>
      </c>
      <c r="K51" s="6">
        <v>0.50749999999999995</v>
      </c>
      <c r="L51" s="6">
        <v>57.780099999999997</v>
      </c>
      <c r="M51" s="6">
        <v>100.7375</v>
      </c>
      <c r="N51" s="8">
        <v>1.7431304347826</v>
      </c>
      <c r="O51" s="8">
        <v>1.7441031794745401</v>
      </c>
      <c r="P51" s="8">
        <v>1.7441462593663699</v>
      </c>
      <c r="Q51" s="8">
        <v>1.74414190073928</v>
      </c>
      <c r="R51" s="6">
        <v>100.285932819786</v>
      </c>
      <c r="S51" s="6">
        <v>100.296482387314</v>
      </c>
      <c r="T51" s="6">
        <v>100.28961923061</v>
      </c>
      <c r="U51" s="7">
        <v>5.5788904602491998E-4</v>
      </c>
      <c r="V51" s="7">
        <v>6.6307840199962998E-4</v>
      </c>
      <c r="W51" s="7">
        <v>5.9464737262159505E-4</v>
      </c>
      <c r="X51" s="8">
        <v>1.7434635800214899</v>
      </c>
      <c r="Y51" s="8">
        <v>1.7448470922733199</v>
      </c>
      <c r="Z51" s="8">
        <v>1.7444738531516999</v>
      </c>
      <c r="AA51" s="8">
        <v>1.74439978921028</v>
      </c>
      <c r="AB51" s="6">
        <v>100.817439476261</v>
      </c>
      <c r="AC51" s="6">
        <v>100.803927096824</v>
      </c>
      <c r="AD51" s="6">
        <v>100.792603227477</v>
      </c>
      <c r="AE51" s="7">
        <v>7.93227699216558E-4</v>
      </c>
      <c r="AF51" s="7">
        <v>6.5919052163657197E-4</v>
      </c>
      <c r="AG51" s="7">
        <v>5.4684861436144405E-4</v>
      </c>
      <c r="AZ51" s="23"/>
      <c r="BB51" s="12">
        <f t="shared" si="6"/>
        <v>0</v>
      </c>
      <c r="BC51" s="12">
        <f t="shared" si="7"/>
        <v>1</v>
      </c>
      <c r="BD51" s="12">
        <f t="shared" si="8"/>
        <v>0</v>
      </c>
      <c r="BE51" s="12">
        <f t="shared" si="4"/>
        <v>1</v>
      </c>
      <c r="BF51" s="12">
        <f t="shared" si="9"/>
        <v>0</v>
      </c>
      <c r="BG51" s="23">
        <f t="shared" si="10"/>
        <v>0</v>
      </c>
      <c r="BH51" s="23">
        <f t="shared" si="11"/>
        <v>0</v>
      </c>
      <c r="BI51" s="23">
        <f t="shared" si="12"/>
        <v>0</v>
      </c>
      <c r="BJ51" s="18">
        <f t="shared" si="13"/>
        <v>0</v>
      </c>
      <c r="BL51" s="23"/>
      <c r="BN51" s="12">
        <f t="shared" si="14"/>
        <v>0</v>
      </c>
      <c r="BO51" s="12">
        <f t="shared" si="15"/>
        <v>0</v>
      </c>
      <c r="BP51" s="12">
        <f t="shared" si="16"/>
        <v>0</v>
      </c>
      <c r="BQ51" s="12">
        <f t="shared" si="5"/>
        <v>1</v>
      </c>
      <c r="BR51" s="12">
        <f t="shared" si="17"/>
        <v>0</v>
      </c>
      <c r="BS51" s="23">
        <f t="shared" si="18"/>
        <v>0</v>
      </c>
      <c r="BT51" s="23">
        <f t="shared" si="19"/>
        <v>0</v>
      </c>
      <c r="BU51" s="23">
        <f t="shared" si="20"/>
        <v>0</v>
      </c>
      <c r="BV51" s="18">
        <f t="shared" si="21"/>
        <v>0</v>
      </c>
      <c r="BX51" s="18">
        <f t="shared" si="22"/>
        <v>0</v>
      </c>
      <c r="BY51" s="18">
        <f t="shared" si="23"/>
        <v>0</v>
      </c>
    </row>
    <row r="52" spans="1:77" x14ac:dyDescent="0.3">
      <c r="A52" s="1">
        <v>46098</v>
      </c>
      <c r="B52" s="6">
        <v>57.51</v>
      </c>
      <c r="C52" s="6">
        <v>100.24</v>
      </c>
      <c r="D52" s="7">
        <v>1.73897922357937E-4</v>
      </c>
      <c r="E52" s="7">
        <v>9.9765551038003304E-5</v>
      </c>
      <c r="F52" s="6">
        <v>0</v>
      </c>
      <c r="G52" s="6">
        <v>0.28010000000000002</v>
      </c>
      <c r="H52" s="6">
        <v>0</v>
      </c>
      <c r="I52" s="6">
        <v>0.50749999999999995</v>
      </c>
      <c r="J52" s="6">
        <v>0.28010000000000002</v>
      </c>
      <c r="K52" s="6">
        <v>0.50749999999999995</v>
      </c>
      <c r="L52" s="6">
        <v>57.790099999999903</v>
      </c>
      <c r="M52" s="6">
        <v>100.74749999999899</v>
      </c>
      <c r="N52" s="8">
        <v>1.7430012171796201</v>
      </c>
      <c r="O52" s="8">
        <v>1.7441031794745401</v>
      </c>
      <c r="P52" s="8">
        <v>1.7439267342087901</v>
      </c>
      <c r="Q52" s="8">
        <v>1.7440884552386799</v>
      </c>
      <c r="R52" s="6">
        <v>100.30337385158001</v>
      </c>
      <c r="S52" s="6">
        <v>100.30585137616001</v>
      </c>
      <c r="T52" s="6">
        <v>100.30560071151601</v>
      </c>
      <c r="U52" s="7">
        <v>6.3202141734495197E-4</v>
      </c>
      <c r="V52" s="7">
        <v>6.5672142380410301E-4</v>
      </c>
      <c r="W52" s="7">
        <v>6.5422241747638396E-4</v>
      </c>
      <c r="X52" s="8">
        <v>1.7433349310695001</v>
      </c>
      <c r="Y52" s="8">
        <v>1.7448470922733199</v>
      </c>
      <c r="Z52" s="8">
        <v>1.7442555367010399</v>
      </c>
      <c r="AA52" s="8">
        <v>1.74435435427605</v>
      </c>
      <c r="AB52" s="6">
        <v>100.834887947184</v>
      </c>
      <c r="AC52" s="6">
        <v>100.813318421022</v>
      </c>
      <c r="AD52" s="6">
        <v>100.80903825844101</v>
      </c>
      <c r="AE52" s="7">
        <v>8.6701971882191596E-4</v>
      </c>
      <c r="AF52" s="7">
        <v>6.5308747877823397E-4</v>
      </c>
      <c r="AG52" s="7">
        <v>6.1063025675334604E-4</v>
      </c>
      <c r="AZ52" s="23"/>
      <c r="BB52" s="12">
        <f t="shared" si="6"/>
        <v>0</v>
      </c>
      <c r="BC52" s="12">
        <f t="shared" si="7"/>
        <v>1</v>
      </c>
      <c r="BD52" s="12">
        <f t="shared" si="8"/>
        <v>0</v>
      </c>
      <c r="BE52" s="12">
        <f t="shared" si="4"/>
        <v>1</v>
      </c>
      <c r="BF52" s="12">
        <f t="shared" si="9"/>
        <v>0</v>
      </c>
      <c r="BG52" s="23">
        <f t="shared" si="10"/>
        <v>0</v>
      </c>
      <c r="BH52" s="23">
        <f t="shared" si="11"/>
        <v>0</v>
      </c>
      <c r="BI52" s="23">
        <f t="shared" si="12"/>
        <v>0</v>
      </c>
      <c r="BJ52" s="18">
        <f t="shared" si="13"/>
        <v>0</v>
      </c>
      <c r="BL52" s="23"/>
      <c r="BN52" s="12">
        <f t="shared" si="14"/>
        <v>0</v>
      </c>
      <c r="BO52" s="12">
        <f t="shared" si="15"/>
        <v>0</v>
      </c>
      <c r="BP52" s="12">
        <f t="shared" si="16"/>
        <v>0</v>
      </c>
      <c r="BQ52" s="12">
        <f t="shared" si="5"/>
        <v>1</v>
      </c>
      <c r="BR52" s="12">
        <f t="shared" si="17"/>
        <v>0</v>
      </c>
      <c r="BS52" s="23">
        <f t="shared" si="18"/>
        <v>0</v>
      </c>
      <c r="BT52" s="23">
        <f t="shared" si="19"/>
        <v>0</v>
      </c>
      <c r="BU52" s="23">
        <f t="shared" si="20"/>
        <v>0</v>
      </c>
      <c r="BV52" s="18">
        <f t="shared" si="21"/>
        <v>0</v>
      </c>
      <c r="BX52" s="18">
        <f t="shared" si="22"/>
        <v>0</v>
      </c>
      <c r="BY52" s="18">
        <f t="shared" si="23"/>
        <v>0</v>
      </c>
    </row>
    <row r="53" spans="1:77" x14ac:dyDescent="0.3">
      <c r="A53" s="1">
        <v>46099</v>
      </c>
      <c r="B53" s="6">
        <v>57.39</v>
      </c>
      <c r="C53" s="6">
        <v>100.09</v>
      </c>
      <c r="D53" s="7">
        <v>-2.0887736053915701E-3</v>
      </c>
      <c r="E53" s="7">
        <v>-1.4975293568853E-3</v>
      </c>
      <c r="F53" s="6">
        <v>0</v>
      </c>
      <c r="G53" s="6">
        <v>0.28010000000000002</v>
      </c>
      <c r="H53" s="6">
        <v>0</v>
      </c>
      <c r="I53" s="6">
        <v>0.50749999999999995</v>
      </c>
      <c r="J53" s="6">
        <v>0.28010000000000002</v>
      </c>
      <c r="K53" s="6">
        <v>0.50749999999999995</v>
      </c>
      <c r="L53" s="6">
        <v>57.670099999999998</v>
      </c>
      <c r="M53" s="6">
        <v>100.5975</v>
      </c>
      <c r="N53" s="8">
        <v>1.74403206133472</v>
      </c>
      <c r="O53" s="8">
        <v>1.7441031794745401</v>
      </c>
      <c r="P53" s="8">
        <v>1.74397850485281</v>
      </c>
      <c r="Q53" s="8">
        <v>1.7440565644952399</v>
      </c>
      <c r="R53" s="6">
        <v>100.09408147004299</v>
      </c>
      <c r="S53" s="6">
        <v>100.08395527624199</v>
      </c>
      <c r="T53" s="6">
        <v>100.093236446148</v>
      </c>
      <c r="U53" s="7">
        <v>4.07771688386671E-5</v>
      </c>
      <c r="V53" s="7">
        <v>-6.03947077005008E-5</v>
      </c>
      <c r="W53" s="7">
        <v>3.2334836883379103E-5</v>
      </c>
      <c r="X53" s="8">
        <v>1.74436146287244</v>
      </c>
      <c r="Y53" s="8">
        <v>1.7448470922733199</v>
      </c>
      <c r="Z53" s="8">
        <v>1.7443073015500401</v>
      </c>
      <c r="AA53" s="8">
        <v>1.7443303264899701</v>
      </c>
      <c r="AB53" s="6">
        <v>100.625506296111</v>
      </c>
      <c r="AC53" s="6">
        <v>100.59139122710199</v>
      </c>
      <c r="AD53" s="6">
        <v>100.597090046535</v>
      </c>
      <c r="AE53" s="7">
        <v>2.78360778004181E-4</v>
      </c>
      <c r="AF53" s="7">
        <v>-6.0726741537944101E-5</v>
      </c>
      <c r="AG53" s="7">
        <v>-4.07519371415868E-6</v>
      </c>
      <c r="AZ53" s="23"/>
      <c r="BB53" s="12">
        <f t="shared" si="6"/>
        <v>0</v>
      </c>
      <c r="BC53" s="12">
        <f t="shared" si="7"/>
        <v>0</v>
      </c>
      <c r="BD53" s="12">
        <f t="shared" si="8"/>
        <v>0</v>
      </c>
      <c r="BE53" s="12">
        <f t="shared" si="4"/>
        <v>1</v>
      </c>
      <c r="BF53" s="12">
        <f t="shared" si="9"/>
        <v>0</v>
      </c>
      <c r="BG53" s="23">
        <f t="shared" si="10"/>
        <v>0</v>
      </c>
      <c r="BH53" s="23">
        <f t="shared" si="11"/>
        <v>0</v>
      </c>
      <c r="BI53" s="23">
        <f t="shared" si="12"/>
        <v>0</v>
      </c>
      <c r="BJ53" s="18">
        <f t="shared" si="13"/>
        <v>0</v>
      </c>
      <c r="BL53" s="23"/>
      <c r="BN53" s="12">
        <f t="shared" si="14"/>
        <v>0</v>
      </c>
      <c r="BO53" s="12">
        <f t="shared" si="15"/>
        <v>1</v>
      </c>
      <c r="BP53" s="12">
        <f t="shared" si="16"/>
        <v>0</v>
      </c>
      <c r="BQ53" s="12">
        <f t="shared" si="5"/>
        <v>1</v>
      </c>
      <c r="BR53" s="12">
        <f t="shared" si="17"/>
        <v>0</v>
      </c>
      <c r="BS53" s="23">
        <f t="shared" si="18"/>
        <v>0</v>
      </c>
      <c r="BT53" s="23">
        <f t="shared" si="19"/>
        <v>0</v>
      </c>
      <c r="BU53" s="23">
        <f t="shared" si="20"/>
        <v>0</v>
      </c>
      <c r="BV53" s="18">
        <f t="shared" si="21"/>
        <v>0</v>
      </c>
      <c r="BX53" s="18">
        <f t="shared" si="22"/>
        <v>0</v>
      </c>
      <c r="BY53" s="18">
        <f t="shared" si="23"/>
        <v>0</v>
      </c>
    </row>
    <row r="54" spans="1:77" x14ac:dyDescent="0.3">
      <c r="A54" s="1">
        <v>46100</v>
      </c>
      <c r="B54" s="6">
        <v>57.3</v>
      </c>
      <c r="C54" s="6">
        <v>99.93</v>
      </c>
      <c r="D54" s="7">
        <v>-1.5694483995773599E-3</v>
      </c>
      <c r="E54" s="7">
        <v>-1.59984035722943E-3</v>
      </c>
      <c r="F54" s="6">
        <v>0</v>
      </c>
      <c r="G54" s="6">
        <v>0.28010000000000002</v>
      </c>
      <c r="H54" s="6">
        <v>0</v>
      </c>
      <c r="I54" s="6">
        <v>0.50749999999999995</v>
      </c>
      <c r="J54" s="6">
        <v>0.28010000000000002</v>
      </c>
      <c r="K54" s="6">
        <v>0.50749999999999995</v>
      </c>
      <c r="L54" s="6">
        <v>57.580099999999902</v>
      </c>
      <c r="M54" s="6">
        <v>100.4375</v>
      </c>
      <c r="N54" s="8">
        <v>1.7439790575916201</v>
      </c>
      <c r="O54" s="8">
        <v>1.7441031794745401</v>
      </c>
      <c r="P54" s="8">
        <v>1.7440254241114601</v>
      </c>
      <c r="Q54" s="8">
        <v>1.7440606050338101</v>
      </c>
      <c r="R54" s="6">
        <v>99.937112183891102</v>
      </c>
      <c r="S54" s="6">
        <v>99.929968328066394</v>
      </c>
      <c r="T54" s="6">
        <v>99.934441145577594</v>
      </c>
      <c r="U54" s="7">
        <v>7.1169126490747397E-5</v>
      </c>
      <c r="V54" s="7">
        <v>-3.1694124451524801E-7</v>
      </c>
      <c r="W54" s="7">
        <v>4.4441578030342297E-5</v>
      </c>
      <c r="X54" s="8">
        <v>1.7443092318353</v>
      </c>
      <c r="Y54" s="8">
        <v>1.7448470922733199</v>
      </c>
      <c r="Z54" s="8">
        <v>1.74435426742038</v>
      </c>
      <c r="AA54" s="8">
        <v>1.74434218027625</v>
      </c>
      <c r="AB54" s="6">
        <v>100.468470057807</v>
      </c>
      <c r="AC54" s="6">
        <v>100.43738885398101</v>
      </c>
      <c r="AD54" s="6">
        <v>100.438714632325</v>
      </c>
      <c r="AE54" s="7">
        <v>3.0830400951671399E-4</v>
      </c>
      <c r="AF54" s="7">
        <v>-1.10661933662544E-6</v>
      </c>
      <c r="AG54" s="7">
        <v>1.20933414394587E-5</v>
      </c>
      <c r="AZ54" s="23"/>
      <c r="BB54" s="12">
        <f t="shared" si="6"/>
        <v>0</v>
      </c>
      <c r="BC54" s="12">
        <f t="shared" si="7"/>
        <v>1</v>
      </c>
      <c r="BD54" s="12">
        <f t="shared" si="8"/>
        <v>0</v>
      </c>
      <c r="BE54" s="12">
        <f t="shared" si="4"/>
        <v>1</v>
      </c>
      <c r="BF54" s="12">
        <f t="shared" si="9"/>
        <v>0</v>
      </c>
      <c r="BG54" s="23">
        <f t="shared" si="10"/>
        <v>0</v>
      </c>
      <c r="BH54" s="23">
        <f t="shared" si="11"/>
        <v>0</v>
      </c>
      <c r="BI54" s="23">
        <f t="shared" si="12"/>
        <v>0</v>
      </c>
      <c r="BJ54" s="18">
        <f t="shared" si="13"/>
        <v>0</v>
      </c>
      <c r="BL54" s="23"/>
      <c r="BN54" s="12">
        <f t="shared" si="14"/>
        <v>0</v>
      </c>
      <c r="BO54" s="12">
        <f t="shared" si="15"/>
        <v>0</v>
      </c>
      <c r="BP54" s="12">
        <f t="shared" si="16"/>
        <v>0</v>
      </c>
      <c r="BQ54" s="12">
        <f t="shared" si="5"/>
        <v>1</v>
      </c>
      <c r="BR54" s="12">
        <f t="shared" si="17"/>
        <v>0</v>
      </c>
      <c r="BS54" s="23">
        <f t="shared" si="18"/>
        <v>0</v>
      </c>
      <c r="BT54" s="23">
        <f t="shared" si="19"/>
        <v>0</v>
      </c>
      <c r="BU54" s="23">
        <f t="shared" si="20"/>
        <v>0</v>
      </c>
      <c r="BV54" s="18">
        <f t="shared" si="21"/>
        <v>0</v>
      </c>
      <c r="BX54" s="18">
        <f t="shared" si="22"/>
        <v>0</v>
      </c>
      <c r="BY54" s="18">
        <f t="shared" si="23"/>
        <v>0</v>
      </c>
    </row>
    <row r="55" spans="1:77" x14ac:dyDescent="0.3">
      <c r="A55" s="1">
        <v>46101</v>
      </c>
      <c r="B55" s="6">
        <v>56.8</v>
      </c>
      <c r="C55" s="6">
        <v>99.14</v>
      </c>
      <c r="D55" s="7">
        <v>-8.7642979935882402E-3</v>
      </c>
      <c r="E55" s="7">
        <v>-7.9369482812701696E-3</v>
      </c>
      <c r="F55" s="6">
        <v>0</v>
      </c>
      <c r="G55" s="6">
        <v>0.28010000000000002</v>
      </c>
      <c r="H55" s="6">
        <v>0</v>
      </c>
      <c r="I55" s="6">
        <v>0.50749999999999995</v>
      </c>
      <c r="J55" s="6">
        <v>0.28010000000000002</v>
      </c>
      <c r="K55" s="6">
        <v>0.50749999999999995</v>
      </c>
      <c r="L55" s="6">
        <v>57.080099999999902</v>
      </c>
      <c r="M55" s="6">
        <v>99.647499999999994</v>
      </c>
      <c r="N55" s="8">
        <v>1.74542253521126</v>
      </c>
      <c r="O55" s="8">
        <v>1.7441031794745401</v>
      </c>
      <c r="P55" s="8">
        <v>1.74408300761699</v>
      </c>
      <c r="Q55" s="8">
        <v>1.7441194336150601</v>
      </c>
      <c r="R55" s="6">
        <v>99.065060594153906</v>
      </c>
      <c r="S55" s="6">
        <v>99.060644089530896</v>
      </c>
      <c r="T55" s="6">
        <v>99.062642365920794</v>
      </c>
      <c r="U55" s="7">
        <v>-7.5618058582736097E-4</v>
      </c>
      <c r="V55" s="7">
        <v>-8.0076343923065501E-4</v>
      </c>
      <c r="W55" s="7">
        <v>-7.8059138953713505E-4</v>
      </c>
      <c r="X55" s="8">
        <v>1.7457485183102299</v>
      </c>
      <c r="Y55" s="8">
        <v>1.7448470922733199</v>
      </c>
      <c r="Z55" s="8">
        <v>1.7444120954917399</v>
      </c>
      <c r="AA55" s="8">
        <v>1.7444086596206001</v>
      </c>
      <c r="AB55" s="6">
        <v>99.596046511670295</v>
      </c>
      <c r="AC55" s="6">
        <v>99.567916019782004</v>
      </c>
      <c r="AD55" s="6">
        <v>99.567226084386803</v>
      </c>
      <c r="AE55" s="7">
        <v>-5.16488391963465E-4</v>
      </c>
      <c r="AF55" s="7">
        <v>-7.9897415613332397E-4</v>
      </c>
      <c r="AG55" s="7">
        <v>-8.0590347446369995E-4</v>
      </c>
      <c r="AZ55" s="23"/>
      <c r="BB55" s="12">
        <f t="shared" si="6"/>
        <v>0</v>
      </c>
      <c r="BC55" s="12">
        <f t="shared" si="7"/>
        <v>0</v>
      </c>
      <c r="BD55" s="12">
        <f t="shared" si="8"/>
        <v>0</v>
      </c>
      <c r="BE55" s="12">
        <f t="shared" si="4"/>
        <v>1</v>
      </c>
      <c r="BF55" s="12">
        <f t="shared" si="9"/>
        <v>0</v>
      </c>
      <c r="BG55" s="23">
        <f t="shared" si="10"/>
        <v>0</v>
      </c>
      <c r="BH55" s="23">
        <f t="shared" si="11"/>
        <v>0</v>
      </c>
      <c r="BI55" s="23">
        <f t="shared" si="12"/>
        <v>0</v>
      </c>
      <c r="BJ55" s="18">
        <f t="shared" si="13"/>
        <v>0</v>
      </c>
      <c r="BL55" s="23"/>
      <c r="BN55" s="12">
        <f t="shared" si="14"/>
        <v>0</v>
      </c>
      <c r="BO55" s="12">
        <f t="shared" si="15"/>
        <v>1</v>
      </c>
      <c r="BP55" s="12">
        <f t="shared" si="16"/>
        <v>0</v>
      </c>
      <c r="BQ55" s="12">
        <f t="shared" si="5"/>
        <v>1</v>
      </c>
      <c r="BR55" s="12">
        <f t="shared" si="17"/>
        <v>0</v>
      </c>
      <c r="BS55" s="23">
        <f t="shared" si="18"/>
        <v>0</v>
      </c>
      <c r="BT55" s="23">
        <f t="shared" si="19"/>
        <v>0</v>
      </c>
      <c r="BU55" s="23">
        <f t="shared" si="20"/>
        <v>0</v>
      </c>
      <c r="BV55" s="18">
        <f t="shared" si="21"/>
        <v>0</v>
      </c>
      <c r="BX55" s="18">
        <f t="shared" si="22"/>
        <v>0</v>
      </c>
      <c r="BY55" s="18">
        <f t="shared" si="23"/>
        <v>0</v>
      </c>
    </row>
    <row r="56" spans="1:77" x14ac:dyDescent="0.3">
      <c r="A56" s="1">
        <v>46104</v>
      </c>
      <c r="B56" s="6">
        <v>57.01</v>
      </c>
      <c r="C56" s="6">
        <v>99.34</v>
      </c>
      <c r="D56" s="7">
        <v>3.6903653163847402E-3</v>
      </c>
      <c r="E56" s="7">
        <v>2.0153170867765499E-3</v>
      </c>
      <c r="F56" s="6">
        <v>0</v>
      </c>
      <c r="G56" s="6">
        <v>0.28010000000000002</v>
      </c>
      <c r="H56" s="6">
        <v>0</v>
      </c>
      <c r="I56" s="6">
        <v>0.50749999999999995</v>
      </c>
      <c r="J56" s="6">
        <v>0.28010000000000002</v>
      </c>
      <c r="K56" s="6">
        <v>0.50749999999999995</v>
      </c>
      <c r="L56" s="6">
        <v>57.290099999999903</v>
      </c>
      <c r="M56" s="6">
        <v>99.847499999999997</v>
      </c>
      <c r="N56" s="8">
        <v>1.7425013155586699</v>
      </c>
      <c r="O56" s="8">
        <v>1.7441031794745401</v>
      </c>
      <c r="P56" s="8">
        <v>1.7439870452875299</v>
      </c>
      <c r="Q56" s="8">
        <v>1.7440020543380399</v>
      </c>
      <c r="R56" s="6">
        <v>99.431322261843505</v>
      </c>
      <c r="S56" s="6">
        <v>99.430172264245002</v>
      </c>
      <c r="T56" s="6">
        <v>99.432248910394506</v>
      </c>
      <c r="U56" s="7">
        <v>9.1886764378094302E-4</v>
      </c>
      <c r="V56" s="7">
        <v>9.0730182907883304E-4</v>
      </c>
      <c r="W56" s="7">
        <v>9.2818708369197698E-4</v>
      </c>
      <c r="X56" s="8">
        <v>1.7428403860352799</v>
      </c>
      <c r="Y56" s="8">
        <v>1.7448470922733199</v>
      </c>
      <c r="Z56" s="8">
        <v>1.74431701735526</v>
      </c>
      <c r="AA56" s="8">
        <v>1.7442996597028</v>
      </c>
      <c r="AB56" s="6">
        <v>99.962464401047697</v>
      </c>
      <c r="AC56" s="6">
        <v>99.937543391931698</v>
      </c>
      <c r="AD56" s="6">
        <v>99.937346550530407</v>
      </c>
      <c r="AE56" s="7">
        <v>1.1507375428313699E-3</v>
      </c>
      <c r="AF56" s="7">
        <v>9.0140279272072298E-4</v>
      </c>
      <c r="AG56" s="7">
        <v>8.9943314659482899E-4</v>
      </c>
      <c r="AZ56" s="23"/>
      <c r="BB56" s="12">
        <f t="shared" si="6"/>
        <v>0</v>
      </c>
      <c r="BC56" s="12">
        <f t="shared" si="7"/>
        <v>1</v>
      </c>
      <c r="BD56" s="12">
        <f t="shared" si="8"/>
        <v>0</v>
      </c>
      <c r="BE56" s="12">
        <f t="shared" si="4"/>
        <v>1</v>
      </c>
      <c r="BF56" s="12">
        <f t="shared" si="9"/>
        <v>0</v>
      </c>
      <c r="BG56" s="23">
        <f t="shared" si="10"/>
        <v>0</v>
      </c>
      <c r="BH56" s="23">
        <f t="shared" si="11"/>
        <v>0</v>
      </c>
      <c r="BI56" s="23">
        <f t="shared" si="12"/>
        <v>0</v>
      </c>
      <c r="BJ56" s="18">
        <f t="shared" si="13"/>
        <v>0</v>
      </c>
      <c r="BL56" s="23"/>
      <c r="BN56" s="12">
        <f t="shared" si="14"/>
        <v>0</v>
      </c>
      <c r="BO56" s="12">
        <f t="shared" si="15"/>
        <v>0</v>
      </c>
      <c r="BP56" s="12">
        <f t="shared" si="16"/>
        <v>0</v>
      </c>
      <c r="BQ56" s="12">
        <f t="shared" si="5"/>
        <v>1</v>
      </c>
      <c r="BR56" s="12">
        <f t="shared" si="17"/>
        <v>0</v>
      </c>
      <c r="BS56" s="23">
        <f t="shared" si="18"/>
        <v>0</v>
      </c>
      <c r="BT56" s="23">
        <f t="shared" si="19"/>
        <v>0</v>
      </c>
      <c r="BU56" s="23">
        <f t="shared" si="20"/>
        <v>0</v>
      </c>
      <c r="BV56" s="18">
        <f t="shared" si="21"/>
        <v>0</v>
      </c>
      <c r="BX56" s="18">
        <f t="shared" si="22"/>
        <v>0</v>
      </c>
      <c r="BY56" s="18">
        <f t="shared" si="23"/>
        <v>0</v>
      </c>
    </row>
    <row r="57" spans="1:77" x14ac:dyDescent="0.3">
      <c r="A57" s="1">
        <v>46105</v>
      </c>
      <c r="B57" s="6">
        <v>56.57</v>
      </c>
      <c r="C57" s="6">
        <v>98.8</v>
      </c>
      <c r="D57" s="7">
        <v>-7.7478816884260704E-3</v>
      </c>
      <c r="E57" s="7">
        <v>-5.4507049253823998E-3</v>
      </c>
      <c r="F57" s="6">
        <v>0</v>
      </c>
      <c r="G57" s="6">
        <v>0.28010000000000002</v>
      </c>
      <c r="H57" s="6">
        <v>0</v>
      </c>
      <c r="I57" s="6">
        <v>0.50749999999999995</v>
      </c>
      <c r="J57" s="6">
        <v>0.28010000000000002</v>
      </c>
      <c r="K57" s="6">
        <v>0.50749999999999995</v>
      </c>
      <c r="L57" s="6">
        <v>56.850099999999998</v>
      </c>
      <c r="M57" s="6">
        <v>99.307499999999905</v>
      </c>
      <c r="N57" s="8">
        <v>1.74650875022096</v>
      </c>
      <c r="O57" s="8">
        <v>1.7441031794745401</v>
      </c>
      <c r="P57" s="8">
        <v>1.74410224941916</v>
      </c>
      <c r="Q57" s="8">
        <v>1.7440762907509499</v>
      </c>
      <c r="R57" s="6">
        <v>98.6639168628747</v>
      </c>
      <c r="S57" s="6">
        <v>98.6573471519159</v>
      </c>
      <c r="T57" s="6">
        <v>98.658196213903395</v>
      </c>
      <c r="U57" s="7">
        <v>-1.37830911926283E-3</v>
      </c>
      <c r="V57" s="7">
        <v>-1.4448981003745099E-3</v>
      </c>
      <c r="W57" s="7">
        <v>-1.43629196653448E-3</v>
      </c>
      <c r="X57" s="8">
        <v>1.7468307003857499</v>
      </c>
      <c r="Y57" s="8">
        <v>1.7448470922733199</v>
      </c>
      <c r="Z57" s="8">
        <v>1.74443224246007</v>
      </c>
      <c r="AA57" s="8">
        <v>1.74438144601449</v>
      </c>
      <c r="AB57" s="6">
        <v>99.194731680447504</v>
      </c>
      <c r="AC57" s="6">
        <v>99.164596868348198</v>
      </c>
      <c r="AD57" s="6">
        <v>99.1636100840701</v>
      </c>
      <c r="AE57" s="7">
        <v>-1.1361920793452899E-3</v>
      </c>
      <c r="AF57" s="7">
        <v>-1.4400327159469501E-3</v>
      </c>
      <c r="AG57" s="7">
        <v>-1.44998373898349E-3</v>
      </c>
      <c r="AZ57" s="23"/>
      <c r="BB57" s="12">
        <f t="shared" si="6"/>
        <v>1</v>
      </c>
      <c r="BC57" s="12">
        <f t="shared" si="7"/>
        <v>0</v>
      </c>
      <c r="BD57" s="12">
        <f t="shared" si="8"/>
        <v>0</v>
      </c>
      <c r="BE57" s="12">
        <f t="shared" si="4"/>
        <v>1</v>
      </c>
      <c r="BF57" s="12">
        <f t="shared" si="9"/>
        <v>0</v>
      </c>
      <c r="BG57" s="23">
        <f t="shared" si="10"/>
        <v>0</v>
      </c>
      <c r="BH57" s="23">
        <f t="shared" si="11"/>
        <v>0</v>
      </c>
      <c r="BI57" s="23">
        <f t="shared" si="12"/>
        <v>0</v>
      </c>
      <c r="BJ57" s="18">
        <f t="shared" si="13"/>
        <v>0</v>
      </c>
      <c r="BL57" s="23"/>
      <c r="BN57" s="12">
        <f t="shared" si="14"/>
        <v>0</v>
      </c>
      <c r="BO57" s="12">
        <f t="shared" si="15"/>
        <v>1</v>
      </c>
      <c r="BP57" s="12">
        <f t="shared" si="16"/>
        <v>0</v>
      </c>
      <c r="BQ57" s="12">
        <f t="shared" si="5"/>
        <v>1</v>
      </c>
      <c r="BR57" s="12">
        <f t="shared" si="17"/>
        <v>0</v>
      </c>
      <c r="BS57" s="23">
        <f t="shared" si="18"/>
        <v>0</v>
      </c>
      <c r="BT57" s="23">
        <f t="shared" si="19"/>
        <v>0</v>
      </c>
      <c r="BU57" s="23">
        <f t="shared" si="20"/>
        <v>0</v>
      </c>
      <c r="BV57" s="18">
        <f t="shared" si="21"/>
        <v>0</v>
      </c>
      <c r="BX57" s="18">
        <f t="shared" si="22"/>
        <v>0</v>
      </c>
      <c r="BY57" s="18">
        <f t="shared" si="23"/>
        <v>0</v>
      </c>
    </row>
    <row r="58" spans="1:77" x14ac:dyDescent="0.3">
      <c r="A58" s="1">
        <v>46106</v>
      </c>
      <c r="B58" s="6">
        <v>56.72</v>
      </c>
      <c r="C58" s="6">
        <v>98.98</v>
      </c>
      <c r="D58" s="7">
        <v>2.6480728688077701E-3</v>
      </c>
      <c r="E58" s="7">
        <v>1.820204769918E-3</v>
      </c>
      <c r="F58" s="6">
        <v>0</v>
      </c>
      <c r="G58" s="6">
        <v>0.28010000000000002</v>
      </c>
      <c r="H58" s="6">
        <v>0</v>
      </c>
      <c r="I58" s="6">
        <v>0.50749999999999995</v>
      </c>
      <c r="J58" s="6">
        <v>0.28010000000000002</v>
      </c>
      <c r="K58" s="6">
        <v>0.50749999999999995</v>
      </c>
      <c r="L58" s="6">
        <v>57.000099999999897</v>
      </c>
      <c r="M58" s="6">
        <v>99.487499999999997</v>
      </c>
      <c r="N58" s="8">
        <v>1.74506346967559</v>
      </c>
      <c r="O58" s="8">
        <v>1.7441031794745401</v>
      </c>
      <c r="P58" s="8">
        <v>1.74423044366451</v>
      </c>
      <c r="Q58" s="8">
        <v>1.7441616260725401</v>
      </c>
      <c r="R58" s="6">
        <v>98.925532339795893</v>
      </c>
      <c r="S58" s="6">
        <v>98.925479587054895</v>
      </c>
      <c r="T58" s="6">
        <v>98.924007211393899</v>
      </c>
      <c r="U58" s="7">
        <v>-5.5044102037308802E-4</v>
      </c>
      <c r="V58" s="7">
        <v>-5.5097427760029505E-4</v>
      </c>
      <c r="W58" s="7">
        <v>-5.6585807320551698E-4</v>
      </c>
      <c r="X58" s="8">
        <v>1.74539167475144</v>
      </c>
      <c r="Y58" s="8">
        <v>1.7448470922733199</v>
      </c>
      <c r="Z58" s="8">
        <v>1.7445602526064199</v>
      </c>
      <c r="AA58" s="8">
        <v>1.7444744545314299</v>
      </c>
      <c r="AB58" s="6">
        <v>99.456458744288497</v>
      </c>
      <c r="AC58" s="6">
        <v>99.432812263448398</v>
      </c>
      <c r="AD58" s="6">
        <v>99.429916860970906</v>
      </c>
      <c r="AE58" s="7">
        <v>-3.1206030240202602E-4</v>
      </c>
      <c r="AF58" s="7">
        <v>-5.4984568752304097E-4</v>
      </c>
      <c r="AG58" s="7">
        <v>-5.7896529671657999E-4</v>
      </c>
      <c r="AZ58" s="23"/>
      <c r="BB58" s="12">
        <f t="shared" si="6"/>
        <v>0</v>
      </c>
      <c r="BC58" s="12">
        <f t="shared" si="7"/>
        <v>0</v>
      </c>
      <c r="BD58" s="12">
        <f t="shared" si="8"/>
        <v>1</v>
      </c>
      <c r="BE58" s="12">
        <f t="shared" si="4"/>
        <v>1</v>
      </c>
      <c r="BF58" s="12">
        <f t="shared" si="9"/>
        <v>1</v>
      </c>
      <c r="BG58" s="23">
        <f t="shared" si="10"/>
        <v>2.6480728688077701E-3</v>
      </c>
      <c r="BH58" s="23">
        <f t="shared" si="11"/>
        <v>-1.820204769918E-3</v>
      </c>
      <c r="BI58" s="23">
        <f t="shared" si="12"/>
        <v>8.2786809888977012E-4</v>
      </c>
      <c r="BJ58" s="18">
        <f t="shared" si="13"/>
        <v>8.2786809888977012E-4</v>
      </c>
      <c r="BL58" s="23"/>
      <c r="BN58" s="12">
        <f t="shared" si="14"/>
        <v>0</v>
      </c>
      <c r="BO58" s="12">
        <f t="shared" si="15"/>
        <v>1</v>
      </c>
      <c r="BP58" s="12">
        <f t="shared" si="16"/>
        <v>0</v>
      </c>
      <c r="BQ58" s="12">
        <f t="shared" si="5"/>
        <v>1</v>
      </c>
      <c r="BR58" s="12">
        <f t="shared" si="17"/>
        <v>0</v>
      </c>
      <c r="BS58" s="23">
        <f t="shared" si="18"/>
        <v>0</v>
      </c>
      <c r="BT58" s="23">
        <f t="shared" si="19"/>
        <v>0</v>
      </c>
      <c r="BU58" s="23">
        <f t="shared" si="20"/>
        <v>0</v>
      </c>
      <c r="BV58" s="18">
        <f t="shared" si="21"/>
        <v>0</v>
      </c>
      <c r="BX58" s="18">
        <f t="shared" si="22"/>
        <v>8.2786809888977012E-4</v>
      </c>
      <c r="BY58" s="18">
        <f t="shared" si="23"/>
        <v>8.2786809888977012E-4</v>
      </c>
    </row>
    <row r="59" spans="1:77" x14ac:dyDescent="0.3">
      <c r="A59" s="1">
        <v>46107</v>
      </c>
      <c r="B59" s="6">
        <v>56.61</v>
      </c>
      <c r="C59" s="6">
        <v>98.73</v>
      </c>
      <c r="D59" s="7">
        <v>-1.9412341753035399E-3</v>
      </c>
      <c r="E59" s="7">
        <v>-2.5289579003817202E-3</v>
      </c>
      <c r="F59" s="6">
        <v>0</v>
      </c>
      <c r="G59" s="6">
        <v>0.28010000000000002</v>
      </c>
      <c r="H59" s="6">
        <v>0</v>
      </c>
      <c r="I59" s="6">
        <v>0.50749999999999995</v>
      </c>
      <c r="J59" s="6">
        <v>0.28010000000000002</v>
      </c>
      <c r="K59" s="6">
        <v>0.50749999999999995</v>
      </c>
      <c r="L59" s="6">
        <v>56.890099999999997</v>
      </c>
      <c r="M59" s="6">
        <v>99.237499999999997</v>
      </c>
      <c r="N59" s="8">
        <v>1.7440381558028599</v>
      </c>
      <c r="O59" s="8">
        <v>1.7441031794745401</v>
      </c>
      <c r="P59" s="8">
        <v>1.7441583682594699</v>
      </c>
      <c r="Q59" s="8">
        <v>1.7441954680754701</v>
      </c>
      <c r="R59" s="6">
        <v>98.733680990053699</v>
      </c>
      <c r="S59" s="6">
        <v>98.740885415847899</v>
      </c>
      <c r="T59" s="6">
        <v>98.736989651966994</v>
      </c>
      <c r="U59" s="7">
        <v>3.7282704705310802E-5</v>
      </c>
      <c r="V59" s="7">
        <v>1.10248311653951E-4</v>
      </c>
      <c r="W59" s="7">
        <v>7.0793118204472494E-5</v>
      </c>
      <c r="X59" s="8">
        <v>1.74437204364203</v>
      </c>
      <c r="Y59" s="8">
        <v>1.7448470922733199</v>
      </c>
      <c r="Z59" s="8">
        <v>1.74448889387703</v>
      </c>
      <c r="AA59" s="8">
        <v>1.74451626037799</v>
      </c>
      <c r="AB59" s="6">
        <v>99.264525564138395</v>
      </c>
      <c r="AC59" s="6">
        <v>99.248207226804794</v>
      </c>
      <c r="AD59" s="6">
        <v>99.243326165738907</v>
      </c>
      <c r="AE59" s="7">
        <v>2.7229509853718799E-4</v>
      </c>
      <c r="AF59" s="7">
        <v>1.07889146930014E-4</v>
      </c>
      <c r="AG59" s="7">
        <v>5.87075925985618E-5</v>
      </c>
      <c r="AZ59" s="23"/>
      <c r="BB59" s="12">
        <f t="shared" si="6"/>
        <v>0</v>
      </c>
      <c r="BC59" s="12">
        <f t="shared" si="7"/>
        <v>1</v>
      </c>
      <c r="BD59" s="12">
        <f t="shared" si="8"/>
        <v>1</v>
      </c>
      <c r="BE59" s="12">
        <f t="shared" si="4"/>
        <v>1</v>
      </c>
      <c r="BF59" s="12">
        <f t="shared" si="9"/>
        <v>1</v>
      </c>
      <c r="BG59" s="23">
        <f t="shared" si="10"/>
        <v>-1.9412341753035399E-3</v>
      </c>
      <c r="BH59" s="23">
        <f t="shared" si="11"/>
        <v>2.5289579003817202E-3</v>
      </c>
      <c r="BI59" s="23">
        <f t="shared" si="12"/>
        <v>5.8772372507818029E-4</v>
      </c>
      <c r="BJ59" s="18">
        <f t="shared" si="13"/>
        <v>1.4155918239679504E-3</v>
      </c>
      <c r="BL59" s="23"/>
      <c r="BN59" s="12">
        <f t="shared" si="14"/>
        <v>0</v>
      </c>
      <c r="BO59" s="12">
        <f t="shared" si="15"/>
        <v>0</v>
      </c>
      <c r="BP59" s="12">
        <f t="shared" si="16"/>
        <v>0</v>
      </c>
      <c r="BQ59" s="12">
        <f t="shared" si="5"/>
        <v>1</v>
      </c>
      <c r="BR59" s="12">
        <f t="shared" si="17"/>
        <v>0</v>
      </c>
      <c r="BS59" s="23">
        <f t="shared" si="18"/>
        <v>0</v>
      </c>
      <c r="BT59" s="23">
        <f t="shared" si="19"/>
        <v>0</v>
      </c>
      <c r="BU59" s="23">
        <f t="shared" si="20"/>
        <v>0</v>
      </c>
      <c r="BV59" s="18">
        <f t="shared" si="21"/>
        <v>0</v>
      </c>
      <c r="BX59" s="18">
        <f t="shared" si="22"/>
        <v>5.8772372507818029E-4</v>
      </c>
      <c r="BY59" s="18">
        <f t="shared" si="23"/>
        <v>1.4155918239679504E-3</v>
      </c>
    </row>
    <row r="60" spans="1:77" x14ac:dyDescent="0.3">
      <c r="A60" s="1">
        <v>46108</v>
      </c>
      <c r="B60" s="6">
        <v>56.57</v>
      </c>
      <c r="C60" s="6">
        <v>98.67</v>
      </c>
      <c r="D60" s="7">
        <v>-7.0683869350417195E-4</v>
      </c>
      <c r="E60" s="7">
        <v>-6.0790275428300596E-4</v>
      </c>
      <c r="F60" s="6">
        <v>0</v>
      </c>
      <c r="G60" s="6">
        <v>0.28010000000000002</v>
      </c>
      <c r="H60" s="6">
        <v>0</v>
      </c>
      <c r="I60" s="6">
        <v>0.50749999999999995</v>
      </c>
      <c r="J60" s="6">
        <v>0.28010000000000002</v>
      </c>
      <c r="K60" s="6">
        <v>0.50749999999999995</v>
      </c>
      <c r="L60" s="6">
        <v>56.850099999999998</v>
      </c>
      <c r="M60" s="6">
        <v>99.177499999999995</v>
      </c>
      <c r="N60" s="8">
        <v>1.7442107123917201</v>
      </c>
      <c r="O60" s="8">
        <v>1.7441031794745401</v>
      </c>
      <c r="P60" s="8">
        <v>1.7441887709749599</v>
      </c>
      <c r="Q60" s="8">
        <v>1.7442377105945599</v>
      </c>
      <c r="R60" s="6">
        <v>98.6639168628747</v>
      </c>
      <c r="S60" s="6">
        <v>98.667038892438299</v>
      </c>
      <c r="T60" s="6">
        <v>98.669137629029507</v>
      </c>
      <c r="U60" s="7">
        <v>-6.1653234515988701E-5</v>
      </c>
      <c r="V60" s="7">
        <v>-3.0010661744192499E-5</v>
      </c>
      <c r="W60" s="7">
        <v>-8.7399892472548492E-6</v>
      </c>
      <c r="X60" s="8">
        <v>1.7445439849710001</v>
      </c>
      <c r="Y60" s="8">
        <v>1.7448470922733199</v>
      </c>
      <c r="Z60" s="8">
        <v>1.7445196513894501</v>
      </c>
      <c r="AA60" s="8">
        <v>1.7445664424782199</v>
      </c>
      <c r="AB60" s="6">
        <v>99.194731680447504</v>
      </c>
      <c r="AC60" s="6">
        <v>99.174368065798703</v>
      </c>
      <c r="AD60" s="6">
        <v>99.175923854114998</v>
      </c>
      <c r="AE60" s="7">
        <v>1.7373077214358399E-4</v>
      </c>
      <c r="AF60" s="7">
        <v>-3.1579578574530398E-5</v>
      </c>
      <c r="AG60" s="7">
        <v>-1.58922982457521E-5</v>
      </c>
      <c r="AZ60" s="23"/>
      <c r="BB60" s="12">
        <f t="shared" si="6"/>
        <v>0</v>
      </c>
      <c r="BC60" s="12">
        <f t="shared" si="7"/>
        <v>0</v>
      </c>
      <c r="BD60" s="12">
        <f t="shared" si="8"/>
        <v>0</v>
      </c>
      <c r="BE60" s="12">
        <f t="shared" si="4"/>
        <v>1</v>
      </c>
      <c r="BF60" s="12">
        <f t="shared" si="9"/>
        <v>0</v>
      </c>
      <c r="BG60" s="23">
        <f t="shared" si="10"/>
        <v>0</v>
      </c>
      <c r="BH60" s="23">
        <f t="shared" si="11"/>
        <v>0</v>
      </c>
      <c r="BI60" s="23">
        <f t="shared" si="12"/>
        <v>0</v>
      </c>
      <c r="BJ60" s="18">
        <f t="shared" si="13"/>
        <v>1.4155918239679504E-3</v>
      </c>
      <c r="BL60" s="23"/>
      <c r="BN60" s="12">
        <f t="shared" si="14"/>
        <v>0</v>
      </c>
      <c r="BO60" s="12">
        <f t="shared" si="15"/>
        <v>1</v>
      </c>
      <c r="BP60" s="12">
        <f t="shared" si="16"/>
        <v>0</v>
      </c>
      <c r="BQ60" s="12">
        <f t="shared" si="5"/>
        <v>1</v>
      </c>
      <c r="BR60" s="12">
        <f t="shared" si="17"/>
        <v>0</v>
      </c>
      <c r="BS60" s="23">
        <f t="shared" si="18"/>
        <v>0</v>
      </c>
      <c r="BT60" s="23">
        <f t="shared" si="19"/>
        <v>0</v>
      </c>
      <c r="BU60" s="23">
        <f t="shared" si="20"/>
        <v>0</v>
      </c>
      <c r="BV60" s="18">
        <f t="shared" si="21"/>
        <v>0</v>
      </c>
      <c r="BX60" s="18">
        <f t="shared" si="22"/>
        <v>0</v>
      </c>
      <c r="BY60" s="18">
        <f t="shared" si="23"/>
        <v>1.4155918239679504E-3</v>
      </c>
    </row>
    <row r="61" spans="1:77" x14ac:dyDescent="0.3">
      <c r="A61" s="1">
        <v>46111</v>
      </c>
      <c r="B61" s="6">
        <v>56.72</v>
      </c>
      <c r="C61" s="6">
        <v>98.83</v>
      </c>
      <c r="D61" s="7">
        <v>2.6480728688077701E-3</v>
      </c>
      <c r="E61" s="7">
        <v>1.6202535190171701E-3</v>
      </c>
      <c r="F61" s="6">
        <v>0</v>
      </c>
      <c r="G61" s="6">
        <v>0.28010000000000002</v>
      </c>
      <c r="H61" s="6">
        <v>0</v>
      </c>
      <c r="I61" s="6">
        <v>0.50749999999999995</v>
      </c>
      <c r="J61" s="6">
        <v>0.28010000000000002</v>
      </c>
      <c r="K61" s="6">
        <v>0.50749999999999995</v>
      </c>
      <c r="L61" s="6">
        <v>57.000099999999897</v>
      </c>
      <c r="M61" s="6">
        <v>99.337499999999906</v>
      </c>
      <c r="N61" s="8">
        <v>1.74241889985895</v>
      </c>
      <c r="O61" s="8">
        <v>1.7441031794745401</v>
      </c>
      <c r="P61" s="8">
        <v>1.7441176174826001</v>
      </c>
      <c r="Q61" s="8">
        <v>1.74413193842448</v>
      </c>
      <c r="R61" s="6">
        <v>98.925532339795893</v>
      </c>
      <c r="S61" s="6">
        <v>98.930387089700105</v>
      </c>
      <c r="T61" s="6">
        <v>98.933162944923595</v>
      </c>
      <c r="U61" s="7">
        <v>9.6616611527449499E-4</v>
      </c>
      <c r="V61" s="7">
        <v>1.0152397029556501E-3</v>
      </c>
      <c r="W61" s="7">
        <v>1.0432979807251401E-3</v>
      </c>
      <c r="X61" s="8">
        <v>1.7427601004208699</v>
      </c>
      <c r="Y61" s="8">
        <v>1.7448470922733199</v>
      </c>
      <c r="Z61" s="8">
        <v>1.74444930342938</v>
      </c>
      <c r="AA61" s="8">
        <v>1.7444615782905399</v>
      </c>
      <c r="AB61" s="6">
        <v>99.456458744288497</v>
      </c>
      <c r="AC61" s="6">
        <v>99.4377945811638</v>
      </c>
      <c r="AD61" s="6">
        <v>99.440461677902903</v>
      </c>
      <c r="AE61" s="7">
        <v>1.1968045632679699E-3</v>
      </c>
      <c r="AF61" s="7">
        <v>1.00912530288314E-3</v>
      </c>
      <c r="AG61" s="7">
        <v>1.03594670396981E-3</v>
      </c>
      <c r="AZ61" s="23"/>
      <c r="BB61" s="12">
        <f t="shared" si="6"/>
        <v>0</v>
      </c>
      <c r="BC61" s="12">
        <f t="shared" si="7"/>
        <v>1</v>
      </c>
      <c r="BD61" s="12">
        <f t="shared" si="8"/>
        <v>0</v>
      </c>
      <c r="BE61" s="12">
        <f t="shared" si="4"/>
        <v>1</v>
      </c>
      <c r="BF61" s="12">
        <f t="shared" si="9"/>
        <v>0</v>
      </c>
      <c r="BG61" s="23">
        <f t="shared" si="10"/>
        <v>0</v>
      </c>
      <c r="BH61" s="23">
        <f t="shared" si="11"/>
        <v>0</v>
      </c>
      <c r="BI61" s="23">
        <f t="shared" si="12"/>
        <v>0</v>
      </c>
      <c r="BJ61" s="18">
        <f t="shared" si="13"/>
        <v>1.4155918239679504E-3</v>
      </c>
      <c r="BL61" s="23"/>
      <c r="BN61" s="12">
        <f t="shared" si="14"/>
        <v>1</v>
      </c>
      <c r="BO61" s="12">
        <f t="shared" si="15"/>
        <v>0</v>
      </c>
      <c r="BP61" s="12">
        <f t="shared" si="16"/>
        <v>0</v>
      </c>
      <c r="BQ61" s="12">
        <f t="shared" si="5"/>
        <v>1</v>
      </c>
      <c r="BR61" s="12">
        <f t="shared" si="17"/>
        <v>0</v>
      </c>
      <c r="BS61" s="23">
        <f t="shared" si="18"/>
        <v>0</v>
      </c>
      <c r="BT61" s="23">
        <f t="shared" si="19"/>
        <v>0</v>
      </c>
      <c r="BU61" s="23">
        <f t="shared" si="20"/>
        <v>0</v>
      </c>
      <c r="BV61" s="18">
        <f t="shared" si="21"/>
        <v>0</v>
      </c>
      <c r="BX61" s="18">
        <f t="shared" si="22"/>
        <v>0</v>
      </c>
      <c r="BY61" s="18">
        <f t="shared" si="23"/>
        <v>1.4155918239679504E-3</v>
      </c>
    </row>
    <row r="62" spans="1:77" x14ac:dyDescent="0.3">
      <c r="A62" s="1">
        <v>46112</v>
      </c>
      <c r="B62" s="6">
        <v>56.86</v>
      </c>
      <c r="C62" s="6">
        <v>99.08</v>
      </c>
      <c r="D62" s="7">
        <v>2.4652239989817102E-3</v>
      </c>
      <c r="E62" s="7">
        <v>2.52640223306623E-3</v>
      </c>
      <c r="F62" s="6">
        <v>0</v>
      </c>
      <c r="G62" s="6">
        <v>0.28010000000000002</v>
      </c>
      <c r="H62" s="6">
        <v>0</v>
      </c>
      <c r="I62" s="6">
        <v>0.50749999999999995</v>
      </c>
      <c r="J62" s="6">
        <v>0.28010000000000002</v>
      </c>
      <c r="K62" s="6">
        <v>0.50749999999999995</v>
      </c>
      <c r="L62" s="6">
        <v>57.140099999999997</v>
      </c>
      <c r="M62" s="6">
        <v>99.587499999999906</v>
      </c>
      <c r="N62" s="8">
        <v>1.7425255012310901</v>
      </c>
      <c r="O62" s="8">
        <v>1.7441031794745401</v>
      </c>
      <c r="P62" s="8">
        <v>1.7440700458877401</v>
      </c>
      <c r="Q62" s="8">
        <v>1.7439983900482701</v>
      </c>
      <c r="R62" s="6">
        <v>99.169706784922298</v>
      </c>
      <c r="S62" s="6">
        <v>99.170527730060698</v>
      </c>
      <c r="T62" s="6">
        <v>99.171342018816404</v>
      </c>
      <c r="U62" s="7">
        <v>9.0498788118978997E-4</v>
      </c>
      <c r="V62" s="7">
        <v>9.1326603151474701E-4</v>
      </c>
      <c r="W62" s="7">
        <v>9.2147699329166003E-4</v>
      </c>
      <c r="X62" s="8">
        <v>1.7428653432528101</v>
      </c>
      <c r="Y62" s="8">
        <v>1.7448470922733199</v>
      </c>
      <c r="Z62" s="8">
        <v>1.7444023446477099</v>
      </c>
      <c r="AA62" s="8">
        <v>1.74432894067438</v>
      </c>
      <c r="AB62" s="6">
        <v>99.700737337206704</v>
      </c>
      <c r="AC62" s="6">
        <v>99.678007642885603</v>
      </c>
      <c r="AD62" s="6">
        <v>99.678709029679496</v>
      </c>
      <c r="AE62" s="7">
        <v>1.13641779270516E-3</v>
      </c>
      <c r="AF62" s="7">
        <v>9.08412601661597E-4</v>
      </c>
      <c r="AG62" s="7">
        <v>9.1544910191728303E-4</v>
      </c>
      <c r="AZ62" s="23"/>
      <c r="BB62" s="12">
        <f t="shared" si="6"/>
        <v>0</v>
      </c>
      <c r="BC62" s="12">
        <f t="shared" si="7"/>
        <v>1</v>
      </c>
      <c r="BD62" s="12">
        <f t="shared" si="8"/>
        <v>0</v>
      </c>
      <c r="BE62" s="12">
        <f t="shared" si="4"/>
        <v>0</v>
      </c>
      <c r="BF62" s="12">
        <f t="shared" si="9"/>
        <v>0</v>
      </c>
      <c r="BG62" s="23">
        <f t="shared" si="10"/>
        <v>0</v>
      </c>
      <c r="BH62" s="23">
        <f t="shared" si="11"/>
        <v>0</v>
      </c>
      <c r="BI62" s="23">
        <f t="shared" si="12"/>
        <v>0</v>
      </c>
      <c r="BJ62" s="18">
        <f t="shared" si="13"/>
        <v>1.4155918239679504E-3</v>
      </c>
      <c r="BL62" s="23"/>
      <c r="BN62" s="12">
        <f t="shared" si="14"/>
        <v>0</v>
      </c>
      <c r="BO62" s="12">
        <f t="shared" si="15"/>
        <v>0</v>
      </c>
      <c r="BP62" s="12">
        <f t="shared" si="16"/>
        <v>1</v>
      </c>
      <c r="BQ62" s="12">
        <f t="shared" si="5"/>
        <v>0</v>
      </c>
      <c r="BR62" s="12">
        <f t="shared" si="17"/>
        <v>1</v>
      </c>
      <c r="BS62" s="23">
        <f t="shared" si="18"/>
        <v>-2.4652239989817102E-3</v>
      </c>
      <c r="BT62" s="23">
        <f t="shared" si="19"/>
        <v>2.52640223306623E-3</v>
      </c>
      <c r="BU62" s="23">
        <f t="shared" si="20"/>
        <v>6.1178234084519837E-5</v>
      </c>
      <c r="BV62" s="18">
        <f t="shared" si="21"/>
        <v>6.1178234084519837E-5</v>
      </c>
      <c r="BX62" s="18">
        <f t="shared" si="22"/>
        <v>6.1178234084519837E-5</v>
      </c>
      <c r="BY62" s="18">
        <f t="shared" si="23"/>
        <v>1.4767700580524702E-3</v>
      </c>
    </row>
    <row r="63" spans="1:77" x14ac:dyDescent="0.3">
      <c r="A63" s="1">
        <v>46113</v>
      </c>
      <c r="B63" s="6">
        <v>56.88</v>
      </c>
      <c r="C63" s="6">
        <v>99.11</v>
      </c>
      <c r="D63" s="7">
        <v>3.5167927213170799E-4</v>
      </c>
      <c r="E63" s="7">
        <v>3.0273979745827298E-4</v>
      </c>
      <c r="F63" s="6">
        <v>0.1404</v>
      </c>
      <c r="G63" s="6">
        <v>0.42049999999999998</v>
      </c>
      <c r="H63" s="6">
        <v>0.25819999999999999</v>
      </c>
      <c r="I63" s="6">
        <v>0.76570000000000005</v>
      </c>
      <c r="J63" s="6">
        <v>0.42049999999999998</v>
      </c>
      <c r="K63" s="6">
        <v>0.76570000000000005</v>
      </c>
      <c r="L63" s="6">
        <v>57.3005</v>
      </c>
      <c r="M63" s="6">
        <v>99.875699999999995</v>
      </c>
      <c r="N63" s="8">
        <v>1.7424402250351601</v>
      </c>
      <c r="O63" s="8">
        <v>1.7441031794745401</v>
      </c>
      <c r="P63" s="8">
        <v>1.7439108622577899</v>
      </c>
      <c r="Q63" s="8">
        <v>1.7439446835553001</v>
      </c>
      <c r="R63" s="6">
        <v>99.204588848511804</v>
      </c>
      <c r="S63" s="6">
        <v>99.202704210095106</v>
      </c>
      <c r="T63" s="6">
        <v>99.198628425945699</v>
      </c>
      <c r="U63" s="7">
        <v>9.5392735586323398E-4</v>
      </c>
      <c r="V63" s="7">
        <v>9.3492968306923803E-4</v>
      </c>
      <c r="W63" s="7">
        <v>8.9384342527153095E-4</v>
      </c>
      <c r="X63" s="8">
        <v>1.74301620404708</v>
      </c>
      <c r="Y63" s="8">
        <v>1.7448470922733199</v>
      </c>
      <c r="Z63" s="8">
        <v>1.7442678187651799</v>
      </c>
      <c r="AA63" s="8">
        <v>1.74428756015761</v>
      </c>
      <c r="AB63" s="6">
        <v>99.980610810807406</v>
      </c>
      <c r="AC63" s="6">
        <v>99.955126549486593</v>
      </c>
      <c r="AD63" s="6">
        <v>99.950920465112404</v>
      </c>
      <c r="AE63" s="7">
        <v>1.04986247387387E-3</v>
      </c>
      <c r="AF63" s="7">
        <v>7.9493794867142398E-4</v>
      </c>
      <c r="AG63" s="7">
        <v>7.5285733692786203E-4</v>
      </c>
      <c r="AZ63" s="23"/>
      <c r="BB63" s="12">
        <f t="shared" si="6"/>
        <v>0</v>
      </c>
      <c r="BC63" s="12">
        <f t="shared" si="7"/>
        <v>1</v>
      </c>
      <c r="BD63" s="12">
        <f t="shared" si="8"/>
        <v>0</v>
      </c>
      <c r="BE63" s="12">
        <f t="shared" si="4"/>
        <v>1</v>
      </c>
      <c r="BF63" s="12">
        <f t="shared" si="9"/>
        <v>0</v>
      </c>
      <c r="BG63" s="23">
        <f t="shared" si="10"/>
        <v>0</v>
      </c>
      <c r="BH63" s="23">
        <f t="shared" si="11"/>
        <v>0</v>
      </c>
      <c r="BI63" s="23">
        <f t="shared" si="12"/>
        <v>0</v>
      </c>
      <c r="BJ63" s="18">
        <f t="shared" si="13"/>
        <v>1.4155918239679504E-3</v>
      </c>
      <c r="BL63" s="23"/>
      <c r="BN63" s="12">
        <f t="shared" si="14"/>
        <v>0</v>
      </c>
      <c r="BO63" s="12">
        <f t="shared" si="15"/>
        <v>0</v>
      </c>
      <c r="BP63" s="12">
        <f t="shared" si="16"/>
        <v>0</v>
      </c>
      <c r="BQ63" s="12">
        <f t="shared" si="5"/>
        <v>1</v>
      </c>
      <c r="BR63" s="12">
        <f t="shared" si="17"/>
        <v>0</v>
      </c>
      <c r="BS63" s="23">
        <f t="shared" si="18"/>
        <v>0</v>
      </c>
      <c r="BT63" s="23">
        <f t="shared" si="19"/>
        <v>0</v>
      </c>
      <c r="BU63" s="23">
        <f t="shared" si="20"/>
        <v>0</v>
      </c>
      <c r="BV63" s="18">
        <f t="shared" si="21"/>
        <v>6.1178234084519837E-5</v>
      </c>
      <c r="BX63" s="18">
        <f t="shared" si="22"/>
        <v>0</v>
      </c>
      <c r="BY63" s="18">
        <f t="shared" si="23"/>
        <v>1.4767700580524702E-3</v>
      </c>
    </row>
    <row r="64" spans="1:77" x14ac:dyDescent="0.3">
      <c r="A64" s="1">
        <v>46114</v>
      </c>
      <c r="B64" s="6">
        <v>56.97</v>
      </c>
      <c r="C64" s="6">
        <v>99.34</v>
      </c>
      <c r="D64" s="7">
        <v>1.5810279973187699E-3</v>
      </c>
      <c r="E64" s="7">
        <v>2.3179652605874001E-3</v>
      </c>
      <c r="F64" s="6">
        <v>0</v>
      </c>
      <c r="G64" s="6">
        <v>0.42049999999999998</v>
      </c>
      <c r="H64" s="6">
        <v>0</v>
      </c>
      <c r="I64" s="6">
        <v>0.76570000000000005</v>
      </c>
      <c r="J64" s="6">
        <v>0.42049999999999998</v>
      </c>
      <c r="K64" s="6">
        <v>0.76570000000000005</v>
      </c>
      <c r="L64" s="6">
        <v>57.390499999999903</v>
      </c>
      <c r="M64" s="6">
        <v>100.1057</v>
      </c>
      <c r="N64" s="8">
        <v>1.74372476742145</v>
      </c>
      <c r="O64" s="8">
        <v>1.7441031794745401</v>
      </c>
      <c r="P64" s="8">
        <v>1.7438854332407701</v>
      </c>
      <c r="Q64" s="8">
        <v>1.7439554286761101</v>
      </c>
      <c r="R64" s="6">
        <v>99.361558134664506</v>
      </c>
      <c r="S64" s="6">
        <v>99.350601822826405</v>
      </c>
      <c r="T64" s="6">
        <v>99.352528622145698</v>
      </c>
      <c r="U64" s="7">
        <v>2.1699009259466899E-4</v>
      </c>
      <c r="V64" s="7">
        <v>1.06716902956153E-4</v>
      </c>
      <c r="W64" s="7">
        <v>1.2611065196282899E-4</v>
      </c>
      <c r="X64" s="8">
        <v>1.74429043134316</v>
      </c>
      <c r="Y64" s="8">
        <v>1.7448470922733199</v>
      </c>
      <c r="Z64" s="8">
        <v>1.74426593871597</v>
      </c>
      <c r="AA64" s="8">
        <v>1.74431010306817</v>
      </c>
      <c r="AB64" s="6">
        <v>100.137647049111</v>
      </c>
      <c r="AC64" s="6">
        <v>100.104402252843</v>
      </c>
      <c r="AD64" s="6">
        <v>100.105535221225</v>
      </c>
      <c r="AE64" s="7">
        <v>3.1908225520428001E-4</v>
      </c>
      <c r="AF64" s="7">
        <v>-1.2963852893994101E-5</v>
      </c>
      <c r="AG64" s="7">
        <v>-1.64604922585605E-6</v>
      </c>
      <c r="AZ64" s="23"/>
      <c r="BB64" s="12">
        <f t="shared" si="6"/>
        <v>0</v>
      </c>
      <c r="BC64" s="12">
        <f t="shared" si="7"/>
        <v>0</v>
      </c>
      <c r="BD64" s="12">
        <f t="shared" si="8"/>
        <v>0</v>
      </c>
      <c r="BE64" s="12">
        <f t="shared" si="4"/>
        <v>1</v>
      </c>
      <c r="BF64" s="12">
        <f t="shared" si="9"/>
        <v>0</v>
      </c>
      <c r="BG64" s="23">
        <f t="shared" si="10"/>
        <v>0</v>
      </c>
      <c r="BH64" s="23">
        <f t="shared" si="11"/>
        <v>0</v>
      </c>
      <c r="BI64" s="23">
        <f t="shared" si="12"/>
        <v>0</v>
      </c>
      <c r="BJ64" s="18">
        <f t="shared" si="13"/>
        <v>1.4155918239679504E-3</v>
      </c>
      <c r="BL64" s="23"/>
      <c r="BN64" s="12">
        <f t="shared" si="14"/>
        <v>0</v>
      </c>
      <c r="BO64" s="12">
        <f t="shared" si="15"/>
        <v>1</v>
      </c>
      <c r="BP64" s="12">
        <f t="shared" si="16"/>
        <v>0</v>
      </c>
      <c r="BQ64" s="12">
        <f t="shared" si="5"/>
        <v>1</v>
      </c>
      <c r="BR64" s="12">
        <f t="shared" si="17"/>
        <v>0</v>
      </c>
      <c r="BS64" s="23">
        <f t="shared" si="18"/>
        <v>0</v>
      </c>
      <c r="BT64" s="23">
        <f t="shared" si="19"/>
        <v>0</v>
      </c>
      <c r="BU64" s="23">
        <f t="shared" si="20"/>
        <v>0</v>
      </c>
      <c r="BV64" s="18">
        <f t="shared" si="21"/>
        <v>6.1178234084519837E-5</v>
      </c>
      <c r="BX64" s="18">
        <f t="shared" si="22"/>
        <v>0</v>
      </c>
      <c r="BY64" s="18">
        <f t="shared" si="23"/>
        <v>1.4767700580524702E-3</v>
      </c>
    </row>
    <row r="65" spans="1:77" x14ac:dyDescent="0.3">
      <c r="A65" s="1">
        <v>46118</v>
      </c>
      <c r="B65" s="6">
        <v>56.94</v>
      </c>
      <c r="C65" s="6">
        <v>99.25</v>
      </c>
      <c r="D65" s="7">
        <v>-5.2673164241268404E-4</v>
      </c>
      <c r="E65" s="7">
        <v>-9.0639011190464904E-4</v>
      </c>
      <c r="F65" s="6">
        <v>0</v>
      </c>
      <c r="G65" s="6">
        <v>0.42049999999999998</v>
      </c>
      <c r="H65" s="6">
        <v>0</v>
      </c>
      <c r="I65" s="6">
        <v>0.76570000000000005</v>
      </c>
      <c r="J65" s="6">
        <v>0.42049999999999998</v>
      </c>
      <c r="K65" s="6">
        <v>0.76570000000000005</v>
      </c>
      <c r="L65" s="6">
        <v>57.360499999999902</v>
      </c>
      <c r="M65" s="6">
        <v>100.0157</v>
      </c>
      <c r="N65" s="8">
        <v>1.7430628731998501</v>
      </c>
      <c r="O65" s="8">
        <v>1.7441031794745401</v>
      </c>
      <c r="P65" s="8">
        <v>1.7436494670396301</v>
      </c>
      <c r="Q65" s="8">
        <v>1.74386623732831</v>
      </c>
      <c r="R65" s="6">
        <v>99.309235039280296</v>
      </c>
      <c r="S65" s="6">
        <v>99.296836568729702</v>
      </c>
      <c r="T65" s="6">
        <v>99.300822108818096</v>
      </c>
      <c r="U65" s="7">
        <v>5.9664856208665302E-4</v>
      </c>
      <c r="V65" s="7">
        <v>4.7179366247262198E-4</v>
      </c>
      <c r="W65" s="7">
        <v>5.11930491027902E-4</v>
      </c>
      <c r="X65" s="8">
        <v>1.74363368520148</v>
      </c>
      <c r="Y65" s="8">
        <v>1.7448470922733199</v>
      </c>
      <c r="Z65" s="8">
        <v>1.7440544554050901</v>
      </c>
      <c r="AA65" s="8">
        <v>1.74423327544842</v>
      </c>
      <c r="AB65" s="6">
        <v>100.085301636343</v>
      </c>
      <c r="AC65" s="6">
        <v>100.05196637771699</v>
      </c>
      <c r="AD65" s="6">
        <v>100.05449966704199</v>
      </c>
      <c r="AE65" s="7">
        <v>6.9566507495322E-4</v>
      </c>
      <c r="AF65" s="7">
        <v>3.6254112192370098E-4</v>
      </c>
      <c r="AG65" s="7">
        <v>3.8786053688169098E-4</v>
      </c>
      <c r="AZ65" s="23"/>
      <c r="BB65" s="12">
        <f t="shared" si="6"/>
        <v>0</v>
      </c>
      <c r="BC65" s="12">
        <f t="shared" si="7"/>
        <v>1</v>
      </c>
      <c r="BD65" s="12">
        <f t="shared" si="8"/>
        <v>0</v>
      </c>
      <c r="BE65" s="12">
        <f t="shared" si="4"/>
        <v>1</v>
      </c>
      <c r="BF65" s="12">
        <f t="shared" si="9"/>
        <v>0</v>
      </c>
      <c r="BG65" s="23">
        <f t="shared" si="10"/>
        <v>0</v>
      </c>
      <c r="BH65" s="23">
        <f t="shared" si="11"/>
        <v>0</v>
      </c>
      <c r="BI65" s="23">
        <f t="shared" si="12"/>
        <v>0</v>
      </c>
      <c r="BJ65" s="18">
        <f t="shared" si="13"/>
        <v>1.4155918239679504E-3</v>
      </c>
      <c r="BL65" s="23"/>
      <c r="BN65" s="12">
        <f t="shared" si="14"/>
        <v>0</v>
      </c>
      <c r="BO65" s="12">
        <f t="shared" si="15"/>
        <v>0</v>
      </c>
      <c r="BP65" s="12">
        <f t="shared" si="16"/>
        <v>0</v>
      </c>
      <c r="BQ65" s="12">
        <f t="shared" si="5"/>
        <v>1</v>
      </c>
      <c r="BR65" s="12">
        <f t="shared" si="17"/>
        <v>0</v>
      </c>
      <c r="BS65" s="23">
        <f t="shared" si="18"/>
        <v>0</v>
      </c>
      <c r="BT65" s="23">
        <f t="shared" si="19"/>
        <v>0</v>
      </c>
      <c r="BU65" s="23">
        <f t="shared" si="20"/>
        <v>0</v>
      </c>
      <c r="BV65" s="18">
        <f t="shared" si="21"/>
        <v>6.1178234084519837E-5</v>
      </c>
      <c r="BX65" s="18">
        <f t="shared" si="22"/>
        <v>0</v>
      </c>
      <c r="BY65" s="18">
        <f t="shared" si="23"/>
        <v>1.4767700580524702E-3</v>
      </c>
    </row>
    <row r="66" spans="1:77" x14ac:dyDescent="0.3">
      <c r="A66" s="1">
        <v>46119</v>
      </c>
      <c r="B66" s="6">
        <v>56.98</v>
      </c>
      <c r="C66" s="6">
        <v>99.4</v>
      </c>
      <c r="D66" s="7">
        <v>7.0224721987072799E-4</v>
      </c>
      <c r="E66" s="7">
        <v>1.51019409522869E-3</v>
      </c>
      <c r="F66" s="6">
        <v>0</v>
      </c>
      <c r="G66" s="6">
        <v>0.42049999999999998</v>
      </c>
      <c r="H66" s="6">
        <v>0</v>
      </c>
      <c r="I66" s="6">
        <v>0.76570000000000005</v>
      </c>
      <c r="J66" s="6">
        <v>0.42049999999999998</v>
      </c>
      <c r="K66" s="6">
        <v>0.76570000000000005</v>
      </c>
      <c r="L66" s="6">
        <v>57.400499999999901</v>
      </c>
      <c r="M66" s="6">
        <v>100.1657</v>
      </c>
      <c r="N66" s="8">
        <v>1.7444717444717399</v>
      </c>
      <c r="O66" s="8">
        <v>1.7441031794745401</v>
      </c>
      <c r="P66" s="8">
        <v>1.7438465099309399</v>
      </c>
      <c r="Q66" s="8">
        <v>1.7439167776092299</v>
      </c>
      <c r="R66" s="6">
        <v>99.378999166459295</v>
      </c>
      <c r="S66" s="6">
        <v>99.353146631918307</v>
      </c>
      <c r="T66" s="6">
        <v>99.365498202967402</v>
      </c>
      <c r="U66" s="7">
        <v>-2.1129831327132599E-4</v>
      </c>
      <c r="V66" s="7">
        <v>-4.7147297784719798E-4</v>
      </c>
      <c r="W66" s="7">
        <v>-3.4716082711528301E-4</v>
      </c>
      <c r="X66" s="8">
        <v>1.74503183770176</v>
      </c>
      <c r="Y66" s="8">
        <v>1.7448470922733199</v>
      </c>
      <c r="Z66" s="8">
        <v>1.7442736005717401</v>
      </c>
      <c r="AA66" s="8">
        <v>1.7442953089635</v>
      </c>
      <c r="AB66" s="6">
        <v>100.155095520034</v>
      </c>
      <c r="AC66" s="6">
        <v>100.10959776748</v>
      </c>
      <c r="AD66" s="6">
        <v>100.119862127377</v>
      </c>
      <c r="AE66" s="7">
        <v>-1.0587497865771E-4</v>
      </c>
      <c r="AF66" s="7">
        <v>-5.60251160404326E-4</v>
      </c>
      <c r="AG66" s="7">
        <v>-4.5772518933789402E-4</v>
      </c>
      <c r="AZ66" s="23"/>
      <c r="BB66" s="12">
        <f t="shared" si="6"/>
        <v>0</v>
      </c>
      <c r="BC66" s="12">
        <f t="shared" si="7"/>
        <v>0</v>
      </c>
      <c r="BD66" s="12">
        <f t="shared" si="8"/>
        <v>0</v>
      </c>
      <c r="BE66" s="12">
        <f t="shared" si="4"/>
        <v>1</v>
      </c>
      <c r="BF66" s="12">
        <f t="shared" si="9"/>
        <v>0</v>
      </c>
      <c r="BG66" s="23">
        <f t="shared" si="10"/>
        <v>0</v>
      </c>
      <c r="BH66" s="23">
        <f t="shared" si="11"/>
        <v>0</v>
      </c>
      <c r="BI66" s="23">
        <f t="shared" si="12"/>
        <v>0</v>
      </c>
      <c r="BJ66" s="18">
        <f t="shared" si="13"/>
        <v>1.4155918239679504E-3</v>
      </c>
      <c r="BL66" s="23"/>
      <c r="BN66" s="12">
        <f t="shared" si="14"/>
        <v>0</v>
      </c>
      <c r="BO66" s="12">
        <f t="shared" si="15"/>
        <v>1</v>
      </c>
      <c r="BP66" s="12">
        <f t="shared" si="16"/>
        <v>0</v>
      </c>
      <c r="BQ66" s="12">
        <f t="shared" si="5"/>
        <v>1</v>
      </c>
      <c r="BR66" s="12">
        <f t="shared" si="17"/>
        <v>0</v>
      </c>
      <c r="BS66" s="23">
        <f t="shared" si="18"/>
        <v>0</v>
      </c>
      <c r="BT66" s="23">
        <f t="shared" si="19"/>
        <v>0</v>
      </c>
      <c r="BU66" s="23">
        <f t="shared" si="20"/>
        <v>0</v>
      </c>
      <c r="BV66" s="18">
        <f t="shared" si="21"/>
        <v>6.1178234084519837E-5</v>
      </c>
      <c r="BX66" s="18">
        <f t="shared" si="22"/>
        <v>0</v>
      </c>
      <c r="BY66" s="18">
        <f t="shared" si="23"/>
        <v>1.4767700580524702E-3</v>
      </c>
    </row>
    <row r="67" spans="1:77" x14ac:dyDescent="0.3">
      <c r="A67" s="1">
        <v>46120</v>
      </c>
      <c r="B67" s="6">
        <v>57.21</v>
      </c>
      <c r="C67" s="6">
        <v>99.73</v>
      </c>
      <c r="D67" s="7">
        <v>4.0283792106751296E-3</v>
      </c>
      <c r="E67" s="7">
        <v>3.3144207512481399E-3</v>
      </c>
      <c r="F67" s="6">
        <v>0</v>
      </c>
      <c r="G67" s="6">
        <v>0.42049999999999998</v>
      </c>
      <c r="H67" s="6">
        <v>0</v>
      </c>
      <c r="I67" s="6">
        <v>0.76570000000000005</v>
      </c>
      <c r="J67" s="6">
        <v>0.42049999999999998</v>
      </c>
      <c r="K67" s="6">
        <v>0.76570000000000005</v>
      </c>
      <c r="L67" s="6">
        <v>57.630499999999998</v>
      </c>
      <c r="M67" s="6">
        <v>100.4957</v>
      </c>
      <c r="N67" s="8">
        <v>1.7432267086173701</v>
      </c>
      <c r="O67" s="8">
        <v>1.7441031794745401</v>
      </c>
      <c r="P67" s="8">
        <v>1.7435183057705801</v>
      </c>
      <c r="Q67" s="8">
        <v>1.7438102775948701</v>
      </c>
      <c r="R67" s="6">
        <v>99.780142897738401</v>
      </c>
      <c r="S67" s="6">
        <v>99.765458833149097</v>
      </c>
      <c r="T67" s="6">
        <v>99.769478847024502</v>
      </c>
      <c r="U67" s="7">
        <v>5.02660146155718E-4</v>
      </c>
      <c r="V67" s="7">
        <v>3.5548511961107398E-4</v>
      </c>
      <c r="W67" s="7">
        <v>3.9577895409117201E-4</v>
      </c>
      <c r="X67" s="8">
        <v>1.7437936509313601</v>
      </c>
      <c r="Y67" s="8">
        <v>1.7448470922733199</v>
      </c>
      <c r="Z67" s="8">
        <v>1.7439698956262999</v>
      </c>
      <c r="AA67" s="8">
        <v>1.74420106904318</v>
      </c>
      <c r="AB67" s="6">
        <v>100.556410351257</v>
      </c>
      <c r="AC67" s="6">
        <v>100.523359737749</v>
      </c>
      <c r="AD67" s="6">
        <v>100.52461080322099</v>
      </c>
      <c r="AE67" s="7">
        <v>6.0392654418554099E-4</v>
      </c>
      <c r="AF67" s="7">
        <v>2.7519517761639002E-4</v>
      </c>
      <c r="AG67" s="7">
        <v>2.8764062004381201E-4</v>
      </c>
      <c r="AZ67" s="23"/>
      <c r="BB67" s="12">
        <f t="shared" si="6"/>
        <v>0</v>
      </c>
      <c r="BC67" s="12">
        <f t="shared" si="7"/>
        <v>1</v>
      </c>
      <c r="BD67" s="12">
        <f t="shared" si="8"/>
        <v>0</v>
      </c>
      <c r="BE67" s="12">
        <f t="shared" si="4"/>
        <v>1</v>
      </c>
      <c r="BF67" s="12">
        <f t="shared" si="9"/>
        <v>0</v>
      </c>
      <c r="BG67" s="23">
        <f t="shared" si="10"/>
        <v>0</v>
      </c>
      <c r="BH67" s="23">
        <f t="shared" si="11"/>
        <v>0</v>
      </c>
      <c r="BI67" s="23">
        <f t="shared" si="12"/>
        <v>0</v>
      </c>
      <c r="BJ67" s="18">
        <f t="shared" si="13"/>
        <v>1.4155918239679504E-3</v>
      </c>
      <c r="BL67" s="23"/>
      <c r="BN67" s="12">
        <f t="shared" si="14"/>
        <v>0</v>
      </c>
      <c r="BO67" s="12">
        <f t="shared" si="15"/>
        <v>0</v>
      </c>
      <c r="BP67" s="12">
        <f t="shared" si="16"/>
        <v>0</v>
      </c>
      <c r="BQ67" s="12">
        <f t="shared" si="5"/>
        <v>1</v>
      </c>
      <c r="BR67" s="12">
        <f t="shared" si="17"/>
        <v>0</v>
      </c>
      <c r="BS67" s="23">
        <f t="shared" si="18"/>
        <v>0</v>
      </c>
      <c r="BT67" s="23">
        <f t="shared" si="19"/>
        <v>0</v>
      </c>
      <c r="BU67" s="23">
        <f t="shared" si="20"/>
        <v>0</v>
      </c>
      <c r="BV67" s="18">
        <f t="shared" si="21"/>
        <v>6.1178234084519837E-5</v>
      </c>
      <c r="BX67" s="18">
        <f t="shared" si="22"/>
        <v>0</v>
      </c>
      <c r="BY67" s="18">
        <f t="shared" si="23"/>
        <v>1.4767700580524702E-3</v>
      </c>
    </row>
    <row r="68" spans="1:77" x14ac:dyDescent="0.3">
      <c r="A68" s="1">
        <v>46121</v>
      </c>
      <c r="B68" s="6">
        <v>57.3</v>
      </c>
      <c r="C68" s="6">
        <v>99.92</v>
      </c>
      <c r="D68" s="7">
        <v>1.57191544025651E-3</v>
      </c>
      <c r="E68" s="7">
        <v>1.9033314035456399E-3</v>
      </c>
      <c r="F68" s="6">
        <v>0</v>
      </c>
      <c r="G68" s="6">
        <v>0.42049999999999998</v>
      </c>
      <c r="H68" s="6">
        <v>0</v>
      </c>
      <c r="I68" s="6">
        <v>0.76570000000000005</v>
      </c>
      <c r="J68" s="6">
        <v>0.42049999999999998</v>
      </c>
      <c r="K68" s="6">
        <v>0.76570000000000005</v>
      </c>
      <c r="L68" s="6">
        <v>57.720499999999902</v>
      </c>
      <c r="M68" s="6">
        <v>100.6857</v>
      </c>
      <c r="N68" s="8">
        <v>1.7438045375218101</v>
      </c>
      <c r="O68" s="8">
        <v>1.7441031794745401</v>
      </c>
      <c r="P68" s="8">
        <v>1.7433924125552001</v>
      </c>
      <c r="Q68" s="8">
        <v>1.74381142810985</v>
      </c>
      <c r="R68" s="6">
        <v>99.937112183891102</v>
      </c>
      <c r="S68" s="6">
        <v>99.903598920654304</v>
      </c>
      <c r="T68" s="6">
        <v>99.920328906186199</v>
      </c>
      <c r="U68" s="7">
        <v>1.71244182866502E-4</v>
      </c>
      <c r="V68" s="7">
        <v>-1.6415557993187401E-4</v>
      </c>
      <c r="W68" s="7">
        <v>3.2916898007824099E-6</v>
      </c>
      <c r="X68" s="8">
        <v>1.74436638629256</v>
      </c>
      <c r="Y68" s="8">
        <v>1.7448470922733199</v>
      </c>
      <c r="Z68" s="8">
        <v>1.7438673667804101</v>
      </c>
      <c r="AA68" s="8">
        <v>1.7442138096934201</v>
      </c>
      <c r="AB68" s="6">
        <v>100.713446589562</v>
      </c>
      <c r="AC68" s="6">
        <v>100.662814360498</v>
      </c>
      <c r="AD68" s="6">
        <v>100.67615780570701</v>
      </c>
      <c r="AE68" s="7">
        <v>2.75538304978892E-4</v>
      </c>
      <c r="AF68" s="7">
        <v>-2.27323649972009E-4</v>
      </c>
      <c r="AG68" s="7">
        <v>-9.4776581858649006E-5</v>
      </c>
      <c r="AZ68" s="23"/>
      <c r="BB68" s="12">
        <f t="shared" si="6"/>
        <v>0</v>
      </c>
      <c r="BC68" s="12">
        <f t="shared" si="7"/>
        <v>0</v>
      </c>
      <c r="BD68" s="12">
        <f t="shared" si="8"/>
        <v>0</v>
      </c>
      <c r="BE68" s="12">
        <f t="shared" si="4"/>
        <v>1</v>
      </c>
      <c r="BF68" s="12">
        <f t="shared" si="9"/>
        <v>0</v>
      </c>
      <c r="BG68" s="23">
        <f t="shared" si="10"/>
        <v>0</v>
      </c>
      <c r="BH68" s="23">
        <f t="shared" si="11"/>
        <v>0</v>
      </c>
      <c r="BI68" s="23">
        <f t="shared" si="12"/>
        <v>0</v>
      </c>
      <c r="BJ68" s="18">
        <f t="shared" si="13"/>
        <v>1.4155918239679504E-3</v>
      </c>
      <c r="BL68" s="23"/>
      <c r="BN68" s="12">
        <f t="shared" si="14"/>
        <v>0</v>
      </c>
      <c r="BO68" s="12">
        <f t="shared" si="15"/>
        <v>1</v>
      </c>
      <c r="BP68" s="12">
        <f t="shared" si="16"/>
        <v>0</v>
      </c>
      <c r="BQ68" s="12">
        <f t="shared" si="5"/>
        <v>1</v>
      </c>
      <c r="BR68" s="12">
        <f t="shared" si="17"/>
        <v>0</v>
      </c>
      <c r="BS68" s="23">
        <f t="shared" si="18"/>
        <v>0</v>
      </c>
      <c r="BT68" s="23">
        <f t="shared" si="19"/>
        <v>0</v>
      </c>
      <c r="BU68" s="23">
        <f t="shared" si="20"/>
        <v>0</v>
      </c>
      <c r="BV68" s="18">
        <f t="shared" si="21"/>
        <v>6.1178234084519837E-5</v>
      </c>
      <c r="BX68" s="18">
        <f t="shared" si="22"/>
        <v>0</v>
      </c>
      <c r="BY68" s="18">
        <f t="shared" si="23"/>
        <v>1.4767700580524702E-3</v>
      </c>
    </row>
    <row r="69" spans="1:77" x14ac:dyDescent="0.3">
      <c r="A69" s="1">
        <v>46122</v>
      </c>
      <c r="B69" s="6">
        <v>57.25</v>
      </c>
      <c r="C69" s="6">
        <v>99.86</v>
      </c>
      <c r="D69" s="7">
        <v>-8.7298128634484204E-4</v>
      </c>
      <c r="E69" s="7">
        <v>-6.0066074485905403E-4</v>
      </c>
      <c r="F69" s="6">
        <v>0</v>
      </c>
      <c r="G69" s="6">
        <v>0.42049999999999998</v>
      </c>
      <c r="H69" s="6">
        <v>0</v>
      </c>
      <c r="I69" s="6">
        <v>0.76570000000000005</v>
      </c>
      <c r="J69" s="6">
        <v>0.42049999999999998</v>
      </c>
      <c r="K69" s="6">
        <v>0.76570000000000005</v>
      </c>
      <c r="L69" s="6">
        <v>57.670499999999997</v>
      </c>
      <c r="M69" s="6">
        <v>100.62569999999999</v>
      </c>
      <c r="N69" s="8">
        <v>1.74427947598253</v>
      </c>
      <c r="O69" s="8">
        <v>1.7441031794745401</v>
      </c>
      <c r="P69" s="8">
        <v>1.74341654457317</v>
      </c>
      <c r="Q69" s="8">
        <v>1.74378745641632</v>
      </c>
      <c r="R69" s="6">
        <v>99.8499070249174</v>
      </c>
      <c r="S69" s="6">
        <v>99.809215618785402</v>
      </c>
      <c r="T69" s="6">
        <v>99.833204259289303</v>
      </c>
      <c r="U69" s="7">
        <v>-1.01076358619268E-4</v>
      </c>
      <c r="V69" s="7">
        <v>-5.0868514860671497E-4</v>
      </c>
      <c r="W69" s="7">
        <v>-2.68369081170123E-4</v>
      </c>
      <c r="X69" s="8">
        <v>1.7448383488958801</v>
      </c>
      <c r="Y69" s="8">
        <v>1.7448470922733199</v>
      </c>
      <c r="Z69" s="8">
        <v>1.7439139973058</v>
      </c>
      <c r="AA69" s="8">
        <v>1.7442014455914101</v>
      </c>
      <c r="AB69" s="6">
        <v>100.62620423494801</v>
      </c>
      <c r="AC69" s="6">
        <v>100.569702975909</v>
      </c>
      <c r="AD69" s="6">
        <v>100.589682511924</v>
      </c>
      <c r="AE69" s="7">
        <v>5.01098313028702E-6</v>
      </c>
      <c r="AF69" s="7">
        <v>-5.5664319072549497E-4</v>
      </c>
      <c r="AG69" s="7">
        <v>-3.5799935383256499E-4</v>
      </c>
      <c r="AZ69" s="23"/>
      <c r="BB69" s="12">
        <f t="shared" si="6"/>
        <v>0</v>
      </c>
      <c r="BC69" s="12">
        <f t="shared" si="7"/>
        <v>0</v>
      </c>
      <c r="BD69" s="12">
        <f t="shared" si="8"/>
        <v>0</v>
      </c>
      <c r="BE69" s="12">
        <f t="shared" si="4"/>
        <v>1</v>
      </c>
      <c r="BF69" s="12">
        <f t="shared" si="9"/>
        <v>0</v>
      </c>
      <c r="BG69" s="23">
        <f t="shared" si="10"/>
        <v>0</v>
      </c>
      <c r="BH69" s="23">
        <f t="shared" si="11"/>
        <v>0</v>
      </c>
      <c r="BI69" s="23">
        <f t="shared" si="12"/>
        <v>0</v>
      </c>
      <c r="BJ69" s="18">
        <f t="shared" si="13"/>
        <v>1.4155918239679504E-3</v>
      </c>
      <c r="BL69" s="23"/>
      <c r="BN69" s="12">
        <f t="shared" si="14"/>
        <v>0</v>
      </c>
      <c r="BO69" s="12">
        <f t="shared" si="15"/>
        <v>1</v>
      </c>
      <c r="BP69" s="12">
        <f t="shared" si="16"/>
        <v>0</v>
      </c>
      <c r="BQ69" s="12">
        <f t="shared" si="5"/>
        <v>1</v>
      </c>
      <c r="BR69" s="12">
        <f t="shared" si="17"/>
        <v>0</v>
      </c>
      <c r="BS69" s="23">
        <f t="shared" si="18"/>
        <v>0</v>
      </c>
      <c r="BT69" s="23">
        <f t="shared" si="19"/>
        <v>0</v>
      </c>
      <c r="BU69" s="23">
        <f t="shared" si="20"/>
        <v>0</v>
      </c>
      <c r="BV69" s="18">
        <f t="shared" si="21"/>
        <v>6.1178234084519837E-5</v>
      </c>
      <c r="BX69" s="18">
        <f t="shared" si="22"/>
        <v>0</v>
      </c>
      <c r="BY69" s="18">
        <f t="shared" si="23"/>
        <v>1.4767700580524702E-3</v>
      </c>
    </row>
    <row r="70" spans="1:77" x14ac:dyDescent="0.3">
      <c r="A70" s="1">
        <v>46125</v>
      </c>
      <c r="B70" s="6">
        <v>57.34</v>
      </c>
      <c r="C70" s="6">
        <v>100.01</v>
      </c>
      <c r="D70" s="7">
        <v>1.5708180208748701E-3</v>
      </c>
      <c r="E70" s="7">
        <v>1.50097591596146E-3</v>
      </c>
      <c r="F70" s="6">
        <v>0</v>
      </c>
      <c r="G70" s="6">
        <v>0.42049999999999998</v>
      </c>
      <c r="H70" s="6">
        <v>0</v>
      </c>
      <c r="I70" s="6">
        <v>0.76570000000000005</v>
      </c>
      <c r="J70" s="6">
        <v>0.42049999999999998</v>
      </c>
      <c r="K70" s="6">
        <v>0.76570000000000005</v>
      </c>
      <c r="L70" s="6">
        <v>57.7605</v>
      </c>
      <c r="M70" s="6">
        <v>100.7757</v>
      </c>
      <c r="N70" s="8">
        <v>1.7441576560865</v>
      </c>
      <c r="O70" s="8">
        <v>1.7441031794745401</v>
      </c>
      <c r="P70" s="8">
        <v>1.7434112389426399</v>
      </c>
      <c r="Q70" s="8">
        <v>1.7438000049588001</v>
      </c>
      <c r="R70" s="6">
        <v>100.00687631107</v>
      </c>
      <c r="S70" s="6">
        <v>99.967504665825601</v>
      </c>
      <c r="T70" s="6">
        <v>99.988772750911806</v>
      </c>
      <c r="U70" s="7">
        <v>-3.1234253705958002E-5</v>
      </c>
      <c r="V70" s="7">
        <v>-4.2500115085453101E-4</v>
      </c>
      <c r="W70" s="7">
        <v>-2.1227379424228901E-4</v>
      </c>
      <c r="X70" s="8">
        <v>1.7447165450437501</v>
      </c>
      <c r="Y70" s="8">
        <v>1.7448470922733199</v>
      </c>
      <c r="Z70" s="8">
        <v>1.74393125331307</v>
      </c>
      <c r="AA70" s="8">
        <v>1.7442254523512599</v>
      </c>
      <c r="AB70" s="6">
        <v>100.783240473253</v>
      </c>
      <c r="AC70" s="6">
        <v>100.729344441381</v>
      </c>
      <c r="AD70" s="6">
        <v>100.74594759808301</v>
      </c>
      <c r="AE70" s="7">
        <v>7.4821521079011002E-5</v>
      </c>
      <c r="AF70" s="7">
        <v>-4.60093290116478E-4</v>
      </c>
      <c r="AG70" s="7">
        <v>-2.9527747999032303E-4</v>
      </c>
      <c r="AZ70" s="23"/>
      <c r="BB70" s="12">
        <f t="shared" si="6"/>
        <v>0</v>
      </c>
      <c r="BC70" s="12">
        <f t="shared" si="7"/>
        <v>0</v>
      </c>
      <c r="BD70" s="12">
        <f t="shared" si="8"/>
        <v>0</v>
      </c>
      <c r="BE70" s="12">
        <f t="shared" si="4"/>
        <v>1</v>
      </c>
      <c r="BF70" s="12">
        <f t="shared" si="9"/>
        <v>0</v>
      </c>
      <c r="BG70" s="23">
        <f t="shared" si="10"/>
        <v>0</v>
      </c>
      <c r="BH70" s="23">
        <f t="shared" si="11"/>
        <v>0</v>
      </c>
      <c r="BI70" s="23">
        <f t="shared" si="12"/>
        <v>0</v>
      </c>
      <c r="BJ70" s="18">
        <f t="shared" si="13"/>
        <v>1.4155918239679504E-3</v>
      </c>
      <c r="BL70" s="23"/>
      <c r="BN70" s="12">
        <f t="shared" si="14"/>
        <v>0</v>
      </c>
      <c r="BO70" s="12">
        <f t="shared" si="15"/>
        <v>1</v>
      </c>
      <c r="BP70" s="12">
        <f t="shared" si="16"/>
        <v>0</v>
      </c>
      <c r="BQ70" s="12">
        <f t="shared" si="5"/>
        <v>1</v>
      </c>
      <c r="BR70" s="12">
        <f t="shared" si="17"/>
        <v>0</v>
      </c>
      <c r="BS70" s="23">
        <f t="shared" si="18"/>
        <v>0</v>
      </c>
      <c r="BT70" s="23">
        <f t="shared" si="19"/>
        <v>0</v>
      </c>
      <c r="BU70" s="23">
        <f t="shared" si="20"/>
        <v>0</v>
      </c>
      <c r="BV70" s="18">
        <f t="shared" si="21"/>
        <v>6.1178234084519837E-5</v>
      </c>
      <c r="BX70" s="18">
        <f t="shared" si="22"/>
        <v>0</v>
      </c>
      <c r="BY70" s="18">
        <f t="shared" si="23"/>
        <v>1.4767700580524702E-3</v>
      </c>
    </row>
    <row r="71" spans="1:77" x14ac:dyDescent="0.3">
      <c r="A71" s="1">
        <v>46126</v>
      </c>
      <c r="B71" s="6">
        <v>57.37</v>
      </c>
      <c r="C71" s="6">
        <v>100.06</v>
      </c>
      <c r="D71" s="7">
        <v>5.2305815855581005E-4</v>
      </c>
      <c r="E71" s="7">
        <v>4.9982507163416796E-4</v>
      </c>
      <c r="F71" s="6">
        <v>0</v>
      </c>
      <c r="G71" s="6">
        <v>0.42049999999999998</v>
      </c>
      <c r="H71" s="6">
        <v>0</v>
      </c>
      <c r="I71" s="6">
        <v>0.76570000000000005</v>
      </c>
      <c r="J71" s="6">
        <v>0.42049999999999998</v>
      </c>
      <c r="K71" s="6">
        <v>0.76570000000000005</v>
      </c>
      <c r="L71" s="6">
        <v>57.790499999999902</v>
      </c>
      <c r="M71" s="6">
        <v>100.8257</v>
      </c>
      <c r="N71" s="8">
        <v>1.74411713439079</v>
      </c>
      <c r="O71" s="8">
        <v>1.7441031794745401</v>
      </c>
      <c r="P71" s="8">
        <v>1.7435810623958301</v>
      </c>
      <c r="Q71" s="8">
        <v>1.7438493399392101</v>
      </c>
      <c r="R71" s="6">
        <v>100.059199406454</v>
      </c>
      <c r="S71" s="6">
        <v>100.019502778139</v>
      </c>
      <c r="T71" s="6">
        <v>100.041806284486</v>
      </c>
      <c r="U71" s="7">
        <v>-8.00116678442031E-6</v>
      </c>
      <c r="V71" s="7">
        <v>-4.0481130601521603E-4</v>
      </c>
      <c r="W71" s="7">
        <v>-1.81844591022304E-4</v>
      </c>
      <c r="X71" s="8">
        <v>1.74467602806689</v>
      </c>
      <c r="Y71" s="8">
        <v>1.7448470922733199</v>
      </c>
      <c r="Z71" s="8">
        <v>1.7441228460776701</v>
      </c>
      <c r="AA71" s="8">
        <v>1.74428607475353</v>
      </c>
      <c r="AB71" s="6">
        <v>100.83558588602099</v>
      </c>
      <c r="AC71" s="6">
        <v>100.78265909458899</v>
      </c>
      <c r="AD71" s="6">
        <v>100.799661004105</v>
      </c>
      <c r="AE71" s="7">
        <v>9.80444608970643E-5</v>
      </c>
      <c r="AF71" s="7">
        <v>-4.2697541171280698E-4</v>
      </c>
      <c r="AG71" s="7">
        <v>-2.58290880764185E-4</v>
      </c>
      <c r="AZ71" s="23"/>
      <c r="BB71" s="12">
        <f t="shared" si="6"/>
        <v>0</v>
      </c>
      <c r="BC71" s="12">
        <f t="shared" si="7"/>
        <v>0</v>
      </c>
      <c r="BD71" s="12">
        <f t="shared" si="8"/>
        <v>0</v>
      </c>
      <c r="BE71" s="12">
        <f t="shared" si="4"/>
        <v>1</v>
      </c>
      <c r="BF71" s="12">
        <f t="shared" si="9"/>
        <v>0</v>
      </c>
      <c r="BG71" s="23">
        <f t="shared" si="10"/>
        <v>0</v>
      </c>
      <c r="BH71" s="23">
        <f t="shared" si="11"/>
        <v>0</v>
      </c>
      <c r="BI71" s="23">
        <f t="shared" si="12"/>
        <v>0</v>
      </c>
      <c r="BJ71" s="18">
        <f t="shared" si="13"/>
        <v>1.4155918239679504E-3</v>
      </c>
      <c r="BL71" s="23"/>
      <c r="BN71" s="12">
        <f t="shared" si="14"/>
        <v>0</v>
      </c>
      <c r="BO71" s="12">
        <f t="shared" si="15"/>
        <v>1</v>
      </c>
      <c r="BP71" s="12">
        <f t="shared" si="16"/>
        <v>0</v>
      </c>
      <c r="BQ71" s="12">
        <f t="shared" si="5"/>
        <v>1</v>
      </c>
      <c r="BR71" s="12">
        <f t="shared" si="17"/>
        <v>0</v>
      </c>
      <c r="BS71" s="23">
        <f t="shared" si="18"/>
        <v>0</v>
      </c>
      <c r="BT71" s="23">
        <f t="shared" si="19"/>
        <v>0</v>
      </c>
      <c r="BU71" s="23">
        <f t="shared" si="20"/>
        <v>0</v>
      </c>
      <c r="BV71" s="18">
        <f t="shared" si="21"/>
        <v>6.1178234084519837E-5</v>
      </c>
      <c r="BX71" s="18">
        <f t="shared" si="22"/>
        <v>0</v>
      </c>
      <c r="BY71" s="18">
        <f t="shared" si="23"/>
        <v>1.4767700580524702E-3</v>
      </c>
    </row>
    <row r="72" spans="1:77" x14ac:dyDescent="0.3">
      <c r="A72" s="1">
        <v>46127</v>
      </c>
      <c r="B72" s="6">
        <v>57.27</v>
      </c>
      <c r="C72" s="6">
        <v>99.96</v>
      </c>
      <c r="D72" s="7">
        <v>-1.7445922080136999E-3</v>
      </c>
      <c r="E72" s="7">
        <v>-9.999000933074069E-4</v>
      </c>
      <c r="F72" s="6">
        <v>0</v>
      </c>
      <c r="G72" s="6">
        <v>0.42049999999999998</v>
      </c>
      <c r="H72" s="6">
        <v>0</v>
      </c>
      <c r="I72" s="6">
        <v>0.76570000000000005</v>
      </c>
      <c r="J72" s="6">
        <v>0.42049999999999998</v>
      </c>
      <c r="K72" s="6">
        <v>0.76570000000000005</v>
      </c>
      <c r="L72" s="6">
        <v>57.6905</v>
      </c>
      <c r="M72" s="6">
        <v>100.72569999999899</v>
      </c>
      <c r="N72" s="8">
        <v>1.7454164484023</v>
      </c>
      <c r="O72" s="8">
        <v>1.7441031794745401</v>
      </c>
      <c r="P72" s="8">
        <v>1.74387015711295</v>
      </c>
      <c r="Q72" s="8">
        <v>1.7439701015003499</v>
      </c>
      <c r="R72" s="6">
        <v>99.884789088506906</v>
      </c>
      <c r="S72" s="6">
        <v>99.854887443409297</v>
      </c>
      <c r="T72" s="6">
        <v>99.870251698318995</v>
      </c>
      <c r="U72" s="7">
        <v>-7.5269328149064798E-4</v>
      </c>
      <c r="V72" s="7">
        <v>-1.0520994469570099E-3</v>
      </c>
      <c r="W72" s="7">
        <v>-8.9824545535663997E-4</v>
      </c>
      <c r="X72" s="8">
        <v>1.74596684029432</v>
      </c>
      <c r="Y72" s="8">
        <v>1.7448470922733199</v>
      </c>
      <c r="Z72" s="8">
        <v>1.7444329957818201</v>
      </c>
      <c r="AA72" s="8">
        <v>1.74441767021477</v>
      </c>
      <c r="AB72" s="6">
        <v>100.66110117679401</v>
      </c>
      <c r="AC72" s="6">
        <v>100.619319051644</v>
      </c>
      <c r="AD72" s="6">
        <v>100.62873579556801</v>
      </c>
      <c r="AE72" s="7">
        <v>-6.4153981337500396E-4</v>
      </c>
      <c r="AF72" s="7">
        <v>-1.0567031531814001E-3</v>
      </c>
      <c r="AG72" s="7">
        <v>-9.6311970027832905E-4</v>
      </c>
      <c r="AZ72" s="23"/>
      <c r="BB72" s="12">
        <f t="shared" si="6"/>
        <v>0</v>
      </c>
      <c r="BC72" s="12">
        <f t="shared" si="7"/>
        <v>0</v>
      </c>
      <c r="BD72" s="12">
        <f t="shared" si="8"/>
        <v>0</v>
      </c>
      <c r="BE72" s="12">
        <f t="shared" si="4"/>
        <v>1</v>
      </c>
      <c r="BF72" s="12">
        <f t="shared" si="9"/>
        <v>0</v>
      </c>
      <c r="BG72" s="23">
        <f t="shared" si="10"/>
        <v>0</v>
      </c>
      <c r="BH72" s="23">
        <f t="shared" si="11"/>
        <v>0</v>
      </c>
      <c r="BI72" s="23">
        <f t="shared" si="12"/>
        <v>0</v>
      </c>
      <c r="BJ72" s="18">
        <f t="shared" si="13"/>
        <v>1.4155918239679504E-3</v>
      </c>
      <c r="BL72" s="23"/>
      <c r="BN72" s="12">
        <f t="shared" si="14"/>
        <v>0</v>
      </c>
      <c r="BO72" s="12">
        <f t="shared" si="15"/>
        <v>1</v>
      </c>
      <c r="BP72" s="12">
        <f t="shared" si="16"/>
        <v>0</v>
      </c>
      <c r="BQ72" s="12">
        <f t="shared" si="5"/>
        <v>1</v>
      </c>
      <c r="BR72" s="12">
        <f t="shared" si="17"/>
        <v>0</v>
      </c>
      <c r="BS72" s="23">
        <f t="shared" si="18"/>
        <v>0</v>
      </c>
      <c r="BT72" s="23">
        <f t="shared" si="19"/>
        <v>0</v>
      </c>
      <c r="BU72" s="23">
        <f t="shared" si="20"/>
        <v>0</v>
      </c>
      <c r="BV72" s="18">
        <f t="shared" si="21"/>
        <v>6.1178234084519837E-5</v>
      </c>
      <c r="BX72" s="18">
        <f t="shared" si="22"/>
        <v>0</v>
      </c>
      <c r="BY72" s="18">
        <f t="shared" si="23"/>
        <v>1.4767700580524702E-3</v>
      </c>
    </row>
    <row r="73" spans="1:77" x14ac:dyDescent="0.3">
      <c r="A73" s="1">
        <v>46128</v>
      </c>
      <c r="B73" s="6">
        <v>57.32</v>
      </c>
      <c r="C73" s="6">
        <v>99.97</v>
      </c>
      <c r="D73" s="7">
        <v>8.7267655420516404E-4</v>
      </c>
      <c r="E73" s="7">
        <v>1.00035012337804E-4</v>
      </c>
      <c r="F73" s="6">
        <v>0</v>
      </c>
      <c r="G73" s="6">
        <v>0.42049999999999998</v>
      </c>
      <c r="H73" s="6">
        <v>0</v>
      </c>
      <c r="I73" s="6">
        <v>0.76570000000000005</v>
      </c>
      <c r="J73" s="6">
        <v>0.42049999999999998</v>
      </c>
      <c r="K73" s="6">
        <v>0.76570000000000005</v>
      </c>
      <c r="L73" s="6">
        <v>57.740499999999997</v>
      </c>
      <c r="M73" s="6">
        <v>100.73569999999999</v>
      </c>
      <c r="N73" s="8">
        <v>1.7440683879972001</v>
      </c>
      <c r="O73" s="8">
        <v>1.7441031794745401</v>
      </c>
      <c r="P73" s="8">
        <v>1.74403297340915</v>
      </c>
      <c r="Q73" s="8">
        <v>1.7439719178334701</v>
      </c>
      <c r="R73" s="6">
        <v>99.971994247480595</v>
      </c>
      <c r="S73" s="6">
        <v>99.958637405714498</v>
      </c>
      <c r="T73" s="6">
        <v>99.964366218000094</v>
      </c>
      <c r="U73" s="7">
        <v>1.9948260376740699E-5</v>
      </c>
      <c r="V73" s="7">
        <v>-1.1366650065881E-4</v>
      </c>
      <c r="W73" s="7">
        <v>-5.6356314403552001E-5</v>
      </c>
      <c r="X73" s="8">
        <v>1.7446281206432199</v>
      </c>
      <c r="Y73" s="8">
        <v>1.7448470922733199</v>
      </c>
      <c r="Z73" s="8">
        <v>1.7445941874414399</v>
      </c>
      <c r="AA73" s="8">
        <v>1.7444310031033099</v>
      </c>
      <c r="AB73" s="6">
        <v>100.748343531407</v>
      </c>
      <c r="AC73" s="6">
        <v>100.72443339294</v>
      </c>
      <c r="AD73" s="6">
        <v>100.723548487036</v>
      </c>
      <c r="AE73" s="7">
        <v>1.25504046897654E-4</v>
      </c>
      <c r="AF73" s="7">
        <v>-1.11849494798434E-4</v>
      </c>
      <c r="AG73" s="7">
        <v>-1.20634947958913E-4</v>
      </c>
      <c r="AZ73" s="23"/>
      <c r="BB73" s="12">
        <f t="shared" si="6"/>
        <v>0</v>
      </c>
      <c r="BC73" s="12">
        <f t="shared" si="7"/>
        <v>0</v>
      </c>
      <c r="BD73" s="12">
        <f t="shared" si="8"/>
        <v>0</v>
      </c>
      <c r="BE73" s="12">
        <f t="shared" si="4"/>
        <v>1</v>
      </c>
      <c r="BF73" s="12">
        <f t="shared" si="9"/>
        <v>0</v>
      </c>
      <c r="BG73" s="23">
        <f t="shared" si="10"/>
        <v>0</v>
      </c>
      <c r="BH73" s="23">
        <f t="shared" si="11"/>
        <v>0</v>
      </c>
      <c r="BI73" s="23">
        <f t="shared" si="12"/>
        <v>0</v>
      </c>
      <c r="BJ73" s="18">
        <f t="shared" si="13"/>
        <v>1.4155918239679504E-3</v>
      </c>
      <c r="BL73" s="23"/>
      <c r="BN73" s="12">
        <f t="shared" si="14"/>
        <v>0</v>
      </c>
      <c r="BO73" s="12">
        <f t="shared" si="15"/>
        <v>1</v>
      </c>
      <c r="BP73" s="12">
        <f t="shared" si="16"/>
        <v>0</v>
      </c>
      <c r="BQ73" s="12">
        <f t="shared" si="5"/>
        <v>1</v>
      </c>
      <c r="BR73" s="12">
        <f t="shared" si="17"/>
        <v>0</v>
      </c>
      <c r="BS73" s="23">
        <f t="shared" si="18"/>
        <v>0</v>
      </c>
      <c r="BT73" s="23">
        <f t="shared" si="19"/>
        <v>0</v>
      </c>
      <c r="BU73" s="23">
        <f t="shared" si="20"/>
        <v>0</v>
      </c>
      <c r="BV73" s="18">
        <f t="shared" si="21"/>
        <v>6.1178234084519837E-5</v>
      </c>
      <c r="BX73" s="18">
        <f t="shared" si="22"/>
        <v>0</v>
      </c>
      <c r="BY73" s="18">
        <f t="shared" si="23"/>
        <v>1.4767700580524702E-3</v>
      </c>
    </row>
    <row r="74" spans="1:77" x14ac:dyDescent="0.3">
      <c r="A74" s="1">
        <v>46129</v>
      </c>
      <c r="B74" s="6">
        <v>57.46</v>
      </c>
      <c r="C74" s="6">
        <v>100.2</v>
      </c>
      <c r="D74" s="7">
        <v>2.43945059117248E-3</v>
      </c>
      <c r="E74" s="7">
        <v>2.2980476716751002E-3</v>
      </c>
      <c r="F74" s="6">
        <v>0</v>
      </c>
      <c r="G74" s="6">
        <v>0.42049999999999998</v>
      </c>
      <c r="H74" s="6">
        <v>0</v>
      </c>
      <c r="I74" s="6">
        <v>0.76570000000000005</v>
      </c>
      <c r="J74" s="6">
        <v>0.42049999999999998</v>
      </c>
      <c r="K74" s="6">
        <v>0.76570000000000005</v>
      </c>
      <c r="L74" s="6">
        <v>57.880499999999998</v>
      </c>
      <c r="M74" s="6">
        <v>100.9657</v>
      </c>
      <c r="N74" s="8">
        <v>1.74382178907065</v>
      </c>
      <c r="O74" s="8">
        <v>1.7441031794745401</v>
      </c>
      <c r="P74" s="8">
        <v>1.7440426755740699</v>
      </c>
      <c r="Q74" s="8">
        <v>1.74396405440742</v>
      </c>
      <c r="R74" s="6">
        <v>100.216168692607</v>
      </c>
      <c r="S74" s="6">
        <v>100.21213465209</v>
      </c>
      <c r="T74" s="6">
        <v>100.208626398711</v>
      </c>
      <c r="U74" s="7">
        <v>1.6135117987388999E-4</v>
      </c>
      <c r="V74" s="7">
        <v>1.21096979742955E-4</v>
      </c>
      <c r="W74" s="7">
        <v>8.6088097821528201E-5</v>
      </c>
      <c r="X74" s="8">
        <v>1.7443819593818299</v>
      </c>
      <c r="Y74" s="8">
        <v>1.7448470922733199</v>
      </c>
      <c r="Z74" s="8">
        <v>1.7446033402453101</v>
      </c>
      <c r="AA74" s="8">
        <v>1.74443463948064</v>
      </c>
      <c r="AB74" s="6">
        <v>100.992622124325</v>
      </c>
      <c r="AC74" s="6">
        <v>100.977983866204</v>
      </c>
      <c r="AD74" s="6">
        <v>100.968538675121</v>
      </c>
      <c r="AE74" s="7">
        <v>2.6661069672423698E-4</v>
      </c>
      <c r="AF74" s="7">
        <v>1.21656354726893E-4</v>
      </c>
      <c r="AG74" s="7">
        <v>2.8114847092254301E-5</v>
      </c>
      <c r="AZ74" s="23"/>
      <c r="BB74" s="12">
        <f t="shared" si="6"/>
        <v>0</v>
      </c>
      <c r="BC74" s="12">
        <f t="shared" si="7"/>
        <v>1</v>
      </c>
      <c r="BD74" s="12">
        <f t="shared" si="8"/>
        <v>0</v>
      </c>
      <c r="BE74" s="12">
        <f t="shared" si="4"/>
        <v>1</v>
      </c>
      <c r="BF74" s="12">
        <f t="shared" si="9"/>
        <v>0</v>
      </c>
      <c r="BG74" s="23">
        <f t="shared" si="10"/>
        <v>0</v>
      </c>
      <c r="BH74" s="23">
        <f t="shared" si="11"/>
        <v>0</v>
      </c>
      <c r="BI74" s="23">
        <f t="shared" si="12"/>
        <v>0</v>
      </c>
      <c r="BJ74" s="18">
        <f t="shared" si="13"/>
        <v>1.4155918239679504E-3</v>
      </c>
      <c r="BL74" s="23"/>
      <c r="BN74" s="12">
        <f t="shared" si="14"/>
        <v>0</v>
      </c>
      <c r="BO74" s="12">
        <f t="shared" si="15"/>
        <v>0</v>
      </c>
      <c r="BP74" s="12">
        <f t="shared" si="16"/>
        <v>0</v>
      </c>
      <c r="BQ74" s="12">
        <f t="shared" si="5"/>
        <v>1</v>
      </c>
      <c r="BR74" s="12">
        <f t="shared" si="17"/>
        <v>0</v>
      </c>
      <c r="BS74" s="23">
        <f t="shared" si="18"/>
        <v>0</v>
      </c>
      <c r="BT74" s="23">
        <f t="shared" si="19"/>
        <v>0</v>
      </c>
      <c r="BU74" s="23">
        <f t="shared" si="20"/>
        <v>0</v>
      </c>
      <c r="BV74" s="18">
        <f t="shared" si="21"/>
        <v>6.1178234084519837E-5</v>
      </c>
      <c r="BX74" s="18">
        <f t="shared" si="22"/>
        <v>0</v>
      </c>
      <c r="BY74" s="18">
        <f t="shared" si="23"/>
        <v>1.4767700580524702E-3</v>
      </c>
    </row>
    <row r="75" spans="1:77" x14ac:dyDescent="0.3">
      <c r="A75" s="1">
        <v>46132</v>
      </c>
      <c r="B75" s="6">
        <v>57.47</v>
      </c>
      <c r="C75" s="6">
        <v>100.26</v>
      </c>
      <c r="D75" s="7">
        <v>1.74018968506698E-4</v>
      </c>
      <c r="E75" s="7">
        <v>5.9862318459304805E-4</v>
      </c>
      <c r="F75" s="6">
        <v>0</v>
      </c>
      <c r="G75" s="6">
        <v>0.42049999999999998</v>
      </c>
      <c r="H75" s="6">
        <v>0</v>
      </c>
      <c r="I75" s="6">
        <v>0.76570000000000005</v>
      </c>
      <c r="J75" s="6">
        <v>0.42049999999999998</v>
      </c>
      <c r="K75" s="6">
        <v>0.76570000000000005</v>
      </c>
      <c r="L75" s="6">
        <v>57.890499999999903</v>
      </c>
      <c r="M75" s="6">
        <v>101.0257</v>
      </c>
      <c r="N75" s="8">
        <v>1.74456238037236</v>
      </c>
      <c r="O75" s="8">
        <v>1.7441031794745401</v>
      </c>
      <c r="P75" s="8">
        <v>1.7441926262913301</v>
      </c>
      <c r="Q75" s="8">
        <v>1.74392104666548</v>
      </c>
      <c r="R75" s="6">
        <v>100.23360972440101</v>
      </c>
      <c r="S75" s="6">
        <v>100.230132565242</v>
      </c>
      <c r="T75" s="6">
        <v>100.22561420679401</v>
      </c>
      <c r="U75" s="7">
        <v>-2.6325303621229599E-4</v>
      </c>
      <c r="V75" s="7">
        <v>-2.9794418903769399E-4</v>
      </c>
      <c r="W75" s="7">
        <v>-3.43025046244403E-4</v>
      </c>
      <c r="X75" s="8">
        <v>1.7451170744768101</v>
      </c>
      <c r="Y75" s="8">
        <v>1.7448470922733199</v>
      </c>
      <c r="Z75" s="8">
        <v>1.7447516791728399</v>
      </c>
      <c r="AA75" s="8">
        <v>1.7444030672889601</v>
      </c>
      <c r="AB75" s="6">
        <v>101.010070595248</v>
      </c>
      <c r="AC75" s="6">
        <v>100.995959668471</v>
      </c>
      <c r="AD75" s="6">
        <v>100.986193496854</v>
      </c>
      <c r="AE75" s="7">
        <v>-1.5471918399864899E-4</v>
      </c>
      <c r="AF75" s="7">
        <v>-2.9442715986524999E-4</v>
      </c>
      <c r="AG75" s="7">
        <v>-3.91130472229031E-4</v>
      </c>
      <c r="AZ75" s="23"/>
      <c r="BB75" s="12">
        <f t="shared" si="6"/>
        <v>0</v>
      </c>
      <c r="BC75" s="12">
        <f t="shared" si="7"/>
        <v>0</v>
      </c>
      <c r="BD75" s="12">
        <f t="shared" si="8"/>
        <v>0</v>
      </c>
      <c r="BE75" s="12">
        <f t="shared" si="4"/>
        <v>1</v>
      </c>
      <c r="BF75" s="12">
        <f t="shared" si="9"/>
        <v>0</v>
      </c>
      <c r="BG75" s="23">
        <f t="shared" si="10"/>
        <v>0</v>
      </c>
      <c r="BH75" s="23">
        <f t="shared" si="11"/>
        <v>0</v>
      </c>
      <c r="BI75" s="23">
        <f t="shared" si="12"/>
        <v>0</v>
      </c>
      <c r="BJ75" s="18">
        <f t="shared" si="13"/>
        <v>1.4155918239679504E-3</v>
      </c>
      <c r="BL75" s="23"/>
      <c r="BN75" s="12">
        <f t="shared" si="14"/>
        <v>0</v>
      </c>
      <c r="BO75" s="12">
        <f t="shared" si="15"/>
        <v>1</v>
      </c>
      <c r="BP75" s="12">
        <f t="shared" si="16"/>
        <v>0</v>
      </c>
      <c r="BQ75" s="12">
        <f t="shared" si="5"/>
        <v>1</v>
      </c>
      <c r="BR75" s="12">
        <f t="shared" si="17"/>
        <v>0</v>
      </c>
      <c r="BS75" s="23">
        <f t="shared" si="18"/>
        <v>0</v>
      </c>
      <c r="BT75" s="23">
        <f t="shared" si="19"/>
        <v>0</v>
      </c>
      <c r="BU75" s="23">
        <f t="shared" si="20"/>
        <v>0</v>
      </c>
      <c r="BV75" s="18">
        <f t="shared" si="21"/>
        <v>6.1178234084519837E-5</v>
      </c>
      <c r="BX75" s="18">
        <f t="shared" si="22"/>
        <v>0</v>
      </c>
      <c r="BY75" s="18">
        <f t="shared" si="23"/>
        <v>1.4767700580524702E-3</v>
      </c>
    </row>
    <row r="76" spans="1:77" x14ac:dyDescent="0.3">
      <c r="A76" s="1">
        <v>46133</v>
      </c>
      <c r="B76" s="6">
        <v>57.42</v>
      </c>
      <c r="C76" s="6">
        <v>100.17</v>
      </c>
      <c r="D76" s="7">
        <v>-8.70397826732237E-4</v>
      </c>
      <c r="E76" s="7">
        <v>-8.9806921168449202E-4</v>
      </c>
      <c r="F76" s="6">
        <v>0</v>
      </c>
      <c r="G76" s="6">
        <v>0.42049999999999998</v>
      </c>
      <c r="H76" s="6">
        <v>0</v>
      </c>
      <c r="I76" s="6">
        <v>0.76570000000000005</v>
      </c>
      <c r="J76" s="6">
        <v>0.42049999999999998</v>
      </c>
      <c r="K76" s="6">
        <v>0.76570000000000005</v>
      </c>
      <c r="L76" s="6">
        <v>57.840499999999999</v>
      </c>
      <c r="M76" s="6">
        <v>100.9357</v>
      </c>
      <c r="N76" s="8">
        <v>1.74451410658307</v>
      </c>
      <c r="O76" s="8">
        <v>1.7441031794745401</v>
      </c>
      <c r="P76" s="8">
        <v>1.74419686250246</v>
      </c>
      <c r="Q76" s="8">
        <v>1.7440216862167</v>
      </c>
      <c r="R76" s="6">
        <v>100.146404565428</v>
      </c>
      <c r="S76" s="6">
        <v>100.15154060164799</v>
      </c>
      <c r="T76" s="6">
        <v>100.135946499532</v>
      </c>
      <c r="U76" s="7">
        <v>-2.35581651260062E-4</v>
      </c>
      <c r="V76" s="7">
        <v>-1.8429768809281999E-4</v>
      </c>
      <c r="W76" s="7">
        <v>-3.4001487615481198E-4</v>
      </c>
      <c r="X76" s="8">
        <v>1.7450696311408</v>
      </c>
      <c r="Y76" s="8">
        <v>1.7448470922733199</v>
      </c>
      <c r="Z76" s="8">
        <v>1.74475545851674</v>
      </c>
      <c r="AA76" s="8">
        <v>1.7445145295442399</v>
      </c>
      <c r="AB76" s="6">
        <v>100.922828240635</v>
      </c>
      <c r="AC76" s="6">
        <v>100.91730949919599</v>
      </c>
      <c r="AD76" s="6">
        <v>100.897145613527</v>
      </c>
      <c r="AE76" s="7">
        <v>-1.2753248024380899E-4</v>
      </c>
      <c r="AF76" s="7">
        <v>-1.8221676159003799E-4</v>
      </c>
      <c r="AG76" s="7">
        <v>-3.82042742588726E-4</v>
      </c>
      <c r="AZ76" s="23"/>
      <c r="BB76" s="12">
        <f t="shared" si="6"/>
        <v>0</v>
      </c>
      <c r="BC76" s="12">
        <f t="shared" si="7"/>
        <v>0</v>
      </c>
      <c r="BD76" s="12">
        <f t="shared" si="8"/>
        <v>0</v>
      </c>
      <c r="BE76" s="12">
        <f t="shared" si="4"/>
        <v>1</v>
      </c>
      <c r="BF76" s="12">
        <f t="shared" si="9"/>
        <v>0</v>
      </c>
      <c r="BG76" s="23">
        <f t="shared" si="10"/>
        <v>0</v>
      </c>
      <c r="BH76" s="23">
        <f t="shared" si="11"/>
        <v>0</v>
      </c>
      <c r="BI76" s="23">
        <f t="shared" si="12"/>
        <v>0</v>
      </c>
      <c r="BJ76" s="18">
        <f t="shared" si="13"/>
        <v>1.4155918239679504E-3</v>
      </c>
      <c r="BL76" s="23"/>
      <c r="BN76" s="12">
        <f t="shared" si="14"/>
        <v>0</v>
      </c>
      <c r="BO76" s="12">
        <f t="shared" si="15"/>
        <v>1</v>
      </c>
      <c r="BP76" s="12">
        <f t="shared" si="16"/>
        <v>0</v>
      </c>
      <c r="BQ76" s="12">
        <f t="shared" si="5"/>
        <v>1</v>
      </c>
      <c r="BR76" s="12">
        <f t="shared" si="17"/>
        <v>0</v>
      </c>
      <c r="BS76" s="23">
        <f t="shared" si="18"/>
        <v>0</v>
      </c>
      <c r="BT76" s="23">
        <f t="shared" si="19"/>
        <v>0</v>
      </c>
      <c r="BU76" s="23">
        <f t="shared" si="20"/>
        <v>0</v>
      </c>
      <c r="BV76" s="18">
        <f t="shared" si="21"/>
        <v>6.1178234084519837E-5</v>
      </c>
      <c r="BX76" s="18">
        <f t="shared" si="22"/>
        <v>0</v>
      </c>
      <c r="BY76" s="18">
        <f t="shared" si="23"/>
        <v>1.4767700580524702E-3</v>
      </c>
    </row>
    <row r="77" spans="1:77" x14ac:dyDescent="0.3">
      <c r="A77" s="1">
        <v>46134</v>
      </c>
      <c r="B77" s="6">
        <v>57.44</v>
      </c>
      <c r="C77" s="6">
        <v>100.21</v>
      </c>
      <c r="D77" s="7">
        <v>3.4825004705068798E-4</v>
      </c>
      <c r="E77" s="7">
        <v>3.9924144656458403E-4</v>
      </c>
      <c r="F77" s="6">
        <v>0</v>
      </c>
      <c r="G77" s="6">
        <v>0.42049999999999998</v>
      </c>
      <c r="H77" s="6">
        <v>0</v>
      </c>
      <c r="I77" s="6">
        <v>0.76570000000000005</v>
      </c>
      <c r="J77" s="6">
        <v>0.42049999999999998</v>
      </c>
      <c r="K77" s="6">
        <v>0.76570000000000005</v>
      </c>
      <c r="L77" s="6">
        <v>57.860499999999902</v>
      </c>
      <c r="M77" s="6">
        <v>100.97569999999899</v>
      </c>
      <c r="N77" s="8">
        <v>1.74460306406685</v>
      </c>
      <c r="O77" s="8">
        <v>1.7441031794745401</v>
      </c>
      <c r="P77" s="8">
        <v>1.74433449804741</v>
      </c>
      <c r="Q77" s="8">
        <v>1.74392640190899</v>
      </c>
      <c r="R77" s="6">
        <v>100.18128662901699</v>
      </c>
      <c r="S77" s="6">
        <v>100.186667782141</v>
      </c>
      <c r="T77" s="6">
        <v>100.17660565628699</v>
      </c>
      <c r="U77" s="7">
        <v>-2.8657305077374099E-4</v>
      </c>
      <c r="V77" s="7">
        <v>-2.3286033866898E-4</v>
      </c>
      <c r="W77" s="7">
        <v>-3.3329916350822802E-4</v>
      </c>
      <c r="X77" s="8">
        <v>1.7451577501058499</v>
      </c>
      <c r="Y77" s="8">
        <v>1.7448470922733199</v>
      </c>
      <c r="Z77" s="8">
        <v>1.7448918684341901</v>
      </c>
      <c r="AA77" s="8">
        <v>1.7444308820302501</v>
      </c>
      <c r="AB77" s="6">
        <v>100.95772518248</v>
      </c>
      <c r="AC77" s="6">
        <v>100.95242320750801</v>
      </c>
      <c r="AD77" s="6">
        <v>100.938482936694</v>
      </c>
      <c r="AE77" s="7">
        <v>-1.78027164653494E-4</v>
      </c>
      <c r="AF77" s="7">
        <v>-2.3054532697187701E-4</v>
      </c>
      <c r="AG77" s="7">
        <v>-3.6864239238038098E-4</v>
      </c>
      <c r="AZ77" s="23"/>
      <c r="BB77" s="12">
        <f t="shared" si="6"/>
        <v>0</v>
      </c>
      <c r="BC77" s="12">
        <f t="shared" si="7"/>
        <v>0</v>
      </c>
      <c r="BD77" s="12">
        <f t="shared" si="8"/>
        <v>0</v>
      </c>
      <c r="BE77" s="12">
        <f t="shared" si="4"/>
        <v>1</v>
      </c>
      <c r="BF77" s="12">
        <f t="shared" si="9"/>
        <v>0</v>
      </c>
      <c r="BG77" s="23">
        <f t="shared" si="10"/>
        <v>0</v>
      </c>
      <c r="BH77" s="23">
        <f t="shared" si="11"/>
        <v>0</v>
      </c>
      <c r="BI77" s="23">
        <f t="shared" si="12"/>
        <v>0</v>
      </c>
      <c r="BJ77" s="18">
        <f t="shared" si="13"/>
        <v>1.4155918239679504E-3</v>
      </c>
      <c r="BL77" s="23"/>
      <c r="BN77" s="12">
        <f t="shared" si="14"/>
        <v>0</v>
      </c>
      <c r="BO77" s="12">
        <f t="shared" si="15"/>
        <v>1</v>
      </c>
      <c r="BP77" s="12">
        <f t="shared" si="16"/>
        <v>0</v>
      </c>
      <c r="BQ77" s="12">
        <f t="shared" si="5"/>
        <v>1</v>
      </c>
      <c r="BR77" s="12">
        <f t="shared" si="17"/>
        <v>0</v>
      </c>
      <c r="BS77" s="23">
        <f t="shared" si="18"/>
        <v>0</v>
      </c>
      <c r="BT77" s="23">
        <f t="shared" si="19"/>
        <v>0</v>
      </c>
      <c r="BU77" s="23">
        <f t="shared" si="20"/>
        <v>0</v>
      </c>
      <c r="BV77" s="18">
        <f t="shared" si="21"/>
        <v>6.1178234084519837E-5</v>
      </c>
      <c r="BX77" s="18">
        <f t="shared" si="22"/>
        <v>0</v>
      </c>
      <c r="BY77" s="18">
        <f t="shared" si="23"/>
        <v>1.4767700580524702E-3</v>
      </c>
    </row>
    <row r="78" spans="1:77" x14ac:dyDescent="0.3">
      <c r="A78" s="1">
        <v>46135</v>
      </c>
      <c r="B78" s="6">
        <v>57.48</v>
      </c>
      <c r="C78" s="6">
        <v>100.19</v>
      </c>
      <c r="D78" s="7">
        <v>6.9613647085542396E-4</v>
      </c>
      <c r="E78" s="7">
        <v>-1.9960079906578999E-4</v>
      </c>
      <c r="F78" s="6">
        <v>0</v>
      </c>
      <c r="G78" s="6">
        <v>0.42049999999999998</v>
      </c>
      <c r="H78" s="6">
        <v>0</v>
      </c>
      <c r="I78" s="6">
        <v>0.76570000000000005</v>
      </c>
      <c r="J78" s="6">
        <v>0.42049999999999998</v>
      </c>
      <c r="K78" s="6">
        <v>0.76570000000000005</v>
      </c>
      <c r="L78" s="6">
        <v>57.900499999999901</v>
      </c>
      <c r="M78" s="6">
        <v>100.95569999999999</v>
      </c>
      <c r="N78" s="8">
        <v>1.7430410577592199</v>
      </c>
      <c r="O78" s="8">
        <v>1.7441031794745401</v>
      </c>
      <c r="P78" s="8">
        <v>1.74425815007115</v>
      </c>
      <c r="Q78" s="8">
        <v>1.7438252813131701</v>
      </c>
      <c r="R78" s="6">
        <v>100.25105075619599</v>
      </c>
      <c r="S78" s="6">
        <v>100.26434694776501</v>
      </c>
      <c r="T78" s="6">
        <v>100.24088958172899</v>
      </c>
      <c r="U78" s="7">
        <v>6.0916421914737802E-4</v>
      </c>
      <c r="V78" s="7">
        <v>7.4178437441061796E-4</v>
      </c>
      <c r="W78" s="7">
        <v>5.0780179570996905E-4</v>
      </c>
      <c r="X78" s="8">
        <v>1.7436067046053101</v>
      </c>
      <c r="Y78" s="8">
        <v>1.7448470922733199</v>
      </c>
      <c r="Z78" s="8">
        <v>1.74481590026547</v>
      </c>
      <c r="AA78" s="8">
        <v>1.74434163352294</v>
      </c>
      <c r="AB78" s="6">
        <v>101.027519066171</v>
      </c>
      <c r="AC78" s="6">
        <v>101.030111628274</v>
      </c>
      <c r="AD78" s="6">
        <v>101.003420284992</v>
      </c>
      <c r="AE78" s="7">
        <v>7.1113897015934603E-4</v>
      </c>
      <c r="AF78" s="7">
        <v>7.3680058060202199E-4</v>
      </c>
      <c r="AG78" s="7">
        <v>4.7257371504959799E-4</v>
      </c>
      <c r="AZ78" s="23"/>
      <c r="BB78" s="12">
        <f t="shared" si="6"/>
        <v>0</v>
      </c>
      <c r="BC78" s="12">
        <f t="shared" si="7"/>
        <v>1</v>
      </c>
      <c r="BD78" s="12">
        <f t="shared" si="8"/>
        <v>0</v>
      </c>
      <c r="BE78" s="12">
        <f t="shared" si="4"/>
        <v>1</v>
      </c>
      <c r="BF78" s="12">
        <f t="shared" si="9"/>
        <v>0</v>
      </c>
      <c r="BG78" s="23">
        <f t="shared" si="10"/>
        <v>0</v>
      </c>
      <c r="BH78" s="23">
        <f t="shared" si="11"/>
        <v>0</v>
      </c>
      <c r="BI78" s="23">
        <f t="shared" si="12"/>
        <v>0</v>
      </c>
      <c r="BJ78" s="18">
        <f t="shared" si="13"/>
        <v>1.4155918239679504E-3</v>
      </c>
      <c r="BL78" s="23"/>
      <c r="BN78" s="12">
        <f t="shared" si="14"/>
        <v>0</v>
      </c>
      <c r="BO78" s="12">
        <f t="shared" si="15"/>
        <v>0</v>
      </c>
      <c r="BP78" s="12">
        <f t="shared" si="16"/>
        <v>0</v>
      </c>
      <c r="BQ78" s="12">
        <f t="shared" si="5"/>
        <v>1</v>
      </c>
      <c r="BR78" s="12">
        <f t="shared" si="17"/>
        <v>0</v>
      </c>
      <c r="BS78" s="23">
        <f t="shared" si="18"/>
        <v>0</v>
      </c>
      <c r="BT78" s="23">
        <f t="shared" si="19"/>
        <v>0</v>
      </c>
      <c r="BU78" s="23">
        <f t="shared" si="20"/>
        <v>0</v>
      </c>
      <c r="BV78" s="18">
        <f t="shared" si="21"/>
        <v>6.1178234084519837E-5</v>
      </c>
      <c r="BX78" s="18">
        <f t="shared" si="22"/>
        <v>0</v>
      </c>
      <c r="BY78" s="18">
        <f t="shared" si="23"/>
        <v>1.4767700580524702E-3</v>
      </c>
    </row>
    <row r="79" spans="1:77" x14ac:dyDescent="0.3">
      <c r="A79" s="1">
        <v>46136</v>
      </c>
      <c r="B79" s="6">
        <v>57.48</v>
      </c>
      <c r="C79" s="6">
        <v>100.25</v>
      </c>
      <c r="D79" s="7">
        <v>0</v>
      </c>
      <c r="E79" s="7">
        <v>5.98682915506963E-4</v>
      </c>
      <c r="F79" s="6">
        <v>0</v>
      </c>
      <c r="G79" s="6">
        <v>0.42049999999999998</v>
      </c>
      <c r="H79" s="6">
        <v>0</v>
      </c>
      <c r="I79" s="6">
        <v>0.76570000000000005</v>
      </c>
      <c r="J79" s="6">
        <v>0.42049999999999998</v>
      </c>
      <c r="K79" s="6">
        <v>0.76570000000000005</v>
      </c>
      <c r="L79" s="6">
        <v>57.900499999999901</v>
      </c>
      <c r="M79" s="6">
        <v>101.0157</v>
      </c>
      <c r="N79" s="8">
        <v>1.7440848990953299</v>
      </c>
      <c r="O79" s="8">
        <v>1.7441031794745401</v>
      </c>
      <c r="P79" s="8">
        <v>1.74423869238243</v>
      </c>
      <c r="Q79" s="8">
        <v>1.7438276184778001</v>
      </c>
      <c r="R79" s="6">
        <v>100.25105075619599</v>
      </c>
      <c r="S79" s="6">
        <v>100.259958466089</v>
      </c>
      <c r="T79" s="6">
        <v>100.235077169881</v>
      </c>
      <c r="U79" s="7">
        <v>1.04813036404591E-5</v>
      </c>
      <c r="V79" s="7">
        <v>9.9331386572091302E-5</v>
      </c>
      <c r="W79" s="7">
        <v>-1.4886724096141099E-4</v>
      </c>
      <c r="X79" s="8">
        <v>1.74464296508665</v>
      </c>
      <c r="Y79" s="8">
        <v>1.7448470922733199</v>
      </c>
      <c r="Z79" s="8">
        <v>1.7447963618845399</v>
      </c>
      <c r="AA79" s="8">
        <v>1.7443551795951699</v>
      </c>
      <c r="AB79" s="6">
        <v>101.027519066171</v>
      </c>
      <c r="AC79" s="6">
        <v>101.02571303332</v>
      </c>
      <c r="AD79" s="6">
        <v>100.99825275179499</v>
      </c>
      <c r="AE79" s="7">
        <v>1.1699542542935001E-4</v>
      </c>
      <c r="AF79" s="7">
        <v>9.9118623046691003E-5</v>
      </c>
      <c r="AG79" s="7">
        <v>-1.7273310096169799E-4</v>
      </c>
      <c r="AZ79" s="23"/>
      <c r="BB79" s="12">
        <f t="shared" si="6"/>
        <v>0</v>
      </c>
      <c r="BC79" s="12">
        <f t="shared" si="7"/>
        <v>0</v>
      </c>
      <c r="BD79" s="12">
        <f t="shared" si="8"/>
        <v>0</v>
      </c>
      <c r="BE79" s="12">
        <f t="shared" si="4"/>
        <v>1</v>
      </c>
      <c r="BF79" s="12">
        <f t="shared" si="9"/>
        <v>0</v>
      </c>
      <c r="BG79" s="23">
        <f t="shared" si="10"/>
        <v>0</v>
      </c>
      <c r="BH79" s="23">
        <f t="shared" si="11"/>
        <v>0</v>
      </c>
      <c r="BI79" s="23">
        <f t="shared" si="12"/>
        <v>0</v>
      </c>
      <c r="BJ79" s="18">
        <f t="shared" si="13"/>
        <v>1.4155918239679504E-3</v>
      </c>
      <c r="BL79" s="23"/>
      <c r="BN79" s="12">
        <f t="shared" si="14"/>
        <v>0</v>
      </c>
      <c r="BO79" s="12">
        <f t="shared" si="15"/>
        <v>1</v>
      </c>
      <c r="BP79" s="12">
        <f t="shared" si="16"/>
        <v>0</v>
      </c>
      <c r="BQ79" s="12">
        <f t="shared" si="5"/>
        <v>1</v>
      </c>
      <c r="BR79" s="12">
        <f t="shared" si="17"/>
        <v>0</v>
      </c>
      <c r="BS79" s="23">
        <f t="shared" si="18"/>
        <v>0</v>
      </c>
      <c r="BT79" s="23">
        <f t="shared" si="19"/>
        <v>0</v>
      </c>
      <c r="BU79" s="23">
        <f t="shared" si="20"/>
        <v>0</v>
      </c>
      <c r="BV79" s="18">
        <f t="shared" si="21"/>
        <v>6.1178234084519837E-5</v>
      </c>
      <c r="BX79" s="18">
        <f t="shared" si="22"/>
        <v>0</v>
      </c>
      <c r="BY79" s="18">
        <f t="shared" si="23"/>
        <v>1.4767700580524702E-3</v>
      </c>
    </row>
    <row r="80" spans="1:77" x14ac:dyDescent="0.3">
      <c r="A80" s="1">
        <v>46139</v>
      </c>
      <c r="B80" s="6">
        <v>57.48</v>
      </c>
      <c r="C80" s="6">
        <v>100.23</v>
      </c>
      <c r="D80" s="7">
        <v>0</v>
      </c>
      <c r="E80" s="7">
        <v>-1.99521149903643E-4</v>
      </c>
      <c r="F80" s="6">
        <v>0</v>
      </c>
      <c r="G80" s="6">
        <v>0.42049999999999998</v>
      </c>
      <c r="H80" s="6">
        <v>0</v>
      </c>
      <c r="I80" s="6">
        <v>0.76570000000000005</v>
      </c>
      <c r="J80" s="6">
        <v>0.42049999999999998</v>
      </c>
      <c r="K80" s="6">
        <v>0.76570000000000005</v>
      </c>
      <c r="L80" s="6">
        <v>57.900499999999901</v>
      </c>
      <c r="M80" s="6">
        <v>100.9957</v>
      </c>
      <c r="N80" s="8">
        <v>1.7437369519832899</v>
      </c>
      <c r="O80" s="8">
        <v>1.7441031794745401</v>
      </c>
      <c r="P80" s="8">
        <v>1.7441966219721099</v>
      </c>
      <c r="Q80" s="8">
        <v>1.74380393045738</v>
      </c>
      <c r="R80" s="6">
        <v>100.25105075619599</v>
      </c>
      <c r="S80" s="6">
        <v>100.258840038142</v>
      </c>
      <c r="T80" s="6">
        <v>100.23521151010399</v>
      </c>
      <c r="U80" s="7">
        <v>2.1000245354404099E-4</v>
      </c>
      <c r="V80" s="7">
        <v>2.87697193874872E-4</v>
      </c>
      <c r="W80" s="7">
        <v>5.1994159644287899E-5</v>
      </c>
      <c r="X80" s="8">
        <v>1.7442975449261999</v>
      </c>
      <c r="Y80" s="8">
        <v>1.7448470922733199</v>
      </c>
      <c r="Z80" s="8">
        <v>1.7447544618727899</v>
      </c>
      <c r="AA80" s="8">
        <v>1.7443428575929301</v>
      </c>
      <c r="AB80" s="6">
        <v>101.027519066171</v>
      </c>
      <c r="AC80" s="6">
        <v>101.024581751296</v>
      </c>
      <c r="AD80" s="6">
        <v>100.99903707615</v>
      </c>
      <c r="AE80" s="7">
        <v>3.1500405331216699E-4</v>
      </c>
      <c r="AF80" s="7">
        <v>2.85929226934036E-4</v>
      </c>
      <c r="AG80" s="7">
        <v>3.3041218786381601E-5</v>
      </c>
      <c r="AZ80" s="23"/>
      <c r="BB80" s="12">
        <f t="shared" si="6"/>
        <v>0</v>
      </c>
      <c r="BC80" s="12">
        <f t="shared" si="7"/>
        <v>1</v>
      </c>
      <c r="BD80" s="12">
        <f t="shared" si="8"/>
        <v>0</v>
      </c>
      <c r="BE80" s="12">
        <f t="shared" si="4"/>
        <v>1</v>
      </c>
      <c r="BF80" s="12">
        <f t="shared" si="9"/>
        <v>0</v>
      </c>
      <c r="BG80" s="23">
        <f t="shared" si="10"/>
        <v>0</v>
      </c>
      <c r="BH80" s="23">
        <f t="shared" si="11"/>
        <v>0</v>
      </c>
      <c r="BI80" s="23">
        <f t="shared" si="12"/>
        <v>0</v>
      </c>
      <c r="BJ80" s="18">
        <f t="shared" si="13"/>
        <v>1.4155918239679504E-3</v>
      </c>
      <c r="BL80" s="23"/>
      <c r="BN80" s="12">
        <f t="shared" si="14"/>
        <v>0</v>
      </c>
      <c r="BO80" s="12">
        <f t="shared" si="15"/>
        <v>0</v>
      </c>
      <c r="BP80" s="12">
        <f t="shared" si="16"/>
        <v>0</v>
      </c>
      <c r="BQ80" s="12">
        <f t="shared" si="5"/>
        <v>1</v>
      </c>
      <c r="BR80" s="12">
        <f t="shared" si="17"/>
        <v>0</v>
      </c>
      <c r="BS80" s="23">
        <f t="shared" si="18"/>
        <v>0</v>
      </c>
      <c r="BT80" s="23">
        <f t="shared" si="19"/>
        <v>0</v>
      </c>
      <c r="BU80" s="23">
        <f t="shared" si="20"/>
        <v>0</v>
      </c>
      <c r="BV80" s="18">
        <f t="shared" si="21"/>
        <v>6.1178234084519837E-5</v>
      </c>
      <c r="BX80" s="18">
        <f t="shared" si="22"/>
        <v>0</v>
      </c>
      <c r="BY80" s="18">
        <f t="shared" si="23"/>
        <v>1.4767700580524702E-3</v>
      </c>
    </row>
    <row r="81" spans="1:77" x14ac:dyDescent="0.3">
      <c r="A81" s="1">
        <v>46140</v>
      </c>
      <c r="B81" s="6">
        <v>57.42</v>
      </c>
      <c r="C81" s="6">
        <v>100.1</v>
      </c>
      <c r="D81" s="7">
        <v>-1.04438651790616E-3</v>
      </c>
      <c r="E81" s="7">
        <v>-1.2978587156000599E-3</v>
      </c>
      <c r="F81" s="6">
        <v>0</v>
      </c>
      <c r="G81" s="6">
        <v>0.42049999999999998</v>
      </c>
      <c r="H81" s="6">
        <v>0</v>
      </c>
      <c r="I81" s="6">
        <v>0.76570000000000005</v>
      </c>
      <c r="J81" s="6">
        <v>0.42049999999999998</v>
      </c>
      <c r="K81" s="6">
        <v>0.76570000000000005</v>
      </c>
      <c r="L81" s="6">
        <v>57.840499999999999</v>
      </c>
      <c r="M81" s="6">
        <v>100.86569999999899</v>
      </c>
      <c r="N81" s="8">
        <v>1.74329501915708</v>
      </c>
      <c r="O81" s="8">
        <v>1.7441031794745401</v>
      </c>
      <c r="P81" s="8">
        <v>1.74411441044874</v>
      </c>
      <c r="Q81" s="8">
        <v>1.74384773642228</v>
      </c>
      <c r="R81" s="6">
        <v>100.146404565428</v>
      </c>
      <c r="S81" s="6">
        <v>100.151770033638</v>
      </c>
      <c r="T81" s="6">
        <v>100.129221686862</v>
      </c>
      <c r="U81" s="7">
        <v>4.6347465123803899E-4</v>
      </c>
      <c r="V81" s="7">
        <v>5.1704946012024995E-4</v>
      </c>
      <c r="W81" s="7">
        <v>2.9188234188857299E-4</v>
      </c>
      <c r="X81" s="8">
        <v>1.74385940647124</v>
      </c>
      <c r="Y81" s="8">
        <v>1.7448470922733199</v>
      </c>
      <c r="Z81" s="8">
        <v>1.7446727997132201</v>
      </c>
      <c r="AA81" s="8">
        <v>1.74439782289545</v>
      </c>
      <c r="AB81" s="6">
        <v>100.922828240635</v>
      </c>
      <c r="AC81" s="6">
        <v>100.91747045195299</v>
      </c>
      <c r="AD81" s="6">
        <v>100.893663054604</v>
      </c>
      <c r="AE81" s="7">
        <v>5.6621892888949403E-4</v>
      </c>
      <c r="AF81" s="7">
        <v>5.1312954369134799E-4</v>
      </c>
      <c r="AG81" s="7">
        <v>2.7719213978341298E-4</v>
      </c>
      <c r="AZ81" s="23"/>
      <c r="BB81" s="12">
        <f t="shared" si="6"/>
        <v>0</v>
      </c>
      <c r="BC81" s="12">
        <f t="shared" si="7"/>
        <v>1</v>
      </c>
      <c r="BD81" s="12">
        <f t="shared" si="8"/>
        <v>0</v>
      </c>
      <c r="BE81" s="12">
        <f t="shared" si="4"/>
        <v>1</v>
      </c>
      <c r="BF81" s="12">
        <f t="shared" si="9"/>
        <v>0</v>
      </c>
      <c r="BG81" s="23">
        <f t="shared" si="10"/>
        <v>0</v>
      </c>
      <c r="BH81" s="23">
        <f t="shared" si="11"/>
        <v>0</v>
      </c>
      <c r="BI81" s="23">
        <f t="shared" si="12"/>
        <v>0</v>
      </c>
      <c r="BJ81" s="18">
        <f t="shared" si="13"/>
        <v>1.4155918239679504E-3</v>
      </c>
      <c r="BL81" s="23"/>
      <c r="BN81" s="12">
        <f t="shared" si="14"/>
        <v>0</v>
      </c>
      <c r="BO81" s="12">
        <f t="shared" si="15"/>
        <v>0</v>
      </c>
      <c r="BP81" s="12">
        <f t="shared" si="16"/>
        <v>0</v>
      </c>
      <c r="BQ81" s="12">
        <f t="shared" si="5"/>
        <v>1</v>
      </c>
      <c r="BR81" s="12">
        <f t="shared" si="17"/>
        <v>0</v>
      </c>
      <c r="BS81" s="23">
        <f t="shared" si="18"/>
        <v>0</v>
      </c>
      <c r="BT81" s="23">
        <f t="shared" si="19"/>
        <v>0</v>
      </c>
      <c r="BU81" s="23">
        <f t="shared" si="20"/>
        <v>0</v>
      </c>
      <c r="BV81" s="18">
        <f t="shared" si="21"/>
        <v>6.1178234084519837E-5</v>
      </c>
      <c r="BX81" s="18">
        <f t="shared" si="22"/>
        <v>0</v>
      </c>
      <c r="BY81" s="18">
        <f t="shared" si="23"/>
        <v>1.4767700580524702E-3</v>
      </c>
    </row>
    <row r="82" spans="1:77" x14ac:dyDescent="0.3">
      <c r="A82" s="1">
        <v>46141</v>
      </c>
      <c r="B82" s="6">
        <v>57.28</v>
      </c>
      <c r="C82" s="6">
        <v>99.92</v>
      </c>
      <c r="D82" s="7">
        <v>-2.4411520405277199E-3</v>
      </c>
      <c r="E82" s="7">
        <v>-1.7998205038525299E-3</v>
      </c>
      <c r="F82" s="6">
        <v>0</v>
      </c>
      <c r="G82" s="6">
        <v>0.42049999999999998</v>
      </c>
      <c r="H82" s="6">
        <v>0</v>
      </c>
      <c r="I82" s="6">
        <v>0.76570000000000005</v>
      </c>
      <c r="J82" s="6">
        <v>0.42049999999999998</v>
      </c>
      <c r="K82" s="6">
        <v>0.76570000000000005</v>
      </c>
      <c r="L82" s="6">
        <v>57.700499999999998</v>
      </c>
      <c r="M82" s="6">
        <v>100.6857</v>
      </c>
      <c r="N82" s="8">
        <v>1.7444134078212199</v>
      </c>
      <c r="O82" s="8">
        <v>1.7441031794745401</v>
      </c>
      <c r="P82" s="8">
        <v>1.74401410639063</v>
      </c>
      <c r="Q82" s="8">
        <v>1.74394213175179</v>
      </c>
      <c r="R82" s="6">
        <v>99.902230120301695</v>
      </c>
      <c r="S82" s="6">
        <v>99.902873430503803</v>
      </c>
      <c r="T82" s="6">
        <v>99.887598342268504</v>
      </c>
      <c r="U82" s="7">
        <v>-1.77856885437176E-4</v>
      </c>
      <c r="V82" s="7">
        <v>-1.71417508356583E-4</v>
      </c>
      <c r="W82" s="7">
        <v>-3.2432858694322398E-4</v>
      </c>
      <c r="X82" s="8">
        <v>1.74497101411599</v>
      </c>
      <c r="Y82" s="8">
        <v>1.7448470922733199</v>
      </c>
      <c r="Z82" s="8">
        <v>1.74457321709539</v>
      </c>
      <c r="AA82" s="8">
        <v>1.7445031064386101</v>
      </c>
      <c r="AB82" s="6">
        <v>100.678549647716</v>
      </c>
      <c r="AC82" s="6">
        <v>100.66849287985301</v>
      </c>
      <c r="AD82" s="6">
        <v>100.652626579979</v>
      </c>
      <c r="AE82" s="7">
        <v>-7.1019084060609594E-5</v>
      </c>
      <c r="AF82" s="7">
        <v>-1.7091394961897899E-4</v>
      </c>
      <c r="AG82" s="7">
        <v>-3.2853576246679199E-4</v>
      </c>
      <c r="AZ82" s="23"/>
      <c r="BB82" s="12">
        <f t="shared" si="6"/>
        <v>0</v>
      </c>
      <c r="BC82" s="12">
        <f t="shared" si="7"/>
        <v>0</v>
      </c>
      <c r="BD82" s="12">
        <f t="shared" si="8"/>
        <v>0</v>
      </c>
      <c r="BE82" s="12">
        <f t="shared" si="4"/>
        <v>1</v>
      </c>
      <c r="BF82" s="12">
        <f t="shared" si="9"/>
        <v>0</v>
      </c>
      <c r="BG82" s="23">
        <f t="shared" si="10"/>
        <v>0</v>
      </c>
      <c r="BH82" s="23">
        <f t="shared" si="11"/>
        <v>0</v>
      </c>
      <c r="BI82" s="23">
        <f t="shared" si="12"/>
        <v>0</v>
      </c>
      <c r="BJ82" s="18">
        <f t="shared" si="13"/>
        <v>1.4155918239679504E-3</v>
      </c>
      <c r="BL82" s="23"/>
      <c r="BN82" s="12">
        <f t="shared" si="14"/>
        <v>0</v>
      </c>
      <c r="BO82" s="12">
        <f t="shared" si="15"/>
        <v>1</v>
      </c>
      <c r="BP82" s="12">
        <f t="shared" si="16"/>
        <v>0</v>
      </c>
      <c r="BQ82" s="12">
        <f t="shared" si="5"/>
        <v>1</v>
      </c>
      <c r="BR82" s="12">
        <f t="shared" si="17"/>
        <v>0</v>
      </c>
      <c r="BS82" s="23">
        <f t="shared" si="18"/>
        <v>0</v>
      </c>
      <c r="BT82" s="23">
        <f t="shared" si="19"/>
        <v>0</v>
      </c>
      <c r="BU82" s="23">
        <f t="shared" si="20"/>
        <v>0</v>
      </c>
      <c r="BV82" s="18">
        <f t="shared" si="21"/>
        <v>6.1178234084519837E-5</v>
      </c>
      <c r="BX82" s="18">
        <f t="shared" si="22"/>
        <v>0</v>
      </c>
      <c r="BY82" s="18">
        <f t="shared" si="23"/>
        <v>1.4767700580524702E-3</v>
      </c>
    </row>
    <row r="83" spans="1:77" x14ac:dyDescent="0.3">
      <c r="A83" s="1">
        <v>46142</v>
      </c>
      <c r="B83" s="6">
        <v>57.31</v>
      </c>
      <c r="C83" s="6">
        <v>99.98</v>
      </c>
      <c r="D83" s="7">
        <v>5.2360591125586798E-4</v>
      </c>
      <c r="E83" s="7">
        <v>6.0030016810199696E-4</v>
      </c>
      <c r="F83" s="6">
        <v>0</v>
      </c>
      <c r="G83" s="6">
        <v>0.42049999999999998</v>
      </c>
      <c r="H83" s="6">
        <v>0</v>
      </c>
      <c r="I83" s="6">
        <v>0.76570000000000005</v>
      </c>
      <c r="J83" s="6">
        <v>0.42049999999999998</v>
      </c>
      <c r="K83" s="6">
        <v>0.76570000000000005</v>
      </c>
      <c r="L83" s="6">
        <v>57.730499999999999</v>
      </c>
      <c r="M83" s="6">
        <v>100.7457</v>
      </c>
      <c r="N83" s="8">
        <v>1.7445471994416299</v>
      </c>
      <c r="O83" s="8">
        <v>1.7441031794745401</v>
      </c>
      <c r="P83" s="8">
        <v>1.74406198753507</v>
      </c>
      <c r="Q83" s="8">
        <v>1.74404748047211</v>
      </c>
      <c r="R83" s="6">
        <v>99.954553215685905</v>
      </c>
      <c r="S83" s="6">
        <v>99.949448437247099</v>
      </c>
      <c r="T83" s="6">
        <v>99.945323570695294</v>
      </c>
      <c r="U83" s="7">
        <v>-2.5455114228328498E-4</v>
      </c>
      <c r="V83" s="7">
        <v>-3.0562344096315801E-4</v>
      </c>
      <c r="W83" s="7">
        <v>-3.4689382048374E-4</v>
      </c>
      <c r="X83" s="8">
        <v>1.74510354145555</v>
      </c>
      <c r="Y83" s="8">
        <v>1.7448470922733199</v>
      </c>
      <c r="Z83" s="8">
        <v>1.7446207591766201</v>
      </c>
      <c r="AA83" s="8">
        <v>1.74460747330903</v>
      </c>
      <c r="AB83" s="6">
        <v>100.730895060484</v>
      </c>
      <c r="AC83" s="6">
        <v>100.71508410952499</v>
      </c>
      <c r="AD83" s="6">
        <v>100.711036586254</v>
      </c>
      <c r="AE83" s="7">
        <v>-1.46964361168369E-4</v>
      </c>
      <c r="AF83" s="7">
        <v>-3.0393896107650502E-4</v>
      </c>
      <c r="AG83" s="7">
        <v>-3.4412762437374499E-4</v>
      </c>
      <c r="AZ83" s="23"/>
      <c r="BB83" s="12">
        <f t="shared" si="6"/>
        <v>0</v>
      </c>
      <c r="BC83" s="12">
        <f t="shared" si="7"/>
        <v>0</v>
      </c>
      <c r="BD83" s="12">
        <f t="shared" si="8"/>
        <v>0</v>
      </c>
      <c r="BE83" s="12">
        <f t="shared" si="4"/>
        <v>0</v>
      </c>
      <c r="BF83" s="12">
        <f t="shared" si="9"/>
        <v>0</v>
      </c>
      <c r="BG83" s="23">
        <f t="shared" si="10"/>
        <v>0</v>
      </c>
      <c r="BH83" s="23">
        <f t="shared" si="11"/>
        <v>0</v>
      </c>
      <c r="BI83" s="23">
        <f t="shared" si="12"/>
        <v>0</v>
      </c>
      <c r="BJ83" s="18">
        <f t="shared" si="13"/>
        <v>1.4155918239679504E-3</v>
      </c>
      <c r="BL83" s="23"/>
      <c r="BN83" s="12">
        <f t="shared" si="14"/>
        <v>0</v>
      </c>
      <c r="BO83" s="12">
        <f t="shared" si="15"/>
        <v>1</v>
      </c>
      <c r="BP83" s="12">
        <f t="shared" si="16"/>
        <v>0</v>
      </c>
      <c r="BQ83" s="12">
        <f t="shared" si="5"/>
        <v>0</v>
      </c>
      <c r="BR83" s="12">
        <f t="shared" si="17"/>
        <v>0</v>
      </c>
      <c r="BS83" s="23">
        <f t="shared" si="18"/>
        <v>0</v>
      </c>
      <c r="BT83" s="23">
        <f t="shared" si="19"/>
        <v>0</v>
      </c>
      <c r="BU83" s="23">
        <f t="shared" si="20"/>
        <v>0</v>
      </c>
      <c r="BV83" s="18">
        <f t="shared" si="21"/>
        <v>6.1178234084519837E-5</v>
      </c>
      <c r="BX83" s="18">
        <f t="shared" si="22"/>
        <v>0</v>
      </c>
      <c r="BY83" s="18">
        <f t="shared" si="23"/>
        <v>1.4767700580524702E-3</v>
      </c>
    </row>
    <row r="84" spans="1:77" x14ac:dyDescent="0.3">
      <c r="A84" s="1">
        <v>46143</v>
      </c>
      <c r="B84" s="6">
        <v>57.14</v>
      </c>
      <c r="C84" s="6">
        <v>99.69</v>
      </c>
      <c r="D84" s="7">
        <v>-2.97073176101914E-3</v>
      </c>
      <c r="E84" s="7">
        <v>-2.9047949508117202E-3</v>
      </c>
      <c r="F84" s="6">
        <v>0.14069999999999999</v>
      </c>
      <c r="G84" s="6">
        <v>0.56119999999999903</v>
      </c>
      <c r="H84" s="6">
        <v>0.26029999999999998</v>
      </c>
      <c r="I84" s="6">
        <v>1.026</v>
      </c>
      <c r="J84" s="6">
        <v>0.56119999999999903</v>
      </c>
      <c r="K84" s="6">
        <v>1.026</v>
      </c>
      <c r="L84" s="6">
        <v>57.7012</v>
      </c>
      <c r="M84" s="6">
        <v>100.71599999999999</v>
      </c>
      <c r="N84" s="8">
        <v>1.7446622331116499</v>
      </c>
      <c r="O84" s="8">
        <v>1.7441031794745401</v>
      </c>
      <c r="P84" s="8">
        <v>1.7441460319391699</v>
      </c>
      <c r="Q84" s="8">
        <v>1.74409435375662</v>
      </c>
      <c r="R84" s="6">
        <v>99.658055675175206</v>
      </c>
      <c r="S84" s="6">
        <v>99.655701967754197</v>
      </c>
      <c r="T84" s="6">
        <v>99.654873034176703</v>
      </c>
      <c r="U84" s="7">
        <v>-3.20487952490589E-4</v>
      </c>
      <c r="V84" s="7">
        <v>-3.44106065449542E-4</v>
      </c>
      <c r="W84" s="7">
        <v>-3.5242407444067801E-4</v>
      </c>
      <c r="X84" s="8">
        <v>1.7454749641255201</v>
      </c>
      <c r="Y84" s="8">
        <v>1.7448470922733199</v>
      </c>
      <c r="Z84" s="8">
        <v>1.74473005965099</v>
      </c>
      <c r="AA84" s="8">
        <v>1.7446666999481499</v>
      </c>
      <c r="AB84" s="6">
        <v>100.679771040681</v>
      </c>
      <c r="AC84" s="6">
        <v>100.66671134940199</v>
      </c>
      <c r="AD84" s="6">
        <v>100.665944738899</v>
      </c>
      <c r="AE84" s="7">
        <v>-3.5977875327016803E-4</v>
      </c>
      <c r="AF84" s="7">
        <v>-4.8950231379248804E-4</v>
      </c>
      <c r="AG84" s="7">
        <v>-4.9711767553305304E-4</v>
      </c>
      <c r="AZ84" s="23"/>
      <c r="BB84" s="12">
        <f t="shared" si="6"/>
        <v>0</v>
      </c>
      <c r="BC84" s="12">
        <f t="shared" si="7"/>
        <v>0</v>
      </c>
      <c r="BD84" s="12">
        <f t="shared" si="8"/>
        <v>0</v>
      </c>
      <c r="BE84" s="12">
        <f t="shared" si="4"/>
        <v>1</v>
      </c>
      <c r="BF84" s="12">
        <f t="shared" si="9"/>
        <v>0</v>
      </c>
      <c r="BG84" s="23">
        <f t="shared" si="10"/>
        <v>0</v>
      </c>
      <c r="BH84" s="23">
        <f t="shared" si="11"/>
        <v>0</v>
      </c>
      <c r="BI84" s="23">
        <f t="shared" si="12"/>
        <v>0</v>
      </c>
      <c r="BJ84" s="18">
        <f t="shared" si="13"/>
        <v>1.4155918239679504E-3</v>
      </c>
      <c r="BL84" s="23"/>
      <c r="BN84" s="12">
        <f t="shared" si="14"/>
        <v>0</v>
      </c>
      <c r="BO84" s="12">
        <f t="shared" si="15"/>
        <v>1</v>
      </c>
      <c r="BP84" s="12">
        <f t="shared" si="16"/>
        <v>0</v>
      </c>
      <c r="BQ84" s="12">
        <f t="shared" si="5"/>
        <v>1</v>
      </c>
      <c r="BR84" s="12">
        <f t="shared" si="17"/>
        <v>0</v>
      </c>
      <c r="BS84" s="23">
        <f t="shared" si="18"/>
        <v>0</v>
      </c>
      <c r="BT84" s="23">
        <f t="shared" si="19"/>
        <v>0</v>
      </c>
      <c r="BU84" s="23">
        <f t="shared" si="20"/>
        <v>0</v>
      </c>
      <c r="BV84" s="18">
        <f t="shared" si="21"/>
        <v>6.1178234084519837E-5</v>
      </c>
      <c r="BX84" s="18">
        <f t="shared" si="22"/>
        <v>0</v>
      </c>
      <c r="BY84" s="18">
        <f t="shared" si="23"/>
        <v>1.4767700580524702E-3</v>
      </c>
    </row>
    <row r="85" spans="1:77" x14ac:dyDescent="0.3">
      <c r="A85" s="1">
        <v>46146</v>
      </c>
      <c r="B85" s="6">
        <v>57.11</v>
      </c>
      <c r="C85" s="6">
        <v>99.59</v>
      </c>
      <c r="D85" s="7">
        <v>-5.2516412585546402E-4</v>
      </c>
      <c r="E85" s="7">
        <v>-1.00361309106438E-3</v>
      </c>
      <c r="F85" s="6">
        <v>0</v>
      </c>
      <c r="G85" s="6">
        <v>0.56119999999999903</v>
      </c>
      <c r="H85" s="6">
        <v>0</v>
      </c>
      <c r="I85" s="6">
        <v>1.026</v>
      </c>
      <c r="J85" s="6">
        <v>0.56119999999999903</v>
      </c>
      <c r="K85" s="6">
        <v>1.026</v>
      </c>
      <c r="L85" s="6">
        <v>57.671199999999999</v>
      </c>
      <c r="M85" s="6">
        <v>100.616</v>
      </c>
      <c r="N85" s="8">
        <v>1.7438277009280301</v>
      </c>
      <c r="O85" s="8">
        <v>1.7441031794745401</v>
      </c>
      <c r="P85" s="8">
        <v>1.7440725639947401</v>
      </c>
      <c r="Q85" s="8">
        <v>1.74413259514303</v>
      </c>
      <c r="R85" s="6">
        <v>99.605732579790995</v>
      </c>
      <c r="S85" s="6">
        <v>99.608179884046294</v>
      </c>
      <c r="T85" s="6">
        <v>99.605228543040994</v>
      </c>
      <c r="U85" s="7">
        <v>1.57961012718395E-4</v>
      </c>
      <c r="V85" s="7">
        <v>1.8253062460079101E-4</v>
      </c>
      <c r="W85" s="7">
        <v>1.52900681226513E-4</v>
      </c>
      <c r="X85" s="8">
        <v>1.7446489755718599</v>
      </c>
      <c r="Y85" s="8">
        <v>1.7448470922733199</v>
      </c>
      <c r="Z85" s="8">
        <v>1.7446832497605</v>
      </c>
      <c r="AA85" s="8">
        <v>1.7447174644666701</v>
      </c>
      <c r="AB85" s="6">
        <v>100.627425627913</v>
      </c>
      <c r="AC85" s="6">
        <v>100.62067621614401</v>
      </c>
      <c r="AD85" s="6">
        <v>100.61702218604999</v>
      </c>
      <c r="AE85" s="7">
        <v>1.13550322349604E-4</v>
      </c>
      <c r="AF85" s="7">
        <v>4.6474790117315097E-5</v>
      </c>
      <c r="AG85" s="7">
        <v>1.01592277342101E-5</v>
      </c>
      <c r="AZ85" s="23"/>
      <c r="BB85" s="12">
        <f t="shared" si="6"/>
        <v>0</v>
      </c>
      <c r="BC85" s="12">
        <f t="shared" si="7"/>
        <v>1</v>
      </c>
      <c r="BD85" s="12">
        <f t="shared" si="8"/>
        <v>0</v>
      </c>
      <c r="BE85" s="12">
        <f t="shared" si="4"/>
        <v>1</v>
      </c>
      <c r="BF85" s="12">
        <f t="shared" si="9"/>
        <v>0</v>
      </c>
      <c r="BG85" s="23">
        <f t="shared" si="10"/>
        <v>0</v>
      </c>
      <c r="BH85" s="23">
        <f t="shared" si="11"/>
        <v>0</v>
      </c>
      <c r="BI85" s="23">
        <f t="shared" si="12"/>
        <v>0</v>
      </c>
      <c r="BJ85" s="18">
        <f t="shared" si="13"/>
        <v>1.4155918239679504E-3</v>
      </c>
      <c r="BL85" s="23"/>
      <c r="BN85" s="12">
        <f t="shared" si="14"/>
        <v>0</v>
      </c>
      <c r="BO85" s="12">
        <f t="shared" si="15"/>
        <v>0</v>
      </c>
      <c r="BP85" s="12">
        <f t="shared" si="16"/>
        <v>0</v>
      </c>
      <c r="BQ85" s="12">
        <f t="shared" si="5"/>
        <v>1</v>
      </c>
      <c r="BR85" s="12">
        <f t="shared" si="17"/>
        <v>0</v>
      </c>
      <c r="BS85" s="23">
        <f t="shared" si="18"/>
        <v>0</v>
      </c>
      <c r="BT85" s="23">
        <f t="shared" si="19"/>
        <v>0</v>
      </c>
      <c r="BU85" s="23">
        <f t="shared" si="20"/>
        <v>0</v>
      </c>
      <c r="BV85" s="18">
        <f t="shared" si="21"/>
        <v>6.1178234084519837E-5</v>
      </c>
      <c r="BX85" s="18">
        <f t="shared" si="22"/>
        <v>0</v>
      </c>
      <c r="BY85" s="18">
        <f t="shared" si="23"/>
        <v>1.4767700580524702E-3</v>
      </c>
    </row>
    <row r="86" spans="1:77" x14ac:dyDescent="0.3">
      <c r="A86" s="1">
        <v>46147</v>
      </c>
      <c r="B86" s="6">
        <v>57.12</v>
      </c>
      <c r="C86" s="6">
        <v>99.63</v>
      </c>
      <c r="D86" s="7">
        <v>1.75085354557459E-4</v>
      </c>
      <c r="E86" s="7">
        <v>4.0156611321668799E-4</v>
      </c>
      <c r="F86" s="6">
        <v>0</v>
      </c>
      <c r="G86" s="6">
        <v>0.56119999999999903</v>
      </c>
      <c r="H86" s="6">
        <v>0</v>
      </c>
      <c r="I86" s="6">
        <v>1.026</v>
      </c>
      <c r="J86" s="6">
        <v>0.56119999999999903</v>
      </c>
      <c r="K86" s="6">
        <v>1.026</v>
      </c>
      <c r="L86" s="6">
        <v>57.681199999999997</v>
      </c>
      <c r="M86" s="6">
        <v>100.655999999999</v>
      </c>
      <c r="N86" s="8">
        <v>1.7442226890756301</v>
      </c>
      <c r="O86" s="8">
        <v>1.7441031794745401</v>
      </c>
      <c r="P86" s="8">
        <v>1.74404342224399</v>
      </c>
      <c r="Q86" s="8">
        <v>1.74412014237323</v>
      </c>
      <c r="R86" s="6">
        <v>99.623173611585699</v>
      </c>
      <c r="S86" s="6">
        <v>99.621424855379601</v>
      </c>
      <c r="T86" s="6">
        <v>99.624853834570203</v>
      </c>
      <c r="U86" s="7">
        <v>-6.8519745941052903E-5</v>
      </c>
      <c r="V86" s="7">
        <v>-8.6073609078081794E-5</v>
      </c>
      <c r="W86" s="7">
        <v>-5.1654103595235699E-5</v>
      </c>
      <c r="X86" s="8">
        <v>1.74503997836383</v>
      </c>
      <c r="Y86" s="8">
        <v>1.7448470922733199</v>
      </c>
      <c r="Z86" s="8">
        <v>1.7446802844828</v>
      </c>
      <c r="AA86" s="8">
        <v>1.74471787149977</v>
      </c>
      <c r="AB86" s="6">
        <v>100.644874098835</v>
      </c>
      <c r="AC86" s="6">
        <v>100.635423466085</v>
      </c>
      <c r="AD86" s="6">
        <v>100.637397011395</v>
      </c>
      <c r="AE86" s="7">
        <v>-1.10540018519756E-4</v>
      </c>
      <c r="AF86" s="7">
        <v>-2.0444521313226399E-4</v>
      </c>
      <c r="AG86" s="7">
        <v>-1.8483456421408299E-4</v>
      </c>
      <c r="AZ86" s="23"/>
      <c r="BB86" s="12">
        <f t="shared" si="6"/>
        <v>0</v>
      </c>
      <c r="BC86" s="12">
        <f t="shared" si="7"/>
        <v>0</v>
      </c>
      <c r="BD86" s="12">
        <f t="shared" si="8"/>
        <v>0</v>
      </c>
      <c r="BE86" s="12">
        <f t="shared" ref="BE86:BE149" si="24">IF(F87+H87&gt;0,0,1)</f>
        <v>1</v>
      </c>
      <c r="BF86" s="12">
        <f t="shared" si="9"/>
        <v>0</v>
      </c>
      <c r="BG86" s="23">
        <f t="shared" si="10"/>
        <v>0</v>
      </c>
      <c r="BH86" s="23">
        <f t="shared" si="11"/>
        <v>0</v>
      </c>
      <c r="BI86" s="23">
        <f t="shared" si="12"/>
        <v>0</v>
      </c>
      <c r="BJ86" s="18">
        <f t="shared" si="13"/>
        <v>1.4155918239679504E-3</v>
      </c>
      <c r="BL86" s="23"/>
      <c r="BN86" s="12">
        <f t="shared" si="14"/>
        <v>0</v>
      </c>
      <c r="BO86" s="12">
        <f t="shared" si="15"/>
        <v>1</v>
      </c>
      <c r="BP86" s="12">
        <f t="shared" si="16"/>
        <v>0</v>
      </c>
      <c r="BQ86" s="12">
        <f t="shared" ref="BQ86:BQ149" si="25">IF(F87+H87&gt;0,0,1)</f>
        <v>1</v>
      </c>
      <c r="BR86" s="12">
        <f t="shared" si="17"/>
        <v>0</v>
      </c>
      <c r="BS86" s="23">
        <f t="shared" si="18"/>
        <v>0</v>
      </c>
      <c r="BT86" s="23">
        <f t="shared" si="19"/>
        <v>0</v>
      </c>
      <c r="BU86" s="23">
        <f t="shared" si="20"/>
        <v>0</v>
      </c>
      <c r="BV86" s="18">
        <f t="shared" si="21"/>
        <v>6.1178234084519837E-5</v>
      </c>
      <c r="BX86" s="18">
        <f t="shared" si="22"/>
        <v>0</v>
      </c>
      <c r="BY86" s="18">
        <f t="shared" si="23"/>
        <v>1.4767700580524702E-3</v>
      </c>
    </row>
    <row r="87" spans="1:77" x14ac:dyDescent="0.3">
      <c r="A87" s="1">
        <v>46148</v>
      </c>
      <c r="B87" s="6">
        <v>57.24</v>
      </c>
      <c r="C87" s="6">
        <v>99.77</v>
      </c>
      <c r="D87" s="7">
        <v>2.0986366569211998E-3</v>
      </c>
      <c r="E87" s="7">
        <v>1.40421286865085E-3</v>
      </c>
      <c r="F87" s="6">
        <v>0</v>
      </c>
      <c r="G87" s="6">
        <v>0.56119999999999903</v>
      </c>
      <c r="H87" s="6">
        <v>0</v>
      </c>
      <c r="I87" s="6">
        <v>1.026</v>
      </c>
      <c r="J87" s="6">
        <v>0.56119999999999903</v>
      </c>
      <c r="K87" s="6">
        <v>1.026</v>
      </c>
      <c r="L87" s="6">
        <v>57.801200000000001</v>
      </c>
      <c r="M87" s="6">
        <v>100.795999999999</v>
      </c>
      <c r="N87" s="8">
        <v>1.7430118798043299</v>
      </c>
      <c r="O87" s="8">
        <v>1.7441031794745401</v>
      </c>
      <c r="P87" s="8">
        <v>1.7438843038177401</v>
      </c>
      <c r="Q87" s="8">
        <v>1.7441094009325699</v>
      </c>
      <c r="R87" s="6">
        <v>99.832465993122696</v>
      </c>
      <c r="S87" s="6">
        <v>99.829045489246397</v>
      </c>
      <c r="T87" s="6">
        <v>99.833436949443694</v>
      </c>
      <c r="U87" s="7">
        <v>6.2590404232939795E-4</v>
      </c>
      <c r="V87" s="7">
        <v>5.9164101535738698E-4</v>
      </c>
      <c r="W87" s="7">
        <v>6.3562985236206696E-4</v>
      </c>
      <c r="X87" s="8">
        <v>1.74383922825131</v>
      </c>
      <c r="Y87" s="8">
        <v>1.7448470922733199</v>
      </c>
      <c r="Z87" s="8">
        <v>1.7445484322973499</v>
      </c>
      <c r="AA87" s="8">
        <v>1.7447201503657701</v>
      </c>
      <c r="AB87" s="6">
        <v>100.85425574990801</v>
      </c>
      <c r="AC87" s="6">
        <v>100.844614059447</v>
      </c>
      <c r="AD87" s="6">
        <v>100.846786634132</v>
      </c>
      <c r="AE87" s="7">
        <v>5.7779000887155096E-4</v>
      </c>
      <c r="AF87" s="7">
        <v>4.8218520476384102E-4</v>
      </c>
      <c r="AG87" s="7">
        <v>5.03728757715777E-4</v>
      </c>
      <c r="AZ87" s="23"/>
      <c r="BB87" s="12">
        <f t="shared" ref="BB87:BB150" si="26">IF($AG87&lt;BA$20,1,0)</f>
        <v>0</v>
      </c>
      <c r="BC87" s="12">
        <f t="shared" ref="BC87:BC150" si="27">IF($AG87&gt;BA$21,1,0)</f>
        <v>1</v>
      </c>
      <c r="BD87" s="12">
        <f t="shared" ref="BD87:BD150" si="28">BF87</f>
        <v>0</v>
      </c>
      <c r="BE87" s="12">
        <f t="shared" si="24"/>
        <v>1</v>
      </c>
      <c r="BF87" s="12">
        <f t="shared" ref="BF87:BF150" si="29">IF(BB86,1,IF(BC86,0,BD86))*BE86</f>
        <v>0</v>
      </c>
      <c r="BG87" s="23">
        <f t="shared" ref="BG87:BG150" si="30">BF87*D87</f>
        <v>0</v>
      </c>
      <c r="BH87" s="23">
        <f t="shared" ref="BH87:BH150" si="31">-BF87*$E87</f>
        <v>0</v>
      </c>
      <c r="BI87" s="23">
        <f t="shared" ref="BI87:BI150" si="32">BG87+BH87</f>
        <v>0</v>
      </c>
      <c r="BJ87" s="18">
        <f t="shared" ref="BJ87:BJ150" si="33">BJ86+BI87</f>
        <v>1.4155918239679504E-3</v>
      </c>
      <c r="BL87" s="23"/>
      <c r="BN87" s="12">
        <f t="shared" ref="BN87:BN150" si="34">IF($AG87&gt;BM$20,1,0)</f>
        <v>0</v>
      </c>
      <c r="BO87" s="12">
        <f t="shared" ref="BO87:BO150" si="35">IF($AG87&lt;BM$21,1,0)</f>
        <v>0</v>
      </c>
      <c r="BP87" s="12">
        <f t="shared" ref="BP87:BP150" si="36">BR87</f>
        <v>0</v>
      </c>
      <c r="BQ87" s="12">
        <f t="shared" si="25"/>
        <v>1</v>
      </c>
      <c r="BR87" s="12">
        <f t="shared" ref="BR87:BR150" si="37">IF(BN86,1,IF(BO86,0,BP86))*BQ86</f>
        <v>0</v>
      </c>
      <c r="BS87" s="23">
        <f t="shared" ref="BS87:BS150" si="38">-BR87*D87</f>
        <v>0</v>
      </c>
      <c r="BT87" s="23">
        <f t="shared" ref="BT87:BT150" si="39">BR87*$E87</f>
        <v>0</v>
      </c>
      <c r="BU87" s="23">
        <f t="shared" ref="BU87:BU150" si="40">BS87+BT87</f>
        <v>0</v>
      </c>
      <c r="BV87" s="18">
        <f t="shared" ref="BV87:BV150" si="41">BV86+BU87</f>
        <v>6.1178234084519837E-5</v>
      </c>
      <c r="BX87" s="18">
        <f t="shared" ref="BX87:BX150" si="42">BI87+BU87</f>
        <v>0</v>
      </c>
      <c r="BY87" s="18">
        <f t="shared" ref="BY87:BY150" si="43">BY86+BX87</f>
        <v>1.4767700580524702E-3</v>
      </c>
    </row>
    <row r="88" spans="1:77" x14ac:dyDescent="0.3">
      <c r="A88" s="1">
        <v>46149</v>
      </c>
      <c r="B88" s="6">
        <v>57.23</v>
      </c>
      <c r="C88" s="6">
        <v>99.74</v>
      </c>
      <c r="D88" s="7">
        <v>-1.7471826723932201E-4</v>
      </c>
      <c r="E88" s="7">
        <v>-3.0073680743926298E-4</v>
      </c>
      <c r="F88" s="6">
        <v>0</v>
      </c>
      <c r="G88" s="6">
        <v>0.56119999999999903</v>
      </c>
      <c r="H88" s="6">
        <v>0</v>
      </c>
      <c r="I88" s="6">
        <v>1.026</v>
      </c>
      <c r="J88" s="6">
        <v>0.56119999999999903</v>
      </c>
      <c r="K88" s="6">
        <v>1.026</v>
      </c>
      <c r="L88" s="6">
        <v>57.791199999999897</v>
      </c>
      <c r="M88" s="6">
        <v>100.765999999999</v>
      </c>
      <c r="N88" s="8">
        <v>1.7427922418312001</v>
      </c>
      <c r="O88" s="8">
        <v>1.7441031794745401</v>
      </c>
      <c r="P88" s="8">
        <v>1.7438594222249399</v>
      </c>
      <c r="Q88" s="8">
        <v>1.7440587861480401</v>
      </c>
      <c r="R88" s="6">
        <v>99.815024961327893</v>
      </c>
      <c r="S88" s="6">
        <v>99.802498707489605</v>
      </c>
      <c r="T88" s="6">
        <v>99.815381015371401</v>
      </c>
      <c r="U88" s="7">
        <v>7.51922582529461E-4</v>
      </c>
      <c r="V88" s="7">
        <v>6.2642003521206897E-4</v>
      </c>
      <c r="W88" s="7">
        <v>7.5548971491842104E-4</v>
      </c>
      <c r="X88" s="8">
        <v>1.7436218663048999</v>
      </c>
      <c r="Y88" s="8">
        <v>1.7448470922733199</v>
      </c>
      <c r="Z88" s="8">
        <v>1.7445499484673099</v>
      </c>
      <c r="AA88" s="8">
        <v>1.7446829243663899</v>
      </c>
      <c r="AB88" s="6">
        <v>100.83680727898501</v>
      </c>
      <c r="AC88" s="6">
        <v>100.81954736058201</v>
      </c>
      <c r="AD88" s="6">
        <v>100.82947115381801</v>
      </c>
      <c r="AE88" s="7">
        <v>7.0244341190612495E-4</v>
      </c>
      <c r="AF88" s="7">
        <v>5.3126191379571205E-4</v>
      </c>
      <c r="AG88" s="7">
        <v>6.2968831147328802E-4</v>
      </c>
      <c r="AZ88" s="23"/>
      <c r="BB88" s="12">
        <f t="shared" si="26"/>
        <v>0</v>
      </c>
      <c r="BC88" s="12">
        <f t="shared" si="27"/>
        <v>1</v>
      </c>
      <c r="BD88" s="12">
        <f t="shared" si="28"/>
        <v>0</v>
      </c>
      <c r="BE88" s="12">
        <f t="shared" si="24"/>
        <v>1</v>
      </c>
      <c r="BF88" s="12">
        <f t="shared" si="29"/>
        <v>0</v>
      </c>
      <c r="BG88" s="23">
        <f t="shared" si="30"/>
        <v>0</v>
      </c>
      <c r="BH88" s="23">
        <f t="shared" si="31"/>
        <v>0</v>
      </c>
      <c r="BI88" s="23">
        <f t="shared" si="32"/>
        <v>0</v>
      </c>
      <c r="BJ88" s="18">
        <f t="shared" si="33"/>
        <v>1.4155918239679504E-3</v>
      </c>
      <c r="BL88" s="23"/>
      <c r="BN88" s="12">
        <f t="shared" si="34"/>
        <v>0</v>
      </c>
      <c r="BO88" s="12">
        <f t="shared" si="35"/>
        <v>0</v>
      </c>
      <c r="BP88" s="12">
        <f t="shared" si="36"/>
        <v>0</v>
      </c>
      <c r="BQ88" s="12">
        <f t="shared" si="25"/>
        <v>1</v>
      </c>
      <c r="BR88" s="12">
        <f t="shared" si="37"/>
        <v>0</v>
      </c>
      <c r="BS88" s="23">
        <f t="shared" si="38"/>
        <v>0</v>
      </c>
      <c r="BT88" s="23">
        <f t="shared" si="39"/>
        <v>0</v>
      </c>
      <c r="BU88" s="23">
        <f t="shared" si="40"/>
        <v>0</v>
      </c>
      <c r="BV88" s="18">
        <f t="shared" si="41"/>
        <v>6.1178234084519837E-5</v>
      </c>
      <c r="BX88" s="18">
        <f t="shared" si="42"/>
        <v>0</v>
      </c>
      <c r="BY88" s="18">
        <f t="shared" si="43"/>
        <v>1.4767700580524702E-3</v>
      </c>
    </row>
    <row r="89" spans="1:77" x14ac:dyDescent="0.3">
      <c r="A89" s="1">
        <v>46150</v>
      </c>
      <c r="B89" s="6">
        <v>57.27</v>
      </c>
      <c r="C89" s="6">
        <v>99.75</v>
      </c>
      <c r="D89" s="7">
        <v>6.9868998475520702E-4</v>
      </c>
      <c r="E89" s="7">
        <v>1.00255651996422E-4</v>
      </c>
      <c r="F89" s="6">
        <v>0</v>
      </c>
      <c r="G89" s="6">
        <v>0.56119999999999903</v>
      </c>
      <c r="H89" s="6">
        <v>0</v>
      </c>
      <c r="I89" s="6">
        <v>1.026</v>
      </c>
      <c r="J89" s="6">
        <v>0.56119999999999903</v>
      </c>
      <c r="K89" s="6">
        <v>1.026</v>
      </c>
      <c r="L89" s="6">
        <v>57.831200000000003</v>
      </c>
      <c r="M89" s="6">
        <v>100.776</v>
      </c>
      <c r="N89" s="8">
        <v>1.7417496071241401</v>
      </c>
      <c r="O89" s="8">
        <v>1.7441031794745401</v>
      </c>
      <c r="P89" s="8">
        <v>1.7436258930278199</v>
      </c>
      <c r="Q89" s="8">
        <v>1.74393229270512</v>
      </c>
      <c r="R89" s="6">
        <v>99.884789088506906</v>
      </c>
      <c r="S89" s="6">
        <v>99.870829110822498</v>
      </c>
      <c r="T89" s="6">
        <v>99.882246682698707</v>
      </c>
      <c r="U89" s="7">
        <v>1.3503569152880199E-3</v>
      </c>
      <c r="V89" s="7">
        <v>1.21058635130657E-3</v>
      </c>
      <c r="W89" s="7">
        <v>1.32490320818815E-3</v>
      </c>
      <c r="X89" s="8">
        <v>1.7425887756090099</v>
      </c>
      <c r="Y89" s="8">
        <v>1.7448470922733199</v>
      </c>
      <c r="Z89" s="8">
        <v>1.7443445295195401</v>
      </c>
      <c r="AA89" s="8">
        <v>1.7445704457020399</v>
      </c>
      <c r="AB89" s="6">
        <v>100.906601162676</v>
      </c>
      <c r="AC89" s="6">
        <v>100.88941697980199</v>
      </c>
      <c r="AD89" s="6">
        <v>100.89710713561701</v>
      </c>
      <c r="AE89" s="7">
        <v>1.29511599095834E-3</v>
      </c>
      <c r="AF89" s="7">
        <v>1.1248035826776201E-3</v>
      </c>
      <c r="AG89" s="7">
        <v>1.20102429020336E-3</v>
      </c>
      <c r="AZ89" s="23"/>
      <c r="BB89" s="12">
        <f t="shared" si="26"/>
        <v>0</v>
      </c>
      <c r="BC89" s="12">
        <f t="shared" si="27"/>
        <v>1</v>
      </c>
      <c r="BD89" s="12">
        <f t="shared" si="28"/>
        <v>0</v>
      </c>
      <c r="BE89" s="12">
        <f t="shared" si="24"/>
        <v>1</v>
      </c>
      <c r="BF89" s="12">
        <f t="shared" si="29"/>
        <v>0</v>
      </c>
      <c r="BG89" s="23">
        <f t="shared" si="30"/>
        <v>0</v>
      </c>
      <c r="BH89" s="23">
        <f t="shared" si="31"/>
        <v>0</v>
      </c>
      <c r="BI89" s="23">
        <f t="shared" si="32"/>
        <v>0</v>
      </c>
      <c r="BJ89" s="18">
        <f t="shared" si="33"/>
        <v>1.4155918239679504E-3</v>
      </c>
      <c r="BL89" s="23"/>
      <c r="BN89" s="12">
        <f t="shared" si="34"/>
        <v>1</v>
      </c>
      <c r="BO89" s="12">
        <f t="shared" si="35"/>
        <v>0</v>
      </c>
      <c r="BP89" s="12">
        <f t="shared" si="36"/>
        <v>0</v>
      </c>
      <c r="BQ89" s="12">
        <f t="shared" si="25"/>
        <v>1</v>
      </c>
      <c r="BR89" s="12">
        <f t="shared" si="37"/>
        <v>0</v>
      </c>
      <c r="BS89" s="23">
        <f t="shared" si="38"/>
        <v>0</v>
      </c>
      <c r="BT89" s="23">
        <f t="shared" si="39"/>
        <v>0</v>
      </c>
      <c r="BU89" s="23">
        <f t="shared" si="40"/>
        <v>0</v>
      </c>
      <c r="BV89" s="18">
        <f t="shared" si="41"/>
        <v>6.1178234084519837E-5</v>
      </c>
      <c r="BX89" s="18">
        <f t="shared" si="42"/>
        <v>0</v>
      </c>
      <c r="BY89" s="18">
        <f t="shared" si="43"/>
        <v>1.4767700580524702E-3</v>
      </c>
    </row>
    <row r="90" spans="1:77" x14ac:dyDescent="0.3">
      <c r="A90" s="1">
        <v>46153</v>
      </c>
      <c r="B90" s="6">
        <v>57.24</v>
      </c>
      <c r="C90" s="6">
        <v>99.7</v>
      </c>
      <c r="D90" s="7">
        <v>-5.2397171751582304E-4</v>
      </c>
      <c r="E90" s="7">
        <v>-5.0137880218011305E-4</v>
      </c>
      <c r="F90" s="6">
        <v>0</v>
      </c>
      <c r="G90" s="6">
        <v>0.56119999999999903</v>
      </c>
      <c r="H90" s="6">
        <v>0</v>
      </c>
      <c r="I90" s="6">
        <v>1.026</v>
      </c>
      <c r="J90" s="6">
        <v>0.56119999999999903</v>
      </c>
      <c r="K90" s="6">
        <v>1.026</v>
      </c>
      <c r="L90" s="6">
        <v>57.801200000000001</v>
      </c>
      <c r="M90" s="6">
        <v>100.726</v>
      </c>
      <c r="N90" s="8">
        <v>1.7417889587700901</v>
      </c>
      <c r="O90" s="8">
        <v>1.7441031794745401</v>
      </c>
      <c r="P90" s="8">
        <v>1.7434310937065001</v>
      </c>
      <c r="Q90" s="8">
        <v>1.7438138578393001</v>
      </c>
      <c r="R90" s="6">
        <v>99.832465993122696</v>
      </c>
      <c r="S90" s="6">
        <v>99.805146116912695</v>
      </c>
      <c r="T90" s="6">
        <v>99.822684434441499</v>
      </c>
      <c r="U90" s="7">
        <v>1.3277639999523399E-3</v>
      </c>
      <c r="V90" s="7">
        <v>1.05406931795584E-3</v>
      </c>
      <c r="W90" s="7">
        <v>1.22977946343503E-3</v>
      </c>
      <c r="X90" s="8">
        <v>1.7426281807298101</v>
      </c>
      <c r="Y90" s="8">
        <v>1.7448470922733199</v>
      </c>
      <c r="Z90" s="8">
        <v>1.7441775930998999</v>
      </c>
      <c r="AA90" s="8">
        <v>1.7444660274863499</v>
      </c>
      <c r="AB90" s="6">
        <v>100.85425574990801</v>
      </c>
      <c r="AC90" s="6">
        <v>100.825207019665</v>
      </c>
      <c r="AD90" s="6">
        <v>100.838265246113</v>
      </c>
      <c r="AE90" s="7">
        <v>1.27250326911437E-3</v>
      </c>
      <c r="AF90" s="7">
        <v>9.8443496463350389E-4</v>
      </c>
      <c r="AG90" s="7">
        <v>1.1139400883875699E-3</v>
      </c>
      <c r="AZ90" s="23"/>
      <c r="BB90" s="12">
        <f t="shared" si="26"/>
        <v>0</v>
      </c>
      <c r="BC90" s="12">
        <f t="shared" si="27"/>
        <v>1</v>
      </c>
      <c r="BD90" s="12">
        <f t="shared" si="28"/>
        <v>0</v>
      </c>
      <c r="BE90" s="12">
        <f t="shared" si="24"/>
        <v>1</v>
      </c>
      <c r="BF90" s="12">
        <f t="shared" si="29"/>
        <v>0</v>
      </c>
      <c r="BG90" s="23">
        <f t="shared" si="30"/>
        <v>0</v>
      </c>
      <c r="BH90" s="23">
        <f t="shared" si="31"/>
        <v>0</v>
      </c>
      <c r="BI90" s="23">
        <f t="shared" si="32"/>
        <v>0</v>
      </c>
      <c r="BJ90" s="18">
        <f t="shared" si="33"/>
        <v>1.4155918239679504E-3</v>
      </c>
      <c r="BL90" s="23"/>
      <c r="BN90" s="12">
        <f t="shared" si="34"/>
        <v>1</v>
      </c>
      <c r="BO90" s="12">
        <f t="shared" si="35"/>
        <v>0</v>
      </c>
      <c r="BP90" s="12">
        <f t="shared" si="36"/>
        <v>1</v>
      </c>
      <c r="BQ90" s="12">
        <f t="shared" si="25"/>
        <v>1</v>
      </c>
      <c r="BR90" s="12">
        <f t="shared" si="37"/>
        <v>1</v>
      </c>
      <c r="BS90" s="23">
        <f t="shared" si="38"/>
        <v>5.2397171751582304E-4</v>
      </c>
      <c r="BT90" s="23">
        <f t="shared" si="39"/>
        <v>-5.0137880218011305E-4</v>
      </c>
      <c r="BU90" s="23">
        <f t="shared" si="40"/>
        <v>2.2592915335709995E-5</v>
      </c>
      <c r="BV90" s="18">
        <f t="shared" si="41"/>
        <v>8.3771149420229832E-5</v>
      </c>
      <c r="BX90" s="18">
        <f t="shared" si="42"/>
        <v>2.2592915335709995E-5</v>
      </c>
      <c r="BY90" s="18">
        <f t="shared" si="43"/>
        <v>1.4993629733881801E-3</v>
      </c>
    </row>
    <row r="91" spans="1:77" x14ac:dyDescent="0.3">
      <c r="A91" s="1">
        <v>46154</v>
      </c>
      <c r="B91" s="6">
        <v>57.12</v>
      </c>
      <c r="C91" s="6">
        <v>99.58</v>
      </c>
      <c r="D91" s="7">
        <v>-2.0986366569212401E-3</v>
      </c>
      <c r="E91" s="7">
        <v>-1.20433575375602E-3</v>
      </c>
      <c r="F91" s="6">
        <v>0</v>
      </c>
      <c r="G91" s="6">
        <v>0.56119999999999903</v>
      </c>
      <c r="H91" s="6">
        <v>0</v>
      </c>
      <c r="I91" s="6">
        <v>1.026</v>
      </c>
      <c r="J91" s="6">
        <v>0.56119999999999903</v>
      </c>
      <c r="K91" s="6">
        <v>1.026</v>
      </c>
      <c r="L91" s="6">
        <v>57.681199999999997</v>
      </c>
      <c r="M91" s="6">
        <v>100.60599999999999</v>
      </c>
      <c r="N91" s="8">
        <v>1.74334733893557</v>
      </c>
      <c r="O91" s="8">
        <v>1.7441031794745401</v>
      </c>
      <c r="P91" s="8">
        <v>1.7434363256843499</v>
      </c>
      <c r="Q91" s="8">
        <v>1.74377536806654</v>
      </c>
      <c r="R91" s="6">
        <v>99.623173611585699</v>
      </c>
      <c r="S91" s="6">
        <v>99.584784072515504</v>
      </c>
      <c r="T91" s="6">
        <v>99.606647559781194</v>
      </c>
      <c r="U91" s="7">
        <v>4.3346309678700499E-4</v>
      </c>
      <c r="V91" s="7">
        <v>4.8041349666956403E-5</v>
      </c>
      <c r="W91" s="7">
        <v>2.6756371741488901E-4</v>
      </c>
      <c r="X91" s="8">
        <v>1.7441731448028099</v>
      </c>
      <c r="Y91" s="8">
        <v>1.7448470922733199</v>
      </c>
      <c r="Z91" s="8">
        <v>1.74420896693306</v>
      </c>
      <c r="AA91" s="8">
        <v>1.74444088332314</v>
      </c>
      <c r="AB91" s="6">
        <v>100.644874098835</v>
      </c>
      <c r="AC91" s="6">
        <v>100.606256583114</v>
      </c>
      <c r="AD91" s="6">
        <v>100.622893824645</v>
      </c>
      <c r="AE91" s="7">
        <v>3.8632477492007999E-4</v>
      </c>
      <c r="AF91" s="7">
        <v>2.5503726136255099E-6</v>
      </c>
      <c r="AG91" s="7">
        <v>1.6790655024038001E-4</v>
      </c>
      <c r="AZ91" s="23"/>
      <c r="BB91" s="12">
        <f t="shared" si="26"/>
        <v>0</v>
      </c>
      <c r="BC91" s="12">
        <f t="shared" si="27"/>
        <v>1</v>
      </c>
      <c r="BD91" s="12">
        <f t="shared" si="28"/>
        <v>0</v>
      </c>
      <c r="BE91" s="12">
        <f t="shared" si="24"/>
        <v>1</v>
      </c>
      <c r="BF91" s="12">
        <f t="shared" si="29"/>
        <v>0</v>
      </c>
      <c r="BG91" s="23">
        <f t="shared" si="30"/>
        <v>0</v>
      </c>
      <c r="BH91" s="23">
        <f t="shared" si="31"/>
        <v>0</v>
      </c>
      <c r="BI91" s="23">
        <f t="shared" si="32"/>
        <v>0</v>
      </c>
      <c r="BJ91" s="18">
        <f t="shared" si="33"/>
        <v>1.4155918239679504E-3</v>
      </c>
      <c r="BL91" s="23"/>
      <c r="BN91" s="12">
        <f t="shared" si="34"/>
        <v>0</v>
      </c>
      <c r="BO91" s="12">
        <f t="shared" si="35"/>
        <v>0</v>
      </c>
      <c r="BP91" s="12">
        <f t="shared" si="36"/>
        <v>1</v>
      </c>
      <c r="BQ91" s="12">
        <f t="shared" si="25"/>
        <v>1</v>
      </c>
      <c r="BR91" s="12">
        <f t="shared" si="37"/>
        <v>1</v>
      </c>
      <c r="BS91" s="23">
        <f t="shared" si="38"/>
        <v>2.0986366569212401E-3</v>
      </c>
      <c r="BT91" s="23">
        <f t="shared" si="39"/>
        <v>-1.20433575375602E-3</v>
      </c>
      <c r="BU91" s="23">
        <f t="shared" si="40"/>
        <v>8.9430090316522013E-4</v>
      </c>
      <c r="BV91" s="18">
        <f t="shared" si="41"/>
        <v>9.7807205258544985E-4</v>
      </c>
      <c r="BX91" s="18">
        <f t="shared" si="42"/>
        <v>8.9430090316522013E-4</v>
      </c>
      <c r="BY91" s="18">
        <f t="shared" si="43"/>
        <v>2.3936638765534E-3</v>
      </c>
    </row>
    <row r="92" spans="1:77" x14ac:dyDescent="0.3">
      <c r="A92" s="1">
        <v>46155</v>
      </c>
      <c r="B92" s="6">
        <v>57.02</v>
      </c>
      <c r="C92" s="6">
        <v>99.44</v>
      </c>
      <c r="D92" s="7">
        <v>-1.7522345468028899E-3</v>
      </c>
      <c r="E92" s="7">
        <v>-1.40689401158099E-3</v>
      </c>
      <c r="F92" s="6">
        <v>0</v>
      </c>
      <c r="G92" s="6">
        <v>0.56119999999999903</v>
      </c>
      <c r="H92" s="6">
        <v>0</v>
      </c>
      <c r="I92" s="6">
        <v>1.026</v>
      </c>
      <c r="J92" s="6">
        <v>0.56119999999999903</v>
      </c>
      <c r="K92" s="6">
        <v>1.026</v>
      </c>
      <c r="L92" s="6">
        <v>57.581200000000003</v>
      </c>
      <c r="M92" s="6">
        <v>100.46599999999999</v>
      </c>
      <c r="N92" s="8">
        <v>1.7439494914065199</v>
      </c>
      <c r="O92" s="8">
        <v>1.7441031794745401</v>
      </c>
      <c r="P92" s="8">
        <v>1.74338993404288</v>
      </c>
      <c r="Q92" s="8">
        <v>1.7437020202167499</v>
      </c>
      <c r="R92" s="6">
        <v>99.448763293638294</v>
      </c>
      <c r="S92" s="6">
        <v>99.410739290521803</v>
      </c>
      <c r="T92" s="6">
        <v>99.430071487154507</v>
      </c>
      <c r="U92" s="7">
        <v>8.8122561565329104E-5</v>
      </c>
      <c r="V92" s="7">
        <v>-2.9429822382101101E-4</v>
      </c>
      <c r="W92" s="7">
        <v>-9.9849241059731501E-5</v>
      </c>
      <c r="X92" s="8">
        <v>1.7447708627121301</v>
      </c>
      <c r="Y92" s="8">
        <v>1.7448470922733199</v>
      </c>
      <c r="Z92" s="8">
        <v>1.7441889517926701</v>
      </c>
      <c r="AA92" s="8">
        <v>1.74438108444403</v>
      </c>
      <c r="AB92" s="6">
        <v>100.470389389608</v>
      </c>
      <c r="AC92" s="6">
        <v>100.433645366766</v>
      </c>
      <c r="AD92" s="6">
        <v>100.446999390806</v>
      </c>
      <c r="AE92" s="7">
        <v>4.3689344897305202E-5</v>
      </c>
      <c r="AF92" s="7">
        <v>-3.2209746766363598E-4</v>
      </c>
      <c r="AG92" s="7">
        <v>-1.8914265684631399E-4</v>
      </c>
      <c r="AZ92" s="23"/>
      <c r="BB92" s="12">
        <f t="shared" si="26"/>
        <v>0</v>
      </c>
      <c r="BC92" s="12">
        <f t="shared" si="27"/>
        <v>0</v>
      </c>
      <c r="BD92" s="12">
        <f t="shared" si="28"/>
        <v>0</v>
      </c>
      <c r="BE92" s="12">
        <f t="shared" si="24"/>
        <v>1</v>
      </c>
      <c r="BF92" s="12">
        <f t="shared" si="29"/>
        <v>0</v>
      </c>
      <c r="BG92" s="23">
        <f t="shared" si="30"/>
        <v>0</v>
      </c>
      <c r="BH92" s="23">
        <f t="shared" si="31"/>
        <v>0</v>
      </c>
      <c r="BI92" s="23">
        <f t="shared" si="32"/>
        <v>0</v>
      </c>
      <c r="BJ92" s="18">
        <f t="shared" si="33"/>
        <v>1.4155918239679504E-3</v>
      </c>
      <c r="BL92" s="23"/>
      <c r="BN92" s="12">
        <f t="shared" si="34"/>
        <v>0</v>
      </c>
      <c r="BO92" s="12">
        <f t="shared" si="35"/>
        <v>1</v>
      </c>
      <c r="BP92" s="12">
        <f t="shared" si="36"/>
        <v>1</v>
      </c>
      <c r="BQ92" s="12">
        <f t="shared" si="25"/>
        <v>1</v>
      </c>
      <c r="BR92" s="12">
        <f t="shared" si="37"/>
        <v>1</v>
      </c>
      <c r="BS92" s="23">
        <f t="shared" si="38"/>
        <v>1.7522345468028899E-3</v>
      </c>
      <c r="BT92" s="23">
        <f t="shared" si="39"/>
        <v>-1.40689401158099E-3</v>
      </c>
      <c r="BU92" s="23">
        <f t="shared" si="40"/>
        <v>3.4534053522189997E-4</v>
      </c>
      <c r="BV92" s="18">
        <f t="shared" si="41"/>
        <v>1.3234125878073498E-3</v>
      </c>
      <c r="BX92" s="18">
        <f t="shared" si="42"/>
        <v>3.4534053522189997E-4</v>
      </c>
      <c r="BY92" s="18">
        <f t="shared" si="43"/>
        <v>2.7390044117753002E-3</v>
      </c>
    </row>
    <row r="93" spans="1:77" x14ac:dyDescent="0.3">
      <c r="A93" s="1">
        <v>46156</v>
      </c>
      <c r="B93" s="6">
        <v>57.04</v>
      </c>
      <c r="C93" s="6">
        <v>99.41</v>
      </c>
      <c r="D93" s="7">
        <v>3.506926215144E-4</v>
      </c>
      <c r="E93" s="7">
        <v>-3.0173497840193901E-4</v>
      </c>
      <c r="F93" s="6">
        <v>0</v>
      </c>
      <c r="G93" s="6">
        <v>0.56119999999999903</v>
      </c>
      <c r="H93" s="6">
        <v>0</v>
      </c>
      <c r="I93" s="6">
        <v>1.026</v>
      </c>
      <c r="J93" s="6">
        <v>0.56119999999999903</v>
      </c>
      <c r="K93" s="6">
        <v>1.026</v>
      </c>
      <c r="L93" s="6">
        <v>57.601199999999999</v>
      </c>
      <c r="M93" s="6">
        <v>100.435999999999</v>
      </c>
      <c r="N93" s="8">
        <v>1.7428120617110701</v>
      </c>
      <c r="O93" s="8">
        <v>1.7441031794745401</v>
      </c>
      <c r="P93" s="8">
        <v>1.7432164202698199</v>
      </c>
      <c r="Q93" s="8">
        <v>1.74363920390245</v>
      </c>
      <c r="R93" s="6">
        <v>99.4836453572278</v>
      </c>
      <c r="S93" s="6">
        <v>99.442961837805996</v>
      </c>
      <c r="T93" s="6">
        <v>99.460763233163803</v>
      </c>
      <c r="U93" s="7">
        <v>7.4055016148162004E-4</v>
      </c>
      <c r="V93" s="7">
        <v>3.31519709873077E-4</v>
      </c>
      <c r="W93" s="7">
        <v>5.1051480309241104E-4</v>
      </c>
      <c r="X93" s="8">
        <v>1.7436442296340999</v>
      </c>
      <c r="Y93" s="8">
        <v>1.7448470922733199</v>
      </c>
      <c r="Z93" s="8">
        <v>1.74404302061053</v>
      </c>
      <c r="AA93" s="8">
        <v>1.74433188989358</v>
      </c>
      <c r="AB93" s="6">
        <v>100.50528633145299</v>
      </c>
      <c r="AC93" s="6">
        <v>100.46737665000001</v>
      </c>
      <c r="AD93" s="6">
        <v>100.478443721277</v>
      </c>
      <c r="AE93" s="7">
        <v>6.8961770340800503E-4</v>
      </c>
      <c r="AF93" s="7">
        <v>3.1235562864786001E-4</v>
      </c>
      <c r="AG93" s="7">
        <v>4.2250543189541699E-4</v>
      </c>
      <c r="AZ93" s="23"/>
      <c r="BB93" s="12">
        <f t="shared" si="26"/>
        <v>0</v>
      </c>
      <c r="BC93" s="12">
        <f t="shared" si="27"/>
        <v>1</v>
      </c>
      <c r="BD93" s="12">
        <f t="shared" si="28"/>
        <v>0</v>
      </c>
      <c r="BE93" s="12">
        <f t="shared" si="24"/>
        <v>1</v>
      </c>
      <c r="BF93" s="12">
        <f t="shared" si="29"/>
        <v>0</v>
      </c>
      <c r="BG93" s="23">
        <f t="shared" si="30"/>
        <v>0</v>
      </c>
      <c r="BH93" s="23">
        <f t="shared" si="31"/>
        <v>0</v>
      </c>
      <c r="BI93" s="23">
        <f t="shared" si="32"/>
        <v>0</v>
      </c>
      <c r="BJ93" s="18">
        <f t="shared" si="33"/>
        <v>1.4155918239679504E-3</v>
      </c>
      <c r="BL93" s="23"/>
      <c r="BN93" s="12">
        <f t="shared" si="34"/>
        <v>0</v>
      </c>
      <c r="BO93" s="12">
        <f t="shared" si="35"/>
        <v>0</v>
      </c>
      <c r="BP93" s="12">
        <f t="shared" si="36"/>
        <v>0</v>
      </c>
      <c r="BQ93" s="12">
        <f t="shared" si="25"/>
        <v>1</v>
      </c>
      <c r="BR93" s="12">
        <f t="shared" si="37"/>
        <v>0</v>
      </c>
      <c r="BS93" s="23">
        <f t="shared" si="38"/>
        <v>0</v>
      </c>
      <c r="BT93" s="23">
        <f t="shared" si="39"/>
        <v>0</v>
      </c>
      <c r="BU93" s="23">
        <f t="shared" si="40"/>
        <v>0</v>
      </c>
      <c r="BV93" s="18">
        <f t="shared" si="41"/>
        <v>1.3234125878073498E-3</v>
      </c>
      <c r="BX93" s="18">
        <f t="shared" si="42"/>
        <v>0</v>
      </c>
      <c r="BY93" s="18">
        <f t="shared" si="43"/>
        <v>2.7390044117753002E-3</v>
      </c>
    </row>
    <row r="94" spans="1:77" x14ac:dyDescent="0.3">
      <c r="A94" s="1">
        <v>46157</v>
      </c>
      <c r="B94" s="6">
        <v>56.79</v>
      </c>
      <c r="C94" s="6">
        <v>98.99</v>
      </c>
      <c r="D94" s="7">
        <v>-4.3925222166992699E-3</v>
      </c>
      <c r="E94" s="7">
        <v>-4.2338772923377899E-3</v>
      </c>
      <c r="F94" s="6">
        <v>0</v>
      </c>
      <c r="G94" s="6">
        <v>0.56119999999999903</v>
      </c>
      <c r="H94" s="6">
        <v>0</v>
      </c>
      <c r="I94" s="6">
        <v>1.026</v>
      </c>
      <c r="J94" s="6">
        <v>0.56119999999999903</v>
      </c>
      <c r="K94" s="6">
        <v>1.026</v>
      </c>
      <c r="L94" s="6">
        <v>57.351199999999999</v>
      </c>
      <c r="M94" s="6">
        <v>100.015999999999</v>
      </c>
      <c r="N94" s="8">
        <v>1.74308857193167</v>
      </c>
      <c r="O94" s="8">
        <v>1.7441031794745401</v>
      </c>
      <c r="P94" s="8">
        <v>1.7430590541518201</v>
      </c>
      <c r="Q94" s="8">
        <v>1.7436025430455</v>
      </c>
      <c r="R94" s="6">
        <v>99.047619562359102</v>
      </c>
      <c r="S94" s="6">
        <v>98.997260507123499</v>
      </c>
      <c r="T94" s="6">
        <v>99.021270389620199</v>
      </c>
      <c r="U94" s="7">
        <v>5.8190523712023899E-4</v>
      </c>
      <c r="V94" s="7">
        <v>7.3343174789989495E-5</v>
      </c>
      <c r="W94" s="7">
        <v>3.1584454580454302E-4</v>
      </c>
      <c r="X94" s="8">
        <v>1.7439216616217199</v>
      </c>
      <c r="Y94" s="8">
        <v>1.7448470922733199</v>
      </c>
      <c r="Z94" s="8">
        <v>1.7438876903601499</v>
      </c>
      <c r="AA94" s="8">
        <v>1.74430887500557</v>
      </c>
      <c r="AB94" s="6">
        <v>100.069074558385</v>
      </c>
      <c r="AC94" s="6">
        <v>100.022960083638</v>
      </c>
      <c r="AD94" s="6">
        <v>100.039527083664</v>
      </c>
      <c r="AE94" s="7">
        <v>5.30519927562331E-4</v>
      </c>
      <c r="AF94" s="7">
        <v>6.9587280784535904E-5</v>
      </c>
      <c r="AG94" s="7">
        <v>2.35205536344432E-4</v>
      </c>
      <c r="AZ94" s="23"/>
      <c r="BB94" s="12">
        <f t="shared" si="26"/>
        <v>0</v>
      </c>
      <c r="BC94" s="12">
        <f t="shared" si="27"/>
        <v>1</v>
      </c>
      <c r="BD94" s="12">
        <f t="shared" si="28"/>
        <v>0</v>
      </c>
      <c r="BE94" s="12">
        <f t="shared" si="24"/>
        <v>1</v>
      </c>
      <c r="BF94" s="12">
        <f t="shared" si="29"/>
        <v>0</v>
      </c>
      <c r="BG94" s="23">
        <f t="shared" si="30"/>
        <v>0</v>
      </c>
      <c r="BH94" s="23">
        <f t="shared" si="31"/>
        <v>0</v>
      </c>
      <c r="BI94" s="23">
        <f t="shared" si="32"/>
        <v>0</v>
      </c>
      <c r="BJ94" s="18">
        <f t="shared" si="33"/>
        <v>1.4155918239679504E-3</v>
      </c>
      <c r="BL94" s="23"/>
      <c r="BN94" s="12">
        <f t="shared" si="34"/>
        <v>0</v>
      </c>
      <c r="BO94" s="12">
        <f t="shared" si="35"/>
        <v>0</v>
      </c>
      <c r="BP94" s="12">
        <f t="shared" si="36"/>
        <v>0</v>
      </c>
      <c r="BQ94" s="12">
        <f t="shared" si="25"/>
        <v>1</v>
      </c>
      <c r="BR94" s="12">
        <f t="shared" si="37"/>
        <v>0</v>
      </c>
      <c r="BS94" s="23">
        <f t="shared" si="38"/>
        <v>0</v>
      </c>
      <c r="BT94" s="23">
        <f t="shared" si="39"/>
        <v>0</v>
      </c>
      <c r="BU94" s="23">
        <f t="shared" si="40"/>
        <v>0</v>
      </c>
      <c r="BV94" s="18">
        <f t="shared" si="41"/>
        <v>1.3234125878073498E-3</v>
      </c>
      <c r="BX94" s="18">
        <f t="shared" si="42"/>
        <v>0</v>
      </c>
      <c r="BY94" s="18">
        <f t="shared" si="43"/>
        <v>2.7390044117753002E-3</v>
      </c>
    </row>
    <row r="95" spans="1:77" x14ac:dyDescent="0.3">
      <c r="A95" s="1">
        <v>46160</v>
      </c>
      <c r="B95" s="6">
        <v>56.8</v>
      </c>
      <c r="C95" s="6">
        <v>98.93</v>
      </c>
      <c r="D95" s="7">
        <v>1.7607183776436499E-4</v>
      </c>
      <c r="E95" s="7">
        <v>-6.0630559658468195E-4</v>
      </c>
      <c r="F95" s="6">
        <v>0</v>
      </c>
      <c r="G95" s="6">
        <v>0.56119999999999903</v>
      </c>
      <c r="H95" s="6">
        <v>0</v>
      </c>
      <c r="I95" s="6">
        <v>1.026</v>
      </c>
      <c r="J95" s="6">
        <v>0.56119999999999903</v>
      </c>
      <c r="K95" s="6">
        <v>1.026</v>
      </c>
      <c r="L95" s="6">
        <v>57.361199999999997</v>
      </c>
      <c r="M95" s="6">
        <v>99.956000000000003</v>
      </c>
      <c r="N95" s="8">
        <v>1.7417253521126701</v>
      </c>
      <c r="O95" s="8">
        <v>1.7441031794745401</v>
      </c>
      <c r="P95" s="8">
        <v>1.74284881927029</v>
      </c>
      <c r="Q95" s="8">
        <v>1.7434606916325099</v>
      </c>
      <c r="R95" s="6">
        <v>99.065060594153906</v>
      </c>
      <c r="S95" s="6">
        <v>99.005754275823904</v>
      </c>
      <c r="T95" s="6">
        <v>99.036624444984497</v>
      </c>
      <c r="U95" s="7">
        <v>1.3642826714692401E-3</v>
      </c>
      <c r="V95" s="7">
        <v>7.6544310854607305E-4</v>
      </c>
      <c r="W95" s="7">
        <v>1.07719627582289E-3</v>
      </c>
      <c r="X95" s="8">
        <v>1.7425716337872901</v>
      </c>
      <c r="Y95" s="8">
        <v>1.7448470922733199</v>
      </c>
      <c r="Z95" s="8">
        <v>1.74367995618169</v>
      </c>
      <c r="AA95" s="8">
        <v>1.7441816029710899</v>
      </c>
      <c r="AB95" s="6">
        <v>100.086523029308</v>
      </c>
      <c r="AC95" s="6">
        <v>100.031490584286</v>
      </c>
      <c r="AD95" s="6">
        <v>100.055650240969</v>
      </c>
      <c r="AE95" s="7">
        <v>1.30495302552854E-3</v>
      </c>
      <c r="AF95" s="7">
        <v>7.5495309883351195E-4</v>
      </c>
      <c r="AG95" s="7">
        <v>9.9644444806069594E-4</v>
      </c>
      <c r="AZ95" s="23"/>
      <c r="BB95" s="12">
        <f t="shared" si="26"/>
        <v>0</v>
      </c>
      <c r="BC95" s="12">
        <f t="shared" si="27"/>
        <v>1</v>
      </c>
      <c r="BD95" s="12">
        <f t="shared" si="28"/>
        <v>0</v>
      </c>
      <c r="BE95" s="12">
        <f t="shared" si="24"/>
        <v>1</v>
      </c>
      <c r="BF95" s="12">
        <f t="shared" si="29"/>
        <v>0</v>
      </c>
      <c r="BG95" s="23">
        <f t="shared" si="30"/>
        <v>0</v>
      </c>
      <c r="BH95" s="23">
        <f t="shared" si="31"/>
        <v>0</v>
      </c>
      <c r="BI95" s="23">
        <f t="shared" si="32"/>
        <v>0</v>
      </c>
      <c r="BJ95" s="18">
        <f t="shared" si="33"/>
        <v>1.4155918239679504E-3</v>
      </c>
      <c r="BL95" s="23"/>
      <c r="BN95" s="12">
        <f t="shared" si="34"/>
        <v>0</v>
      </c>
      <c r="BO95" s="12">
        <f t="shared" si="35"/>
        <v>0</v>
      </c>
      <c r="BP95" s="12">
        <f t="shared" si="36"/>
        <v>0</v>
      </c>
      <c r="BQ95" s="12">
        <f t="shared" si="25"/>
        <v>1</v>
      </c>
      <c r="BR95" s="12">
        <f t="shared" si="37"/>
        <v>0</v>
      </c>
      <c r="BS95" s="23">
        <f t="shared" si="38"/>
        <v>0</v>
      </c>
      <c r="BT95" s="23">
        <f t="shared" si="39"/>
        <v>0</v>
      </c>
      <c r="BU95" s="23">
        <f t="shared" si="40"/>
        <v>0</v>
      </c>
      <c r="BV95" s="18">
        <f t="shared" si="41"/>
        <v>1.3234125878073498E-3</v>
      </c>
      <c r="BX95" s="18">
        <f t="shared" si="42"/>
        <v>0</v>
      </c>
      <c r="BY95" s="18">
        <f t="shared" si="43"/>
        <v>2.7390044117753002E-3</v>
      </c>
    </row>
    <row r="96" spans="1:77" x14ac:dyDescent="0.3">
      <c r="A96" s="1">
        <v>46161</v>
      </c>
      <c r="B96" s="6">
        <v>56.66</v>
      </c>
      <c r="C96" s="6">
        <v>98.67</v>
      </c>
      <c r="D96" s="7">
        <v>-2.4678313247352198E-3</v>
      </c>
      <c r="E96" s="7">
        <v>-2.6315804660559301E-3</v>
      </c>
      <c r="F96" s="6">
        <v>0</v>
      </c>
      <c r="G96" s="6">
        <v>0.56119999999999903</v>
      </c>
      <c r="H96" s="6">
        <v>0</v>
      </c>
      <c r="I96" s="6">
        <v>1.026</v>
      </c>
      <c r="J96" s="6">
        <v>0.56119999999999903</v>
      </c>
      <c r="K96" s="6">
        <v>1.026</v>
      </c>
      <c r="L96" s="6">
        <v>57.221199999999897</v>
      </c>
      <c r="M96" s="6">
        <v>99.695999999999998</v>
      </c>
      <c r="N96" s="8">
        <v>1.7414401694316901</v>
      </c>
      <c r="O96" s="8">
        <v>1.7441031794745401</v>
      </c>
      <c r="P96" s="8">
        <v>1.7425705673059</v>
      </c>
      <c r="Q96" s="8">
        <v>1.74330699477494</v>
      </c>
      <c r="R96" s="6">
        <v>98.820886149027402</v>
      </c>
      <c r="S96" s="6">
        <v>98.749814099854802</v>
      </c>
      <c r="T96" s="6">
        <v>98.784482787898398</v>
      </c>
      <c r="U96" s="7">
        <v>1.5280318127900299E-3</v>
      </c>
      <c r="V96" s="7">
        <v>8.0857237726858196E-4</v>
      </c>
      <c r="W96" s="7">
        <v>1.1595867473886399E-3</v>
      </c>
      <c r="X96" s="8">
        <v>1.74229131860219</v>
      </c>
      <c r="Y96" s="8">
        <v>1.7448470922733199</v>
      </c>
      <c r="Z96" s="8">
        <v>1.74340509020553</v>
      </c>
      <c r="AA96" s="8">
        <v>1.7440426873441599</v>
      </c>
      <c r="AB96" s="6">
        <v>99.842244436390104</v>
      </c>
      <c r="AC96" s="6">
        <v>99.775459508663999</v>
      </c>
      <c r="AD96" s="6">
        <v>99.804164339929798</v>
      </c>
      <c r="AE96" s="7">
        <v>1.4658288990054801E-3</v>
      </c>
      <c r="AF96" s="7">
        <v>7.9670057122686996E-4</v>
      </c>
      <c r="AG96" s="7">
        <v>1.08435349801588E-3</v>
      </c>
      <c r="AZ96" s="23"/>
      <c r="BB96" s="12">
        <f t="shared" si="26"/>
        <v>0</v>
      </c>
      <c r="BC96" s="12">
        <f t="shared" si="27"/>
        <v>1</v>
      </c>
      <c r="BD96" s="12">
        <f t="shared" si="28"/>
        <v>0</v>
      </c>
      <c r="BE96" s="12">
        <f t="shared" si="24"/>
        <v>1</v>
      </c>
      <c r="BF96" s="12">
        <f t="shared" si="29"/>
        <v>0</v>
      </c>
      <c r="BG96" s="23">
        <f t="shared" si="30"/>
        <v>0</v>
      </c>
      <c r="BH96" s="23">
        <f t="shared" si="31"/>
        <v>0</v>
      </c>
      <c r="BI96" s="23">
        <f t="shared" si="32"/>
        <v>0</v>
      </c>
      <c r="BJ96" s="18">
        <f t="shared" si="33"/>
        <v>1.4155918239679504E-3</v>
      </c>
      <c r="BL96" s="23"/>
      <c r="BN96" s="12">
        <f t="shared" si="34"/>
        <v>1</v>
      </c>
      <c r="BO96" s="12">
        <f t="shared" si="35"/>
        <v>0</v>
      </c>
      <c r="BP96" s="12">
        <f t="shared" si="36"/>
        <v>0</v>
      </c>
      <c r="BQ96" s="12">
        <f t="shared" si="25"/>
        <v>1</v>
      </c>
      <c r="BR96" s="12">
        <f t="shared" si="37"/>
        <v>0</v>
      </c>
      <c r="BS96" s="23">
        <f t="shared" si="38"/>
        <v>0</v>
      </c>
      <c r="BT96" s="23">
        <f t="shared" si="39"/>
        <v>0</v>
      </c>
      <c r="BU96" s="23">
        <f t="shared" si="40"/>
        <v>0</v>
      </c>
      <c r="BV96" s="18">
        <f t="shared" si="41"/>
        <v>1.3234125878073498E-3</v>
      </c>
      <c r="BX96" s="18">
        <f t="shared" si="42"/>
        <v>0</v>
      </c>
      <c r="BY96" s="18">
        <f t="shared" si="43"/>
        <v>2.7390044117753002E-3</v>
      </c>
    </row>
    <row r="97" spans="1:77" x14ac:dyDescent="0.3">
      <c r="A97" s="1">
        <v>46162</v>
      </c>
      <c r="B97" s="6">
        <v>56.75</v>
      </c>
      <c r="C97" s="6">
        <v>98.96</v>
      </c>
      <c r="D97" s="7">
        <v>1.5871619591416801E-3</v>
      </c>
      <c r="E97" s="7">
        <v>2.9347792151571701E-3</v>
      </c>
      <c r="F97" s="6">
        <v>0</v>
      </c>
      <c r="G97" s="6">
        <v>0.56119999999999903</v>
      </c>
      <c r="H97" s="6">
        <v>0</v>
      </c>
      <c r="I97" s="6">
        <v>1.026</v>
      </c>
      <c r="J97" s="6">
        <v>0.56119999999999903</v>
      </c>
      <c r="K97" s="6">
        <v>1.026</v>
      </c>
      <c r="L97" s="6">
        <v>57.311199999999999</v>
      </c>
      <c r="M97" s="6">
        <v>99.985999999999905</v>
      </c>
      <c r="N97" s="8">
        <v>1.7437885462555001</v>
      </c>
      <c r="O97" s="8">
        <v>1.7441031794745401</v>
      </c>
      <c r="P97" s="8">
        <v>1.7426482339510101</v>
      </c>
      <c r="Q97" s="8">
        <v>1.7432662688843801</v>
      </c>
      <c r="R97" s="6">
        <v>98.977855435180103</v>
      </c>
      <c r="S97" s="6">
        <v>98.890879694609893</v>
      </c>
      <c r="T97" s="6">
        <v>98.932671953478305</v>
      </c>
      <c r="U97" s="7">
        <v>1.8041455677463101E-4</v>
      </c>
      <c r="V97" s="7">
        <v>-6.9871115366096099E-4</v>
      </c>
      <c r="W97" s="7">
        <v>-2.7619058781261699E-4</v>
      </c>
      <c r="X97" s="8">
        <v>1.74461536314018</v>
      </c>
      <c r="Y97" s="8">
        <v>1.7448470922733199</v>
      </c>
      <c r="Z97" s="8">
        <v>1.7434827036944101</v>
      </c>
      <c r="AA97" s="8">
        <v>1.74401556799588</v>
      </c>
      <c r="AB97" s="6">
        <v>99.999280674694702</v>
      </c>
      <c r="AC97" s="6">
        <v>99.916637805787303</v>
      </c>
      <c r="AD97" s="6">
        <v>99.953179262919093</v>
      </c>
      <c r="AE97" s="7">
        <v>1.3281652199050199E-4</v>
      </c>
      <c r="AF97" s="7">
        <v>-6.9395979720587495E-4</v>
      </c>
      <c r="AG97" s="7">
        <v>-3.2830721318997502E-4</v>
      </c>
      <c r="AZ97" s="23"/>
      <c r="BB97" s="12">
        <f t="shared" si="26"/>
        <v>0</v>
      </c>
      <c r="BC97" s="12">
        <f t="shared" si="27"/>
        <v>0</v>
      </c>
      <c r="BD97" s="12">
        <f t="shared" si="28"/>
        <v>0</v>
      </c>
      <c r="BE97" s="12">
        <f t="shared" si="24"/>
        <v>1</v>
      </c>
      <c r="BF97" s="12">
        <f t="shared" si="29"/>
        <v>0</v>
      </c>
      <c r="BG97" s="23">
        <f t="shared" si="30"/>
        <v>0</v>
      </c>
      <c r="BH97" s="23">
        <f t="shared" si="31"/>
        <v>0</v>
      </c>
      <c r="BI97" s="23">
        <f t="shared" si="32"/>
        <v>0</v>
      </c>
      <c r="BJ97" s="18">
        <f t="shared" si="33"/>
        <v>1.4155918239679504E-3</v>
      </c>
      <c r="BL97" s="23"/>
      <c r="BN97" s="12">
        <f t="shared" si="34"/>
        <v>0</v>
      </c>
      <c r="BO97" s="12">
        <f t="shared" si="35"/>
        <v>1</v>
      </c>
      <c r="BP97" s="12">
        <f t="shared" si="36"/>
        <v>1</v>
      </c>
      <c r="BQ97" s="12">
        <f t="shared" si="25"/>
        <v>1</v>
      </c>
      <c r="BR97" s="12">
        <f t="shared" si="37"/>
        <v>1</v>
      </c>
      <c r="BS97" s="23">
        <f t="shared" si="38"/>
        <v>-1.5871619591416801E-3</v>
      </c>
      <c r="BT97" s="23">
        <f t="shared" si="39"/>
        <v>2.9347792151571701E-3</v>
      </c>
      <c r="BU97" s="23">
        <f t="shared" si="40"/>
        <v>1.34761725601549E-3</v>
      </c>
      <c r="BV97" s="18">
        <f t="shared" si="41"/>
        <v>2.6710298438228398E-3</v>
      </c>
      <c r="BX97" s="18">
        <f t="shared" si="42"/>
        <v>1.34761725601549E-3</v>
      </c>
      <c r="BY97" s="18">
        <f t="shared" si="43"/>
        <v>4.08662166779079E-3</v>
      </c>
    </row>
    <row r="98" spans="1:77" x14ac:dyDescent="0.3">
      <c r="A98" s="1">
        <v>46163</v>
      </c>
      <c r="B98" s="6">
        <v>56.77</v>
      </c>
      <c r="C98" s="6">
        <v>98.97</v>
      </c>
      <c r="D98" s="7">
        <v>3.5236082112275098E-4</v>
      </c>
      <c r="E98" s="7">
        <v>1.01045824367345E-4</v>
      </c>
      <c r="F98" s="6">
        <v>0</v>
      </c>
      <c r="G98" s="6">
        <v>0.56119999999999903</v>
      </c>
      <c r="H98" s="6">
        <v>0</v>
      </c>
      <c r="I98" s="6">
        <v>1.026</v>
      </c>
      <c r="J98" s="6">
        <v>0.56119999999999903</v>
      </c>
      <c r="K98" s="6">
        <v>1.026</v>
      </c>
      <c r="L98" s="6">
        <v>57.331200000000003</v>
      </c>
      <c r="M98" s="6">
        <v>99.995999999999995</v>
      </c>
      <c r="N98" s="8">
        <v>1.74335036110621</v>
      </c>
      <c r="O98" s="8">
        <v>1.7441031794745401</v>
      </c>
      <c r="P98" s="8">
        <v>1.7427040458785099</v>
      </c>
      <c r="Q98" s="8">
        <v>1.7432817340517299</v>
      </c>
      <c r="R98" s="6">
        <v>99.012737498769596</v>
      </c>
      <c r="S98" s="6">
        <v>98.9301402413993</v>
      </c>
      <c r="T98" s="6">
        <v>98.965226084566297</v>
      </c>
      <c r="U98" s="7">
        <v>4.31729553530076E-4</v>
      </c>
      <c r="V98" s="7">
        <v>-4.0282699235145498E-4</v>
      </c>
      <c r="W98" s="7">
        <v>-4.8237148374028097E-5</v>
      </c>
      <c r="X98" s="8">
        <v>1.74418117883456</v>
      </c>
      <c r="Y98" s="8">
        <v>1.7448470922733199</v>
      </c>
      <c r="Z98" s="8">
        <v>1.74353863494738</v>
      </c>
      <c r="AA98" s="8">
        <v>1.74404429170734</v>
      </c>
      <c r="AB98" s="6">
        <v>100.03417761654001</v>
      </c>
      <c r="AC98" s="6">
        <v>99.955955582045405</v>
      </c>
      <c r="AD98" s="6">
        <v>99.986505331885695</v>
      </c>
      <c r="AE98" s="7">
        <v>3.81718573254186E-4</v>
      </c>
      <c r="AF98" s="7">
        <v>-4.0054040355147599E-4</v>
      </c>
      <c r="AG98" s="7">
        <v>-9.4954987243971197E-5</v>
      </c>
      <c r="AZ98" s="23"/>
      <c r="BB98" s="12">
        <f t="shared" si="26"/>
        <v>0</v>
      </c>
      <c r="BC98" s="12">
        <f t="shared" si="27"/>
        <v>0</v>
      </c>
      <c r="BD98" s="12">
        <f t="shared" si="28"/>
        <v>0</v>
      </c>
      <c r="BE98" s="12">
        <f t="shared" si="24"/>
        <v>1</v>
      </c>
      <c r="BF98" s="12">
        <f t="shared" si="29"/>
        <v>0</v>
      </c>
      <c r="BG98" s="23">
        <f t="shared" si="30"/>
        <v>0</v>
      </c>
      <c r="BH98" s="23">
        <f t="shared" si="31"/>
        <v>0</v>
      </c>
      <c r="BI98" s="23">
        <f t="shared" si="32"/>
        <v>0</v>
      </c>
      <c r="BJ98" s="18">
        <f t="shared" si="33"/>
        <v>1.4155918239679504E-3</v>
      </c>
      <c r="BL98" s="23"/>
      <c r="BN98" s="12">
        <f t="shared" si="34"/>
        <v>0</v>
      </c>
      <c r="BO98" s="12">
        <f t="shared" si="35"/>
        <v>1</v>
      </c>
      <c r="BP98" s="12">
        <f t="shared" si="36"/>
        <v>0</v>
      </c>
      <c r="BQ98" s="12">
        <f t="shared" si="25"/>
        <v>1</v>
      </c>
      <c r="BR98" s="12">
        <f t="shared" si="37"/>
        <v>0</v>
      </c>
      <c r="BS98" s="23">
        <f t="shared" si="38"/>
        <v>0</v>
      </c>
      <c r="BT98" s="23">
        <f t="shared" si="39"/>
        <v>0</v>
      </c>
      <c r="BU98" s="23">
        <f t="shared" si="40"/>
        <v>0</v>
      </c>
      <c r="BV98" s="18">
        <f t="shared" si="41"/>
        <v>2.6710298438228398E-3</v>
      </c>
      <c r="BX98" s="18">
        <f t="shared" si="42"/>
        <v>0</v>
      </c>
      <c r="BY98" s="18">
        <f t="shared" si="43"/>
        <v>4.08662166779079E-3</v>
      </c>
    </row>
    <row r="99" spans="1:77" x14ac:dyDescent="0.3">
      <c r="A99" s="1">
        <v>46164</v>
      </c>
      <c r="B99" s="6">
        <v>56.84</v>
      </c>
      <c r="C99" s="6">
        <v>99.08</v>
      </c>
      <c r="D99" s="7">
        <v>1.2322860462651E-3</v>
      </c>
      <c r="E99" s="7">
        <v>1.1108307125589499E-3</v>
      </c>
      <c r="F99" s="6">
        <v>0</v>
      </c>
      <c r="G99" s="6">
        <v>0.56119999999999903</v>
      </c>
      <c r="H99" s="6">
        <v>0</v>
      </c>
      <c r="I99" s="6">
        <v>1.026</v>
      </c>
      <c r="J99" s="6">
        <v>0.56119999999999903</v>
      </c>
      <c r="K99" s="6">
        <v>1.026</v>
      </c>
      <c r="L99" s="6">
        <v>57.401200000000003</v>
      </c>
      <c r="M99" s="6">
        <v>100.10599999999999</v>
      </c>
      <c r="N99" s="8">
        <v>1.7431386347642499</v>
      </c>
      <c r="O99" s="8">
        <v>1.7441031794745401</v>
      </c>
      <c r="P99" s="8">
        <v>1.7428429486425201</v>
      </c>
      <c r="Q99" s="8">
        <v>1.74323442083517</v>
      </c>
      <c r="R99" s="6">
        <v>99.134824721332905</v>
      </c>
      <c r="S99" s="6">
        <v>99.055297967735001</v>
      </c>
      <c r="T99" s="6">
        <v>99.088133763500394</v>
      </c>
      <c r="U99" s="7">
        <v>5.5318488723603699E-4</v>
      </c>
      <c r="V99" s="7">
        <v>-2.49345095460534E-4</v>
      </c>
      <c r="W99" s="7">
        <v>8.2089520151745806E-5</v>
      </c>
      <c r="X99" s="8">
        <v>1.7439705093273301</v>
      </c>
      <c r="Y99" s="8">
        <v>1.7448470922733199</v>
      </c>
      <c r="Z99" s="8">
        <v>1.74367680831921</v>
      </c>
      <c r="AA99" s="8">
        <v>1.7440106689193799</v>
      </c>
      <c r="AB99" s="6">
        <v>100.156316912999</v>
      </c>
      <c r="AC99" s="6">
        <v>100.08120989234099</v>
      </c>
      <c r="AD99" s="6">
        <v>100.110235197151</v>
      </c>
      <c r="AE99" s="7">
        <v>5.02510056148056E-4</v>
      </c>
      <c r="AF99" s="7">
        <v>-2.4766924718316402E-4</v>
      </c>
      <c r="AG99" s="7">
        <v>4.2306231043544998E-5</v>
      </c>
      <c r="AZ99" s="23"/>
      <c r="BB99" s="12">
        <f t="shared" si="26"/>
        <v>0</v>
      </c>
      <c r="BC99" s="12">
        <f t="shared" si="27"/>
        <v>1</v>
      </c>
      <c r="BD99" s="12">
        <f t="shared" si="28"/>
        <v>0</v>
      </c>
      <c r="BE99" s="12">
        <f t="shared" si="24"/>
        <v>1</v>
      </c>
      <c r="BF99" s="12">
        <f t="shared" si="29"/>
        <v>0</v>
      </c>
      <c r="BG99" s="23">
        <f t="shared" si="30"/>
        <v>0</v>
      </c>
      <c r="BH99" s="23">
        <f t="shared" si="31"/>
        <v>0</v>
      </c>
      <c r="BI99" s="23">
        <f t="shared" si="32"/>
        <v>0</v>
      </c>
      <c r="BJ99" s="18">
        <f t="shared" si="33"/>
        <v>1.4155918239679504E-3</v>
      </c>
      <c r="BL99" s="23"/>
      <c r="BN99" s="12">
        <f t="shared" si="34"/>
        <v>0</v>
      </c>
      <c r="BO99" s="12">
        <f t="shared" si="35"/>
        <v>0</v>
      </c>
      <c r="BP99" s="12">
        <f t="shared" si="36"/>
        <v>0</v>
      </c>
      <c r="BQ99" s="12">
        <f t="shared" si="25"/>
        <v>1</v>
      </c>
      <c r="BR99" s="12">
        <f t="shared" si="37"/>
        <v>0</v>
      </c>
      <c r="BS99" s="23">
        <f t="shared" si="38"/>
        <v>0</v>
      </c>
      <c r="BT99" s="23">
        <f t="shared" si="39"/>
        <v>0</v>
      </c>
      <c r="BU99" s="23">
        <f t="shared" si="40"/>
        <v>0</v>
      </c>
      <c r="BV99" s="18">
        <f t="shared" si="41"/>
        <v>2.6710298438228398E-3</v>
      </c>
      <c r="BX99" s="18">
        <f t="shared" si="42"/>
        <v>0</v>
      </c>
      <c r="BY99" s="18">
        <f t="shared" si="43"/>
        <v>4.08662166779079E-3</v>
      </c>
    </row>
    <row r="100" spans="1:77" x14ac:dyDescent="0.3">
      <c r="A100" s="1">
        <v>46168</v>
      </c>
      <c r="B100" s="6">
        <v>57.08</v>
      </c>
      <c r="C100" s="6">
        <v>99.49</v>
      </c>
      <c r="D100" s="7">
        <v>4.2134893797356101E-3</v>
      </c>
      <c r="E100" s="7">
        <v>4.12953198010956E-3</v>
      </c>
      <c r="F100" s="6">
        <v>0</v>
      </c>
      <c r="G100" s="6">
        <v>0.56119999999999903</v>
      </c>
      <c r="H100" s="6">
        <v>0</v>
      </c>
      <c r="I100" s="6">
        <v>1.026</v>
      </c>
      <c r="J100" s="6">
        <v>0.56119999999999903</v>
      </c>
      <c r="K100" s="6">
        <v>1.026</v>
      </c>
      <c r="L100" s="6">
        <v>57.641199999999998</v>
      </c>
      <c r="M100" s="6">
        <v>100.515999999999</v>
      </c>
      <c r="N100" s="8">
        <v>1.7429922915206699</v>
      </c>
      <c r="O100" s="8">
        <v>1.7441031794745401</v>
      </c>
      <c r="P100" s="8">
        <v>1.74296328191758</v>
      </c>
      <c r="Q100" s="8">
        <v>1.74319718781204</v>
      </c>
      <c r="R100" s="6">
        <v>99.5534094844067</v>
      </c>
      <c r="S100" s="6">
        <v>99.481475508515601</v>
      </c>
      <c r="T100" s="6">
        <v>99.503820741271895</v>
      </c>
      <c r="U100" s="7">
        <v>6.3714228686230999E-4</v>
      </c>
      <c r="V100" s="7">
        <v>-8.5685563398731494E-5</v>
      </c>
      <c r="W100" s="7">
        <v>1.38906235808722E-4</v>
      </c>
      <c r="X100" s="8">
        <v>1.74382212722844</v>
      </c>
      <c r="Y100" s="8">
        <v>1.7448470922733199</v>
      </c>
      <c r="Z100" s="8">
        <v>1.7437962029690699</v>
      </c>
      <c r="AA100" s="8">
        <v>1.7439868980344899</v>
      </c>
      <c r="AB100" s="6">
        <v>100.575080215144</v>
      </c>
      <c r="AC100" s="6">
        <v>100.507623643689</v>
      </c>
      <c r="AD100" s="6">
        <v>100.526867769315</v>
      </c>
      <c r="AE100" s="7">
        <v>5.8759659336060405E-4</v>
      </c>
      <c r="AF100" s="7">
        <v>-8.3337034358323402E-5</v>
      </c>
      <c r="AG100" s="7">
        <v>1.08113950492801E-4</v>
      </c>
      <c r="AZ100" s="23"/>
      <c r="BB100" s="12">
        <f t="shared" si="26"/>
        <v>0</v>
      </c>
      <c r="BC100" s="12">
        <f t="shared" si="27"/>
        <v>1</v>
      </c>
      <c r="BD100" s="12">
        <f t="shared" si="28"/>
        <v>0</v>
      </c>
      <c r="BE100" s="12">
        <f t="shared" si="24"/>
        <v>1</v>
      </c>
      <c r="BF100" s="12">
        <f t="shared" si="29"/>
        <v>0</v>
      </c>
      <c r="BG100" s="23">
        <f t="shared" si="30"/>
        <v>0</v>
      </c>
      <c r="BH100" s="23">
        <f t="shared" si="31"/>
        <v>0</v>
      </c>
      <c r="BI100" s="23">
        <f t="shared" si="32"/>
        <v>0</v>
      </c>
      <c r="BJ100" s="18">
        <f t="shared" si="33"/>
        <v>1.4155918239679504E-3</v>
      </c>
      <c r="BL100" s="23"/>
      <c r="BN100" s="12">
        <f t="shared" si="34"/>
        <v>0</v>
      </c>
      <c r="BO100" s="12">
        <f t="shared" si="35"/>
        <v>0</v>
      </c>
      <c r="BP100" s="12">
        <f t="shared" si="36"/>
        <v>0</v>
      </c>
      <c r="BQ100" s="12">
        <f t="shared" si="25"/>
        <v>1</v>
      </c>
      <c r="BR100" s="12">
        <f t="shared" si="37"/>
        <v>0</v>
      </c>
      <c r="BS100" s="23">
        <f t="shared" si="38"/>
        <v>0</v>
      </c>
      <c r="BT100" s="23">
        <f t="shared" si="39"/>
        <v>0</v>
      </c>
      <c r="BU100" s="23">
        <f t="shared" si="40"/>
        <v>0</v>
      </c>
      <c r="BV100" s="18">
        <f t="shared" si="41"/>
        <v>2.6710298438228398E-3</v>
      </c>
      <c r="BX100" s="18">
        <f t="shared" si="42"/>
        <v>0</v>
      </c>
      <c r="BY100" s="18">
        <f t="shared" si="43"/>
        <v>4.08662166779079E-3</v>
      </c>
    </row>
    <row r="101" spans="1:77" x14ac:dyDescent="0.3">
      <c r="A101" s="1">
        <v>46169</v>
      </c>
      <c r="B101" s="6">
        <v>57.14</v>
      </c>
      <c r="C101" s="6">
        <v>99.66</v>
      </c>
      <c r="D101" s="7">
        <v>1.05060419399136E-3</v>
      </c>
      <c r="E101" s="7">
        <v>1.7072562519901901E-3</v>
      </c>
      <c r="F101" s="6">
        <v>0</v>
      </c>
      <c r="G101" s="6">
        <v>0.56119999999999903</v>
      </c>
      <c r="H101" s="6">
        <v>0</v>
      </c>
      <c r="I101" s="6">
        <v>1.026</v>
      </c>
      <c r="J101" s="6">
        <v>0.56119999999999903</v>
      </c>
      <c r="K101" s="6">
        <v>1.026</v>
      </c>
      <c r="L101" s="6">
        <v>57.7012</v>
      </c>
      <c r="M101" s="6">
        <v>100.685999999999</v>
      </c>
      <c r="N101" s="8">
        <v>1.74413720686034</v>
      </c>
      <c r="O101" s="8">
        <v>1.7441031794745401</v>
      </c>
      <c r="P101" s="8">
        <v>1.74304226871006</v>
      </c>
      <c r="Q101" s="8">
        <v>1.7432392971971999</v>
      </c>
      <c r="R101" s="6">
        <v>99.658055675175206</v>
      </c>
      <c r="S101" s="6">
        <v>99.592921928770906</v>
      </c>
      <c r="T101" s="6">
        <v>99.606287311580303</v>
      </c>
      <c r="U101" s="7">
        <v>-1.9509771136432899E-5</v>
      </c>
      <c r="V101" s="7">
        <v>-6.7329576011960601E-4</v>
      </c>
      <c r="W101" s="7">
        <v>-5.3910463676746102E-4</v>
      </c>
      <c r="X101" s="8">
        <v>1.7449550442625099</v>
      </c>
      <c r="Y101" s="8">
        <v>1.7448470922733199</v>
      </c>
      <c r="Z101" s="8">
        <v>1.74387439291504</v>
      </c>
      <c r="AA101" s="8">
        <v>1.7440416799240499</v>
      </c>
      <c r="AB101" s="6">
        <v>100.679771040681</v>
      </c>
      <c r="AC101" s="6">
        <v>100.619133466759</v>
      </c>
      <c r="AD101" s="6">
        <v>100.63013680086701</v>
      </c>
      <c r="AE101" s="7">
        <v>-6.1867111659120896E-5</v>
      </c>
      <c r="AF101" s="7">
        <v>-6.64330159377661E-4</v>
      </c>
      <c r="AG101" s="7">
        <v>-5.5497985858130397E-4</v>
      </c>
      <c r="AZ101" s="23"/>
      <c r="BB101" s="12">
        <f t="shared" si="26"/>
        <v>0</v>
      </c>
      <c r="BC101" s="12">
        <f t="shared" si="27"/>
        <v>0</v>
      </c>
      <c r="BD101" s="12">
        <f t="shared" si="28"/>
        <v>0</v>
      </c>
      <c r="BE101" s="12">
        <f t="shared" si="24"/>
        <v>1</v>
      </c>
      <c r="BF101" s="12">
        <f t="shared" si="29"/>
        <v>0</v>
      </c>
      <c r="BG101" s="23">
        <f t="shared" si="30"/>
        <v>0</v>
      </c>
      <c r="BH101" s="23">
        <f t="shared" si="31"/>
        <v>0</v>
      </c>
      <c r="BI101" s="23">
        <f t="shared" si="32"/>
        <v>0</v>
      </c>
      <c r="BJ101" s="18">
        <f t="shared" si="33"/>
        <v>1.4155918239679504E-3</v>
      </c>
      <c r="BL101" s="23"/>
      <c r="BN101" s="12">
        <f t="shared" si="34"/>
        <v>0</v>
      </c>
      <c r="BO101" s="12">
        <f t="shared" si="35"/>
        <v>1</v>
      </c>
      <c r="BP101" s="12">
        <f t="shared" si="36"/>
        <v>0</v>
      </c>
      <c r="BQ101" s="12">
        <f t="shared" si="25"/>
        <v>1</v>
      </c>
      <c r="BR101" s="12">
        <f t="shared" si="37"/>
        <v>0</v>
      </c>
      <c r="BS101" s="23">
        <f t="shared" si="38"/>
        <v>0</v>
      </c>
      <c r="BT101" s="23">
        <f t="shared" si="39"/>
        <v>0</v>
      </c>
      <c r="BU101" s="23">
        <f t="shared" si="40"/>
        <v>0</v>
      </c>
      <c r="BV101" s="18">
        <f t="shared" si="41"/>
        <v>2.6710298438228398E-3</v>
      </c>
      <c r="BX101" s="18">
        <f t="shared" si="42"/>
        <v>0</v>
      </c>
      <c r="BY101" s="18">
        <f t="shared" si="43"/>
        <v>4.08662166779079E-3</v>
      </c>
    </row>
    <row r="102" spans="1:77" x14ac:dyDescent="0.3">
      <c r="A102" s="1">
        <v>46170</v>
      </c>
      <c r="B102" s="6">
        <v>57.25</v>
      </c>
      <c r="C102" s="6">
        <v>99.83</v>
      </c>
      <c r="D102" s="7">
        <v>1.9232456317220101E-3</v>
      </c>
      <c r="E102" s="7">
        <v>1.7043464950754E-3</v>
      </c>
      <c r="F102" s="6">
        <v>0</v>
      </c>
      <c r="G102" s="6">
        <v>0.56119999999999903</v>
      </c>
      <c r="H102" s="6">
        <v>0</v>
      </c>
      <c r="I102" s="6">
        <v>1.026</v>
      </c>
      <c r="J102" s="6">
        <v>0.56119999999999903</v>
      </c>
      <c r="K102" s="6">
        <v>1.026</v>
      </c>
      <c r="L102" s="6">
        <v>57.811199999999999</v>
      </c>
      <c r="M102" s="6">
        <v>100.85599999999999</v>
      </c>
      <c r="N102" s="8">
        <v>1.7437554585152799</v>
      </c>
      <c r="O102" s="8">
        <v>1.7441031794745401</v>
      </c>
      <c r="P102" s="8">
        <v>1.7430228654209401</v>
      </c>
      <c r="Q102" s="8">
        <v>1.7432063997319101</v>
      </c>
      <c r="R102" s="6">
        <v>99.8499070249174</v>
      </c>
      <c r="S102" s="6">
        <v>99.789169883651098</v>
      </c>
      <c r="T102" s="6">
        <v>99.800449764540204</v>
      </c>
      <c r="U102" s="7">
        <v>1.9938936551016099E-4</v>
      </c>
      <c r="V102" s="7">
        <v>-4.09080119329329E-4</v>
      </c>
      <c r="W102" s="7">
        <v>-2.9604938235067298E-4</v>
      </c>
      <c r="X102" s="8">
        <v>1.74457544558839</v>
      </c>
      <c r="Y102" s="8">
        <v>1.7448470922733199</v>
      </c>
      <c r="Z102" s="8">
        <v>1.7438548512026699</v>
      </c>
      <c r="AA102" s="8">
        <v>1.7440219014976699</v>
      </c>
      <c r="AB102" s="6">
        <v>100.87170422083101</v>
      </c>
      <c r="AC102" s="6">
        <v>100.81547130369</v>
      </c>
      <c r="AD102" s="6">
        <v>100.825142366425</v>
      </c>
      <c r="AE102" s="7">
        <v>1.5569721495396001E-4</v>
      </c>
      <c r="AF102" s="7">
        <v>-4.0192791368162602E-4</v>
      </c>
      <c r="AG102" s="7">
        <v>-3.06004155401845E-4</v>
      </c>
      <c r="AZ102" s="23"/>
      <c r="BB102" s="12">
        <f t="shared" si="26"/>
        <v>0</v>
      </c>
      <c r="BC102" s="12">
        <f t="shared" si="27"/>
        <v>0</v>
      </c>
      <c r="BD102" s="12">
        <f t="shared" si="28"/>
        <v>0</v>
      </c>
      <c r="BE102" s="12">
        <f t="shared" si="24"/>
        <v>1</v>
      </c>
      <c r="BF102" s="12">
        <f t="shared" si="29"/>
        <v>0</v>
      </c>
      <c r="BG102" s="23">
        <f t="shared" si="30"/>
        <v>0</v>
      </c>
      <c r="BH102" s="23">
        <f t="shared" si="31"/>
        <v>0</v>
      </c>
      <c r="BI102" s="23">
        <f t="shared" si="32"/>
        <v>0</v>
      </c>
      <c r="BJ102" s="18">
        <f t="shared" si="33"/>
        <v>1.4155918239679504E-3</v>
      </c>
      <c r="BL102" s="23"/>
      <c r="BN102" s="12">
        <f t="shared" si="34"/>
        <v>0</v>
      </c>
      <c r="BO102" s="12">
        <f t="shared" si="35"/>
        <v>1</v>
      </c>
      <c r="BP102" s="12">
        <f t="shared" si="36"/>
        <v>0</v>
      </c>
      <c r="BQ102" s="12">
        <f t="shared" si="25"/>
        <v>1</v>
      </c>
      <c r="BR102" s="12">
        <f t="shared" si="37"/>
        <v>0</v>
      </c>
      <c r="BS102" s="23">
        <f t="shared" si="38"/>
        <v>0</v>
      </c>
      <c r="BT102" s="23">
        <f t="shared" si="39"/>
        <v>0</v>
      </c>
      <c r="BU102" s="23">
        <f t="shared" si="40"/>
        <v>0</v>
      </c>
      <c r="BV102" s="18">
        <f t="shared" si="41"/>
        <v>2.6710298438228398E-3</v>
      </c>
      <c r="BX102" s="18">
        <f t="shared" si="42"/>
        <v>0</v>
      </c>
      <c r="BY102" s="18">
        <f t="shared" si="43"/>
        <v>4.08662166779079E-3</v>
      </c>
    </row>
    <row r="103" spans="1:77" x14ac:dyDescent="0.3">
      <c r="A103" s="1">
        <v>46171</v>
      </c>
      <c r="B103" s="6">
        <v>57.35</v>
      </c>
      <c r="C103" s="6">
        <v>100.05</v>
      </c>
      <c r="D103" s="7">
        <v>1.7452011410305801E-3</v>
      </c>
      <c r="E103" s="7">
        <v>2.20132168140849E-3</v>
      </c>
      <c r="F103" s="6">
        <v>0</v>
      </c>
      <c r="G103" s="6">
        <v>0.56119999999999903</v>
      </c>
      <c r="H103" s="6">
        <v>0</v>
      </c>
      <c r="I103" s="6">
        <v>1.026</v>
      </c>
      <c r="J103" s="6">
        <v>0.56119999999999903</v>
      </c>
      <c r="K103" s="6">
        <v>1.026</v>
      </c>
      <c r="L103" s="6">
        <v>57.911200000000001</v>
      </c>
      <c r="M103" s="6">
        <v>101.07599999999999</v>
      </c>
      <c r="N103" s="8">
        <v>1.74455100261551</v>
      </c>
      <c r="O103" s="8">
        <v>1.7441031794745401</v>
      </c>
      <c r="P103" s="8">
        <v>1.74319675951138</v>
      </c>
      <c r="Q103" s="8">
        <v>1.7432065898906</v>
      </c>
      <c r="R103" s="6">
        <v>100.02431734286399</v>
      </c>
      <c r="S103" s="6">
        <v>99.962361331890904</v>
      </c>
      <c r="T103" s="6">
        <v>99.972887024625095</v>
      </c>
      <c r="U103" s="7">
        <v>-2.5673117486764001E-4</v>
      </c>
      <c r="V103" s="7">
        <v>-8.7633257398726403E-4</v>
      </c>
      <c r="W103" s="7">
        <v>-7.7104155771622995E-4</v>
      </c>
      <c r="X103" s="8">
        <v>1.74536186437165</v>
      </c>
      <c r="Y103" s="8">
        <v>1.7448470922733199</v>
      </c>
      <c r="Z103" s="8">
        <v>1.7440266146764301</v>
      </c>
      <c r="AA103" s="8">
        <v>1.7440348176434799</v>
      </c>
      <c r="AB103" s="6">
        <v>101.04618893005799</v>
      </c>
      <c r="AC103" s="6">
        <v>100.988727058968</v>
      </c>
      <c r="AD103" s="6">
        <v>100.998401142012</v>
      </c>
      <c r="AE103" s="7">
        <v>-2.9498067792800998E-4</v>
      </c>
      <c r="AF103" s="7">
        <v>-8.6381178673352905E-4</v>
      </c>
      <c r="AG103" s="7">
        <v>-7.6802268237379705E-4</v>
      </c>
      <c r="AZ103" s="23"/>
      <c r="BB103" s="12">
        <f t="shared" si="26"/>
        <v>0</v>
      </c>
      <c r="BC103" s="12">
        <f t="shared" si="27"/>
        <v>0</v>
      </c>
      <c r="BD103" s="12">
        <f t="shared" si="28"/>
        <v>0</v>
      </c>
      <c r="BE103" s="12">
        <f t="shared" si="24"/>
        <v>0</v>
      </c>
      <c r="BF103" s="12">
        <f t="shared" si="29"/>
        <v>0</v>
      </c>
      <c r="BG103" s="23">
        <f t="shared" si="30"/>
        <v>0</v>
      </c>
      <c r="BH103" s="23">
        <f t="shared" si="31"/>
        <v>0</v>
      </c>
      <c r="BI103" s="23">
        <f t="shared" si="32"/>
        <v>0</v>
      </c>
      <c r="BJ103" s="18">
        <f t="shared" si="33"/>
        <v>1.4155918239679504E-3</v>
      </c>
      <c r="BL103" s="23"/>
      <c r="BN103" s="12">
        <f t="shared" si="34"/>
        <v>0</v>
      </c>
      <c r="BO103" s="12">
        <f t="shared" si="35"/>
        <v>1</v>
      </c>
      <c r="BP103" s="12">
        <f t="shared" si="36"/>
        <v>0</v>
      </c>
      <c r="BQ103" s="12">
        <f t="shared" si="25"/>
        <v>0</v>
      </c>
      <c r="BR103" s="12">
        <f t="shared" si="37"/>
        <v>0</v>
      </c>
      <c r="BS103" s="23">
        <f t="shared" si="38"/>
        <v>0</v>
      </c>
      <c r="BT103" s="23">
        <f t="shared" si="39"/>
        <v>0</v>
      </c>
      <c r="BU103" s="23">
        <f t="shared" si="40"/>
        <v>0</v>
      </c>
      <c r="BV103" s="18">
        <f t="shared" si="41"/>
        <v>2.6710298438228398E-3</v>
      </c>
      <c r="BX103" s="18">
        <f t="shared" si="42"/>
        <v>0</v>
      </c>
      <c r="BY103" s="18">
        <f t="shared" si="43"/>
        <v>4.08662166779079E-3</v>
      </c>
    </row>
    <row r="104" spans="1:77" x14ac:dyDescent="0.3">
      <c r="A104" s="1">
        <v>46174</v>
      </c>
      <c r="B104" s="6">
        <v>57.24</v>
      </c>
      <c r="C104" s="6">
        <v>99.84</v>
      </c>
      <c r="D104" s="7">
        <v>-1.91988888712953E-3</v>
      </c>
      <c r="E104" s="7">
        <v>-2.1011564086247602E-3</v>
      </c>
      <c r="F104" s="6">
        <v>0.1381</v>
      </c>
      <c r="G104" s="6">
        <v>0.69929999999999903</v>
      </c>
      <c r="H104" s="6">
        <v>0.25750000000000001</v>
      </c>
      <c r="I104" s="6">
        <v>1.2835000000000001</v>
      </c>
      <c r="J104" s="6">
        <v>0.69929999999999903</v>
      </c>
      <c r="K104" s="6">
        <v>1.2835000000000001</v>
      </c>
      <c r="L104" s="6">
        <v>57.939300000000003</v>
      </c>
      <c r="M104" s="6">
        <v>101.12350000000001</v>
      </c>
      <c r="N104" s="8">
        <v>1.74423480083857</v>
      </c>
      <c r="O104" s="8">
        <v>1.7441031794745401</v>
      </c>
      <c r="P104" s="8">
        <v>1.7433113824020701</v>
      </c>
      <c r="Q104" s="8">
        <v>1.7431852182769501</v>
      </c>
      <c r="R104" s="6">
        <v>99.832465993122696</v>
      </c>
      <c r="S104" s="6">
        <v>99.7805825144316</v>
      </c>
      <c r="T104" s="6">
        <v>99.781145205338206</v>
      </c>
      <c r="U104" s="7">
        <v>-7.5463653372444099E-5</v>
      </c>
      <c r="V104" s="7">
        <v>-5.9530421737728398E-4</v>
      </c>
      <c r="W104" s="7">
        <v>-5.8966495063950098E-4</v>
      </c>
      <c r="X104" s="8">
        <v>1.74533520425686</v>
      </c>
      <c r="Y104" s="8">
        <v>1.7448470922733199</v>
      </c>
      <c r="Z104" s="8">
        <v>1.7441679689399401</v>
      </c>
      <c r="AA104" s="8">
        <v>1.74402782965004</v>
      </c>
      <c r="AB104" s="6">
        <v>101.09521913335099</v>
      </c>
      <c r="AC104" s="6">
        <v>101.047681235722</v>
      </c>
      <c r="AD104" s="6">
        <v>101.048156509891</v>
      </c>
      <c r="AE104" s="7">
        <v>-2.7970572609682399E-4</v>
      </c>
      <c r="AF104" s="7">
        <v>-7.5004525737906095E-4</v>
      </c>
      <c r="AG104" s="7">
        <v>-7.4534180406541305E-4</v>
      </c>
      <c r="AZ104" s="23"/>
      <c r="BB104" s="12">
        <f t="shared" si="26"/>
        <v>0</v>
      </c>
      <c r="BC104" s="12">
        <f t="shared" si="27"/>
        <v>0</v>
      </c>
      <c r="BD104" s="12">
        <f t="shared" si="28"/>
        <v>0</v>
      </c>
      <c r="BE104" s="12">
        <f t="shared" si="24"/>
        <v>1</v>
      </c>
      <c r="BF104" s="12">
        <f t="shared" si="29"/>
        <v>0</v>
      </c>
      <c r="BG104" s="23">
        <f t="shared" si="30"/>
        <v>0</v>
      </c>
      <c r="BH104" s="23">
        <f t="shared" si="31"/>
        <v>0</v>
      </c>
      <c r="BI104" s="23">
        <f t="shared" si="32"/>
        <v>0</v>
      </c>
      <c r="BJ104" s="18">
        <f t="shared" si="33"/>
        <v>1.4155918239679504E-3</v>
      </c>
      <c r="BL104" s="23"/>
      <c r="BN104" s="12">
        <f t="shared" si="34"/>
        <v>0</v>
      </c>
      <c r="BO104" s="12">
        <f t="shared" si="35"/>
        <v>1</v>
      </c>
      <c r="BP104" s="12">
        <f t="shared" si="36"/>
        <v>0</v>
      </c>
      <c r="BQ104" s="12">
        <f t="shared" si="25"/>
        <v>1</v>
      </c>
      <c r="BR104" s="12">
        <f t="shared" si="37"/>
        <v>0</v>
      </c>
      <c r="BS104" s="23">
        <f t="shared" si="38"/>
        <v>0</v>
      </c>
      <c r="BT104" s="23">
        <f t="shared" si="39"/>
        <v>0</v>
      </c>
      <c r="BU104" s="23">
        <f t="shared" si="40"/>
        <v>0</v>
      </c>
      <c r="BV104" s="18">
        <f t="shared" si="41"/>
        <v>2.6710298438228398E-3</v>
      </c>
      <c r="BX104" s="18">
        <f t="shared" si="42"/>
        <v>0</v>
      </c>
      <c r="BY104" s="18">
        <f t="shared" si="43"/>
        <v>4.08662166779079E-3</v>
      </c>
    </row>
    <row r="105" spans="1:77" x14ac:dyDescent="0.3">
      <c r="A105" s="1">
        <v>46175</v>
      </c>
      <c r="B105" s="6">
        <v>57.33</v>
      </c>
      <c r="C105" s="6">
        <v>100</v>
      </c>
      <c r="D105" s="7">
        <v>1.5710922320411401E-3</v>
      </c>
      <c r="E105" s="7">
        <v>1.60128136697382E-3</v>
      </c>
      <c r="F105" s="6">
        <v>0</v>
      </c>
      <c r="G105" s="6">
        <v>0.69929999999999903</v>
      </c>
      <c r="H105" s="6">
        <v>0</v>
      </c>
      <c r="I105" s="6">
        <v>1.2835000000000001</v>
      </c>
      <c r="J105" s="6">
        <v>0.69929999999999903</v>
      </c>
      <c r="K105" s="6">
        <v>1.2835000000000001</v>
      </c>
      <c r="L105" s="6">
        <v>58.029299999999999</v>
      </c>
      <c r="M105" s="6">
        <v>101.2835</v>
      </c>
      <c r="N105" s="8">
        <v>1.74428745857317</v>
      </c>
      <c r="O105" s="8">
        <v>1.7441031794745401</v>
      </c>
      <c r="P105" s="8">
        <v>1.74356759304812</v>
      </c>
      <c r="Q105" s="8">
        <v>1.7432082061592</v>
      </c>
      <c r="R105" s="6">
        <v>99.989435279275398</v>
      </c>
      <c r="S105" s="6">
        <v>99.944041553110907</v>
      </c>
      <c r="T105" s="6">
        <v>99.936808563817607</v>
      </c>
      <c r="U105" s="7">
        <v>-1.05652788305214E-4</v>
      </c>
      <c r="V105" s="7">
        <v>-5.5974109471281701E-4</v>
      </c>
      <c r="W105" s="7">
        <v>-6.3211410385475902E-4</v>
      </c>
      <c r="X105" s="8">
        <v>1.74538552076278</v>
      </c>
      <c r="Y105" s="8">
        <v>1.7448470922733199</v>
      </c>
      <c r="Z105" s="8">
        <v>1.74444935763749</v>
      </c>
      <c r="AA105" s="8">
        <v>1.7440646569095899</v>
      </c>
      <c r="AB105" s="6">
        <v>101.25225537165601</v>
      </c>
      <c r="AC105" s="6">
        <v>101.21284632000599</v>
      </c>
      <c r="AD105" s="6">
        <v>101.204714135111</v>
      </c>
      <c r="AE105" s="7">
        <v>-3.0853444651609299E-4</v>
      </c>
      <c r="AF105" s="7">
        <v>-6.9782674250043095E-4</v>
      </c>
      <c r="AG105" s="7">
        <v>-7.7817732948797305E-4</v>
      </c>
      <c r="AZ105" s="23"/>
      <c r="BB105" s="12">
        <f t="shared" si="26"/>
        <v>0</v>
      </c>
      <c r="BC105" s="12">
        <f t="shared" si="27"/>
        <v>0</v>
      </c>
      <c r="BD105" s="12">
        <f t="shared" si="28"/>
        <v>0</v>
      </c>
      <c r="BE105" s="12">
        <f t="shared" si="24"/>
        <v>1</v>
      </c>
      <c r="BF105" s="12">
        <f t="shared" si="29"/>
        <v>0</v>
      </c>
      <c r="BG105" s="23">
        <f t="shared" si="30"/>
        <v>0</v>
      </c>
      <c r="BH105" s="23">
        <f t="shared" si="31"/>
        <v>0</v>
      </c>
      <c r="BI105" s="23">
        <f t="shared" si="32"/>
        <v>0</v>
      </c>
      <c r="BJ105" s="18">
        <f t="shared" si="33"/>
        <v>1.4155918239679504E-3</v>
      </c>
      <c r="BL105" s="23"/>
      <c r="BN105" s="12">
        <f t="shared" si="34"/>
        <v>0</v>
      </c>
      <c r="BO105" s="12">
        <f t="shared" si="35"/>
        <v>1</v>
      </c>
      <c r="BP105" s="12">
        <f t="shared" si="36"/>
        <v>0</v>
      </c>
      <c r="BQ105" s="12">
        <f t="shared" si="25"/>
        <v>1</v>
      </c>
      <c r="BR105" s="12">
        <f t="shared" si="37"/>
        <v>0</v>
      </c>
      <c r="BS105" s="23">
        <f t="shared" si="38"/>
        <v>0</v>
      </c>
      <c r="BT105" s="23">
        <f t="shared" si="39"/>
        <v>0</v>
      </c>
      <c r="BU105" s="23">
        <f t="shared" si="40"/>
        <v>0</v>
      </c>
      <c r="BV105" s="18">
        <f t="shared" si="41"/>
        <v>2.6710298438228398E-3</v>
      </c>
      <c r="BX105" s="18">
        <f t="shared" si="42"/>
        <v>0</v>
      </c>
      <c r="BY105" s="18">
        <f t="shared" si="43"/>
        <v>4.08662166779079E-3</v>
      </c>
    </row>
    <row r="106" spans="1:77" x14ac:dyDescent="0.3">
      <c r="A106" s="1">
        <v>46176</v>
      </c>
      <c r="B106" s="6">
        <v>57.31</v>
      </c>
      <c r="C106" s="6">
        <v>99.95</v>
      </c>
      <c r="D106" s="7">
        <v>-3.4891835664516998E-4</v>
      </c>
      <c r="E106" s="7">
        <v>-5.0012504168224199E-4</v>
      </c>
      <c r="F106" s="6">
        <v>0</v>
      </c>
      <c r="G106" s="6">
        <v>0.69929999999999903</v>
      </c>
      <c r="H106" s="6">
        <v>0</v>
      </c>
      <c r="I106" s="6">
        <v>1.2835000000000001</v>
      </c>
      <c r="J106" s="6">
        <v>0.69929999999999903</v>
      </c>
      <c r="K106" s="6">
        <v>1.2835000000000001</v>
      </c>
      <c r="L106" s="6">
        <v>58.009300000000003</v>
      </c>
      <c r="M106" s="6">
        <v>101.23350000000001</v>
      </c>
      <c r="N106" s="8">
        <v>1.74402373058803</v>
      </c>
      <c r="O106" s="8">
        <v>1.7441031794745401</v>
      </c>
      <c r="P106" s="8">
        <v>1.74382594916375</v>
      </c>
      <c r="Q106" s="8">
        <v>1.74319825823482</v>
      </c>
      <c r="R106" s="6">
        <v>99.954553215685905</v>
      </c>
      <c r="S106" s="6">
        <v>99.923858757587894</v>
      </c>
      <c r="T106" s="6">
        <v>99.903262294984202</v>
      </c>
      <c r="U106" s="7">
        <v>4.5553896732054601E-5</v>
      </c>
      <c r="V106" s="7">
        <v>-2.6157740410452901E-4</v>
      </c>
      <c r="W106" s="7">
        <v>-4.6772021963578002E-4</v>
      </c>
      <c r="X106" s="8">
        <v>1.7451253505903299</v>
      </c>
      <c r="Y106" s="8">
        <v>1.7448470922733199</v>
      </c>
      <c r="Z106" s="8">
        <v>1.7447327608362999</v>
      </c>
      <c r="AA106" s="8">
        <v>1.7440689255209201</v>
      </c>
      <c r="AB106" s="6">
        <v>101.21735842981001</v>
      </c>
      <c r="AC106" s="6">
        <v>101.19428612199999</v>
      </c>
      <c r="AD106" s="6">
        <v>101.171969902065</v>
      </c>
      <c r="AE106" s="7">
        <v>-1.5946161304188799E-4</v>
      </c>
      <c r="AF106" s="7">
        <v>-3.8743572946243999E-4</v>
      </c>
      <c r="AG106" s="7">
        <v>-6.0798850801213004E-4</v>
      </c>
      <c r="AZ106" s="23"/>
      <c r="BB106" s="12">
        <f t="shared" si="26"/>
        <v>0</v>
      </c>
      <c r="BC106" s="12">
        <f t="shared" si="27"/>
        <v>0</v>
      </c>
      <c r="BD106" s="12">
        <f t="shared" si="28"/>
        <v>0</v>
      </c>
      <c r="BE106" s="12">
        <f t="shared" si="24"/>
        <v>1</v>
      </c>
      <c r="BF106" s="12">
        <f t="shared" si="29"/>
        <v>0</v>
      </c>
      <c r="BG106" s="23">
        <f t="shared" si="30"/>
        <v>0</v>
      </c>
      <c r="BH106" s="23">
        <f t="shared" si="31"/>
        <v>0</v>
      </c>
      <c r="BI106" s="23">
        <f t="shared" si="32"/>
        <v>0</v>
      </c>
      <c r="BJ106" s="18">
        <f t="shared" si="33"/>
        <v>1.4155918239679504E-3</v>
      </c>
      <c r="BL106" s="23"/>
      <c r="BN106" s="12">
        <f t="shared" si="34"/>
        <v>0</v>
      </c>
      <c r="BO106" s="12">
        <f t="shared" si="35"/>
        <v>1</v>
      </c>
      <c r="BP106" s="12">
        <f t="shared" si="36"/>
        <v>0</v>
      </c>
      <c r="BQ106" s="12">
        <f t="shared" si="25"/>
        <v>1</v>
      </c>
      <c r="BR106" s="12">
        <f t="shared" si="37"/>
        <v>0</v>
      </c>
      <c r="BS106" s="23">
        <f t="shared" si="38"/>
        <v>0</v>
      </c>
      <c r="BT106" s="23">
        <f t="shared" si="39"/>
        <v>0</v>
      </c>
      <c r="BU106" s="23">
        <f t="shared" si="40"/>
        <v>0</v>
      </c>
      <c r="BV106" s="18">
        <f t="shared" si="41"/>
        <v>2.6710298438228398E-3</v>
      </c>
      <c r="BX106" s="18">
        <f t="shared" si="42"/>
        <v>0</v>
      </c>
      <c r="BY106" s="18">
        <f t="shared" si="43"/>
        <v>4.08662166779079E-3</v>
      </c>
    </row>
    <row r="107" spans="1:77" x14ac:dyDescent="0.3">
      <c r="A107" s="1">
        <v>46177</v>
      </c>
      <c r="B107" s="6">
        <v>57.38</v>
      </c>
      <c r="C107" s="6">
        <v>100</v>
      </c>
      <c r="D107" s="7">
        <v>1.2206819895726E-3</v>
      </c>
      <c r="E107" s="7">
        <v>5.0012504168237297E-4</v>
      </c>
      <c r="F107" s="6">
        <v>0</v>
      </c>
      <c r="G107" s="6">
        <v>0.69929999999999903</v>
      </c>
      <c r="H107" s="6">
        <v>0</v>
      </c>
      <c r="I107" s="6">
        <v>1.2835000000000001</v>
      </c>
      <c r="J107" s="6">
        <v>0.69929999999999903</v>
      </c>
      <c r="K107" s="6">
        <v>1.2835000000000001</v>
      </c>
      <c r="L107" s="6">
        <v>58.079300000000003</v>
      </c>
      <c r="M107" s="6">
        <v>101.2835</v>
      </c>
      <c r="N107" s="8">
        <v>1.74276751481352</v>
      </c>
      <c r="O107" s="8">
        <v>1.7441031794745401</v>
      </c>
      <c r="P107" s="8">
        <v>1.7437238460195501</v>
      </c>
      <c r="Q107" s="8">
        <v>1.7431860399852801</v>
      </c>
      <c r="R107" s="6">
        <v>100.076640438249</v>
      </c>
      <c r="S107" s="6">
        <v>100.06073296301599</v>
      </c>
      <c r="T107" s="6">
        <v>100.024716057514</v>
      </c>
      <c r="U107" s="7">
        <v>7.6611084462235E-4</v>
      </c>
      <c r="V107" s="7">
        <v>6.0714528016105399E-4</v>
      </c>
      <c r="W107" s="7">
        <v>2.4713003600205802E-4</v>
      </c>
      <c r="X107" s="8">
        <v>1.74388293247335</v>
      </c>
      <c r="Y107" s="8">
        <v>1.7448470922733199</v>
      </c>
      <c r="Z107" s="8">
        <v>1.74465951776962</v>
      </c>
      <c r="AA107" s="8">
        <v>1.7440711107320199</v>
      </c>
      <c r="AB107" s="6">
        <v>101.339497726269</v>
      </c>
      <c r="AC107" s="6">
        <v>101.33285743643999</v>
      </c>
      <c r="AD107" s="6">
        <v>101.294302346007</v>
      </c>
      <c r="AE107" s="7">
        <v>5.5272825221121702E-4</v>
      </c>
      <c r="AF107" s="7">
        <v>4.8720091547381299E-4</v>
      </c>
      <c r="AG107" s="7">
        <v>1.06648861744293E-4</v>
      </c>
      <c r="AZ107" s="23"/>
      <c r="BB107" s="12">
        <f t="shared" si="26"/>
        <v>0</v>
      </c>
      <c r="BC107" s="12">
        <f t="shared" si="27"/>
        <v>1</v>
      </c>
      <c r="BD107" s="12">
        <f t="shared" si="28"/>
        <v>0</v>
      </c>
      <c r="BE107" s="12">
        <f t="shared" si="24"/>
        <v>1</v>
      </c>
      <c r="BF107" s="12">
        <f t="shared" si="29"/>
        <v>0</v>
      </c>
      <c r="BG107" s="23">
        <f t="shared" si="30"/>
        <v>0</v>
      </c>
      <c r="BH107" s="23">
        <f t="shared" si="31"/>
        <v>0</v>
      </c>
      <c r="BI107" s="23">
        <f t="shared" si="32"/>
        <v>0</v>
      </c>
      <c r="BJ107" s="18">
        <f t="shared" si="33"/>
        <v>1.4155918239679504E-3</v>
      </c>
      <c r="BL107" s="23"/>
      <c r="BN107" s="12">
        <f t="shared" si="34"/>
        <v>0</v>
      </c>
      <c r="BO107" s="12">
        <f t="shared" si="35"/>
        <v>0</v>
      </c>
      <c r="BP107" s="12">
        <f t="shared" si="36"/>
        <v>0</v>
      </c>
      <c r="BQ107" s="12">
        <f t="shared" si="25"/>
        <v>1</v>
      </c>
      <c r="BR107" s="12">
        <f t="shared" si="37"/>
        <v>0</v>
      </c>
      <c r="BS107" s="23">
        <f t="shared" si="38"/>
        <v>0</v>
      </c>
      <c r="BT107" s="23">
        <f t="shared" si="39"/>
        <v>0</v>
      </c>
      <c r="BU107" s="23">
        <f t="shared" si="40"/>
        <v>0</v>
      </c>
      <c r="BV107" s="18">
        <f t="shared" si="41"/>
        <v>2.6710298438228398E-3</v>
      </c>
      <c r="BX107" s="18">
        <f t="shared" si="42"/>
        <v>0</v>
      </c>
      <c r="BY107" s="18">
        <f t="shared" si="43"/>
        <v>4.08662166779079E-3</v>
      </c>
    </row>
    <row r="108" spans="1:77" x14ac:dyDescent="0.3">
      <c r="A108" s="1">
        <v>46178</v>
      </c>
      <c r="B108" s="6">
        <v>57.28</v>
      </c>
      <c r="C108" s="6">
        <v>99.87</v>
      </c>
      <c r="D108" s="7">
        <v>-1.74428790082853E-3</v>
      </c>
      <c r="E108" s="7">
        <v>-1.3008457330480601E-3</v>
      </c>
      <c r="F108" s="6">
        <v>0</v>
      </c>
      <c r="G108" s="6">
        <v>0.69929999999999903</v>
      </c>
      <c r="H108" s="6">
        <v>0</v>
      </c>
      <c r="I108" s="6">
        <v>1.2835000000000001</v>
      </c>
      <c r="J108" s="6">
        <v>0.69929999999999903</v>
      </c>
      <c r="K108" s="6">
        <v>1.2835000000000001</v>
      </c>
      <c r="L108" s="6">
        <v>57.979300000000002</v>
      </c>
      <c r="M108" s="6">
        <v>101.15349999999999</v>
      </c>
      <c r="N108" s="8">
        <v>1.74354050279329</v>
      </c>
      <c r="O108" s="8">
        <v>1.7441031794745401</v>
      </c>
      <c r="P108" s="8">
        <v>1.7437428601882601</v>
      </c>
      <c r="Q108" s="8">
        <v>1.7432234530333901</v>
      </c>
      <c r="R108" s="6">
        <v>99.902230120301695</v>
      </c>
      <c r="S108" s="6">
        <v>99.880501900000297</v>
      </c>
      <c r="T108" s="6">
        <v>99.849696370357293</v>
      </c>
      <c r="U108" s="7">
        <v>3.2266867684189402E-4</v>
      </c>
      <c r="V108" s="7">
        <v>1.0515017394300299E-4</v>
      </c>
      <c r="W108" s="7">
        <v>-2.0332125555588601E-4</v>
      </c>
      <c r="X108" s="8">
        <v>1.7446485211101199</v>
      </c>
      <c r="Y108" s="8">
        <v>1.7448470922733199</v>
      </c>
      <c r="Z108" s="8">
        <v>1.7447062519971801</v>
      </c>
      <c r="AA108" s="8">
        <v>1.74412244347228</v>
      </c>
      <c r="AB108" s="6">
        <v>101.165013017042</v>
      </c>
      <c r="AC108" s="6">
        <v>101.15413757861999</v>
      </c>
      <c r="AD108" s="6">
        <v>101.120022150465</v>
      </c>
      <c r="AE108" s="7">
        <v>1.13810811312099E-4</v>
      </c>
      <c r="AF108" s="7">
        <v>6.3030603103591302E-6</v>
      </c>
      <c r="AG108" s="7">
        <v>-3.3101564144080497E-4</v>
      </c>
      <c r="AZ108" s="23"/>
      <c r="BB108" s="12">
        <f t="shared" si="26"/>
        <v>0</v>
      </c>
      <c r="BC108" s="12">
        <f t="shared" si="27"/>
        <v>0</v>
      </c>
      <c r="BD108" s="12">
        <f t="shared" si="28"/>
        <v>0</v>
      </c>
      <c r="BE108" s="12">
        <f t="shared" si="24"/>
        <v>1</v>
      </c>
      <c r="BF108" s="12">
        <f t="shared" si="29"/>
        <v>0</v>
      </c>
      <c r="BG108" s="23">
        <f t="shared" si="30"/>
        <v>0</v>
      </c>
      <c r="BH108" s="23">
        <f t="shared" si="31"/>
        <v>0</v>
      </c>
      <c r="BI108" s="23">
        <f t="shared" si="32"/>
        <v>0</v>
      </c>
      <c r="BJ108" s="18">
        <f t="shared" si="33"/>
        <v>1.4155918239679504E-3</v>
      </c>
      <c r="BL108" s="23"/>
      <c r="BN108" s="12">
        <f t="shared" si="34"/>
        <v>0</v>
      </c>
      <c r="BO108" s="12">
        <f t="shared" si="35"/>
        <v>1</v>
      </c>
      <c r="BP108" s="12">
        <f t="shared" si="36"/>
        <v>0</v>
      </c>
      <c r="BQ108" s="12">
        <f t="shared" si="25"/>
        <v>1</v>
      </c>
      <c r="BR108" s="12">
        <f t="shared" si="37"/>
        <v>0</v>
      </c>
      <c r="BS108" s="23">
        <f t="shared" si="38"/>
        <v>0</v>
      </c>
      <c r="BT108" s="23">
        <f t="shared" si="39"/>
        <v>0</v>
      </c>
      <c r="BU108" s="23">
        <f t="shared" si="40"/>
        <v>0</v>
      </c>
      <c r="BV108" s="18">
        <f t="shared" si="41"/>
        <v>2.6710298438228398E-3</v>
      </c>
      <c r="BX108" s="18">
        <f t="shared" si="42"/>
        <v>0</v>
      </c>
      <c r="BY108" s="18">
        <f t="shared" si="43"/>
        <v>4.08662166779079E-3</v>
      </c>
    </row>
    <row r="109" spans="1:77" x14ac:dyDescent="0.3">
      <c r="A109" s="1">
        <v>46181</v>
      </c>
      <c r="B109" s="6">
        <v>57.29</v>
      </c>
      <c r="C109" s="6">
        <v>99.92</v>
      </c>
      <c r="D109" s="7">
        <v>1.74565768096318E-4</v>
      </c>
      <c r="E109" s="7">
        <v>5.0052556227888701E-4</v>
      </c>
      <c r="F109" s="6">
        <v>0</v>
      </c>
      <c r="G109" s="6">
        <v>0.69929999999999903</v>
      </c>
      <c r="H109" s="6">
        <v>0</v>
      </c>
      <c r="I109" s="6">
        <v>1.2835000000000001</v>
      </c>
      <c r="J109" s="6">
        <v>0.69929999999999903</v>
      </c>
      <c r="K109" s="6">
        <v>1.2835000000000001</v>
      </c>
      <c r="L109" s="6">
        <v>57.9893</v>
      </c>
      <c r="M109" s="6">
        <v>101.20350000000001</v>
      </c>
      <c r="N109" s="8">
        <v>1.7441089195321999</v>
      </c>
      <c r="O109" s="8">
        <v>1.7441031794745401</v>
      </c>
      <c r="P109" s="8">
        <v>1.7438398886650599</v>
      </c>
      <c r="Q109" s="8">
        <v>1.7433414186537901</v>
      </c>
      <c r="R109" s="6">
        <v>99.919671152096399</v>
      </c>
      <c r="S109" s="6">
        <v>99.899028460185704</v>
      </c>
      <c r="T109" s="6">
        <v>99.869271624283101</v>
      </c>
      <c r="U109" s="7">
        <v>-3.29111734081741E-6</v>
      </c>
      <c r="V109" s="7">
        <v>-2.09905333369151E-4</v>
      </c>
      <c r="W109" s="7">
        <v>-5.0781882725370797E-4</v>
      </c>
      <c r="X109" s="8">
        <v>1.7452098921697601</v>
      </c>
      <c r="Y109" s="8">
        <v>1.7448470922733199</v>
      </c>
      <c r="Z109" s="8">
        <v>1.7448301902814201</v>
      </c>
      <c r="AA109" s="8">
        <v>1.74425349930032</v>
      </c>
      <c r="AB109" s="6">
        <v>101.182461487965</v>
      </c>
      <c r="AC109" s="6">
        <v>101.17429425893999</v>
      </c>
      <c r="AD109" s="6">
        <v>101.140439611247</v>
      </c>
      <c r="AE109" s="7">
        <v>-2.0790485620485999E-4</v>
      </c>
      <c r="AF109" s="7">
        <v>-2.8862594702709599E-4</v>
      </c>
      <c r="AG109" s="7">
        <v>-6.2329903149552495E-4</v>
      </c>
      <c r="AZ109" s="23"/>
      <c r="BB109" s="12">
        <f t="shared" si="26"/>
        <v>0</v>
      </c>
      <c r="BC109" s="12">
        <f t="shared" si="27"/>
        <v>0</v>
      </c>
      <c r="BD109" s="12">
        <f t="shared" si="28"/>
        <v>0</v>
      </c>
      <c r="BE109" s="12">
        <f t="shared" si="24"/>
        <v>1</v>
      </c>
      <c r="BF109" s="12">
        <f t="shared" si="29"/>
        <v>0</v>
      </c>
      <c r="BG109" s="23">
        <f t="shared" si="30"/>
        <v>0</v>
      </c>
      <c r="BH109" s="23">
        <f t="shared" si="31"/>
        <v>0</v>
      </c>
      <c r="BI109" s="23">
        <f t="shared" si="32"/>
        <v>0</v>
      </c>
      <c r="BJ109" s="18">
        <f t="shared" si="33"/>
        <v>1.4155918239679504E-3</v>
      </c>
      <c r="BL109" s="23"/>
      <c r="BN109" s="12">
        <f t="shared" si="34"/>
        <v>0</v>
      </c>
      <c r="BO109" s="12">
        <f t="shared" si="35"/>
        <v>1</v>
      </c>
      <c r="BP109" s="12">
        <f t="shared" si="36"/>
        <v>0</v>
      </c>
      <c r="BQ109" s="12">
        <f t="shared" si="25"/>
        <v>1</v>
      </c>
      <c r="BR109" s="12">
        <f t="shared" si="37"/>
        <v>0</v>
      </c>
      <c r="BS109" s="23">
        <f t="shared" si="38"/>
        <v>0</v>
      </c>
      <c r="BT109" s="23">
        <f t="shared" si="39"/>
        <v>0</v>
      </c>
      <c r="BU109" s="23">
        <f t="shared" si="40"/>
        <v>0</v>
      </c>
      <c r="BV109" s="18">
        <f t="shared" si="41"/>
        <v>2.6710298438228398E-3</v>
      </c>
      <c r="BX109" s="18">
        <f t="shared" si="42"/>
        <v>0</v>
      </c>
      <c r="BY109" s="18">
        <f t="shared" si="43"/>
        <v>4.08662166779079E-3</v>
      </c>
    </row>
    <row r="110" spans="1:77" x14ac:dyDescent="0.3">
      <c r="A110" s="1">
        <v>46182</v>
      </c>
      <c r="B110" s="6">
        <v>57.37</v>
      </c>
      <c r="C110" s="6">
        <v>100</v>
      </c>
      <c r="D110" s="7">
        <v>1.39543019329313E-3</v>
      </c>
      <c r="E110" s="7">
        <v>8.0032017076911498E-4</v>
      </c>
      <c r="F110" s="6">
        <v>0</v>
      </c>
      <c r="G110" s="6">
        <v>0.69929999999999903</v>
      </c>
      <c r="H110" s="6">
        <v>0</v>
      </c>
      <c r="I110" s="6">
        <v>1.2835000000000001</v>
      </c>
      <c r="J110" s="6">
        <v>0.69929999999999903</v>
      </c>
      <c r="K110" s="6">
        <v>1.2835000000000001</v>
      </c>
      <c r="L110" s="6">
        <v>58.069299999999998</v>
      </c>
      <c r="M110" s="6">
        <v>101.2835</v>
      </c>
      <c r="N110" s="8">
        <v>1.74307129161582</v>
      </c>
      <c r="O110" s="8">
        <v>1.7441031794745401</v>
      </c>
      <c r="P110" s="8">
        <v>1.74384778867457</v>
      </c>
      <c r="Q110" s="8">
        <v>1.74340553529608</v>
      </c>
      <c r="R110" s="6">
        <v>100.059199406454</v>
      </c>
      <c r="S110" s="6">
        <v>100.044094412714</v>
      </c>
      <c r="T110" s="6">
        <v>100.015497188168</v>
      </c>
      <c r="U110" s="7">
        <v>5.9181890518325195E-4</v>
      </c>
      <c r="V110" s="7">
        <v>4.40846939852998E-4</v>
      </c>
      <c r="W110" s="7">
        <v>1.5495987478109099E-4</v>
      </c>
      <c r="X110" s="8">
        <v>1.7441832431250199</v>
      </c>
      <c r="Y110" s="8">
        <v>1.7448470922733199</v>
      </c>
      <c r="Z110" s="8">
        <v>1.7448663018710799</v>
      </c>
      <c r="AA110" s="8">
        <v>1.74433125242008</v>
      </c>
      <c r="AB110" s="6">
        <v>101.322049255347</v>
      </c>
      <c r="AC110" s="6">
        <v>101.321067768509</v>
      </c>
      <c r="AD110" s="6">
        <v>101.28757972692</v>
      </c>
      <c r="AE110" s="7">
        <v>3.8053504411903301E-4</v>
      </c>
      <c r="AF110" s="7">
        <v>3.7084819314225199E-4</v>
      </c>
      <c r="AG110" s="7">
        <v>4.0279460682462398E-5</v>
      </c>
      <c r="AZ110" s="23"/>
      <c r="BB110" s="12">
        <f t="shared" si="26"/>
        <v>0</v>
      </c>
      <c r="BC110" s="12">
        <f t="shared" si="27"/>
        <v>1</v>
      </c>
      <c r="BD110" s="12">
        <f t="shared" si="28"/>
        <v>0</v>
      </c>
      <c r="BE110" s="12">
        <f t="shared" si="24"/>
        <v>1</v>
      </c>
      <c r="BF110" s="12">
        <f t="shared" si="29"/>
        <v>0</v>
      </c>
      <c r="BG110" s="23">
        <f t="shared" si="30"/>
        <v>0</v>
      </c>
      <c r="BH110" s="23">
        <f t="shared" si="31"/>
        <v>0</v>
      </c>
      <c r="BI110" s="23">
        <f t="shared" si="32"/>
        <v>0</v>
      </c>
      <c r="BJ110" s="18">
        <f t="shared" si="33"/>
        <v>1.4155918239679504E-3</v>
      </c>
      <c r="BL110" s="23"/>
      <c r="BN110" s="12">
        <f t="shared" si="34"/>
        <v>0</v>
      </c>
      <c r="BO110" s="12">
        <f t="shared" si="35"/>
        <v>0</v>
      </c>
      <c r="BP110" s="12">
        <f t="shared" si="36"/>
        <v>0</v>
      </c>
      <c r="BQ110" s="12">
        <f t="shared" si="25"/>
        <v>1</v>
      </c>
      <c r="BR110" s="12">
        <f t="shared" si="37"/>
        <v>0</v>
      </c>
      <c r="BS110" s="23">
        <f t="shared" si="38"/>
        <v>0</v>
      </c>
      <c r="BT110" s="23">
        <f t="shared" si="39"/>
        <v>0</v>
      </c>
      <c r="BU110" s="23">
        <f t="shared" si="40"/>
        <v>0</v>
      </c>
      <c r="BV110" s="18">
        <f t="shared" si="41"/>
        <v>2.6710298438228398E-3</v>
      </c>
      <c r="BX110" s="18">
        <f t="shared" si="42"/>
        <v>0</v>
      </c>
      <c r="BY110" s="18">
        <f t="shared" si="43"/>
        <v>4.08662166779079E-3</v>
      </c>
    </row>
    <row r="111" spans="1:77" x14ac:dyDescent="0.3">
      <c r="A111" s="1">
        <v>46183</v>
      </c>
      <c r="B111" s="6">
        <v>57.22</v>
      </c>
      <c r="C111" s="6">
        <v>99.83</v>
      </c>
      <c r="D111" s="7">
        <v>-2.6180309918155198E-3</v>
      </c>
      <c r="E111" s="7">
        <v>-1.70144663975757E-3</v>
      </c>
      <c r="F111" s="6">
        <v>0</v>
      </c>
      <c r="G111" s="6">
        <v>0.69929999999999903</v>
      </c>
      <c r="H111" s="6">
        <v>0</v>
      </c>
      <c r="I111" s="6">
        <v>1.2835000000000001</v>
      </c>
      <c r="J111" s="6">
        <v>0.69929999999999903</v>
      </c>
      <c r="K111" s="6">
        <v>1.2835000000000001</v>
      </c>
      <c r="L111" s="6">
        <v>57.9193</v>
      </c>
      <c r="M111" s="6">
        <v>101.1135</v>
      </c>
      <c r="N111" s="8">
        <v>1.7446696959105199</v>
      </c>
      <c r="O111" s="8">
        <v>1.7441031794745401</v>
      </c>
      <c r="P111" s="8">
        <v>1.74390103757959</v>
      </c>
      <c r="Q111" s="8">
        <v>1.74347165314483</v>
      </c>
      <c r="R111" s="6">
        <v>99.797583929533204</v>
      </c>
      <c r="S111" s="6">
        <v>99.782970467959302</v>
      </c>
      <c r="T111" s="6">
        <v>99.757664729641803</v>
      </c>
      <c r="U111" s="7">
        <v>-3.2476544687476497E-4</v>
      </c>
      <c r="V111" s="7">
        <v>-4.7120718458944298E-4</v>
      </c>
      <c r="W111" s="7">
        <v>-7.2484713545031799E-4</v>
      </c>
      <c r="X111" s="8">
        <v>1.74576522851622</v>
      </c>
      <c r="Y111" s="8">
        <v>1.7448470922733199</v>
      </c>
      <c r="Z111" s="8">
        <v>1.7449473202964501</v>
      </c>
      <c r="AA111" s="8">
        <v>1.7444108566057499</v>
      </c>
      <c r="AB111" s="6">
        <v>101.060322191506</v>
      </c>
      <c r="AC111" s="6">
        <v>101.061434797961</v>
      </c>
      <c r="AD111" s="6">
        <v>101.030445108294</v>
      </c>
      <c r="AE111" s="7">
        <v>-5.2606028954499395E-4</v>
      </c>
      <c r="AF111" s="7">
        <v>-5.1505101996150195E-4</v>
      </c>
      <c r="AG111" s="7">
        <v>-8.2174013507752496E-4</v>
      </c>
      <c r="AZ111" s="23"/>
      <c r="BB111" s="12">
        <f t="shared" si="26"/>
        <v>0</v>
      </c>
      <c r="BC111" s="12">
        <f t="shared" si="27"/>
        <v>0</v>
      </c>
      <c r="BD111" s="12">
        <f t="shared" si="28"/>
        <v>0</v>
      </c>
      <c r="BE111" s="12">
        <f t="shared" si="24"/>
        <v>1</v>
      </c>
      <c r="BF111" s="12">
        <f t="shared" si="29"/>
        <v>0</v>
      </c>
      <c r="BG111" s="23">
        <f t="shared" si="30"/>
        <v>0</v>
      </c>
      <c r="BH111" s="23">
        <f t="shared" si="31"/>
        <v>0</v>
      </c>
      <c r="BI111" s="23">
        <f t="shared" si="32"/>
        <v>0</v>
      </c>
      <c r="BJ111" s="18">
        <f t="shared" si="33"/>
        <v>1.4155918239679504E-3</v>
      </c>
      <c r="BL111" s="23"/>
      <c r="BN111" s="12">
        <f t="shared" si="34"/>
        <v>0</v>
      </c>
      <c r="BO111" s="12">
        <f t="shared" si="35"/>
        <v>1</v>
      </c>
      <c r="BP111" s="12">
        <f t="shared" si="36"/>
        <v>0</v>
      </c>
      <c r="BQ111" s="12">
        <f t="shared" si="25"/>
        <v>1</v>
      </c>
      <c r="BR111" s="12">
        <f t="shared" si="37"/>
        <v>0</v>
      </c>
      <c r="BS111" s="23">
        <f t="shared" si="38"/>
        <v>0</v>
      </c>
      <c r="BT111" s="23">
        <f t="shared" si="39"/>
        <v>0</v>
      </c>
      <c r="BU111" s="23">
        <f t="shared" si="40"/>
        <v>0</v>
      </c>
      <c r="BV111" s="18">
        <f t="shared" si="41"/>
        <v>2.6710298438228398E-3</v>
      </c>
      <c r="BX111" s="18">
        <f t="shared" si="42"/>
        <v>0</v>
      </c>
      <c r="BY111" s="18">
        <f t="shared" si="43"/>
        <v>4.08662166779079E-3</v>
      </c>
    </row>
    <row r="112" spans="1:77" x14ac:dyDescent="0.3">
      <c r="A112" s="1">
        <v>46184</v>
      </c>
      <c r="B112" s="6">
        <v>57.33</v>
      </c>
      <c r="C112" s="6">
        <v>99.96</v>
      </c>
      <c r="D112" s="7">
        <v>1.92055929832712E-3</v>
      </c>
      <c r="E112" s="7">
        <v>1.3013666184178E-3</v>
      </c>
      <c r="F112" s="6">
        <v>0</v>
      </c>
      <c r="G112" s="6">
        <v>0.69929999999999903</v>
      </c>
      <c r="H112" s="6">
        <v>0</v>
      </c>
      <c r="I112" s="6">
        <v>1.2835000000000001</v>
      </c>
      <c r="J112" s="6">
        <v>0.69929999999999903</v>
      </c>
      <c r="K112" s="6">
        <v>1.2835000000000001</v>
      </c>
      <c r="L112" s="6">
        <v>58.029299999999999</v>
      </c>
      <c r="M112" s="6">
        <v>101.2435</v>
      </c>
      <c r="N112" s="8">
        <v>1.7435897435897401</v>
      </c>
      <c r="O112" s="8">
        <v>1.7441031794745401</v>
      </c>
      <c r="P112" s="8">
        <v>1.7438844660870401</v>
      </c>
      <c r="Q112" s="8">
        <v>1.7434536657539901</v>
      </c>
      <c r="R112" s="6">
        <v>99.989435279275398</v>
      </c>
      <c r="S112" s="6">
        <v>99.977846484438103</v>
      </c>
      <c r="T112" s="6">
        <v>99.953229874793095</v>
      </c>
      <c r="U112" s="7">
        <v>2.9442723303469402E-4</v>
      </c>
      <c r="V112" s="7">
        <v>1.7852032318436801E-4</v>
      </c>
      <c r="W112" s="7">
        <v>-6.7730637073996506E-5</v>
      </c>
      <c r="X112" s="8">
        <v>1.7446962138092299</v>
      </c>
      <c r="Y112" s="8">
        <v>1.7448470922733199</v>
      </c>
      <c r="Z112" s="8">
        <v>1.74495939711853</v>
      </c>
      <c r="AA112" s="8">
        <v>1.7444071241606001</v>
      </c>
      <c r="AB112" s="6">
        <v>101.25225537165601</v>
      </c>
      <c r="AC112" s="6">
        <v>101.258071533679</v>
      </c>
      <c r="AD112" s="6">
        <v>101.226940921232</v>
      </c>
      <c r="AE112" s="7">
        <v>8.6474619140556003E-5</v>
      </c>
      <c r="AF112" s="7">
        <v>1.4391526538625E-4</v>
      </c>
      <c r="AG112" s="7">
        <v>-1.6357033381685199E-4</v>
      </c>
      <c r="AZ112" s="23"/>
      <c r="BB112" s="12">
        <f t="shared" si="26"/>
        <v>0</v>
      </c>
      <c r="BC112" s="12">
        <f t="shared" si="27"/>
        <v>0</v>
      </c>
      <c r="BD112" s="12">
        <f t="shared" si="28"/>
        <v>0</v>
      </c>
      <c r="BE112" s="12">
        <f t="shared" si="24"/>
        <v>1</v>
      </c>
      <c r="BF112" s="12">
        <f t="shared" si="29"/>
        <v>0</v>
      </c>
      <c r="BG112" s="23">
        <f t="shared" si="30"/>
        <v>0</v>
      </c>
      <c r="BH112" s="23">
        <f t="shared" si="31"/>
        <v>0</v>
      </c>
      <c r="BI112" s="23">
        <f t="shared" si="32"/>
        <v>0</v>
      </c>
      <c r="BJ112" s="18">
        <f t="shared" si="33"/>
        <v>1.4155918239679504E-3</v>
      </c>
      <c r="BL112" s="23"/>
      <c r="BN112" s="12">
        <f t="shared" si="34"/>
        <v>0</v>
      </c>
      <c r="BO112" s="12">
        <f t="shared" si="35"/>
        <v>1</v>
      </c>
      <c r="BP112" s="12">
        <f t="shared" si="36"/>
        <v>0</v>
      </c>
      <c r="BQ112" s="12">
        <f t="shared" si="25"/>
        <v>1</v>
      </c>
      <c r="BR112" s="12">
        <f t="shared" si="37"/>
        <v>0</v>
      </c>
      <c r="BS112" s="23">
        <f t="shared" si="38"/>
        <v>0</v>
      </c>
      <c r="BT112" s="23">
        <f t="shared" si="39"/>
        <v>0</v>
      </c>
      <c r="BU112" s="23">
        <f t="shared" si="40"/>
        <v>0</v>
      </c>
      <c r="BV112" s="18">
        <f t="shared" si="41"/>
        <v>2.6710298438228398E-3</v>
      </c>
      <c r="BX112" s="18">
        <f t="shared" si="42"/>
        <v>0</v>
      </c>
      <c r="BY112" s="18">
        <f t="shared" si="43"/>
        <v>4.08662166779079E-3</v>
      </c>
    </row>
    <row r="113" spans="1:77" x14ac:dyDescent="0.3">
      <c r="A113" s="1">
        <v>46185</v>
      </c>
      <c r="B113" s="6">
        <v>57.31</v>
      </c>
      <c r="C113" s="6">
        <v>99.96</v>
      </c>
      <c r="D113" s="7">
        <v>-3.4891835664516998E-4</v>
      </c>
      <c r="E113" s="7">
        <v>0</v>
      </c>
      <c r="F113" s="6">
        <v>0</v>
      </c>
      <c r="G113" s="6">
        <v>0.69929999999999903</v>
      </c>
      <c r="H113" s="6">
        <v>0</v>
      </c>
      <c r="I113" s="6">
        <v>1.2835000000000001</v>
      </c>
      <c r="J113" s="6">
        <v>0.69929999999999903</v>
      </c>
      <c r="K113" s="6">
        <v>1.2835000000000001</v>
      </c>
      <c r="L113" s="6">
        <v>58.009300000000003</v>
      </c>
      <c r="M113" s="6">
        <v>101.2435</v>
      </c>
      <c r="N113" s="8">
        <v>1.7441982202058901</v>
      </c>
      <c r="O113" s="8">
        <v>1.7441031794745401</v>
      </c>
      <c r="P113" s="8">
        <v>1.74384918784607</v>
      </c>
      <c r="Q113" s="8">
        <v>1.7435229736787301</v>
      </c>
      <c r="R113" s="6">
        <v>99.954553215685905</v>
      </c>
      <c r="S113" s="6">
        <v>99.942018751448302</v>
      </c>
      <c r="T113" s="6">
        <v>99.917329584361198</v>
      </c>
      <c r="U113" s="7">
        <v>-5.4491123610545597E-5</v>
      </c>
      <c r="V113" s="7">
        <v>-1.7990062043866901E-4</v>
      </c>
      <c r="W113" s="7">
        <v>-4.2696604338023699E-4</v>
      </c>
      <c r="X113" s="8">
        <v>1.74529773674221</v>
      </c>
      <c r="Y113" s="8">
        <v>1.7448470922733199</v>
      </c>
      <c r="Z113" s="8">
        <v>1.74495298435559</v>
      </c>
      <c r="AA113" s="8">
        <v>1.74448979951601</v>
      </c>
      <c r="AB113" s="6">
        <v>101.21735842981001</v>
      </c>
      <c r="AC113" s="6">
        <v>101.223873155268</v>
      </c>
      <c r="AD113" s="6">
        <v>101.191836187569</v>
      </c>
      <c r="AE113" s="7">
        <v>-2.5823826429725199E-4</v>
      </c>
      <c r="AF113" s="7">
        <v>-1.9387661811583301E-4</v>
      </c>
      <c r="AG113" s="7">
        <v>-5.1042287897713897E-4</v>
      </c>
      <c r="AZ113" s="23"/>
      <c r="BB113" s="12">
        <f t="shared" si="26"/>
        <v>0</v>
      </c>
      <c r="BC113" s="12">
        <f t="shared" si="27"/>
        <v>0</v>
      </c>
      <c r="BD113" s="12">
        <f t="shared" si="28"/>
        <v>0</v>
      </c>
      <c r="BE113" s="12">
        <f t="shared" si="24"/>
        <v>1</v>
      </c>
      <c r="BF113" s="12">
        <f t="shared" si="29"/>
        <v>0</v>
      </c>
      <c r="BG113" s="23">
        <f t="shared" si="30"/>
        <v>0</v>
      </c>
      <c r="BH113" s="23">
        <f t="shared" si="31"/>
        <v>0</v>
      </c>
      <c r="BI113" s="23">
        <f t="shared" si="32"/>
        <v>0</v>
      </c>
      <c r="BJ113" s="18">
        <f t="shared" si="33"/>
        <v>1.4155918239679504E-3</v>
      </c>
      <c r="BL113" s="23"/>
      <c r="BN113" s="12">
        <f t="shared" si="34"/>
        <v>0</v>
      </c>
      <c r="BO113" s="12">
        <f t="shared" si="35"/>
        <v>1</v>
      </c>
      <c r="BP113" s="12">
        <f t="shared" si="36"/>
        <v>0</v>
      </c>
      <c r="BQ113" s="12">
        <f t="shared" si="25"/>
        <v>1</v>
      </c>
      <c r="BR113" s="12">
        <f t="shared" si="37"/>
        <v>0</v>
      </c>
      <c r="BS113" s="23">
        <f t="shared" si="38"/>
        <v>0</v>
      </c>
      <c r="BT113" s="23">
        <f t="shared" si="39"/>
        <v>0</v>
      </c>
      <c r="BU113" s="23">
        <f t="shared" si="40"/>
        <v>0</v>
      </c>
      <c r="BV113" s="18">
        <f t="shared" si="41"/>
        <v>2.6710298438228398E-3</v>
      </c>
      <c r="BX113" s="18">
        <f t="shared" si="42"/>
        <v>0</v>
      </c>
      <c r="BY113" s="18">
        <f t="shared" si="43"/>
        <v>4.08662166779079E-3</v>
      </c>
    </row>
    <row r="114" spans="1:77" x14ac:dyDescent="0.3">
      <c r="A114" s="1">
        <v>46188</v>
      </c>
      <c r="B114" s="6">
        <v>57.38</v>
      </c>
      <c r="C114" s="6">
        <v>100.07</v>
      </c>
      <c r="D114" s="7">
        <v>1.2206819895726E-3</v>
      </c>
      <c r="E114" s="7">
        <v>1.0998351356130099E-3</v>
      </c>
      <c r="F114" s="6">
        <v>0</v>
      </c>
      <c r="G114" s="6">
        <v>0.69929999999999903</v>
      </c>
      <c r="H114" s="6">
        <v>0</v>
      </c>
      <c r="I114" s="6">
        <v>1.2835000000000001</v>
      </c>
      <c r="J114" s="6">
        <v>0.69929999999999903</v>
      </c>
      <c r="K114" s="6">
        <v>1.2835000000000001</v>
      </c>
      <c r="L114" s="6">
        <v>58.079300000000003</v>
      </c>
      <c r="M114" s="6">
        <v>101.3535</v>
      </c>
      <c r="N114" s="8">
        <v>1.7439874520738901</v>
      </c>
      <c r="O114" s="8">
        <v>1.7441031794745401</v>
      </c>
      <c r="P114" s="8">
        <v>1.7438244529696101</v>
      </c>
      <c r="Q114" s="8">
        <v>1.7435679176858401</v>
      </c>
      <c r="R114" s="6">
        <v>100.076640438249</v>
      </c>
      <c r="S114" s="6">
        <v>100.062066398608</v>
      </c>
      <c r="T114" s="6">
        <v>100.04334822968499</v>
      </c>
      <c r="U114" s="7">
        <v>6.6355730349149496E-5</v>
      </c>
      <c r="V114" s="7">
        <v>-7.9283660423690405E-5</v>
      </c>
      <c r="W114" s="7">
        <v>-2.6636674372497698E-4</v>
      </c>
      <c r="X114" s="8">
        <v>1.7450881811592001</v>
      </c>
      <c r="Y114" s="8">
        <v>1.7448470922733199</v>
      </c>
      <c r="Z114" s="8">
        <v>1.7449282820458201</v>
      </c>
      <c r="AA114" s="8">
        <v>1.7445481254928801</v>
      </c>
      <c r="AB114" s="6">
        <v>101.339497726269</v>
      </c>
      <c r="AC114" s="6">
        <v>101.34564786428299</v>
      </c>
      <c r="AD114" s="6">
        <v>101.31874641303</v>
      </c>
      <c r="AE114" s="7">
        <v>-1.38162382612829E-4</v>
      </c>
      <c r="AF114" s="7">
        <v>-7.7475764480138603E-5</v>
      </c>
      <c r="AG114" s="7">
        <v>-3.4295359059141698E-4</v>
      </c>
      <c r="AZ114" s="23"/>
      <c r="BB114" s="12">
        <f t="shared" si="26"/>
        <v>0</v>
      </c>
      <c r="BC114" s="12">
        <f t="shared" si="27"/>
        <v>0</v>
      </c>
      <c r="BD114" s="12">
        <f t="shared" si="28"/>
        <v>0</v>
      </c>
      <c r="BE114" s="12">
        <f t="shared" si="24"/>
        <v>1</v>
      </c>
      <c r="BF114" s="12">
        <f t="shared" si="29"/>
        <v>0</v>
      </c>
      <c r="BG114" s="23">
        <f t="shared" si="30"/>
        <v>0</v>
      </c>
      <c r="BH114" s="23">
        <f t="shared" si="31"/>
        <v>0</v>
      </c>
      <c r="BI114" s="23">
        <f t="shared" si="32"/>
        <v>0</v>
      </c>
      <c r="BJ114" s="18">
        <f t="shared" si="33"/>
        <v>1.4155918239679504E-3</v>
      </c>
      <c r="BL114" s="23"/>
      <c r="BN114" s="12">
        <f t="shared" si="34"/>
        <v>0</v>
      </c>
      <c r="BO114" s="12">
        <f t="shared" si="35"/>
        <v>1</v>
      </c>
      <c r="BP114" s="12">
        <f t="shared" si="36"/>
        <v>0</v>
      </c>
      <c r="BQ114" s="12">
        <f t="shared" si="25"/>
        <v>1</v>
      </c>
      <c r="BR114" s="12">
        <f t="shared" si="37"/>
        <v>0</v>
      </c>
      <c r="BS114" s="23">
        <f t="shared" si="38"/>
        <v>0</v>
      </c>
      <c r="BT114" s="23">
        <f t="shared" si="39"/>
        <v>0</v>
      </c>
      <c r="BU114" s="23">
        <f t="shared" si="40"/>
        <v>0</v>
      </c>
      <c r="BV114" s="18">
        <f t="shared" si="41"/>
        <v>2.6710298438228398E-3</v>
      </c>
      <c r="BX114" s="18">
        <f t="shared" si="42"/>
        <v>0</v>
      </c>
      <c r="BY114" s="18">
        <f t="shared" si="43"/>
        <v>4.08662166779079E-3</v>
      </c>
    </row>
    <row r="115" spans="1:77" x14ac:dyDescent="0.3">
      <c r="A115" s="1">
        <v>46189</v>
      </c>
      <c r="B115" s="6">
        <v>57.4</v>
      </c>
      <c r="C115" s="6">
        <v>100.09</v>
      </c>
      <c r="D115" s="7">
        <v>3.48492772301889E-4</v>
      </c>
      <c r="E115" s="7">
        <v>1.9984012856290599E-4</v>
      </c>
      <c r="F115" s="6">
        <v>0</v>
      </c>
      <c r="G115" s="6">
        <v>0.69929999999999903</v>
      </c>
      <c r="H115" s="6">
        <v>0</v>
      </c>
      <c r="I115" s="6">
        <v>1.2835000000000001</v>
      </c>
      <c r="J115" s="6">
        <v>0.69929999999999903</v>
      </c>
      <c r="K115" s="6">
        <v>1.2835000000000001</v>
      </c>
      <c r="L115" s="6">
        <v>58.099299999999999</v>
      </c>
      <c r="M115" s="6">
        <v>101.37350000000001</v>
      </c>
      <c r="N115" s="8">
        <v>1.7437282229965101</v>
      </c>
      <c r="O115" s="8">
        <v>1.7441031794745401</v>
      </c>
      <c r="P115" s="8">
        <v>1.74376852941194</v>
      </c>
      <c r="Q115" s="8">
        <v>1.7436680612300299</v>
      </c>
      <c r="R115" s="6">
        <v>100.111522501838</v>
      </c>
      <c r="S115" s="6">
        <v>100.095523600455</v>
      </c>
      <c r="T115" s="6">
        <v>100.080798475167</v>
      </c>
      <c r="U115" s="7">
        <v>2.1500837408817099E-4</v>
      </c>
      <c r="V115" s="7">
        <v>5.5184814143552798E-5</v>
      </c>
      <c r="W115" s="7">
        <v>-9.1936735120481302E-5</v>
      </c>
      <c r="X115" s="8">
        <v>1.7448316933250401</v>
      </c>
      <c r="Y115" s="8">
        <v>1.7448470922733199</v>
      </c>
      <c r="Z115" s="8">
        <v>1.7448728993020499</v>
      </c>
      <c r="AA115" s="8">
        <v>1.74466112846977</v>
      </c>
      <c r="AB115" s="6">
        <v>101.374394668115</v>
      </c>
      <c r="AC115" s="6">
        <v>101.379111737065</v>
      </c>
      <c r="AD115" s="6">
        <v>101.35702490744799</v>
      </c>
      <c r="AE115" s="7">
        <v>8.8254244690137007E-6</v>
      </c>
      <c r="AF115" s="7">
        <v>5.5355509538979201E-5</v>
      </c>
      <c r="AG115" s="7">
        <v>-1.6253193834494899E-4</v>
      </c>
      <c r="AZ115" s="23"/>
      <c r="BB115" s="12">
        <f t="shared" si="26"/>
        <v>0</v>
      </c>
      <c r="BC115" s="12">
        <f t="shared" si="27"/>
        <v>0</v>
      </c>
      <c r="BD115" s="12">
        <f t="shared" si="28"/>
        <v>0</v>
      </c>
      <c r="BE115" s="12">
        <f t="shared" si="24"/>
        <v>1</v>
      </c>
      <c r="BF115" s="12">
        <f t="shared" si="29"/>
        <v>0</v>
      </c>
      <c r="BG115" s="23">
        <f t="shared" si="30"/>
        <v>0</v>
      </c>
      <c r="BH115" s="23">
        <f t="shared" si="31"/>
        <v>0</v>
      </c>
      <c r="BI115" s="23">
        <f t="shared" si="32"/>
        <v>0</v>
      </c>
      <c r="BJ115" s="18">
        <f t="shared" si="33"/>
        <v>1.4155918239679504E-3</v>
      </c>
      <c r="BL115" s="23"/>
      <c r="BN115" s="12">
        <f t="shared" si="34"/>
        <v>0</v>
      </c>
      <c r="BO115" s="12">
        <f t="shared" si="35"/>
        <v>1</v>
      </c>
      <c r="BP115" s="12">
        <f t="shared" si="36"/>
        <v>0</v>
      </c>
      <c r="BQ115" s="12">
        <f t="shared" si="25"/>
        <v>1</v>
      </c>
      <c r="BR115" s="12">
        <f t="shared" si="37"/>
        <v>0</v>
      </c>
      <c r="BS115" s="23">
        <f t="shared" si="38"/>
        <v>0</v>
      </c>
      <c r="BT115" s="23">
        <f t="shared" si="39"/>
        <v>0</v>
      </c>
      <c r="BU115" s="23">
        <f t="shared" si="40"/>
        <v>0</v>
      </c>
      <c r="BV115" s="18">
        <f t="shared" si="41"/>
        <v>2.6710298438228398E-3</v>
      </c>
      <c r="BX115" s="18">
        <f t="shared" si="42"/>
        <v>0</v>
      </c>
      <c r="BY115" s="18">
        <f t="shared" si="43"/>
        <v>4.08662166779079E-3</v>
      </c>
    </row>
    <row r="116" spans="1:77" x14ac:dyDescent="0.3">
      <c r="A116" s="1">
        <v>46190</v>
      </c>
      <c r="B116" s="6">
        <v>57.33</v>
      </c>
      <c r="C116" s="6">
        <v>100</v>
      </c>
      <c r="D116" s="7">
        <v>-1.2202564052293701E-3</v>
      </c>
      <c r="E116" s="7">
        <v>-8.99595242836148E-4</v>
      </c>
      <c r="F116" s="6">
        <v>0</v>
      </c>
      <c r="G116" s="6">
        <v>0.69929999999999903</v>
      </c>
      <c r="H116" s="6">
        <v>0</v>
      </c>
      <c r="I116" s="6">
        <v>1.2835000000000001</v>
      </c>
      <c r="J116" s="6">
        <v>0.69929999999999903</v>
      </c>
      <c r="K116" s="6">
        <v>1.2835000000000001</v>
      </c>
      <c r="L116" s="6">
        <v>58.029299999999999</v>
      </c>
      <c r="M116" s="6">
        <v>101.2835</v>
      </c>
      <c r="N116" s="8">
        <v>1.74428745857317</v>
      </c>
      <c r="O116" s="8">
        <v>1.7441031794745401</v>
      </c>
      <c r="P116" s="8">
        <v>1.74379490221045</v>
      </c>
      <c r="Q116" s="8">
        <v>1.7438104256871001</v>
      </c>
      <c r="R116" s="6">
        <v>99.989435279275398</v>
      </c>
      <c r="S116" s="6">
        <v>99.970249791186802</v>
      </c>
      <c r="T116" s="6">
        <v>99.964489950317798</v>
      </c>
      <c r="U116" s="7">
        <v>-1.05652788305214E-4</v>
      </c>
      <c r="V116" s="7">
        <v>-2.9754635065696401E-4</v>
      </c>
      <c r="W116" s="7">
        <v>-3.5516355993232802E-4</v>
      </c>
      <c r="X116" s="8">
        <v>1.74538552076278</v>
      </c>
      <c r="Y116" s="8">
        <v>1.7448470922733199</v>
      </c>
      <c r="Z116" s="8">
        <v>1.7448989163192901</v>
      </c>
      <c r="AA116" s="8">
        <v>1.7448158385778001</v>
      </c>
      <c r="AB116" s="6">
        <v>101.25225537165601</v>
      </c>
      <c r="AC116" s="6">
        <v>101.253752935468</v>
      </c>
      <c r="AD116" s="6">
        <v>101.24146402231101</v>
      </c>
      <c r="AE116" s="7">
        <v>-3.0853444651609299E-4</v>
      </c>
      <c r="AF116" s="7">
        <v>-2.9374413165123698E-4</v>
      </c>
      <c r="AG116" s="7">
        <v>-4.1511898047276501E-4</v>
      </c>
      <c r="AZ116" s="23"/>
      <c r="BB116" s="12">
        <f t="shared" si="26"/>
        <v>0</v>
      </c>
      <c r="BC116" s="12">
        <f t="shared" si="27"/>
        <v>0</v>
      </c>
      <c r="BD116" s="12">
        <f t="shared" si="28"/>
        <v>0</v>
      </c>
      <c r="BE116" s="12">
        <f t="shared" si="24"/>
        <v>1</v>
      </c>
      <c r="BF116" s="12">
        <f t="shared" si="29"/>
        <v>0</v>
      </c>
      <c r="BG116" s="23">
        <f t="shared" si="30"/>
        <v>0</v>
      </c>
      <c r="BH116" s="23">
        <f t="shared" si="31"/>
        <v>0</v>
      </c>
      <c r="BI116" s="23">
        <f t="shared" si="32"/>
        <v>0</v>
      </c>
      <c r="BJ116" s="18">
        <f t="shared" si="33"/>
        <v>1.4155918239679504E-3</v>
      </c>
      <c r="BL116" s="23"/>
      <c r="BN116" s="12">
        <f t="shared" si="34"/>
        <v>0</v>
      </c>
      <c r="BO116" s="12">
        <f t="shared" si="35"/>
        <v>1</v>
      </c>
      <c r="BP116" s="12">
        <f t="shared" si="36"/>
        <v>0</v>
      </c>
      <c r="BQ116" s="12">
        <f t="shared" si="25"/>
        <v>1</v>
      </c>
      <c r="BR116" s="12">
        <f t="shared" si="37"/>
        <v>0</v>
      </c>
      <c r="BS116" s="23">
        <f t="shared" si="38"/>
        <v>0</v>
      </c>
      <c r="BT116" s="23">
        <f t="shared" si="39"/>
        <v>0</v>
      </c>
      <c r="BU116" s="23">
        <f t="shared" si="40"/>
        <v>0</v>
      </c>
      <c r="BV116" s="18">
        <f t="shared" si="41"/>
        <v>2.6710298438228398E-3</v>
      </c>
      <c r="BX116" s="18">
        <f t="shared" si="42"/>
        <v>0</v>
      </c>
      <c r="BY116" s="18">
        <f t="shared" si="43"/>
        <v>4.08662166779079E-3</v>
      </c>
    </row>
    <row r="117" spans="1:77" x14ac:dyDescent="0.3">
      <c r="A117" s="1">
        <v>46191</v>
      </c>
      <c r="B117" s="6">
        <v>57.5</v>
      </c>
      <c r="C117" s="6">
        <v>100.24</v>
      </c>
      <c r="D117" s="7">
        <v>2.9609008830133502E-3</v>
      </c>
      <c r="E117" s="7">
        <v>2.3971245997214501E-3</v>
      </c>
      <c r="F117" s="6">
        <v>0</v>
      </c>
      <c r="G117" s="6">
        <v>0.69929999999999903</v>
      </c>
      <c r="H117" s="6">
        <v>0</v>
      </c>
      <c r="I117" s="6">
        <v>1.2835000000000001</v>
      </c>
      <c r="J117" s="6">
        <v>0.69929999999999903</v>
      </c>
      <c r="K117" s="6">
        <v>1.2835000000000001</v>
      </c>
      <c r="L117" s="6">
        <v>58.199300000000001</v>
      </c>
      <c r="M117" s="6">
        <v>101.5235</v>
      </c>
      <c r="N117" s="8">
        <v>1.7433043478260799</v>
      </c>
      <c r="O117" s="8">
        <v>1.7441031794745401</v>
      </c>
      <c r="P117" s="8">
        <v>1.7438485855117101</v>
      </c>
      <c r="Q117" s="8">
        <v>1.7437862157656301</v>
      </c>
      <c r="R117" s="6">
        <v>100.285932819786</v>
      </c>
      <c r="S117" s="6">
        <v>100.26820687710099</v>
      </c>
      <c r="T117" s="6">
        <v>100.269099477008</v>
      </c>
      <c r="U117" s="7">
        <v>4.5812349498688102E-4</v>
      </c>
      <c r="V117" s="7">
        <v>2.8135384308524601E-4</v>
      </c>
      <c r="W117" s="7">
        <v>2.9025592642835201E-4</v>
      </c>
      <c r="X117" s="8">
        <v>1.7444110152527601</v>
      </c>
      <c r="Y117" s="8">
        <v>1.7448470922733199</v>
      </c>
      <c r="Z117" s="8">
        <v>1.7449517245972299</v>
      </c>
      <c r="AA117" s="8">
        <v>1.74480562118343</v>
      </c>
      <c r="AB117" s="6">
        <v>101.548879377342</v>
      </c>
      <c r="AC117" s="6">
        <v>101.55189550054099</v>
      </c>
      <c r="AD117" s="6">
        <v>101.547060434141</v>
      </c>
      <c r="AE117" s="7">
        <v>2.4995400706505301E-4</v>
      </c>
      <c r="AF117" s="7">
        <v>2.7965476227992701E-4</v>
      </c>
      <c r="AG117" s="7">
        <v>2.32041849852527E-4</v>
      </c>
      <c r="AZ117" s="23"/>
      <c r="BB117" s="12">
        <f t="shared" si="26"/>
        <v>0</v>
      </c>
      <c r="BC117" s="12">
        <f t="shared" si="27"/>
        <v>1</v>
      </c>
      <c r="BD117" s="12">
        <f t="shared" si="28"/>
        <v>0</v>
      </c>
      <c r="BE117" s="12">
        <f t="shared" si="24"/>
        <v>1</v>
      </c>
      <c r="BF117" s="12">
        <f t="shared" si="29"/>
        <v>0</v>
      </c>
      <c r="BG117" s="23">
        <f t="shared" si="30"/>
        <v>0</v>
      </c>
      <c r="BH117" s="23">
        <f t="shared" si="31"/>
        <v>0</v>
      </c>
      <c r="BI117" s="23">
        <f t="shared" si="32"/>
        <v>0</v>
      </c>
      <c r="BJ117" s="18">
        <f t="shared" si="33"/>
        <v>1.4155918239679504E-3</v>
      </c>
      <c r="BL117" s="23"/>
      <c r="BN117" s="12">
        <f t="shared" si="34"/>
        <v>0</v>
      </c>
      <c r="BO117" s="12">
        <f t="shared" si="35"/>
        <v>0</v>
      </c>
      <c r="BP117" s="12">
        <f t="shared" si="36"/>
        <v>0</v>
      </c>
      <c r="BQ117" s="12">
        <f t="shared" si="25"/>
        <v>1</v>
      </c>
      <c r="BR117" s="12">
        <f t="shared" si="37"/>
        <v>0</v>
      </c>
      <c r="BS117" s="23">
        <f t="shared" si="38"/>
        <v>0</v>
      </c>
      <c r="BT117" s="23">
        <f t="shared" si="39"/>
        <v>0</v>
      </c>
      <c r="BU117" s="23">
        <f t="shared" si="40"/>
        <v>0</v>
      </c>
      <c r="BV117" s="18">
        <f t="shared" si="41"/>
        <v>2.6710298438228398E-3</v>
      </c>
      <c r="BX117" s="18">
        <f t="shared" si="42"/>
        <v>0</v>
      </c>
      <c r="BY117" s="18">
        <f t="shared" si="43"/>
        <v>4.08662166779079E-3</v>
      </c>
    </row>
    <row r="118" spans="1:77" x14ac:dyDescent="0.3">
      <c r="A118" s="1">
        <v>46195</v>
      </c>
      <c r="B118" s="6">
        <v>57.49</v>
      </c>
      <c r="C118" s="6">
        <v>100.28</v>
      </c>
      <c r="D118" s="7">
        <v>-1.73928168105197E-4</v>
      </c>
      <c r="E118" s="7">
        <v>3.9896270227978402E-4</v>
      </c>
      <c r="F118" s="6">
        <v>0</v>
      </c>
      <c r="G118" s="6">
        <v>0.69929999999999903</v>
      </c>
      <c r="H118" s="6">
        <v>0</v>
      </c>
      <c r="I118" s="6">
        <v>1.2835000000000001</v>
      </c>
      <c r="J118" s="6">
        <v>0.69929999999999903</v>
      </c>
      <c r="K118" s="6">
        <v>1.2835000000000001</v>
      </c>
      <c r="L118" s="6">
        <v>58.189300000000003</v>
      </c>
      <c r="M118" s="6">
        <v>101.5635</v>
      </c>
      <c r="N118" s="8">
        <v>1.7443033571055799</v>
      </c>
      <c r="O118" s="8">
        <v>1.7441031794745401</v>
      </c>
      <c r="P118" s="8">
        <v>1.74392487094294</v>
      </c>
      <c r="Q118" s="8">
        <v>1.7438338655656</v>
      </c>
      <c r="R118" s="6">
        <v>100.268491787991</v>
      </c>
      <c r="S118" s="6">
        <v>100.253855181068</v>
      </c>
      <c r="T118" s="6">
        <v>100.25026954436601</v>
      </c>
      <c r="U118" s="7">
        <v>-1.14767375398114E-4</v>
      </c>
      <c r="V118" s="7">
        <v>-2.60752171307781E-4</v>
      </c>
      <c r="W118" s="7">
        <v>-2.9651838516812099E-4</v>
      </c>
      <c r="X118" s="8">
        <v>1.7453982089490601</v>
      </c>
      <c r="Y118" s="8">
        <v>1.7448470922733199</v>
      </c>
      <c r="Z118" s="8">
        <v>1.74502669338113</v>
      </c>
      <c r="AA118" s="8">
        <v>1.7448664726891501</v>
      </c>
      <c r="AB118" s="6">
        <v>101.531430906419</v>
      </c>
      <c r="AC118" s="6">
        <v>101.53751938810601</v>
      </c>
      <c r="AD118" s="6">
        <v>101.529017732729</v>
      </c>
      <c r="AE118" s="7">
        <v>-3.1580398096071302E-4</v>
      </c>
      <c r="AF118" s="7">
        <v>-2.5583930709848401E-4</v>
      </c>
      <c r="AG118" s="7">
        <v>-3.3957201365390999E-4</v>
      </c>
      <c r="AZ118" s="23"/>
      <c r="BB118" s="12">
        <f t="shared" si="26"/>
        <v>0</v>
      </c>
      <c r="BC118" s="12">
        <f t="shared" si="27"/>
        <v>0</v>
      </c>
      <c r="BD118" s="12">
        <f t="shared" si="28"/>
        <v>0</v>
      </c>
      <c r="BE118" s="12">
        <f t="shared" si="24"/>
        <v>1</v>
      </c>
      <c r="BF118" s="12">
        <f t="shared" si="29"/>
        <v>0</v>
      </c>
      <c r="BG118" s="23">
        <f t="shared" si="30"/>
        <v>0</v>
      </c>
      <c r="BH118" s="23">
        <f t="shared" si="31"/>
        <v>0</v>
      </c>
      <c r="BI118" s="23">
        <f t="shared" si="32"/>
        <v>0</v>
      </c>
      <c r="BJ118" s="18">
        <f t="shared" si="33"/>
        <v>1.4155918239679504E-3</v>
      </c>
      <c r="BL118" s="23"/>
      <c r="BN118" s="12">
        <f t="shared" si="34"/>
        <v>0</v>
      </c>
      <c r="BO118" s="12">
        <f t="shared" si="35"/>
        <v>1</v>
      </c>
      <c r="BP118" s="12">
        <f t="shared" si="36"/>
        <v>0</v>
      </c>
      <c r="BQ118" s="12">
        <f t="shared" si="25"/>
        <v>1</v>
      </c>
      <c r="BR118" s="12">
        <f t="shared" si="37"/>
        <v>0</v>
      </c>
      <c r="BS118" s="23">
        <f t="shared" si="38"/>
        <v>0</v>
      </c>
      <c r="BT118" s="23">
        <f t="shared" si="39"/>
        <v>0</v>
      </c>
      <c r="BU118" s="23">
        <f t="shared" si="40"/>
        <v>0</v>
      </c>
      <c r="BV118" s="18">
        <f t="shared" si="41"/>
        <v>2.6710298438228398E-3</v>
      </c>
      <c r="BX118" s="18">
        <f t="shared" si="42"/>
        <v>0</v>
      </c>
      <c r="BY118" s="18">
        <f t="shared" si="43"/>
        <v>4.08662166779079E-3</v>
      </c>
    </row>
    <row r="119" spans="1:77" x14ac:dyDescent="0.3">
      <c r="A119" s="1">
        <v>46196</v>
      </c>
      <c r="B119" s="6">
        <v>57.45</v>
      </c>
      <c r="C119" s="6">
        <v>100.24</v>
      </c>
      <c r="D119" s="7">
        <v>-6.9601534043486901E-4</v>
      </c>
      <c r="E119" s="7">
        <v>-3.9896270227984999E-4</v>
      </c>
      <c r="F119" s="6">
        <v>0</v>
      </c>
      <c r="G119" s="6">
        <v>0.69929999999999903</v>
      </c>
      <c r="H119" s="6">
        <v>0</v>
      </c>
      <c r="I119" s="6">
        <v>1.2835000000000001</v>
      </c>
      <c r="J119" s="6">
        <v>0.69929999999999903</v>
      </c>
      <c r="K119" s="6">
        <v>1.2835000000000001</v>
      </c>
      <c r="L119" s="6">
        <v>58.149299999999997</v>
      </c>
      <c r="M119" s="6">
        <v>101.5235</v>
      </c>
      <c r="N119" s="8">
        <v>1.7448215839860699</v>
      </c>
      <c r="O119" s="8">
        <v>1.7441031794745401</v>
      </c>
      <c r="P119" s="8">
        <v>1.7439961373883299</v>
      </c>
      <c r="Q119" s="8">
        <v>1.74391801302669</v>
      </c>
      <c r="R119" s="6">
        <v>100.198727660812</v>
      </c>
      <c r="S119" s="6">
        <v>100.188483835672</v>
      </c>
      <c r="T119" s="6">
        <v>100.183255576744</v>
      </c>
      <c r="U119" s="7">
        <v>-4.1182001355322801E-4</v>
      </c>
      <c r="V119" s="7">
        <v>-5.1406032193028397E-4</v>
      </c>
      <c r="W119" s="7">
        <v>-5.6624591401693196E-4</v>
      </c>
      <c r="X119" s="8">
        <v>1.7459109567956901</v>
      </c>
      <c r="Y119" s="8">
        <v>1.7448470922733199</v>
      </c>
      <c r="Z119" s="8">
        <v>1.7450967998437199</v>
      </c>
      <c r="AA119" s="8">
        <v>1.7449634950625701</v>
      </c>
      <c r="AB119" s="6">
        <v>101.46163702272899</v>
      </c>
      <c r="AC119" s="6">
        <v>101.472080701427</v>
      </c>
      <c r="AD119" s="6">
        <v>101.462763980343</v>
      </c>
      <c r="AE119" s="7">
        <v>-6.0953210755903501E-4</v>
      </c>
      <c r="AF119" s="7">
        <v>-5.0660511420519601E-4</v>
      </c>
      <c r="AG119" s="7">
        <v>-5.9842494046594597E-4</v>
      </c>
      <c r="AZ119" s="23"/>
      <c r="BB119" s="12">
        <f t="shared" si="26"/>
        <v>0</v>
      </c>
      <c r="BC119" s="12">
        <f t="shared" si="27"/>
        <v>0</v>
      </c>
      <c r="BD119" s="12">
        <f t="shared" si="28"/>
        <v>0</v>
      </c>
      <c r="BE119" s="12">
        <f t="shared" si="24"/>
        <v>1</v>
      </c>
      <c r="BF119" s="12">
        <f t="shared" si="29"/>
        <v>0</v>
      </c>
      <c r="BG119" s="23">
        <f t="shared" si="30"/>
        <v>0</v>
      </c>
      <c r="BH119" s="23">
        <f t="shared" si="31"/>
        <v>0</v>
      </c>
      <c r="BI119" s="23">
        <f t="shared" si="32"/>
        <v>0</v>
      </c>
      <c r="BJ119" s="18">
        <f t="shared" si="33"/>
        <v>1.4155918239679504E-3</v>
      </c>
      <c r="BL119" s="23"/>
      <c r="BN119" s="12">
        <f t="shared" si="34"/>
        <v>0</v>
      </c>
      <c r="BO119" s="12">
        <f t="shared" si="35"/>
        <v>1</v>
      </c>
      <c r="BP119" s="12">
        <f t="shared" si="36"/>
        <v>0</v>
      </c>
      <c r="BQ119" s="12">
        <f t="shared" si="25"/>
        <v>1</v>
      </c>
      <c r="BR119" s="12">
        <f t="shared" si="37"/>
        <v>0</v>
      </c>
      <c r="BS119" s="23">
        <f t="shared" si="38"/>
        <v>0</v>
      </c>
      <c r="BT119" s="23">
        <f t="shared" si="39"/>
        <v>0</v>
      </c>
      <c r="BU119" s="23">
        <f t="shared" si="40"/>
        <v>0</v>
      </c>
      <c r="BV119" s="18">
        <f t="shared" si="41"/>
        <v>2.6710298438228398E-3</v>
      </c>
      <c r="BX119" s="18">
        <f t="shared" si="42"/>
        <v>0</v>
      </c>
      <c r="BY119" s="18">
        <f t="shared" si="43"/>
        <v>4.08662166779079E-3</v>
      </c>
    </row>
    <row r="120" spans="1:77" x14ac:dyDescent="0.3">
      <c r="A120" s="1">
        <v>46197</v>
      </c>
      <c r="B120" s="6">
        <v>57.51</v>
      </c>
      <c r="C120" s="6">
        <v>100.34</v>
      </c>
      <c r="D120" s="7">
        <v>1.0438414308979499E-3</v>
      </c>
      <c r="E120" s="7">
        <v>9.9710846829406197E-4</v>
      </c>
      <c r="F120" s="6">
        <v>0</v>
      </c>
      <c r="G120" s="6">
        <v>0.69929999999999903</v>
      </c>
      <c r="H120" s="6">
        <v>0</v>
      </c>
      <c r="I120" s="6">
        <v>1.2835000000000001</v>
      </c>
      <c r="J120" s="6">
        <v>0.69929999999999903</v>
      </c>
      <c r="K120" s="6">
        <v>1.2835000000000001</v>
      </c>
      <c r="L120" s="6">
        <v>58.209299999999999</v>
      </c>
      <c r="M120" s="6">
        <v>101.62350000000001</v>
      </c>
      <c r="N120" s="8">
        <v>1.7447400452095201</v>
      </c>
      <c r="O120" s="8">
        <v>1.7441031794745401</v>
      </c>
      <c r="P120" s="8">
        <v>1.7441630127476999</v>
      </c>
      <c r="Q120" s="8">
        <v>1.7440054007111301</v>
      </c>
      <c r="R120" s="6">
        <v>100.30337385158001</v>
      </c>
      <c r="S120" s="6">
        <v>100.297217861202</v>
      </c>
      <c r="T120" s="6">
        <v>100.292724929165</v>
      </c>
      <c r="U120" s="7">
        <v>-3.6508705094928499E-4</v>
      </c>
      <c r="V120" s="7">
        <v>-4.2646264637757702E-4</v>
      </c>
      <c r="W120" s="7">
        <v>-4.7125982789000001E-4</v>
      </c>
      <c r="X120" s="8">
        <v>1.74582927470352</v>
      </c>
      <c r="Y120" s="8">
        <v>1.7448470922733199</v>
      </c>
      <c r="Z120" s="8">
        <v>1.7452614030015701</v>
      </c>
      <c r="AA120" s="8">
        <v>1.74506385243633</v>
      </c>
      <c r="AB120" s="6">
        <v>101.566327848265</v>
      </c>
      <c r="AC120" s="6">
        <v>101.58086315114301</v>
      </c>
      <c r="AD120" s="6">
        <v>101.573103573145</v>
      </c>
      <c r="AE120" s="7">
        <v>-5.6274621469819502E-4</v>
      </c>
      <c r="AF120" s="7">
        <v>-4.1964501963522298E-4</v>
      </c>
      <c r="AG120" s="7">
        <v>-4.9603612463161898E-4</v>
      </c>
      <c r="AZ120" s="23"/>
      <c r="BB120" s="12">
        <f t="shared" si="26"/>
        <v>0</v>
      </c>
      <c r="BC120" s="12">
        <f t="shared" si="27"/>
        <v>0</v>
      </c>
      <c r="BD120" s="12">
        <f t="shared" si="28"/>
        <v>0</v>
      </c>
      <c r="BE120" s="12">
        <f t="shared" si="24"/>
        <v>1</v>
      </c>
      <c r="BF120" s="12">
        <f t="shared" si="29"/>
        <v>0</v>
      </c>
      <c r="BG120" s="23">
        <f t="shared" si="30"/>
        <v>0</v>
      </c>
      <c r="BH120" s="23">
        <f t="shared" si="31"/>
        <v>0</v>
      </c>
      <c r="BI120" s="23">
        <f t="shared" si="32"/>
        <v>0</v>
      </c>
      <c r="BJ120" s="18">
        <f t="shared" si="33"/>
        <v>1.4155918239679504E-3</v>
      </c>
      <c r="BL120" s="23"/>
      <c r="BN120" s="12">
        <f t="shared" si="34"/>
        <v>0</v>
      </c>
      <c r="BO120" s="12">
        <f t="shared" si="35"/>
        <v>1</v>
      </c>
      <c r="BP120" s="12">
        <f t="shared" si="36"/>
        <v>0</v>
      </c>
      <c r="BQ120" s="12">
        <f t="shared" si="25"/>
        <v>1</v>
      </c>
      <c r="BR120" s="12">
        <f t="shared" si="37"/>
        <v>0</v>
      </c>
      <c r="BS120" s="23">
        <f t="shared" si="38"/>
        <v>0</v>
      </c>
      <c r="BT120" s="23">
        <f t="shared" si="39"/>
        <v>0</v>
      </c>
      <c r="BU120" s="23">
        <f t="shared" si="40"/>
        <v>0</v>
      </c>
      <c r="BV120" s="18">
        <f t="shared" si="41"/>
        <v>2.6710298438228398E-3</v>
      </c>
      <c r="BX120" s="18">
        <f t="shared" si="42"/>
        <v>0</v>
      </c>
      <c r="BY120" s="18">
        <f t="shared" si="43"/>
        <v>4.08662166779079E-3</v>
      </c>
    </row>
    <row r="121" spans="1:77" x14ac:dyDescent="0.3">
      <c r="A121" s="1">
        <v>46198</v>
      </c>
      <c r="B121" s="6">
        <v>57.55</v>
      </c>
      <c r="C121" s="6">
        <v>100.43</v>
      </c>
      <c r="D121" s="7">
        <v>6.9528944222889096E-4</v>
      </c>
      <c r="E121" s="7">
        <v>8.9654834914083901E-4</v>
      </c>
      <c r="F121" s="6">
        <v>0</v>
      </c>
      <c r="G121" s="6">
        <v>0.69929999999999903</v>
      </c>
      <c r="H121" s="6">
        <v>0</v>
      </c>
      <c r="I121" s="6">
        <v>1.2835000000000001</v>
      </c>
      <c r="J121" s="6">
        <v>0.69929999999999903</v>
      </c>
      <c r="K121" s="6">
        <v>1.2835000000000001</v>
      </c>
      <c r="L121" s="6">
        <v>58.249299999999998</v>
      </c>
      <c r="M121" s="6">
        <v>101.7135</v>
      </c>
      <c r="N121" s="8">
        <v>1.7450912250217201</v>
      </c>
      <c r="O121" s="8">
        <v>1.7441031794745401</v>
      </c>
      <c r="P121" s="8">
        <v>1.74420516565882</v>
      </c>
      <c r="Q121" s="8">
        <v>1.7440531016192</v>
      </c>
      <c r="R121" s="6">
        <v>100.373137978759</v>
      </c>
      <c r="S121" s="6">
        <v>100.37658138363</v>
      </c>
      <c r="T121" s="6">
        <v>100.36751081092601</v>
      </c>
      <c r="U121" s="7">
        <v>-5.6634595786116397E-4</v>
      </c>
      <c r="V121" s="7">
        <v>-5.32040506459276E-4</v>
      </c>
      <c r="W121" s="7">
        <v>-6.2241001732435896E-4</v>
      </c>
      <c r="X121" s="8">
        <v>1.7461754905209099</v>
      </c>
      <c r="Y121" s="8">
        <v>1.7448470922733199</v>
      </c>
      <c r="Z121" s="8">
        <v>1.74530242920204</v>
      </c>
      <c r="AA121" s="8">
        <v>1.74512487474925</v>
      </c>
      <c r="AB121" s="6">
        <v>101.636121731956</v>
      </c>
      <c r="AC121" s="6">
        <v>101.660255041859</v>
      </c>
      <c r="AD121" s="6">
        <v>101.64874785971899</v>
      </c>
      <c r="AE121" s="7">
        <v>-7.6103679091498496E-4</v>
      </c>
      <c r="AF121" s="7">
        <v>-5.2361681914997005E-4</v>
      </c>
      <c r="AG121" s="7">
        <v>-6.3681576251479099E-4</v>
      </c>
      <c r="AZ121" s="23"/>
      <c r="BB121" s="12">
        <f t="shared" si="26"/>
        <v>0</v>
      </c>
      <c r="BC121" s="12">
        <f t="shared" si="27"/>
        <v>0</v>
      </c>
      <c r="BD121" s="12">
        <f t="shared" si="28"/>
        <v>0</v>
      </c>
      <c r="BE121" s="12">
        <f t="shared" si="24"/>
        <v>1</v>
      </c>
      <c r="BF121" s="12">
        <f t="shared" si="29"/>
        <v>0</v>
      </c>
      <c r="BG121" s="23">
        <f t="shared" si="30"/>
        <v>0</v>
      </c>
      <c r="BH121" s="23">
        <f t="shared" si="31"/>
        <v>0</v>
      </c>
      <c r="BI121" s="23">
        <f t="shared" si="32"/>
        <v>0</v>
      </c>
      <c r="BJ121" s="18">
        <f t="shared" si="33"/>
        <v>1.4155918239679504E-3</v>
      </c>
      <c r="BL121" s="23"/>
      <c r="BN121" s="12">
        <f t="shared" si="34"/>
        <v>0</v>
      </c>
      <c r="BO121" s="12">
        <f t="shared" si="35"/>
        <v>1</v>
      </c>
      <c r="BP121" s="12">
        <f t="shared" si="36"/>
        <v>0</v>
      </c>
      <c r="BQ121" s="12">
        <f t="shared" si="25"/>
        <v>1</v>
      </c>
      <c r="BR121" s="12">
        <f t="shared" si="37"/>
        <v>0</v>
      </c>
      <c r="BS121" s="23">
        <f t="shared" si="38"/>
        <v>0</v>
      </c>
      <c r="BT121" s="23">
        <f t="shared" si="39"/>
        <v>0</v>
      </c>
      <c r="BU121" s="23">
        <f t="shared" si="40"/>
        <v>0</v>
      </c>
      <c r="BV121" s="18">
        <f t="shared" si="41"/>
        <v>2.6710298438228398E-3</v>
      </c>
      <c r="BX121" s="18">
        <f t="shared" si="42"/>
        <v>0</v>
      </c>
      <c r="BY121" s="18">
        <f t="shared" si="43"/>
        <v>4.08662166779079E-3</v>
      </c>
    </row>
    <row r="122" spans="1:77" x14ac:dyDescent="0.3">
      <c r="A122" s="1">
        <v>46199</v>
      </c>
      <c r="B122" s="6">
        <v>57.6</v>
      </c>
      <c r="C122" s="6">
        <v>100.5</v>
      </c>
      <c r="D122" s="7">
        <v>8.68432533953972E-4</v>
      </c>
      <c r="E122" s="7">
        <v>6.9676009388263804E-4</v>
      </c>
      <c r="F122" s="6">
        <v>0</v>
      </c>
      <c r="G122" s="6">
        <v>0.69929999999999903</v>
      </c>
      <c r="H122" s="6">
        <v>0</v>
      </c>
      <c r="I122" s="6">
        <v>1.2835000000000001</v>
      </c>
      <c r="J122" s="6">
        <v>0.69929999999999903</v>
      </c>
      <c r="K122" s="6">
        <v>1.2835000000000001</v>
      </c>
      <c r="L122" s="6">
        <v>58.299300000000002</v>
      </c>
      <c r="M122" s="6">
        <v>101.7835</v>
      </c>
      <c r="N122" s="8">
        <v>1.7447916666666601</v>
      </c>
      <c r="O122" s="8">
        <v>1.7441031794745401</v>
      </c>
      <c r="P122" s="8">
        <v>1.7443253579665099</v>
      </c>
      <c r="Q122" s="8">
        <v>1.74410491202677</v>
      </c>
      <c r="R122" s="6">
        <v>100.46034313773301</v>
      </c>
      <c r="S122" s="6">
        <v>100.466217541948</v>
      </c>
      <c r="T122" s="6">
        <v>100.457458653266</v>
      </c>
      <c r="U122" s="7">
        <v>-3.9467351778996602E-4</v>
      </c>
      <c r="V122" s="7">
        <v>-3.3620037022423098E-4</v>
      </c>
      <c r="W122" s="7">
        <v>-4.2338659788146302E-4</v>
      </c>
      <c r="X122" s="8">
        <v>1.7458785954548299</v>
      </c>
      <c r="Y122" s="8">
        <v>1.7448470922733199</v>
      </c>
      <c r="Z122" s="8">
        <v>1.7454206673666</v>
      </c>
      <c r="AA122" s="8">
        <v>1.74519003224257</v>
      </c>
      <c r="AB122" s="6">
        <v>101.72336408657</v>
      </c>
      <c r="AC122" s="6">
        <v>101.749909910778</v>
      </c>
      <c r="AD122" s="6">
        <v>101.73955861046799</v>
      </c>
      <c r="AE122" s="7">
        <v>-5.9099643100745595E-4</v>
      </c>
      <c r="AF122" s="7">
        <v>-3.30069540335978E-4</v>
      </c>
      <c r="AG122" s="7">
        <v>-4.3180748671723702E-4</v>
      </c>
      <c r="AZ122" s="23"/>
      <c r="BB122" s="12">
        <f t="shared" si="26"/>
        <v>0</v>
      </c>
      <c r="BC122" s="12">
        <f t="shared" si="27"/>
        <v>0</v>
      </c>
      <c r="BD122" s="12">
        <f t="shared" si="28"/>
        <v>0</v>
      </c>
      <c r="BE122" s="12">
        <f t="shared" si="24"/>
        <v>1</v>
      </c>
      <c r="BF122" s="12">
        <f t="shared" si="29"/>
        <v>0</v>
      </c>
      <c r="BG122" s="23">
        <f t="shared" si="30"/>
        <v>0</v>
      </c>
      <c r="BH122" s="23">
        <f t="shared" si="31"/>
        <v>0</v>
      </c>
      <c r="BI122" s="23">
        <f t="shared" si="32"/>
        <v>0</v>
      </c>
      <c r="BJ122" s="18">
        <f t="shared" si="33"/>
        <v>1.4155918239679504E-3</v>
      </c>
      <c r="BL122" s="23"/>
      <c r="BN122" s="12">
        <f t="shared" si="34"/>
        <v>0</v>
      </c>
      <c r="BO122" s="12">
        <f t="shared" si="35"/>
        <v>1</v>
      </c>
      <c r="BP122" s="12">
        <f t="shared" si="36"/>
        <v>0</v>
      </c>
      <c r="BQ122" s="12">
        <f t="shared" si="25"/>
        <v>1</v>
      </c>
      <c r="BR122" s="12">
        <f t="shared" si="37"/>
        <v>0</v>
      </c>
      <c r="BS122" s="23">
        <f t="shared" si="38"/>
        <v>0</v>
      </c>
      <c r="BT122" s="23">
        <f t="shared" si="39"/>
        <v>0</v>
      </c>
      <c r="BU122" s="23">
        <f t="shared" si="40"/>
        <v>0</v>
      </c>
      <c r="BV122" s="18">
        <f t="shared" si="41"/>
        <v>2.6710298438228398E-3</v>
      </c>
      <c r="BX122" s="18">
        <f t="shared" si="42"/>
        <v>0</v>
      </c>
      <c r="BY122" s="18">
        <f t="shared" si="43"/>
        <v>4.08662166779079E-3</v>
      </c>
    </row>
    <row r="123" spans="1:77" x14ac:dyDescent="0.3">
      <c r="A123" s="1">
        <v>46202</v>
      </c>
      <c r="B123" s="6">
        <v>57.65</v>
      </c>
      <c r="C123" s="6">
        <v>100.61</v>
      </c>
      <c r="D123" s="7">
        <v>8.67679013222501E-4</v>
      </c>
      <c r="E123" s="7">
        <v>1.0939288048289601E-3</v>
      </c>
      <c r="F123" s="6">
        <v>0</v>
      </c>
      <c r="G123" s="6">
        <v>0.69929999999999903</v>
      </c>
      <c r="H123" s="6">
        <v>0</v>
      </c>
      <c r="I123" s="6">
        <v>1.2835000000000001</v>
      </c>
      <c r="J123" s="6">
        <v>0.69929999999999903</v>
      </c>
      <c r="K123" s="6">
        <v>1.2835000000000001</v>
      </c>
      <c r="L123" s="6">
        <v>58.349299999999999</v>
      </c>
      <c r="M123" s="6">
        <v>101.8935</v>
      </c>
      <c r="N123" s="8">
        <v>1.7451864700780499</v>
      </c>
      <c r="O123" s="8">
        <v>1.7441031794745401</v>
      </c>
      <c r="P123" s="8">
        <v>1.7444241829537299</v>
      </c>
      <c r="Q123" s="8">
        <v>1.7441366853999001</v>
      </c>
      <c r="R123" s="6">
        <v>100.54754829670701</v>
      </c>
      <c r="S123" s="6">
        <v>100.560356886769</v>
      </c>
      <c r="T123" s="6">
        <v>100.547648178343</v>
      </c>
      <c r="U123" s="7">
        <v>-6.2092330939631001E-4</v>
      </c>
      <c r="V123" s="7">
        <v>-4.9354303493242397E-4</v>
      </c>
      <c r="W123" s="7">
        <v>-6.1992993274479803E-4</v>
      </c>
      <c r="X123" s="8">
        <v>1.7462677358597201</v>
      </c>
      <c r="Y123" s="8">
        <v>1.7448470922733199</v>
      </c>
      <c r="Z123" s="8">
        <v>1.7455176672783499</v>
      </c>
      <c r="AA123" s="8">
        <v>1.7452353258169699</v>
      </c>
      <c r="AB123" s="6">
        <v>101.810606441183</v>
      </c>
      <c r="AC123" s="6">
        <v>101.844074146374</v>
      </c>
      <c r="AD123" s="6">
        <v>101.830616748331</v>
      </c>
      <c r="AE123" s="7">
        <v>-8.1386246787125503E-4</v>
      </c>
      <c r="AF123" s="7">
        <v>-4.85191352674301E-4</v>
      </c>
      <c r="AG123" s="7">
        <v>-6.17337354745206E-4</v>
      </c>
      <c r="AZ123" s="23"/>
      <c r="BB123" s="12">
        <f t="shared" si="26"/>
        <v>0</v>
      </c>
      <c r="BC123" s="12">
        <f t="shared" si="27"/>
        <v>0</v>
      </c>
      <c r="BD123" s="12">
        <f t="shared" si="28"/>
        <v>0</v>
      </c>
      <c r="BE123" s="12">
        <f t="shared" si="24"/>
        <v>1</v>
      </c>
      <c r="BF123" s="12">
        <f t="shared" si="29"/>
        <v>0</v>
      </c>
      <c r="BG123" s="23">
        <f t="shared" si="30"/>
        <v>0</v>
      </c>
      <c r="BH123" s="23">
        <f t="shared" si="31"/>
        <v>0</v>
      </c>
      <c r="BI123" s="23">
        <f t="shared" si="32"/>
        <v>0</v>
      </c>
      <c r="BJ123" s="18">
        <f t="shared" si="33"/>
        <v>1.4155918239679504E-3</v>
      </c>
      <c r="BL123" s="23"/>
      <c r="BN123" s="12">
        <f t="shared" si="34"/>
        <v>0</v>
      </c>
      <c r="BO123" s="12">
        <f t="shared" si="35"/>
        <v>1</v>
      </c>
      <c r="BP123" s="12">
        <f t="shared" si="36"/>
        <v>0</v>
      </c>
      <c r="BQ123" s="12">
        <f t="shared" si="25"/>
        <v>1</v>
      </c>
      <c r="BR123" s="12">
        <f t="shared" si="37"/>
        <v>0</v>
      </c>
      <c r="BS123" s="23">
        <f t="shared" si="38"/>
        <v>0</v>
      </c>
      <c r="BT123" s="23">
        <f t="shared" si="39"/>
        <v>0</v>
      </c>
      <c r="BU123" s="23">
        <f t="shared" si="40"/>
        <v>0</v>
      </c>
      <c r="BV123" s="18">
        <f t="shared" si="41"/>
        <v>2.6710298438228398E-3</v>
      </c>
      <c r="BX123" s="18">
        <f t="shared" si="42"/>
        <v>0</v>
      </c>
      <c r="BY123" s="18">
        <f t="shared" si="43"/>
        <v>4.08662166779079E-3</v>
      </c>
    </row>
    <row r="124" spans="1:77" x14ac:dyDescent="0.3">
      <c r="A124" s="1">
        <v>46203</v>
      </c>
      <c r="B124" s="6">
        <v>57.64</v>
      </c>
      <c r="C124" s="6">
        <v>100.6</v>
      </c>
      <c r="D124" s="7">
        <v>-1.7347558374662499E-4</v>
      </c>
      <c r="E124" s="7">
        <v>-9.9398638320563195E-5</v>
      </c>
      <c r="F124" s="6">
        <v>0</v>
      </c>
      <c r="G124" s="6">
        <v>0.69929999999999903</v>
      </c>
      <c r="H124" s="6">
        <v>0</v>
      </c>
      <c r="I124" s="6">
        <v>1.2835000000000001</v>
      </c>
      <c r="J124" s="6">
        <v>0.69929999999999903</v>
      </c>
      <c r="K124" s="6">
        <v>1.2835000000000001</v>
      </c>
      <c r="L124" s="6">
        <v>58.339300000000001</v>
      </c>
      <c r="M124" s="6">
        <v>101.8835</v>
      </c>
      <c r="N124" s="8">
        <v>1.7453157529493399</v>
      </c>
      <c r="O124" s="8">
        <v>1.7441031794745401</v>
      </c>
      <c r="P124" s="8">
        <v>1.74455701304127</v>
      </c>
      <c r="Q124" s="8">
        <v>1.74419073300544</v>
      </c>
      <c r="R124" s="6">
        <v>100.530107264912</v>
      </c>
      <c r="S124" s="6">
        <v>100.54860990545301</v>
      </c>
      <c r="T124" s="6">
        <v>100.53203854645</v>
      </c>
      <c r="U124" s="7">
        <v>-6.9500025482247896E-4</v>
      </c>
      <c r="V124" s="7">
        <v>-5.10966451015987E-4</v>
      </c>
      <c r="W124" s="7">
        <v>-6.7578946275390799E-4</v>
      </c>
      <c r="X124" s="8">
        <v>1.74639565438735</v>
      </c>
      <c r="Y124" s="8">
        <v>1.7448470922733199</v>
      </c>
      <c r="Z124" s="8">
        <v>1.7456484146011699</v>
      </c>
      <c r="AA124" s="8">
        <v>1.74528834832349</v>
      </c>
      <c r="AB124" s="6">
        <v>101.79315797026</v>
      </c>
      <c r="AC124" s="6">
        <v>101.832278846652</v>
      </c>
      <c r="AD124" s="6">
        <v>101.81580724343399</v>
      </c>
      <c r="AE124" s="7">
        <v>-8.8711231384158804E-4</v>
      </c>
      <c r="AF124" s="7">
        <v>-5.0286879805847603E-4</v>
      </c>
      <c r="AG124" s="7">
        <v>-6.6463416075076903E-4</v>
      </c>
      <c r="AZ124" s="23"/>
      <c r="BB124" s="12">
        <f t="shared" si="26"/>
        <v>0</v>
      </c>
      <c r="BC124" s="12">
        <f t="shared" si="27"/>
        <v>0</v>
      </c>
      <c r="BD124" s="12">
        <f t="shared" si="28"/>
        <v>0</v>
      </c>
      <c r="BE124" s="12">
        <f t="shared" si="24"/>
        <v>0</v>
      </c>
      <c r="BF124" s="12">
        <f t="shared" si="29"/>
        <v>0</v>
      </c>
      <c r="BG124" s="23">
        <f t="shared" si="30"/>
        <v>0</v>
      </c>
      <c r="BH124" s="23">
        <f t="shared" si="31"/>
        <v>0</v>
      </c>
      <c r="BI124" s="23">
        <f t="shared" si="32"/>
        <v>0</v>
      </c>
      <c r="BJ124" s="18">
        <f t="shared" si="33"/>
        <v>1.4155918239679504E-3</v>
      </c>
      <c r="BL124" s="23"/>
      <c r="BN124" s="12">
        <f t="shared" si="34"/>
        <v>0</v>
      </c>
      <c r="BO124" s="12">
        <f t="shared" si="35"/>
        <v>1</v>
      </c>
      <c r="BP124" s="12">
        <f t="shared" si="36"/>
        <v>0</v>
      </c>
      <c r="BQ124" s="12">
        <f t="shared" si="25"/>
        <v>0</v>
      </c>
      <c r="BR124" s="12">
        <f t="shared" si="37"/>
        <v>0</v>
      </c>
      <c r="BS124" s="23">
        <f t="shared" si="38"/>
        <v>0</v>
      </c>
      <c r="BT124" s="23">
        <f t="shared" si="39"/>
        <v>0</v>
      </c>
      <c r="BU124" s="23">
        <f t="shared" si="40"/>
        <v>0</v>
      </c>
      <c r="BV124" s="18">
        <f t="shared" si="41"/>
        <v>2.6710298438228398E-3</v>
      </c>
      <c r="BX124" s="18">
        <f t="shared" si="42"/>
        <v>0</v>
      </c>
      <c r="BY124" s="18">
        <f t="shared" si="43"/>
        <v>4.08662166779079E-3</v>
      </c>
    </row>
    <row r="125" spans="1:77" x14ac:dyDescent="0.3">
      <c r="A125" s="1">
        <v>46204</v>
      </c>
      <c r="B125" s="6">
        <v>57.51</v>
      </c>
      <c r="C125" s="6">
        <v>100.3</v>
      </c>
      <c r="D125" s="7">
        <v>-2.25792540565861E-3</v>
      </c>
      <c r="E125" s="7">
        <v>-2.9865626977489601E-3</v>
      </c>
      <c r="F125" s="6">
        <v>0.14269999999999999</v>
      </c>
      <c r="G125" s="6">
        <v>0.84199999999999897</v>
      </c>
      <c r="H125" s="6">
        <v>0.26240000000000002</v>
      </c>
      <c r="I125" s="6">
        <v>1.5459000000000001</v>
      </c>
      <c r="J125" s="6">
        <v>0.84199999999999897</v>
      </c>
      <c r="K125" s="6">
        <v>1.5459000000000001</v>
      </c>
      <c r="L125" s="6">
        <v>58.351999999999997</v>
      </c>
      <c r="M125" s="6">
        <v>101.8459</v>
      </c>
      <c r="N125" s="8">
        <v>1.74404451399756</v>
      </c>
      <c r="O125" s="8">
        <v>1.7441031794745401</v>
      </c>
      <c r="P125" s="8">
        <v>1.7445886421413701</v>
      </c>
      <c r="Q125" s="8">
        <v>1.7441785857766601</v>
      </c>
      <c r="R125" s="6">
        <v>100.30337385158001</v>
      </c>
      <c r="S125" s="6">
        <v>100.329473820003</v>
      </c>
      <c r="T125" s="6">
        <v>100.308409055143</v>
      </c>
      <c r="U125" s="7">
        <v>3.3637037267755603E-5</v>
      </c>
      <c r="V125" s="7">
        <v>2.9381346274340899E-4</v>
      </c>
      <c r="W125" s="7">
        <v>8.3835520031543705E-5</v>
      </c>
      <c r="X125" s="8">
        <v>1.7453711955031499</v>
      </c>
      <c r="Y125" s="8">
        <v>1.7448470922733199</v>
      </c>
      <c r="Z125" s="8">
        <v>1.74570236481898</v>
      </c>
      <c r="AA125" s="8">
        <v>1.74528763206051</v>
      </c>
      <c r="AB125" s="6">
        <v>101.815317528332</v>
      </c>
      <c r="AC125" s="6">
        <v>101.862076288807</v>
      </c>
      <c r="AD125" s="6">
        <v>101.841065701372</v>
      </c>
      <c r="AE125" s="7">
        <v>-3.0032690826677203E-4</v>
      </c>
      <c r="AF125" s="7">
        <v>1.58818413851794E-4</v>
      </c>
      <c r="AG125" s="7">
        <v>-4.7467923256156698E-5</v>
      </c>
      <c r="AZ125" s="23"/>
      <c r="BB125" s="12">
        <f t="shared" si="26"/>
        <v>0</v>
      </c>
      <c r="BC125" s="12">
        <f t="shared" si="27"/>
        <v>0</v>
      </c>
      <c r="BD125" s="12">
        <f t="shared" si="28"/>
        <v>0</v>
      </c>
      <c r="BE125" s="12">
        <f t="shared" si="24"/>
        <v>1</v>
      </c>
      <c r="BF125" s="12">
        <f t="shared" si="29"/>
        <v>0</v>
      </c>
      <c r="BG125" s="23">
        <f t="shared" si="30"/>
        <v>0</v>
      </c>
      <c r="BH125" s="23">
        <f t="shared" si="31"/>
        <v>0</v>
      </c>
      <c r="BI125" s="23">
        <f t="shared" si="32"/>
        <v>0</v>
      </c>
      <c r="BJ125" s="18">
        <f t="shared" si="33"/>
        <v>1.4155918239679504E-3</v>
      </c>
      <c r="BL125" s="23"/>
      <c r="BN125" s="12">
        <f t="shared" si="34"/>
        <v>0</v>
      </c>
      <c r="BO125" s="12">
        <f t="shared" si="35"/>
        <v>1</v>
      </c>
      <c r="BP125" s="12">
        <f t="shared" si="36"/>
        <v>0</v>
      </c>
      <c r="BQ125" s="12">
        <f t="shared" si="25"/>
        <v>1</v>
      </c>
      <c r="BR125" s="12">
        <f t="shared" si="37"/>
        <v>0</v>
      </c>
      <c r="BS125" s="23">
        <f t="shared" si="38"/>
        <v>0</v>
      </c>
      <c r="BT125" s="23">
        <f t="shared" si="39"/>
        <v>0</v>
      </c>
      <c r="BU125" s="23">
        <f t="shared" si="40"/>
        <v>0</v>
      </c>
      <c r="BV125" s="18">
        <f t="shared" si="41"/>
        <v>2.6710298438228398E-3</v>
      </c>
      <c r="BX125" s="18">
        <f t="shared" si="42"/>
        <v>0</v>
      </c>
      <c r="BY125" s="18">
        <f t="shared" si="43"/>
        <v>4.08662166779079E-3</v>
      </c>
    </row>
    <row r="126" spans="1:77" x14ac:dyDescent="0.3">
      <c r="A126" s="1">
        <v>46205</v>
      </c>
      <c r="B126" s="6">
        <v>57.58</v>
      </c>
      <c r="C126" s="6">
        <v>100.39</v>
      </c>
      <c r="D126" s="7">
        <v>1.2164394583669799E-3</v>
      </c>
      <c r="E126" s="7">
        <v>8.9690573554549596E-4</v>
      </c>
      <c r="F126" s="6">
        <v>0</v>
      </c>
      <c r="G126" s="6">
        <v>0.84199999999999897</v>
      </c>
      <c r="H126" s="6">
        <v>0</v>
      </c>
      <c r="I126" s="6">
        <v>1.5459000000000001</v>
      </c>
      <c r="J126" s="6">
        <v>0.84199999999999897</v>
      </c>
      <c r="K126" s="6">
        <v>1.5459000000000001</v>
      </c>
      <c r="L126" s="6">
        <v>58.421999999999997</v>
      </c>
      <c r="M126" s="6">
        <v>101.9359</v>
      </c>
      <c r="N126" s="8">
        <v>1.7434873219867999</v>
      </c>
      <c r="O126" s="8">
        <v>1.7441031794745401</v>
      </c>
      <c r="P126" s="8">
        <v>1.74450862848274</v>
      </c>
      <c r="Q126" s="8">
        <v>1.7441517653466001</v>
      </c>
      <c r="R126" s="6">
        <v>100.425461074144</v>
      </c>
      <c r="S126" s="6">
        <v>100.4534140145</v>
      </c>
      <c r="T126" s="6">
        <v>100.42980296902</v>
      </c>
      <c r="U126" s="7">
        <v>3.5317076008955898E-4</v>
      </c>
      <c r="V126" s="7">
        <v>6.3147718255096802E-4</v>
      </c>
      <c r="W126" s="7">
        <v>3.9640482614728702E-4</v>
      </c>
      <c r="X126" s="8">
        <v>1.7448204443531501</v>
      </c>
      <c r="Y126" s="8">
        <v>1.7448470922733199</v>
      </c>
      <c r="Z126" s="8">
        <v>1.74564585717801</v>
      </c>
      <c r="AA126" s="8">
        <v>1.7452723867486499</v>
      </c>
      <c r="AB126" s="6">
        <v>101.937456824791</v>
      </c>
      <c r="AC126" s="6">
        <v>101.98742355745399</v>
      </c>
      <c r="AD126" s="6">
        <v>101.963194040239</v>
      </c>
      <c r="AE126" s="7">
        <v>1.52724693033969E-5</v>
      </c>
      <c r="AF126" s="7">
        <v>5.0532286010364304E-4</v>
      </c>
      <c r="AG126" s="7">
        <v>2.6772105615308599E-4</v>
      </c>
      <c r="AZ126" s="23"/>
      <c r="BB126" s="12">
        <f t="shared" si="26"/>
        <v>0</v>
      </c>
      <c r="BC126" s="12">
        <f t="shared" si="27"/>
        <v>1</v>
      </c>
      <c r="BD126" s="12">
        <f t="shared" si="28"/>
        <v>0</v>
      </c>
      <c r="BE126" s="12">
        <f t="shared" si="24"/>
        <v>1</v>
      </c>
      <c r="BF126" s="12">
        <f t="shared" si="29"/>
        <v>0</v>
      </c>
      <c r="BG126" s="23">
        <f t="shared" si="30"/>
        <v>0</v>
      </c>
      <c r="BH126" s="23">
        <f t="shared" si="31"/>
        <v>0</v>
      </c>
      <c r="BI126" s="23">
        <f t="shared" si="32"/>
        <v>0</v>
      </c>
      <c r="BJ126" s="18">
        <f t="shared" si="33"/>
        <v>1.4155918239679504E-3</v>
      </c>
      <c r="BL126" s="23"/>
      <c r="BN126" s="12">
        <f t="shared" si="34"/>
        <v>0</v>
      </c>
      <c r="BO126" s="12">
        <f t="shared" si="35"/>
        <v>0</v>
      </c>
      <c r="BP126" s="12">
        <f t="shared" si="36"/>
        <v>0</v>
      </c>
      <c r="BQ126" s="12">
        <f t="shared" si="25"/>
        <v>1</v>
      </c>
      <c r="BR126" s="12">
        <f t="shared" si="37"/>
        <v>0</v>
      </c>
      <c r="BS126" s="23">
        <f t="shared" si="38"/>
        <v>0</v>
      </c>
      <c r="BT126" s="23">
        <f t="shared" si="39"/>
        <v>0</v>
      </c>
      <c r="BU126" s="23">
        <f t="shared" si="40"/>
        <v>0</v>
      </c>
      <c r="BV126" s="18">
        <f t="shared" si="41"/>
        <v>2.6710298438228398E-3</v>
      </c>
      <c r="BX126" s="18">
        <f t="shared" si="42"/>
        <v>0</v>
      </c>
      <c r="BY126" s="18">
        <f t="shared" si="43"/>
        <v>4.08662166779079E-3</v>
      </c>
    </row>
    <row r="127" spans="1:77" x14ac:dyDescent="0.3">
      <c r="A127" s="1">
        <v>46209</v>
      </c>
      <c r="B127" s="6">
        <v>57.58</v>
      </c>
      <c r="C127" s="6">
        <v>100.43</v>
      </c>
      <c r="D127" s="7">
        <v>0</v>
      </c>
      <c r="E127" s="7">
        <v>3.9836670181240099E-4</v>
      </c>
      <c r="F127" s="6">
        <v>0</v>
      </c>
      <c r="G127" s="6">
        <v>0.84199999999999897</v>
      </c>
      <c r="H127" s="6">
        <v>0</v>
      </c>
      <c r="I127" s="6">
        <v>1.5459000000000001</v>
      </c>
      <c r="J127" s="6">
        <v>0.84199999999999897</v>
      </c>
      <c r="K127" s="6">
        <v>1.5459000000000001</v>
      </c>
      <c r="L127" s="6">
        <v>58.421999999999997</v>
      </c>
      <c r="M127" s="6">
        <v>101.9759</v>
      </c>
      <c r="N127" s="8">
        <v>1.74418200764154</v>
      </c>
      <c r="O127" s="8">
        <v>1.7441031794745401</v>
      </c>
      <c r="P127" s="8">
        <v>1.7445963944642799</v>
      </c>
      <c r="Q127" s="8">
        <v>1.7442224899879999</v>
      </c>
      <c r="R127" s="6">
        <v>100.425461074144</v>
      </c>
      <c r="S127" s="6">
        <v>100.448806828036</v>
      </c>
      <c r="T127" s="6">
        <v>100.42825864865701</v>
      </c>
      <c r="U127" s="7">
        <v>-4.5195941722968402E-5</v>
      </c>
      <c r="V127" s="7">
        <v>1.87245517715038E-4</v>
      </c>
      <c r="W127" s="7">
        <v>-1.7339106238146201E-5</v>
      </c>
      <c r="X127" s="8">
        <v>1.7455051179350201</v>
      </c>
      <c r="Y127" s="8">
        <v>1.7448470922733199</v>
      </c>
      <c r="Z127" s="8">
        <v>1.74575526744624</v>
      </c>
      <c r="AA127" s="8">
        <v>1.7453534960217401</v>
      </c>
      <c r="AB127" s="6">
        <v>101.937456824791</v>
      </c>
      <c r="AC127" s="6">
        <v>101.98412226805399</v>
      </c>
      <c r="AD127" s="6">
        <v>101.96230337863</v>
      </c>
      <c r="AE127" s="7">
        <v>-3.7705402198413E-4</v>
      </c>
      <c r="AF127" s="7">
        <v>8.0626271435352205E-5</v>
      </c>
      <c r="AG127" s="7">
        <v>-1.3334060185665199E-4</v>
      </c>
      <c r="AZ127" s="23"/>
      <c r="BB127" s="12">
        <f t="shared" si="26"/>
        <v>0</v>
      </c>
      <c r="BC127" s="12">
        <f t="shared" si="27"/>
        <v>0</v>
      </c>
      <c r="BD127" s="12">
        <f t="shared" si="28"/>
        <v>0</v>
      </c>
      <c r="BE127" s="12">
        <f t="shared" si="24"/>
        <v>1</v>
      </c>
      <c r="BF127" s="12">
        <f t="shared" si="29"/>
        <v>0</v>
      </c>
      <c r="BG127" s="23">
        <f t="shared" si="30"/>
        <v>0</v>
      </c>
      <c r="BH127" s="23">
        <f t="shared" si="31"/>
        <v>0</v>
      </c>
      <c r="BI127" s="23">
        <f t="shared" si="32"/>
        <v>0</v>
      </c>
      <c r="BJ127" s="18">
        <f t="shared" si="33"/>
        <v>1.4155918239679504E-3</v>
      </c>
      <c r="BL127" s="23"/>
      <c r="BN127" s="12">
        <f t="shared" si="34"/>
        <v>0</v>
      </c>
      <c r="BO127" s="12">
        <f t="shared" si="35"/>
        <v>1</v>
      </c>
      <c r="BP127" s="12">
        <f t="shared" si="36"/>
        <v>0</v>
      </c>
      <c r="BQ127" s="12">
        <f t="shared" si="25"/>
        <v>1</v>
      </c>
      <c r="BR127" s="12">
        <f t="shared" si="37"/>
        <v>0</v>
      </c>
      <c r="BS127" s="23">
        <f t="shared" si="38"/>
        <v>0</v>
      </c>
      <c r="BT127" s="23">
        <f t="shared" si="39"/>
        <v>0</v>
      </c>
      <c r="BU127" s="23">
        <f t="shared" si="40"/>
        <v>0</v>
      </c>
      <c r="BV127" s="18">
        <f t="shared" si="41"/>
        <v>2.6710298438228398E-3</v>
      </c>
      <c r="BX127" s="18">
        <f t="shared" si="42"/>
        <v>0</v>
      </c>
      <c r="BY127" s="18">
        <f t="shared" si="43"/>
        <v>4.08662166779079E-3</v>
      </c>
    </row>
    <row r="128" spans="1:77" x14ac:dyDescent="0.3">
      <c r="A128" s="1">
        <v>46210</v>
      </c>
      <c r="B128" s="6">
        <v>57.48</v>
      </c>
      <c r="C128" s="6">
        <v>100.23</v>
      </c>
      <c r="D128" s="7">
        <v>-1.73822397320561E-3</v>
      </c>
      <c r="E128" s="7">
        <v>-1.9934223684728602E-3</v>
      </c>
      <c r="F128" s="6">
        <v>0</v>
      </c>
      <c r="G128" s="6">
        <v>0.84199999999999897</v>
      </c>
      <c r="H128" s="6">
        <v>0</v>
      </c>
      <c r="I128" s="6">
        <v>1.5459000000000001</v>
      </c>
      <c r="J128" s="6">
        <v>0.84199999999999897</v>
      </c>
      <c r="K128" s="6">
        <v>1.5459000000000001</v>
      </c>
      <c r="L128" s="6">
        <v>58.321999999999903</v>
      </c>
      <c r="M128" s="6">
        <v>101.77589999999999</v>
      </c>
      <c r="N128" s="8">
        <v>1.7437369519832899</v>
      </c>
      <c r="O128" s="8">
        <v>1.7441031794745401</v>
      </c>
      <c r="P128" s="8">
        <v>1.74453975395206</v>
      </c>
      <c r="Q128" s="8">
        <v>1.7442323124475001</v>
      </c>
      <c r="R128" s="6">
        <v>100.25105075619599</v>
      </c>
      <c r="S128" s="6">
        <v>100.279400753807</v>
      </c>
      <c r="T128" s="6">
        <v>100.25790872451</v>
      </c>
      <c r="U128" s="7">
        <v>2.1000245354404099E-4</v>
      </c>
      <c r="V128" s="7">
        <v>4.9275250557929702E-4</v>
      </c>
      <c r="W128" s="7">
        <v>2.7840805830317398E-4</v>
      </c>
      <c r="X128" s="8">
        <v>1.7450687562154901</v>
      </c>
      <c r="Y128" s="8">
        <v>1.7448470922733199</v>
      </c>
      <c r="Z128" s="8">
        <v>1.7457223221728799</v>
      </c>
      <c r="AA128" s="8">
        <v>1.74537450777701</v>
      </c>
      <c r="AB128" s="6">
        <v>101.762972115564</v>
      </c>
      <c r="AC128" s="6">
        <v>101.815938707999</v>
      </c>
      <c r="AD128" s="6">
        <v>101.79250659498</v>
      </c>
      <c r="AE128" s="7">
        <v>-1.27031110258471E-4</v>
      </c>
      <c r="AF128" s="7">
        <v>3.9332331561211701E-4</v>
      </c>
      <c r="AG128" s="7">
        <v>1.6315493444814E-4</v>
      </c>
      <c r="AZ128" s="23"/>
      <c r="BB128" s="12">
        <f t="shared" si="26"/>
        <v>0</v>
      </c>
      <c r="BC128" s="12">
        <f t="shared" si="27"/>
        <v>1</v>
      </c>
      <c r="BD128" s="12">
        <f t="shared" si="28"/>
        <v>0</v>
      </c>
      <c r="BE128" s="12">
        <f t="shared" si="24"/>
        <v>1</v>
      </c>
      <c r="BF128" s="12">
        <f t="shared" si="29"/>
        <v>0</v>
      </c>
      <c r="BG128" s="23">
        <f t="shared" si="30"/>
        <v>0</v>
      </c>
      <c r="BH128" s="23">
        <f t="shared" si="31"/>
        <v>0</v>
      </c>
      <c r="BI128" s="23">
        <f t="shared" si="32"/>
        <v>0</v>
      </c>
      <c r="BJ128" s="18">
        <f t="shared" si="33"/>
        <v>1.4155918239679504E-3</v>
      </c>
      <c r="BL128" s="23"/>
      <c r="BN128" s="12">
        <f t="shared" si="34"/>
        <v>0</v>
      </c>
      <c r="BO128" s="12">
        <f t="shared" si="35"/>
        <v>0</v>
      </c>
      <c r="BP128" s="12">
        <f t="shared" si="36"/>
        <v>0</v>
      </c>
      <c r="BQ128" s="12">
        <f t="shared" si="25"/>
        <v>1</v>
      </c>
      <c r="BR128" s="12">
        <f t="shared" si="37"/>
        <v>0</v>
      </c>
      <c r="BS128" s="23">
        <f t="shared" si="38"/>
        <v>0</v>
      </c>
      <c r="BT128" s="23">
        <f t="shared" si="39"/>
        <v>0</v>
      </c>
      <c r="BU128" s="23">
        <f t="shared" si="40"/>
        <v>0</v>
      </c>
      <c r="BV128" s="18">
        <f t="shared" si="41"/>
        <v>2.6710298438228398E-3</v>
      </c>
      <c r="BX128" s="18">
        <f t="shared" si="42"/>
        <v>0</v>
      </c>
      <c r="BY128" s="18">
        <f t="shared" si="43"/>
        <v>4.08662166779079E-3</v>
      </c>
    </row>
    <row r="129" spans="1:77" x14ac:dyDescent="0.3">
      <c r="A129" s="1">
        <v>46211</v>
      </c>
      <c r="B129" s="6">
        <v>57.33</v>
      </c>
      <c r="C129" s="6">
        <v>100.01</v>
      </c>
      <c r="D129" s="7">
        <v>-2.61301429053279E-3</v>
      </c>
      <c r="E129" s="7">
        <v>-2.19736404835017E-3</v>
      </c>
      <c r="F129" s="6">
        <v>0</v>
      </c>
      <c r="G129" s="6">
        <v>0.84199999999999897</v>
      </c>
      <c r="H129" s="6">
        <v>0</v>
      </c>
      <c r="I129" s="6">
        <v>1.5459000000000001</v>
      </c>
      <c r="J129" s="6">
        <v>0.84199999999999897</v>
      </c>
      <c r="K129" s="6">
        <v>1.5459000000000001</v>
      </c>
      <c r="L129" s="6">
        <v>58.171999999999997</v>
      </c>
      <c r="M129" s="6">
        <v>101.55589999999999</v>
      </c>
      <c r="N129" s="8">
        <v>1.7444618873190301</v>
      </c>
      <c r="O129" s="8">
        <v>1.7441031794745401</v>
      </c>
      <c r="P129" s="8">
        <v>1.7445037842853499</v>
      </c>
      <c r="Q129" s="8">
        <v>1.74424996083684</v>
      </c>
      <c r="R129" s="6">
        <v>99.989435279275398</v>
      </c>
      <c r="S129" s="6">
        <v>100.014464094071</v>
      </c>
      <c r="T129" s="6">
        <v>99.996838472615295</v>
      </c>
      <c r="U129" s="7">
        <v>-2.0564778863850901E-4</v>
      </c>
      <c r="V129" s="7">
        <v>4.4635480890417299E-5</v>
      </c>
      <c r="W129" s="7">
        <v>-1.3161077395369599E-4</v>
      </c>
      <c r="X129" s="8">
        <v>1.7457866327442699</v>
      </c>
      <c r="Y129" s="8">
        <v>1.7448470922733199</v>
      </c>
      <c r="Z129" s="8">
        <v>1.7457098897677401</v>
      </c>
      <c r="AA129" s="8">
        <v>1.74540334480573</v>
      </c>
      <c r="AB129" s="6">
        <v>101.501245051723</v>
      </c>
      <c r="AC129" s="6">
        <v>101.55215892544101</v>
      </c>
      <c r="AD129" s="6">
        <v>101.53192586640399</v>
      </c>
      <c r="AE129" s="7">
        <v>-5.38320871027273E-4</v>
      </c>
      <c r="AF129" s="7">
        <v>-3.6838268052988303E-5</v>
      </c>
      <c r="AG129" s="7">
        <v>-2.3609621704144499E-4</v>
      </c>
      <c r="AZ129" s="23"/>
      <c r="BB129" s="12">
        <f t="shared" si="26"/>
        <v>0</v>
      </c>
      <c r="BC129" s="12">
        <f t="shared" si="27"/>
        <v>0</v>
      </c>
      <c r="BD129" s="12">
        <f t="shared" si="28"/>
        <v>0</v>
      </c>
      <c r="BE129" s="12">
        <f t="shared" si="24"/>
        <v>1</v>
      </c>
      <c r="BF129" s="12">
        <f t="shared" si="29"/>
        <v>0</v>
      </c>
      <c r="BG129" s="23">
        <f t="shared" si="30"/>
        <v>0</v>
      </c>
      <c r="BH129" s="23">
        <f t="shared" si="31"/>
        <v>0</v>
      </c>
      <c r="BI129" s="23">
        <f t="shared" si="32"/>
        <v>0</v>
      </c>
      <c r="BJ129" s="18">
        <f t="shared" si="33"/>
        <v>1.4155918239679504E-3</v>
      </c>
      <c r="BL129" s="23"/>
      <c r="BN129" s="12">
        <f t="shared" si="34"/>
        <v>0</v>
      </c>
      <c r="BO129" s="12">
        <f t="shared" si="35"/>
        <v>1</v>
      </c>
      <c r="BP129" s="12">
        <f t="shared" si="36"/>
        <v>0</v>
      </c>
      <c r="BQ129" s="12">
        <f t="shared" si="25"/>
        <v>1</v>
      </c>
      <c r="BR129" s="12">
        <f t="shared" si="37"/>
        <v>0</v>
      </c>
      <c r="BS129" s="23">
        <f t="shared" si="38"/>
        <v>0</v>
      </c>
      <c r="BT129" s="23">
        <f t="shared" si="39"/>
        <v>0</v>
      </c>
      <c r="BU129" s="23">
        <f t="shared" si="40"/>
        <v>0</v>
      </c>
      <c r="BV129" s="18">
        <f t="shared" si="41"/>
        <v>2.6710298438228398E-3</v>
      </c>
      <c r="BX129" s="18">
        <f t="shared" si="42"/>
        <v>0</v>
      </c>
      <c r="BY129" s="18">
        <f t="shared" si="43"/>
        <v>4.08662166779079E-3</v>
      </c>
    </row>
    <row r="130" spans="1:77" x14ac:dyDescent="0.3">
      <c r="A130" s="1">
        <v>46212</v>
      </c>
      <c r="B130" s="6">
        <v>57.36</v>
      </c>
      <c r="C130" s="6">
        <v>100.05</v>
      </c>
      <c r="D130" s="7">
        <v>5.23149371073524E-4</v>
      </c>
      <c r="E130" s="7">
        <v>3.9988004131758398E-4</v>
      </c>
      <c r="F130" s="6">
        <v>0</v>
      </c>
      <c r="G130" s="6">
        <v>0.84199999999999897</v>
      </c>
      <c r="H130" s="6">
        <v>0</v>
      </c>
      <c r="I130" s="6">
        <v>1.5459000000000001</v>
      </c>
      <c r="J130" s="6">
        <v>0.84199999999999897</v>
      </c>
      <c r="K130" s="6">
        <v>1.5459000000000001</v>
      </c>
      <c r="L130" s="6">
        <v>58.201999999999998</v>
      </c>
      <c r="M130" s="6">
        <v>101.5959</v>
      </c>
      <c r="N130" s="8">
        <v>1.74424686192468</v>
      </c>
      <c r="O130" s="8">
        <v>1.7441031794745401</v>
      </c>
      <c r="P130" s="8">
        <v>1.7444544659568699</v>
      </c>
      <c r="Q130" s="8">
        <v>1.74430873935228</v>
      </c>
      <c r="R130" s="6">
        <v>100.041758374659</v>
      </c>
      <c r="S130" s="6">
        <v>100.06473706660699</v>
      </c>
      <c r="T130" s="6">
        <v>100.05017775360101</v>
      </c>
      <c r="U130" s="7">
        <v>-8.2378458882571999E-5</v>
      </c>
      <c r="V130" s="7">
        <v>1.47286170430563E-4</v>
      </c>
      <c r="W130" s="7">
        <v>1.77664611117435E-6</v>
      </c>
      <c r="X130" s="8">
        <v>1.7455740352565201</v>
      </c>
      <c r="Y130" s="8">
        <v>1.7448470922733199</v>
      </c>
      <c r="Z130" s="8">
        <v>1.7456843658230401</v>
      </c>
      <c r="AA130" s="8">
        <v>1.74547288441231</v>
      </c>
      <c r="AB130" s="6">
        <v>101.55359046449099</v>
      </c>
      <c r="AC130" s="6">
        <v>101.60380700426199</v>
      </c>
      <c r="AD130" s="6">
        <v>101.585965474383</v>
      </c>
      <c r="AE130" s="7">
        <v>-4.1653598070262999E-4</v>
      </c>
      <c r="AF130" s="7">
        <v>7.7824957357472898E-5</v>
      </c>
      <c r="AG130" s="7">
        <v>-9.7789491215341903E-5</v>
      </c>
      <c r="AZ130" s="23"/>
      <c r="BB130" s="12">
        <f t="shared" si="26"/>
        <v>0</v>
      </c>
      <c r="BC130" s="12">
        <f t="shared" si="27"/>
        <v>0</v>
      </c>
      <c r="BD130" s="12">
        <f t="shared" si="28"/>
        <v>0</v>
      </c>
      <c r="BE130" s="12">
        <f t="shared" si="24"/>
        <v>1</v>
      </c>
      <c r="BF130" s="12">
        <f t="shared" si="29"/>
        <v>0</v>
      </c>
      <c r="BG130" s="23">
        <f t="shared" si="30"/>
        <v>0</v>
      </c>
      <c r="BH130" s="23">
        <f t="shared" si="31"/>
        <v>0</v>
      </c>
      <c r="BI130" s="23">
        <f t="shared" si="32"/>
        <v>0</v>
      </c>
      <c r="BJ130" s="18">
        <f t="shared" si="33"/>
        <v>1.4155918239679504E-3</v>
      </c>
      <c r="BL130" s="23"/>
      <c r="BN130" s="12">
        <f t="shared" si="34"/>
        <v>0</v>
      </c>
      <c r="BO130" s="12">
        <f t="shared" si="35"/>
        <v>1</v>
      </c>
      <c r="BP130" s="12">
        <f t="shared" si="36"/>
        <v>0</v>
      </c>
      <c r="BQ130" s="12">
        <f t="shared" si="25"/>
        <v>1</v>
      </c>
      <c r="BR130" s="12">
        <f t="shared" si="37"/>
        <v>0</v>
      </c>
      <c r="BS130" s="23">
        <f t="shared" si="38"/>
        <v>0</v>
      </c>
      <c r="BT130" s="23">
        <f t="shared" si="39"/>
        <v>0</v>
      </c>
      <c r="BU130" s="23">
        <f t="shared" si="40"/>
        <v>0</v>
      </c>
      <c r="BV130" s="18">
        <f t="shared" si="41"/>
        <v>2.6710298438228398E-3</v>
      </c>
      <c r="BX130" s="18">
        <f t="shared" si="42"/>
        <v>0</v>
      </c>
      <c r="BY130" s="18">
        <f t="shared" si="43"/>
        <v>4.08662166779079E-3</v>
      </c>
    </row>
    <row r="131" spans="1:77" x14ac:dyDescent="0.3">
      <c r="A131" s="1">
        <v>46213</v>
      </c>
      <c r="B131" s="6">
        <v>57.35</v>
      </c>
      <c r="C131" s="6">
        <v>100.09</v>
      </c>
      <c r="D131" s="7">
        <v>-1.7435271598514499E-4</v>
      </c>
      <c r="E131" s="7">
        <v>3.99720201185129E-4</v>
      </c>
      <c r="F131" s="6">
        <v>0</v>
      </c>
      <c r="G131" s="6">
        <v>0.84199999999999897</v>
      </c>
      <c r="H131" s="6">
        <v>0</v>
      </c>
      <c r="I131" s="6">
        <v>1.5459000000000001</v>
      </c>
      <c r="J131" s="6">
        <v>0.84199999999999897</v>
      </c>
      <c r="K131" s="6">
        <v>1.5459000000000001</v>
      </c>
      <c r="L131" s="6">
        <v>58.192</v>
      </c>
      <c r="M131" s="6">
        <v>101.63590000000001</v>
      </c>
      <c r="N131" s="8">
        <v>1.7452484742807299</v>
      </c>
      <c r="O131" s="8">
        <v>1.7441031794745401</v>
      </c>
      <c r="P131" s="8">
        <v>1.74447019088277</v>
      </c>
      <c r="Q131" s="8">
        <v>1.74433767827079</v>
      </c>
      <c r="R131" s="6">
        <v>100.02431734286399</v>
      </c>
      <c r="S131" s="6">
        <v>100.044463622626</v>
      </c>
      <c r="T131" s="6">
        <v>100.036106201853</v>
      </c>
      <c r="U131" s="7">
        <v>-6.5645137605282197E-4</v>
      </c>
      <c r="V131" s="7">
        <v>-4.5505783796544598E-4</v>
      </c>
      <c r="W131" s="7">
        <v>-5.3859839150483403E-4</v>
      </c>
      <c r="X131" s="8">
        <v>1.74656138300797</v>
      </c>
      <c r="Y131" s="8">
        <v>1.7448470922733199</v>
      </c>
      <c r="Z131" s="8">
        <v>1.7457229550717499</v>
      </c>
      <c r="AA131" s="8">
        <v>1.74551269213689</v>
      </c>
      <c r="AB131" s="6">
        <v>101.536141993569</v>
      </c>
      <c r="AC131" s="6">
        <v>101.584864615974</v>
      </c>
      <c r="AD131" s="6">
        <v>101.572558089721</v>
      </c>
      <c r="AE131" s="7">
        <v>-9.8200533369412093E-4</v>
      </c>
      <c r="AF131" s="7">
        <v>-5.0226545692513803E-4</v>
      </c>
      <c r="AG131" s="7">
        <v>-6.2341806955998498E-4</v>
      </c>
      <c r="AZ131" s="23"/>
      <c r="BB131" s="12">
        <f t="shared" si="26"/>
        <v>0</v>
      </c>
      <c r="BC131" s="12">
        <f t="shared" si="27"/>
        <v>0</v>
      </c>
      <c r="BD131" s="12">
        <f t="shared" si="28"/>
        <v>0</v>
      </c>
      <c r="BE131" s="12">
        <f t="shared" si="24"/>
        <v>1</v>
      </c>
      <c r="BF131" s="12">
        <f t="shared" si="29"/>
        <v>0</v>
      </c>
      <c r="BG131" s="23">
        <f t="shared" si="30"/>
        <v>0</v>
      </c>
      <c r="BH131" s="23">
        <f t="shared" si="31"/>
        <v>0</v>
      </c>
      <c r="BI131" s="23">
        <f t="shared" si="32"/>
        <v>0</v>
      </c>
      <c r="BJ131" s="18">
        <f t="shared" si="33"/>
        <v>1.4155918239679504E-3</v>
      </c>
      <c r="BL131" s="23"/>
      <c r="BN131" s="12">
        <f t="shared" si="34"/>
        <v>0</v>
      </c>
      <c r="BO131" s="12">
        <f t="shared" si="35"/>
        <v>1</v>
      </c>
      <c r="BP131" s="12">
        <f t="shared" si="36"/>
        <v>0</v>
      </c>
      <c r="BQ131" s="12">
        <f t="shared" si="25"/>
        <v>1</v>
      </c>
      <c r="BR131" s="12">
        <f t="shared" si="37"/>
        <v>0</v>
      </c>
      <c r="BS131" s="23">
        <f t="shared" si="38"/>
        <v>0</v>
      </c>
      <c r="BT131" s="23">
        <f t="shared" si="39"/>
        <v>0</v>
      </c>
      <c r="BU131" s="23">
        <f t="shared" si="40"/>
        <v>0</v>
      </c>
      <c r="BV131" s="18">
        <f t="shared" si="41"/>
        <v>2.6710298438228398E-3</v>
      </c>
      <c r="BX131" s="18">
        <f t="shared" si="42"/>
        <v>0</v>
      </c>
      <c r="BY131" s="18">
        <f t="shared" si="43"/>
        <v>4.08662166779079E-3</v>
      </c>
    </row>
    <row r="132" spans="1:77" x14ac:dyDescent="0.3">
      <c r="A132" s="1">
        <v>46216</v>
      </c>
      <c r="B132" s="6">
        <v>57.33</v>
      </c>
      <c r="C132" s="6">
        <v>99.97</v>
      </c>
      <c r="D132" s="7">
        <v>-3.4879665508839598E-4</v>
      </c>
      <c r="E132" s="7">
        <v>-1.1996402518381899E-3</v>
      </c>
      <c r="F132" s="6">
        <v>0</v>
      </c>
      <c r="G132" s="6">
        <v>0.84199999999999897</v>
      </c>
      <c r="H132" s="6">
        <v>0</v>
      </c>
      <c r="I132" s="6">
        <v>1.5459000000000001</v>
      </c>
      <c r="J132" s="6">
        <v>0.84199999999999897</v>
      </c>
      <c r="K132" s="6">
        <v>1.5459000000000001</v>
      </c>
      <c r="L132" s="6">
        <v>58.171999999999997</v>
      </c>
      <c r="M132" s="6">
        <v>101.5159</v>
      </c>
      <c r="N132" s="8">
        <v>1.7437641723356001</v>
      </c>
      <c r="O132" s="8">
        <v>1.7441031794745401</v>
      </c>
      <c r="P132" s="8">
        <v>1.7443674414496599</v>
      </c>
      <c r="Q132" s="8">
        <v>1.7443463997080899</v>
      </c>
      <c r="R132" s="6">
        <v>99.989435279275398</v>
      </c>
      <c r="S132" s="6">
        <v>100.010476043309</v>
      </c>
      <c r="T132" s="6">
        <v>100.00287909526401</v>
      </c>
      <c r="U132" s="7">
        <v>1.9439222069689001E-4</v>
      </c>
      <c r="V132" s="7">
        <v>4.0479995510428799E-4</v>
      </c>
      <c r="W132" s="7">
        <v>3.2883554719834401E-4</v>
      </c>
      <c r="X132" s="8">
        <v>1.7450990167090601</v>
      </c>
      <c r="Y132" s="8">
        <v>1.7448470922733199</v>
      </c>
      <c r="Z132" s="8">
        <v>1.7456449971971699</v>
      </c>
      <c r="AA132" s="8">
        <v>1.7455328322818899</v>
      </c>
      <c r="AB132" s="6">
        <v>101.501245051723</v>
      </c>
      <c r="AC132" s="6">
        <v>101.552195742433</v>
      </c>
      <c r="AD132" s="6">
        <v>101.539964326987</v>
      </c>
      <c r="AE132" s="7">
        <v>-1.4437153372562101E-4</v>
      </c>
      <c r="AF132" s="7">
        <v>3.5747361187086699E-4</v>
      </c>
      <c r="AG132" s="7">
        <v>2.37021739609043E-4</v>
      </c>
      <c r="AZ132" s="23"/>
      <c r="BB132" s="12">
        <f t="shared" si="26"/>
        <v>0</v>
      </c>
      <c r="BC132" s="12">
        <f t="shared" si="27"/>
        <v>1</v>
      </c>
      <c r="BD132" s="12">
        <f t="shared" si="28"/>
        <v>0</v>
      </c>
      <c r="BE132" s="12">
        <f t="shared" si="24"/>
        <v>1</v>
      </c>
      <c r="BF132" s="12">
        <f t="shared" si="29"/>
        <v>0</v>
      </c>
      <c r="BG132" s="23">
        <f t="shared" si="30"/>
        <v>0</v>
      </c>
      <c r="BH132" s="23">
        <f t="shared" si="31"/>
        <v>0</v>
      </c>
      <c r="BI132" s="23">
        <f t="shared" si="32"/>
        <v>0</v>
      </c>
      <c r="BJ132" s="18">
        <f t="shared" si="33"/>
        <v>1.4155918239679504E-3</v>
      </c>
      <c r="BL132" s="23"/>
      <c r="BN132" s="12">
        <f t="shared" si="34"/>
        <v>0</v>
      </c>
      <c r="BO132" s="12">
        <f t="shared" si="35"/>
        <v>0</v>
      </c>
      <c r="BP132" s="12">
        <f t="shared" si="36"/>
        <v>0</v>
      </c>
      <c r="BQ132" s="12">
        <f t="shared" si="25"/>
        <v>1</v>
      </c>
      <c r="BR132" s="12">
        <f t="shared" si="37"/>
        <v>0</v>
      </c>
      <c r="BS132" s="23">
        <f t="shared" si="38"/>
        <v>0</v>
      </c>
      <c r="BT132" s="23">
        <f t="shared" si="39"/>
        <v>0</v>
      </c>
      <c r="BU132" s="23">
        <f t="shared" si="40"/>
        <v>0</v>
      </c>
      <c r="BV132" s="18">
        <f t="shared" si="41"/>
        <v>2.6710298438228398E-3</v>
      </c>
      <c r="BX132" s="18">
        <f t="shared" si="42"/>
        <v>0</v>
      </c>
      <c r="BY132" s="18">
        <f t="shared" si="43"/>
        <v>4.08662166779079E-3</v>
      </c>
    </row>
    <row r="133" spans="1:77" x14ac:dyDescent="0.3">
      <c r="A133" s="1">
        <v>46217</v>
      </c>
      <c r="B133" s="6">
        <v>57.34</v>
      </c>
      <c r="C133" s="6">
        <v>100.02</v>
      </c>
      <c r="D133" s="7">
        <v>1.7441353493247801E-4</v>
      </c>
      <c r="E133" s="7">
        <v>5.0002501166825802E-4</v>
      </c>
      <c r="F133" s="6">
        <v>0</v>
      </c>
      <c r="G133" s="6">
        <v>0.84199999999999897</v>
      </c>
      <c r="H133" s="6">
        <v>0</v>
      </c>
      <c r="I133" s="6">
        <v>1.5459000000000001</v>
      </c>
      <c r="J133" s="6">
        <v>0.84199999999999897</v>
      </c>
      <c r="K133" s="6">
        <v>1.5459000000000001</v>
      </c>
      <c r="L133" s="6">
        <v>58.182000000000002</v>
      </c>
      <c r="M133" s="6">
        <v>101.5659</v>
      </c>
      <c r="N133" s="8">
        <v>1.74433205441227</v>
      </c>
      <c r="O133" s="8">
        <v>1.7441031794745401</v>
      </c>
      <c r="P133" s="8">
        <v>1.7442819998830801</v>
      </c>
      <c r="Q133" s="8">
        <v>1.7443530914184</v>
      </c>
      <c r="R133" s="6">
        <v>100.00687631107</v>
      </c>
      <c r="S133" s="6">
        <v>100.022029092723</v>
      </c>
      <c r="T133" s="6">
        <v>100.02082255926101</v>
      </c>
      <c r="U133" s="7">
        <v>-1.3121925603883401E-4</v>
      </c>
      <c r="V133" s="7">
        <v>2.0286664088677301E-5</v>
      </c>
      <c r="W133" s="7">
        <v>8.2239140129263997E-6</v>
      </c>
      <c r="X133" s="8">
        <v>1.7456584510673401</v>
      </c>
      <c r="Y133" s="8">
        <v>1.7448470922733199</v>
      </c>
      <c r="Z133" s="8">
        <v>1.74558406871793</v>
      </c>
      <c r="AA133" s="8">
        <v>1.74555086799814</v>
      </c>
      <c r="AB133" s="6">
        <v>101.518693522646</v>
      </c>
      <c r="AC133" s="6">
        <v>101.56511722692601</v>
      </c>
      <c r="AD133" s="6">
        <v>101.558591247824</v>
      </c>
      <c r="AE133" s="7">
        <v>-4.64894725740026E-4</v>
      </c>
      <c r="AF133" s="7">
        <v>-7.7070758042980304E-6</v>
      </c>
      <c r="AG133" s="7">
        <v>-7.1963278611097194E-5</v>
      </c>
      <c r="AZ133" s="23"/>
      <c r="BB133" s="12">
        <f t="shared" si="26"/>
        <v>0</v>
      </c>
      <c r="BC133" s="12">
        <f t="shared" si="27"/>
        <v>0</v>
      </c>
      <c r="BD133" s="12">
        <f t="shared" si="28"/>
        <v>0</v>
      </c>
      <c r="BE133" s="12">
        <f t="shared" si="24"/>
        <v>1</v>
      </c>
      <c r="BF133" s="12">
        <f t="shared" si="29"/>
        <v>0</v>
      </c>
      <c r="BG133" s="23">
        <f t="shared" si="30"/>
        <v>0</v>
      </c>
      <c r="BH133" s="23">
        <f t="shared" si="31"/>
        <v>0</v>
      </c>
      <c r="BI133" s="23">
        <f t="shared" si="32"/>
        <v>0</v>
      </c>
      <c r="BJ133" s="18">
        <f t="shared" si="33"/>
        <v>1.4155918239679504E-3</v>
      </c>
      <c r="BL133" s="23"/>
      <c r="BN133" s="12">
        <f t="shared" si="34"/>
        <v>0</v>
      </c>
      <c r="BO133" s="12">
        <f t="shared" si="35"/>
        <v>1</v>
      </c>
      <c r="BP133" s="12">
        <f t="shared" si="36"/>
        <v>0</v>
      </c>
      <c r="BQ133" s="12">
        <f t="shared" si="25"/>
        <v>1</v>
      </c>
      <c r="BR133" s="12">
        <f t="shared" si="37"/>
        <v>0</v>
      </c>
      <c r="BS133" s="23">
        <f t="shared" si="38"/>
        <v>0</v>
      </c>
      <c r="BT133" s="23">
        <f t="shared" si="39"/>
        <v>0</v>
      </c>
      <c r="BU133" s="23">
        <f t="shared" si="40"/>
        <v>0</v>
      </c>
      <c r="BV133" s="18">
        <f t="shared" si="41"/>
        <v>2.6710298438228398E-3</v>
      </c>
      <c r="BX133" s="18">
        <f t="shared" si="42"/>
        <v>0</v>
      </c>
      <c r="BY133" s="18">
        <f t="shared" si="43"/>
        <v>4.08662166779079E-3</v>
      </c>
    </row>
    <row r="134" spans="1:77" x14ac:dyDescent="0.3">
      <c r="A134" s="1">
        <v>46218</v>
      </c>
      <c r="B134" s="6">
        <v>57.25</v>
      </c>
      <c r="C134" s="6">
        <v>99.85</v>
      </c>
      <c r="D134" s="7">
        <v>-1.5708180208747599E-3</v>
      </c>
      <c r="E134" s="7">
        <v>-1.70110612893339E-3</v>
      </c>
      <c r="F134" s="6">
        <v>0</v>
      </c>
      <c r="G134" s="6">
        <v>0.84199999999999897</v>
      </c>
      <c r="H134" s="6">
        <v>0</v>
      </c>
      <c r="I134" s="6">
        <v>1.5459000000000001</v>
      </c>
      <c r="J134" s="6">
        <v>0.84199999999999897</v>
      </c>
      <c r="K134" s="6">
        <v>1.5459000000000001</v>
      </c>
      <c r="L134" s="6">
        <v>58.091999999999999</v>
      </c>
      <c r="M134" s="6">
        <v>101.3959</v>
      </c>
      <c r="N134" s="8">
        <v>1.7441048034934401</v>
      </c>
      <c r="O134" s="8">
        <v>1.7441031794745401</v>
      </c>
      <c r="P134" s="8">
        <v>1.74416090493749</v>
      </c>
      <c r="Q134" s="8">
        <v>1.74435895898938</v>
      </c>
      <c r="R134" s="6">
        <v>99.8499070249174</v>
      </c>
      <c r="S134" s="6">
        <v>99.860144493306706</v>
      </c>
      <c r="T134" s="6">
        <v>99.864214483703805</v>
      </c>
      <c r="U134" s="7">
        <v>-9.3114798025254695E-7</v>
      </c>
      <c r="V134" s="7">
        <v>1.01592168402353E-4</v>
      </c>
      <c r="W134" s="7">
        <v>1.4234824260891E-4</v>
      </c>
      <c r="X134" s="8">
        <v>1.74543654892239</v>
      </c>
      <c r="Y134" s="8">
        <v>1.7448470922733199</v>
      </c>
      <c r="Z134" s="8">
        <v>1.7454881581714401</v>
      </c>
      <c r="AA134" s="8">
        <v>1.7455682863863</v>
      </c>
      <c r="AB134" s="6">
        <v>101.36165728434101</v>
      </c>
      <c r="AC134" s="6">
        <v>101.40446971996199</v>
      </c>
      <c r="AD134" s="6">
        <v>101.402541023748</v>
      </c>
      <c r="AE134" s="7">
        <v>-3.3777005841319798E-4</v>
      </c>
      <c r="AF134" s="7">
        <v>8.4513849548292698E-5</v>
      </c>
      <c r="AG134" s="7">
        <v>6.5493834342883199E-5</v>
      </c>
      <c r="AZ134" s="23"/>
      <c r="BB134" s="12">
        <f t="shared" si="26"/>
        <v>0</v>
      </c>
      <c r="BC134" s="12">
        <f t="shared" si="27"/>
        <v>1</v>
      </c>
      <c r="BD134" s="12">
        <f t="shared" si="28"/>
        <v>0</v>
      </c>
      <c r="BE134" s="12">
        <f t="shared" si="24"/>
        <v>1</v>
      </c>
      <c r="BF134" s="12">
        <f t="shared" si="29"/>
        <v>0</v>
      </c>
      <c r="BG134" s="23">
        <f t="shared" si="30"/>
        <v>0</v>
      </c>
      <c r="BH134" s="23">
        <f t="shared" si="31"/>
        <v>0</v>
      </c>
      <c r="BI134" s="23">
        <f t="shared" si="32"/>
        <v>0</v>
      </c>
      <c r="BJ134" s="18">
        <f t="shared" si="33"/>
        <v>1.4155918239679504E-3</v>
      </c>
      <c r="BL134" s="23"/>
      <c r="BN134" s="12">
        <f t="shared" si="34"/>
        <v>0</v>
      </c>
      <c r="BO134" s="12">
        <f t="shared" si="35"/>
        <v>0</v>
      </c>
      <c r="BP134" s="12">
        <f t="shared" si="36"/>
        <v>0</v>
      </c>
      <c r="BQ134" s="12">
        <f t="shared" si="25"/>
        <v>1</v>
      </c>
      <c r="BR134" s="12">
        <f t="shared" si="37"/>
        <v>0</v>
      </c>
      <c r="BS134" s="23">
        <f t="shared" si="38"/>
        <v>0</v>
      </c>
      <c r="BT134" s="23">
        <f t="shared" si="39"/>
        <v>0</v>
      </c>
      <c r="BU134" s="23">
        <f t="shared" si="40"/>
        <v>0</v>
      </c>
      <c r="BV134" s="18">
        <f t="shared" si="41"/>
        <v>2.6710298438228398E-3</v>
      </c>
      <c r="BX134" s="18">
        <f t="shared" si="42"/>
        <v>0</v>
      </c>
      <c r="BY134" s="18">
        <f t="shared" si="43"/>
        <v>4.08662166779079E-3</v>
      </c>
    </row>
    <row r="135" spans="1:77" x14ac:dyDescent="0.3">
      <c r="A135" s="1">
        <v>46219</v>
      </c>
      <c r="B135" s="6">
        <v>57.12</v>
      </c>
      <c r="C135" s="6">
        <v>99.69</v>
      </c>
      <c r="D135" s="7">
        <v>-2.27332440302015E-3</v>
      </c>
      <c r="E135" s="7">
        <v>-1.6036888272115901E-3</v>
      </c>
      <c r="F135" s="6">
        <v>0</v>
      </c>
      <c r="G135" s="6">
        <v>0.84199999999999897</v>
      </c>
      <c r="H135" s="6">
        <v>0</v>
      </c>
      <c r="I135" s="6">
        <v>1.5459000000000001</v>
      </c>
      <c r="J135" s="6">
        <v>0.84199999999999897</v>
      </c>
      <c r="K135" s="6">
        <v>1.5459000000000001</v>
      </c>
      <c r="L135" s="6">
        <v>57.961999999999897</v>
      </c>
      <c r="M135" s="6">
        <v>101.2359</v>
      </c>
      <c r="N135" s="8">
        <v>1.7452731092436899</v>
      </c>
      <c r="O135" s="8">
        <v>1.7441031794745401</v>
      </c>
      <c r="P135" s="8">
        <v>1.7442837644621101</v>
      </c>
      <c r="Q135" s="8">
        <v>1.74443620330174</v>
      </c>
      <c r="R135" s="6">
        <v>99.623173611585699</v>
      </c>
      <c r="S135" s="6">
        <v>99.626470890029907</v>
      </c>
      <c r="T135" s="6">
        <v>99.637783737473697</v>
      </c>
      <c r="U135" s="7">
        <v>-6.7056672378884704E-4</v>
      </c>
      <c r="V135" s="7">
        <v>-6.37469766926314E-4</v>
      </c>
      <c r="W135" s="7">
        <v>-5.2392358698404495E-4</v>
      </c>
      <c r="X135" s="8">
        <v>1.7465908698802599</v>
      </c>
      <c r="Y135" s="8">
        <v>1.7448470922733199</v>
      </c>
      <c r="Z135" s="8">
        <v>1.7456101256091501</v>
      </c>
      <c r="AA135" s="8">
        <v>1.74565624521406</v>
      </c>
      <c r="AB135" s="6">
        <v>101.134827162346</v>
      </c>
      <c r="AC135" s="6">
        <v>101.171984623933</v>
      </c>
      <c r="AD135" s="6">
        <v>101.17662901552301</v>
      </c>
      <c r="AE135" s="7">
        <v>-9.9888800593908307E-4</v>
      </c>
      <c r="AF135" s="7">
        <v>-6.3155028086114796E-4</v>
      </c>
      <c r="AG135" s="7">
        <v>-5.8564542876126096E-4</v>
      </c>
      <c r="AZ135" s="23"/>
      <c r="BB135" s="12">
        <f t="shared" si="26"/>
        <v>0</v>
      </c>
      <c r="BC135" s="12">
        <f t="shared" si="27"/>
        <v>0</v>
      </c>
      <c r="BD135" s="12">
        <f t="shared" si="28"/>
        <v>0</v>
      </c>
      <c r="BE135" s="12">
        <f t="shared" si="24"/>
        <v>1</v>
      </c>
      <c r="BF135" s="12">
        <f t="shared" si="29"/>
        <v>0</v>
      </c>
      <c r="BG135" s="23">
        <f t="shared" si="30"/>
        <v>0</v>
      </c>
      <c r="BH135" s="23">
        <f t="shared" si="31"/>
        <v>0</v>
      </c>
      <c r="BI135" s="23">
        <f t="shared" si="32"/>
        <v>0</v>
      </c>
      <c r="BJ135" s="18">
        <f t="shared" si="33"/>
        <v>1.4155918239679504E-3</v>
      </c>
      <c r="BL135" s="23"/>
      <c r="BN135" s="12">
        <f t="shared" si="34"/>
        <v>0</v>
      </c>
      <c r="BO135" s="12">
        <f t="shared" si="35"/>
        <v>1</v>
      </c>
      <c r="BP135" s="12">
        <f t="shared" si="36"/>
        <v>0</v>
      </c>
      <c r="BQ135" s="12">
        <f t="shared" si="25"/>
        <v>1</v>
      </c>
      <c r="BR135" s="12">
        <f t="shared" si="37"/>
        <v>0</v>
      </c>
      <c r="BS135" s="23">
        <f t="shared" si="38"/>
        <v>0</v>
      </c>
      <c r="BT135" s="23">
        <f t="shared" si="39"/>
        <v>0</v>
      </c>
      <c r="BU135" s="23">
        <f t="shared" si="40"/>
        <v>0</v>
      </c>
      <c r="BV135" s="18">
        <f t="shared" si="41"/>
        <v>2.6710298438228398E-3</v>
      </c>
      <c r="BX135" s="18">
        <f t="shared" si="42"/>
        <v>0</v>
      </c>
      <c r="BY135" s="18">
        <f t="shared" si="43"/>
        <v>4.08662166779079E-3</v>
      </c>
    </row>
    <row r="136" spans="1:77" x14ac:dyDescent="0.3">
      <c r="A136" s="1">
        <v>46220</v>
      </c>
      <c r="B136" s="6">
        <v>57.11</v>
      </c>
      <c r="C136" s="6">
        <v>99.63</v>
      </c>
      <c r="D136" s="7">
        <v>-1.7508535455739601E-4</v>
      </c>
      <c r="E136" s="7">
        <v>-6.0204697784770403E-4</v>
      </c>
      <c r="F136" s="6">
        <v>0</v>
      </c>
      <c r="G136" s="6">
        <v>0.84199999999999897</v>
      </c>
      <c r="H136" s="6">
        <v>0</v>
      </c>
      <c r="I136" s="6">
        <v>1.5459000000000001</v>
      </c>
      <c r="J136" s="6">
        <v>0.84199999999999897</v>
      </c>
      <c r="K136" s="6">
        <v>1.5459000000000001</v>
      </c>
      <c r="L136" s="6">
        <v>57.951999999999998</v>
      </c>
      <c r="M136" s="6">
        <v>101.1759</v>
      </c>
      <c r="N136" s="8">
        <v>1.7445281036596001</v>
      </c>
      <c r="O136" s="8">
        <v>1.7441031794745401</v>
      </c>
      <c r="P136" s="8">
        <v>1.74438784262939</v>
      </c>
      <c r="Q136" s="8">
        <v>1.74444823555606</v>
      </c>
      <c r="R136" s="6">
        <v>99.605732579790995</v>
      </c>
      <c r="S136" s="6">
        <v>99.616045788431194</v>
      </c>
      <c r="T136" s="6">
        <v>99.624751570562694</v>
      </c>
      <c r="U136" s="7">
        <v>-2.4360510049838499E-4</v>
      </c>
      <c r="V136" s="7">
        <v>-1.40070148307201E-4</v>
      </c>
      <c r="W136" s="7">
        <v>-5.2680595038633801E-5</v>
      </c>
      <c r="X136" s="8">
        <v>1.74585691606847</v>
      </c>
      <c r="Y136" s="8">
        <v>1.7448470922733199</v>
      </c>
      <c r="Z136" s="8">
        <v>1.74571377278068</v>
      </c>
      <c r="AA136" s="8">
        <v>1.74567981497935</v>
      </c>
      <c r="AB136" s="6">
        <v>101.117378691423</v>
      </c>
      <c r="AC136" s="6">
        <v>101.16159799930099</v>
      </c>
      <c r="AD136" s="6">
        <v>101.164270722645</v>
      </c>
      <c r="AE136" s="7">
        <v>-5.7857888890430395E-4</v>
      </c>
      <c r="AF136" s="7">
        <v>-1.4136777279219701E-4</v>
      </c>
      <c r="AG136" s="7">
        <v>-1.14947786449618E-4</v>
      </c>
      <c r="AZ136" s="23"/>
      <c r="BB136" s="12">
        <f t="shared" si="26"/>
        <v>0</v>
      </c>
      <c r="BC136" s="12">
        <f t="shared" si="27"/>
        <v>0</v>
      </c>
      <c r="BD136" s="12">
        <f t="shared" si="28"/>
        <v>0</v>
      </c>
      <c r="BE136" s="12">
        <f t="shared" si="24"/>
        <v>1</v>
      </c>
      <c r="BF136" s="12">
        <f t="shared" si="29"/>
        <v>0</v>
      </c>
      <c r="BG136" s="23">
        <f t="shared" si="30"/>
        <v>0</v>
      </c>
      <c r="BH136" s="23">
        <f t="shared" si="31"/>
        <v>0</v>
      </c>
      <c r="BI136" s="23">
        <f t="shared" si="32"/>
        <v>0</v>
      </c>
      <c r="BJ136" s="18">
        <f t="shared" si="33"/>
        <v>1.4155918239679504E-3</v>
      </c>
      <c r="BL136" s="23"/>
      <c r="BN136" s="12">
        <f t="shared" si="34"/>
        <v>0</v>
      </c>
      <c r="BO136" s="12">
        <f t="shared" si="35"/>
        <v>1</v>
      </c>
      <c r="BP136" s="12">
        <f t="shared" si="36"/>
        <v>0</v>
      </c>
      <c r="BQ136" s="12">
        <f t="shared" si="25"/>
        <v>1</v>
      </c>
      <c r="BR136" s="12">
        <f t="shared" si="37"/>
        <v>0</v>
      </c>
      <c r="BS136" s="23">
        <f t="shared" si="38"/>
        <v>0</v>
      </c>
      <c r="BT136" s="23">
        <f t="shared" si="39"/>
        <v>0</v>
      </c>
      <c r="BU136" s="23">
        <f t="shared" si="40"/>
        <v>0</v>
      </c>
      <c r="BV136" s="18">
        <f t="shared" si="41"/>
        <v>2.6710298438228398E-3</v>
      </c>
      <c r="BX136" s="18">
        <f t="shared" si="42"/>
        <v>0</v>
      </c>
      <c r="BY136" s="18">
        <f t="shared" si="43"/>
        <v>4.08662166779079E-3</v>
      </c>
    </row>
    <row r="137" spans="1:77" x14ac:dyDescent="0.3">
      <c r="A137" s="1">
        <v>46223</v>
      </c>
      <c r="B137" s="6">
        <v>57.06</v>
      </c>
      <c r="C137" s="6">
        <v>99.52</v>
      </c>
      <c r="D137" s="7">
        <v>-8.7588689141759098E-4</v>
      </c>
      <c r="E137" s="7">
        <v>-1.10469506589556E-3</v>
      </c>
      <c r="F137" s="6">
        <v>0</v>
      </c>
      <c r="G137" s="6">
        <v>0.84199999999999897</v>
      </c>
      <c r="H137" s="6">
        <v>0</v>
      </c>
      <c r="I137" s="6">
        <v>1.5459000000000001</v>
      </c>
      <c r="J137" s="6">
        <v>0.84199999999999897</v>
      </c>
      <c r="K137" s="6">
        <v>1.5459000000000001</v>
      </c>
      <c r="L137" s="6">
        <v>57.902000000000001</v>
      </c>
      <c r="M137" s="6">
        <v>101.0659</v>
      </c>
      <c r="N137" s="8">
        <v>1.74412898703119</v>
      </c>
      <c r="O137" s="8">
        <v>1.7441031794745401</v>
      </c>
      <c r="P137" s="8">
        <v>1.74438254056835</v>
      </c>
      <c r="Q137" s="8">
        <v>1.7444894675163201</v>
      </c>
      <c r="R137" s="6">
        <v>99.518527420817193</v>
      </c>
      <c r="S137" s="6">
        <v>99.534770300433095</v>
      </c>
      <c r="T137" s="6">
        <v>99.538216320829207</v>
      </c>
      <c r="U137" s="7">
        <v>-1.4796926020450499E-5</v>
      </c>
      <c r="V137" s="7">
        <v>1.4840438576733399E-4</v>
      </c>
      <c r="W137" s="7">
        <v>1.83025058867247E-4</v>
      </c>
      <c r="X137" s="8">
        <v>1.7454647507858101</v>
      </c>
      <c r="Y137" s="8">
        <v>1.7448470922733199</v>
      </c>
      <c r="Z137" s="8">
        <v>1.7457097360657601</v>
      </c>
      <c r="AA137" s="8">
        <v>1.7457325017559999</v>
      </c>
      <c r="AB137" s="6">
        <v>101.03013633680899</v>
      </c>
      <c r="AC137" s="6">
        <v>101.08031887154699</v>
      </c>
      <c r="AD137" s="6">
        <v>101.07835264693399</v>
      </c>
      <c r="AE137" s="7">
        <v>-3.5392741205389602E-4</v>
      </c>
      <c r="AF137" s="7">
        <v>1.4265784096360699E-4</v>
      </c>
      <c r="AG137" s="7">
        <v>1.23205550364051E-4</v>
      </c>
      <c r="AZ137" s="23"/>
      <c r="BB137" s="12">
        <f t="shared" si="26"/>
        <v>0</v>
      </c>
      <c r="BC137" s="12">
        <f t="shared" si="27"/>
        <v>1</v>
      </c>
      <c r="BD137" s="12">
        <f t="shared" si="28"/>
        <v>0</v>
      </c>
      <c r="BE137" s="12">
        <f t="shared" si="24"/>
        <v>1</v>
      </c>
      <c r="BF137" s="12">
        <f t="shared" si="29"/>
        <v>0</v>
      </c>
      <c r="BG137" s="23">
        <f t="shared" si="30"/>
        <v>0</v>
      </c>
      <c r="BH137" s="23">
        <f t="shared" si="31"/>
        <v>0</v>
      </c>
      <c r="BI137" s="23">
        <f t="shared" si="32"/>
        <v>0</v>
      </c>
      <c r="BJ137" s="18">
        <f t="shared" si="33"/>
        <v>1.4155918239679504E-3</v>
      </c>
      <c r="BL137" s="23"/>
      <c r="BN137" s="12">
        <f t="shared" si="34"/>
        <v>0</v>
      </c>
      <c r="BO137" s="12">
        <f t="shared" si="35"/>
        <v>0</v>
      </c>
      <c r="BP137" s="12">
        <f t="shared" si="36"/>
        <v>0</v>
      </c>
      <c r="BQ137" s="12">
        <f t="shared" si="25"/>
        <v>1</v>
      </c>
      <c r="BR137" s="12">
        <f t="shared" si="37"/>
        <v>0</v>
      </c>
      <c r="BS137" s="23">
        <f t="shared" si="38"/>
        <v>0</v>
      </c>
      <c r="BT137" s="23">
        <f t="shared" si="39"/>
        <v>0</v>
      </c>
      <c r="BU137" s="23">
        <f t="shared" si="40"/>
        <v>0</v>
      </c>
      <c r="BV137" s="18">
        <f t="shared" si="41"/>
        <v>2.6710298438228398E-3</v>
      </c>
      <c r="BX137" s="18">
        <f t="shared" si="42"/>
        <v>0</v>
      </c>
      <c r="BY137" s="18">
        <f t="shared" si="43"/>
        <v>4.08662166779079E-3</v>
      </c>
    </row>
    <row r="138" spans="1:77" x14ac:dyDescent="0.3">
      <c r="A138" s="1">
        <v>46224</v>
      </c>
      <c r="B138" s="6">
        <v>57</v>
      </c>
      <c r="C138" s="6">
        <v>99.39</v>
      </c>
      <c r="D138" s="7">
        <v>-1.0520779508037799E-3</v>
      </c>
      <c r="E138" s="7">
        <v>-1.3071240109550999E-3</v>
      </c>
      <c r="F138" s="6">
        <v>0</v>
      </c>
      <c r="G138" s="6">
        <v>0.84199999999999897</v>
      </c>
      <c r="H138" s="6">
        <v>0</v>
      </c>
      <c r="I138" s="6">
        <v>1.5459000000000001</v>
      </c>
      <c r="J138" s="6">
        <v>0.84199999999999897</v>
      </c>
      <c r="K138" s="6">
        <v>1.5459000000000001</v>
      </c>
      <c r="L138" s="6">
        <v>57.841999999999999</v>
      </c>
      <c r="M138" s="6">
        <v>100.9359</v>
      </c>
      <c r="N138" s="8">
        <v>1.74368421052631</v>
      </c>
      <c r="O138" s="8">
        <v>1.7441031794745401</v>
      </c>
      <c r="P138" s="8">
        <v>1.74437726642265</v>
      </c>
      <c r="Q138" s="8">
        <v>1.74445851018735</v>
      </c>
      <c r="R138" s="6">
        <v>99.413881230048801</v>
      </c>
      <c r="S138" s="6">
        <v>99.429804812396299</v>
      </c>
      <c r="T138" s="6">
        <v>99.435899648430393</v>
      </c>
      <c r="U138" s="7">
        <v>2.40249134130812E-4</v>
      </c>
      <c r="V138" s="7">
        <v>4.00410944631406E-4</v>
      </c>
      <c r="W138" s="7">
        <v>4.6170694388346199E-4</v>
      </c>
      <c r="X138" s="8">
        <v>1.7450278344455501</v>
      </c>
      <c r="Y138" s="8">
        <v>1.7448470922733199</v>
      </c>
      <c r="Z138" s="8">
        <v>1.7457056438887599</v>
      </c>
      <c r="AA138" s="8">
        <v>1.7457139830308199</v>
      </c>
      <c r="AB138" s="6">
        <v>100.925445511273</v>
      </c>
      <c r="AC138" s="6">
        <v>100.97534255351501</v>
      </c>
      <c r="AD138" s="6">
        <v>100.97665936657</v>
      </c>
      <c r="AE138" s="7">
        <v>-1.0358088825235E-4</v>
      </c>
      <c r="AF138" s="7">
        <v>3.9069200425588399E-4</v>
      </c>
      <c r="AG138" s="7">
        <v>4.0373285596770298E-4</v>
      </c>
      <c r="AZ138" s="23"/>
      <c r="BB138" s="12">
        <f t="shared" si="26"/>
        <v>0</v>
      </c>
      <c r="BC138" s="12">
        <f t="shared" si="27"/>
        <v>1</v>
      </c>
      <c r="BD138" s="12">
        <f t="shared" si="28"/>
        <v>0</v>
      </c>
      <c r="BE138" s="12">
        <f t="shared" si="24"/>
        <v>1</v>
      </c>
      <c r="BF138" s="12">
        <f t="shared" si="29"/>
        <v>0</v>
      </c>
      <c r="BG138" s="23">
        <f t="shared" si="30"/>
        <v>0</v>
      </c>
      <c r="BH138" s="23">
        <f t="shared" si="31"/>
        <v>0</v>
      </c>
      <c r="BI138" s="23">
        <f t="shared" si="32"/>
        <v>0</v>
      </c>
      <c r="BJ138" s="18">
        <f t="shared" si="33"/>
        <v>1.4155918239679504E-3</v>
      </c>
      <c r="BL138" s="23"/>
      <c r="BN138" s="12">
        <f t="shared" si="34"/>
        <v>0</v>
      </c>
      <c r="BO138" s="12">
        <f t="shared" si="35"/>
        <v>0</v>
      </c>
      <c r="BP138" s="12">
        <f t="shared" si="36"/>
        <v>0</v>
      </c>
      <c r="BQ138" s="12">
        <f t="shared" si="25"/>
        <v>1</v>
      </c>
      <c r="BR138" s="12">
        <f t="shared" si="37"/>
        <v>0</v>
      </c>
      <c r="BS138" s="23">
        <f t="shared" si="38"/>
        <v>0</v>
      </c>
      <c r="BT138" s="23">
        <f t="shared" si="39"/>
        <v>0</v>
      </c>
      <c r="BU138" s="23">
        <f t="shared" si="40"/>
        <v>0</v>
      </c>
      <c r="BV138" s="18">
        <f t="shared" si="41"/>
        <v>2.6710298438228398E-3</v>
      </c>
      <c r="BX138" s="18">
        <f t="shared" si="42"/>
        <v>0</v>
      </c>
      <c r="BY138" s="18">
        <f t="shared" si="43"/>
        <v>4.08662166779079E-3</v>
      </c>
    </row>
    <row r="139" spans="1:77" x14ac:dyDescent="0.3">
      <c r="A139" s="1">
        <v>46225</v>
      </c>
      <c r="B139" s="6">
        <v>56.81</v>
      </c>
      <c r="C139" s="6">
        <v>99.08</v>
      </c>
      <c r="D139" s="7">
        <v>-3.3389012655145899E-3</v>
      </c>
      <c r="E139" s="7">
        <v>-3.1239003587553598E-3</v>
      </c>
      <c r="F139" s="6">
        <v>0</v>
      </c>
      <c r="G139" s="6">
        <v>0.84199999999999897</v>
      </c>
      <c r="H139" s="6">
        <v>0</v>
      </c>
      <c r="I139" s="6">
        <v>1.5459000000000001</v>
      </c>
      <c r="J139" s="6">
        <v>0.84199999999999897</v>
      </c>
      <c r="K139" s="6">
        <v>1.5459000000000001</v>
      </c>
      <c r="L139" s="6">
        <v>57.652000000000001</v>
      </c>
      <c r="M139" s="6">
        <v>100.6259</v>
      </c>
      <c r="N139" s="8">
        <v>1.7440591445168101</v>
      </c>
      <c r="O139" s="8">
        <v>1.7441031794745401</v>
      </c>
      <c r="P139" s="8">
        <v>1.7443369921424301</v>
      </c>
      <c r="Q139" s="8">
        <v>1.74442038821389</v>
      </c>
      <c r="R139" s="6">
        <v>99.082501625948595</v>
      </c>
      <c r="S139" s="6">
        <v>99.098072505471194</v>
      </c>
      <c r="T139" s="6">
        <v>99.102687963743804</v>
      </c>
      <c r="U139" s="7">
        <v>2.5248227371792201E-5</v>
      </c>
      <c r="V139" s="7">
        <v>1.8238653038511E-4</v>
      </c>
      <c r="W139" s="7">
        <v>2.2896009814097099E-4</v>
      </c>
      <c r="X139" s="8">
        <v>1.7454017206688399</v>
      </c>
      <c r="Y139" s="8">
        <v>1.7448470922733199</v>
      </c>
      <c r="Z139" s="8">
        <v>1.74566715268122</v>
      </c>
      <c r="AA139" s="8">
        <v>1.7456885212244799</v>
      </c>
      <c r="AB139" s="6">
        <v>100.593924563741</v>
      </c>
      <c r="AC139" s="6">
        <v>100.643421781475</v>
      </c>
      <c r="AD139" s="6">
        <v>100.643902549693</v>
      </c>
      <c r="AE139" s="7">
        <v>-3.1781596666217998E-4</v>
      </c>
      <c r="AF139" s="7">
        <v>1.74112789415346E-4</v>
      </c>
      <c r="AG139" s="7">
        <v>1.7888972427310099E-4</v>
      </c>
      <c r="AZ139" s="23"/>
      <c r="BB139" s="12">
        <f t="shared" si="26"/>
        <v>0</v>
      </c>
      <c r="BC139" s="12">
        <f t="shared" si="27"/>
        <v>1</v>
      </c>
      <c r="BD139" s="12">
        <f t="shared" si="28"/>
        <v>0</v>
      </c>
      <c r="BE139" s="12">
        <f t="shared" si="24"/>
        <v>1</v>
      </c>
      <c r="BF139" s="12">
        <f t="shared" si="29"/>
        <v>0</v>
      </c>
      <c r="BG139" s="23">
        <f t="shared" si="30"/>
        <v>0</v>
      </c>
      <c r="BH139" s="23">
        <f t="shared" si="31"/>
        <v>0</v>
      </c>
      <c r="BI139" s="23">
        <f t="shared" si="32"/>
        <v>0</v>
      </c>
      <c r="BJ139" s="18">
        <f t="shared" si="33"/>
        <v>1.4155918239679504E-3</v>
      </c>
      <c r="BL139" s="23"/>
      <c r="BN139" s="12">
        <f t="shared" si="34"/>
        <v>0</v>
      </c>
      <c r="BO139" s="12">
        <f t="shared" si="35"/>
        <v>0</v>
      </c>
      <c r="BP139" s="12">
        <f t="shared" si="36"/>
        <v>0</v>
      </c>
      <c r="BQ139" s="12">
        <f t="shared" si="25"/>
        <v>1</v>
      </c>
      <c r="BR139" s="12">
        <f t="shared" si="37"/>
        <v>0</v>
      </c>
      <c r="BS139" s="23">
        <f t="shared" si="38"/>
        <v>0</v>
      </c>
      <c r="BT139" s="23">
        <f t="shared" si="39"/>
        <v>0</v>
      </c>
      <c r="BU139" s="23">
        <f t="shared" si="40"/>
        <v>0</v>
      </c>
      <c r="BV139" s="18">
        <f t="shared" si="41"/>
        <v>2.6710298438228398E-3</v>
      </c>
      <c r="BX139" s="18">
        <f t="shared" si="42"/>
        <v>0</v>
      </c>
      <c r="BY139" s="18">
        <f t="shared" si="43"/>
        <v>4.08662166779079E-3</v>
      </c>
    </row>
    <row r="140" spans="1:77" x14ac:dyDescent="0.3">
      <c r="A140" s="1">
        <v>46226</v>
      </c>
      <c r="B140" s="6">
        <v>56.47</v>
      </c>
      <c r="C140" s="6">
        <v>98.44</v>
      </c>
      <c r="D140" s="7">
        <v>-6.00284288429025E-3</v>
      </c>
      <c r="E140" s="7">
        <v>-6.48037909830368E-3</v>
      </c>
      <c r="F140" s="6">
        <v>0</v>
      </c>
      <c r="G140" s="6">
        <v>0.84199999999999897</v>
      </c>
      <c r="H140" s="6">
        <v>0</v>
      </c>
      <c r="I140" s="6">
        <v>1.5459000000000001</v>
      </c>
      <c r="J140" s="6">
        <v>0.84199999999999897</v>
      </c>
      <c r="K140" s="6">
        <v>1.5459000000000001</v>
      </c>
      <c r="L140" s="6">
        <v>57.311999999999998</v>
      </c>
      <c r="M140" s="6">
        <v>99.985900000000001</v>
      </c>
      <c r="N140" s="8">
        <v>1.7432264919426199</v>
      </c>
      <c r="O140" s="8">
        <v>1.7441031794745401</v>
      </c>
      <c r="P140" s="8">
        <v>1.74423495514423</v>
      </c>
      <c r="Q140" s="8">
        <v>1.7443447105505501</v>
      </c>
      <c r="R140" s="6">
        <v>98.489506544927295</v>
      </c>
      <c r="S140" s="6">
        <v>98.502709946283403</v>
      </c>
      <c r="T140" s="6">
        <v>98.507419322438693</v>
      </c>
      <c r="U140" s="7">
        <v>5.0278444138502796E-4</v>
      </c>
      <c r="V140" s="7">
        <v>6.3683442174524004E-4</v>
      </c>
      <c r="W140" s="7">
        <v>6.8464288899177099E-4</v>
      </c>
      <c r="X140" s="8">
        <v>1.74458926577331</v>
      </c>
      <c r="Y140" s="8">
        <v>1.7448470922733199</v>
      </c>
      <c r="Z140" s="8">
        <v>1.7455686757329001</v>
      </c>
      <c r="AA140" s="8">
        <v>1.74562652077797</v>
      </c>
      <c r="AB140" s="6">
        <v>100.00067655236801</v>
      </c>
      <c r="AC140" s="6">
        <v>100.04767585446599</v>
      </c>
      <c r="AD140" s="6">
        <v>100.04890052841699</v>
      </c>
      <c r="AE140" s="7">
        <v>1.4777544223390301E-4</v>
      </c>
      <c r="AF140" s="7">
        <v>6.1765487285249203E-4</v>
      </c>
      <c r="AG140" s="7">
        <v>6.2989570149110999E-4</v>
      </c>
      <c r="AZ140" s="23"/>
      <c r="BB140" s="12">
        <f t="shared" si="26"/>
        <v>0</v>
      </c>
      <c r="BC140" s="12">
        <f t="shared" si="27"/>
        <v>1</v>
      </c>
      <c r="BD140" s="12">
        <f t="shared" si="28"/>
        <v>0</v>
      </c>
      <c r="BE140" s="12">
        <f t="shared" si="24"/>
        <v>1</v>
      </c>
      <c r="BF140" s="12">
        <f t="shared" si="29"/>
        <v>0</v>
      </c>
      <c r="BG140" s="23">
        <f t="shared" si="30"/>
        <v>0</v>
      </c>
      <c r="BH140" s="23">
        <f t="shared" si="31"/>
        <v>0</v>
      </c>
      <c r="BI140" s="23">
        <f t="shared" si="32"/>
        <v>0</v>
      </c>
      <c r="BJ140" s="18">
        <f t="shared" si="33"/>
        <v>1.4155918239679504E-3</v>
      </c>
      <c r="BL140" s="23"/>
      <c r="BN140" s="12">
        <f t="shared" si="34"/>
        <v>0</v>
      </c>
      <c r="BO140" s="12">
        <f t="shared" si="35"/>
        <v>0</v>
      </c>
      <c r="BP140" s="12">
        <f t="shared" si="36"/>
        <v>0</v>
      </c>
      <c r="BQ140" s="12">
        <f t="shared" si="25"/>
        <v>1</v>
      </c>
      <c r="BR140" s="12">
        <f t="shared" si="37"/>
        <v>0</v>
      </c>
      <c r="BS140" s="23">
        <f t="shared" si="38"/>
        <v>0</v>
      </c>
      <c r="BT140" s="23">
        <f t="shared" si="39"/>
        <v>0</v>
      </c>
      <c r="BU140" s="23">
        <f t="shared" si="40"/>
        <v>0</v>
      </c>
      <c r="BV140" s="18">
        <f t="shared" si="41"/>
        <v>2.6710298438228398E-3</v>
      </c>
      <c r="BX140" s="18">
        <f t="shared" si="42"/>
        <v>0</v>
      </c>
      <c r="BY140" s="18">
        <f t="shared" si="43"/>
        <v>4.08662166779079E-3</v>
      </c>
    </row>
    <row r="141" spans="1:77" x14ac:dyDescent="0.3">
      <c r="A141" s="1">
        <v>46227</v>
      </c>
      <c r="B141" s="6">
        <v>56.52</v>
      </c>
      <c r="C141" s="6">
        <v>98.59</v>
      </c>
      <c r="D141" s="7">
        <v>8.8503413158153097E-4</v>
      </c>
      <c r="E141" s="7">
        <v>1.52261106409501E-3</v>
      </c>
      <c r="F141" s="6">
        <v>0</v>
      </c>
      <c r="G141" s="6">
        <v>0.84199999999999897</v>
      </c>
      <c r="H141" s="6">
        <v>0</v>
      </c>
      <c r="I141" s="6">
        <v>1.5459000000000001</v>
      </c>
      <c r="J141" s="6">
        <v>0.84199999999999897</v>
      </c>
      <c r="K141" s="6">
        <v>1.5459000000000001</v>
      </c>
      <c r="L141" s="6">
        <v>57.362000000000002</v>
      </c>
      <c r="M141" s="6">
        <v>100.13590000000001</v>
      </c>
      <c r="N141" s="8">
        <v>1.74433828733191</v>
      </c>
      <c r="O141" s="8">
        <v>1.7441031794745401</v>
      </c>
      <c r="P141" s="8">
        <v>1.7441439364493401</v>
      </c>
      <c r="Q141" s="8">
        <v>1.74430706366606</v>
      </c>
      <c r="R141" s="6">
        <v>98.576711703900997</v>
      </c>
      <c r="S141" s="6">
        <v>98.584159664751894</v>
      </c>
      <c r="T141" s="6">
        <v>98.590363040317101</v>
      </c>
      <c r="U141" s="7">
        <v>-1.3479249112821999E-4</v>
      </c>
      <c r="V141" s="7">
        <v>-5.92403716562627E-5</v>
      </c>
      <c r="W141" s="7">
        <v>3.6823171591424099E-6</v>
      </c>
      <c r="X141" s="8">
        <v>1.7456835535720501</v>
      </c>
      <c r="Y141" s="8">
        <v>1.7448470922733199</v>
      </c>
      <c r="Z141" s="8">
        <v>1.74548089278931</v>
      </c>
      <c r="AA141" s="8">
        <v>1.74560192393053</v>
      </c>
      <c r="AB141" s="6">
        <v>100.087918906982</v>
      </c>
      <c r="AC141" s="6">
        <v>100.12931037739</v>
      </c>
      <c r="AD141" s="6">
        <v>100.132628484866</v>
      </c>
      <c r="AE141" s="7">
        <v>-4.7927458579273102E-4</v>
      </c>
      <c r="AF141" s="7">
        <v>-6.5808960019728106E-5</v>
      </c>
      <c r="AG141" s="7">
        <v>-3.26712854871142E-5</v>
      </c>
      <c r="AZ141" s="23"/>
      <c r="BB141" s="12">
        <f t="shared" si="26"/>
        <v>0</v>
      </c>
      <c r="BC141" s="12">
        <f t="shared" si="27"/>
        <v>0</v>
      </c>
      <c r="BD141" s="12">
        <f t="shared" si="28"/>
        <v>0</v>
      </c>
      <c r="BE141" s="12">
        <f t="shared" si="24"/>
        <v>1</v>
      </c>
      <c r="BF141" s="12">
        <f t="shared" si="29"/>
        <v>0</v>
      </c>
      <c r="BG141" s="23">
        <f t="shared" si="30"/>
        <v>0</v>
      </c>
      <c r="BH141" s="23">
        <f t="shared" si="31"/>
        <v>0</v>
      </c>
      <c r="BI141" s="23">
        <f t="shared" si="32"/>
        <v>0</v>
      </c>
      <c r="BJ141" s="18">
        <f t="shared" si="33"/>
        <v>1.4155918239679504E-3</v>
      </c>
      <c r="BL141" s="23"/>
      <c r="BN141" s="12">
        <f t="shared" si="34"/>
        <v>0</v>
      </c>
      <c r="BO141" s="12">
        <f t="shared" si="35"/>
        <v>1</v>
      </c>
      <c r="BP141" s="12">
        <f t="shared" si="36"/>
        <v>0</v>
      </c>
      <c r="BQ141" s="12">
        <f t="shared" si="25"/>
        <v>1</v>
      </c>
      <c r="BR141" s="12">
        <f t="shared" si="37"/>
        <v>0</v>
      </c>
      <c r="BS141" s="23">
        <f t="shared" si="38"/>
        <v>0</v>
      </c>
      <c r="BT141" s="23">
        <f t="shared" si="39"/>
        <v>0</v>
      </c>
      <c r="BU141" s="23">
        <f t="shared" si="40"/>
        <v>0</v>
      </c>
      <c r="BV141" s="18">
        <f t="shared" si="41"/>
        <v>2.6710298438228398E-3</v>
      </c>
      <c r="BX141" s="18">
        <f t="shared" si="42"/>
        <v>0</v>
      </c>
      <c r="BY141" s="18">
        <f t="shared" si="43"/>
        <v>4.08662166779079E-3</v>
      </c>
    </row>
    <row r="142" spans="1:77" x14ac:dyDescent="0.3">
      <c r="A142" s="1">
        <v>46230</v>
      </c>
      <c r="B142" s="6">
        <v>56.67</v>
      </c>
      <c r="C142" s="6">
        <v>98.77</v>
      </c>
      <c r="D142" s="7">
        <v>2.6504123652011202E-3</v>
      </c>
      <c r="E142" s="7">
        <v>1.8240783330858599E-3</v>
      </c>
      <c r="F142" s="6">
        <v>0</v>
      </c>
      <c r="G142" s="6">
        <v>0.84199999999999897</v>
      </c>
      <c r="H142" s="6">
        <v>0</v>
      </c>
      <c r="I142" s="6">
        <v>1.5459000000000001</v>
      </c>
      <c r="J142" s="6">
        <v>0.84199999999999897</v>
      </c>
      <c r="K142" s="6">
        <v>1.5459000000000001</v>
      </c>
      <c r="L142" s="6">
        <v>57.512</v>
      </c>
      <c r="M142" s="6">
        <v>100.3159</v>
      </c>
      <c r="N142" s="8">
        <v>1.7428974766190199</v>
      </c>
      <c r="O142" s="8">
        <v>1.7441031794745401</v>
      </c>
      <c r="P142" s="8">
        <v>1.7440572668776899</v>
      </c>
      <c r="Q142" s="8">
        <v>1.74421235416367</v>
      </c>
      <c r="R142" s="6">
        <v>98.838327180822205</v>
      </c>
      <c r="S142" s="6">
        <v>98.840636878584604</v>
      </c>
      <c r="T142" s="6">
        <v>98.849881297955605</v>
      </c>
      <c r="U142" s="7">
        <v>6.9154154098693401E-4</v>
      </c>
      <c r="V142" s="7">
        <v>7.1490971041758902E-4</v>
      </c>
      <c r="W142" s="7">
        <v>8.0843386588067901E-4</v>
      </c>
      <c r="X142" s="8">
        <v>1.7442603282793101</v>
      </c>
      <c r="Y142" s="8">
        <v>1.7448470922733199</v>
      </c>
      <c r="Z142" s="8">
        <v>1.7453970239463299</v>
      </c>
      <c r="AA142" s="8">
        <v>1.74552101057175</v>
      </c>
      <c r="AB142" s="6">
        <v>100.349645970823</v>
      </c>
      <c r="AC142" s="6">
        <v>100.38609710609801</v>
      </c>
      <c r="AD142" s="6">
        <v>100.393057849092</v>
      </c>
      <c r="AE142" s="7">
        <v>3.3634046121943799E-4</v>
      </c>
      <c r="AF142" s="7">
        <v>6.9951579927948402E-4</v>
      </c>
      <c r="AG142" s="7">
        <v>7.6885310671211604E-4</v>
      </c>
      <c r="AZ142" s="23"/>
      <c r="BB142" s="12">
        <f t="shared" si="26"/>
        <v>0</v>
      </c>
      <c r="BC142" s="12">
        <f t="shared" si="27"/>
        <v>1</v>
      </c>
      <c r="BD142" s="12">
        <f t="shared" si="28"/>
        <v>0</v>
      </c>
      <c r="BE142" s="12">
        <f t="shared" si="24"/>
        <v>1</v>
      </c>
      <c r="BF142" s="12">
        <f t="shared" si="29"/>
        <v>0</v>
      </c>
      <c r="BG142" s="23">
        <f t="shared" si="30"/>
        <v>0</v>
      </c>
      <c r="BH142" s="23">
        <f t="shared" si="31"/>
        <v>0</v>
      </c>
      <c r="BI142" s="23">
        <f t="shared" si="32"/>
        <v>0</v>
      </c>
      <c r="BJ142" s="18">
        <f t="shared" si="33"/>
        <v>1.4155918239679504E-3</v>
      </c>
      <c r="BL142" s="23"/>
      <c r="BN142" s="12">
        <f t="shared" si="34"/>
        <v>0</v>
      </c>
      <c r="BO142" s="12">
        <f t="shared" si="35"/>
        <v>0</v>
      </c>
      <c r="BP142" s="12">
        <f t="shared" si="36"/>
        <v>0</v>
      </c>
      <c r="BQ142" s="12">
        <f t="shared" si="25"/>
        <v>1</v>
      </c>
      <c r="BR142" s="12">
        <f t="shared" si="37"/>
        <v>0</v>
      </c>
      <c r="BS142" s="23">
        <f t="shared" si="38"/>
        <v>0</v>
      </c>
      <c r="BT142" s="23">
        <f t="shared" si="39"/>
        <v>0</v>
      </c>
      <c r="BU142" s="23">
        <f t="shared" si="40"/>
        <v>0</v>
      </c>
      <c r="BV142" s="18">
        <f t="shared" si="41"/>
        <v>2.6710298438228398E-3</v>
      </c>
      <c r="BX142" s="18">
        <f t="shared" si="42"/>
        <v>0</v>
      </c>
      <c r="BY142" s="18">
        <f t="shared" si="43"/>
        <v>4.08662166779079E-3</v>
      </c>
    </row>
    <row r="143" spans="1:77" x14ac:dyDescent="0.3">
      <c r="A143" s="1">
        <v>46231</v>
      </c>
      <c r="B143" s="6">
        <v>56.74</v>
      </c>
      <c r="C143" s="6">
        <v>98.87</v>
      </c>
      <c r="D143" s="7">
        <v>1.23445919917736E-3</v>
      </c>
      <c r="E143" s="7">
        <v>1.0119409890056901E-3</v>
      </c>
      <c r="F143" s="6">
        <v>0</v>
      </c>
      <c r="G143" s="6">
        <v>0.84199999999999897</v>
      </c>
      <c r="H143" s="6">
        <v>0</v>
      </c>
      <c r="I143" s="6">
        <v>1.5459000000000001</v>
      </c>
      <c r="J143" s="6">
        <v>0.84199999999999897</v>
      </c>
      <c r="K143" s="6">
        <v>1.5459000000000001</v>
      </c>
      <c r="L143" s="6">
        <v>57.582000000000001</v>
      </c>
      <c r="M143" s="6">
        <v>100.41589999999999</v>
      </c>
      <c r="N143" s="8">
        <v>1.74250969333803</v>
      </c>
      <c r="O143" s="8">
        <v>1.7441031794745401</v>
      </c>
      <c r="P143" s="8">
        <v>1.74387503077026</v>
      </c>
      <c r="Q143" s="8">
        <v>1.74407851532667</v>
      </c>
      <c r="R143" s="6">
        <v>98.9604144033854</v>
      </c>
      <c r="S143" s="6">
        <v>98.957809322640202</v>
      </c>
      <c r="T143" s="6">
        <v>98.966608975247098</v>
      </c>
      <c r="U143" s="7">
        <v>9.140597511586E-4</v>
      </c>
      <c r="V143" s="7">
        <v>8.8773493178305604E-4</v>
      </c>
      <c r="W143" s="7">
        <v>9.7665425450576301E-4</v>
      </c>
      <c r="X143" s="8">
        <v>1.7438765586467899</v>
      </c>
      <c r="Y143" s="8">
        <v>1.7448470922733199</v>
      </c>
      <c r="Z143" s="8">
        <v>1.7452188347042801</v>
      </c>
      <c r="AA143" s="8">
        <v>1.7454014517111001</v>
      </c>
      <c r="AB143" s="6">
        <v>100.471785267282</v>
      </c>
      <c r="AC143" s="6">
        <v>100.503451432877</v>
      </c>
      <c r="AD143" s="6">
        <v>100.510590830742</v>
      </c>
      <c r="AE143" s="7">
        <v>5.5638322129751203E-4</v>
      </c>
      <c r="AF143" s="7">
        <v>8.7150827229947898E-4</v>
      </c>
      <c r="AG143" s="7">
        <v>9.4254209448920703E-4</v>
      </c>
      <c r="AZ143" s="23"/>
      <c r="BB143" s="12">
        <f t="shared" si="26"/>
        <v>0</v>
      </c>
      <c r="BC143" s="12">
        <f t="shared" si="27"/>
        <v>1</v>
      </c>
      <c r="BD143" s="12">
        <f t="shared" si="28"/>
        <v>0</v>
      </c>
      <c r="BE143" s="12">
        <f t="shared" si="24"/>
        <v>1</v>
      </c>
      <c r="BF143" s="12">
        <f t="shared" si="29"/>
        <v>0</v>
      </c>
      <c r="BG143" s="23">
        <f t="shared" si="30"/>
        <v>0</v>
      </c>
      <c r="BH143" s="23">
        <f t="shared" si="31"/>
        <v>0</v>
      </c>
      <c r="BI143" s="23">
        <f t="shared" si="32"/>
        <v>0</v>
      </c>
      <c r="BJ143" s="18">
        <f t="shared" si="33"/>
        <v>1.4155918239679504E-3</v>
      </c>
      <c r="BL143" s="23"/>
      <c r="BN143" s="12">
        <f t="shared" si="34"/>
        <v>0</v>
      </c>
      <c r="BO143" s="12">
        <f t="shared" si="35"/>
        <v>0</v>
      </c>
      <c r="BP143" s="12">
        <f t="shared" si="36"/>
        <v>0</v>
      </c>
      <c r="BQ143" s="12">
        <f t="shared" si="25"/>
        <v>1</v>
      </c>
      <c r="BR143" s="12">
        <f t="shared" si="37"/>
        <v>0</v>
      </c>
      <c r="BS143" s="23">
        <f t="shared" si="38"/>
        <v>0</v>
      </c>
      <c r="BT143" s="23">
        <f t="shared" si="39"/>
        <v>0</v>
      </c>
      <c r="BU143" s="23">
        <f t="shared" si="40"/>
        <v>0</v>
      </c>
      <c r="BV143" s="18">
        <f t="shared" si="41"/>
        <v>2.6710298438228398E-3</v>
      </c>
      <c r="BX143" s="18">
        <f t="shared" si="42"/>
        <v>0</v>
      </c>
      <c r="BY143" s="18">
        <f t="shared" si="43"/>
        <v>4.08662166779079E-3</v>
      </c>
    </row>
    <row r="144" spans="1:77" x14ac:dyDescent="0.3">
      <c r="A144" s="1">
        <v>46232</v>
      </c>
      <c r="B144" s="6">
        <v>56.59</v>
      </c>
      <c r="C144" s="6">
        <v>98.86</v>
      </c>
      <c r="D144" s="7">
        <v>-2.6471382262728501E-3</v>
      </c>
      <c r="E144" s="7">
        <v>-1.0114803022844099E-4</v>
      </c>
      <c r="F144" s="6">
        <v>0</v>
      </c>
      <c r="G144" s="6">
        <v>0.84199999999999897</v>
      </c>
      <c r="H144" s="6">
        <v>0</v>
      </c>
      <c r="I144" s="6">
        <v>1.5459000000000001</v>
      </c>
      <c r="J144" s="6">
        <v>0.84199999999999897</v>
      </c>
      <c r="K144" s="6">
        <v>1.5459000000000001</v>
      </c>
      <c r="L144" s="6">
        <v>57.432000000000002</v>
      </c>
      <c r="M144" s="6">
        <v>100.4059</v>
      </c>
      <c r="N144" s="8">
        <v>1.74695175826117</v>
      </c>
      <c r="O144" s="8">
        <v>1.7441031794745401</v>
      </c>
      <c r="P144" s="8">
        <v>1.7441597262470301</v>
      </c>
      <c r="Q144" s="8">
        <v>1.74416031559226</v>
      </c>
      <c r="R144" s="6">
        <v>98.698798926464207</v>
      </c>
      <c r="S144" s="6">
        <v>98.685887991289405</v>
      </c>
      <c r="T144" s="6">
        <v>98.6974031823366</v>
      </c>
      <c r="U144" s="7">
        <v>-1.63193044488583E-3</v>
      </c>
      <c r="V144" s="7">
        <v>-1.7627504734795199E-3</v>
      </c>
      <c r="W144" s="7">
        <v>-1.6460719948518999E-3</v>
      </c>
      <c r="X144" s="8">
        <v>1.7482570692296899</v>
      </c>
      <c r="Y144" s="8">
        <v>1.7448470922733199</v>
      </c>
      <c r="Z144" s="8">
        <v>1.7455008867350099</v>
      </c>
      <c r="AA144" s="8">
        <v>1.7454945224532199</v>
      </c>
      <c r="AB144" s="6">
        <v>100.21005820344099</v>
      </c>
      <c r="AC144" s="6">
        <v>100.231408114736</v>
      </c>
      <c r="AD144" s="6">
        <v>100.24189617467199</v>
      </c>
      <c r="AE144" s="7">
        <v>-1.9524055865050201E-3</v>
      </c>
      <c r="AF144" s="7">
        <v>-1.7393766981428601E-3</v>
      </c>
      <c r="AG144" s="7">
        <v>-1.6347437148851701E-3</v>
      </c>
      <c r="AZ144" s="23"/>
      <c r="BB144" s="12">
        <f t="shared" si="26"/>
        <v>1</v>
      </c>
      <c r="BC144" s="12">
        <f t="shared" si="27"/>
        <v>0</v>
      </c>
      <c r="BD144" s="12">
        <f t="shared" si="28"/>
        <v>0</v>
      </c>
      <c r="BE144" s="12">
        <f t="shared" si="24"/>
        <v>1</v>
      </c>
      <c r="BF144" s="12">
        <f t="shared" si="29"/>
        <v>0</v>
      </c>
      <c r="BG144" s="23">
        <f t="shared" si="30"/>
        <v>0</v>
      </c>
      <c r="BH144" s="23">
        <f t="shared" si="31"/>
        <v>0</v>
      </c>
      <c r="BI144" s="23">
        <f t="shared" si="32"/>
        <v>0</v>
      </c>
      <c r="BJ144" s="18">
        <f t="shared" si="33"/>
        <v>1.4155918239679504E-3</v>
      </c>
      <c r="BL144" s="23"/>
      <c r="BN144" s="12">
        <f t="shared" si="34"/>
        <v>0</v>
      </c>
      <c r="BO144" s="12">
        <f t="shared" si="35"/>
        <v>1</v>
      </c>
      <c r="BP144" s="12">
        <f t="shared" si="36"/>
        <v>0</v>
      </c>
      <c r="BQ144" s="12">
        <f t="shared" si="25"/>
        <v>1</v>
      </c>
      <c r="BR144" s="12">
        <f t="shared" si="37"/>
        <v>0</v>
      </c>
      <c r="BS144" s="23">
        <f t="shared" si="38"/>
        <v>0</v>
      </c>
      <c r="BT144" s="23">
        <f t="shared" si="39"/>
        <v>0</v>
      </c>
      <c r="BU144" s="23">
        <f t="shared" si="40"/>
        <v>0</v>
      </c>
      <c r="BV144" s="18">
        <f t="shared" si="41"/>
        <v>2.6710298438228398E-3</v>
      </c>
      <c r="BX144" s="18">
        <f t="shared" si="42"/>
        <v>0</v>
      </c>
      <c r="BY144" s="18">
        <f t="shared" si="43"/>
        <v>4.08662166779079E-3</v>
      </c>
    </row>
    <row r="145" spans="1:77" x14ac:dyDescent="0.3">
      <c r="A145" s="1">
        <v>46233</v>
      </c>
      <c r="B145" s="6">
        <v>56.56</v>
      </c>
      <c r="C145" s="6">
        <v>98.72</v>
      </c>
      <c r="D145" s="7">
        <v>-5.3026956611522196E-4</v>
      </c>
      <c r="E145" s="7">
        <v>-1.41714772173552E-3</v>
      </c>
      <c r="F145" s="6">
        <v>0</v>
      </c>
      <c r="G145" s="6">
        <v>0.84199999999999897</v>
      </c>
      <c r="H145" s="6">
        <v>0</v>
      </c>
      <c r="I145" s="6">
        <v>1.5459000000000001</v>
      </c>
      <c r="J145" s="6">
        <v>0.84199999999999897</v>
      </c>
      <c r="K145" s="6">
        <v>1.5459000000000001</v>
      </c>
      <c r="L145" s="6">
        <v>57.402000000000001</v>
      </c>
      <c r="M145" s="6">
        <v>100.2659</v>
      </c>
      <c r="N145" s="8">
        <v>1.7454031117397399</v>
      </c>
      <c r="O145" s="8">
        <v>1.7441031794745401</v>
      </c>
      <c r="P145" s="8">
        <v>1.74417272649664</v>
      </c>
      <c r="Q145" s="8">
        <v>1.7442282454793701</v>
      </c>
      <c r="R145" s="6">
        <v>98.646475831079997</v>
      </c>
      <c r="S145" s="6">
        <v>98.649674116532495</v>
      </c>
      <c r="T145" s="6">
        <v>98.649707449898699</v>
      </c>
      <c r="U145" s="7">
        <v>-7.4505228926544705E-4</v>
      </c>
      <c r="V145" s="7">
        <v>-7.12631124902287E-4</v>
      </c>
      <c r="W145" s="7">
        <v>-7.1229322859569502E-4</v>
      </c>
      <c r="X145" s="8">
        <v>1.74673182119089</v>
      </c>
      <c r="Y145" s="8">
        <v>1.7448470922733199</v>
      </c>
      <c r="Z145" s="8">
        <v>1.74551498186607</v>
      </c>
      <c r="AA145" s="8">
        <v>1.74556255373761</v>
      </c>
      <c r="AB145" s="6">
        <v>100.157712790673</v>
      </c>
      <c r="AC145" s="6">
        <v>100.195241900363</v>
      </c>
      <c r="AD145" s="6">
        <v>100.19487657786</v>
      </c>
      <c r="AE145" s="7">
        <v>-1.0795855670716499E-3</v>
      </c>
      <c r="AF145" s="7">
        <v>-7.0495560279867995E-4</v>
      </c>
      <c r="AG145" s="7">
        <v>-7.0860171574913802E-4</v>
      </c>
      <c r="AZ145" s="23"/>
      <c r="BB145" s="12">
        <f t="shared" si="26"/>
        <v>0</v>
      </c>
      <c r="BC145" s="12">
        <f t="shared" si="27"/>
        <v>0</v>
      </c>
      <c r="BD145" s="12">
        <f t="shared" si="28"/>
        <v>1</v>
      </c>
      <c r="BE145" s="12">
        <f t="shared" si="24"/>
        <v>1</v>
      </c>
      <c r="BF145" s="12">
        <f t="shared" si="29"/>
        <v>1</v>
      </c>
      <c r="BG145" s="23">
        <f t="shared" si="30"/>
        <v>-5.3026956611522196E-4</v>
      </c>
      <c r="BH145" s="23">
        <f t="shared" si="31"/>
        <v>1.41714772173552E-3</v>
      </c>
      <c r="BI145" s="23">
        <f t="shared" si="32"/>
        <v>8.8687815562029802E-4</v>
      </c>
      <c r="BJ145" s="18">
        <f t="shared" si="33"/>
        <v>2.3024699795882483E-3</v>
      </c>
      <c r="BL145" s="23"/>
      <c r="BN145" s="12">
        <f t="shared" si="34"/>
        <v>0</v>
      </c>
      <c r="BO145" s="12">
        <f t="shared" si="35"/>
        <v>1</v>
      </c>
      <c r="BP145" s="12">
        <f t="shared" si="36"/>
        <v>0</v>
      </c>
      <c r="BQ145" s="12">
        <f t="shared" si="25"/>
        <v>1</v>
      </c>
      <c r="BR145" s="12">
        <f t="shared" si="37"/>
        <v>0</v>
      </c>
      <c r="BS145" s="23">
        <f t="shared" si="38"/>
        <v>0</v>
      </c>
      <c r="BT145" s="23">
        <f t="shared" si="39"/>
        <v>0</v>
      </c>
      <c r="BU145" s="23">
        <f t="shared" si="40"/>
        <v>0</v>
      </c>
      <c r="BV145" s="18">
        <f t="shared" si="41"/>
        <v>2.6710298438228398E-3</v>
      </c>
      <c r="BX145" s="18">
        <f t="shared" si="42"/>
        <v>8.8687815562029802E-4</v>
      </c>
      <c r="BY145" s="18">
        <f t="shared" si="43"/>
        <v>4.9734998234110877E-3</v>
      </c>
    </row>
    <row r="146" spans="1:77" x14ac:dyDescent="0.3">
      <c r="A146" s="1">
        <v>46234</v>
      </c>
      <c r="B146" s="6">
        <v>56.53</v>
      </c>
      <c r="C146" s="6">
        <v>98.66</v>
      </c>
      <c r="D146" s="7">
        <v>-5.3055090111791398E-4</v>
      </c>
      <c r="E146" s="7">
        <v>-6.0796435148547105E-4</v>
      </c>
      <c r="F146" s="6">
        <v>0</v>
      </c>
      <c r="G146" s="6">
        <v>0.84199999999999897</v>
      </c>
      <c r="H146" s="6">
        <v>0</v>
      </c>
      <c r="I146" s="6">
        <v>1.5459000000000001</v>
      </c>
      <c r="J146" s="6">
        <v>0.84199999999999897</v>
      </c>
      <c r="K146" s="6">
        <v>1.5459000000000001</v>
      </c>
      <c r="L146" s="6">
        <v>57.372</v>
      </c>
      <c r="M146" s="6">
        <v>100.2059</v>
      </c>
      <c r="N146" s="8">
        <v>1.7452679992924101</v>
      </c>
      <c r="O146" s="8">
        <v>1.7441031794745401</v>
      </c>
      <c r="P146" s="8">
        <v>1.74424671605992</v>
      </c>
      <c r="Q146" s="8">
        <v>1.74431727934465</v>
      </c>
      <c r="R146" s="6">
        <v>98.594152735695701</v>
      </c>
      <c r="S146" s="6">
        <v>98.598084228855299</v>
      </c>
      <c r="T146" s="6">
        <v>98.601222716949195</v>
      </c>
      <c r="U146" s="7">
        <v>-6.6763883889786699E-4</v>
      </c>
      <c r="V146" s="7">
        <v>-6.2776411339578501E-4</v>
      </c>
      <c r="W146" s="7">
        <v>-5.9593349347312899E-4</v>
      </c>
      <c r="X146" s="8">
        <v>1.74659938646029</v>
      </c>
      <c r="Y146" s="8">
        <v>1.7448470922733199</v>
      </c>
      <c r="Z146" s="8">
        <v>1.7455892289052499</v>
      </c>
      <c r="AA146" s="8">
        <v>1.74565150084297</v>
      </c>
      <c r="AB146" s="6">
        <v>100.105367377904</v>
      </c>
      <c r="AC146" s="6">
        <v>100.14368553961999</v>
      </c>
      <c r="AD146" s="6">
        <v>100.146414833034</v>
      </c>
      <c r="AE146" s="7">
        <v>-1.0037641102463601E-3</v>
      </c>
      <c r="AF146" s="7">
        <v>-6.2105905746369199E-4</v>
      </c>
      <c r="AG146" s="7">
        <v>-5.9380565443531604E-4</v>
      </c>
      <c r="AZ146" s="23"/>
      <c r="BB146" s="12">
        <f t="shared" si="26"/>
        <v>0</v>
      </c>
      <c r="BC146" s="12">
        <f t="shared" si="27"/>
        <v>0</v>
      </c>
      <c r="BD146" s="12">
        <f t="shared" si="28"/>
        <v>1</v>
      </c>
      <c r="BE146" s="12">
        <f t="shared" si="24"/>
        <v>0</v>
      </c>
      <c r="BF146" s="12">
        <f t="shared" si="29"/>
        <v>1</v>
      </c>
      <c r="BG146" s="23">
        <f t="shared" si="30"/>
        <v>-5.3055090111791398E-4</v>
      </c>
      <c r="BH146" s="23">
        <f t="shared" si="31"/>
        <v>6.0796435148547105E-4</v>
      </c>
      <c r="BI146" s="23">
        <f t="shared" si="32"/>
        <v>7.7413450367557076E-5</v>
      </c>
      <c r="BJ146" s="18">
        <f t="shared" si="33"/>
        <v>2.3798834299558055E-3</v>
      </c>
      <c r="BL146" s="23"/>
      <c r="BN146" s="12">
        <f t="shared" si="34"/>
        <v>0</v>
      </c>
      <c r="BO146" s="12">
        <f t="shared" si="35"/>
        <v>1</v>
      </c>
      <c r="BP146" s="12">
        <f t="shared" si="36"/>
        <v>0</v>
      </c>
      <c r="BQ146" s="12">
        <f t="shared" si="25"/>
        <v>0</v>
      </c>
      <c r="BR146" s="12">
        <f t="shared" si="37"/>
        <v>0</v>
      </c>
      <c r="BS146" s="23">
        <f t="shared" si="38"/>
        <v>0</v>
      </c>
      <c r="BT146" s="23">
        <f t="shared" si="39"/>
        <v>0</v>
      </c>
      <c r="BU146" s="23">
        <f t="shared" si="40"/>
        <v>0</v>
      </c>
      <c r="BV146" s="18">
        <f t="shared" si="41"/>
        <v>2.6710298438228398E-3</v>
      </c>
      <c r="BX146" s="18">
        <f t="shared" si="42"/>
        <v>7.7413450367557076E-5</v>
      </c>
      <c r="BY146" s="18">
        <f t="shared" si="43"/>
        <v>5.0509132737786445E-3</v>
      </c>
    </row>
    <row r="147" spans="1:77" x14ac:dyDescent="0.3">
      <c r="A147" s="1">
        <v>46237</v>
      </c>
      <c r="B147" s="6">
        <v>56.37</v>
      </c>
      <c r="C147" s="6">
        <v>98.45</v>
      </c>
      <c r="D147" s="7">
        <v>-2.8343685937158398E-3</v>
      </c>
      <c r="E147" s="7">
        <v>-2.1307907204576098E-3</v>
      </c>
      <c r="F147" s="6">
        <v>0.14030000000000001</v>
      </c>
      <c r="G147" s="6">
        <v>0.98229999999999895</v>
      </c>
      <c r="H147" s="6">
        <v>0.25640000000000002</v>
      </c>
      <c r="I147" s="6">
        <v>1.8023</v>
      </c>
      <c r="J147" s="6">
        <v>0.98229999999999895</v>
      </c>
      <c r="K147" s="6">
        <v>1.8023</v>
      </c>
      <c r="L147" s="6">
        <v>57.3523</v>
      </c>
      <c r="M147" s="6">
        <v>100.25230000000001</v>
      </c>
      <c r="N147" s="8">
        <v>1.74649636331381</v>
      </c>
      <c r="O147" s="8">
        <v>1.7441031794745401</v>
      </c>
      <c r="P147" s="8">
        <v>1.7444834536881799</v>
      </c>
      <c r="Q147" s="8">
        <v>1.7444329971282699</v>
      </c>
      <c r="R147" s="6">
        <v>98.315096226979804</v>
      </c>
      <c r="S147" s="6">
        <v>98.323187384297896</v>
      </c>
      <c r="T147" s="6">
        <v>98.3271650366584</v>
      </c>
      <c r="U147" s="7">
        <v>-1.37121671215599E-3</v>
      </c>
      <c r="V147" s="7">
        <v>-1.2889218794907399E-3</v>
      </c>
      <c r="W147" s="7">
        <v>-1.24846782169743E-3</v>
      </c>
      <c r="X147" s="8">
        <v>1.7480083623498901</v>
      </c>
      <c r="Y147" s="8">
        <v>1.7448470922733199</v>
      </c>
      <c r="Z147" s="8">
        <v>1.74584359006166</v>
      </c>
      <c r="AA147" s="8">
        <v>1.7457766630637099</v>
      </c>
      <c r="AB147" s="6">
        <v>100.070993890187</v>
      </c>
      <c r="AC147" s="6">
        <v>100.113557132943</v>
      </c>
      <c r="AD147" s="6">
        <v>100.117128571796</v>
      </c>
      <c r="AE147" s="7">
        <v>-1.8101355643414601E-3</v>
      </c>
      <c r="AF147" s="7">
        <v>-1.38489552279282E-3</v>
      </c>
      <c r="AG147" s="7">
        <v>-1.3492222807910601E-3</v>
      </c>
      <c r="AZ147" s="23"/>
      <c r="BB147" s="12">
        <f t="shared" si="26"/>
        <v>1</v>
      </c>
      <c r="BC147" s="12">
        <f t="shared" si="27"/>
        <v>0</v>
      </c>
      <c r="BD147" s="12">
        <f t="shared" si="28"/>
        <v>0</v>
      </c>
      <c r="BE147" s="12">
        <f t="shared" si="24"/>
        <v>1</v>
      </c>
      <c r="BF147" s="12">
        <f t="shared" si="29"/>
        <v>0</v>
      </c>
      <c r="BG147" s="23">
        <f t="shared" si="30"/>
        <v>0</v>
      </c>
      <c r="BH147" s="23">
        <f t="shared" si="31"/>
        <v>0</v>
      </c>
      <c r="BI147" s="23">
        <f t="shared" si="32"/>
        <v>0</v>
      </c>
      <c r="BJ147" s="18">
        <f t="shared" si="33"/>
        <v>2.3798834299558055E-3</v>
      </c>
      <c r="BL147" s="23"/>
      <c r="BN147" s="12">
        <f t="shared" si="34"/>
        <v>0</v>
      </c>
      <c r="BO147" s="12">
        <f t="shared" si="35"/>
        <v>1</v>
      </c>
      <c r="BP147" s="12">
        <f t="shared" si="36"/>
        <v>0</v>
      </c>
      <c r="BQ147" s="12">
        <f t="shared" si="25"/>
        <v>1</v>
      </c>
      <c r="BR147" s="12">
        <f t="shared" si="37"/>
        <v>0</v>
      </c>
      <c r="BS147" s="23">
        <f t="shared" si="38"/>
        <v>0</v>
      </c>
      <c r="BT147" s="23">
        <f t="shared" si="39"/>
        <v>0</v>
      </c>
      <c r="BU147" s="23">
        <f t="shared" si="40"/>
        <v>0</v>
      </c>
      <c r="BV147" s="18">
        <f t="shared" si="41"/>
        <v>2.6710298438228398E-3</v>
      </c>
      <c r="BX147" s="18">
        <f t="shared" si="42"/>
        <v>0</v>
      </c>
      <c r="BY147" s="18">
        <f t="shared" si="43"/>
        <v>5.0509132737786445E-3</v>
      </c>
    </row>
    <row r="148" spans="1:77" x14ac:dyDescent="0.3">
      <c r="A148" s="1">
        <v>46238</v>
      </c>
      <c r="B148" s="6">
        <v>56.59</v>
      </c>
      <c r="C148" s="6">
        <v>98.79</v>
      </c>
      <c r="D148" s="7">
        <v>3.8951890609489098E-3</v>
      </c>
      <c r="E148" s="7">
        <v>3.44757997124804E-3</v>
      </c>
      <c r="F148" s="6">
        <v>0</v>
      </c>
      <c r="G148" s="6">
        <v>0.98229999999999895</v>
      </c>
      <c r="H148" s="6">
        <v>0</v>
      </c>
      <c r="I148" s="6">
        <v>1.8023</v>
      </c>
      <c r="J148" s="6">
        <v>0.98229999999999895</v>
      </c>
      <c r="K148" s="6">
        <v>1.8023</v>
      </c>
      <c r="L148" s="6">
        <v>57.572299999999998</v>
      </c>
      <c r="M148" s="6">
        <v>100.59229999999999</v>
      </c>
      <c r="N148" s="8">
        <v>1.74571479059904</v>
      </c>
      <c r="O148" s="8">
        <v>1.7441031794745401</v>
      </c>
      <c r="P148" s="8">
        <v>1.74468651169546</v>
      </c>
      <c r="Q148" s="8">
        <v>1.74453188905906</v>
      </c>
      <c r="R148" s="6">
        <v>98.698798926464207</v>
      </c>
      <c r="S148" s="6">
        <v>98.720318644214501</v>
      </c>
      <c r="T148" s="6">
        <v>98.717463307488899</v>
      </c>
      <c r="U148" s="7">
        <v>-9.2360762245525304E-4</v>
      </c>
      <c r="V148" s="7">
        <v>-7.0559714707369304E-4</v>
      </c>
      <c r="W148" s="7">
        <v>-7.3452106120558901E-4</v>
      </c>
      <c r="X148" s="8">
        <v>1.74723434707315</v>
      </c>
      <c r="Y148" s="8">
        <v>1.7448470922733199</v>
      </c>
      <c r="Z148" s="8">
        <v>1.7460642413244201</v>
      </c>
      <c r="AA148" s="8">
        <v>1.7458849426065901</v>
      </c>
      <c r="AB148" s="6">
        <v>100.454860250487</v>
      </c>
      <c r="AC148" s="6">
        <v>100.512230920107</v>
      </c>
      <c r="AD148" s="6">
        <v>100.508377778903</v>
      </c>
      <c r="AE148" s="7">
        <v>-1.3672391169478101E-3</v>
      </c>
      <c r="AF148" s="7">
        <v>-7.9629318899221099E-4</v>
      </c>
      <c r="AG148" s="7">
        <v>-8.3462897187171301E-4</v>
      </c>
      <c r="AZ148" s="23"/>
      <c r="BB148" s="12">
        <f t="shared" si="26"/>
        <v>0</v>
      </c>
      <c r="BC148" s="12">
        <f t="shared" si="27"/>
        <v>0</v>
      </c>
      <c r="BD148" s="12">
        <f t="shared" si="28"/>
        <v>1</v>
      </c>
      <c r="BE148" s="12">
        <f t="shared" si="24"/>
        <v>1</v>
      </c>
      <c r="BF148" s="12">
        <f t="shared" si="29"/>
        <v>1</v>
      </c>
      <c r="BG148" s="23">
        <f t="shared" si="30"/>
        <v>3.8951890609489098E-3</v>
      </c>
      <c r="BH148" s="23">
        <f t="shared" si="31"/>
        <v>-3.44757997124804E-3</v>
      </c>
      <c r="BI148" s="23">
        <f t="shared" si="32"/>
        <v>4.4760908970086985E-4</v>
      </c>
      <c r="BJ148" s="18">
        <f t="shared" si="33"/>
        <v>2.8274925196566754E-3</v>
      </c>
      <c r="BL148" s="23"/>
      <c r="BN148" s="12">
        <f t="shared" si="34"/>
        <v>0</v>
      </c>
      <c r="BO148" s="12">
        <f t="shared" si="35"/>
        <v>1</v>
      </c>
      <c r="BP148" s="12">
        <f t="shared" si="36"/>
        <v>0</v>
      </c>
      <c r="BQ148" s="12">
        <f t="shared" si="25"/>
        <v>1</v>
      </c>
      <c r="BR148" s="12">
        <f t="shared" si="37"/>
        <v>0</v>
      </c>
      <c r="BS148" s="23">
        <f t="shared" si="38"/>
        <v>0</v>
      </c>
      <c r="BT148" s="23">
        <f t="shared" si="39"/>
        <v>0</v>
      </c>
      <c r="BU148" s="23">
        <f t="shared" si="40"/>
        <v>0</v>
      </c>
      <c r="BV148" s="18">
        <f t="shared" si="41"/>
        <v>2.6710298438228398E-3</v>
      </c>
      <c r="BX148" s="18">
        <f t="shared" si="42"/>
        <v>4.4760908970086985E-4</v>
      </c>
      <c r="BY148" s="18">
        <f t="shared" si="43"/>
        <v>5.4985223634795143E-3</v>
      </c>
    </row>
    <row r="149" spans="1:77" x14ac:dyDescent="0.3">
      <c r="A149" s="1">
        <v>46239</v>
      </c>
      <c r="B149" s="6">
        <v>56.68</v>
      </c>
      <c r="C149" s="6">
        <v>98.89</v>
      </c>
      <c r="D149" s="7">
        <v>1.58912366804711E-3</v>
      </c>
      <c r="E149" s="7">
        <v>1.01173622551669E-3</v>
      </c>
      <c r="F149" s="6">
        <v>0</v>
      </c>
      <c r="G149" s="6">
        <v>0.98229999999999895</v>
      </c>
      <c r="H149" s="6">
        <v>0</v>
      </c>
      <c r="I149" s="6">
        <v>1.8023</v>
      </c>
      <c r="J149" s="6">
        <v>0.98229999999999895</v>
      </c>
      <c r="K149" s="6">
        <v>1.8023</v>
      </c>
      <c r="L149" s="6">
        <v>57.662300000000002</v>
      </c>
      <c r="M149" s="6">
        <v>100.6923</v>
      </c>
      <c r="N149" s="8">
        <v>1.74470712773465</v>
      </c>
      <c r="O149" s="8">
        <v>1.7441031794745401</v>
      </c>
      <c r="P149" s="8">
        <v>1.74475131001724</v>
      </c>
      <c r="Q149" s="8">
        <v>1.7445441510798401</v>
      </c>
      <c r="R149" s="6">
        <v>98.855768212616894</v>
      </c>
      <c r="S149" s="6">
        <v>98.888831482898695</v>
      </c>
      <c r="T149" s="6">
        <v>98.880067471867505</v>
      </c>
      <c r="U149" s="7">
        <v>-3.4622017992484499E-4</v>
      </c>
      <c r="V149" s="7">
        <v>-1.18164021150329E-5</v>
      </c>
      <c r="W149" s="7">
        <v>-1.0044521163184201E-4</v>
      </c>
      <c r="X149" s="8">
        <v>1.7462414784009599</v>
      </c>
      <c r="Y149" s="8">
        <v>1.7448470922733199</v>
      </c>
      <c r="Z149" s="8">
        <v>1.7461482170976299</v>
      </c>
      <c r="AA149" s="8">
        <v>1.7459076848894299</v>
      </c>
      <c r="AB149" s="6">
        <v>100.611896488791</v>
      </c>
      <c r="AC149" s="6">
        <v>100.682080102521</v>
      </c>
      <c r="AD149" s="6">
        <v>100.67174132606399</v>
      </c>
      <c r="AE149" s="7">
        <v>-7.9882602435651104E-4</v>
      </c>
      <c r="AF149" s="7">
        <v>-1.0150146689064599E-4</v>
      </c>
      <c r="AG149" s="7">
        <v>-2.0419409415520001E-4</v>
      </c>
      <c r="AZ149" s="23"/>
      <c r="BB149" s="12">
        <f t="shared" si="26"/>
        <v>0</v>
      </c>
      <c r="BC149" s="12">
        <f t="shared" si="27"/>
        <v>0</v>
      </c>
      <c r="BD149" s="12">
        <f t="shared" si="28"/>
        <v>1</v>
      </c>
      <c r="BE149" s="12">
        <f t="shared" si="24"/>
        <v>1</v>
      </c>
      <c r="BF149" s="12">
        <f t="shared" si="29"/>
        <v>1</v>
      </c>
      <c r="BG149" s="23">
        <f t="shared" si="30"/>
        <v>1.58912366804711E-3</v>
      </c>
      <c r="BH149" s="23">
        <f t="shared" si="31"/>
        <v>-1.01173622551669E-3</v>
      </c>
      <c r="BI149" s="23">
        <f t="shared" si="32"/>
        <v>5.7738744253042003E-4</v>
      </c>
      <c r="BJ149" s="18">
        <f t="shared" si="33"/>
        <v>3.4048799621870952E-3</v>
      </c>
      <c r="BL149" s="23"/>
      <c r="BN149" s="12">
        <f t="shared" si="34"/>
        <v>0</v>
      </c>
      <c r="BO149" s="12">
        <f t="shared" si="35"/>
        <v>1</v>
      </c>
      <c r="BP149" s="12">
        <f t="shared" si="36"/>
        <v>0</v>
      </c>
      <c r="BQ149" s="12">
        <f t="shared" si="25"/>
        <v>1</v>
      </c>
      <c r="BR149" s="12">
        <f t="shared" si="37"/>
        <v>0</v>
      </c>
      <c r="BS149" s="23">
        <f t="shared" si="38"/>
        <v>0</v>
      </c>
      <c r="BT149" s="23">
        <f t="shared" si="39"/>
        <v>0</v>
      </c>
      <c r="BU149" s="23">
        <f t="shared" si="40"/>
        <v>0</v>
      </c>
      <c r="BV149" s="18">
        <f t="shared" si="41"/>
        <v>2.6710298438228398E-3</v>
      </c>
      <c r="BX149" s="18">
        <f t="shared" si="42"/>
        <v>5.7738744253042003E-4</v>
      </c>
      <c r="BY149" s="18">
        <f t="shared" si="43"/>
        <v>6.0759098060099341E-3</v>
      </c>
    </row>
    <row r="150" spans="1:77" x14ac:dyDescent="0.3">
      <c r="A150" s="1">
        <v>46240</v>
      </c>
      <c r="B150" s="6">
        <v>56.66</v>
      </c>
      <c r="C150" s="6">
        <v>98.86</v>
      </c>
      <c r="D150" s="7">
        <v>-3.5292042010927701E-4</v>
      </c>
      <c r="E150" s="7">
        <v>-3.0341340308618503E-4</v>
      </c>
      <c r="F150" s="6">
        <v>0</v>
      </c>
      <c r="G150" s="6">
        <v>0.98229999999999895</v>
      </c>
      <c r="H150" s="6">
        <v>0</v>
      </c>
      <c r="I150" s="6">
        <v>1.8023</v>
      </c>
      <c r="J150" s="6">
        <v>0.98229999999999895</v>
      </c>
      <c r="K150" s="6">
        <v>1.8023</v>
      </c>
      <c r="L150" s="6">
        <v>57.642299999999999</v>
      </c>
      <c r="M150" s="6">
        <v>100.6623</v>
      </c>
      <c r="N150" s="8">
        <v>1.7447935051182399</v>
      </c>
      <c r="O150" s="8">
        <v>1.7441031794745401</v>
      </c>
      <c r="P150" s="8">
        <v>1.7449080113347999</v>
      </c>
      <c r="Q150" s="8">
        <v>1.7445714832395101</v>
      </c>
      <c r="R150" s="6">
        <v>98.820886149027402</v>
      </c>
      <c r="S150" s="6">
        <v>98.857609225576994</v>
      </c>
      <c r="T150" s="6">
        <v>98.845871600183699</v>
      </c>
      <c r="U150" s="7">
        <v>-3.95727196947918E-4</v>
      </c>
      <c r="V150" s="7">
        <v>-2.4183727816665499E-5</v>
      </c>
      <c r="W150" s="7">
        <v>-1.4292342180750601E-4</v>
      </c>
      <c r="X150" s="8">
        <v>1.7463269161709301</v>
      </c>
      <c r="Y150" s="8">
        <v>1.7448470922733199</v>
      </c>
      <c r="Z150" s="8">
        <v>1.7463219821374001</v>
      </c>
      <c r="AA150" s="8">
        <v>1.7459453289351501</v>
      </c>
      <c r="AB150" s="6">
        <v>100.576999546946</v>
      </c>
      <c r="AC150" s="6">
        <v>100.651999374407</v>
      </c>
      <c r="AD150" s="6">
        <v>100.638134544702</v>
      </c>
      <c r="AE150" s="7">
        <v>-8.4775149142617395E-4</v>
      </c>
      <c r="AF150" s="7">
        <v>-1.02333769968424E-4</v>
      </c>
      <c r="AG150" s="7">
        <v>-2.4009342521937301E-4</v>
      </c>
      <c r="AZ150" s="23"/>
      <c r="BB150" s="12">
        <f t="shared" si="26"/>
        <v>0</v>
      </c>
      <c r="BC150" s="12">
        <f t="shared" si="27"/>
        <v>0</v>
      </c>
      <c r="BD150" s="12">
        <f t="shared" si="28"/>
        <v>1</v>
      </c>
      <c r="BE150" s="12">
        <f t="shared" ref="BE150:BE167" si="44">IF(F151+H151&gt;0,0,1)</f>
        <v>1</v>
      </c>
      <c r="BF150" s="12">
        <f t="shared" si="29"/>
        <v>1</v>
      </c>
      <c r="BG150" s="23">
        <f t="shared" si="30"/>
        <v>-3.5292042010927701E-4</v>
      </c>
      <c r="BH150" s="23">
        <f t="shared" si="31"/>
        <v>3.0341340308618503E-4</v>
      </c>
      <c r="BI150" s="23">
        <f t="shared" si="32"/>
        <v>-4.9507017023091987E-5</v>
      </c>
      <c r="BJ150" s="18">
        <f t="shared" si="33"/>
        <v>3.3553729451640032E-3</v>
      </c>
      <c r="BL150" s="23"/>
      <c r="BN150" s="12">
        <f t="shared" si="34"/>
        <v>0</v>
      </c>
      <c r="BO150" s="12">
        <f t="shared" si="35"/>
        <v>1</v>
      </c>
      <c r="BP150" s="12">
        <f t="shared" si="36"/>
        <v>0</v>
      </c>
      <c r="BQ150" s="12">
        <f t="shared" ref="BQ150:BQ167" si="45">IF(F151+H151&gt;0,0,1)</f>
        <v>1</v>
      </c>
      <c r="BR150" s="12">
        <f t="shared" si="37"/>
        <v>0</v>
      </c>
      <c r="BS150" s="23">
        <f t="shared" si="38"/>
        <v>0</v>
      </c>
      <c r="BT150" s="23">
        <f t="shared" si="39"/>
        <v>0</v>
      </c>
      <c r="BU150" s="23">
        <f t="shared" si="40"/>
        <v>0</v>
      </c>
      <c r="BV150" s="18">
        <f t="shared" si="41"/>
        <v>2.6710298438228398E-3</v>
      </c>
      <c r="BX150" s="18">
        <f t="shared" si="42"/>
        <v>-4.9507017023091987E-5</v>
      </c>
      <c r="BY150" s="18">
        <f t="shared" si="43"/>
        <v>6.0264027889868422E-3</v>
      </c>
    </row>
    <row r="151" spans="1:77" x14ac:dyDescent="0.3">
      <c r="A151" s="1">
        <v>46241</v>
      </c>
      <c r="B151" s="6">
        <v>56.83</v>
      </c>
      <c r="C151" s="6">
        <v>99.14</v>
      </c>
      <c r="D151" s="7">
        <v>2.9958609066596301E-3</v>
      </c>
      <c r="E151" s="7">
        <v>2.8282847136145402E-3</v>
      </c>
      <c r="F151" s="6">
        <v>0</v>
      </c>
      <c r="G151" s="6">
        <v>0.98229999999999895</v>
      </c>
      <c r="H151" s="6">
        <v>0</v>
      </c>
      <c r="I151" s="6">
        <v>1.8023</v>
      </c>
      <c r="J151" s="6">
        <v>0.98229999999999895</v>
      </c>
      <c r="K151" s="6">
        <v>1.8023</v>
      </c>
      <c r="L151" s="6">
        <v>57.8123</v>
      </c>
      <c r="M151" s="6">
        <v>100.9423</v>
      </c>
      <c r="N151" s="8">
        <v>1.7445011437620901</v>
      </c>
      <c r="O151" s="8">
        <v>1.7441031794745401</v>
      </c>
      <c r="P151" s="8">
        <v>1.74492429697782</v>
      </c>
      <c r="Q151" s="8">
        <v>1.7445341167135799</v>
      </c>
      <c r="R151" s="6">
        <v>99.117383689538102</v>
      </c>
      <c r="S151" s="6">
        <v>99.163122284156998</v>
      </c>
      <c r="T151" s="6">
        <v>99.143997392501802</v>
      </c>
      <c r="U151" s="7">
        <v>-2.2815100390288599E-4</v>
      </c>
      <c r="V151" s="7">
        <v>2.3320141403254199E-4</v>
      </c>
      <c r="W151" s="7">
        <v>4.03198700345081E-5</v>
      </c>
      <c r="X151" s="8">
        <v>1.74603501331031</v>
      </c>
      <c r="Y151" s="8">
        <v>1.7448470922733199</v>
      </c>
      <c r="Z151" s="8">
        <v>1.74635712811122</v>
      </c>
      <c r="AA151" s="8">
        <v>1.74591901045027</v>
      </c>
      <c r="AB151" s="6">
        <v>100.873623552632</v>
      </c>
      <c r="AC151" s="6">
        <v>100.95889032792201</v>
      </c>
      <c r="AD151" s="6">
        <v>100.937115139997</v>
      </c>
      <c r="AE151" s="7">
        <v>-6.8058504808803696E-4</v>
      </c>
      <c r="AF151" s="7">
        <v>1.64341061412036E-4</v>
      </c>
      <c r="AG151" s="7">
        <v>-5.1365910683167901E-5</v>
      </c>
      <c r="AZ151" s="23"/>
      <c r="BB151" s="12">
        <f t="shared" ref="BB151:BB167" si="46">IF($AG151&lt;BA$20,1,0)</f>
        <v>0</v>
      </c>
      <c r="BC151" s="12">
        <f t="shared" ref="BC151:BC167" si="47">IF($AG151&gt;BA$21,1,0)</f>
        <v>0</v>
      </c>
      <c r="BD151" s="12">
        <f t="shared" ref="BD151:BD167" si="48">BF151</f>
        <v>1</v>
      </c>
      <c r="BE151" s="12">
        <f t="shared" si="44"/>
        <v>1</v>
      </c>
      <c r="BF151" s="12">
        <f t="shared" ref="BF151:BF167" si="49">IF(BB150,1,IF(BC150,0,BD150))*BE150</f>
        <v>1</v>
      </c>
      <c r="BG151" s="23">
        <f t="shared" ref="BG151:BG167" si="50">BF151*D151</f>
        <v>2.9958609066596301E-3</v>
      </c>
      <c r="BH151" s="23">
        <f t="shared" ref="BH151:BH167" si="51">-BF151*$E151</f>
        <v>-2.8282847136145402E-3</v>
      </c>
      <c r="BI151" s="23">
        <f t="shared" ref="BI151:BI167" si="52">BG151+BH151</f>
        <v>1.6757619304508991E-4</v>
      </c>
      <c r="BJ151" s="18">
        <f t="shared" ref="BJ151:BJ167" si="53">BJ150+BI151</f>
        <v>3.5229491382090931E-3</v>
      </c>
      <c r="BL151" s="23"/>
      <c r="BN151" s="12">
        <f t="shared" ref="BN151:BN167" si="54">IF($AG151&gt;BM$20,1,0)</f>
        <v>0</v>
      </c>
      <c r="BO151" s="12">
        <f t="shared" ref="BO151:BO167" si="55">IF($AG151&lt;BM$21,1,0)</f>
        <v>1</v>
      </c>
      <c r="BP151" s="12">
        <f t="shared" ref="BP151:BP167" si="56">BR151</f>
        <v>0</v>
      </c>
      <c r="BQ151" s="12">
        <f t="shared" si="45"/>
        <v>1</v>
      </c>
      <c r="BR151" s="12">
        <f t="shared" ref="BR151:BR167" si="57">IF(BN150,1,IF(BO150,0,BP150))*BQ150</f>
        <v>0</v>
      </c>
      <c r="BS151" s="23">
        <f t="shared" ref="BS151:BS167" si="58">-BR151*D151</f>
        <v>0</v>
      </c>
      <c r="BT151" s="23">
        <f t="shared" ref="BT151:BT167" si="59">BR151*$E151</f>
        <v>0</v>
      </c>
      <c r="BU151" s="23">
        <f t="shared" ref="BU151:BU167" si="60">BS151+BT151</f>
        <v>0</v>
      </c>
      <c r="BV151" s="18">
        <f t="shared" ref="BV151:BV167" si="61">BV150+BU151</f>
        <v>2.6710298438228398E-3</v>
      </c>
      <c r="BX151" s="18">
        <f t="shared" ref="BX151:BX167" si="62">BI151+BU151</f>
        <v>1.6757619304508991E-4</v>
      </c>
      <c r="BY151" s="18">
        <f t="shared" ref="BY151:BY167" si="63">BY150+BX151</f>
        <v>6.1939789820319325E-3</v>
      </c>
    </row>
    <row r="152" spans="1:77" x14ac:dyDescent="0.3">
      <c r="A152" s="1">
        <v>46244</v>
      </c>
      <c r="B152" s="6">
        <v>56.79</v>
      </c>
      <c r="C152" s="6">
        <v>99.1</v>
      </c>
      <c r="D152" s="7">
        <v>-7.0410141968891605E-4</v>
      </c>
      <c r="E152" s="7">
        <v>-4.0355125648555798E-4</v>
      </c>
      <c r="F152" s="6">
        <v>0</v>
      </c>
      <c r="G152" s="6">
        <v>0.98229999999999895</v>
      </c>
      <c r="H152" s="6">
        <v>0</v>
      </c>
      <c r="I152" s="6">
        <v>1.8023</v>
      </c>
      <c r="J152" s="6">
        <v>0.98229999999999895</v>
      </c>
      <c r="K152" s="6">
        <v>1.8023</v>
      </c>
      <c r="L152" s="6">
        <v>57.772300000000001</v>
      </c>
      <c r="M152" s="6">
        <v>100.9023</v>
      </c>
      <c r="N152" s="8">
        <v>1.7450255326641999</v>
      </c>
      <c r="O152" s="8">
        <v>1.7441031794745401</v>
      </c>
      <c r="P152" s="8">
        <v>1.7451371025823399</v>
      </c>
      <c r="Q152" s="8">
        <v>1.7445971847300099</v>
      </c>
      <c r="R152" s="6">
        <v>99.047619562359102</v>
      </c>
      <c r="S152" s="6">
        <v>99.094250825370693</v>
      </c>
      <c r="T152" s="6">
        <v>99.0720924881646</v>
      </c>
      <c r="U152" s="7">
        <v>-5.2870116710604701E-4</v>
      </c>
      <c r="V152" s="7">
        <v>-5.8015554002953199E-5</v>
      </c>
      <c r="W152" s="7">
        <v>-2.81649264227533E-4</v>
      </c>
      <c r="X152" s="8">
        <v>1.7465515480602201</v>
      </c>
      <c r="Y152" s="8">
        <v>1.7448470922733199</v>
      </c>
      <c r="Z152" s="8">
        <v>1.7465862500893099</v>
      </c>
      <c r="AA152" s="8">
        <v>1.7459916370178199</v>
      </c>
      <c r="AB152" s="6">
        <v>100.80382966894101</v>
      </c>
      <c r="AC152" s="6">
        <v>100.89106791238</v>
      </c>
      <c r="AD152" s="6">
        <v>100.865756847436</v>
      </c>
      <c r="AE152" s="7">
        <v>-9.7637428314506199E-4</v>
      </c>
      <c r="AF152" s="7">
        <v>-1.11322663846716E-4</v>
      </c>
      <c r="AG152" s="7">
        <v>-3.6222931949105399E-4</v>
      </c>
      <c r="AZ152" s="23"/>
      <c r="BB152" s="12">
        <f t="shared" si="46"/>
        <v>0</v>
      </c>
      <c r="BC152" s="12">
        <f t="shared" si="47"/>
        <v>0</v>
      </c>
      <c r="BD152" s="12">
        <f t="shared" si="48"/>
        <v>1</v>
      </c>
      <c r="BE152" s="12">
        <f t="shared" si="44"/>
        <v>1</v>
      </c>
      <c r="BF152" s="12">
        <f t="shared" si="49"/>
        <v>1</v>
      </c>
      <c r="BG152" s="23">
        <f t="shared" si="50"/>
        <v>-7.0410141968891605E-4</v>
      </c>
      <c r="BH152" s="23">
        <f t="shared" si="51"/>
        <v>4.0355125648555798E-4</v>
      </c>
      <c r="BI152" s="23">
        <f t="shared" si="52"/>
        <v>-3.0055016320335807E-4</v>
      </c>
      <c r="BJ152" s="18">
        <f t="shared" si="53"/>
        <v>3.222398975005735E-3</v>
      </c>
      <c r="BL152" s="23"/>
      <c r="BN152" s="12">
        <f t="shared" si="54"/>
        <v>0</v>
      </c>
      <c r="BO152" s="12">
        <f t="shared" si="55"/>
        <v>1</v>
      </c>
      <c r="BP152" s="12">
        <f t="shared" si="56"/>
        <v>0</v>
      </c>
      <c r="BQ152" s="12">
        <f t="shared" si="45"/>
        <v>1</v>
      </c>
      <c r="BR152" s="12">
        <f t="shared" si="57"/>
        <v>0</v>
      </c>
      <c r="BS152" s="23">
        <f t="shared" si="58"/>
        <v>0</v>
      </c>
      <c r="BT152" s="23">
        <f t="shared" si="59"/>
        <v>0</v>
      </c>
      <c r="BU152" s="23">
        <f t="shared" si="60"/>
        <v>0</v>
      </c>
      <c r="BV152" s="18">
        <f t="shared" si="61"/>
        <v>2.6710298438228398E-3</v>
      </c>
      <c r="BX152" s="18">
        <f t="shared" si="62"/>
        <v>-3.0055016320335807E-4</v>
      </c>
      <c r="BY152" s="18">
        <f t="shared" si="63"/>
        <v>5.8934288188285744E-3</v>
      </c>
    </row>
    <row r="153" spans="1:77" x14ac:dyDescent="0.3">
      <c r="A153" s="1">
        <v>46245</v>
      </c>
      <c r="B153" s="6">
        <v>56.83</v>
      </c>
      <c r="C153" s="6">
        <v>99.17</v>
      </c>
      <c r="D153" s="7">
        <v>7.0410141968888201E-4</v>
      </c>
      <c r="E153" s="7">
        <v>7.0610786209139304E-4</v>
      </c>
      <c r="F153" s="6">
        <v>0</v>
      </c>
      <c r="G153" s="6">
        <v>0.98229999999999895</v>
      </c>
      <c r="H153" s="6">
        <v>0</v>
      </c>
      <c r="I153" s="6">
        <v>1.8023</v>
      </c>
      <c r="J153" s="6">
        <v>0.98229999999999895</v>
      </c>
      <c r="K153" s="6">
        <v>1.8023</v>
      </c>
      <c r="L153" s="6">
        <v>57.8123</v>
      </c>
      <c r="M153" s="6">
        <v>100.9723</v>
      </c>
      <c r="N153" s="8">
        <v>1.74502903396093</v>
      </c>
      <c r="O153" s="8">
        <v>1.7441031794745401</v>
      </c>
      <c r="P153" s="8">
        <v>1.7453890366446301</v>
      </c>
      <c r="Q153" s="8">
        <v>1.7446320337074499</v>
      </c>
      <c r="R153" s="6">
        <v>99.117383689538102</v>
      </c>
      <c r="S153" s="6">
        <v>99.176141539754497</v>
      </c>
      <c r="T153" s="6">
        <v>99.145458008206802</v>
      </c>
      <c r="U153" s="7">
        <v>-5.3070760950878605E-4</v>
      </c>
      <c r="V153" s="7">
        <v>6.1927494115540495E-5</v>
      </c>
      <c r="W153" s="7">
        <v>-2.4750457846201202E-4</v>
      </c>
      <c r="X153" s="8">
        <v>1.7465539340244201</v>
      </c>
      <c r="Y153" s="8">
        <v>1.7448470922733199</v>
      </c>
      <c r="Z153" s="8">
        <v>1.7468539876270801</v>
      </c>
      <c r="AA153" s="8">
        <v>1.7460364111656801</v>
      </c>
      <c r="AB153" s="6">
        <v>100.873623552632</v>
      </c>
      <c r="AC153" s="6">
        <v>100.97416826603801</v>
      </c>
      <c r="AD153" s="6">
        <v>100.93979231676499</v>
      </c>
      <c r="AE153" s="7">
        <v>-9.7774038228137209E-4</v>
      </c>
      <c r="AF153" s="7">
        <v>1.8502586896887399E-5</v>
      </c>
      <c r="AG153" s="7">
        <v>-3.2199838198980599E-4</v>
      </c>
      <c r="AZ153" s="23"/>
      <c r="BB153" s="12">
        <f t="shared" si="46"/>
        <v>0</v>
      </c>
      <c r="BC153" s="12">
        <f t="shared" si="47"/>
        <v>0</v>
      </c>
      <c r="BD153" s="12">
        <f t="shared" si="48"/>
        <v>1</v>
      </c>
      <c r="BE153" s="12">
        <f t="shared" si="44"/>
        <v>1</v>
      </c>
      <c r="BF153" s="12">
        <f t="shared" si="49"/>
        <v>1</v>
      </c>
      <c r="BG153" s="23">
        <f t="shared" si="50"/>
        <v>7.0410141968888201E-4</v>
      </c>
      <c r="BH153" s="23">
        <f t="shared" si="51"/>
        <v>-7.0610786209139304E-4</v>
      </c>
      <c r="BI153" s="23">
        <f t="shared" si="52"/>
        <v>-2.0064424025110356E-6</v>
      </c>
      <c r="BJ153" s="18">
        <f t="shared" si="53"/>
        <v>3.220392532603224E-3</v>
      </c>
      <c r="BL153" s="23"/>
      <c r="BN153" s="12">
        <f t="shared" si="54"/>
        <v>0</v>
      </c>
      <c r="BO153" s="12">
        <f t="shared" si="55"/>
        <v>1</v>
      </c>
      <c r="BP153" s="12">
        <f t="shared" si="56"/>
        <v>0</v>
      </c>
      <c r="BQ153" s="12">
        <f t="shared" si="45"/>
        <v>1</v>
      </c>
      <c r="BR153" s="12">
        <f t="shared" si="57"/>
        <v>0</v>
      </c>
      <c r="BS153" s="23">
        <f t="shared" si="58"/>
        <v>0</v>
      </c>
      <c r="BT153" s="23">
        <f t="shared" si="59"/>
        <v>0</v>
      </c>
      <c r="BU153" s="23">
        <f t="shared" si="60"/>
        <v>0</v>
      </c>
      <c r="BV153" s="18">
        <f t="shared" si="61"/>
        <v>2.6710298438228398E-3</v>
      </c>
      <c r="BX153" s="18">
        <f t="shared" si="62"/>
        <v>-2.0064424025110356E-6</v>
      </c>
      <c r="BY153" s="18">
        <f t="shared" si="63"/>
        <v>5.8914223764260634E-3</v>
      </c>
    </row>
    <row r="154" spans="1:77" x14ac:dyDescent="0.3">
      <c r="A154" s="1">
        <v>46246</v>
      </c>
      <c r="B154" s="6">
        <v>56.85</v>
      </c>
      <c r="C154" s="6">
        <v>99.21</v>
      </c>
      <c r="D154" s="7">
        <v>3.5186488751495998E-4</v>
      </c>
      <c r="E154" s="7">
        <v>4.03266463777353E-4</v>
      </c>
      <c r="F154" s="6">
        <v>0</v>
      </c>
      <c r="G154" s="6">
        <v>0.98229999999999895</v>
      </c>
      <c r="H154" s="6">
        <v>0</v>
      </c>
      <c r="I154" s="6">
        <v>1.8023</v>
      </c>
      <c r="J154" s="6">
        <v>0.98229999999999895</v>
      </c>
      <c r="K154" s="6">
        <v>1.8023</v>
      </c>
      <c r="L154" s="6">
        <v>57.832299999999996</v>
      </c>
      <c r="M154" s="6">
        <v>101.0123</v>
      </c>
      <c r="N154" s="8">
        <v>1.74511873350923</v>
      </c>
      <c r="O154" s="8">
        <v>1.7441031794745401</v>
      </c>
      <c r="P154" s="8">
        <v>1.74520573416943</v>
      </c>
      <c r="Q154" s="8">
        <v>1.7446827302082299</v>
      </c>
      <c r="R154" s="6">
        <v>99.152265753127594</v>
      </c>
      <c r="S154" s="6">
        <v>99.225366733247398</v>
      </c>
      <c r="T154" s="6">
        <v>99.1823311162685</v>
      </c>
      <c r="U154" s="7">
        <v>-5.8210918577098695E-4</v>
      </c>
      <c r="V154" s="7">
        <v>1.54878976778241E-4</v>
      </c>
      <c r="W154" s="7">
        <v>-2.78930982414294E-4</v>
      </c>
      <c r="X154" s="8">
        <v>1.7466415826449899</v>
      </c>
      <c r="Y154" s="8">
        <v>1.7448470922733199</v>
      </c>
      <c r="Z154" s="8">
        <v>1.74669243896861</v>
      </c>
      <c r="AA154" s="8">
        <v>1.74609666285181</v>
      </c>
      <c r="AB154" s="6">
        <v>100.908520494478</v>
      </c>
      <c r="AC154" s="6">
        <v>101.024583868645</v>
      </c>
      <c r="AD154" s="6">
        <v>100.977301541457</v>
      </c>
      <c r="AE154" s="7">
        <v>-1.0279228700190101E-3</v>
      </c>
      <c r="AF154" s="7">
        <v>1.21600258582582E-4</v>
      </c>
      <c r="AG154" s="7">
        <v>-3.4653723385838801E-4</v>
      </c>
      <c r="AZ154" s="23"/>
      <c r="BB154" s="12">
        <f t="shared" si="46"/>
        <v>0</v>
      </c>
      <c r="BC154" s="12">
        <f t="shared" si="47"/>
        <v>0</v>
      </c>
      <c r="BD154" s="12">
        <f t="shared" si="48"/>
        <v>1</v>
      </c>
      <c r="BE154" s="12">
        <f t="shared" si="44"/>
        <v>1</v>
      </c>
      <c r="BF154" s="12">
        <f t="shared" si="49"/>
        <v>1</v>
      </c>
      <c r="BG154" s="23">
        <f t="shared" si="50"/>
        <v>3.5186488751495998E-4</v>
      </c>
      <c r="BH154" s="23">
        <f t="shared" si="51"/>
        <v>-4.03266463777353E-4</v>
      </c>
      <c r="BI154" s="23">
        <f t="shared" si="52"/>
        <v>-5.140157626239302E-5</v>
      </c>
      <c r="BJ154" s="18">
        <f t="shared" si="53"/>
        <v>3.1689909563408312E-3</v>
      </c>
      <c r="BL154" s="23"/>
      <c r="BN154" s="12">
        <f t="shared" si="54"/>
        <v>0</v>
      </c>
      <c r="BO154" s="12">
        <f t="shared" si="55"/>
        <v>1</v>
      </c>
      <c r="BP154" s="12">
        <f t="shared" si="56"/>
        <v>0</v>
      </c>
      <c r="BQ154" s="12">
        <f t="shared" si="45"/>
        <v>1</v>
      </c>
      <c r="BR154" s="12">
        <f t="shared" si="57"/>
        <v>0</v>
      </c>
      <c r="BS154" s="23">
        <f t="shared" si="58"/>
        <v>0</v>
      </c>
      <c r="BT154" s="23">
        <f t="shared" si="59"/>
        <v>0</v>
      </c>
      <c r="BU154" s="23">
        <f t="shared" si="60"/>
        <v>0</v>
      </c>
      <c r="BV154" s="18">
        <f t="shared" si="61"/>
        <v>2.6710298438228398E-3</v>
      </c>
      <c r="BX154" s="18">
        <f t="shared" si="62"/>
        <v>-5.140157626239302E-5</v>
      </c>
      <c r="BY154" s="18">
        <f t="shared" si="63"/>
        <v>5.8400208001636702E-3</v>
      </c>
    </row>
    <row r="155" spans="1:77" x14ac:dyDescent="0.3">
      <c r="A155" s="1">
        <v>46247</v>
      </c>
      <c r="B155" s="6">
        <v>56.93</v>
      </c>
      <c r="C155" s="6">
        <v>99.35</v>
      </c>
      <c r="D155" s="7">
        <v>1.4062227664453501E-3</v>
      </c>
      <c r="E155" s="7">
        <v>1.41015333601467E-3</v>
      </c>
      <c r="F155" s="6">
        <v>0</v>
      </c>
      <c r="G155" s="6">
        <v>0.98229999999999895</v>
      </c>
      <c r="H155" s="6">
        <v>0</v>
      </c>
      <c r="I155" s="6">
        <v>1.8023</v>
      </c>
      <c r="J155" s="6">
        <v>0.98229999999999895</v>
      </c>
      <c r="K155" s="6">
        <v>1.8023</v>
      </c>
      <c r="L155" s="6">
        <v>57.912300000000002</v>
      </c>
      <c r="M155" s="6">
        <v>101.1523</v>
      </c>
      <c r="N155" s="8">
        <v>1.7451255928333</v>
      </c>
      <c r="O155" s="8">
        <v>1.7441031794745401</v>
      </c>
      <c r="P155" s="8">
        <v>1.7451779822787901</v>
      </c>
      <c r="Q155" s="8">
        <v>1.74467535438771</v>
      </c>
      <c r="R155" s="6">
        <v>99.291794007485606</v>
      </c>
      <c r="S155" s="6">
        <v>99.354562446266101</v>
      </c>
      <c r="T155" s="6">
        <v>99.324787830755</v>
      </c>
      <c r="U155" s="7">
        <v>-5.8603975534037098E-4</v>
      </c>
      <c r="V155" s="7">
        <v>4.5921907487367902E-5</v>
      </c>
      <c r="W155" s="7">
        <v>-2.53803410644652E-4</v>
      </c>
      <c r="X155" s="8">
        <v>1.7466462219597501</v>
      </c>
      <c r="Y155" s="8">
        <v>1.7448470922733199</v>
      </c>
      <c r="Z155" s="8">
        <v>1.7466838790454899</v>
      </c>
      <c r="AA155" s="8">
        <v>1.74609943045578</v>
      </c>
      <c r="AB155" s="6">
        <v>101.04810826185999</v>
      </c>
      <c r="AC155" s="6">
        <v>101.154976533281</v>
      </c>
      <c r="AD155" s="6">
        <v>101.120473768072</v>
      </c>
      <c r="AE155" s="7">
        <v>-1.0305790008754E-3</v>
      </c>
      <c r="AF155" s="7">
        <v>2.6460079221345999E-5</v>
      </c>
      <c r="AG155" s="7">
        <v>-3.1468626841648799E-4</v>
      </c>
      <c r="AZ155" s="23"/>
      <c r="BB155" s="12">
        <f t="shared" si="46"/>
        <v>0</v>
      </c>
      <c r="BC155" s="12">
        <f t="shared" si="47"/>
        <v>0</v>
      </c>
      <c r="BD155" s="12">
        <f t="shared" si="48"/>
        <v>1</v>
      </c>
      <c r="BE155" s="12">
        <f t="shared" si="44"/>
        <v>1</v>
      </c>
      <c r="BF155" s="12">
        <f t="shared" si="49"/>
        <v>1</v>
      </c>
      <c r="BG155" s="23">
        <f t="shared" si="50"/>
        <v>1.4062227664453501E-3</v>
      </c>
      <c r="BH155" s="23">
        <f t="shared" si="51"/>
        <v>-1.41015333601467E-3</v>
      </c>
      <c r="BI155" s="23">
        <f t="shared" si="52"/>
        <v>-3.9305695693199558E-6</v>
      </c>
      <c r="BJ155" s="18">
        <f t="shared" si="53"/>
        <v>3.1650603867715114E-3</v>
      </c>
      <c r="BL155" s="23"/>
      <c r="BN155" s="12">
        <f t="shared" si="54"/>
        <v>0</v>
      </c>
      <c r="BO155" s="12">
        <f t="shared" si="55"/>
        <v>1</v>
      </c>
      <c r="BP155" s="12">
        <f t="shared" si="56"/>
        <v>0</v>
      </c>
      <c r="BQ155" s="12">
        <f t="shared" si="45"/>
        <v>1</v>
      </c>
      <c r="BR155" s="12">
        <f t="shared" si="57"/>
        <v>0</v>
      </c>
      <c r="BS155" s="23">
        <f t="shared" si="58"/>
        <v>0</v>
      </c>
      <c r="BT155" s="23">
        <f t="shared" si="59"/>
        <v>0</v>
      </c>
      <c r="BU155" s="23">
        <f t="shared" si="60"/>
        <v>0</v>
      </c>
      <c r="BV155" s="18">
        <f t="shared" si="61"/>
        <v>2.6710298438228398E-3</v>
      </c>
      <c r="BX155" s="18">
        <f t="shared" si="62"/>
        <v>-3.9305695693199558E-6</v>
      </c>
      <c r="BY155" s="18">
        <f t="shared" si="63"/>
        <v>5.8360902305943504E-3</v>
      </c>
    </row>
    <row r="156" spans="1:77" x14ac:dyDescent="0.3">
      <c r="A156" s="1">
        <v>46248</v>
      </c>
      <c r="B156" s="6">
        <v>56.81</v>
      </c>
      <c r="C156" s="6">
        <v>99.15</v>
      </c>
      <c r="D156" s="7">
        <v>-2.1100763939549899E-3</v>
      </c>
      <c r="E156" s="7">
        <v>-2.0151140320207499E-3</v>
      </c>
      <c r="F156" s="6">
        <v>0</v>
      </c>
      <c r="G156" s="6">
        <v>0.98229999999999895</v>
      </c>
      <c r="H156" s="6">
        <v>0</v>
      </c>
      <c r="I156" s="6">
        <v>1.8023</v>
      </c>
      <c r="J156" s="6">
        <v>0.98229999999999895</v>
      </c>
      <c r="K156" s="6">
        <v>1.8023</v>
      </c>
      <c r="L156" s="6">
        <v>57.792299999999997</v>
      </c>
      <c r="M156" s="6">
        <v>100.95229999999999</v>
      </c>
      <c r="N156" s="8">
        <v>1.7452913219503601</v>
      </c>
      <c r="O156" s="8">
        <v>1.7441031794745401</v>
      </c>
      <c r="P156" s="8">
        <v>1.7451803145445901</v>
      </c>
      <c r="Q156" s="8">
        <v>1.7447135153022499</v>
      </c>
      <c r="R156" s="6">
        <v>99.082501625948595</v>
      </c>
      <c r="S156" s="6">
        <v>99.143561173258306</v>
      </c>
      <c r="T156" s="6">
        <v>99.115006882766295</v>
      </c>
      <c r="U156" s="7">
        <v>-6.8100211727455801E-4</v>
      </c>
      <c r="V156" s="7">
        <v>-6.4942368333178996E-5</v>
      </c>
      <c r="W156" s="7">
        <v>-3.52993381405971E-4</v>
      </c>
      <c r="X156" s="8">
        <v>1.7468122916028599</v>
      </c>
      <c r="Y156" s="8">
        <v>1.7448470922733199</v>
      </c>
      <c r="Z156" s="8">
        <v>1.74670516955975</v>
      </c>
      <c r="AA156" s="8">
        <v>1.7461471992324999</v>
      </c>
      <c r="AB156" s="6">
        <v>100.83872661078701</v>
      </c>
      <c r="AC156" s="6">
        <v>100.944878742961</v>
      </c>
      <c r="AD156" s="6">
        <v>100.911102114729</v>
      </c>
      <c r="AE156" s="7">
        <v>-1.12565363398448E-3</v>
      </c>
      <c r="AF156" s="7">
        <v>-7.3515212926433297E-5</v>
      </c>
      <c r="AG156" s="7">
        <v>-4.0817587943593698E-4</v>
      </c>
      <c r="AZ156" s="23"/>
      <c r="BB156" s="12">
        <f t="shared" si="46"/>
        <v>0</v>
      </c>
      <c r="BC156" s="12">
        <f t="shared" si="47"/>
        <v>0</v>
      </c>
      <c r="BD156" s="12">
        <f t="shared" si="48"/>
        <v>1</v>
      </c>
      <c r="BE156" s="12">
        <f t="shared" si="44"/>
        <v>1</v>
      </c>
      <c r="BF156" s="12">
        <f t="shared" si="49"/>
        <v>1</v>
      </c>
      <c r="BG156" s="23">
        <f t="shared" si="50"/>
        <v>-2.1100763939549899E-3</v>
      </c>
      <c r="BH156" s="23">
        <f t="shared" si="51"/>
        <v>2.0151140320207499E-3</v>
      </c>
      <c r="BI156" s="23">
        <f t="shared" si="52"/>
        <v>-9.4962361934240042E-5</v>
      </c>
      <c r="BJ156" s="18">
        <f t="shared" si="53"/>
        <v>3.0700980248372714E-3</v>
      </c>
      <c r="BL156" s="23"/>
      <c r="BN156" s="12">
        <f t="shared" si="54"/>
        <v>0</v>
      </c>
      <c r="BO156" s="12">
        <f t="shared" si="55"/>
        <v>1</v>
      </c>
      <c r="BP156" s="12">
        <f t="shared" si="56"/>
        <v>0</v>
      </c>
      <c r="BQ156" s="12">
        <f t="shared" si="45"/>
        <v>1</v>
      </c>
      <c r="BR156" s="12">
        <f t="shared" si="57"/>
        <v>0</v>
      </c>
      <c r="BS156" s="23">
        <f t="shared" si="58"/>
        <v>0</v>
      </c>
      <c r="BT156" s="23">
        <f t="shared" si="59"/>
        <v>0</v>
      </c>
      <c r="BU156" s="23">
        <f t="shared" si="60"/>
        <v>0</v>
      </c>
      <c r="BV156" s="18">
        <f t="shared" si="61"/>
        <v>2.6710298438228398E-3</v>
      </c>
      <c r="BX156" s="18">
        <f t="shared" si="62"/>
        <v>-9.4962361934240042E-5</v>
      </c>
      <c r="BY156" s="18">
        <f t="shared" si="63"/>
        <v>5.7411278686601104E-3</v>
      </c>
    </row>
    <row r="157" spans="1:77" x14ac:dyDescent="0.3">
      <c r="A157" s="1">
        <v>46251</v>
      </c>
      <c r="B157" s="6">
        <v>56.65</v>
      </c>
      <c r="C157" s="6">
        <v>98.85</v>
      </c>
      <c r="D157" s="7">
        <v>-2.82037909502024E-3</v>
      </c>
      <c r="E157" s="7">
        <v>-3.0303053491791999E-3</v>
      </c>
      <c r="F157" s="6">
        <v>0</v>
      </c>
      <c r="G157" s="6">
        <v>0.98229999999999895</v>
      </c>
      <c r="H157" s="6">
        <v>0</v>
      </c>
      <c r="I157" s="6">
        <v>1.8023</v>
      </c>
      <c r="J157" s="6">
        <v>0.98229999999999895</v>
      </c>
      <c r="K157" s="6">
        <v>1.8023</v>
      </c>
      <c r="L157" s="6">
        <v>57.632300000000001</v>
      </c>
      <c r="M157" s="6">
        <v>100.6523</v>
      </c>
      <c r="N157" s="8">
        <v>1.74492497793468</v>
      </c>
      <c r="O157" s="8">
        <v>1.7441031794745401</v>
      </c>
      <c r="P157" s="8">
        <v>1.7450231760066699</v>
      </c>
      <c r="Q157" s="8">
        <v>1.7447533148474299</v>
      </c>
      <c r="R157" s="6">
        <v>98.803445117232698</v>
      </c>
      <c r="S157" s="6">
        <v>98.864464818951006</v>
      </c>
      <c r="T157" s="6">
        <v>98.838020641872802</v>
      </c>
      <c r="U157" s="7">
        <v>-4.7107586311561901E-4</v>
      </c>
      <c r="V157" s="7">
        <v>1.4632029062809499E-4</v>
      </c>
      <c r="W157" s="7">
        <v>-1.21194578233631E-4</v>
      </c>
      <c r="X157" s="8">
        <v>1.7464564141982799</v>
      </c>
      <c r="Y157" s="8">
        <v>1.7448470922733199</v>
      </c>
      <c r="Z157" s="8">
        <v>1.7465499747445901</v>
      </c>
      <c r="AA157" s="8">
        <v>1.7461967824031199</v>
      </c>
      <c r="AB157" s="6">
        <v>100.559551076023</v>
      </c>
      <c r="AC157" s="6">
        <v>100.66663634361799</v>
      </c>
      <c r="AD157" s="6">
        <v>100.634479230327</v>
      </c>
      <c r="AE157" s="7">
        <v>-9.2190325817584297E-4</v>
      </c>
      <c r="AF157" s="7">
        <v>1.4242419419849099E-4</v>
      </c>
      <c r="AG157" s="7">
        <v>-1.7706845712544701E-4</v>
      </c>
      <c r="BB157" s="12">
        <f t="shared" si="46"/>
        <v>0</v>
      </c>
      <c r="BC157" s="12">
        <f t="shared" si="47"/>
        <v>0</v>
      </c>
      <c r="BD157" s="12">
        <f t="shared" si="48"/>
        <v>1</v>
      </c>
      <c r="BE157" s="12">
        <f t="shared" si="44"/>
        <v>1</v>
      </c>
      <c r="BF157" s="12">
        <f t="shared" si="49"/>
        <v>1</v>
      </c>
      <c r="BG157" s="23">
        <f t="shared" si="50"/>
        <v>-2.82037909502024E-3</v>
      </c>
      <c r="BH157" s="23">
        <f t="shared" si="51"/>
        <v>3.0303053491791999E-3</v>
      </c>
      <c r="BI157" s="23">
        <f t="shared" si="52"/>
        <v>2.0992625415895997E-4</v>
      </c>
      <c r="BJ157" s="18">
        <f t="shared" si="53"/>
        <v>3.2800242789962314E-3</v>
      </c>
      <c r="BL157" s="23"/>
      <c r="BN157" s="12">
        <f t="shared" si="54"/>
        <v>0</v>
      </c>
      <c r="BO157" s="12">
        <f t="shared" si="55"/>
        <v>1</v>
      </c>
      <c r="BP157" s="12">
        <f t="shared" si="56"/>
        <v>0</v>
      </c>
      <c r="BQ157" s="12">
        <f t="shared" si="45"/>
        <v>1</v>
      </c>
      <c r="BR157" s="12">
        <f t="shared" si="57"/>
        <v>0</v>
      </c>
      <c r="BS157" s="23">
        <f t="shared" si="58"/>
        <v>0</v>
      </c>
      <c r="BT157" s="23">
        <f t="shared" si="59"/>
        <v>0</v>
      </c>
      <c r="BU157" s="23">
        <f t="shared" si="60"/>
        <v>0</v>
      </c>
      <c r="BV157" s="18">
        <f t="shared" si="61"/>
        <v>2.6710298438228398E-3</v>
      </c>
      <c r="BX157" s="18">
        <f t="shared" si="62"/>
        <v>2.0992625415895997E-4</v>
      </c>
      <c r="BY157" s="18">
        <f t="shared" si="63"/>
        <v>5.9510541228190699E-3</v>
      </c>
    </row>
    <row r="158" spans="1:77" x14ac:dyDescent="0.3">
      <c r="A158" s="1">
        <v>46252</v>
      </c>
      <c r="B158" s="6">
        <v>56.53</v>
      </c>
      <c r="C158" s="6">
        <v>98.6</v>
      </c>
      <c r="D158" s="7">
        <v>-2.1205167868158601E-3</v>
      </c>
      <c r="E158" s="7">
        <v>-2.5322880080361401E-3</v>
      </c>
      <c r="F158" s="6">
        <v>0</v>
      </c>
      <c r="G158" s="6">
        <v>0.98229999999999895</v>
      </c>
      <c r="H158" s="6">
        <v>0</v>
      </c>
      <c r="I158" s="6">
        <v>1.8023</v>
      </c>
      <c r="J158" s="6">
        <v>0.98229999999999895</v>
      </c>
      <c r="K158" s="6">
        <v>1.8023</v>
      </c>
      <c r="L158" s="6">
        <v>57.512300000000003</v>
      </c>
      <c r="M158" s="6">
        <v>100.4023</v>
      </c>
      <c r="N158" s="8">
        <v>1.74420661595612</v>
      </c>
      <c r="O158" s="8">
        <v>1.7441031794745401</v>
      </c>
      <c r="P158" s="8">
        <v>1.74487235854238</v>
      </c>
      <c r="Q158" s="8">
        <v>1.7447794351189201</v>
      </c>
      <c r="R158" s="6">
        <v>98.594152735695701</v>
      </c>
      <c r="S158" s="6">
        <v>98.646160139657397</v>
      </c>
      <c r="T158" s="6">
        <v>98.630904888325304</v>
      </c>
      <c r="U158" s="7">
        <v>-5.9304641895341398E-5</v>
      </c>
      <c r="V158" s="7">
        <v>4.6804602398790201E-4</v>
      </c>
      <c r="W158" s="7">
        <v>3.1338789015640799E-4</v>
      </c>
      <c r="X158" s="8">
        <v>1.7457535170737299</v>
      </c>
      <c r="Y158" s="8">
        <v>1.7448470922733199</v>
      </c>
      <c r="Z158" s="8">
        <v>1.74640189174465</v>
      </c>
      <c r="AA158" s="8">
        <v>1.74623306653453</v>
      </c>
      <c r="AB158" s="6">
        <v>100.35016942495</v>
      </c>
      <c r="AC158" s="6">
        <v>100.448106112503</v>
      </c>
      <c r="AD158" s="6">
        <v>100.42779320860301</v>
      </c>
      <c r="AE158" s="7">
        <v>-5.1935178053017395E-4</v>
      </c>
      <c r="AF158" s="7">
        <v>4.5612168961143299E-4</v>
      </c>
      <c r="AG158" s="7">
        <v>2.53878373834742E-4</v>
      </c>
      <c r="BB158" s="12">
        <f t="shared" si="46"/>
        <v>0</v>
      </c>
      <c r="BC158" s="12">
        <f t="shared" si="47"/>
        <v>1</v>
      </c>
      <c r="BD158" s="12">
        <f t="shared" si="48"/>
        <v>1</v>
      </c>
      <c r="BE158" s="12">
        <f t="shared" si="44"/>
        <v>1</v>
      </c>
      <c r="BF158" s="12">
        <f t="shared" si="49"/>
        <v>1</v>
      </c>
      <c r="BG158" s="23">
        <f t="shared" si="50"/>
        <v>-2.1205167868158601E-3</v>
      </c>
      <c r="BH158" s="23">
        <f t="shared" si="51"/>
        <v>2.5322880080361401E-3</v>
      </c>
      <c r="BI158" s="23">
        <f t="shared" si="52"/>
        <v>4.1177122122027995E-4</v>
      </c>
      <c r="BJ158" s="18">
        <f t="shared" si="53"/>
        <v>3.6917955002165113E-3</v>
      </c>
      <c r="BL158" s="23"/>
      <c r="BN158" s="12">
        <f t="shared" si="54"/>
        <v>0</v>
      </c>
      <c r="BO158" s="12">
        <f t="shared" si="55"/>
        <v>0</v>
      </c>
      <c r="BP158" s="12">
        <f t="shared" si="56"/>
        <v>0</v>
      </c>
      <c r="BQ158" s="12">
        <f t="shared" si="45"/>
        <v>1</v>
      </c>
      <c r="BR158" s="12">
        <f t="shared" si="57"/>
        <v>0</v>
      </c>
      <c r="BS158" s="23">
        <f t="shared" si="58"/>
        <v>0</v>
      </c>
      <c r="BT158" s="23">
        <f t="shared" si="59"/>
        <v>0</v>
      </c>
      <c r="BU158" s="23">
        <f t="shared" si="60"/>
        <v>0</v>
      </c>
      <c r="BV158" s="18">
        <f t="shared" si="61"/>
        <v>2.6710298438228398E-3</v>
      </c>
      <c r="BX158" s="18">
        <f t="shared" si="62"/>
        <v>4.1177122122027995E-4</v>
      </c>
      <c r="BY158" s="18">
        <f t="shared" si="63"/>
        <v>6.3628253440393499E-3</v>
      </c>
    </row>
    <row r="159" spans="1:77" x14ac:dyDescent="0.3">
      <c r="A159" s="1">
        <v>46253</v>
      </c>
      <c r="B159" s="6">
        <v>56.65</v>
      </c>
      <c r="C159" s="6">
        <v>98.84</v>
      </c>
      <c r="D159" s="7">
        <v>2.1205167868158098E-3</v>
      </c>
      <c r="E159" s="7">
        <v>2.4311195118196698E-3</v>
      </c>
      <c r="F159" s="6">
        <v>0</v>
      </c>
      <c r="G159" s="6">
        <v>0.98229999999999895</v>
      </c>
      <c r="H159" s="6">
        <v>0</v>
      </c>
      <c r="I159" s="6">
        <v>1.8023</v>
      </c>
      <c r="J159" s="6">
        <v>0.98229999999999895</v>
      </c>
      <c r="K159" s="6">
        <v>1.8023</v>
      </c>
      <c r="L159" s="6">
        <v>57.632300000000001</v>
      </c>
      <c r="M159" s="6">
        <v>100.64230000000001</v>
      </c>
      <c r="N159" s="8">
        <v>1.7447484554280599</v>
      </c>
      <c r="O159" s="8">
        <v>1.7441031794745401</v>
      </c>
      <c r="P159" s="8">
        <v>1.7448764913117201</v>
      </c>
      <c r="Q159" s="8">
        <v>1.7448139006644801</v>
      </c>
      <c r="R159" s="6">
        <v>98.803445117232698</v>
      </c>
      <c r="S159" s="6">
        <v>98.847019111426107</v>
      </c>
      <c r="T159" s="6">
        <v>98.841754999486895</v>
      </c>
      <c r="U159" s="7">
        <v>-3.6990736689917998E-4</v>
      </c>
      <c r="V159" s="7">
        <v>7.1012365511893298E-5</v>
      </c>
      <c r="W159" s="7">
        <v>1.77558064175819E-5</v>
      </c>
      <c r="X159" s="8">
        <v>1.74628290038745</v>
      </c>
      <c r="Y159" s="8">
        <v>1.7448470922733199</v>
      </c>
      <c r="Z159" s="8">
        <v>1.7464060339432901</v>
      </c>
      <c r="AA159" s="8">
        <v>1.7462771255204601</v>
      </c>
      <c r="AB159" s="6">
        <v>100.559551076023</v>
      </c>
      <c r="AC159" s="6">
        <v>100.64915774559501</v>
      </c>
      <c r="AD159" s="6">
        <v>100.639427960438</v>
      </c>
      <c r="AE159" s="7">
        <v>-8.2254639506856896E-4</v>
      </c>
      <c r="AF159" s="7">
        <v>6.8137472644641593E-5</v>
      </c>
      <c r="AG159" s="7">
        <v>-2.8537509001114099E-5</v>
      </c>
      <c r="BB159" s="12">
        <f t="shared" si="46"/>
        <v>0</v>
      </c>
      <c r="BC159" s="12">
        <f t="shared" si="47"/>
        <v>0</v>
      </c>
      <c r="BD159" s="12">
        <f t="shared" si="48"/>
        <v>0</v>
      </c>
      <c r="BE159" s="12">
        <f t="shared" si="44"/>
        <v>1</v>
      </c>
      <c r="BF159" s="12">
        <f t="shared" si="49"/>
        <v>0</v>
      </c>
      <c r="BG159" s="23">
        <f t="shared" si="50"/>
        <v>0</v>
      </c>
      <c r="BH159" s="23">
        <f t="shared" si="51"/>
        <v>0</v>
      </c>
      <c r="BI159" s="23">
        <f t="shared" si="52"/>
        <v>0</v>
      </c>
      <c r="BJ159" s="18">
        <f t="shared" si="53"/>
        <v>3.6917955002165113E-3</v>
      </c>
      <c r="BL159" s="23"/>
      <c r="BN159" s="12">
        <f t="shared" si="54"/>
        <v>0</v>
      </c>
      <c r="BO159" s="12">
        <f t="shared" si="55"/>
        <v>1</v>
      </c>
      <c r="BP159" s="12">
        <f t="shared" si="56"/>
        <v>0</v>
      </c>
      <c r="BQ159" s="12">
        <f t="shared" si="45"/>
        <v>1</v>
      </c>
      <c r="BR159" s="12">
        <f t="shared" si="57"/>
        <v>0</v>
      </c>
      <c r="BS159" s="23">
        <f t="shared" si="58"/>
        <v>0</v>
      </c>
      <c r="BT159" s="23">
        <f t="shared" si="59"/>
        <v>0</v>
      </c>
      <c r="BU159" s="23">
        <f t="shared" si="60"/>
        <v>0</v>
      </c>
      <c r="BV159" s="18">
        <f t="shared" si="61"/>
        <v>2.6710298438228398E-3</v>
      </c>
      <c r="BX159" s="18">
        <f t="shared" si="62"/>
        <v>0</v>
      </c>
      <c r="BY159" s="18">
        <f t="shared" si="63"/>
        <v>6.3628253440393499E-3</v>
      </c>
    </row>
    <row r="160" spans="1:77" x14ac:dyDescent="0.3">
      <c r="A160" s="1">
        <v>46254</v>
      </c>
      <c r="B160" s="6">
        <v>56.58</v>
      </c>
      <c r="C160" s="6">
        <v>98.62</v>
      </c>
      <c r="D160" s="7">
        <v>-1.23642160059417E-3</v>
      </c>
      <c r="E160" s="7">
        <v>-2.2283003244292698E-3</v>
      </c>
      <c r="F160" s="6">
        <v>0</v>
      </c>
      <c r="G160" s="6">
        <v>0.98229999999999895</v>
      </c>
      <c r="H160" s="6">
        <v>0</v>
      </c>
      <c r="I160" s="6">
        <v>1.8023</v>
      </c>
      <c r="J160" s="6">
        <v>0.98229999999999895</v>
      </c>
      <c r="K160" s="6">
        <v>1.8023</v>
      </c>
      <c r="L160" s="6">
        <v>57.5623</v>
      </c>
      <c r="M160" s="6">
        <v>100.42230000000001</v>
      </c>
      <c r="N160" s="8">
        <v>1.74301873453517</v>
      </c>
      <c r="O160" s="8">
        <v>1.7441031794745401</v>
      </c>
      <c r="P160" s="8">
        <v>1.74469901425341</v>
      </c>
      <c r="Q160" s="8">
        <v>1.7448035127941099</v>
      </c>
      <c r="R160" s="6">
        <v>98.681357894669503</v>
      </c>
      <c r="S160" s="6">
        <v>98.725111878417394</v>
      </c>
      <c r="T160" s="6">
        <v>98.721570499596595</v>
      </c>
      <c r="U160" s="7">
        <v>6.2197135693602601E-4</v>
      </c>
      <c r="V160" s="7">
        <v>1.0652596089851601E-3</v>
      </c>
      <c r="W160" s="7">
        <v>1.0293878609406201E-3</v>
      </c>
      <c r="X160" s="8">
        <v>1.7445845631602599</v>
      </c>
      <c r="Y160" s="8">
        <v>1.7448470922733199</v>
      </c>
      <c r="Z160" s="8">
        <v>1.74623179864223</v>
      </c>
      <c r="AA160" s="8">
        <v>1.74627689038981</v>
      </c>
      <c r="AB160" s="6">
        <v>100.437411779564</v>
      </c>
      <c r="AC160" s="6">
        <v>100.52714804765399</v>
      </c>
      <c r="AD160" s="6">
        <v>100.519727782346</v>
      </c>
      <c r="AE160" s="7">
        <v>1.5047098752829E-4</v>
      </c>
      <c r="AF160" s="7">
        <v>1.04352669975017E-3</v>
      </c>
      <c r="AG160" s="7">
        <v>9.6971042899010097E-4</v>
      </c>
      <c r="BB160" s="12">
        <f t="shared" si="46"/>
        <v>0</v>
      </c>
      <c r="BC160" s="12">
        <f t="shared" si="47"/>
        <v>1</v>
      </c>
      <c r="BD160" s="12">
        <f t="shared" si="48"/>
        <v>0</v>
      </c>
      <c r="BE160" s="12">
        <f t="shared" si="44"/>
        <v>1</v>
      </c>
      <c r="BF160" s="12">
        <f t="shared" si="49"/>
        <v>0</v>
      </c>
      <c r="BG160" s="23">
        <f t="shared" si="50"/>
        <v>0</v>
      </c>
      <c r="BH160" s="23">
        <f t="shared" si="51"/>
        <v>0</v>
      </c>
      <c r="BI160" s="23">
        <f t="shared" si="52"/>
        <v>0</v>
      </c>
      <c r="BJ160" s="18">
        <f t="shared" si="53"/>
        <v>3.6917955002165113E-3</v>
      </c>
      <c r="BL160" s="23"/>
      <c r="BN160" s="12">
        <f t="shared" si="54"/>
        <v>0</v>
      </c>
      <c r="BO160" s="12">
        <f t="shared" si="55"/>
        <v>0</v>
      </c>
      <c r="BP160" s="12">
        <f t="shared" si="56"/>
        <v>0</v>
      </c>
      <c r="BQ160" s="12">
        <f t="shared" si="45"/>
        <v>1</v>
      </c>
      <c r="BR160" s="12">
        <f t="shared" si="57"/>
        <v>0</v>
      </c>
      <c r="BS160" s="23">
        <f t="shared" si="58"/>
        <v>0</v>
      </c>
      <c r="BT160" s="23">
        <f t="shared" si="59"/>
        <v>0</v>
      </c>
      <c r="BU160" s="23">
        <f t="shared" si="60"/>
        <v>0</v>
      </c>
      <c r="BV160" s="18">
        <f t="shared" si="61"/>
        <v>2.6710298438228398E-3</v>
      </c>
      <c r="BX160" s="18">
        <f t="shared" si="62"/>
        <v>0</v>
      </c>
      <c r="BY160" s="18">
        <f t="shared" si="63"/>
        <v>6.3628253440393499E-3</v>
      </c>
    </row>
    <row r="161" spans="1:77" x14ac:dyDescent="0.3">
      <c r="A161" s="1">
        <v>46255</v>
      </c>
      <c r="B161" s="6">
        <v>56.51</v>
      </c>
      <c r="C161" s="6">
        <v>98.55</v>
      </c>
      <c r="D161" s="7">
        <v>-1.23795223166916E-3</v>
      </c>
      <c r="E161" s="7">
        <v>-7.1004719725088902E-4</v>
      </c>
      <c r="F161" s="6">
        <v>0</v>
      </c>
      <c r="G161" s="6">
        <v>0.98229999999999895</v>
      </c>
      <c r="H161" s="6">
        <v>0</v>
      </c>
      <c r="I161" s="6">
        <v>1.8023</v>
      </c>
      <c r="J161" s="6">
        <v>0.98229999999999895</v>
      </c>
      <c r="K161" s="6">
        <v>1.8023</v>
      </c>
      <c r="L161" s="6">
        <v>57.4923</v>
      </c>
      <c r="M161" s="6">
        <v>100.3523</v>
      </c>
      <c r="N161" s="8">
        <v>1.74393912581843</v>
      </c>
      <c r="O161" s="8">
        <v>1.7441031794745401</v>
      </c>
      <c r="P161" s="8">
        <v>1.7446428124590501</v>
      </c>
      <c r="Q161" s="8">
        <v>1.7447835547184301</v>
      </c>
      <c r="R161" s="6">
        <v>98.559270672106294</v>
      </c>
      <c r="S161" s="6">
        <v>98.592941295460705</v>
      </c>
      <c r="T161" s="6">
        <v>98.598846507995304</v>
      </c>
      <c r="U161" s="7">
        <v>9.4066322517583797E-5</v>
      </c>
      <c r="V161" s="7">
        <v>4.3563615169432202E-4</v>
      </c>
      <c r="W161" s="7">
        <v>4.9552923955717605E-4</v>
      </c>
      <c r="X161" s="8">
        <v>1.7454911353346401</v>
      </c>
      <c r="Y161" s="8">
        <v>1.7448470922733199</v>
      </c>
      <c r="Z161" s="8">
        <v>1.7461774108446599</v>
      </c>
      <c r="AA161" s="8">
        <v>1.74626726947794</v>
      </c>
      <c r="AB161" s="6">
        <v>100.31527248310501</v>
      </c>
      <c r="AC161" s="6">
        <v>100.394882437078</v>
      </c>
      <c r="AD161" s="6">
        <v>100.39747486535801</v>
      </c>
      <c r="AE161" s="7">
        <v>-3.6904335719642201E-4</v>
      </c>
      <c r="AF161" s="7">
        <v>4.2423945582222402E-4</v>
      </c>
      <c r="AG161" s="7">
        <v>4.5006143744180698E-4</v>
      </c>
      <c r="BB161" s="12">
        <f t="shared" si="46"/>
        <v>0</v>
      </c>
      <c r="BC161" s="12">
        <f t="shared" si="47"/>
        <v>1</v>
      </c>
      <c r="BD161" s="12">
        <f t="shared" si="48"/>
        <v>0</v>
      </c>
      <c r="BE161" s="12">
        <f t="shared" si="44"/>
        <v>1</v>
      </c>
      <c r="BF161" s="12">
        <f t="shared" si="49"/>
        <v>0</v>
      </c>
      <c r="BG161" s="23">
        <f t="shared" si="50"/>
        <v>0</v>
      </c>
      <c r="BH161" s="23">
        <f t="shared" si="51"/>
        <v>0</v>
      </c>
      <c r="BI161" s="23">
        <f t="shared" si="52"/>
        <v>0</v>
      </c>
      <c r="BJ161" s="18">
        <f t="shared" si="53"/>
        <v>3.6917955002165113E-3</v>
      </c>
      <c r="BL161" s="23"/>
      <c r="BN161" s="12">
        <f t="shared" si="54"/>
        <v>0</v>
      </c>
      <c r="BO161" s="12">
        <f t="shared" si="55"/>
        <v>0</v>
      </c>
      <c r="BP161" s="12">
        <f t="shared" si="56"/>
        <v>0</v>
      </c>
      <c r="BQ161" s="12">
        <f t="shared" si="45"/>
        <v>1</v>
      </c>
      <c r="BR161" s="12">
        <f t="shared" si="57"/>
        <v>0</v>
      </c>
      <c r="BS161" s="23">
        <f t="shared" si="58"/>
        <v>0</v>
      </c>
      <c r="BT161" s="23">
        <f t="shared" si="59"/>
        <v>0</v>
      </c>
      <c r="BU161" s="23">
        <f t="shared" si="60"/>
        <v>0</v>
      </c>
      <c r="BV161" s="18">
        <f t="shared" si="61"/>
        <v>2.6710298438228398E-3</v>
      </c>
      <c r="BX161" s="18">
        <f t="shared" si="62"/>
        <v>0</v>
      </c>
      <c r="BY161" s="18">
        <f t="shared" si="63"/>
        <v>6.3628253440393499E-3</v>
      </c>
    </row>
    <row r="162" spans="1:77" x14ac:dyDescent="0.3">
      <c r="A162" s="1">
        <v>46258</v>
      </c>
      <c r="B162" s="6">
        <v>56.52</v>
      </c>
      <c r="C162" s="6">
        <v>98.63</v>
      </c>
      <c r="D162" s="7">
        <v>1.76944174574842E-4</v>
      </c>
      <c r="E162" s="7">
        <v>8.1144136717289895E-4</v>
      </c>
      <c r="F162" s="6">
        <v>0</v>
      </c>
      <c r="G162" s="6">
        <v>0.98229999999999895</v>
      </c>
      <c r="H162" s="6">
        <v>0</v>
      </c>
      <c r="I162" s="6">
        <v>1.8023</v>
      </c>
      <c r="J162" s="6">
        <v>0.98229999999999895</v>
      </c>
      <c r="K162" s="6">
        <v>1.8023</v>
      </c>
      <c r="L162" s="6">
        <v>57.502299999999998</v>
      </c>
      <c r="M162" s="6">
        <v>100.4323</v>
      </c>
      <c r="N162" s="8">
        <v>1.7450460014154201</v>
      </c>
      <c r="O162" s="8">
        <v>1.7441031794745401</v>
      </c>
      <c r="P162" s="8">
        <v>1.7446448593341699</v>
      </c>
      <c r="Q162" s="8">
        <v>1.74489098095825</v>
      </c>
      <c r="R162" s="6">
        <v>98.576711703900997</v>
      </c>
      <c r="S162" s="6">
        <v>98.607211760185606</v>
      </c>
      <c r="T162" s="6">
        <v>98.615166512686201</v>
      </c>
      <c r="U162" s="7">
        <v>-5.4043087008036003E-4</v>
      </c>
      <c r="V162" s="7">
        <v>-2.3107444799426799E-4</v>
      </c>
      <c r="W162" s="7">
        <v>-1.5040659909708101E-4</v>
      </c>
      <c r="X162" s="8">
        <v>1.74657883249887</v>
      </c>
      <c r="Y162" s="8">
        <v>1.7448470922733199</v>
      </c>
      <c r="Z162" s="8">
        <v>1.7461801392885199</v>
      </c>
      <c r="AA162" s="8">
        <v>1.7463831946889199</v>
      </c>
      <c r="AB162" s="6">
        <v>100.33272095402801</v>
      </c>
      <c r="AC162" s="6">
        <v>100.40921733161299</v>
      </c>
      <c r="AD162" s="6">
        <v>100.414384409701</v>
      </c>
      <c r="AE162" s="7">
        <v>-9.9199605254518693E-4</v>
      </c>
      <c r="AF162" s="7">
        <v>-2.2985953098854001E-4</v>
      </c>
      <c r="AG162" s="7">
        <v>-1.7840065817809701E-4</v>
      </c>
      <c r="BB162" s="12">
        <f t="shared" si="46"/>
        <v>0</v>
      </c>
      <c r="BC162" s="12">
        <f t="shared" si="47"/>
        <v>0</v>
      </c>
      <c r="BD162" s="12">
        <f t="shared" si="48"/>
        <v>0</v>
      </c>
      <c r="BE162" s="12">
        <f t="shared" si="44"/>
        <v>1</v>
      </c>
      <c r="BF162" s="12">
        <f t="shared" si="49"/>
        <v>0</v>
      </c>
      <c r="BG162" s="23">
        <f t="shared" si="50"/>
        <v>0</v>
      </c>
      <c r="BH162" s="23">
        <f t="shared" si="51"/>
        <v>0</v>
      </c>
      <c r="BI162" s="23">
        <f t="shared" si="52"/>
        <v>0</v>
      </c>
      <c r="BJ162" s="18">
        <f t="shared" si="53"/>
        <v>3.6917955002165113E-3</v>
      </c>
      <c r="BL162" s="23"/>
      <c r="BN162" s="12">
        <f t="shared" si="54"/>
        <v>0</v>
      </c>
      <c r="BO162" s="12">
        <f t="shared" si="55"/>
        <v>1</v>
      </c>
      <c r="BP162" s="12">
        <f t="shared" si="56"/>
        <v>0</v>
      </c>
      <c r="BQ162" s="12">
        <f t="shared" si="45"/>
        <v>1</v>
      </c>
      <c r="BR162" s="12">
        <f t="shared" si="57"/>
        <v>0</v>
      </c>
      <c r="BS162" s="23">
        <f t="shared" si="58"/>
        <v>0</v>
      </c>
      <c r="BT162" s="23">
        <f t="shared" si="59"/>
        <v>0</v>
      </c>
      <c r="BU162" s="23">
        <f t="shared" si="60"/>
        <v>0</v>
      </c>
      <c r="BV162" s="18">
        <f t="shared" si="61"/>
        <v>2.6710298438228398E-3</v>
      </c>
      <c r="BX162" s="18">
        <f t="shared" si="62"/>
        <v>0</v>
      </c>
      <c r="BY162" s="18">
        <f t="shared" si="63"/>
        <v>6.3628253440393499E-3</v>
      </c>
    </row>
    <row r="163" spans="1:77" x14ac:dyDescent="0.3">
      <c r="A163" s="1">
        <v>46259</v>
      </c>
      <c r="B163" s="6">
        <v>56.56</v>
      </c>
      <c r="C163" s="6">
        <v>98.63</v>
      </c>
      <c r="D163" s="7">
        <v>7.0746377199069899E-4</v>
      </c>
      <c r="E163" s="7">
        <v>0</v>
      </c>
      <c r="F163" s="6">
        <v>0</v>
      </c>
      <c r="G163" s="6">
        <v>0.98229999999999895</v>
      </c>
      <c r="H163" s="6">
        <v>0</v>
      </c>
      <c r="I163" s="6">
        <v>1.8023</v>
      </c>
      <c r="J163" s="6">
        <v>0.98229999999999895</v>
      </c>
      <c r="K163" s="6">
        <v>1.8023</v>
      </c>
      <c r="L163" s="6">
        <v>57.542299999999997</v>
      </c>
      <c r="M163" s="6">
        <v>100.4323</v>
      </c>
      <c r="N163" s="8">
        <v>1.74381188118811</v>
      </c>
      <c r="O163" s="8">
        <v>1.7441031794745401</v>
      </c>
      <c r="P163" s="8">
        <v>1.74452314405689</v>
      </c>
      <c r="Q163" s="8">
        <v>1.7449560903507599</v>
      </c>
      <c r="R163" s="6">
        <v>98.646475831079997</v>
      </c>
      <c r="S163" s="6">
        <v>98.677113243940994</v>
      </c>
      <c r="T163" s="6">
        <v>98.691033882999093</v>
      </c>
      <c r="U163" s="7">
        <v>1.6703290191008899E-4</v>
      </c>
      <c r="V163" s="7">
        <v>4.7756255779960003E-4</v>
      </c>
      <c r="W163" s="7">
        <v>6.1862522960236396E-4</v>
      </c>
      <c r="X163" s="8">
        <v>1.74536471430582</v>
      </c>
      <c r="Y163" s="8">
        <v>1.7448470922733199</v>
      </c>
      <c r="Z163" s="8">
        <v>1.7460612173166601</v>
      </c>
      <c r="AA163" s="8">
        <v>1.7464576024718701</v>
      </c>
      <c r="AB163" s="6">
        <v>100.402514837719</v>
      </c>
      <c r="AC163" s="6">
        <v>100.479221428982</v>
      </c>
      <c r="AD163" s="6">
        <v>100.490905703748</v>
      </c>
      <c r="AE163" s="7">
        <v>-2.9661353807950401E-4</v>
      </c>
      <c r="AF163" s="7">
        <v>4.6708550611427799E-4</v>
      </c>
      <c r="AG163" s="7">
        <v>5.8336422819101898E-4</v>
      </c>
      <c r="BB163" s="12">
        <f t="shared" si="46"/>
        <v>0</v>
      </c>
      <c r="BC163" s="12">
        <f t="shared" si="47"/>
        <v>1</v>
      </c>
      <c r="BD163" s="12">
        <f t="shared" si="48"/>
        <v>0</v>
      </c>
      <c r="BE163" s="12">
        <f t="shared" si="44"/>
        <v>1</v>
      </c>
      <c r="BF163" s="12">
        <f t="shared" si="49"/>
        <v>0</v>
      </c>
      <c r="BG163" s="23">
        <f t="shared" si="50"/>
        <v>0</v>
      </c>
      <c r="BH163" s="23">
        <f t="shared" si="51"/>
        <v>0</v>
      </c>
      <c r="BI163" s="23">
        <f t="shared" si="52"/>
        <v>0</v>
      </c>
      <c r="BJ163" s="18">
        <f t="shared" si="53"/>
        <v>3.6917955002165113E-3</v>
      </c>
      <c r="BL163" s="23"/>
      <c r="BN163" s="12">
        <f t="shared" si="54"/>
        <v>0</v>
      </c>
      <c r="BO163" s="12">
        <f t="shared" si="55"/>
        <v>0</v>
      </c>
      <c r="BP163" s="12">
        <f t="shared" si="56"/>
        <v>0</v>
      </c>
      <c r="BQ163" s="12">
        <f t="shared" si="45"/>
        <v>1</v>
      </c>
      <c r="BR163" s="12">
        <f t="shared" si="57"/>
        <v>0</v>
      </c>
      <c r="BS163" s="23">
        <f t="shared" si="58"/>
        <v>0</v>
      </c>
      <c r="BT163" s="23">
        <f t="shared" si="59"/>
        <v>0</v>
      </c>
      <c r="BU163" s="23">
        <f t="shared" si="60"/>
        <v>0</v>
      </c>
      <c r="BV163" s="18">
        <f t="shared" si="61"/>
        <v>2.6710298438228398E-3</v>
      </c>
      <c r="BX163" s="18">
        <f t="shared" si="62"/>
        <v>0</v>
      </c>
      <c r="BY163" s="18">
        <f t="shared" si="63"/>
        <v>6.3628253440393499E-3</v>
      </c>
    </row>
    <row r="164" spans="1:77" x14ac:dyDescent="0.3">
      <c r="A164" s="1">
        <v>46260</v>
      </c>
      <c r="B164" s="6">
        <v>56.49</v>
      </c>
      <c r="C164" s="6">
        <v>98.5</v>
      </c>
      <c r="D164" s="7">
        <v>-1.2383902511465799E-3</v>
      </c>
      <c r="E164" s="7">
        <v>-1.3189267878588699E-3</v>
      </c>
      <c r="F164" s="6">
        <v>0</v>
      </c>
      <c r="G164" s="6">
        <v>0.98229999999999895</v>
      </c>
      <c r="H164" s="6">
        <v>0</v>
      </c>
      <c r="I164" s="6">
        <v>1.8023</v>
      </c>
      <c r="J164" s="6">
        <v>0.98229999999999895</v>
      </c>
      <c r="K164" s="6">
        <v>1.8023</v>
      </c>
      <c r="L164" s="6">
        <v>57.472299999999997</v>
      </c>
      <c r="M164" s="6">
        <v>100.3023</v>
      </c>
      <c r="N164" s="8">
        <v>1.74367144627367</v>
      </c>
      <c r="O164" s="8">
        <v>1.7441031794745401</v>
      </c>
      <c r="P164" s="8">
        <v>1.7443784153333299</v>
      </c>
      <c r="Q164" s="8">
        <v>1.7447920747513801</v>
      </c>
      <c r="R164" s="6">
        <v>98.524388608516801</v>
      </c>
      <c r="S164" s="6">
        <v>98.5481124077739</v>
      </c>
      <c r="T164" s="6">
        <v>98.572569543914597</v>
      </c>
      <c r="U164" s="7">
        <v>2.4756943862249699E-4</v>
      </c>
      <c r="V164" s="7">
        <v>4.8833158706426899E-4</v>
      </c>
      <c r="W164" s="7">
        <v>7.36475374149854E-4</v>
      </c>
      <c r="X164" s="8">
        <v>1.7452285709811499</v>
      </c>
      <c r="Y164" s="8">
        <v>1.7448470922733199</v>
      </c>
      <c r="Z164" s="8">
        <v>1.7459199161502801</v>
      </c>
      <c r="AA164" s="8">
        <v>1.74630617755944</v>
      </c>
      <c r="AB164" s="6">
        <v>100.280375541259</v>
      </c>
      <c r="AC164" s="6">
        <v>100.350154099988</v>
      </c>
      <c r="AD164" s="6">
        <v>100.372935266544</v>
      </c>
      <c r="AE164" s="7">
        <v>-2.18607701469592E-4</v>
      </c>
      <c r="AF164" s="7">
        <v>4.7698495501390499E-4</v>
      </c>
      <c r="AG164" s="7">
        <v>7.0397594768170201E-4</v>
      </c>
      <c r="BB164" s="12">
        <f t="shared" si="46"/>
        <v>0</v>
      </c>
      <c r="BC164" s="12">
        <f t="shared" si="47"/>
        <v>1</v>
      </c>
      <c r="BD164" s="12">
        <f t="shared" si="48"/>
        <v>0</v>
      </c>
      <c r="BE164" s="12">
        <f t="shared" si="44"/>
        <v>1</v>
      </c>
      <c r="BF164" s="12">
        <f t="shared" si="49"/>
        <v>0</v>
      </c>
      <c r="BG164" s="23">
        <f t="shared" si="50"/>
        <v>0</v>
      </c>
      <c r="BH164" s="23">
        <f t="shared" si="51"/>
        <v>0</v>
      </c>
      <c r="BI164" s="23">
        <f t="shared" si="52"/>
        <v>0</v>
      </c>
      <c r="BJ164" s="18">
        <f t="shared" si="53"/>
        <v>3.6917955002165113E-3</v>
      </c>
      <c r="BL164" s="23"/>
      <c r="BN164" s="12">
        <f t="shared" si="54"/>
        <v>0</v>
      </c>
      <c r="BO164" s="12">
        <f t="shared" si="55"/>
        <v>0</v>
      </c>
      <c r="BP164" s="12">
        <f t="shared" si="56"/>
        <v>0</v>
      </c>
      <c r="BQ164" s="12">
        <f t="shared" si="45"/>
        <v>1</v>
      </c>
      <c r="BR164" s="12">
        <f t="shared" si="57"/>
        <v>0</v>
      </c>
      <c r="BS164" s="23">
        <f t="shared" si="58"/>
        <v>0</v>
      </c>
      <c r="BT164" s="23">
        <f t="shared" si="59"/>
        <v>0</v>
      </c>
      <c r="BU164" s="23">
        <f t="shared" si="60"/>
        <v>0</v>
      </c>
      <c r="BV164" s="18">
        <f t="shared" si="61"/>
        <v>2.6710298438228398E-3</v>
      </c>
      <c r="BX164" s="18">
        <f t="shared" si="62"/>
        <v>0</v>
      </c>
      <c r="BY164" s="18">
        <f t="shared" si="63"/>
        <v>6.3628253440393499E-3</v>
      </c>
    </row>
    <row r="165" spans="1:77" x14ac:dyDescent="0.3">
      <c r="A165" s="1">
        <v>46261</v>
      </c>
      <c r="B165" s="6">
        <v>56.41</v>
      </c>
      <c r="C165" s="6">
        <v>98.4</v>
      </c>
      <c r="D165" s="7">
        <v>-1.41718358528609E-3</v>
      </c>
      <c r="E165" s="7">
        <v>-1.0157441198354101E-3</v>
      </c>
      <c r="F165" s="6">
        <v>0</v>
      </c>
      <c r="G165" s="6">
        <v>0.98229999999999895</v>
      </c>
      <c r="H165" s="6">
        <v>0</v>
      </c>
      <c r="I165" s="6">
        <v>1.8023</v>
      </c>
      <c r="J165" s="6">
        <v>0.98229999999999895</v>
      </c>
      <c r="K165" s="6">
        <v>1.8023</v>
      </c>
      <c r="L165" s="6">
        <v>57.392299999999999</v>
      </c>
      <c r="M165" s="6">
        <v>100.20229999999999</v>
      </c>
      <c r="N165" s="8">
        <v>1.74437156532529</v>
      </c>
      <c r="O165" s="8">
        <v>1.7441031794745401</v>
      </c>
      <c r="P165" s="8">
        <v>1.7443030125825301</v>
      </c>
      <c r="Q165" s="8">
        <v>1.74474049743066</v>
      </c>
      <c r="R165" s="6">
        <v>98.384860354158803</v>
      </c>
      <c r="S165" s="6">
        <v>98.400386408953594</v>
      </c>
      <c r="T165" s="6">
        <v>98.4237209367258</v>
      </c>
      <c r="U165" s="7">
        <v>-1.5387002682823201E-4</v>
      </c>
      <c r="V165" s="7">
        <v>3.9269125497466097E-6</v>
      </c>
      <c r="W165" s="7">
        <v>2.4103737829741999E-4</v>
      </c>
      <c r="X165" s="8">
        <v>1.7459188776194701</v>
      </c>
      <c r="Y165" s="8">
        <v>1.7448470922733199</v>
      </c>
      <c r="Z165" s="8">
        <v>1.74584718171625</v>
      </c>
      <c r="AA165" s="8">
        <v>1.7462655303808701</v>
      </c>
      <c r="AB165" s="6">
        <v>100.140787773878</v>
      </c>
      <c r="AC165" s="6">
        <v>100.20235960367199</v>
      </c>
      <c r="AD165" s="6">
        <v>100.224528034345</v>
      </c>
      <c r="AE165" s="7">
        <v>-6.1406888291818502E-4</v>
      </c>
      <c r="AF165" s="7">
        <v>5.9483319542271098E-7</v>
      </c>
      <c r="AG165" s="7">
        <v>2.2180697718237599E-4</v>
      </c>
      <c r="BB165" s="12">
        <f t="shared" si="46"/>
        <v>0</v>
      </c>
      <c r="BC165" s="12">
        <f t="shared" si="47"/>
        <v>1</v>
      </c>
      <c r="BD165" s="12">
        <f t="shared" si="48"/>
        <v>0</v>
      </c>
      <c r="BE165" s="12">
        <f t="shared" si="44"/>
        <v>1</v>
      </c>
      <c r="BF165" s="12">
        <f t="shared" si="49"/>
        <v>0</v>
      </c>
      <c r="BG165" s="23">
        <f t="shared" si="50"/>
        <v>0</v>
      </c>
      <c r="BH165" s="23">
        <f t="shared" si="51"/>
        <v>0</v>
      </c>
      <c r="BI165" s="23">
        <f t="shared" si="52"/>
        <v>0</v>
      </c>
      <c r="BJ165" s="18">
        <f t="shared" si="53"/>
        <v>3.6917955002165113E-3</v>
      </c>
      <c r="BL165" s="23"/>
      <c r="BN165" s="12">
        <f t="shared" si="54"/>
        <v>0</v>
      </c>
      <c r="BO165" s="12">
        <f t="shared" si="55"/>
        <v>0</v>
      </c>
      <c r="BP165" s="12">
        <f t="shared" si="56"/>
        <v>0</v>
      </c>
      <c r="BQ165" s="12">
        <f t="shared" si="45"/>
        <v>1</v>
      </c>
      <c r="BR165" s="12">
        <f t="shared" si="57"/>
        <v>0</v>
      </c>
      <c r="BS165" s="23">
        <f t="shared" si="58"/>
        <v>0</v>
      </c>
      <c r="BT165" s="23">
        <f t="shared" si="59"/>
        <v>0</v>
      </c>
      <c r="BU165" s="23">
        <f t="shared" si="60"/>
        <v>0</v>
      </c>
      <c r="BV165" s="18">
        <f t="shared" si="61"/>
        <v>2.6710298438228398E-3</v>
      </c>
      <c r="BX165" s="18">
        <f t="shared" si="62"/>
        <v>0</v>
      </c>
      <c r="BY165" s="18">
        <f t="shared" si="63"/>
        <v>6.3628253440393499E-3</v>
      </c>
    </row>
    <row r="166" spans="1:77" x14ac:dyDescent="0.3">
      <c r="A166" s="1">
        <v>46262</v>
      </c>
      <c r="B166" s="6">
        <v>56.27</v>
      </c>
      <c r="C166" s="6">
        <v>98.31</v>
      </c>
      <c r="D166" s="7">
        <v>-2.4849143066970501E-3</v>
      </c>
      <c r="E166" s="7">
        <v>-9.1505267937487598E-4</v>
      </c>
      <c r="F166" s="6">
        <v>0</v>
      </c>
      <c r="G166" s="6">
        <v>0.98229999999999895</v>
      </c>
      <c r="H166" s="6">
        <v>0</v>
      </c>
      <c r="I166" s="6">
        <v>1.8023</v>
      </c>
      <c r="J166" s="6">
        <v>0.98229999999999895</v>
      </c>
      <c r="K166" s="6">
        <v>1.8023</v>
      </c>
      <c r="L166" s="6">
        <v>57.252299999999998</v>
      </c>
      <c r="M166" s="6">
        <v>100.1123</v>
      </c>
      <c r="N166" s="8">
        <v>1.74711213790652</v>
      </c>
      <c r="O166" s="8">
        <v>1.7441031794745401</v>
      </c>
      <c r="P166" s="8">
        <v>1.74448509417815</v>
      </c>
      <c r="Q166" s="8">
        <v>1.7448327043613701</v>
      </c>
      <c r="R166" s="6">
        <v>98.140685909032399</v>
      </c>
      <c r="S166" s="6">
        <v>98.151930518019398</v>
      </c>
      <c r="T166" s="6">
        <v>98.176547790423598</v>
      </c>
      <c r="U166" s="7">
        <v>-1.72373165415038E-3</v>
      </c>
      <c r="V166" s="7">
        <v>-1.6091617920336199E-3</v>
      </c>
      <c r="W166" s="7">
        <v>-1.3583854121083699E-3</v>
      </c>
      <c r="X166" s="8">
        <v>1.7486162127984299</v>
      </c>
      <c r="Y166" s="8">
        <v>1.7448470922733199</v>
      </c>
      <c r="Z166" s="8">
        <v>1.74602757383581</v>
      </c>
      <c r="AA166" s="8">
        <v>1.74636637169778</v>
      </c>
      <c r="AB166" s="6">
        <v>99.896509180959796</v>
      </c>
      <c r="AC166" s="6">
        <v>99.953766601773594</v>
      </c>
      <c r="AD166" s="6">
        <v>99.977718025024998</v>
      </c>
      <c r="AE166" s="7">
        <v>-2.1578139848296499E-3</v>
      </c>
      <c r="AF166" s="7">
        <v>-1.58481079875736E-3</v>
      </c>
      <c r="AG166" s="7">
        <v>-1.3452144849431401E-3</v>
      </c>
      <c r="BB166" s="12">
        <f t="shared" si="46"/>
        <v>1</v>
      </c>
      <c r="BC166" s="12">
        <f t="shared" si="47"/>
        <v>0</v>
      </c>
      <c r="BD166" s="12">
        <f t="shared" si="48"/>
        <v>0</v>
      </c>
      <c r="BE166" s="12">
        <f t="shared" si="44"/>
        <v>1</v>
      </c>
      <c r="BF166" s="12">
        <f t="shared" si="49"/>
        <v>0</v>
      </c>
      <c r="BG166" s="23">
        <f t="shared" si="50"/>
        <v>0</v>
      </c>
      <c r="BH166" s="23">
        <f t="shared" si="51"/>
        <v>0</v>
      </c>
      <c r="BI166" s="23">
        <f t="shared" si="52"/>
        <v>0</v>
      </c>
      <c r="BJ166" s="18">
        <f t="shared" si="53"/>
        <v>3.6917955002165113E-3</v>
      </c>
      <c r="BL166" s="23"/>
      <c r="BN166" s="12">
        <f t="shared" si="54"/>
        <v>0</v>
      </c>
      <c r="BO166" s="12">
        <f t="shared" si="55"/>
        <v>1</v>
      </c>
      <c r="BP166" s="12">
        <f t="shared" si="56"/>
        <v>0</v>
      </c>
      <c r="BQ166" s="12">
        <f t="shared" si="45"/>
        <v>1</v>
      </c>
      <c r="BR166" s="12">
        <f t="shared" si="57"/>
        <v>0</v>
      </c>
      <c r="BS166" s="23">
        <f t="shared" si="58"/>
        <v>0</v>
      </c>
      <c r="BT166" s="23">
        <f t="shared" si="59"/>
        <v>0</v>
      </c>
      <c r="BU166" s="23">
        <f t="shared" si="60"/>
        <v>0</v>
      </c>
      <c r="BV166" s="18">
        <f t="shared" si="61"/>
        <v>2.6710298438228398E-3</v>
      </c>
      <c r="BX166" s="18">
        <f t="shared" si="62"/>
        <v>0</v>
      </c>
      <c r="BY166" s="18">
        <f t="shared" si="63"/>
        <v>6.3628253440393499E-3</v>
      </c>
    </row>
    <row r="167" spans="1:77" x14ac:dyDescent="0.3">
      <c r="A167" s="1">
        <v>46265</v>
      </c>
      <c r="B167" s="6">
        <v>56.19</v>
      </c>
      <c r="C167" s="6">
        <v>98.13</v>
      </c>
      <c r="D167" s="7">
        <v>-1.42272832108082E-3</v>
      </c>
      <c r="E167" s="7">
        <v>-1.83262116043076E-3</v>
      </c>
      <c r="F167" s="6">
        <v>0</v>
      </c>
      <c r="G167" s="6">
        <v>0.98229999999999895</v>
      </c>
      <c r="H167" s="6">
        <v>0</v>
      </c>
      <c r="I167" s="6">
        <v>1.8023</v>
      </c>
      <c r="J167" s="6">
        <v>0.98229999999999895</v>
      </c>
      <c r="K167" s="6">
        <v>1.8023</v>
      </c>
      <c r="L167" s="6">
        <v>57.1723</v>
      </c>
      <c r="M167" s="6">
        <v>99.932299999999998</v>
      </c>
      <c r="N167" s="8">
        <v>1.7463961558996199</v>
      </c>
      <c r="O167" s="8">
        <v>1.7441031794745401</v>
      </c>
      <c r="P167" s="8">
        <v>1.74463221197464</v>
      </c>
      <c r="Q167" s="8">
        <v>1.74482769399066</v>
      </c>
      <c r="R167" s="6">
        <v>98.001157654674401</v>
      </c>
      <c r="S167" s="6">
        <v>98.022617441870395</v>
      </c>
      <c r="T167" s="6">
        <v>98.042149658065497</v>
      </c>
      <c r="U167" s="7">
        <v>-1.3138388148004601E-3</v>
      </c>
      <c r="V167" s="7">
        <v>-1.0948879526290001E-3</v>
      </c>
      <c r="W167" s="7">
        <v>-8.95645462011623E-4</v>
      </c>
      <c r="X167" s="8">
        <v>1.7479146369832901</v>
      </c>
      <c r="Y167" s="8">
        <v>1.7448470922733199</v>
      </c>
      <c r="Z167" s="8">
        <v>1.74617339611431</v>
      </c>
      <c r="AA167" s="8">
        <v>1.7463616854294499</v>
      </c>
      <c r="AB167" s="6">
        <v>99.756921413577899</v>
      </c>
      <c r="AC167" s="6">
        <v>99.824412259613297</v>
      </c>
      <c r="AD167" s="6">
        <v>99.843782112617205</v>
      </c>
      <c r="AE167" s="7">
        <v>-1.75651575255322E-3</v>
      </c>
      <c r="AF167" s="7">
        <v>-1.0801914955112001E-3</v>
      </c>
      <c r="AG167" s="7">
        <v>-8.8617107953510403E-4</v>
      </c>
      <c r="BB167" s="12">
        <f t="shared" si="46"/>
        <v>0</v>
      </c>
      <c r="BC167" s="12">
        <f t="shared" si="47"/>
        <v>0</v>
      </c>
      <c r="BD167" s="12">
        <f t="shared" si="48"/>
        <v>1</v>
      </c>
      <c r="BE167" s="12">
        <f t="shared" si="44"/>
        <v>1</v>
      </c>
      <c r="BF167" s="12">
        <f t="shared" si="49"/>
        <v>1</v>
      </c>
      <c r="BG167" s="23">
        <f t="shared" si="50"/>
        <v>-1.42272832108082E-3</v>
      </c>
      <c r="BH167" s="23">
        <f t="shared" si="51"/>
        <v>1.83262116043076E-3</v>
      </c>
      <c r="BI167" s="23">
        <f t="shared" si="52"/>
        <v>4.0989283934994005E-4</v>
      </c>
      <c r="BJ167" s="18">
        <f t="shared" si="53"/>
        <v>4.1016883395664514E-3</v>
      </c>
      <c r="BL167" s="23"/>
      <c r="BN167" s="12">
        <f t="shared" si="54"/>
        <v>0</v>
      </c>
      <c r="BO167" s="12">
        <f t="shared" si="55"/>
        <v>1</v>
      </c>
      <c r="BP167" s="12">
        <f t="shared" si="56"/>
        <v>0</v>
      </c>
      <c r="BQ167" s="12">
        <f t="shared" si="45"/>
        <v>1</v>
      </c>
      <c r="BR167" s="12">
        <f t="shared" si="57"/>
        <v>0</v>
      </c>
      <c r="BS167" s="23">
        <f t="shared" si="58"/>
        <v>0</v>
      </c>
      <c r="BT167" s="23">
        <f t="shared" si="59"/>
        <v>0</v>
      </c>
      <c r="BU167" s="23">
        <f t="shared" si="60"/>
        <v>0</v>
      </c>
      <c r="BV167" s="18">
        <f t="shared" si="61"/>
        <v>2.6710298438228398E-3</v>
      </c>
      <c r="BX167" s="18">
        <f t="shared" si="62"/>
        <v>4.0989283934994005E-4</v>
      </c>
      <c r="BY167" s="18">
        <f t="shared" si="63"/>
        <v>6.7727181833892904E-3</v>
      </c>
    </row>
  </sheetData>
  <conditionalFormatting sqref="CM4:CT11">
    <cfRule type="top10" dxfId="2" priority="3" rank="3"/>
  </conditionalFormatting>
  <conditionalFormatting sqref="CM15:CT22">
    <cfRule type="top10" dxfId="1" priority="2" rank="3"/>
  </conditionalFormatting>
  <conditionalFormatting sqref="CM26:CT33">
    <cfRule type="top10" dxfId="0" priority="1" rank="3"/>
  </conditionalFormatting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CMF_VTEC_2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Michael Hyland</cp:lastModifiedBy>
  <dcterms:created xsi:type="dcterms:W3CDTF">2026-09-03T20:52:47Z</dcterms:created>
  <dcterms:modified xsi:type="dcterms:W3CDTF">2026-09-04T17:04:30Z</dcterms:modified>
</cp:coreProperties>
</file>