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D74426FC-AFC3-48DB-814E-2477140ADCD0}" xr6:coauthVersionLast="47" xr6:coauthVersionMax="47" xr10:uidLastSave="{00000000-0000-0000-0000-000000000000}"/>
  <bookViews>
    <workbookView xWindow="-108" yWindow="-108" windowWidth="23256" windowHeight="12456" xr2:uid="{623DFBCA-99D8-445D-9213-8CEE5F863FD9}"/>
  </bookViews>
  <sheets>
    <sheet name="IYH_XLV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157" i="1" l="1"/>
  <c r="BC157" i="1"/>
  <c r="BE157" i="1"/>
  <c r="BN157" i="1"/>
  <c r="BO157" i="1"/>
  <c r="BQ157" i="1"/>
  <c r="BB158" i="1"/>
  <c r="BC158" i="1"/>
  <c r="BE158" i="1"/>
  <c r="BF159" i="1" s="1"/>
  <c r="BN158" i="1"/>
  <c r="BO158" i="1"/>
  <c r="BQ158" i="1"/>
  <c r="BB159" i="1"/>
  <c r="BC159" i="1"/>
  <c r="BE159" i="1"/>
  <c r="BN159" i="1"/>
  <c r="BR160" i="1" s="1"/>
  <c r="BP160" i="1" s="1"/>
  <c r="BO159" i="1"/>
  <c r="BQ159" i="1"/>
  <c r="BB160" i="1"/>
  <c r="BC160" i="1"/>
  <c r="BE160" i="1"/>
  <c r="BF161" i="1" s="1"/>
  <c r="BN160" i="1"/>
  <c r="BR161" i="1" s="1"/>
  <c r="BO160" i="1"/>
  <c r="BQ160" i="1"/>
  <c r="BB161" i="1"/>
  <c r="BC161" i="1"/>
  <c r="BE161" i="1"/>
  <c r="BN161" i="1"/>
  <c r="BR162" i="1" s="1"/>
  <c r="BP162" i="1" s="1"/>
  <c r="BO161" i="1"/>
  <c r="BQ161" i="1"/>
  <c r="BB162" i="1"/>
  <c r="BF163" i="1" s="1"/>
  <c r="BC162" i="1"/>
  <c r="BE162" i="1"/>
  <c r="BN162" i="1"/>
  <c r="BO162" i="1"/>
  <c r="BQ162" i="1"/>
  <c r="BB163" i="1"/>
  <c r="BC163" i="1"/>
  <c r="BE163" i="1"/>
  <c r="BN163" i="1"/>
  <c r="BR164" i="1" s="1"/>
  <c r="BO163" i="1"/>
  <c r="BQ163" i="1"/>
  <c r="BB164" i="1"/>
  <c r="BC164" i="1"/>
  <c r="BE164" i="1"/>
  <c r="BN164" i="1"/>
  <c r="BO164" i="1"/>
  <c r="BQ164" i="1"/>
  <c r="BB165" i="1"/>
  <c r="BC165" i="1"/>
  <c r="BE165" i="1"/>
  <c r="BN165" i="1"/>
  <c r="BR166" i="1" s="1"/>
  <c r="BO165" i="1"/>
  <c r="BQ165" i="1"/>
  <c r="BB166" i="1"/>
  <c r="BC166" i="1"/>
  <c r="BE166" i="1"/>
  <c r="BF166" i="1"/>
  <c r="BD166" i="1" s="1"/>
  <c r="BN166" i="1"/>
  <c r="BO166" i="1"/>
  <c r="BQ166" i="1"/>
  <c r="BB167" i="1"/>
  <c r="BC167" i="1"/>
  <c r="BE167" i="1"/>
  <c r="BN167" i="1"/>
  <c r="BO167" i="1"/>
  <c r="BQ167" i="1"/>
  <c r="BH161" i="1" l="1"/>
  <c r="BG161" i="1"/>
  <c r="BI161" i="1" s="1"/>
  <c r="BP164" i="1"/>
  <c r="BS164" i="1"/>
  <c r="BT164" i="1"/>
  <c r="BG159" i="1"/>
  <c r="BD159" i="1"/>
  <c r="BD163" i="1"/>
  <c r="BG163" i="1"/>
  <c r="BH163" i="1"/>
  <c r="BF160" i="1"/>
  <c r="BD160" i="1" s="1"/>
  <c r="BR159" i="1"/>
  <c r="BP159" i="1" s="1"/>
  <c r="BP166" i="1"/>
  <c r="BR167" i="1" s="1"/>
  <c r="BS166" i="1"/>
  <c r="BT166" i="1"/>
  <c r="BR158" i="1"/>
  <c r="BF167" i="1"/>
  <c r="BR163" i="1"/>
  <c r="BD161" i="1"/>
  <c r="BF162" i="1"/>
  <c r="BR165" i="1"/>
  <c r="BS160" i="1"/>
  <c r="BT160" i="1"/>
  <c r="BP161" i="1"/>
  <c r="BS161" i="1"/>
  <c r="BI159" i="1"/>
  <c r="BT161" i="1"/>
  <c r="BF165" i="1"/>
  <c r="BF164" i="1"/>
  <c r="BG166" i="1"/>
  <c r="BH166" i="1"/>
  <c r="BS162" i="1"/>
  <c r="BT162" i="1"/>
  <c r="BF158" i="1"/>
  <c r="BH159" i="1"/>
  <c r="BH160" i="1" l="1"/>
  <c r="BU164" i="1"/>
  <c r="BI163" i="1"/>
  <c r="BG160" i="1"/>
  <c r="BT159" i="1"/>
  <c r="BS159" i="1"/>
  <c r="BG164" i="1"/>
  <c r="BH164" i="1"/>
  <c r="BD164" i="1"/>
  <c r="BD165" i="1"/>
  <c r="BG165" i="1"/>
  <c r="BH165" i="1"/>
  <c r="BD167" i="1"/>
  <c r="BG167" i="1"/>
  <c r="BH167" i="1"/>
  <c r="BS167" i="1"/>
  <c r="BT167" i="1"/>
  <c r="BP167" i="1"/>
  <c r="BP158" i="1"/>
  <c r="BS158" i="1"/>
  <c r="BT158" i="1"/>
  <c r="BI160" i="1"/>
  <c r="BU161" i="1"/>
  <c r="BX161" i="1" s="1"/>
  <c r="BU159" i="1"/>
  <c r="BX159" i="1" s="1"/>
  <c r="BD158" i="1"/>
  <c r="BG158" i="1"/>
  <c r="BH158" i="1"/>
  <c r="BU160" i="1"/>
  <c r="BP165" i="1"/>
  <c r="BS165" i="1"/>
  <c r="BT165" i="1"/>
  <c r="BU162" i="1"/>
  <c r="BU166" i="1"/>
  <c r="BD162" i="1"/>
  <c r="BG162" i="1"/>
  <c r="BH162" i="1"/>
  <c r="BI166" i="1"/>
  <c r="BX166" i="1" s="1"/>
  <c r="BP163" i="1"/>
  <c r="BS163" i="1"/>
  <c r="BT163" i="1"/>
  <c r="BU158" i="1" l="1"/>
  <c r="BU165" i="1"/>
  <c r="BU167" i="1"/>
  <c r="BU163" i="1"/>
  <c r="BX163" i="1" s="1"/>
  <c r="BI167" i="1"/>
  <c r="BI158" i="1"/>
  <c r="BI165" i="1"/>
  <c r="BI162" i="1"/>
  <c r="BX162" i="1" s="1"/>
  <c r="BX160" i="1"/>
  <c r="BI164" i="1"/>
  <c r="BX164" i="1" s="1"/>
  <c r="BX165" i="1" l="1"/>
  <c r="BX158" i="1"/>
  <c r="BX167" i="1"/>
  <c r="BQ156" i="1" l="1"/>
  <c r="BO156" i="1"/>
  <c r="BN156" i="1"/>
  <c r="BR157" i="1" s="1"/>
  <c r="BE156" i="1"/>
  <c r="BC156" i="1"/>
  <c r="BB156" i="1"/>
  <c r="BF157" i="1" s="1"/>
  <c r="BR155" i="1"/>
  <c r="BS155" i="1" s="1"/>
  <c r="BQ155" i="1"/>
  <c r="BP155" i="1"/>
  <c r="BO155" i="1"/>
  <c r="BN155" i="1"/>
  <c r="BE155" i="1"/>
  <c r="BC155" i="1"/>
  <c r="BB155" i="1"/>
  <c r="BQ154" i="1"/>
  <c r="BO154" i="1"/>
  <c r="BN154" i="1"/>
  <c r="BE154" i="1"/>
  <c r="BC154" i="1"/>
  <c r="BB154" i="1"/>
  <c r="BR153" i="1"/>
  <c r="BP153" i="1" s="1"/>
  <c r="BQ153" i="1"/>
  <c r="BO153" i="1"/>
  <c r="BN153" i="1"/>
  <c r="BR154" i="1" s="1"/>
  <c r="BE153" i="1"/>
  <c r="BC153" i="1"/>
  <c r="BB153" i="1"/>
  <c r="BQ152" i="1"/>
  <c r="BO152" i="1"/>
  <c r="BN152" i="1"/>
  <c r="BE152" i="1"/>
  <c r="BC152" i="1"/>
  <c r="BB152" i="1"/>
  <c r="BQ151" i="1"/>
  <c r="BO151" i="1"/>
  <c r="BN151" i="1"/>
  <c r="BR152" i="1" s="1"/>
  <c r="BP152" i="1" s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R150" i="1" s="1"/>
  <c r="BE149" i="1"/>
  <c r="BC149" i="1"/>
  <c r="BB149" i="1"/>
  <c r="BQ148" i="1"/>
  <c r="BO148" i="1"/>
  <c r="BN148" i="1"/>
  <c r="BR149" i="1" s="1"/>
  <c r="BE148" i="1"/>
  <c r="BC148" i="1"/>
  <c r="BB148" i="1"/>
  <c r="BQ147" i="1"/>
  <c r="BO147" i="1"/>
  <c r="BN147" i="1"/>
  <c r="BF147" i="1"/>
  <c r="BE147" i="1"/>
  <c r="BF148" i="1" s="1"/>
  <c r="BD148" i="1" s="1"/>
  <c r="BF149" i="1" s="1"/>
  <c r="BC147" i="1"/>
  <c r="BB147" i="1"/>
  <c r="BQ146" i="1"/>
  <c r="BO146" i="1"/>
  <c r="BN146" i="1"/>
  <c r="BR147" i="1" s="1"/>
  <c r="BE146" i="1"/>
  <c r="BC146" i="1"/>
  <c r="BB146" i="1"/>
  <c r="BQ145" i="1"/>
  <c r="BO145" i="1"/>
  <c r="BN145" i="1"/>
  <c r="BG145" i="1"/>
  <c r="BI145" i="1" s="1"/>
  <c r="BE145" i="1"/>
  <c r="BF146" i="1" s="1"/>
  <c r="BD145" i="1"/>
  <c r="BC145" i="1"/>
  <c r="BB145" i="1"/>
  <c r="BQ144" i="1"/>
  <c r="BO144" i="1"/>
  <c r="BN144" i="1"/>
  <c r="BF144" i="1"/>
  <c r="BE144" i="1"/>
  <c r="BC144" i="1"/>
  <c r="BB144" i="1"/>
  <c r="BF145" i="1" s="1"/>
  <c r="BH145" i="1" s="1"/>
  <c r="BQ143" i="1"/>
  <c r="BO143" i="1"/>
  <c r="BN143" i="1"/>
  <c r="BE143" i="1"/>
  <c r="BC143" i="1"/>
  <c r="BB143" i="1"/>
  <c r="BQ142" i="1"/>
  <c r="BO142" i="1"/>
  <c r="BN142" i="1"/>
  <c r="BR143" i="1" s="1"/>
  <c r="BE142" i="1"/>
  <c r="BD142" i="1"/>
  <c r="BC142" i="1"/>
  <c r="BB142" i="1"/>
  <c r="BF143" i="1" s="1"/>
  <c r="BH143" i="1" s="1"/>
  <c r="BR141" i="1"/>
  <c r="BP141" i="1" s="1"/>
  <c r="BQ141" i="1"/>
  <c r="BR142" i="1" s="1"/>
  <c r="BO141" i="1"/>
  <c r="BN141" i="1"/>
  <c r="BE141" i="1"/>
  <c r="BC141" i="1"/>
  <c r="BB141" i="1"/>
  <c r="BF142" i="1" s="1"/>
  <c r="BG142" i="1" s="1"/>
  <c r="BQ140" i="1"/>
  <c r="BO140" i="1"/>
  <c r="BN140" i="1"/>
  <c r="BF140" i="1"/>
  <c r="BD140" i="1" s="1"/>
  <c r="BE140" i="1"/>
  <c r="BC140" i="1"/>
  <c r="BB140" i="1"/>
  <c r="BF141" i="1" s="1"/>
  <c r="BD141" i="1" s="1"/>
  <c r="BQ139" i="1"/>
  <c r="BO139" i="1"/>
  <c r="BN139" i="1"/>
  <c r="BR140" i="1" s="1"/>
  <c r="BE139" i="1"/>
  <c r="BC139" i="1"/>
  <c r="BB139" i="1"/>
  <c r="BQ138" i="1"/>
  <c r="BO138" i="1"/>
  <c r="BN138" i="1"/>
  <c r="BF138" i="1"/>
  <c r="BE138" i="1"/>
  <c r="BF139" i="1" s="1"/>
  <c r="BC138" i="1"/>
  <c r="BB138" i="1"/>
  <c r="BQ137" i="1"/>
  <c r="BO137" i="1"/>
  <c r="BN137" i="1"/>
  <c r="BE137" i="1"/>
  <c r="BC137" i="1"/>
  <c r="BB137" i="1"/>
  <c r="BQ136" i="1"/>
  <c r="BO136" i="1"/>
  <c r="BN136" i="1"/>
  <c r="BR137" i="1" s="1"/>
  <c r="BT137" i="1" s="1"/>
  <c r="BF136" i="1"/>
  <c r="BE136" i="1"/>
  <c r="BC136" i="1"/>
  <c r="BB136" i="1"/>
  <c r="BQ135" i="1"/>
  <c r="BO135" i="1"/>
  <c r="BN135" i="1"/>
  <c r="BR136" i="1" s="1"/>
  <c r="BE135" i="1"/>
  <c r="BC135" i="1"/>
  <c r="BB135" i="1"/>
  <c r="BQ134" i="1"/>
  <c r="BO134" i="1"/>
  <c r="BN134" i="1"/>
  <c r="BE134" i="1"/>
  <c r="BC134" i="1"/>
  <c r="BB134" i="1"/>
  <c r="BF135" i="1" s="1"/>
  <c r="BG135" i="1" s="1"/>
  <c r="BQ133" i="1"/>
  <c r="BO133" i="1"/>
  <c r="BN133" i="1"/>
  <c r="BE133" i="1"/>
  <c r="BC133" i="1"/>
  <c r="BB133" i="1"/>
  <c r="BQ132" i="1"/>
  <c r="BO132" i="1"/>
  <c r="BN132" i="1"/>
  <c r="BR133" i="1" s="1"/>
  <c r="BE132" i="1"/>
  <c r="BC132" i="1"/>
  <c r="BB132" i="1"/>
  <c r="BQ131" i="1"/>
  <c r="BO131" i="1"/>
  <c r="BN131" i="1"/>
  <c r="BE131" i="1"/>
  <c r="BC131" i="1"/>
  <c r="BB131" i="1"/>
  <c r="BF132" i="1" s="1"/>
  <c r="BQ130" i="1"/>
  <c r="BO130" i="1"/>
  <c r="BN130" i="1"/>
  <c r="BR131" i="1" s="1"/>
  <c r="BE130" i="1"/>
  <c r="BC130" i="1"/>
  <c r="BB130" i="1"/>
  <c r="BQ129" i="1"/>
  <c r="BO129" i="1"/>
  <c r="BN129" i="1"/>
  <c r="BE129" i="1"/>
  <c r="BC129" i="1"/>
  <c r="BB129" i="1"/>
  <c r="BF130" i="1" s="1"/>
  <c r="BQ128" i="1"/>
  <c r="BO128" i="1"/>
  <c r="BN128" i="1"/>
  <c r="BR129" i="1" s="1"/>
  <c r="BT129" i="1" s="1"/>
  <c r="BE128" i="1"/>
  <c r="BF129" i="1" s="1"/>
  <c r="BC128" i="1"/>
  <c r="BB128" i="1"/>
  <c r="BQ127" i="1"/>
  <c r="BO127" i="1"/>
  <c r="BN127" i="1"/>
  <c r="BE127" i="1"/>
  <c r="BC127" i="1"/>
  <c r="BB127" i="1"/>
  <c r="BF128" i="1" s="1"/>
  <c r="BQ126" i="1"/>
  <c r="BO126" i="1"/>
  <c r="BN126" i="1"/>
  <c r="BR127" i="1" s="1"/>
  <c r="BE126" i="1"/>
  <c r="BC126" i="1"/>
  <c r="BB126" i="1"/>
  <c r="BQ125" i="1"/>
  <c r="BO125" i="1"/>
  <c r="BN125" i="1"/>
  <c r="BR126" i="1" s="1"/>
  <c r="BE125" i="1"/>
  <c r="BC125" i="1"/>
  <c r="BB125" i="1"/>
  <c r="BF126" i="1" s="1"/>
  <c r="BQ124" i="1"/>
  <c r="BR125" i="1" s="1"/>
  <c r="BO124" i="1"/>
  <c r="BN124" i="1"/>
  <c r="BE124" i="1"/>
  <c r="BF125" i="1" s="1"/>
  <c r="BC124" i="1"/>
  <c r="BB124" i="1"/>
  <c r="BQ123" i="1"/>
  <c r="BO123" i="1"/>
  <c r="BN123" i="1"/>
  <c r="BR124" i="1" s="1"/>
  <c r="BE123" i="1"/>
  <c r="BC123" i="1"/>
  <c r="BB123" i="1"/>
  <c r="BQ122" i="1"/>
  <c r="BP122" i="1"/>
  <c r="BO122" i="1"/>
  <c r="BN122" i="1"/>
  <c r="BE122" i="1"/>
  <c r="BC122" i="1"/>
  <c r="BB122" i="1"/>
  <c r="BF123" i="1" s="1"/>
  <c r="BQ121" i="1"/>
  <c r="BO121" i="1"/>
  <c r="BN121" i="1"/>
  <c r="BR122" i="1" s="1"/>
  <c r="BF121" i="1"/>
  <c r="BD121" i="1" s="1"/>
  <c r="BE121" i="1"/>
  <c r="BC121" i="1"/>
  <c r="BB121" i="1"/>
  <c r="BF122" i="1" s="1"/>
  <c r="BG122" i="1" s="1"/>
  <c r="BQ120" i="1"/>
  <c r="BO120" i="1"/>
  <c r="BN120" i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S116" i="1"/>
  <c r="BU116" i="1" s="1"/>
  <c r="BQ116" i="1"/>
  <c r="BO116" i="1"/>
  <c r="BN116" i="1"/>
  <c r="BE116" i="1"/>
  <c r="BC116" i="1"/>
  <c r="BB116" i="1"/>
  <c r="BQ115" i="1"/>
  <c r="BO115" i="1"/>
  <c r="BN115" i="1"/>
  <c r="BR116" i="1" s="1"/>
  <c r="BT116" i="1" s="1"/>
  <c r="BF115" i="1"/>
  <c r="BE115" i="1"/>
  <c r="BC115" i="1"/>
  <c r="BB115" i="1"/>
  <c r="BF116" i="1" s="1"/>
  <c r="BQ114" i="1"/>
  <c r="BO114" i="1"/>
  <c r="BN114" i="1"/>
  <c r="BR115" i="1" s="1"/>
  <c r="BT115" i="1" s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R113" i="1" s="1"/>
  <c r="BP113" i="1" s="1"/>
  <c r="BE112" i="1"/>
  <c r="BC112" i="1"/>
  <c r="BB112" i="1"/>
  <c r="BF113" i="1" s="1"/>
  <c r="BR111" i="1"/>
  <c r="BT111" i="1" s="1"/>
  <c r="BQ111" i="1"/>
  <c r="BP111" i="1"/>
  <c r="BO111" i="1"/>
  <c r="BN111" i="1"/>
  <c r="BR112" i="1" s="1"/>
  <c r="BE111" i="1"/>
  <c r="BC111" i="1"/>
  <c r="BB111" i="1"/>
  <c r="BQ110" i="1"/>
  <c r="BO110" i="1"/>
  <c r="BN110" i="1"/>
  <c r="BE110" i="1"/>
  <c r="BC110" i="1"/>
  <c r="BB110" i="1"/>
  <c r="BF111" i="1" s="1"/>
  <c r="BQ109" i="1"/>
  <c r="BP109" i="1"/>
  <c r="BO109" i="1"/>
  <c r="BN109" i="1"/>
  <c r="BR110" i="1" s="1"/>
  <c r="BS110" i="1" s="1"/>
  <c r="BE109" i="1"/>
  <c r="BC109" i="1"/>
  <c r="BB109" i="1"/>
  <c r="BF110" i="1" s="1"/>
  <c r="BQ108" i="1"/>
  <c r="BO108" i="1"/>
  <c r="BN108" i="1"/>
  <c r="BR109" i="1" s="1"/>
  <c r="BE108" i="1"/>
  <c r="BC108" i="1"/>
  <c r="BB108" i="1"/>
  <c r="BF109" i="1" s="1"/>
  <c r="BQ107" i="1"/>
  <c r="BO107" i="1"/>
  <c r="BN107" i="1"/>
  <c r="BE107" i="1"/>
  <c r="BC107" i="1"/>
  <c r="BB107" i="1"/>
  <c r="BQ106" i="1"/>
  <c r="BO106" i="1"/>
  <c r="BN106" i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F105" i="1" s="1"/>
  <c r="BC104" i="1"/>
  <c r="BB104" i="1"/>
  <c r="BQ103" i="1"/>
  <c r="BO103" i="1"/>
  <c r="BN103" i="1"/>
  <c r="BE103" i="1"/>
  <c r="BC103" i="1"/>
  <c r="BB103" i="1"/>
  <c r="BQ102" i="1"/>
  <c r="BO102" i="1"/>
  <c r="BN102" i="1"/>
  <c r="BE102" i="1"/>
  <c r="BC102" i="1"/>
  <c r="BB102" i="1"/>
  <c r="BQ101" i="1"/>
  <c r="BO101" i="1"/>
  <c r="BN101" i="1"/>
  <c r="BE101" i="1"/>
  <c r="BC101" i="1"/>
  <c r="BB101" i="1"/>
  <c r="BF102" i="1" s="1"/>
  <c r="BH102" i="1" s="1"/>
  <c r="BQ100" i="1"/>
  <c r="BO100" i="1"/>
  <c r="BN100" i="1"/>
  <c r="BE100" i="1"/>
  <c r="BC100" i="1"/>
  <c r="BB100" i="1"/>
  <c r="BF101" i="1" s="1"/>
  <c r="BQ99" i="1"/>
  <c r="BO99" i="1"/>
  <c r="BN99" i="1"/>
  <c r="BR100" i="1" s="1"/>
  <c r="BE99" i="1"/>
  <c r="BC99" i="1"/>
  <c r="BB99" i="1"/>
  <c r="BQ98" i="1"/>
  <c r="BO98" i="1"/>
  <c r="BN98" i="1"/>
  <c r="BE98" i="1"/>
  <c r="BC98" i="1"/>
  <c r="BB98" i="1"/>
  <c r="BR97" i="1"/>
  <c r="BQ97" i="1"/>
  <c r="BO97" i="1"/>
  <c r="BN97" i="1"/>
  <c r="BE97" i="1"/>
  <c r="BC97" i="1"/>
  <c r="BB97" i="1"/>
  <c r="BF98" i="1" s="1"/>
  <c r="BQ96" i="1"/>
  <c r="BO96" i="1"/>
  <c r="BN96" i="1"/>
  <c r="BE96" i="1"/>
  <c r="BC96" i="1"/>
  <c r="BB96" i="1"/>
  <c r="BF97" i="1" s="1"/>
  <c r="BQ95" i="1"/>
  <c r="BO95" i="1"/>
  <c r="BR96" i="1" s="1"/>
  <c r="BP96" i="1" s="1"/>
  <c r="BN95" i="1"/>
  <c r="BE95" i="1"/>
  <c r="BC95" i="1"/>
  <c r="BB95" i="1"/>
  <c r="BF96" i="1" s="1"/>
  <c r="BD96" i="1" s="1"/>
  <c r="BQ94" i="1"/>
  <c r="BO94" i="1"/>
  <c r="BN94" i="1"/>
  <c r="BE94" i="1"/>
  <c r="BC94" i="1"/>
  <c r="BB94" i="1"/>
  <c r="BF95" i="1" s="1"/>
  <c r="BD95" i="1" s="1"/>
  <c r="BQ93" i="1"/>
  <c r="BO93" i="1"/>
  <c r="BN93" i="1"/>
  <c r="BR94" i="1" s="1"/>
  <c r="BE93" i="1"/>
  <c r="BC93" i="1"/>
  <c r="BB93" i="1"/>
  <c r="BQ92" i="1"/>
  <c r="BO92" i="1"/>
  <c r="BN92" i="1"/>
  <c r="BE92" i="1"/>
  <c r="BC92" i="1"/>
  <c r="BB92" i="1"/>
  <c r="BQ91" i="1"/>
  <c r="BO91" i="1"/>
  <c r="BN91" i="1"/>
  <c r="BE91" i="1"/>
  <c r="BF92" i="1" s="1"/>
  <c r="BH92" i="1" s="1"/>
  <c r="BC91" i="1"/>
  <c r="BB91" i="1"/>
  <c r="BQ90" i="1"/>
  <c r="BO90" i="1"/>
  <c r="BN90" i="1"/>
  <c r="BE90" i="1"/>
  <c r="BC90" i="1"/>
  <c r="BB90" i="1"/>
  <c r="BF91" i="1" s="1"/>
  <c r="BQ89" i="1"/>
  <c r="BO89" i="1"/>
  <c r="BN89" i="1"/>
  <c r="BF89" i="1"/>
  <c r="BD89" i="1" s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F87" i="1"/>
  <c r="BE87" i="1"/>
  <c r="BC87" i="1"/>
  <c r="BB87" i="1"/>
  <c r="BQ86" i="1"/>
  <c r="BO86" i="1"/>
  <c r="BN86" i="1"/>
  <c r="BE86" i="1"/>
  <c r="BC86" i="1"/>
  <c r="BB86" i="1"/>
  <c r="BQ85" i="1"/>
  <c r="BO85" i="1"/>
  <c r="BN85" i="1"/>
  <c r="BE85" i="1"/>
  <c r="BC85" i="1"/>
  <c r="BB85" i="1"/>
  <c r="BF86" i="1" s="1"/>
  <c r="BQ84" i="1"/>
  <c r="BO84" i="1"/>
  <c r="BN84" i="1"/>
  <c r="BE84" i="1"/>
  <c r="BC84" i="1"/>
  <c r="BB84" i="1"/>
  <c r="BF85" i="1" s="1"/>
  <c r="BQ83" i="1"/>
  <c r="BO83" i="1"/>
  <c r="BN83" i="1"/>
  <c r="BR84" i="1" s="1"/>
  <c r="BS84" i="1" s="1"/>
  <c r="BE83" i="1"/>
  <c r="BC83" i="1"/>
  <c r="BB83" i="1"/>
  <c r="BQ82" i="1"/>
  <c r="BR83" i="1" s="1"/>
  <c r="BO82" i="1"/>
  <c r="BN82" i="1"/>
  <c r="BE82" i="1"/>
  <c r="BC82" i="1"/>
  <c r="BB82" i="1"/>
  <c r="BQ81" i="1"/>
  <c r="BO81" i="1"/>
  <c r="BN81" i="1"/>
  <c r="BE81" i="1"/>
  <c r="BC81" i="1"/>
  <c r="BB81" i="1"/>
  <c r="BF82" i="1" s="1"/>
  <c r="BQ80" i="1"/>
  <c r="BO80" i="1"/>
  <c r="BN80" i="1"/>
  <c r="BE80" i="1"/>
  <c r="BC80" i="1"/>
  <c r="BB80" i="1"/>
  <c r="BF81" i="1" s="1"/>
  <c r="BQ79" i="1"/>
  <c r="BO79" i="1"/>
  <c r="BN79" i="1"/>
  <c r="BE79" i="1"/>
  <c r="BC79" i="1"/>
  <c r="BB79" i="1"/>
  <c r="BQ78" i="1"/>
  <c r="BO78" i="1"/>
  <c r="BN78" i="1"/>
  <c r="BR79" i="1" s="1"/>
  <c r="BP79" i="1" s="1"/>
  <c r="BE78" i="1"/>
  <c r="BC78" i="1"/>
  <c r="BB78" i="1"/>
  <c r="BT77" i="1"/>
  <c r="BQ77" i="1"/>
  <c r="BR78" i="1" s="1"/>
  <c r="BS78" i="1" s="1"/>
  <c r="BP77" i="1"/>
  <c r="BO77" i="1"/>
  <c r="BN77" i="1"/>
  <c r="BE77" i="1"/>
  <c r="BC77" i="1"/>
  <c r="BB77" i="1"/>
  <c r="BQ76" i="1"/>
  <c r="BR77" i="1" s="1"/>
  <c r="BS77" i="1" s="1"/>
  <c r="BO76" i="1"/>
  <c r="BN76" i="1"/>
  <c r="BE76" i="1"/>
  <c r="BC76" i="1"/>
  <c r="BB76" i="1"/>
  <c r="BF77" i="1" s="1"/>
  <c r="BQ75" i="1"/>
  <c r="BO75" i="1"/>
  <c r="BN75" i="1"/>
  <c r="BE75" i="1"/>
  <c r="BC75" i="1"/>
  <c r="BB75" i="1"/>
  <c r="BF76" i="1" s="1"/>
  <c r="BD76" i="1" s="1"/>
  <c r="BQ74" i="1"/>
  <c r="BO74" i="1"/>
  <c r="BN74" i="1"/>
  <c r="BE74" i="1"/>
  <c r="BC74" i="1"/>
  <c r="BB74" i="1"/>
  <c r="BF75" i="1" s="1"/>
  <c r="BQ73" i="1"/>
  <c r="BO73" i="1"/>
  <c r="BN73" i="1"/>
  <c r="BE73" i="1"/>
  <c r="BC73" i="1"/>
  <c r="BB73" i="1"/>
  <c r="BF74" i="1" s="1"/>
  <c r="BH74" i="1" s="1"/>
  <c r="BQ72" i="1"/>
  <c r="BO72" i="1"/>
  <c r="BN72" i="1"/>
  <c r="BE72" i="1"/>
  <c r="BC72" i="1"/>
  <c r="BB72" i="1"/>
  <c r="BQ71" i="1"/>
  <c r="BR72" i="1" s="1"/>
  <c r="BT72" i="1" s="1"/>
  <c r="BO71" i="1"/>
  <c r="BN71" i="1"/>
  <c r="BE71" i="1"/>
  <c r="BC71" i="1"/>
  <c r="BB71" i="1"/>
  <c r="BQ70" i="1"/>
  <c r="BO70" i="1"/>
  <c r="BN70" i="1"/>
  <c r="BE70" i="1"/>
  <c r="BC70" i="1"/>
  <c r="BB70" i="1"/>
  <c r="BF71" i="1" s="1"/>
  <c r="BD71" i="1" s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F69" i="1" s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F67" i="1" s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T63" i="1"/>
  <c r="BS63" i="1"/>
  <c r="BU63" i="1" s="1"/>
  <c r="BQ63" i="1"/>
  <c r="BO63" i="1"/>
  <c r="BN63" i="1"/>
  <c r="BR64" i="1" s="1"/>
  <c r="BE63" i="1"/>
  <c r="BC63" i="1"/>
  <c r="BB63" i="1"/>
  <c r="BQ62" i="1"/>
  <c r="BO62" i="1"/>
  <c r="BN62" i="1"/>
  <c r="BR63" i="1" s="1"/>
  <c r="BP63" i="1" s="1"/>
  <c r="BE62" i="1"/>
  <c r="BC62" i="1"/>
  <c r="BB62" i="1"/>
  <c r="BF63" i="1" s="1"/>
  <c r="BT61" i="1"/>
  <c r="BQ61" i="1"/>
  <c r="BO61" i="1"/>
  <c r="BN61" i="1"/>
  <c r="BR62" i="1" s="1"/>
  <c r="BP62" i="1" s="1"/>
  <c r="BE61" i="1"/>
  <c r="BC61" i="1"/>
  <c r="BB61" i="1"/>
  <c r="BQ60" i="1"/>
  <c r="BO60" i="1"/>
  <c r="BN60" i="1"/>
  <c r="BR61" i="1" s="1"/>
  <c r="BF60" i="1"/>
  <c r="BE60" i="1"/>
  <c r="BC60" i="1"/>
  <c r="BB60" i="1"/>
  <c r="BF61" i="1" s="1"/>
  <c r="BG61" i="1" s="1"/>
  <c r="BQ59" i="1"/>
  <c r="BO59" i="1"/>
  <c r="BN59" i="1"/>
  <c r="BR60" i="1" s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Q56" i="1"/>
  <c r="BO56" i="1"/>
  <c r="BN56" i="1"/>
  <c r="BR57" i="1" s="1"/>
  <c r="BE56" i="1"/>
  <c r="BC56" i="1"/>
  <c r="BB56" i="1"/>
  <c r="BQ55" i="1"/>
  <c r="BO55" i="1"/>
  <c r="BN55" i="1"/>
  <c r="BE55" i="1"/>
  <c r="BC55" i="1"/>
  <c r="BB55" i="1"/>
  <c r="BQ54" i="1"/>
  <c r="BO54" i="1"/>
  <c r="BN54" i="1"/>
  <c r="BR55" i="1" s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Q51" i="1"/>
  <c r="BO51" i="1"/>
  <c r="BN51" i="1"/>
  <c r="BE51" i="1"/>
  <c r="BC51" i="1"/>
  <c r="BB51" i="1"/>
  <c r="BR50" i="1"/>
  <c r="BP50" i="1" s="1"/>
  <c r="BQ50" i="1"/>
  <c r="BO50" i="1"/>
  <c r="BN50" i="1"/>
  <c r="BE50" i="1"/>
  <c r="BC50" i="1"/>
  <c r="BB50" i="1"/>
  <c r="BQ49" i="1"/>
  <c r="BO49" i="1"/>
  <c r="BN49" i="1"/>
  <c r="BE49" i="1"/>
  <c r="BC49" i="1"/>
  <c r="BB49" i="1"/>
  <c r="BQ48" i="1"/>
  <c r="BO48" i="1"/>
  <c r="BN48" i="1"/>
  <c r="BE48" i="1"/>
  <c r="BC48" i="1"/>
  <c r="BB48" i="1"/>
  <c r="BQ47" i="1"/>
  <c r="BO47" i="1"/>
  <c r="BN47" i="1"/>
  <c r="BE47" i="1"/>
  <c r="BC47" i="1"/>
  <c r="BB47" i="1"/>
  <c r="BF48" i="1" s="1"/>
  <c r="BQ46" i="1"/>
  <c r="BO46" i="1"/>
  <c r="BN46" i="1"/>
  <c r="BH46" i="1"/>
  <c r="BI46" i="1" s="1"/>
  <c r="BE46" i="1"/>
  <c r="BC46" i="1"/>
  <c r="BB46" i="1"/>
  <c r="BQ45" i="1"/>
  <c r="BO45" i="1"/>
  <c r="BN45" i="1"/>
  <c r="BE45" i="1"/>
  <c r="BC45" i="1"/>
  <c r="BB45" i="1"/>
  <c r="BF46" i="1" s="1"/>
  <c r="BG46" i="1" s="1"/>
  <c r="BQ44" i="1"/>
  <c r="BO44" i="1"/>
  <c r="BN44" i="1"/>
  <c r="BE44" i="1"/>
  <c r="BC44" i="1"/>
  <c r="BB44" i="1"/>
  <c r="BQ43" i="1"/>
  <c r="BO43" i="1"/>
  <c r="BN43" i="1"/>
  <c r="BE43" i="1"/>
  <c r="BC43" i="1"/>
  <c r="BB43" i="1"/>
  <c r="BQ42" i="1"/>
  <c r="BO42" i="1"/>
  <c r="BN42" i="1"/>
  <c r="BF42" i="1"/>
  <c r="BG42" i="1" s="1"/>
  <c r="BE42" i="1"/>
  <c r="BC42" i="1"/>
  <c r="BB42" i="1"/>
  <c r="BQ41" i="1"/>
  <c r="BR42" i="1" s="1"/>
  <c r="BO41" i="1"/>
  <c r="BN41" i="1"/>
  <c r="BE41" i="1"/>
  <c r="BC41" i="1"/>
  <c r="BB41" i="1"/>
  <c r="BQ40" i="1"/>
  <c r="BO40" i="1"/>
  <c r="BN40" i="1"/>
  <c r="BR41" i="1" s="1"/>
  <c r="BE40" i="1"/>
  <c r="BC40" i="1"/>
  <c r="BB40" i="1"/>
  <c r="BQ39" i="1"/>
  <c r="BO39" i="1"/>
  <c r="BN39" i="1"/>
  <c r="BR40" i="1" s="1"/>
  <c r="BE39" i="1"/>
  <c r="BC39" i="1"/>
  <c r="BB39" i="1"/>
  <c r="BF40" i="1" s="1"/>
  <c r="BQ38" i="1"/>
  <c r="BO38" i="1"/>
  <c r="BN38" i="1"/>
  <c r="BR39" i="1" s="1"/>
  <c r="BE38" i="1"/>
  <c r="BC38" i="1"/>
  <c r="BB38" i="1"/>
  <c r="BQ37" i="1"/>
  <c r="BO37" i="1"/>
  <c r="BN37" i="1"/>
  <c r="BE37" i="1"/>
  <c r="BC37" i="1"/>
  <c r="BB37" i="1"/>
  <c r="BQ36" i="1"/>
  <c r="BO36" i="1"/>
  <c r="BN36" i="1"/>
  <c r="BR37" i="1" s="1"/>
  <c r="BE36" i="1"/>
  <c r="BC36" i="1"/>
  <c r="BB36" i="1"/>
  <c r="BF37" i="1" s="1"/>
  <c r="BQ35" i="1"/>
  <c r="BO35" i="1"/>
  <c r="BN35" i="1"/>
  <c r="BR36" i="1" s="1"/>
  <c r="BE35" i="1"/>
  <c r="BC35" i="1"/>
  <c r="BB35" i="1"/>
  <c r="BF36" i="1" s="1"/>
  <c r="BQ34" i="1"/>
  <c r="BO34" i="1"/>
  <c r="BN34" i="1"/>
  <c r="BE34" i="1"/>
  <c r="BC34" i="1"/>
  <c r="BB34" i="1"/>
  <c r="BF35" i="1" s="1"/>
  <c r="BQ33" i="1"/>
  <c r="BO33" i="1"/>
  <c r="BR34" i="1" s="1"/>
  <c r="BN33" i="1"/>
  <c r="BE33" i="1"/>
  <c r="BC33" i="1"/>
  <c r="BB33" i="1"/>
  <c r="BF34" i="1" s="1"/>
  <c r="BD34" i="1" s="1"/>
  <c r="BT32" i="1"/>
  <c r="BQ32" i="1"/>
  <c r="BO32" i="1"/>
  <c r="BN32" i="1"/>
  <c r="BR33" i="1" s="1"/>
  <c r="BE32" i="1"/>
  <c r="BC32" i="1"/>
  <c r="BB32" i="1"/>
  <c r="BF33" i="1" s="1"/>
  <c r="BD33" i="1" s="1"/>
  <c r="BQ31" i="1"/>
  <c r="BR32" i="1" s="1"/>
  <c r="BP32" i="1" s="1"/>
  <c r="BO31" i="1"/>
  <c r="BN31" i="1"/>
  <c r="BE31" i="1"/>
  <c r="BC31" i="1"/>
  <c r="BB31" i="1"/>
  <c r="BQ30" i="1"/>
  <c r="BO30" i="1"/>
  <c r="BN30" i="1"/>
  <c r="BE30" i="1"/>
  <c r="BC30" i="1"/>
  <c r="BB30" i="1"/>
  <c r="BQ29" i="1"/>
  <c r="BO29" i="1"/>
  <c r="BN29" i="1"/>
  <c r="BE29" i="1"/>
  <c r="BC29" i="1"/>
  <c r="BB29" i="1"/>
  <c r="BF30" i="1" s="1"/>
  <c r="BH30" i="1" s="1"/>
  <c r="BQ28" i="1"/>
  <c r="BO28" i="1"/>
  <c r="BN28" i="1"/>
  <c r="BE28" i="1"/>
  <c r="BC28" i="1"/>
  <c r="BB28" i="1"/>
  <c r="BF29" i="1" s="1"/>
  <c r="BH29" i="1" s="1"/>
  <c r="BQ27" i="1"/>
  <c r="BO27" i="1"/>
  <c r="BN27" i="1"/>
  <c r="BE27" i="1"/>
  <c r="BF28" i="1" s="1"/>
  <c r="BH28" i="1" s="1"/>
  <c r="BC27" i="1"/>
  <c r="BB27" i="1"/>
  <c r="BQ26" i="1"/>
  <c r="BO26" i="1"/>
  <c r="BN26" i="1"/>
  <c r="BR27" i="1" s="1"/>
  <c r="BE26" i="1"/>
  <c r="BC26" i="1"/>
  <c r="BB26" i="1"/>
  <c r="BF27" i="1" s="1"/>
  <c r="BQ25" i="1"/>
  <c r="BO25" i="1"/>
  <c r="BN25" i="1"/>
  <c r="BE25" i="1"/>
  <c r="BC25" i="1"/>
  <c r="BB25" i="1"/>
  <c r="BF26" i="1" s="1"/>
  <c r="BQ24" i="1"/>
  <c r="BO24" i="1"/>
  <c r="BN24" i="1"/>
  <c r="BR25" i="1" s="1"/>
  <c r="BP25" i="1" s="1"/>
  <c r="BE24" i="1"/>
  <c r="BC24" i="1"/>
  <c r="BB24" i="1"/>
  <c r="BQ23" i="1"/>
  <c r="BO23" i="1"/>
  <c r="BN23" i="1"/>
  <c r="BR24" i="1" s="1"/>
  <c r="BF23" i="1"/>
  <c r="BH23" i="1" s="1"/>
  <c r="BE23" i="1"/>
  <c r="BF24" i="1" s="1"/>
  <c r="BC23" i="1"/>
  <c r="BB23" i="1"/>
  <c r="BQ22" i="1"/>
  <c r="BP22" i="1"/>
  <c r="BO22" i="1"/>
  <c r="BN22" i="1"/>
  <c r="BE22" i="1"/>
  <c r="BD22" i="1"/>
  <c r="BC22" i="1"/>
  <c r="BB22" i="1"/>
  <c r="BQ21" i="1"/>
  <c r="BR22" i="1" s="1"/>
  <c r="BE21" i="1"/>
  <c r="BF22" i="1" s="1"/>
  <c r="BG22" i="1" s="1"/>
  <c r="BT20" i="1"/>
  <c r="BS20" i="1"/>
  <c r="BH20" i="1"/>
  <c r="BG20" i="1"/>
  <c r="BP100" i="1" l="1"/>
  <c r="BR101" i="1" s="1"/>
  <c r="BS100" i="1"/>
  <c r="BT100" i="1"/>
  <c r="BS127" i="1"/>
  <c r="BT127" i="1"/>
  <c r="BG69" i="1"/>
  <c r="BD69" i="1"/>
  <c r="BH69" i="1"/>
  <c r="BD126" i="1"/>
  <c r="BG126" i="1"/>
  <c r="BH126" i="1"/>
  <c r="BP39" i="1"/>
  <c r="BS39" i="1"/>
  <c r="BU39" i="1" s="1"/>
  <c r="BD36" i="1"/>
  <c r="BH36" i="1"/>
  <c r="BG36" i="1"/>
  <c r="BH86" i="1"/>
  <c r="BG86" i="1"/>
  <c r="BI86" i="1" s="1"/>
  <c r="BD86" i="1"/>
  <c r="BT150" i="1"/>
  <c r="BS150" i="1"/>
  <c r="BU150" i="1" s="1"/>
  <c r="BP150" i="1"/>
  <c r="BD109" i="1"/>
  <c r="BG109" i="1"/>
  <c r="BS133" i="1"/>
  <c r="BT133" i="1"/>
  <c r="BS55" i="1"/>
  <c r="BU55" i="1" s="1"/>
  <c r="BT55" i="1"/>
  <c r="BP55" i="1"/>
  <c r="BS27" i="1"/>
  <c r="BP27" i="1"/>
  <c r="BS131" i="1"/>
  <c r="BP131" i="1"/>
  <c r="BT131" i="1"/>
  <c r="BH82" i="1"/>
  <c r="BD82" i="1"/>
  <c r="BH98" i="1"/>
  <c r="BG98" i="1"/>
  <c r="BI98" i="1" s="1"/>
  <c r="BD98" i="1"/>
  <c r="BF99" i="1" s="1"/>
  <c r="BH99" i="1" s="1"/>
  <c r="BS32" i="1"/>
  <c r="BU32" i="1" s="1"/>
  <c r="BD42" i="1"/>
  <c r="BF100" i="1"/>
  <c r="BG100" i="1" s="1"/>
  <c r="BF114" i="1"/>
  <c r="BR119" i="1"/>
  <c r="BR139" i="1"/>
  <c r="BH42" i="1"/>
  <c r="BI42" i="1" s="1"/>
  <c r="BF54" i="1"/>
  <c r="BF104" i="1"/>
  <c r="BH104" i="1" s="1"/>
  <c r="BR114" i="1"/>
  <c r="BR156" i="1"/>
  <c r="BF56" i="1"/>
  <c r="BR80" i="1"/>
  <c r="BT80" i="1" s="1"/>
  <c r="BR26" i="1"/>
  <c r="BP26" i="1" s="1"/>
  <c r="BR59" i="1"/>
  <c r="BT79" i="1"/>
  <c r="BH121" i="1"/>
  <c r="BR28" i="1"/>
  <c r="BP28" i="1" s="1"/>
  <c r="BR30" i="1"/>
  <c r="BR52" i="1"/>
  <c r="BF65" i="1"/>
  <c r="BH65" i="1" s="1"/>
  <c r="BR75" i="1"/>
  <c r="BD92" i="1"/>
  <c r="BF93" i="1" s="1"/>
  <c r="BS111" i="1"/>
  <c r="BU111" i="1" s="1"/>
  <c r="BT155" i="1"/>
  <c r="BR117" i="1"/>
  <c r="BT117" i="1" s="1"/>
  <c r="BF62" i="1"/>
  <c r="BG62" i="1" s="1"/>
  <c r="BI62" i="1" s="1"/>
  <c r="BF118" i="1"/>
  <c r="BD118" i="1" s="1"/>
  <c r="BF119" i="1" s="1"/>
  <c r="BH142" i="1"/>
  <c r="BI142" i="1" s="1"/>
  <c r="BD157" i="1"/>
  <c r="BG157" i="1"/>
  <c r="BH157" i="1"/>
  <c r="BH22" i="1"/>
  <c r="BR93" i="1"/>
  <c r="BT93" i="1" s="1"/>
  <c r="BR120" i="1"/>
  <c r="BT120" i="1" s="1"/>
  <c r="BF153" i="1"/>
  <c r="BF155" i="1"/>
  <c r="BR108" i="1"/>
  <c r="BP108" i="1" s="1"/>
  <c r="BF31" i="1"/>
  <c r="BF53" i="1"/>
  <c r="BD53" i="1" s="1"/>
  <c r="BF55" i="1"/>
  <c r="BH55" i="1" s="1"/>
  <c r="BP78" i="1"/>
  <c r="BF103" i="1"/>
  <c r="BD103" i="1" s="1"/>
  <c r="BR128" i="1"/>
  <c r="BR38" i="1"/>
  <c r="BR71" i="1"/>
  <c r="BT71" i="1" s="1"/>
  <c r="BS96" i="1"/>
  <c r="BF127" i="1"/>
  <c r="BR138" i="1"/>
  <c r="BR145" i="1"/>
  <c r="BS157" i="1"/>
  <c r="BU157" i="1" s="1"/>
  <c r="BT157" i="1"/>
  <c r="BP157" i="1"/>
  <c r="BR82" i="1"/>
  <c r="BR44" i="1"/>
  <c r="BT44" i="1" s="1"/>
  <c r="BF66" i="1"/>
  <c r="BH66" i="1" s="1"/>
  <c r="BF68" i="1"/>
  <c r="BD68" i="1" s="1"/>
  <c r="BF84" i="1"/>
  <c r="BF90" i="1"/>
  <c r="BR99" i="1"/>
  <c r="BF112" i="1"/>
  <c r="BR134" i="1"/>
  <c r="BS134" i="1" s="1"/>
  <c r="BF156" i="1"/>
  <c r="BD156" i="1" s="1"/>
  <c r="BH140" i="1"/>
  <c r="BT78" i="1"/>
  <c r="BU78" i="1" s="1"/>
  <c r="BT96" i="1"/>
  <c r="BR29" i="1"/>
  <c r="BS29" i="1" s="1"/>
  <c r="BF41" i="1"/>
  <c r="BH41" i="1" s="1"/>
  <c r="BF49" i="1"/>
  <c r="BH49" i="1" s="1"/>
  <c r="BF57" i="1"/>
  <c r="BH57" i="1" s="1"/>
  <c r="BR66" i="1"/>
  <c r="BR74" i="1"/>
  <c r="BR76" i="1"/>
  <c r="BF137" i="1"/>
  <c r="BF154" i="1"/>
  <c r="BH24" i="1"/>
  <c r="BG24" i="1"/>
  <c r="BI24" i="1" s="1"/>
  <c r="BD24" i="1"/>
  <c r="BH31" i="1"/>
  <c r="BG31" i="1"/>
  <c r="BD31" i="1"/>
  <c r="BH40" i="1"/>
  <c r="BG40" i="1"/>
  <c r="BD40" i="1"/>
  <c r="BH27" i="1"/>
  <c r="BG27" i="1"/>
  <c r="BI27" i="1" s="1"/>
  <c r="BD27" i="1"/>
  <c r="BH33" i="1"/>
  <c r="BI36" i="1"/>
  <c r="BS41" i="1"/>
  <c r="BT41" i="1"/>
  <c r="BP41" i="1"/>
  <c r="BP64" i="1"/>
  <c r="BT64" i="1"/>
  <c r="BS64" i="1"/>
  <c r="BU64" i="1" s="1"/>
  <c r="BT38" i="1"/>
  <c r="BS38" i="1"/>
  <c r="BU38" i="1" s="1"/>
  <c r="BP38" i="1"/>
  <c r="BT74" i="1"/>
  <c r="BP74" i="1"/>
  <c r="BS74" i="1"/>
  <c r="BU74" i="1" s="1"/>
  <c r="BH75" i="1"/>
  <c r="BG75" i="1"/>
  <c r="BH85" i="1"/>
  <c r="BD85" i="1"/>
  <c r="BG85" i="1"/>
  <c r="BG30" i="1"/>
  <c r="BI30" i="1" s="1"/>
  <c r="BD30" i="1"/>
  <c r="BT136" i="1"/>
  <c r="BS136" i="1"/>
  <c r="BP136" i="1"/>
  <c r="BH26" i="1"/>
  <c r="BG26" i="1"/>
  <c r="BI26" i="1" s="1"/>
  <c r="BD26" i="1"/>
  <c r="BT37" i="1"/>
  <c r="BS37" i="1"/>
  <c r="BP37" i="1"/>
  <c r="BT60" i="1"/>
  <c r="BS60" i="1"/>
  <c r="BP60" i="1"/>
  <c r="BG63" i="1"/>
  <c r="BH63" i="1"/>
  <c r="BD63" i="1"/>
  <c r="BG91" i="1"/>
  <c r="BD91" i="1"/>
  <c r="BH91" i="1"/>
  <c r="BH100" i="1"/>
  <c r="BI100" i="1" s="1"/>
  <c r="BX100" i="1" s="1"/>
  <c r="BD100" i="1"/>
  <c r="BT113" i="1"/>
  <c r="BS113" i="1"/>
  <c r="BR23" i="1"/>
  <c r="BD29" i="1"/>
  <c r="BH110" i="1"/>
  <c r="BG110" i="1"/>
  <c r="BD110" i="1"/>
  <c r="BP36" i="1"/>
  <c r="BS36" i="1"/>
  <c r="BT36" i="1"/>
  <c r="BG76" i="1"/>
  <c r="BF106" i="1"/>
  <c r="BS120" i="1"/>
  <c r="BD84" i="1"/>
  <c r="BH84" i="1"/>
  <c r="BG84" i="1"/>
  <c r="BI84" i="1" s="1"/>
  <c r="BT147" i="1"/>
  <c r="BS147" i="1"/>
  <c r="BU147" i="1" s="1"/>
  <c r="BP147" i="1"/>
  <c r="BD28" i="1"/>
  <c r="BG29" i="1"/>
  <c r="BI29" i="1" s="1"/>
  <c r="BT22" i="1"/>
  <c r="BS22" i="1"/>
  <c r="BT30" i="1"/>
  <c r="BS30" i="1"/>
  <c r="BU30" i="1" s="1"/>
  <c r="BP30" i="1"/>
  <c r="BH76" i="1"/>
  <c r="BH130" i="1"/>
  <c r="BG130" i="1"/>
  <c r="BD130" i="1"/>
  <c r="BG33" i="1"/>
  <c r="BI33" i="1" s="1"/>
  <c r="BT140" i="1"/>
  <c r="BP140" i="1"/>
  <c r="BS140" i="1"/>
  <c r="BT33" i="1"/>
  <c r="BP33" i="1"/>
  <c r="BS33" i="1"/>
  <c r="BP34" i="1"/>
  <c r="BS34" i="1"/>
  <c r="BT34" i="1"/>
  <c r="BH35" i="1"/>
  <c r="BG35" i="1"/>
  <c r="BD35" i="1"/>
  <c r="BH62" i="1"/>
  <c r="BD62" i="1"/>
  <c r="BS71" i="1"/>
  <c r="BG97" i="1"/>
  <c r="BD97" i="1"/>
  <c r="BH97" i="1"/>
  <c r="BP110" i="1"/>
  <c r="BT110" i="1"/>
  <c r="BU110" i="1" s="1"/>
  <c r="BH149" i="1"/>
  <c r="BG149" i="1"/>
  <c r="BI149" i="1" s="1"/>
  <c r="BD149" i="1"/>
  <c r="BF150" i="1" s="1"/>
  <c r="BG37" i="1"/>
  <c r="BI37" i="1" s="1"/>
  <c r="BD37" i="1"/>
  <c r="BF38" i="1" s="1"/>
  <c r="BG65" i="1"/>
  <c r="BG90" i="1"/>
  <c r="BH90" i="1"/>
  <c r="BD90" i="1"/>
  <c r="BG28" i="1"/>
  <c r="BI28" i="1" s="1"/>
  <c r="BH37" i="1"/>
  <c r="BT57" i="1"/>
  <c r="BS57" i="1"/>
  <c r="BP57" i="1"/>
  <c r="BR58" i="1" s="1"/>
  <c r="BT84" i="1"/>
  <c r="BU84" i="1" s="1"/>
  <c r="BP84" i="1"/>
  <c r="BR85" i="1" s="1"/>
  <c r="BG101" i="1"/>
  <c r="BH101" i="1"/>
  <c r="BD101" i="1"/>
  <c r="BG104" i="1"/>
  <c r="BD104" i="1"/>
  <c r="BT112" i="1"/>
  <c r="BS112" i="1"/>
  <c r="BU112" i="1" s="1"/>
  <c r="BP112" i="1"/>
  <c r="BD146" i="1"/>
  <c r="BH146" i="1"/>
  <c r="BG146" i="1"/>
  <c r="BI146" i="1" s="1"/>
  <c r="BH153" i="1"/>
  <c r="BD153" i="1"/>
  <c r="BG153" i="1"/>
  <c r="BT26" i="1"/>
  <c r="BH34" i="1"/>
  <c r="BG34" i="1"/>
  <c r="BD46" i="1"/>
  <c r="BD75" i="1"/>
  <c r="BH81" i="1"/>
  <c r="BG81" i="1"/>
  <c r="BD81" i="1"/>
  <c r="BT94" i="1"/>
  <c r="BP94" i="1"/>
  <c r="BS94" i="1"/>
  <c r="BG23" i="1"/>
  <c r="BI23" i="1" s="1"/>
  <c r="BD23" i="1"/>
  <c r="BF64" i="1"/>
  <c r="BG87" i="1"/>
  <c r="BD87" i="1"/>
  <c r="BH87" i="1"/>
  <c r="BH116" i="1"/>
  <c r="BD116" i="1"/>
  <c r="BF117" i="1" s="1"/>
  <c r="BG116" i="1"/>
  <c r="BI116" i="1" s="1"/>
  <c r="BX116" i="1" s="1"/>
  <c r="BH125" i="1"/>
  <c r="BG125" i="1"/>
  <c r="BI125" i="1" s="1"/>
  <c r="BD125" i="1"/>
  <c r="BR144" i="1"/>
  <c r="BT119" i="1"/>
  <c r="BS119" i="1"/>
  <c r="BU119" i="1" s="1"/>
  <c r="BP119" i="1"/>
  <c r="BG132" i="1"/>
  <c r="BH132" i="1"/>
  <c r="BD132" i="1"/>
  <c r="BF133" i="1" s="1"/>
  <c r="BT138" i="1"/>
  <c r="BS138" i="1"/>
  <c r="BU138" i="1" s="1"/>
  <c r="BP138" i="1"/>
  <c r="BF58" i="1"/>
  <c r="BH89" i="1"/>
  <c r="BG89" i="1"/>
  <c r="BI89" i="1" s="1"/>
  <c r="BH93" i="1"/>
  <c r="BD93" i="1"/>
  <c r="BF94" i="1" s="1"/>
  <c r="BG93" i="1"/>
  <c r="BI93" i="1" s="1"/>
  <c r="BG115" i="1"/>
  <c r="BH115" i="1"/>
  <c r="BD115" i="1"/>
  <c r="BS122" i="1"/>
  <c r="BT122" i="1"/>
  <c r="BT24" i="1"/>
  <c r="BS24" i="1"/>
  <c r="BD74" i="1"/>
  <c r="BU77" i="1"/>
  <c r="BS108" i="1"/>
  <c r="BT108" i="1"/>
  <c r="BD123" i="1"/>
  <c r="BH123" i="1"/>
  <c r="BH155" i="1"/>
  <c r="BG155" i="1"/>
  <c r="BI155" i="1" s="1"/>
  <c r="BD155" i="1"/>
  <c r="BR43" i="1"/>
  <c r="BR51" i="1"/>
  <c r="BT76" i="1"/>
  <c r="BP76" i="1"/>
  <c r="BS76" i="1"/>
  <c r="BU76" i="1" s="1"/>
  <c r="BG82" i="1"/>
  <c r="BI82" i="1" s="1"/>
  <c r="BT83" i="1"/>
  <c r="BP83" i="1"/>
  <c r="BS83" i="1"/>
  <c r="BH96" i="1"/>
  <c r="BG96" i="1"/>
  <c r="BI96" i="1" s="1"/>
  <c r="BR106" i="1"/>
  <c r="BG123" i="1"/>
  <c r="BI123" i="1" s="1"/>
  <c r="BG147" i="1"/>
  <c r="BI147" i="1" s="1"/>
  <c r="BD147" i="1"/>
  <c r="BH147" i="1"/>
  <c r="BS42" i="1"/>
  <c r="BT42" i="1"/>
  <c r="BD55" i="1"/>
  <c r="BG66" i="1"/>
  <c r="BI66" i="1" s="1"/>
  <c r="BH71" i="1"/>
  <c r="BG71" i="1"/>
  <c r="BD102" i="1"/>
  <c r="BS137" i="1"/>
  <c r="BU137" i="1" s="1"/>
  <c r="BP137" i="1"/>
  <c r="BF152" i="1"/>
  <c r="BT40" i="1"/>
  <c r="BP40" i="1"/>
  <c r="BP24" i="1"/>
  <c r="BS28" i="1"/>
  <c r="BT28" i="1"/>
  <c r="BP29" i="1"/>
  <c r="BS40" i="1"/>
  <c r="BP42" i="1"/>
  <c r="BH61" i="1"/>
  <c r="BI61" i="1" s="1"/>
  <c r="BD61" i="1"/>
  <c r="BG74" i="1"/>
  <c r="BI74" i="1" s="1"/>
  <c r="BS79" i="1"/>
  <c r="BU79" i="1" s="1"/>
  <c r="BP93" i="1"/>
  <c r="BS93" i="1"/>
  <c r="BU93" i="1" s="1"/>
  <c r="BF107" i="1"/>
  <c r="BH154" i="1"/>
  <c r="BG154" i="1"/>
  <c r="BI154" i="1" s="1"/>
  <c r="BD154" i="1"/>
  <c r="BT126" i="1"/>
  <c r="BS126" i="1"/>
  <c r="BU126" i="1" s="1"/>
  <c r="BP126" i="1"/>
  <c r="BS129" i="1"/>
  <c r="BU129" i="1" s="1"/>
  <c r="BP129" i="1"/>
  <c r="BR148" i="1"/>
  <c r="BH95" i="1"/>
  <c r="BG95" i="1"/>
  <c r="BI95" i="1" s="1"/>
  <c r="BG102" i="1"/>
  <c r="BI102" i="1" s="1"/>
  <c r="BI22" i="1"/>
  <c r="BS25" i="1"/>
  <c r="BT27" i="1"/>
  <c r="BU27" i="1" s="1"/>
  <c r="BT39" i="1"/>
  <c r="BD48" i="1"/>
  <c r="BG48" i="1"/>
  <c r="BH48" i="1"/>
  <c r="BT50" i="1"/>
  <c r="BS50" i="1"/>
  <c r="BU50" i="1" s="1"/>
  <c r="BG55" i="1"/>
  <c r="BP72" i="1"/>
  <c r="BS72" i="1"/>
  <c r="BU72" i="1" s="1"/>
  <c r="BT25" i="1"/>
  <c r="BH53" i="1"/>
  <c r="BG53" i="1"/>
  <c r="BR56" i="1"/>
  <c r="BD60" i="1"/>
  <c r="BH60" i="1"/>
  <c r="BS62" i="1"/>
  <c r="BG77" i="1"/>
  <c r="BD77" i="1"/>
  <c r="BP82" i="1"/>
  <c r="BT82" i="1"/>
  <c r="BS82" i="1"/>
  <c r="BU82" i="1" s="1"/>
  <c r="BF88" i="1"/>
  <c r="BT154" i="1"/>
  <c r="BP154" i="1"/>
  <c r="BS154" i="1"/>
  <c r="BF32" i="1"/>
  <c r="BF44" i="1"/>
  <c r="BF45" i="1"/>
  <c r="BG60" i="1"/>
  <c r="BI60" i="1" s="1"/>
  <c r="BT62" i="1"/>
  <c r="BH77" i="1"/>
  <c r="BP145" i="1"/>
  <c r="BT145" i="1"/>
  <c r="BS145" i="1"/>
  <c r="BU145" i="1" s="1"/>
  <c r="BX145" i="1" s="1"/>
  <c r="BT124" i="1"/>
  <c r="BS124" i="1"/>
  <c r="BP124" i="1"/>
  <c r="BH127" i="1"/>
  <c r="BG127" i="1"/>
  <c r="BD127" i="1"/>
  <c r="BR65" i="1"/>
  <c r="BT97" i="1"/>
  <c r="BP97" i="1"/>
  <c r="BR98" i="1" s="1"/>
  <c r="BS75" i="1"/>
  <c r="BT75" i="1"/>
  <c r="BP75" i="1"/>
  <c r="BS97" i="1"/>
  <c r="BU97" i="1" s="1"/>
  <c r="BT128" i="1"/>
  <c r="BS139" i="1"/>
  <c r="BS143" i="1"/>
  <c r="BP143" i="1"/>
  <c r="BT143" i="1"/>
  <c r="BP149" i="1"/>
  <c r="BS149" i="1"/>
  <c r="BT149" i="1"/>
  <c r="BF47" i="1"/>
  <c r="BF78" i="1"/>
  <c r="BH156" i="1"/>
  <c r="BG156" i="1"/>
  <c r="BI156" i="1" s="1"/>
  <c r="BX156" i="1" s="1"/>
  <c r="BR31" i="1"/>
  <c r="BG67" i="1"/>
  <c r="BH67" i="1"/>
  <c r="BD67" i="1"/>
  <c r="BR73" i="1"/>
  <c r="BG105" i="1"/>
  <c r="BH105" i="1"/>
  <c r="BD105" i="1"/>
  <c r="BR123" i="1"/>
  <c r="BF25" i="1"/>
  <c r="BR35" i="1"/>
  <c r="BF39" i="1"/>
  <c r="BP61" i="1"/>
  <c r="BS61" i="1"/>
  <c r="BU61" i="1" s="1"/>
  <c r="BG92" i="1"/>
  <c r="BI92" i="1" s="1"/>
  <c r="BD114" i="1"/>
  <c r="BH114" i="1"/>
  <c r="BG114" i="1"/>
  <c r="BS115" i="1"/>
  <c r="BU115" i="1" s="1"/>
  <c r="BP115" i="1"/>
  <c r="BU155" i="1"/>
  <c r="BH141" i="1"/>
  <c r="BG141" i="1"/>
  <c r="BI141" i="1" s="1"/>
  <c r="BT152" i="1"/>
  <c r="BS152" i="1"/>
  <c r="BU152" i="1" s="1"/>
  <c r="BH113" i="1"/>
  <c r="BD113" i="1"/>
  <c r="BD122" i="1"/>
  <c r="BP134" i="1"/>
  <c r="BR135" i="1" s="1"/>
  <c r="BH144" i="1"/>
  <c r="BD144" i="1"/>
  <c r="BR146" i="1"/>
  <c r="BF43" i="1"/>
  <c r="BF59" i="1"/>
  <c r="BF70" i="1"/>
  <c r="BG113" i="1"/>
  <c r="BP133" i="1"/>
  <c r="BG140" i="1"/>
  <c r="BI140" i="1" s="1"/>
  <c r="BG144" i="1"/>
  <c r="BH128" i="1"/>
  <c r="BD128" i="1"/>
  <c r="BG129" i="1"/>
  <c r="BI129" i="1" s="1"/>
  <c r="BD129" i="1"/>
  <c r="BT134" i="1"/>
  <c r="BU134" i="1" s="1"/>
  <c r="BH139" i="1"/>
  <c r="BD139" i="1"/>
  <c r="BG139" i="1"/>
  <c r="BI139" i="1" s="1"/>
  <c r="BS101" i="1"/>
  <c r="BP101" i="1"/>
  <c r="BR102" i="1" s="1"/>
  <c r="BT101" i="1"/>
  <c r="BH111" i="1"/>
  <c r="BG111" i="1"/>
  <c r="BI111" i="1" s="1"/>
  <c r="BX111" i="1" s="1"/>
  <c r="BD111" i="1"/>
  <c r="BD112" i="1"/>
  <c r="BH112" i="1"/>
  <c r="BG112" i="1"/>
  <c r="BI112" i="1" s="1"/>
  <c r="BX112" i="1" s="1"/>
  <c r="BH122" i="1"/>
  <c r="BI122" i="1" s="1"/>
  <c r="BH129" i="1"/>
  <c r="BD137" i="1"/>
  <c r="BG137" i="1"/>
  <c r="BH137" i="1"/>
  <c r="BP142" i="1"/>
  <c r="BT142" i="1"/>
  <c r="BS142" i="1"/>
  <c r="BG148" i="1"/>
  <c r="BR54" i="1"/>
  <c r="BF72" i="1"/>
  <c r="BF83" i="1"/>
  <c r="BP99" i="1"/>
  <c r="BS99" i="1"/>
  <c r="BU99" i="1" s="1"/>
  <c r="BT99" i="1"/>
  <c r="BU100" i="1"/>
  <c r="BP116" i="1"/>
  <c r="BG121" i="1"/>
  <c r="BI121" i="1" s="1"/>
  <c r="BG128" i="1"/>
  <c r="BT141" i="1"/>
  <c r="BS141" i="1"/>
  <c r="BU141" i="1" s="1"/>
  <c r="BG143" i="1"/>
  <c r="BI143" i="1" s="1"/>
  <c r="BD143" i="1"/>
  <c r="BH148" i="1"/>
  <c r="BF80" i="1"/>
  <c r="BT125" i="1"/>
  <c r="BS125" i="1"/>
  <c r="BP125" i="1"/>
  <c r="BP127" i="1"/>
  <c r="BR130" i="1"/>
  <c r="BD135" i="1"/>
  <c r="BR95" i="1"/>
  <c r="BI109" i="1"/>
  <c r="BH135" i="1"/>
  <c r="BI135" i="1" s="1"/>
  <c r="BG136" i="1"/>
  <c r="BD136" i="1"/>
  <c r="BH138" i="1"/>
  <c r="BD138" i="1"/>
  <c r="BT153" i="1"/>
  <c r="BS153" i="1"/>
  <c r="BU153" i="1" s="1"/>
  <c r="BR104" i="1"/>
  <c r="BH109" i="1"/>
  <c r="BH136" i="1"/>
  <c r="BG138" i="1"/>
  <c r="BP156" i="1"/>
  <c r="BT156" i="1"/>
  <c r="BS156" i="1"/>
  <c r="BU156" i="1" s="1"/>
  <c r="BS109" i="1"/>
  <c r="BT109" i="1"/>
  <c r="BF131" i="1"/>
  <c r="BR151" i="1"/>
  <c r="BF73" i="1"/>
  <c r="BR88" i="1"/>
  <c r="BF124" i="1"/>
  <c r="BU131" i="1"/>
  <c r="BR132" i="1"/>
  <c r="BG103" i="1" l="1"/>
  <c r="BH103" i="1"/>
  <c r="BU36" i="1"/>
  <c r="BX36" i="1"/>
  <c r="BD56" i="1"/>
  <c r="BH56" i="1"/>
  <c r="BG56" i="1"/>
  <c r="BI56" i="1" s="1"/>
  <c r="BI126" i="1"/>
  <c r="BX126" i="1" s="1"/>
  <c r="BU133" i="1"/>
  <c r="BX140" i="1"/>
  <c r="BD99" i="1"/>
  <c r="BG49" i="1"/>
  <c r="BG99" i="1"/>
  <c r="BI99" i="1" s="1"/>
  <c r="BX99" i="1" s="1"/>
  <c r="BI91" i="1"/>
  <c r="BU136" i="1"/>
  <c r="BD41" i="1"/>
  <c r="BP114" i="1"/>
  <c r="BS114" i="1"/>
  <c r="BT114" i="1"/>
  <c r="BS59" i="1"/>
  <c r="BP59" i="1"/>
  <c r="BU142" i="1"/>
  <c r="BX142" i="1" s="1"/>
  <c r="BI113" i="1"/>
  <c r="BD49" i="1"/>
  <c r="BF50" i="1" s="1"/>
  <c r="BD66" i="1"/>
  <c r="BI110" i="1"/>
  <c r="BX110" i="1" s="1"/>
  <c r="BS117" i="1"/>
  <c r="BU117" i="1" s="1"/>
  <c r="BG41" i="1"/>
  <c r="BT59" i="1"/>
  <c r="BP117" i="1"/>
  <c r="BR118" i="1" s="1"/>
  <c r="BH54" i="1"/>
  <c r="BG54" i="1"/>
  <c r="BI54" i="1" s="1"/>
  <c r="BD54" i="1"/>
  <c r="BI115" i="1"/>
  <c r="BX115" i="1" s="1"/>
  <c r="BX61" i="1"/>
  <c r="BX147" i="1"/>
  <c r="BU34" i="1"/>
  <c r="BP44" i="1"/>
  <c r="BR45" i="1" s="1"/>
  <c r="BT45" i="1" s="1"/>
  <c r="BI63" i="1"/>
  <c r="BX63" i="1" s="1"/>
  <c r="BX30" i="1"/>
  <c r="BH68" i="1"/>
  <c r="BI69" i="1"/>
  <c r="BD57" i="1"/>
  <c r="BG57" i="1"/>
  <c r="BI57" i="1" s="1"/>
  <c r="BI55" i="1"/>
  <c r="BX55" i="1" s="1"/>
  <c r="BI105" i="1"/>
  <c r="BS44" i="1"/>
  <c r="BG68" i="1"/>
  <c r="BI68" i="1" s="1"/>
  <c r="BS52" i="1"/>
  <c r="BT52" i="1"/>
  <c r="BP52" i="1"/>
  <c r="BR53" i="1" s="1"/>
  <c r="BS53" i="1" s="1"/>
  <c r="BT139" i="1"/>
  <c r="BU139" i="1" s="1"/>
  <c r="BX139" i="1" s="1"/>
  <c r="BP139" i="1"/>
  <c r="BT66" i="1"/>
  <c r="BS66" i="1"/>
  <c r="BU66" i="1" s="1"/>
  <c r="BP66" i="1"/>
  <c r="BR67" i="1" s="1"/>
  <c r="BX66" i="1"/>
  <c r="BI127" i="1"/>
  <c r="BI53" i="1"/>
  <c r="BG118" i="1"/>
  <c r="BI118" i="1" s="1"/>
  <c r="BU40" i="1"/>
  <c r="BP80" i="1"/>
  <c r="BR81" i="1" s="1"/>
  <c r="BT81" i="1" s="1"/>
  <c r="BU60" i="1"/>
  <c r="BX60" i="1" s="1"/>
  <c r="BU96" i="1"/>
  <c r="BU127" i="1"/>
  <c r="BX96" i="1"/>
  <c r="BU120" i="1"/>
  <c r="BU108" i="1"/>
  <c r="BI128" i="1"/>
  <c r="BS80" i="1"/>
  <c r="BU80" i="1" s="1"/>
  <c r="BH118" i="1"/>
  <c r="BT29" i="1"/>
  <c r="BU29" i="1" s="1"/>
  <c r="BX29" i="1" s="1"/>
  <c r="BU122" i="1"/>
  <c r="BX122" i="1" s="1"/>
  <c r="BI87" i="1"/>
  <c r="BS26" i="1"/>
  <c r="BU26" i="1" s="1"/>
  <c r="BX26" i="1" s="1"/>
  <c r="BD65" i="1"/>
  <c r="BP71" i="1"/>
  <c r="BP120" i="1"/>
  <c r="BR121" i="1" s="1"/>
  <c r="BP121" i="1" s="1"/>
  <c r="BI157" i="1"/>
  <c r="BX157" i="1" s="1"/>
  <c r="BU28" i="1"/>
  <c r="BX28" i="1" s="1"/>
  <c r="BI138" i="1"/>
  <c r="BX138" i="1" s="1"/>
  <c r="BU124" i="1"/>
  <c r="BI71" i="1"/>
  <c r="BU140" i="1"/>
  <c r="BU113" i="1"/>
  <c r="BP128" i="1"/>
  <c r="BS128" i="1"/>
  <c r="BU128" i="1" s="1"/>
  <c r="BP85" i="1"/>
  <c r="BR86" i="1" s="1"/>
  <c r="BT85" i="1"/>
  <c r="BS85" i="1"/>
  <c r="BS81" i="1"/>
  <c r="BP81" i="1"/>
  <c r="BP135" i="1"/>
  <c r="BT135" i="1"/>
  <c r="BS135" i="1"/>
  <c r="BU135" i="1" s="1"/>
  <c r="BP58" i="1"/>
  <c r="BT58" i="1"/>
  <c r="BS58" i="1"/>
  <c r="BG150" i="1"/>
  <c r="BH150" i="1"/>
  <c r="BD150" i="1"/>
  <c r="BF151" i="1" s="1"/>
  <c r="BT98" i="1"/>
  <c r="BS98" i="1"/>
  <c r="BP98" i="1"/>
  <c r="BP102" i="1"/>
  <c r="BR103" i="1" s="1"/>
  <c r="BT102" i="1"/>
  <c r="BS102" i="1"/>
  <c r="BU102" i="1" s="1"/>
  <c r="BX102" i="1" s="1"/>
  <c r="BH117" i="1"/>
  <c r="BG117" i="1"/>
  <c r="BI117" i="1" s="1"/>
  <c r="BD117" i="1"/>
  <c r="BS31" i="1"/>
  <c r="BT31" i="1"/>
  <c r="BP31" i="1"/>
  <c r="BG25" i="1"/>
  <c r="BH25" i="1"/>
  <c r="BD25" i="1"/>
  <c r="BS106" i="1"/>
  <c r="BP106" i="1"/>
  <c r="BR107" i="1" s="1"/>
  <c r="BT106" i="1"/>
  <c r="BU24" i="1"/>
  <c r="BI81" i="1"/>
  <c r="BU57" i="1"/>
  <c r="BU44" i="1"/>
  <c r="BU41" i="1"/>
  <c r="BI40" i="1"/>
  <c r="BX40" i="1" s="1"/>
  <c r="BP43" i="1"/>
  <c r="BT43" i="1"/>
  <c r="BS43" i="1"/>
  <c r="BT88" i="1"/>
  <c r="BP88" i="1"/>
  <c r="BR89" i="1" s="1"/>
  <c r="BS88" i="1"/>
  <c r="BU88" i="1" s="1"/>
  <c r="BH43" i="1"/>
  <c r="BD43" i="1"/>
  <c r="BG43" i="1"/>
  <c r="BI43" i="1" s="1"/>
  <c r="BU149" i="1"/>
  <c r="BX149" i="1" s="1"/>
  <c r="BT67" i="1"/>
  <c r="BS67" i="1"/>
  <c r="BP67" i="1"/>
  <c r="BR68" i="1" s="1"/>
  <c r="BI77" i="1"/>
  <c r="BX77" i="1" s="1"/>
  <c r="BX71" i="1"/>
  <c r="BU83" i="1"/>
  <c r="BI76" i="1"/>
  <c r="BX76" i="1" s="1"/>
  <c r="BI85" i="1"/>
  <c r="BG73" i="1"/>
  <c r="BD73" i="1"/>
  <c r="BH73" i="1"/>
  <c r="BU125" i="1"/>
  <c r="BX125" i="1" s="1"/>
  <c r="BT146" i="1"/>
  <c r="BS146" i="1"/>
  <c r="BU146" i="1" s="1"/>
  <c r="BX146" i="1" s="1"/>
  <c r="BP146" i="1"/>
  <c r="BI114" i="1"/>
  <c r="BU62" i="1"/>
  <c r="BX62" i="1" s="1"/>
  <c r="BI49" i="1"/>
  <c r="BH107" i="1"/>
  <c r="BG107" i="1"/>
  <c r="BD107" i="1"/>
  <c r="BF108" i="1" s="1"/>
  <c r="BI34" i="1"/>
  <c r="BI35" i="1"/>
  <c r="BI130" i="1"/>
  <c r="BT23" i="1"/>
  <c r="BS23" i="1"/>
  <c r="BU23" i="1" s="1"/>
  <c r="BX23" i="1" s="1"/>
  <c r="BP23" i="1"/>
  <c r="BI41" i="1"/>
  <c r="BI31" i="1"/>
  <c r="BT144" i="1"/>
  <c r="BS144" i="1"/>
  <c r="BU144" i="1" s="1"/>
  <c r="BP144" i="1"/>
  <c r="BG133" i="1"/>
  <c r="BH133" i="1"/>
  <c r="BD133" i="1"/>
  <c r="BF134" i="1" s="1"/>
  <c r="BT132" i="1"/>
  <c r="BP132" i="1"/>
  <c r="BS132" i="1"/>
  <c r="BU132" i="1" s="1"/>
  <c r="BG119" i="1"/>
  <c r="BH119" i="1"/>
  <c r="BD119" i="1"/>
  <c r="BF120" i="1" s="1"/>
  <c r="BU25" i="1"/>
  <c r="BD38" i="1"/>
  <c r="BG38" i="1"/>
  <c r="BH38" i="1"/>
  <c r="BS35" i="1"/>
  <c r="BT35" i="1"/>
  <c r="BP35" i="1"/>
  <c r="BU75" i="1"/>
  <c r="BD124" i="1"/>
  <c r="BH124" i="1"/>
  <c r="BG124" i="1"/>
  <c r="BP130" i="1"/>
  <c r="BS130" i="1"/>
  <c r="BT130" i="1"/>
  <c r="BI137" i="1"/>
  <c r="BX137" i="1" s="1"/>
  <c r="BH50" i="1"/>
  <c r="BG50" i="1"/>
  <c r="BI50" i="1" s="1"/>
  <c r="BX50" i="1" s="1"/>
  <c r="BD50" i="1"/>
  <c r="BF51" i="1" s="1"/>
  <c r="BD106" i="1"/>
  <c r="BH106" i="1"/>
  <c r="BG106" i="1"/>
  <c r="BH59" i="1"/>
  <c r="BG59" i="1"/>
  <c r="BI59" i="1" s="1"/>
  <c r="BD59" i="1"/>
  <c r="BS151" i="1"/>
  <c r="BT151" i="1"/>
  <c r="BP151" i="1"/>
  <c r="BT65" i="1"/>
  <c r="BS65" i="1"/>
  <c r="BU65" i="1" s="1"/>
  <c r="BP65" i="1"/>
  <c r="BP148" i="1"/>
  <c r="BT148" i="1"/>
  <c r="BS148" i="1"/>
  <c r="BH131" i="1"/>
  <c r="BG131" i="1"/>
  <c r="BD131" i="1"/>
  <c r="BX129" i="1"/>
  <c r="BP73" i="1"/>
  <c r="BS73" i="1"/>
  <c r="BT73" i="1"/>
  <c r="BH45" i="1"/>
  <c r="BG45" i="1"/>
  <c r="BD45" i="1"/>
  <c r="BX82" i="1"/>
  <c r="BI132" i="1"/>
  <c r="BI104" i="1"/>
  <c r="BI90" i="1"/>
  <c r="BU37" i="1"/>
  <c r="BI75" i="1"/>
  <c r="BU71" i="1"/>
  <c r="BU101" i="1"/>
  <c r="BG94" i="1"/>
  <c r="BD94" i="1"/>
  <c r="BH94" i="1"/>
  <c r="BD32" i="1"/>
  <c r="BH32" i="1"/>
  <c r="BG32" i="1"/>
  <c r="BI32" i="1" s="1"/>
  <c r="BX32" i="1" s="1"/>
  <c r="BX24" i="1"/>
  <c r="BU33" i="1"/>
  <c r="BX33" i="1" s="1"/>
  <c r="BX27" i="1"/>
  <c r="BG39" i="1"/>
  <c r="BH39" i="1"/>
  <c r="BD39" i="1"/>
  <c r="BH88" i="1"/>
  <c r="BD88" i="1"/>
  <c r="BG88" i="1"/>
  <c r="BI88" i="1" s="1"/>
  <c r="BX88" i="1" s="1"/>
  <c r="BT51" i="1"/>
  <c r="BS51" i="1"/>
  <c r="BU51" i="1" s="1"/>
  <c r="BP51" i="1"/>
  <c r="BS95" i="1"/>
  <c r="BU95" i="1" s="1"/>
  <c r="BX95" i="1" s="1"/>
  <c r="BT95" i="1"/>
  <c r="BP95" i="1"/>
  <c r="BX141" i="1"/>
  <c r="BJ22" i="1"/>
  <c r="BJ23" i="1" s="1"/>
  <c r="BJ24" i="1" s="1"/>
  <c r="BX22" i="1"/>
  <c r="BH58" i="1"/>
  <c r="BG58" i="1"/>
  <c r="BI58" i="1" s="1"/>
  <c r="BD58" i="1"/>
  <c r="BX37" i="1"/>
  <c r="BH78" i="1"/>
  <c r="BG78" i="1"/>
  <c r="BD78" i="1"/>
  <c r="BF79" i="1" s="1"/>
  <c r="BG70" i="1"/>
  <c r="BD70" i="1"/>
  <c r="BH70" i="1"/>
  <c r="BH47" i="1"/>
  <c r="BG47" i="1"/>
  <c r="BI47" i="1" s="1"/>
  <c r="BD47" i="1"/>
  <c r="BX155" i="1"/>
  <c r="BT118" i="1"/>
  <c r="BP118" i="1"/>
  <c r="BS118" i="1"/>
  <c r="BT104" i="1"/>
  <c r="BS104" i="1"/>
  <c r="BU104" i="1" s="1"/>
  <c r="BP104" i="1"/>
  <c r="BR105" i="1" s="1"/>
  <c r="BS123" i="1"/>
  <c r="BP123" i="1"/>
  <c r="BT123" i="1"/>
  <c r="BH83" i="1"/>
  <c r="BG83" i="1"/>
  <c r="BI83" i="1" s="1"/>
  <c r="BD83" i="1"/>
  <c r="BU143" i="1"/>
  <c r="BX143" i="1" s="1"/>
  <c r="BH44" i="1"/>
  <c r="BG44" i="1"/>
  <c r="BD44" i="1"/>
  <c r="BP56" i="1"/>
  <c r="BT56" i="1"/>
  <c r="BS56" i="1"/>
  <c r="BH64" i="1"/>
  <c r="BD64" i="1"/>
  <c r="BG64" i="1"/>
  <c r="BX84" i="1"/>
  <c r="BU109" i="1"/>
  <c r="BX109" i="1" s="1"/>
  <c r="BG80" i="1"/>
  <c r="BD80" i="1"/>
  <c r="BH80" i="1"/>
  <c r="BD72" i="1"/>
  <c r="BH72" i="1"/>
  <c r="BG72" i="1"/>
  <c r="BI48" i="1"/>
  <c r="BX93" i="1"/>
  <c r="BI97" i="1"/>
  <c r="BX97" i="1" s="1"/>
  <c r="BI136" i="1"/>
  <c r="BX136" i="1" s="1"/>
  <c r="BS54" i="1"/>
  <c r="BP54" i="1"/>
  <c r="BT54" i="1"/>
  <c r="BI67" i="1"/>
  <c r="BX135" i="1"/>
  <c r="BU154" i="1"/>
  <c r="BX154" i="1" s="1"/>
  <c r="BX74" i="1"/>
  <c r="BH152" i="1"/>
  <c r="BG152" i="1"/>
  <c r="BD152" i="1"/>
  <c r="BU42" i="1"/>
  <c r="BX42" i="1" s="1"/>
  <c r="BI153" i="1"/>
  <c r="BX153" i="1" s="1"/>
  <c r="BI148" i="1"/>
  <c r="BI144" i="1"/>
  <c r="BX144" i="1" s="1"/>
  <c r="BU94" i="1"/>
  <c r="BI101" i="1"/>
  <c r="BI65" i="1"/>
  <c r="BU22" i="1"/>
  <c r="BP45" i="1" l="1"/>
  <c r="BR46" i="1" s="1"/>
  <c r="BT46" i="1" s="1"/>
  <c r="BI150" i="1"/>
  <c r="BX150" i="1" s="1"/>
  <c r="BX41" i="1"/>
  <c r="BS45" i="1"/>
  <c r="BU45" i="1" s="1"/>
  <c r="BU58" i="1"/>
  <c r="BU52" i="1"/>
  <c r="BX113" i="1"/>
  <c r="BX57" i="1"/>
  <c r="BX81" i="1"/>
  <c r="BI119" i="1"/>
  <c r="BX119" i="1" s="1"/>
  <c r="BX117" i="1"/>
  <c r="BT121" i="1"/>
  <c r="BS121" i="1"/>
  <c r="BX127" i="1"/>
  <c r="BU114" i="1"/>
  <c r="BX114" i="1" s="1"/>
  <c r="BU81" i="1"/>
  <c r="BU31" i="1"/>
  <c r="BX31" i="1" s="1"/>
  <c r="BT53" i="1"/>
  <c r="BU53" i="1" s="1"/>
  <c r="BX53" i="1" s="1"/>
  <c r="BI73" i="1"/>
  <c r="BU106" i="1"/>
  <c r="BU59" i="1"/>
  <c r="BX59" i="1" s="1"/>
  <c r="BX34" i="1"/>
  <c r="BX128" i="1"/>
  <c r="BP53" i="1"/>
  <c r="BX83" i="1"/>
  <c r="BX104" i="1"/>
  <c r="BI103" i="1"/>
  <c r="BI152" i="1"/>
  <c r="BX152" i="1" s="1"/>
  <c r="BX65" i="1"/>
  <c r="BX101" i="1"/>
  <c r="BI64" i="1"/>
  <c r="BX64" i="1" s="1"/>
  <c r="BI107" i="1"/>
  <c r="BX107" i="1" s="1"/>
  <c r="BU43" i="1"/>
  <c r="BX43" i="1" s="1"/>
  <c r="BX58" i="1"/>
  <c r="BI80" i="1"/>
  <c r="BX80" i="1" s="1"/>
  <c r="BU54" i="1"/>
  <c r="BX54" i="1" s="1"/>
  <c r="BI45" i="1"/>
  <c r="BG51" i="1"/>
  <c r="BH51" i="1"/>
  <c r="BD51" i="1"/>
  <c r="BF52" i="1" s="1"/>
  <c r="BU35" i="1"/>
  <c r="BX35" i="1" s="1"/>
  <c r="BD134" i="1"/>
  <c r="BH134" i="1"/>
  <c r="BG134" i="1"/>
  <c r="BI134" i="1" s="1"/>
  <c r="BX134" i="1" s="1"/>
  <c r="BP107" i="1"/>
  <c r="BT107" i="1"/>
  <c r="BS107" i="1"/>
  <c r="BU107" i="1" s="1"/>
  <c r="BU121" i="1"/>
  <c r="BX121" i="1" s="1"/>
  <c r="BI39" i="1"/>
  <c r="BX39" i="1" s="1"/>
  <c r="BS103" i="1"/>
  <c r="BT103" i="1"/>
  <c r="BP103" i="1"/>
  <c r="BP86" i="1"/>
  <c r="BR87" i="1" s="1"/>
  <c r="BT86" i="1"/>
  <c r="BS86" i="1"/>
  <c r="BU86" i="1" s="1"/>
  <c r="BX86" i="1" s="1"/>
  <c r="BY22" i="1"/>
  <c r="BY23" i="1" s="1"/>
  <c r="BY24" i="1" s="1"/>
  <c r="BI133" i="1"/>
  <c r="BX133" i="1" s="1"/>
  <c r="BT89" i="1"/>
  <c r="BS89" i="1"/>
  <c r="BU89" i="1" s="1"/>
  <c r="BX89" i="1" s="1"/>
  <c r="BP89" i="1"/>
  <c r="BR90" i="1" s="1"/>
  <c r="BI94" i="1"/>
  <c r="BX94" i="1" s="1"/>
  <c r="BU73" i="1"/>
  <c r="BX73" i="1" s="1"/>
  <c r="BG108" i="1"/>
  <c r="BH108" i="1"/>
  <c r="BD108" i="1"/>
  <c r="BU123" i="1"/>
  <c r="BX123" i="1" s="1"/>
  <c r="BU151" i="1"/>
  <c r="BI38" i="1"/>
  <c r="BX38" i="1" s="1"/>
  <c r="BU56" i="1"/>
  <c r="BX56" i="1" s="1"/>
  <c r="BP105" i="1"/>
  <c r="BT105" i="1"/>
  <c r="BS105" i="1"/>
  <c r="BU105" i="1" s="1"/>
  <c r="BX105" i="1" s="1"/>
  <c r="BI70" i="1"/>
  <c r="BU130" i="1"/>
  <c r="BX130" i="1" s="1"/>
  <c r="BI25" i="1"/>
  <c r="BJ25" i="1" s="1"/>
  <c r="BJ26" i="1" s="1"/>
  <c r="BJ27" i="1" s="1"/>
  <c r="BJ28" i="1" s="1"/>
  <c r="BJ29" i="1" s="1"/>
  <c r="BJ30" i="1" s="1"/>
  <c r="BJ31" i="1" s="1"/>
  <c r="BJ32" i="1" s="1"/>
  <c r="BJ33" i="1" s="1"/>
  <c r="BJ34" i="1" s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J45" i="1" s="1"/>
  <c r="BJ46" i="1" s="1"/>
  <c r="BJ47" i="1" s="1"/>
  <c r="BJ48" i="1" s="1"/>
  <c r="BJ49" i="1" s="1"/>
  <c r="BJ50" i="1" s="1"/>
  <c r="BU98" i="1"/>
  <c r="BX98" i="1" s="1"/>
  <c r="BX75" i="1"/>
  <c r="BX132" i="1"/>
  <c r="BH79" i="1"/>
  <c r="BD79" i="1"/>
  <c r="BG79" i="1"/>
  <c r="BI79" i="1" s="1"/>
  <c r="BX79" i="1" s="1"/>
  <c r="BI131" i="1"/>
  <c r="BX131" i="1" s="1"/>
  <c r="BI124" i="1"/>
  <c r="BX124" i="1" s="1"/>
  <c r="BD151" i="1"/>
  <c r="BH151" i="1"/>
  <c r="BG151" i="1"/>
  <c r="BI151" i="1" s="1"/>
  <c r="BX151" i="1" s="1"/>
  <c r="BI72" i="1"/>
  <c r="BX72" i="1" s="1"/>
  <c r="BU118" i="1"/>
  <c r="BX118" i="1" s="1"/>
  <c r="BI78" i="1"/>
  <c r="BX78" i="1" s="1"/>
  <c r="BI106" i="1"/>
  <c r="BD120" i="1"/>
  <c r="BG120" i="1"/>
  <c r="BH120" i="1"/>
  <c r="BP68" i="1"/>
  <c r="BR69" i="1" s="1"/>
  <c r="BS68" i="1"/>
  <c r="BT68" i="1"/>
  <c r="BU85" i="1"/>
  <c r="BX85" i="1" s="1"/>
  <c r="BV22" i="1"/>
  <c r="BV23" i="1" s="1"/>
  <c r="BV24" i="1" s="1"/>
  <c r="BV25" i="1" s="1"/>
  <c r="BV26" i="1" s="1"/>
  <c r="BV27" i="1" s="1"/>
  <c r="BV28" i="1" s="1"/>
  <c r="BV29" i="1" s="1"/>
  <c r="BV30" i="1" s="1"/>
  <c r="BV31" i="1" s="1"/>
  <c r="BV32" i="1" s="1"/>
  <c r="BV33" i="1" s="1"/>
  <c r="BV34" i="1" s="1"/>
  <c r="BV35" i="1" s="1"/>
  <c r="BV36" i="1" s="1"/>
  <c r="BV37" i="1" s="1"/>
  <c r="BV38" i="1" s="1"/>
  <c r="BV39" i="1" s="1"/>
  <c r="BV40" i="1" s="1"/>
  <c r="BV41" i="1" s="1"/>
  <c r="BV42" i="1" s="1"/>
  <c r="BV43" i="1" s="1"/>
  <c r="BV44" i="1" s="1"/>
  <c r="BV45" i="1" s="1"/>
  <c r="BI44" i="1"/>
  <c r="BX44" i="1" s="1"/>
  <c r="BU148" i="1"/>
  <c r="BX148" i="1" s="1"/>
  <c r="BU67" i="1"/>
  <c r="BX67" i="1" s="1"/>
  <c r="BS46" i="1"/>
  <c r="BP46" i="1"/>
  <c r="BR47" i="1" s="1"/>
  <c r="BX106" i="1" l="1"/>
  <c r="BX45" i="1"/>
  <c r="BP87" i="1"/>
  <c r="BS87" i="1"/>
  <c r="BT87" i="1"/>
  <c r="BU103" i="1"/>
  <c r="BX103" i="1" s="1"/>
  <c r="BH52" i="1"/>
  <c r="BD52" i="1"/>
  <c r="BG52" i="1"/>
  <c r="BI52" i="1" s="1"/>
  <c r="BX52" i="1" s="1"/>
  <c r="BJ51" i="1"/>
  <c r="BJ52" i="1" s="1"/>
  <c r="BJ53" i="1" s="1"/>
  <c r="BJ54" i="1" s="1"/>
  <c r="BJ55" i="1" s="1"/>
  <c r="BJ56" i="1" s="1"/>
  <c r="BJ57" i="1" s="1"/>
  <c r="BJ58" i="1" s="1"/>
  <c r="BJ59" i="1" s="1"/>
  <c r="BJ60" i="1" s="1"/>
  <c r="BJ61" i="1" s="1"/>
  <c r="BJ62" i="1" s="1"/>
  <c r="BJ63" i="1" s="1"/>
  <c r="BJ64" i="1" s="1"/>
  <c r="BJ65" i="1" s="1"/>
  <c r="BJ66" i="1" s="1"/>
  <c r="BJ67" i="1" s="1"/>
  <c r="BJ68" i="1" s="1"/>
  <c r="BJ69" i="1" s="1"/>
  <c r="BJ70" i="1" s="1"/>
  <c r="BJ71" i="1" s="1"/>
  <c r="BJ72" i="1" s="1"/>
  <c r="BJ73" i="1" s="1"/>
  <c r="BJ74" i="1" s="1"/>
  <c r="BJ75" i="1" s="1"/>
  <c r="BJ76" i="1" s="1"/>
  <c r="BJ77" i="1" s="1"/>
  <c r="BJ78" i="1" s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X25" i="1"/>
  <c r="BI108" i="1"/>
  <c r="BX108" i="1" s="1"/>
  <c r="BT90" i="1"/>
  <c r="BS90" i="1"/>
  <c r="BU90" i="1" s="1"/>
  <c r="BX90" i="1" s="1"/>
  <c r="BP90" i="1"/>
  <c r="BR91" i="1" s="1"/>
  <c r="BU68" i="1"/>
  <c r="BX68" i="1" s="1"/>
  <c r="BI51" i="1"/>
  <c r="BX51" i="1" s="1"/>
  <c r="BS69" i="1"/>
  <c r="BT69" i="1"/>
  <c r="BP69" i="1"/>
  <c r="BR70" i="1" s="1"/>
  <c r="BI120" i="1"/>
  <c r="BX120" i="1" s="1"/>
  <c r="BT47" i="1"/>
  <c r="BS47" i="1"/>
  <c r="BU47" i="1" s="1"/>
  <c r="BX47" i="1" s="1"/>
  <c r="BP47" i="1"/>
  <c r="BR48" i="1" s="1"/>
  <c r="BU46" i="1"/>
  <c r="BY25" i="1"/>
  <c r="BY26" i="1" s="1"/>
  <c r="BY27" i="1" s="1"/>
  <c r="BY28" i="1" s="1"/>
  <c r="BY29" i="1" s="1"/>
  <c r="BY30" i="1" s="1"/>
  <c r="BY31" i="1" s="1"/>
  <c r="BY32" i="1" s="1"/>
  <c r="BY33" i="1" s="1"/>
  <c r="BY34" i="1" s="1"/>
  <c r="BY35" i="1" s="1"/>
  <c r="BY36" i="1" s="1"/>
  <c r="BY37" i="1" s="1"/>
  <c r="BY38" i="1" s="1"/>
  <c r="BY39" i="1" s="1"/>
  <c r="BY40" i="1" s="1"/>
  <c r="BY41" i="1" s="1"/>
  <c r="BY42" i="1" s="1"/>
  <c r="BY43" i="1" s="1"/>
  <c r="BY44" i="1" s="1"/>
  <c r="BY45" i="1" s="1"/>
  <c r="BX46" i="1" l="1"/>
  <c r="BY46" i="1"/>
  <c r="BY47" i="1" s="1"/>
  <c r="BT48" i="1"/>
  <c r="BS48" i="1"/>
  <c r="BU48" i="1" s="1"/>
  <c r="BX48" i="1" s="1"/>
  <c r="BP48" i="1"/>
  <c r="BR49" i="1" s="1"/>
  <c r="BV46" i="1"/>
  <c r="BV47" i="1" s="1"/>
  <c r="BJ9" i="1"/>
  <c r="BJ10" i="1"/>
  <c r="BP70" i="1"/>
  <c r="BT70" i="1"/>
  <c r="BS70" i="1"/>
  <c r="BJ108" i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J122" i="1" s="1"/>
  <c r="BJ123" i="1" s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J158" i="1" s="1"/>
  <c r="BJ159" i="1" s="1"/>
  <c r="BJ160" i="1" s="1"/>
  <c r="BJ161" i="1" s="1"/>
  <c r="BJ162" i="1" s="1"/>
  <c r="BJ163" i="1" s="1"/>
  <c r="BJ164" i="1" s="1"/>
  <c r="BJ165" i="1" s="1"/>
  <c r="BJ166" i="1" s="1"/>
  <c r="BJ167" i="1" s="1"/>
  <c r="BJ1" i="1" s="1"/>
  <c r="BU69" i="1"/>
  <c r="BX69" i="1" s="1"/>
  <c r="BT91" i="1"/>
  <c r="BS91" i="1"/>
  <c r="BP91" i="1"/>
  <c r="BR92" i="1" s="1"/>
  <c r="BU87" i="1"/>
  <c r="BX87" i="1" s="1"/>
  <c r="BV48" i="1" l="1"/>
  <c r="BU91" i="1"/>
  <c r="BX91" i="1" s="1"/>
  <c r="BJ11" i="1"/>
  <c r="BP49" i="1"/>
  <c r="BT49" i="1"/>
  <c r="BS49" i="1"/>
  <c r="BU49" i="1" s="1"/>
  <c r="BT92" i="1"/>
  <c r="BS92" i="1"/>
  <c r="BU92" i="1" s="1"/>
  <c r="BX92" i="1" s="1"/>
  <c r="BP92" i="1"/>
  <c r="BY48" i="1"/>
  <c r="BU70" i="1"/>
  <c r="BX70" i="1" s="1"/>
  <c r="BV10" i="1" l="1"/>
  <c r="BX49" i="1"/>
  <c r="BY49" i="1" s="1"/>
  <c r="BY50" i="1" s="1"/>
  <c r="BY51" i="1" s="1"/>
  <c r="BY52" i="1" s="1"/>
  <c r="BY53" i="1" s="1"/>
  <c r="BY54" i="1" s="1"/>
  <c r="BY55" i="1" s="1"/>
  <c r="BY56" i="1" s="1"/>
  <c r="BY57" i="1" s="1"/>
  <c r="BY58" i="1" s="1"/>
  <c r="BY59" i="1" s="1"/>
  <c r="BY60" i="1" s="1"/>
  <c r="BY61" i="1" s="1"/>
  <c r="BY62" i="1" s="1"/>
  <c r="BY63" i="1" s="1"/>
  <c r="BY64" i="1" s="1"/>
  <c r="BY65" i="1" s="1"/>
  <c r="BY66" i="1" s="1"/>
  <c r="BY67" i="1" s="1"/>
  <c r="BY68" i="1" s="1"/>
  <c r="BY69" i="1" s="1"/>
  <c r="BY70" i="1" s="1"/>
  <c r="BY71" i="1" s="1"/>
  <c r="BY72" i="1" s="1"/>
  <c r="BY73" i="1" s="1"/>
  <c r="BY74" i="1" s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Y89" i="1" s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Y100" i="1" s="1"/>
  <c r="BY101" i="1" s="1"/>
  <c r="BY102" i="1" s="1"/>
  <c r="BY103" i="1" s="1"/>
  <c r="BY104" i="1" s="1"/>
  <c r="BY105" i="1" s="1"/>
  <c r="BY106" i="1" s="1"/>
  <c r="BY107" i="1" s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119" i="1" s="1"/>
  <c r="BY120" i="1" s="1"/>
  <c r="BY121" i="1" s="1"/>
  <c r="BY122" i="1" s="1"/>
  <c r="BY123" i="1" s="1"/>
  <c r="BY124" i="1" s="1"/>
  <c r="BY125" i="1" s="1"/>
  <c r="BY126" i="1" s="1"/>
  <c r="BY127" i="1" s="1"/>
  <c r="BY128" i="1" s="1"/>
  <c r="BY129" i="1" s="1"/>
  <c r="BY130" i="1" s="1"/>
  <c r="BY131" i="1" s="1"/>
  <c r="BY132" i="1" s="1"/>
  <c r="BY133" i="1" s="1"/>
  <c r="BY134" i="1" s="1"/>
  <c r="BY135" i="1" s="1"/>
  <c r="BY136" i="1" s="1"/>
  <c r="BY137" i="1" s="1"/>
  <c r="BY138" i="1" s="1"/>
  <c r="BY139" i="1" s="1"/>
  <c r="BY140" i="1" s="1"/>
  <c r="BY141" i="1" s="1"/>
  <c r="BY142" i="1" s="1"/>
  <c r="BY143" i="1" s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BY156" i="1" s="1"/>
  <c r="BY157" i="1" s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" i="1" s="1"/>
  <c r="BV9" i="1"/>
  <c r="BV11" i="1" s="1"/>
  <c r="BV49" i="1"/>
  <c r="BV50" i="1" s="1"/>
  <c r="BV51" i="1" s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65" i="1" s="1"/>
  <c r="BV66" i="1" s="1"/>
  <c r="BV67" i="1" s="1"/>
  <c r="BV68" i="1" s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V89" i="1" s="1"/>
  <c r="BV90" i="1" s="1"/>
  <c r="BV91" i="1" s="1"/>
  <c r="BV92" i="1" s="1"/>
  <c r="BV93" i="1" s="1"/>
  <c r="BV94" i="1" s="1"/>
  <c r="BV95" i="1" s="1"/>
  <c r="BV96" i="1" s="1"/>
  <c r="BV97" i="1" s="1"/>
  <c r="BV98" i="1" s="1"/>
  <c r="BV99" i="1" s="1"/>
  <c r="BV100" i="1" s="1"/>
  <c r="BV101" i="1" s="1"/>
  <c r="BV102" i="1" s="1"/>
  <c r="BV103" i="1" s="1"/>
  <c r="BV104" i="1" s="1"/>
  <c r="BV105" i="1" s="1"/>
  <c r="BV106" i="1" s="1"/>
  <c r="BV107" i="1" s="1"/>
  <c r="BV108" i="1" s="1"/>
  <c r="BV109" i="1" s="1"/>
  <c r="BV110" i="1" s="1"/>
  <c r="BV111" i="1" s="1"/>
  <c r="BV112" i="1" s="1"/>
  <c r="BV113" i="1" s="1"/>
  <c r="BV114" i="1" s="1"/>
  <c r="BV115" i="1" s="1"/>
  <c r="BV116" i="1" s="1"/>
  <c r="BV117" i="1" s="1"/>
  <c r="BV118" i="1" s="1"/>
  <c r="BV119" i="1" s="1"/>
  <c r="BV120" i="1" s="1"/>
  <c r="BV121" i="1" s="1"/>
  <c r="BV122" i="1" s="1"/>
  <c r="BV123" i="1" s="1"/>
  <c r="BV124" i="1" s="1"/>
  <c r="BV125" i="1" s="1"/>
  <c r="BV126" i="1" s="1"/>
  <c r="BV127" i="1" s="1"/>
  <c r="BV128" i="1" s="1"/>
  <c r="BV129" i="1" s="1"/>
  <c r="BV130" i="1" s="1"/>
  <c r="BV131" i="1" s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" i="1" s="1"/>
  <c r="BY10" i="1" l="1"/>
  <c r="BY9" i="1"/>
  <c r="BY11" i="1" s="1"/>
</calcChain>
</file>

<file path=xl/sharedStrings.xml><?xml version="1.0" encoding="utf-8"?>
<sst xmlns="http://schemas.openxmlformats.org/spreadsheetml/2006/main" count="53" uniqueCount="42">
  <si>
    <t>date</t>
  </si>
  <si>
    <t>IYH</t>
  </si>
  <si>
    <t>XLV</t>
  </si>
  <si>
    <t>IYH log rtn</t>
  </si>
  <si>
    <t>XLV log rtn</t>
  </si>
  <si>
    <t>IYH div</t>
  </si>
  <si>
    <t>IYH div cumsum</t>
  </si>
  <si>
    <t>XLV div</t>
  </si>
  <si>
    <t>XLV div cumsum</t>
  </si>
  <si>
    <t>IYH div adjustment</t>
  </si>
  <si>
    <t>XLV div adjustment</t>
  </si>
  <si>
    <t>IYH*</t>
  </si>
  <si>
    <t>XLV*</t>
  </si>
  <si>
    <t>XLV/IYH</t>
  </si>
  <si>
    <t>XLV/IYH avg</t>
  </si>
  <si>
    <t>XLV/IYH 10 dma</t>
  </si>
  <si>
    <t>XLV/IYH 20 dma</t>
  </si>
  <si>
    <t>IYH x avg</t>
  </si>
  <si>
    <t>IYH x 10 dma</t>
  </si>
  <si>
    <t>IYH x 20 dma</t>
  </si>
  <si>
    <t>log diff IYH x avg / XLV</t>
  </si>
  <si>
    <t>log diff IYH x 10 dma / XLV</t>
  </si>
  <si>
    <t>log diff IYH x 20 dma / XLV</t>
  </si>
  <si>
    <t>XLV*/IYH*</t>
  </si>
  <si>
    <t>XLV*/IYH* avg</t>
  </si>
  <si>
    <t>XLV*/IYH* 10 dma</t>
  </si>
  <si>
    <t>XLV*/IYH* 20 dma</t>
  </si>
  <si>
    <t>IYH* x avg</t>
  </si>
  <si>
    <t>IYH* x 10 dma</t>
  </si>
  <si>
    <t>IYH* x 20 dma</t>
  </si>
  <si>
    <t>log diff IYH* x avg / XLV*</t>
  </si>
  <si>
    <t>log diff IYH* x 10 dma / XLV*</t>
  </si>
  <si>
    <t>log diff IYH* x 20 dma / XLV*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</si>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</sst>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IYH_XLV_2!$O$1</c:f>
              <c:strCache>
                <c:ptCount val="1"/>
                <c:pt idx="0">
                  <c:v> XLV/IYH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IYH_XLV_2!$O$2:$O$167</c:f>
              <c:numCache>
                <c:formatCode>_(* #,##0.0000_);_(* \(#,##0.0000\);_(* "-"??_);_(@_)</c:formatCode>
                <c:ptCount val="166"/>
                <c:pt idx="0">
                  <c:v>2.3794589997480098</c:v>
                </c:pt>
                <c:pt idx="1">
                  <c:v>2.3794589997480098</c:v>
                </c:pt>
                <c:pt idx="2">
                  <c:v>2.3794589997480098</c:v>
                </c:pt>
                <c:pt idx="3">
                  <c:v>2.3794589997480098</c:v>
                </c:pt>
                <c:pt idx="4">
                  <c:v>2.3794589997480098</c:v>
                </c:pt>
                <c:pt idx="5">
                  <c:v>2.3794589997480098</c:v>
                </c:pt>
                <c:pt idx="6">
                  <c:v>2.3794589997480098</c:v>
                </c:pt>
                <c:pt idx="7">
                  <c:v>2.3794589997480098</c:v>
                </c:pt>
                <c:pt idx="8">
                  <c:v>2.3794589997480098</c:v>
                </c:pt>
                <c:pt idx="9">
                  <c:v>2.3794589997480098</c:v>
                </c:pt>
                <c:pt idx="10">
                  <c:v>2.3794589997480098</c:v>
                </c:pt>
                <c:pt idx="11">
                  <c:v>2.3794589997480098</c:v>
                </c:pt>
                <c:pt idx="12">
                  <c:v>2.3794589997480098</c:v>
                </c:pt>
                <c:pt idx="13">
                  <c:v>2.3794589997480098</c:v>
                </c:pt>
                <c:pt idx="14">
                  <c:v>2.3794589997480098</c:v>
                </c:pt>
                <c:pt idx="15">
                  <c:v>2.3794589997480098</c:v>
                </c:pt>
                <c:pt idx="16">
                  <c:v>2.3794589997480098</c:v>
                </c:pt>
                <c:pt idx="17">
                  <c:v>2.3794589997480098</c:v>
                </c:pt>
                <c:pt idx="18">
                  <c:v>2.3794589997480098</c:v>
                </c:pt>
                <c:pt idx="19">
                  <c:v>2.3794589997480098</c:v>
                </c:pt>
                <c:pt idx="20">
                  <c:v>2.3794589997480098</c:v>
                </c:pt>
                <c:pt idx="21">
                  <c:v>2.3794589997480098</c:v>
                </c:pt>
                <c:pt idx="22">
                  <c:v>2.3794589997480098</c:v>
                </c:pt>
                <c:pt idx="23">
                  <c:v>2.3794589997480098</c:v>
                </c:pt>
                <c:pt idx="24">
                  <c:v>2.3794589997480098</c:v>
                </c:pt>
                <c:pt idx="25">
                  <c:v>2.3794589997480098</c:v>
                </c:pt>
                <c:pt idx="26">
                  <c:v>2.3794589997480098</c:v>
                </c:pt>
                <c:pt idx="27">
                  <c:v>2.3794589997480098</c:v>
                </c:pt>
                <c:pt idx="28">
                  <c:v>2.3794589997480098</c:v>
                </c:pt>
                <c:pt idx="29">
                  <c:v>2.3794589997480098</c:v>
                </c:pt>
                <c:pt idx="30">
                  <c:v>2.3794589997480098</c:v>
                </c:pt>
                <c:pt idx="31">
                  <c:v>2.3794589997480098</c:v>
                </c:pt>
                <c:pt idx="32">
                  <c:v>2.3794589997480098</c:v>
                </c:pt>
                <c:pt idx="33">
                  <c:v>2.3794589997480098</c:v>
                </c:pt>
                <c:pt idx="34">
                  <c:v>2.3794589997480098</c:v>
                </c:pt>
                <c:pt idx="35">
                  <c:v>2.3794589997480098</c:v>
                </c:pt>
                <c:pt idx="36">
                  <c:v>2.3794589997480098</c:v>
                </c:pt>
                <c:pt idx="37">
                  <c:v>2.3794589997480098</c:v>
                </c:pt>
                <c:pt idx="38">
                  <c:v>2.3794589997480098</c:v>
                </c:pt>
                <c:pt idx="39">
                  <c:v>2.3794589997480098</c:v>
                </c:pt>
                <c:pt idx="40">
                  <c:v>2.3794589997480098</c:v>
                </c:pt>
                <c:pt idx="41">
                  <c:v>2.3794589997480098</c:v>
                </c:pt>
                <c:pt idx="42">
                  <c:v>2.3794589997480098</c:v>
                </c:pt>
                <c:pt idx="43">
                  <c:v>2.3794589997480098</c:v>
                </c:pt>
                <c:pt idx="44">
                  <c:v>2.3794589997480098</c:v>
                </c:pt>
                <c:pt idx="45">
                  <c:v>2.3794589997480098</c:v>
                </c:pt>
                <c:pt idx="46">
                  <c:v>2.3794589997480098</c:v>
                </c:pt>
                <c:pt idx="47">
                  <c:v>2.3794589997480098</c:v>
                </c:pt>
                <c:pt idx="48">
                  <c:v>2.3794589997480098</c:v>
                </c:pt>
                <c:pt idx="49">
                  <c:v>2.3794589997480098</c:v>
                </c:pt>
                <c:pt idx="50">
                  <c:v>2.3794589997480098</c:v>
                </c:pt>
                <c:pt idx="51">
                  <c:v>2.3794589997480098</c:v>
                </c:pt>
                <c:pt idx="52">
                  <c:v>2.3794589997480098</c:v>
                </c:pt>
                <c:pt idx="53">
                  <c:v>2.3794589997480098</c:v>
                </c:pt>
                <c:pt idx="54">
                  <c:v>2.3794589997480098</c:v>
                </c:pt>
                <c:pt idx="55">
                  <c:v>2.3794589997480098</c:v>
                </c:pt>
                <c:pt idx="56">
                  <c:v>2.3794589997480098</c:v>
                </c:pt>
                <c:pt idx="57">
                  <c:v>2.3794589997480098</c:v>
                </c:pt>
                <c:pt idx="58">
                  <c:v>2.3794589997480098</c:v>
                </c:pt>
                <c:pt idx="59">
                  <c:v>2.3794589997480098</c:v>
                </c:pt>
                <c:pt idx="60">
                  <c:v>2.3794589997480098</c:v>
                </c:pt>
                <c:pt idx="61">
                  <c:v>2.3794589997480098</c:v>
                </c:pt>
                <c:pt idx="62">
                  <c:v>2.3794589997480098</c:v>
                </c:pt>
                <c:pt idx="63">
                  <c:v>2.3794589997480098</c:v>
                </c:pt>
                <c:pt idx="64">
                  <c:v>2.3794589997480098</c:v>
                </c:pt>
                <c:pt idx="65">
                  <c:v>2.3794589997480098</c:v>
                </c:pt>
                <c:pt idx="66">
                  <c:v>2.3794589997480098</c:v>
                </c:pt>
                <c:pt idx="67">
                  <c:v>2.3794589997480098</c:v>
                </c:pt>
                <c:pt idx="68">
                  <c:v>2.3794589997480098</c:v>
                </c:pt>
                <c:pt idx="69">
                  <c:v>2.3794589997480098</c:v>
                </c:pt>
                <c:pt idx="70">
                  <c:v>2.3794589997480098</c:v>
                </c:pt>
                <c:pt idx="71">
                  <c:v>2.3794589997480098</c:v>
                </c:pt>
                <c:pt idx="72">
                  <c:v>2.3794589997480098</c:v>
                </c:pt>
                <c:pt idx="73">
                  <c:v>2.3794589997480098</c:v>
                </c:pt>
                <c:pt idx="74">
                  <c:v>2.3794589997480098</c:v>
                </c:pt>
                <c:pt idx="75">
                  <c:v>2.3794589997480098</c:v>
                </c:pt>
                <c:pt idx="76">
                  <c:v>2.3794589997480098</c:v>
                </c:pt>
                <c:pt idx="77">
                  <c:v>2.3794589997480098</c:v>
                </c:pt>
                <c:pt idx="78">
                  <c:v>2.3794589997480098</c:v>
                </c:pt>
                <c:pt idx="79">
                  <c:v>2.3794589997480098</c:v>
                </c:pt>
                <c:pt idx="80">
                  <c:v>2.3794589997480098</c:v>
                </c:pt>
                <c:pt idx="81">
                  <c:v>2.3794589997480098</c:v>
                </c:pt>
                <c:pt idx="82">
                  <c:v>2.3794589997480098</c:v>
                </c:pt>
                <c:pt idx="83">
                  <c:v>2.3794589997480098</c:v>
                </c:pt>
                <c:pt idx="84">
                  <c:v>2.3794589997480098</c:v>
                </c:pt>
                <c:pt idx="85">
                  <c:v>2.3794589997480098</c:v>
                </c:pt>
                <c:pt idx="86">
                  <c:v>2.3794589997480098</c:v>
                </c:pt>
                <c:pt idx="87">
                  <c:v>2.3794589997480098</c:v>
                </c:pt>
                <c:pt idx="88">
                  <c:v>2.3794589997480098</c:v>
                </c:pt>
                <c:pt idx="89">
                  <c:v>2.3794589997480098</c:v>
                </c:pt>
                <c:pt idx="90">
                  <c:v>2.3794589997480098</c:v>
                </c:pt>
                <c:pt idx="91">
                  <c:v>2.3794589997480098</c:v>
                </c:pt>
                <c:pt idx="92">
                  <c:v>2.3794589997480098</c:v>
                </c:pt>
                <c:pt idx="93">
                  <c:v>2.3794589997480098</c:v>
                </c:pt>
                <c:pt idx="94">
                  <c:v>2.3794589997480098</c:v>
                </c:pt>
                <c:pt idx="95">
                  <c:v>2.3794589997480098</c:v>
                </c:pt>
                <c:pt idx="96">
                  <c:v>2.3794589997480098</c:v>
                </c:pt>
                <c:pt idx="97">
                  <c:v>2.3794589997480098</c:v>
                </c:pt>
                <c:pt idx="98">
                  <c:v>2.3794589997480098</c:v>
                </c:pt>
                <c:pt idx="99">
                  <c:v>2.3794589997480098</c:v>
                </c:pt>
                <c:pt idx="100">
                  <c:v>2.3794589997480098</c:v>
                </c:pt>
                <c:pt idx="101">
                  <c:v>2.3794589997480098</c:v>
                </c:pt>
                <c:pt idx="102">
                  <c:v>2.3794589997480098</c:v>
                </c:pt>
                <c:pt idx="103">
                  <c:v>2.3794589997480098</c:v>
                </c:pt>
                <c:pt idx="104">
                  <c:v>2.3794589997480098</c:v>
                </c:pt>
                <c:pt idx="105">
                  <c:v>2.3794589997480098</c:v>
                </c:pt>
                <c:pt idx="106">
                  <c:v>2.3794589997480098</c:v>
                </c:pt>
                <c:pt idx="107">
                  <c:v>2.3794589997480098</c:v>
                </c:pt>
                <c:pt idx="108">
                  <c:v>2.3794589997480098</c:v>
                </c:pt>
                <c:pt idx="109">
                  <c:v>2.3794589997480098</c:v>
                </c:pt>
                <c:pt idx="110">
                  <c:v>2.3794589997480098</c:v>
                </c:pt>
                <c:pt idx="111">
                  <c:v>2.3794589997480098</c:v>
                </c:pt>
                <c:pt idx="112">
                  <c:v>2.3794589997480098</c:v>
                </c:pt>
                <c:pt idx="113">
                  <c:v>2.3794589997480098</c:v>
                </c:pt>
                <c:pt idx="114">
                  <c:v>2.3794589997480098</c:v>
                </c:pt>
                <c:pt idx="115">
                  <c:v>2.3794589997480098</c:v>
                </c:pt>
                <c:pt idx="116">
                  <c:v>2.3794589997480098</c:v>
                </c:pt>
                <c:pt idx="117">
                  <c:v>2.3794589997480098</c:v>
                </c:pt>
                <c:pt idx="118">
                  <c:v>2.3794589997480098</c:v>
                </c:pt>
                <c:pt idx="119">
                  <c:v>2.3794589997480098</c:v>
                </c:pt>
                <c:pt idx="120">
                  <c:v>2.3794589997480098</c:v>
                </c:pt>
                <c:pt idx="121">
                  <c:v>2.3794589997480098</c:v>
                </c:pt>
                <c:pt idx="122">
                  <c:v>2.3794589997480098</c:v>
                </c:pt>
                <c:pt idx="123">
                  <c:v>2.3794589997480098</c:v>
                </c:pt>
                <c:pt idx="124">
                  <c:v>2.3794589997480098</c:v>
                </c:pt>
                <c:pt idx="125">
                  <c:v>2.3794589997480098</c:v>
                </c:pt>
                <c:pt idx="126">
                  <c:v>2.3794589997480098</c:v>
                </c:pt>
                <c:pt idx="127">
                  <c:v>2.3794589997480098</c:v>
                </c:pt>
                <c:pt idx="128">
                  <c:v>2.3794589997480098</c:v>
                </c:pt>
                <c:pt idx="129">
                  <c:v>2.3794589997480098</c:v>
                </c:pt>
                <c:pt idx="130">
                  <c:v>2.3794589997480098</c:v>
                </c:pt>
                <c:pt idx="131">
                  <c:v>2.3794589997480098</c:v>
                </c:pt>
                <c:pt idx="132">
                  <c:v>2.3794589997480098</c:v>
                </c:pt>
                <c:pt idx="133">
                  <c:v>2.3794589997480098</c:v>
                </c:pt>
                <c:pt idx="134">
                  <c:v>2.3794589997480098</c:v>
                </c:pt>
                <c:pt idx="135">
                  <c:v>2.3794589997480098</c:v>
                </c:pt>
                <c:pt idx="136">
                  <c:v>2.3794589997480098</c:v>
                </c:pt>
                <c:pt idx="137">
                  <c:v>2.3794589997480098</c:v>
                </c:pt>
                <c:pt idx="138">
                  <c:v>2.3794589997480098</c:v>
                </c:pt>
                <c:pt idx="139">
                  <c:v>2.3794589997480098</c:v>
                </c:pt>
                <c:pt idx="140">
                  <c:v>2.3794589997480098</c:v>
                </c:pt>
                <c:pt idx="141">
                  <c:v>2.3794589997480098</c:v>
                </c:pt>
                <c:pt idx="142">
                  <c:v>2.3794589997480098</c:v>
                </c:pt>
                <c:pt idx="143">
                  <c:v>2.3794589997480098</c:v>
                </c:pt>
                <c:pt idx="144">
                  <c:v>2.3794589997480098</c:v>
                </c:pt>
                <c:pt idx="145">
                  <c:v>2.3794589997480098</c:v>
                </c:pt>
                <c:pt idx="146">
                  <c:v>2.3794589997480098</c:v>
                </c:pt>
                <c:pt idx="147">
                  <c:v>2.3794589997480098</c:v>
                </c:pt>
                <c:pt idx="148">
                  <c:v>2.3794589997480098</c:v>
                </c:pt>
                <c:pt idx="149">
                  <c:v>2.3794589997480098</c:v>
                </c:pt>
                <c:pt idx="150">
                  <c:v>2.3794589997480098</c:v>
                </c:pt>
                <c:pt idx="151">
                  <c:v>2.3794589997480098</c:v>
                </c:pt>
                <c:pt idx="152">
                  <c:v>2.3794589997480098</c:v>
                </c:pt>
                <c:pt idx="153">
                  <c:v>2.3794589997480098</c:v>
                </c:pt>
                <c:pt idx="154">
                  <c:v>2.3794589997480098</c:v>
                </c:pt>
                <c:pt idx="155">
                  <c:v>2.3794589997480098</c:v>
                </c:pt>
                <c:pt idx="156">
                  <c:v>2.3794589997480098</c:v>
                </c:pt>
                <c:pt idx="157">
                  <c:v>2.3794589997480098</c:v>
                </c:pt>
                <c:pt idx="158">
                  <c:v>2.3794589997480098</c:v>
                </c:pt>
                <c:pt idx="159">
                  <c:v>2.3794589997480098</c:v>
                </c:pt>
                <c:pt idx="160">
                  <c:v>2.3794589997480098</c:v>
                </c:pt>
                <c:pt idx="161">
                  <c:v>2.3794589997480098</c:v>
                </c:pt>
                <c:pt idx="162">
                  <c:v>2.3794589997480098</c:v>
                </c:pt>
                <c:pt idx="163">
                  <c:v>2.3794589997480098</c:v>
                </c:pt>
                <c:pt idx="164">
                  <c:v>2.3794589997480098</c:v>
                </c:pt>
                <c:pt idx="165">
                  <c:v>2.3794589997480098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D4-4840-BE13-3E92C60EF63F}"/>
            </c:ext>
          </c:extLst>
        </c:ser>
        <c:ser>
          <c:idx val="1"/>
          <c:order val="1"/>
          <c:tx>
            <c:strRef>
              <c:f>IYH_XLV_2!$P$1</c:f>
              <c:strCache>
                <c:ptCount val="1"/>
                <c:pt idx="0">
                  <c:v> XLV/IYH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IYH_XLV_2!$P$2:$P$167</c:f>
              <c:numCache>
                <c:formatCode>_(* #,##0.0000_);_(* \(#,##0.0000\);_(* "-"??_);_(@_)</c:formatCode>
                <c:ptCount val="166"/>
                <c:pt idx="9">
                  <c:v>2.37611986927423</c:v>
                </c:pt>
                <c:pt idx="10">
                  <c:v>2.3760714177143898</c:v>
                </c:pt>
                <c:pt idx="11">
                  <c:v>2.37611302437326</c:v>
                </c:pt>
                <c:pt idx="12">
                  <c:v>2.3765469967742598</c:v>
                </c:pt>
                <c:pt idx="13">
                  <c:v>2.3771248103762002</c:v>
                </c:pt>
                <c:pt idx="14">
                  <c:v>2.3778073377989202</c:v>
                </c:pt>
                <c:pt idx="15">
                  <c:v>2.37878305479334</c:v>
                </c:pt>
                <c:pt idx="16">
                  <c:v>2.3786314641947901</c:v>
                </c:pt>
                <c:pt idx="17">
                  <c:v>2.3787702219165099</c:v>
                </c:pt>
                <c:pt idx="18">
                  <c:v>2.3787028992452099</c:v>
                </c:pt>
                <c:pt idx="19">
                  <c:v>2.3788758792979401</c:v>
                </c:pt>
                <c:pt idx="20">
                  <c:v>2.3795281849360999</c:v>
                </c:pt>
                <c:pt idx="21">
                  <c:v>2.3802391486077199</c:v>
                </c:pt>
                <c:pt idx="22">
                  <c:v>2.3805388769265199</c:v>
                </c:pt>
                <c:pt idx="23">
                  <c:v>2.3822244517011399</c:v>
                </c:pt>
                <c:pt idx="24">
                  <c:v>2.3836938996960599</c:v>
                </c:pt>
                <c:pt idx="25">
                  <c:v>2.3850906320820999</c:v>
                </c:pt>
                <c:pt idx="26">
                  <c:v>2.3867727368009901</c:v>
                </c:pt>
                <c:pt idx="27">
                  <c:v>2.3884340081402402</c:v>
                </c:pt>
                <c:pt idx="28">
                  <c:v>2.3902852149702598</c:v>
                </c:pt>
                <c:pt idx="29">
                  <c:v>2.3919160325865798</c:v>
                </c:pt>
                <c:pt idx="30">
                  <c:v>2.3928754879162701</c:v>
                </c:pt>
                <c:pt idx="31">
                  <c:v>2.3938789099220301</c:v>
                </c:pt>
                <c:pt idx="32">
                  <c:v>2.3949530157633498</c:v>
                </c:pt>
                <c:pt idx="33">
                  <c:v>2.3946868592300401</c:v>
                </c:pt>
                <c:pt idx="34">
                  <c:v>2.3947107678598099</c:v>
                </c:pt>
                <c:pt idx="35">
                  <c:v>2.3942643943586801</c:v>
                </c:pt>
                <c:pt idx="36">
                  <c:v>2.3943177824824202</c:v>
                </c:pt>
                <c:pt idx="37">
                  <c:v>2.3941300070174001</c:v>
                </c:pt>
                <c:pt idx="38">
                  <c:v>2.3941386954430102</c:v>
                </c:pt>
                <c:pt idx="39">
                  <c:v>2.3942425884083298</c:v>
                </c:pt>
                <c:pt idx="40">
                  <c:v>2.3945611639452502</c:v>
                </c:pt>
                <c:pt idx="41">
                  <c:v>2.3948210720445799</c:v>
                </c:pt>
                <c:pt idx="42">
                  <c:v>2.39496918428615</c:v>
                </c:pt>
                <c:pt idx="43">
                  <c:v>2.39514558572266</c:v>
                </c:pt>
                <c:pt idx="44">
                  <c:v>2.3950075129291601</c:v>
                </c:pt>
                <c:pt idx="45">
                  <c:v>2.3949930754618398</c:v>
                </c:pt>
                <c:pt idx="46">
                  <c:v>2.3949158862598399</c:v>
                </c:pt>
                <c:pt idx="47">
                  <c:v>2.3952474050438299</c:v>
                </c:pt>
                <c:pt idx="48">
                  <c:v>2.39519622472281</c:v>
                </c:pt>
                <c:pt idx="49">
                  <c:v>2.3948743753133002</c:v>
                </c:pt>
                <c:pt idx="50">
                  <c:v>2.3951025923518601</c:v>
                </c:pt>
                <c:pt idx="51">
                  <c:v>2.3950489304164799</c:v>
                </c:pt>
                <c:pt idx="52">
                  <c:v>2.3952864711530202</c:v>
                </c:pt>
                <c:pt idx="53">
                  <c:v>2.3957216468031</c:v>
                </c:pt>
                <c:pt idx="54">
                  <c:v>2.39487413848599</c:v>
                </c:pt>
                <c:pt idx="55">
                  <c:v>2.3946126330584701</c:v>
                </c:pt>
                <c:pt idx="56">
                  <c:v>2.39374473271794</c:v>
                </c:pt>
                <c:pt idx="57">
                  <c:v>2.3924349184703702</c:v>
                </c:pt>
                <c:pt idx="58">
                  <c:v>2.3913373971040901</c:v>
                </c:pt>
                <c:pt idx="59">
                  <c:v>2.3900629313343802</c:v>
                </c:pt>
                <c:pt idx="60">
                  <c:v>2.38787323225894</c:v>
                </c:pt>
                <c:pt idx="61">
                  <c:v>2.3860064110624601</c:v>
                </c:pt>
                <c:pt idx="62">
                  <c:v>2.3845039057247499</c:v>
                </c:pt>
                <c:pt idx="63">
                  <c:v>2.3826182043141202</c:v>
                </c:pt>
                <c:pt idx="64">
                  <c:v>2.3823263843289002</c:v>
                </c:pt>
                <c:pt idx="65">
                  <c:v>2.3817679006960799</c:v>
                </c:pt>
                <c:pt idx="66">
                  <c:v>2.3818672576179201</c:v>
                </c:pt>
                <c:pt idx="67">
                  <c:v>2.3819005782402898</c:v>
                </c:pt>
                <c:pt idx="68">
                  <c:v>2.3811898617629299</c:v>
                </c:pt>
                <c:pt idx="69">
                  <c:v>2.3804757880486198</c:v>
                </c:pt>
                <c:pt idx="70">
                  <c:v>2.3798560783092899</c:v>
                </c:pt>
                <c:pt idx="71">
                  <c:v>2.3795441946925702</c:v>
                </c:pt>
                <c:pt idx="72">
                  <c:v>2.37891953976869</c:v>
                </c:pt>
                <c:pt idx="73">
                  <c:v>2.3785336647372599</c:v>
                </c:pt>
                <c:pt idx="74">
                  <c:v>2.3778246609992499</c:v>
                </c:pt>
                <c:pt idx="75">
                  <c:v>2.3767793123789702</c:v>
                </c:pt>
                <c:pt idx="76">
                  <c:v>2.3762919201892201</c:v>
                </c:pt>
                <c:pt idx="77">
                  <c:v>2.37557310759387</c:v>
                </c:pt>
                <c:pt idx="78">
                  <c:v>2.3755478287554102</c:v>
                </c:pt>
                <c:pt idx="79">
                  <c:v>2.3761371733032099</c:v>
                </c:pt>
                <c:pt idx="80">
                  <c:v>2.3770541322445702</c:v>
                </c:pt>
                <c:pt idx="81">
                  <c:v>2.37778644150087</c:v>
                </c:pt>
                <c:pt idx="82">
                  <c:v>2.3779709144363701</c:v>
                </c:pt>
                <c:pt idx="83">
                  <c:v>2.3778821698027901</c:v>
                </c:pt>
                <c:pt idx="84">
                  <c:v>2.3778392706362599</c:v>
                </c:pt>
                <c:pt idx="85">
                  <c:v>2.3771711732691698</c:v>
                </c:pt>
                <c:pt idx="86">
                  <c:v>2.3765908649563401</c:v>
                </c:pt>
                <c:pt idx="87">
                  <c:v>2.37639299190745</c:v>
                </c:pt>
                <c:pt idx="88">
                  <c:v>2.3760904718065201</c:v>
                </c:pt>
                <c:pt idx="89">
                  <c:v>2.37548475214553</c:v>
                </c:pt>
                <c:pt idx="90">
                  <c:v>2.3750027241981</c:v>
                </c:pt>
                <c:pt idx="91">
                  <c:v>2.3745339161822101</c:v>
                </c:pt>
                <c:pt idx="92">
                  <c:v>2.3750597922590302</c:v>
                </c:pt>
                <c:pt idx="93">
                  <c:v>2.37598001749212</c:v>
                </c:pt>
                <c:pt idx="94">
                  <c:v>2.3767506010053498</c:v>
                </c:pt>
                <c:pt idx="95">
                  <c:v>2.3779021932958599</c:v>
                </c:pt>
                <c:pt idx="96">
                  <c:v>2.3783008077840999</c:v>
                </c:pt>
                <c:pt idx="97">
                  <c:v>2.37880941015877</c:v>
                </c:pt>
                <c:pt idx="98">
                  <c:v>2.3789357870473702</c:v>
                </c:pt>
                <c:pt idx="99">
                  <c:v>2.3790400827902398</c:v>
                </c:pt>
                <c:pt idx="100">
                  <c:v>2.3789075482008801</c:v>
                </c:pt>
                <c:pt idx="101">
                  <c:v>2.3782830659604302</c:v>
                </c:pt>
                <c:pt idx="102">
                  <c:v>2.37736611167717</c:v>
                </c:pt>
                <c:pt idx="103">
                  <c:v>2.3767677730474199</c:v>
                </c:pt>
                <c:pt idx="104">
                  <c:v>2.3758350388454699</c:v>
                </c:pt>
                <c:pt idx="105">
                  <c:v>2.3758060923703801</c:v>
                </c:pt>
                <c:pt idx="106">
                  <c:v>2.3761518843684799</c:v>
                </c:pt>
                <c:pt idx="107">
                  <c:v>2.3764479211401399</c:v>
                </c:pt>
                <c:pt idx="108">
                  <c:v>2.3768882895368701</c:v>
                </c:pt>
                <c:pt idx="109">
                  <c:v>2.3776973280445199</c:v>
                </c:pt>
                <c:pt idx="110">
                  <c:v>2.3786583353205</c:v>
                </c:pt>
                <c:pt idx="111">
                  <c:v>2.3800563732590301</c:v>
                </c:pt>
                <c:pt idx="112">
                  <c:v>2.3815689974740701</c:v>
                </c:pt>
                <c:pt idx="113">
                  <c:v>2.3829488911331298</c:v>
                </c:pt>
                <c:pt idx="114">
                  <c:v>2.3843835465641798</c:v>
                </c:pt>
                <c:pt idx="115">
                  <c:v>2.3850378073384801</c:v>
                </c:pt>
                <c:pt idx="116">
                  <c:v>2.3843647466768298</c:v>
                </c:pt>
                <c:pt idx="117">
                  <c:v>2.3837423629001799</c:v>
                </c:pt>
                <c:pt idx="118">
                  <c:v>2.3829229994539398</c:v>
                </c:pt>
                <c:pt idx="119">
                  <c:v>2.3814543182326902</c:v>
                </c:pt>
                <c:pt idx="120">
                  <c:v>2.3800109081932299</c:v>
                </c:pt>
                <c:pt idx="121">
                  <c:v>2.3780977647734498</c:v>
                </c:pt>
                <c:pt idx="122">
                  <c:v>2.3760524010209498</c:v>
                </c:pt>
                <c:pt idx="123">
                  <c:v>2.3735374181859101</c:v>
                </c:pt>
                <c:pt idx="124">
                  <c:v>2.37139212123604</c:v>
                </c:pt>
                <c:pt idx="125">
                  <c:v>2.3692351668653302</c:v>
                </c:pt>
                <c:pt idx="126">
                  <c:v>2.3680895458404501</c:v>
                </c:pt>
                <c:pt idx="127">
                  <c:v>2.36714665807142</c:v>
                </c:pt>
                <c:pt idx="128">
                  <c:v>2.3662401690055099</c:v>
                </c:pt>
                <c:pt idx="129">
                  <c:v>2.3661287584695598</c:v>
                </c:pt>
                <c:pt idx="130">
                  <c:v>2.36644732214577</c:v>
                </c:pt>
                <c:pt idx="131">
                  <c:v>2.3669954921603802</c:v>
                </c:pt>
                <c:pt idx="132">
                  <c:v>2.36715047084994</c:v>
                </c:pt>
                <c:pt idx="133">
                  <c:v>2.3681066545157798</c:v>
                </c:pt>
                <c:pt idx="134">
                  <c:v>2.36911821609635</c:v>
                </c:pt>
                <c:pt idx="135">
                  <c:v>2.37064367673432</c:v>
                </c:pt>
                <c:pt idx="136">
                  <c:v>2.3719665399368299</c:v>
                </c:pt>
                <c:pt idx="137">
                  <c:v>2.3727693828222498</c:v>
                </c:pt>
                <c:pt idx="138">
                  <c:v>2.3739204791765598</c:v>
                </c:pt>
                <c:pt idx="139">
                  <c:v>2.37464852216053</c:v>
                </c:pt>
                <c:pt idx="140">
                  <c:v>2.3750573593857598</c:v>
                </c:pt>
                <c:pt idx="141">
                  <c:v>2.3758402860452201</c:v>
                </c:pt>
                <c:pt idx="142">
                  <c:v>2.3768422558976301</c:v>
                </c:pt>
                <c:pt idx="143">
                  <c:v>2.37692558321563</c:v>
                </c:pt>
                <c:pt idx="144">
                  <c:v>2.3771845564390501</c:v>
                </c:pt>
                <c:pt idx="145">
                  <c:v>2.3772116291224599</c:v>
                </c:pt>
                <c:pt idx="146">
                  <c:v>2.37706647858497</c:v>
                </c:pt>
                <c:pt idx="147">
                  <c:v>2.3771054221622698</c:v>
                </c:pt>
                <c:pt idx="148">
                  <c:v>2.37713103118277</c:v>
                </c:pt>
                <c:pt idx="149">
                  <c:v>2.3761760496637798</c:v>
                </c:pt>
                <c:pt idx="150">
                  <c:v>2.3751721265267598</c:v>
                </c:pt>
                <c:pt idx="151">
                  <c:v>2.3742160788319602</c:v>
                </c:pt>
                <c:pt idx="152">
                  <c:v>2.37296125441538</c:v>
                </c:pt>
                <c:pt idx="153">
                  <c:v>2.3721439819462802</c:v>
                </c:pt>
                <c:pt idx="154">
                  <c:v>2.3711893508305999</c:v>
                </c:pt>
                <c:pt idx="155">
                  <c:v>2.3700549609584902</c:v>
                </c:pt>
                <c:pt idx="156">
                  <c:v>2.36933254165718</c:v>
                </c:pt>
                <c:pt idx="157">
                  <c:v>2.36811520659468</c:v>
                </c:pt>
                <c:pt idx="158">
                  <c:v>2.3668233868151498</c:v>
                </c:pt>
                <c:pt idx="159">
                  <c:v>2.3664619383299499</c:v>
                </c:pt>
                <c:pt idx="160">
                  <c:v>2.3662820099023101</c:v>
                </c:pt>
                <c:pt idx="161">
                  <c:v>2.3657439929142798</c:v>
                </c:pt>
                <c:pt idx="162">
                  <c:v>2.365501755251</c:v>
                </c:pt>
                <c:pt idx="163">
                  <c:v>2.3649521493895498</c:v>
                </c:pt>
                <c:pt idx="164">
                  <c:v>2.3647550210194601</c:v>
                </c:pt>
                <c:pt idx="165">
                  <c:v>2.3649356247705402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D4-4840-BE13-3E92C60EF63F}"/>
            </c:ext>
          </c:extLst>
        </c:ser>
        <c:ser>
          <c:idx val="2"/>
          <c:order val="2"/>
          <c:tx>
            <c:strRef>
              <c:f>IYH_XLV_2!$Q$1</c:f>
              <c:strCache>
                <c:ptCount val="1"/>
                <c:pt idx="0">
                  <c:v> XLV/IYH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IYH_XLV_2!$Q$2:$Q$167</c:f>
              <c:numCache>
                <c:formatCode>_(* #,##0.0000_);_(* \(#,##0.0000\);_(* "-"??_);_(@_)</c:formatCode>
                <c:ptCount val="166"/>
                <c:pt idx="19">
                  <c:v>2.3774978742860902</c:v>
                </c:pt>
                <c:pt idx="20">
                  <c:v>2.3777998013252399</c:v>
                </c:pt>
                <c:pt idx="21">
                  <c:v>2.3781760864904902</c:v>
                </c:pt>
                <c:pt idx="22">
                  <c:v>2.3785429368503901</c:v>
                </c:pt>
                <c:pt idx="23">
                  <c:v>2.3796746310386698</c:v>
                </c:pt>
                <c:pt idx="24">
                  <c:v>2.3807506187474901</c:v>
                </c:pt>
                <c:pt idx="25">
                  <c:v>2.3819368434377202</c:v>
                </c:pt>
                <c:pt idx="26">
                  <c:v>2.3827021004978901</c:v>
                </c:pt>
                <c:pt idx="27">
                  <c:v>2.3836021150283702</c:v>
                </c:pt>
                <c:pt idx="28">
                  <c:v>2.38449405710774</c:v>
                </c:pt>
                <c:pt idx="29">
                  <c:v>2.3853959559422599</c:v>
                </c:pt>
                <c:pt idx="30">
                  <c:v>2.3862018364261801</c:v>
                </c:pt>
                <c:pt idx="31">
                  <c:v>2.3870590292648699</c:v>
                </c:pt>
                <c:pt idx="32">
                  <c:v>2.3877459463449302</c:v>
                </c:pt>
                <c:pt idx="33">
                  <c:v>2.3884556554655898</c:v>
                </c:pt>
                <c:pt idx="34">
                  <c:v>2.3892023337779298</c:v>
                </c:pt>
                <c:pt idx="35">
                  <c:v>2.38967751322039</c:v>
                </c:pt>
                <c:pt idx="36">
                  <c:v>2.3905452596417098</c:v>
                </c:pt>
                <c:pt idx="37">
                  <c:v>2.3912820075788201</c:v>
                </c:pt>
                <c:pt idx="38">
                  <c:v>2.3922119552066401</c:v>
                </c:pt>
                <c:pt idx="39">
                  <c:v>2.3930793104974599</c:v>
                </c:pt>
                <c:pt idx="40">
                  <c:v>2.3937183259307599</c:v>
                </c:pt>
                <c:pt idx="41">
                  <c:v>2.3943499909832999</c:v>
                </c:pt>
                <c:pt idx="42">
                  <c:v>2.3949611000247502</c:v>
                </c:pt>
                <c:pt idx="43">
                  <c:v>2.3949162224763501</c:v>
                </c:pt>
                <c:pt idx="44">
                  <c:v>2.3948591403944799</c:v>
                </c:pt>
                <c:pt idx="45">
                  <c:v>2.3946287349102602</c:v>
                </c:pt>
                <c:pt idx="46">
                  <c:v>2.39461683437113</c:v>
                </c:pt>
                <c:pt idx="47">
                  <c:v>2.3946887060306099</c:v>
                </c:pt>
                <c:pt idx="48">
                  <c:v>2.3946674600829101</c:v>
                </c:pt>
                <c:pt idx="49">
                  <c:v>2.3945584818608099</c:v>
                </c:pt>
                <c:pt idx="50">
                  <c:v>2.3948318781485498</c:v>
                </c:pt>
                <c:pt idx="51">
                  <c:v>2.3949350012305302</c:v>
                </c:pt>
                <c:pt idx="52">
                  <c:v>2.3951278277195902</c:v>
                </c:pt>
                <c:pt idx="53">
                  <c:v>2.39543361626288</c:v>
                </c:pt>
                <c:pt idx="54">
                  <c:v>2.3949408257075802</c:v>
                </c:pt>
                <c:pt idx="55">
                  <c:v>2.3948028542601598</c:v>
                </c:pt>
                <c:pt idx="56">
                  <c:v>2.3943303094888901</c:v>
                </c:pt>
                <c:pt idx="57">
                  <c:v>2.3938411617570998</c:v>
                </c:pt>
                <c:pt idx="58">
                  <c:v>2.3932668109134498</c:v>
                </c:pt>
                <c:pt idx="59">
                  <c:v>2.39246865332384</c:v>
                </c:pt>
                <c:pt idx="60">
                  <c:v>2.3914879123053998</c:v>
                </c:pt>
                <c:pt idx="61">
                  <c:v>2.3905276707394698</c:v>
                </c:pt>
                <c:pt idx="62">
                  <c:v>2.3898951884388899</c:v>
                </c:pt>
                <c:pt idx="63">
                  <c:v>2.3891699255586101</c:v>
                </c:pt>
                <c:pt idx="64">
                  <c:v>2.3886002614074502</c:v>
                </c:pt>
                <c:pt idx="65">
                  <c:v>2.3881902668772699</c:v>
                </c:pt>
                <c:pt idx="66">
                  <c:v>2.38780599516793</c:v>
                </c:pt>
                <c:pt idx="67">
                  <c:v>2.38716774835533</c:v>
                </c:pt>
                <c:pt idx="68">
                  <c:v>2.3862636294335098</c:v>
                </c:pt>
                <c:pt idx="69">
                  <c:v>2.3852693596914998</c:v>
                </c:pt>
                <c:pt idx="70">
                  <c:v>2.3838646552841101</c:v>
                </c:pt>
                <c:pt idx="71">
                  <c:v>2.38277530287752</c:v>
                </c:pt>
                <c:pt idx="72">
                  <c:v>2.3817117227467199</c:v>
                </c:pt>
                <c:pt idx="73">
                  <c:v>2.3805759345256901</c:v>
                </c:pt>
                <c:pt idx="74">
                  <c:v>2.38007552266407</c:v>
                </c:pt>
                <c:pt idx="75">
                  <c:v>2.3792736065375202</c:v>
                </c:pt>
                <c:pt idx="76">
                  <c:v>2.3790795889035699</c:v>
                </c:pt>
                <c:pt idx="77">
                  <c:v>2.3787368429170801</c:v>
                </c:pt>
                <c:pt idx="78">
                  <c:v>2.3783688452591698</c:v>
                </c:pt>
                <c:pt idx="79">
                  <c:v>2.37830648067591</c:v>
                </c:pt>
                <c:pt idx="80">
                  <c:v>2.37845510527693</c:v>
                </c:pt>
                <c:pt idx="81">
                  <c:v>2.3786653180967199</c:v>
                </c:pt>
                <c:pt idx="82">
                  <c:v>2.3784452271025298</c:v>
                </c:pt>
                <c:pt idx="83">
                  <c:v>2.3782079172700299</c:v>
                </c:pt>
                <c:pt idx="84">
                  <c:v>2.3778319658177498</c:v>
                </c:pt>
                <c:pt idx="85">
                  <c:v>2.37697524282407</c:v>
                </c:pt>
                <c:pt idx="86">
                  <c:v>2.3764413925727799</c:v>
                </c:pt>
                <c:pt idx="87">
                  <c:v>2.3759830497506602</c:v>
                </c:pt>
                <c:pt idx="88">
                  <c:v>2.3758191502809698</c:v>
                </c:pt>
                <c:pt idx="89">
                  <c:v>2.37581096272437</c:v>
                </c:pt>
                <c:pt idx="90">
                  <c:v>2.3760284282213302</c:v>
                </c:pt>
                <c:pt idx="91">
                  <c:v>2.3761601788415398</c:v>
                </c:pt>
                <c:pt idx="92">
                  <c:v>2.3765153533476999</c:v>
                </c:pt>
                <c:pt idx="93">
                  <c:v>2.3769310936474501</c:v>
                </c:pt>
                <c:pt idx="94">
                  <c:v>2.3772949358208</c:v>
                </c:pt>
                <c:pt idx="95">
                  <c:v>2.3775366832825102</c:v>
                </c:pt>
                <c:pt idx="96">
                  <c:v>2.37744583637022</c:v>
                </c:pt>
                <c:pt idx="97">
                  <c:v>2.37760120103311</c:v>
                </c:pt>
                <c:pt idx="98">
                  <c:v>2.37751312942695</c:v>
                </c:pt>
                <c:pt idx="99">
                  <c:v>2.37726241746789</c:v>
                </c:pt>
                <c:pt idx="100">
                  <c:v>2.3769551361994901</c:v>
                </c:pt>
                <c:pt idx="101">
                  <c:v>2.3764084910713201</c:v>
                </c:pt>
                <c:pt idx="102">
                  <c:v>2.3762129519681001</c:v>
                </c:pt>
                <c:pt idx="103">
                  <c:v>2.3763738952697699</c:v>
                </c:pt>
                <c:pt idx="104">
                  <c:v>2.3762928199254101</c:v>
                </c:pt>
                <c:pt idx="105">
                  <c:v>2.3768541428331198</c:v>
                </c:pt>
                <c:pt idx="106">
                  <c:v>2.3772263460762901</c:v>
                </c:pt>
                <c:pt idx="107">
                  <c:v>2.3776286656494601</c:v>
                </c:pt>
                <c:pt idx="108">
                  <c:v>2.3779120382921199</c:v>
                </c:pt>
                <c:pt idx="109">
                  <c:v>2.3783687054173801</c:v>
                </c:pt>
                <c:pt idx="110">
                  <c:v>2.3787829417606901</c:v>
                </c:pt>
                <c:pt idx="111">
                  <c:v>2.3791697196097301</c:v>
                </c:pt>
                <c:pt idx="112">
                  <c:v>2.3794675545756201</c:v>
                </c:pt>
                <c:pt idx="113">
                  <c:v>2.3798583320902802</c:v>
                </c:pt>
                <c:pt idx="114">
                  <c:v>2.38010929270482</c:v>
                </c:pt>
                <c:pt idx="115">
                  <c:v>2.3804219498544299</c:v>
                </c:pt>
                <c:pt idx="116">
                  <c:v>2.38025831552266</c:v>
                </c:pt>
                <c:pt idx="117">
                  <c:v>2.3800951420201599</c:v>
                </c:pt>
                <c:pt idx="118">
                  <c:v>2.3799056444954099</c:v>
                </c:pt>
                <c:pt idx="119">
                  <c:v>2.3795758231386102</c:v>
                </c:pt>
                <c:pt idx="120">
                  <c:v>2.37933462175687</c:v>
                </c:pt>
                <c:pt idx="121">
                  <c:v>2.3790770690162399</c:v>
                </c:pt>
                <c:pt idx="122">
                  <c:v>2.3788106992475102</c:v>
                </c:pt>
                <c:pt idx="123">
                  <c:v>2.3782431546595202</c:v>
                </c:pt>
                <c:pt idx="124">
                  <c:v>2.3778878339001102</c:v>
                </c:pt>
                <c:pt idx="125">
                  <c:v>2.3771364871018998</c:v>
                </c:pt>
                <c:pt idx="126">
                  <c:v>2.37622714625864</c:v>
                </c:pt>
                <c:pt idx="127">
                  <c:v>2.3754445104858002</c:v>
                </c:pt>
                <c:pt idx="128">
                  <c:v>2.37458158422973</c:v>
                </c:pt>
                <c:pt idx="129">
                  <c:v>2.3737915383511301</c:v>
                </c:pt>
                <c:pt idx="130">
                  <c:v>2.3732291151695</c:v>
                </c:pt>
                <c:pt idx="131">
                  <c:v>2.3725466284669099</c:v>
                </c:pt>
                <c:pt idx="132">
                  <c:v>2.37160143593545</c:v>
                </c:pt>
                <c:pt idx="133">
                  <c:v>2.3708220363508499</c:v>
                </c:pt>
                <c:pt idx="134">
                  <c:v>2.3702551686661901</c:v>
                </c:pt>
                <c:pt idx="135">
                  <c:v>2.36993942179982</c:v>
                </c:pt>
                <c:pt idx="136">
                  <c:v>2.3700280428886402</c:v>
                </c:pt>
                <c:pt idx="137">
                  <c:v>2.3699580204468398</c:v>
                </c:pt>
                <c:pt idx="138">
                  <c:v>2.37008032409104</c:v>
                </c:pt>
                <c:pt idx="139">
                  <c:v>2.37038864031505</c:v>
                </c:pt>
                <c:pt idx="140">
                  <c:v>2.3707523407657698</c:v>
                </c:pt>
                <c:pt idx="141">
                  <c:v>2.3714178891027999</c:v>
                </c:pt>
                <c:pt idx="142">
                  <c:v>2.3719963633737802</c:v>
                </c:pt>
                <c:pt idx="143">
                  <c:v>2.3725161188657</c:v>
                </c:pt>
                <c:pt idx="144">
                  <c:v>2.3731513862677001</c:v>
                </c:pt>
                <c:pt idx="145">
                  <c:v>2.3739276529283901</c:v>
                </c:pt>
                <c:pt idx="146">
                  <c:v>2.3745165092609</c:v>
                </c:pt>
                <c:pt idx="147">
                  <c:v>2.37493740249226</c:v>
                </c:pt>
                <c:pt idx="148">
                  <c:v>2.3755257551796598</c:v>
                </c:pt>
                <c:pt idx="149">
                  <c:v>2.3754122859121498</c:v>
                </c:pt>
                <c:pt idx="150">
                  <c:v>2.37511474295626</c:v>
                </c:pt>
                <c:pt idx="151">
                  <c:v>2.3750281824385899</c:v>
                </c:pt>
                <c:pt idx="152">
                  <c:v>2.3749017551564999</c:v>
                </c:pt>
                <c:pt idx="153">
                  <c:v>2.37453478258095</c:v>
                </c:pt>
                <c:pt idx="154">
                  <c:v>2.3741869536348199</c:v>
                </c:pt>
                <c:pt idx="155">
                  <c:v>2.3736332950404799</c:v>
                </c:pt>
                <c:pt idx="156">
                  <c:v>2.3731995101210699</c:v>
                </c:pt>
                <c:pt idx="157">
                  <c:v>2.37261031437848</c:v>
                </c:pt>
                <c:pt idx="158">
                  <c:v>2.3719772089989601</c:v>
                </c:pt>
                <c:pt idx="159">
                  <c:v>2.37131899399686</c:v>
                </c:pt>
                <c:pt idx="160">
                  <c:v>2.3707270682145398</c:v>
                </c:pt>
                <c:pt idx="161">
                  <c:v>2.36998003587312</c:v>
                </c:pt>
                <c:pt idx="162">
                  <c:v>2.36923150483319</c:v>
                </c:pt>
                <c:pt idx="163">
                  <c:v>2.3685480656679201</c:v>
                </c:pt>
                <c:pt idx="164">
                  <c:v>2.36797218592503</c:v>
                </c:pt>
                <c:pt idx="165">
                  <c:v>2.3674952928645099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D4-4840-BE13-3E92C60EF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IYH_XLV_2!$AE$1</c:f>
              <c:strCache>
                <c:ptCount val="1"/>
                <c:pt idx="0">
                  <c:v>log diff IYH* x avg / XLV*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IYH_XLV_2!$AE$2:$AE$167</c:f>
              <c:numCache>
                <c:formatCode>0.00%</c:formatCode>
                <c:ptCount val="166"/>
                <c:pt idx="1">
                  <c:v>1.8797074938762899E-3</c:v>
                </c:pt>
                <c:pt idx="2">
                  <c:v>3.0364263139417498E-3</c:v>
                </c:pt>
                <c:pt idx="3">
                  <c:v>4.35603361469593E-3</c:v>
                </c:pt>
                <c:pt idx="4">
                  <c:v>3.59737342112018E-3</c:v>
                </c:pt>
                <c:pt idx="5">
                  <c:v>4.0698152677852003E-3</c:v>
                </c:pt>
                <c:pt idx="6">
                  <c:v>1.6628162991533699E-3</c:v>
                </c:pt>
                <c:pt idx="7">
                  <c:v>1.80187677564904E-3</c:v>
                </c:pt>
                <c:pt idx="8">
                  <c:v>1.1825863171465599E-3</c:v>
                </c:pt>
                <c:pt idx="9">
                  <c:v>7.0256862142980701E-4</c:v>
                </c:pt>
                <c:pt idx="10">
                  <c:v>1.2007575793191901E-3</c:v>
                </c:pt>
                <c:pt idx="11">
                  <c:v>1.70469789335962E-3</c:v>
                </c:pt>
                <c:pt idx="12">
                  <c:v>1.2104088479081101E-3</c:v>
                </c:pt>
                <c:pt idx="13">
                  <c:v>1.9223077000432901E-3</c:v>
                </c:pt>
                <c:pt idx="14">
                  <c:v>7.25407223590792E-4</c:v>
                </c:pt>
                <c:pt idx="15">
                  <c:v>-3.5252648438640098E-5</c:v>
                </c:pt>
                <c:pt idx="16">
                  <c:v>2.3005708806343801E-3</c:v>
                </c:pt>
                <c:pt idx="17">
                  <c:v>1.2183864170098901E-3</c:v>
                </c:pt>
                <c:pt idx="18">
                  <c:v>1.46563235515779E-3</c:v>
                </c:pt>
                <c:pt idx="19">
                  <c:v>-2.3978953709652101E-5</c:v>
                </c:pt>
                <c:pt idx="20">
                  <c:v>-1.5376527792978799E-3</c:v>
                </c:pt>
                <c:pt idx="21">
                  <c:v>-1.2810966545586E-3</c:v>
                </c:pt>
                <c:pt idx="22">
                  <c:v>-4.8808434146597501E-5</c:v>
                </c:pt>
                <c:pt idx="23">
                  <c:v>-5.1436057253818404E-3</c:v>
                </c:pt>
                <c:pt idx="24">
                  <c:v>-5.4299412760890203E-3</c:v>
                </c:pt>
                <c:pt idx="25">
                  <c:v>-5.8824568165106398E-3</c:v>
                </c:pt>
                <c:pt idx="26">
                  <c:v>-4.7535056792796697E-3</c:v>
                </c:pt>
                <c:pt idx="27">
                  <c:v>-5.7411175333469799E-3</c:v>
                </c:pt>
                <c:pt idx="28">
                  <c:v>-6.2883943900818896E-3</c:v>
                </c:pt>
                <c:pt idx="29">
                  <c:v>-6.84788491635721E-3</c:v>
                </c:pt>
                <c:pt idx="30">
                  <c:v>-5.5519144278374597E-3</c:v>
                </c:pt>
                <c:pt idx="31">
                  <c:v>-5.4799996054166102E-3</c:v>
                </c:pt>
                <c:pt idx="32">
                  <c:v>-4.5483590127257997E-3</c:v>
                </c:pt>
                <c:pt idx="33">
                  <c:v>-4.0311941111145604E-3</c:v>
                </c:pt>
                <c:pt idx="34">
                  <c:v>-5.5297791908878796E-3</c:v>
                </c:pt>
                <c:pt idx="35">
                  <c:v>-4.0174978434294097E-3</c:v>
                </c:pt>
                <c:pt idx="36">
                  <c:v>-4.9765814920814796E-3</c:v>
                </c:pt>
                <c:pt idx="37">
                  <c:v>-4.9569001258851298E-3</c:v>
                </c:pt>
                <c:pt idx="38">
                  <c:v>-6.3246456319065898E-3</c:v>
                </c:pt>
                <c:pt idx="39">
                  <c:v>-7.2810353672546598E-3</c:v>
                </c:pt>
                <c:pt idx="40">
                  <c:v>-6.8812457978118897E-3</c:v>
                </c:pt>
                <c:pt idx="41">
                  <c:v>-6.5647379657113999E-3</c:v>
                </c:pt>
                <c:pt idx="42">
                  <c:v>-5.1672325631080202E-3</c:v>
                </c:pt>
                <c:pt idx="43">
                  <c:v>-4.7686090691718298E-3</c:v>
                </c:pt>
                <c:pt idx="44">
                  <c:v>-4.95307584549751E-3</c:v>
                </c:pt>
                <c:pt idx="45">
                  <c:v>-3.9571196608819597E-3</c:v>
                </c:pt>
                <c:pt idx="46">
                  <c:v>-4.6540397148725496E-3</c:v>
                </c:pt>
                <c:pt idx="47">
                  <c:v>-6.3410256610168898E-3</c:v>
                </c:pt>
                <c:pt idx="48">
                  <c:v>-6.1110839617474697E-3</c:v>
                </c:pt>
                <c:pt idx="49">
                  <c:v>-5.9385709875197602E-3</c:v>
                </c:pt>
                <c:pt idx="50">
                  <c:v>-4.7125224180333304E-3</c:v>
                </c:pt>
                <c:pt idx="51">
                  <c:v>-3.1727423848294102E-3</c:v>
                </c:pt>
                <c:pt idx="52">
                  <c:v>-2.9799872214433401E-3</c:v>
                </c:pt>
                <c:pt idx="53">
                  <c:v>-3.3771529602645701E-3</c:v>
                </c:pt>
                <c:pt idx="54">
                  <c:v>-2.3012866150451598E-3</c:v>
                </c:pt>
                <c:pt idx="55">
                  <c:v>-3.7534669247492802E-3</c:v>
                </c:pt>
                <c:pt idx="56">
                  <c:v>-1.90791055844874E-3</c:v>
                </c:pt>
                <c:pt idx="57">
                  <c:v>-1.7523967975933399E-3</c:v>
                </c:pt>
                <c:pt idx="58">
                  <c:v>-2.4248398646066001E-3</c:v>
                </c:pt>
                <c:pt idx="59">
                  <c:v>-1.5087496834878299E-3</c:v>
                </c:pt>
                <c:pt idx="60">
                  <c:v>4.3886291691106898E-4</c:v>
                </c:pt>
                <c:pt idx="61">
                  <c:v>5.9185349110573999E-4</c:v>
                </c:pt>
                <c:pt idx="62">
                  <c:v>-7.5715906558744496E-4</c:v>
                </c:pt>
                <c:pt idx="63">
                  <c:v>4.1649152346709498E-4</c:v>
                </c:pt>
                <c:pt idx="64">
                  <c:v>-1.06988743026007E-3</c:v>
                </c:pt>
                <c:pt idx="65">
                  <c:v>-1.39080632749607E-3</c:v>
                </c:pt>
                <c:pt idx="66">
                  <c:v>-2.3049791026020102E-3</c:v>
                </c:pt>
                <c:pt idx="67">
                  <c:v>-1.8822684673832099E-3</c:v>
                </c:pt>
                <c:pt idx="68">
                  <c:v>5.7855842209949204E-4</c:v>
                </c:pt>
                <c:pt idx="69">
                  <c:v>1.51315838562309E-3</c:v>
                </c:pt>
                <c:pt idx="70">
                  <c:v>3.0465806219685098E-3</c:v>
                </c:pt>
                <c:pt idx="71">
                  <c:v>1.89329579913271E-3</c:v>
                </c:pt>
                <c:pt idx="72">
                  <c:v>1.8730833787406499E-3</c:v>
                </c:pt>
                <c:pt idx="73">
                  <c:v>2.0419417005193901E-3</c:v>
                </c:pt>
                <c:pt idx="74">
                  <c:v>1.8975666436300801E-3</c:v>
                </c:pt>
                <c:pt idx="75">
                  <c:v>2.97239185216157E-3</c:v>
                </c:pt>
                <c:pt idx="76">
                  <c:v>-2.8413290597425502E-4</c:v>
                </c:pt>
                <c:pt idx="77">
                  <c:v>1.10864316684445E-3</c:v>
                </c:pt>
                <c:pt idx="78">
                  <c:v>6.5679511601517701E-4</c:v>
                </c:pt>
                <c:pt idx="79">
                  <c:v>-9.8678049326750804E-4</c:v>
                </c:pt>
                <c:pt idx="80">
                  <c:v>-8.2953406777875195E-4</c:v>
                </c:pt>
                <c:pt idx="81">
                  <c:v>-1.1793983682430299E-3</c:v>
                </c:pt>
                <c:pt idx="82">
                  <c:v>1.0770664556260701E-3</c:v>
                </c:pt>
                <c:pt idx="83">
                  <c:v>2.3979966780960601E-3</c:v>
                </c:pt>
                <c:pt idx="84">
                  <c:v>2.07380415963685E-3</c:v>
                </c:pt>
                <c:pt idx="85">
                  <c:v>5.77745105588315E-3</c:v>
                </c:pt>
                <c:pt idx="86">
                  <c:v>2.13977154572425E-3</c:v>
                </c:pt>
                <c:pt idx="87">
                  <c:v>1.93445185304486E-3</c:v>
                </c:pt>
                <c:pt idx="88">
                  <c:v>1.9230310938512199E-3</c:v>
                </c:pt>
                <c:pt idx="89">
                  <c:v>1.56388932629324E-3</c:v>
                </c:pt>
                <c:pt idx="90">
                  <c:v>1.2142003010396001E-3</c:v>
                </c:pt>
                <c:pt idx="91">
                  <c:v>7.8805295900395602E-4</c:v>
                </c:pt>
                <c:pt idx="92">
                  <c:v>-1.1262283190383001E-3</c:v>
                </c:pt>
                <c:pt idx="93">
                  <c:v>-1.4526881837732201E-3</c:v>
                </c:pt>
                <c:pt idx="94">
                  <c:v>-1.14355308014048E-3</c:v>
                </c:pt>
                <c:pt idx="95">
                  <c:v>9.4747131954390097E-4</c:v>
                </c:pt>
                <c:pt idx="96">
                  <c:v>4.8859890073366303E-4</c:v>
                </c:pt>
                <c:pt idx="97">
                  <c:v>-1.5924515637335399E-4</c:v>
                </c:pt>
                <c:pt idx="98">
                  <c:v>1.42645112350667E-3</c:v>
                </c:pt>
                <c:pt idx="99">
                  <c:v>1.1440949572839401E-3</c:v>
                </c:pt>
                <c:pt idx="100">
                  <c:v>1.7949456519603499E-3</c:v>
                </c:pt>
                <c:pt idx="101">
                  <c:v>3.42678008842274E-3</c:v>
                </c:pt>
                <c:pt idx="102">
                  <c:v>2.7349076630490601E-3</c:v>
                </c:pt>
                <c:pt idx="103">
                  <c:v>1.05753308744074E-3</c:v>
                </c:pt>
                <c:pt idx="104">
                  <c:v>2.7685341020440798E-3</c:v>
                </c:pt>
                <c:pt idx="105">
                  <c:v>1.0977814001041999E-3</c:v>
                </c:pt>
                <c:pt idx="106">
                  <c:v>-9.3187409622821297E-4</c:v>
                </c:pt>
                <c:pt idx="107">
                  <c:v>-1.38287577405113E-3</c:v>
                </c:pt>
                <c:pt idx="108">
                  <c:v>-3.85019098487281E-4</c:v>
                </c:pt>
                <c:pt idx="109">
                  <c:v>-2.2203448706450499E-3</c:v>
                </c:pt>
                <c:pt idx="110">
                  <c:v>-2.2124916249696199E-3</c:v>
                </c:pt>
                <c:pt idx="111">
                  <c:v>-2.4087565844147698E-3</c:v>
                </c:pt>
                <c:pt idx="112">
                  <c:v>-1.02913603085581E-3</c:v>
                </c:pt>
                <c:pt idx="113">
                  <c:v>-2.1318105295606601E-3</c:v>
                </c:pt>
                <c:pt idx="114">
                  <c:v>-6.4493728865059902E-4</c:v>
                </c:pt>
                <c:pt idx="115">
                  <c:v>9.3761697895180097E-4</c:v>
                </c:pt>
                <c:pt idx="116">
                  <c:v>1.01324603913987E-4</c:v>
                </c:pt>
                <c:pt idx="117">
                  <c:v>-5.2323102391155295E-4</c:v>
                </c:pt>
                <c:pt idx="118">
                  <c:v>1.3093048685144E-3</c:v>
                </c:pt>
                <c:pt idx="119">
                  <c:v>2.2402281226306E-3</c:v>
                </c:pt>
                <c:pt idx="120">
                  <c:v>2.2100868924449101E-3</c:v>
                </c:pt>
                <c:pt idx="121">
                  <c:v>3.9935089072922897E-3</c:v>
                </c:pt>
                <c:pt idx="122">
                  <c:v>3.3529966456423599E-3</c:v>
                </c:pt>
                <c:pt idx="123">
                  <c:v>4.22756809284534E-3</c:v>
                </c:pt>
                <c:pt idx="124">
                  <c:v>4.2139307902468804E-3</c:v>
                </c:pt>
                <c:pt idx="125">
                  <c:v>5.81883886793883E-3</c:v>
                </c:pt>
                <c:pt idx="126">
                  <c:v>5.1416822369339003E-3</c:v>
                </c:pt>
                <c:pt idx="127">
                  <c:v>3.5927224828878499E-3</c:v>
                </c:pt>
                <c:pt idx="128">
                  <c:v>5.2581166999886401E-3</c:v>
                </c:pt>
                <c:pt idx="129">
                  <c:v>2.79045638654559E-3</c:v>
                </c:pt>
                <c:pt idx="130">
                  <c:v>8.9054625107830201E-4</c:v>
                </c:pt>
                <c:pt idx="131">
                  <c:v>1.6535875740235899E-3</c:v>
                </c:pt>
                <c:pt idx="132">
                  <c:v>2.6962908317586199E-3</c:v>
                </c:pt>
                <c:pt idx="133">
                  <c:v>2.4970971715593802E-4</c:v>
                </c:pt>
                <c:pt idx="134">
                  <c:v>-7.0286241023789398E-5</c:v>
                </c:pt>
                <c:pt idx="135">
                  <c:v>-6.2668831450608602E-4</c:v>
                </c:pt>
                <c:pt idx="136">
                  <c:v>-4.7342080751131802E-4</c:v>
                </c:pt>
                <c:pt idx="137">
                  <c:v>1.8085735659443801E-4</c:v>
                </c:pt>
                <c:pt idx="138">
                  <c:v>4.1351122252451198E-4</c:v>
                </c:pt>
                <c:pt idx="139">
                  <c:v>-2.3564384657607401E-4</c:v>
                </c:pt>
                <c:pt idx="140">
                  <c:v>-7.9159347937956702E-4</c:v>
                </c:pt>
                <c:pt idx="141">
                  <c:v>-1.4911197533828799E-3</c:v>
                </c:pt>
                <c:pt idx="142">
                  <c:v>-1.3823963860597501E-3</c:v>
                </c:pt>
                <c:pt idx="143">
                  <c:v>-7.3554848775883502E-5</c:v>
                </c:pt>
                <c:pt idx="144">
                  <c:v>-1.1319826225173199E-3</c:v>
                </c:pt>
                <c:pt idx="145">
                  <c:v>-6.9435070032491399E-4</c:v>
                </c:pt>
                <c:pt idx="146">
                  <c:v>1.62332921918439E-4</c:v>
                </c:pt>
                <c:pt idx="147">
                  <c:v>8.9136795429775698E-5</c:v>
                </c:pt>
                <c:pt idx="148">
                  <c:v>3.5103429165606899E-4</c:v>
                </c:pt>
                <c:pt idx="149">
                  <c:v>3.81606776559805E-3</c:v>
                </c:pt>
                <c:pt idx="150">
                  <c:v>3.49041307312258E-3</c:v>
                </c:pt>
                <c:pt idx="151">
                  <c:v>2.5249294557004999E-3</c:v>
                </c:pt>
                <c:pt idx="152">
                  <c:v>3.9099160521524397E-3</c:v>
                </c:pt>
                <c:pt idx="153">
                  <c:v>3.4243806385889498E-3</c:v>
                </c:pt>
                <c:pt idx="154">
                  <c:v>2.9390486799946301E-3</c:v>
                </c:pt>
                <c:pt idx="155">
                  <c:v>4.13420777509788E-3</c:v>
                </c:pt>
                <c:pt idx="156">
                  <c:v>3.3025399187393101E-3</c:v>
                </c:pt>
                <c:pt idx="157">
                  <c:v>5.35953887255693E-3</c:v>
                </c:pt>
                <c:pt idx="158">
                  <c:v>5.8889308383198299E-3</c:v>
                </c:pt>
                <c:pt idx="159">
                  <c:v>5.4600170884210597E-3</c:v>
                </c:pt>
                <c:pt idx="160">
                  <c:v>4.3315975501116502E-3</c:v>
                </c:pt>
                <c:pt idx="161">
                  <c:v>4.8848312801434502E-3</c:v>
                </c:pt>
                <c:pt idx="162">
                  <c:v>4.9984583852873098E-3</c:v>
                </c:pt>
                <c:pt idx="163">
                  <c:v>5.7808096940523898E-3</c:v>
                </c:pt>
                <c:pt idx="164">
                  <c:v>3.8199788019708399E-3</c:v>
                </c:pt>
                <c:pt idx="165">
                  <c:v>3.4237947740815202E-3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F2-45F0-9D43-463616539860}"/>
            </c:ext>
          </c:extLst>
        </c:ser>
        <c:ser>
          <c:idx val="1"/>
          <c:order val="1"/>
          <c:tx>
            <c:strRef>
              <c:f>IYH_XLV_2!$AF$1</c:f>
              <c:strCache>
                <c:ptCount val="1"/>
                <c:pt idx="0">
                  <c:v>log diff IYH* x 10 dma / XLV*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IYH_XLV_2!$AF$2:$AF$167</c:f>
              <c:numCache>
                <c:formatCode>0.00%</c:formatCode>
                <c:ptCount val="166"/>
                <c:pt idx="10">
                  <c:v>-1.12707743675636E-3</c:v>
                </c:pt>
                <c:pt idx="11">
                  <c:v>-6.4352837252873798E-4</c:v>
                </c:pt>
                <c:pt idx="12">
                  <c:v>-1.12030687756449E-3</c:v>
                </c:pt>
                <c:pt idx="13">
                  <c:v>-2.2578507311114799E-4</c:v>
                </c:pt>
                <c:pt idx="14">
                  <c:v>-1.17958353149355E-3</c:v>
                </c:pt>
                <c:pt idx="15">
                  <c:v>-1.6531615246889099E-3</c:v>
                </c:pt>
                <c:pt idx="16">
                  <c:v>1.09292100403215E-3</c:v>
                </c:pt>
                <c:pt idx="17">
                  <c:v>-5.2991603523340503E-5</c:v>
                </c:pt>
                <c:pt idx="18">
                  <c:v>2.5258774051173898E-4</c:v>
                </c:pt>
                <c:pt idx="19">
                  <c:v>-1.26532542927679E-3</c:v>
                </c:pt>
                <c:pt idx="20">
                  <c:v>-2.7062815718347298E-3</c:v>
                </c:pt>
                <c:pt idx="21">
                  <c:v>-2.1755555222892102E-3</c:v>
                </c:pt>
                <c:pt idx="22">
                  <c:v>-6.4452846567435596E-4</c:v>
                </c:pt>
                <c:pt idx="23">
                  <c:v>-5.6134100693537303E-3</c:v>
                </c:pt>
                <c:pt idx="24">
                  <c:v>-5.1919318032922603E-3</c:v>
                </c:pt>
                <c:pt idx="25">
                  <c:v>-5.0277989107652601E-3</c:v>
                </c:pt>
                <c:pt idx="26">
                  <c:v>-3.3130664631506701E-3</c:v>
                </c:pt>
                <c:pt idx="27">
                  <c:v>-3.5956686978991198E-3</c:v>
                </c:pt>
                <c:pt idx="28">
                  <c:v>-3.4471551962264898E-3</c:v>
                </c:pt>
                <c:pt idx="29">
                  <c:v>-3.2318745605232099E-3</c:v>
                </c:pt>
                <c:pt idx="30">
                  <c:v>-1.2538676644513001E-3</c:v>
                </c:pt>
                <c:pt idx="31">
                  <c:v>-7.80909102326532E-4</c:v>
                </c:pt>
                <c:pt idx="32">
                  <c:v>5.6998091787204203E-4</c:v>
                </c:pt>
                <c:pt idx="33">
                  <c:v>1.53573364883386E-3</c:v>
                </c:pt>
                <c:pt idx="34">
                  <c:v>-7.3989863277724004E-5</c:v>
                </c:pt>
                <c:pt idx="35">
                  <c:v>1.44827546614662E-3</c:v>
                </c:pt>
                <c:pt idx="36">
                  <c:v>3.0277468760996599E-4</c:v>
                </c:pt>
                <c:pt idx="37">
                  <c:v>3.4475414613107801E-4</c:v>
                </c:pt>
                <c:pt idx="38">
                  <c:v>-1.1014198917978599E-3</c:v>
                </c:pt>
                <c:pt idx="39">
                  <c:v>-2.0541805803443699E-3</c:v>
                </c:pt>
                <c:pt idx="40">
                  <c:v>-1.61099723785925E-3</c:v>
                </c:pt>
                <c:pt idx="41">
                  <c:v>-1.1614392521640099E-3</c:v>
                </c:pt>
                <c:pt idx="42">
                  <c:v>3.4460127533655899E-4</c:v>
                </c:pt>
                <c:pt idx="43">
                  <c:v>8.0506974940614104E-4</c:v>
                </c:pt>
                <c:pt idx="44">
                  <c:v>6.9425525285000803E-4</c:v>
                </c:pt>
                <c:pt idx="45">
                  <c:v>1.63256284432444E-3</c:v>
                </c:pt>
                <c:pt idx="46">
                  <c:v>9.2961462100309296E-4</c:v>
                </c:pt>
                <c:pt idx="47">
                  <c:v>-7.8960124960318005E-4</c:v>
                </c:pt>
                <c:pt idx="48">
                  <c:v>-4.2124306456574898E-4</c:v>
                </c:pt>
                <c:pt idx="49">
                  <c:v>-2.7009776522592799E-4</c:v>
                </c:pt>
                <c:pt idx="50">
                  <c:v>8.2156889766249496E-4</c:v>
                </c:pt>
                <c:pt idx="51">
                  <c:v>2.1443960178183599E-3</c:v>
                </c:pt>
                <c:pt idx="52">
                  <c:v>1.9980460333098699E-3</c:v>
                </c:pt>
                <c:pt idx="53">
                  <c:v>1.3823295664407999E-3</c:v>
                </c:pt>
                <c:pt idx="54">
                  <c:v>2.31913612598433E-3</c:v>
                </c:pt>
                <c:pt idx="55">
                  <c:v>6.0200497519462097E-4</c:v>
                </c:pt>
                <c:pt idx="56">
                  <c:v>2.42720604440602E-3</c:v>
                </c:pt>
                <c:pt idx="57">
                  <c:v>2.3083584981385E-3</c:v>
                </c:pt>
                <c:pt idx="58">
                  <c:v>1.17695327946042E-3</c:v>
                </c:pt>
                <c:pt idx="59">
                  <c:v>1.7241051447639301E-3</c:v>
                </c:pt>
                <c:pt idx="60">
                  <c:v>3.2284195388170801E-3</c:v>
                </c:pt>
                <c:pt idx="61">
                  <c:v>2.86647458880651E-3</c:v>
                </c:pt>
                <c:pt idx="62">
                  <c:v>1.1413018035234699E-3</c:v>
                </c:pt>
                <c:pt idx="63">
                  <c:v>2.0926514676403102E-3</c:v>
                </c:pt>
                <c:pt idx="64">
                  <c:v>2.26910172674695E-4</c:v>
                </c:pt>
                <c:pt idx="65">
                  <c:v>-2.1720412386995E-4</c:v>
                </c:pt>
                <c:pt idx="66">
                  <c:v>-1.3680016645445899E-3</c:v>
                </c:pt>
                <c:pt idx="67">
                  <c:v>-9.0553850175679996E-4</c:v>
                </c:pt>
                <c:pt idx="68">
                  <c:v>1.5682863918765901E-3</c:v>
                </c:pt>
                <c:pt idx="69">
                  <c:v>2.20252130692638E-3</c:v>
                </c:pt>
                <c:pt idx="70">
                  <c:v>3.43391592873398E-3</c:v>
                </c:pt>
                <c:pt idx="71">
                  <c:v>2.0203802669457398E-3</c:v>
                </c:pt>
                <c:pt idx="72">
                  <c:v>1.87019329146633E-3</c:v>
                </c:pt>
                <c:pt idx="73">
                  <c:v>1.7761386913619601E-3</c:v>
                </c:pt>
                <c:pt idx="74">
                  <c:v>1.4693619351193201E-3</c:v>
                </c:pt>
                <c:pt idx="75">
                  <c:v>2.2473933256450299E-3</c:v>
                </c:pt>
                <c:pt idx="76">
                  <c:v>-1.44551809296049E-3</c:v>
                </c:pt>
                <c:pt idx="77">
                  <c:v>-2.5534411458633002E-4</c:v>
                </c:pt>
                <c:pt idx="78">
                  <c:v>-1.00685244162873E-3</c:v>
                </c:pt>
                <c:pt idx="79">
                  <c:v>-2.6582599385851398E-3</c:v>
                </c:pt>
                <c:pt idx="80">
                  <c:v>-2.2506985793755E-3</c:v>
                </c:pt>
                <c:pt idx="81">
                  <c:v>-2.21290511484847E-3</c:v>
                </c:pt>
                <c:pt idx="82">
                  <c:v>3.5098994113201901E-4</c:v>
                </c:pt>
                <c:pt idx="83">
                  <c:v>1.7514590954909499E-3</c:v>
                </c:pt>
                <c:pt idx="84">
                  <c:v>1.3917164259518099E-3</c:v>
                </c:pt>
                <c:pt idx="85">
                  <c:v>5.0777623749921801E-3</c:v>
                </c:pt>
                <c:pt idx="86">
                  <c:v>1.1605668242929499E-3</c:v>
                </c:pt>
                <c:pt idx="87">
                  <c:v>7.1281478710537099E-4</c:v>
                </c:pt>
                <c:pt idx="88">
                  <c:v>6.1883451215438299E-4</c:v>
                </c:pt>
                <c:pt idx="89">
                  <c:v>1.33059312040375E-4</c:v>
                </c:pt>
                <c:pt idx="90">
                  <c:v>-4.7202089720167301E-4</c:v>
                </c:pt>
                <c:pt idx="91">
                  <c:v>-1.1028682005532701E-3</c:v>
                </c:pt>
                <c:pt idx="92">
                  <c:v>-3.2143250367281501E-3</c:v>
                </c:pt>
                <c:pt idx="93">
                  <c:v>-3.3200137738557201E-3</c:v>
                </c:pt>
                <c:pt idx="94">
                  <c:v>-2.6253468540848798E-3</c:v>
                </c:pt>
                <c:pt idx="95">
                  <c:v>-2.1231117788890699E-4</c:v>
                </c:pt>
                <c:pt idx="96">
                  <c:v>-1.8936396683328E-4</c:v>
                </c:pt>
                <c:pt idx="97">
                  <c:v>-6.7220937160615004E-4</c:v>
                </c:pt>
                <c:pt idx="98">
                  <c:v>1.12275632567821E-3</c:v>
                </c:pt>
                <c:pt idx="99">
                  <c:v>8.8998889069569903E-4</c:v>
                </c:pt>
                <c:pt idx="100">
                  <c:v>1.58277199619E-3</c:v>
                </c:pt>
                <c:pt idx="101">
                  <c:v>3.1566052217171302E-3</c:v>
                </c:pt>
                <c:pt idx="102">
                  <c:v>2.2013096670287502E-3</c:v>
                </c:pt>
                <c:pt idx="103">
                  <c:v>1.3785125554885801E-4</c:v>
                </c:pt>
                <c:pt idx="104">
                  <c:v>1.5975178816540201E-3</c:v>
                </c:pt>
                <c:pt idx="105">
                  <c:v>-4.6466066869406397E-4</c:v>
                </c:pt>
                <c:pt idx="106">
                  <c:v>-2.5093554023501198E-3</c:v>
                </c:pt>
                <c:pt idx="107">
                  <c:v>-2.81806410262755E-3</c:v>
                </c:pt>
                <c:pt idx="108">
                  <c:v>-1.6975816151177099E-3</c:v>
                </c:pt>
                <c:pt idx="109">
                  <c:v>-3.3516332739909902E-3</c:v>
                </c:pt>
                <c:pt idx="110">
                  <c:v>-3.0068305272697598E-3</c:v>
                </c:pt>
                <c:pt idx="111">
                  <c:v>-2.8020297357315501E-3</c:v>
                </c:pt>
                <c:pt idx="112">
                  <c:v>-8.3909238508677404E-4</c:v>
                </c:pt>
                <c:pt idx="113">
                  <c:v>-1.56582532588178E-3</c:v>
                </c:pt>
                <c:pt idx="114">
                  <c:v>2.3992236603455301E-4</c:v>
                </c:pt>
                <c:pt idx="115">
                  <c:v>2.16310207885493E-3</c:v>
                </c:pt>
                <c:pt idx="116">
                  <c:v>1.34279013069675E-3</c:v>
                </c:pt>
                <c:pt idx="117">
                  <c:v>6.1499462588356102E-4</c:v>
                </c:pt>
                <c:pt idx="118">
                  <c:v>2.3615782636217399E-3</c:v>
                </c:pt>
                <c:pt idx="119">
                  <c:v>3.1233111859097699E-3</c:v>
                </c:pt>
                <c:pt idx="120">
                  <c:v>2.64741111358979E-3</c:v>
                </c:pt>
                <c:pt idx="121">
                  <c:v>3.9886700129847701E-3</c:v>
                </c:pt>
                <c:pt idx="122">
                  <c:v>2.7082294029006199E-3</c:v>
                </c:pt>
                <c:pt idx="123">
                  <c:v>3.14471785678918E-3</c:v>
                </c:pt>
                <c:pt idx="124">
                  <c:v>2.4949170711654001E-3</c:v>
                </c:pt>
                <c:pt idx="125">
                  <c:v>3.6138516133234402E-3</c:v>
                </c:pt>
                <c:pt idx="126">
                  <c:v>2.4490257670796598E-3</c:v>
                </c:pt>
                <c:pt idx="127">
                  <c:v>3.9586676410719801E-4</c:v>
                </c:pt>
                <c:pt idx="128">
                  <c:v>1.64889564301056E-3</c:v>
                </c:pt>
                <c:pt idx="129">
                  <c:v>-1.21385270602743E-3</c:v>
                </c:pt>
                <c:pt idx="130">
                  <c:v>-3.1688691750952499E-3</c:v>
                </c:pt>
                <c:pt idx="131">
                  <c:v>-2.2735510258789201E-3</c:v>
                </c:pt>
                <c:pt idx="132">
                  <c:v>-9.9662463974915794E-4</c:v>
                </c:pt>
                <c:pt idx="133">
                  <c:v>-3.3774934304244301E-3</c:v>
                </c:pt>
                <c:pt idx="134">
                  <c:v>-3.2992298694038301E-3</c:v>
                </c:pt>
                <c:pt idx="135">
                  <c:v>-3.4268058479639601E-3</c:v>
                </c:pt>
                <c:pt idx="136">
                  <c:v>-2.62906069768173E-3</c:v>
                </c:pt>
                <c:pt idx="137">
                  <c:v>-1.4135292391866401E-3</c:v>
                </c:pt>
                <c:pt idx="138">
                  <c:v>-8.3984660159734301E-4</c:v>
                </c:pt>
                <c:pt idx="139">
                  <c:v>-1.00542362394923E-3</c:v>
                </c:pt>
                <c:pt idx="140">
                  <c:v>-1.25896242268553E-3</c:v>
                </c:pt>
                <c:pt idx="141">
                  <c:v>-1.7902185519601301E-3</c:v>
                </c:pt>
                <c:pt idx="142">
                  <c:v>-1.3670052598364301E-3</c:v>
                </c:pt>
                <c:pt idx="143">
                  <c:v>3.4934810391301402E-4</c:v>
                </c:pt>
                <c:pt idx="144">
                  <c:v>-6.76770249015267E-4</c:v>
                </c:pt>
                <c:pt idx="145">
                  <c:v>-1.3295882730623101E-4</c:v>
                </c:pt>
                <c:pt idx="146">
                  <c:v>7.3049168137897396E-4</c:v>
                </c:pt>
                <c:pt idx="147">
                  <c:v>5.9374438827441902E-4</c:v>
                </c:pt>
                <c:pt idx="148">
                  <c:v>8.6480803399678597E-4</c:v>
                </c:pt>
                <c:pt idx="149">
                  <c:v>4.33608358582885E-3</c:v>
                </c:pt>
                <c:pt idx="150">
                  <c:v>3.60611068731537E-3</c:v>
                </c:pt>
                <c:pt idx="151">
                  <c:v>2.2129615527246098E-3</c:v>
                </c:pt>
                <c:pt idx="152">
                  <c:v>3.19634462178589E-3</c:v>
                </c:pt>
                <c:pt idx="153">
                  <c:v>2.1817285054072199E-3</c:v>
                </c:pt>
                <c:pt idx="154">
                  <c:v>1.34669302484615E-3</c:v>
                </c:pt>
                <c:pt idx="155">
                  <c:v>2.1343851865508901E-3</c:v>
                </c:pt>
                <c:pt idx="156">
                  <c:v>8.1960916809202197E-4</c:v>
                </c:pt>
                <c:pt idx="157">
                  <c:v>2.5623021449484298E-3</c:v>
                </c:pt>
                <c:pt idx="158">
                  <c:v>2.5644759158273901E-3</c:v>
                </c:pt>
                <c:pt idx="159">
                  <c:v>1.58150509593102E-3</c:v>
                </c:pt>
                <c:pt idx="160">
                  <c:v>2.88801928572418E-4</c:v>
                </c:pt>
                <c:pt idx="161">
                  <c:v>7.5790258260992197E-4</c:v>
                </c:pt>
                <c:pt idx="162">
                  <c:v>6.3541195664492105E-4</c:v>
                </c:pt>
                <c:pt idx="163">
                  <c:v>1.3089130233585899E-3</c:v>
                </c:pt>
                <c:pt idx="164">
                  <c:v>-8.8755779352720301E-4</c:v>
                </c:pt>
                <c:pt idx="165">
                  <c:v>-1.3719557944548101E-3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F2-45F0-9D43-463616539860}"/>
            </c:ext>
          </c:extLst>
        </c:ser>
        <c:ser>
          <c:idx val="2"/>
          <c:order val="2"/>
          <c:tx>
            <c:strRef>
              <c:f>IYH_XLV_2!$AG$1</c:f>
              <c:strCache>
                <c:ptCount val="1"/>
                <c:pt idx="0">
                  <c:v>log diff IYH* x 20 dma / XLV*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IYH_XLV_2!$AG$2:$AG$167</c:f>
              <c:numCache>
                <c:formatCode>0.00%</c:formatCode>
                <c:ptCount val="166"/>
                <c:pt idx="20">
                  <c:v>-3.2857167137296502E-3</c:v>
                </c:pt>
                <c:pt idx="21">
                  <c:v>-2.9021750414353199E-3</c:v>
                </c:pt>
                <c:pt idx="22">
                  <c:v>-1.5116500364366901E-3</c:v>
                </c:pt>
                <c:pt idx="23">
                  <c:v>-6.45220220247982E-3</c:v>
                </c:pt>
                <c:pt idx="24">
                  <c:v>-6.26285786109557E-3</c:v>
                </c:pt>
                <c:pt idx="25">
                  <c:v>-6.2633181036463896E-3</c:v>
                </c:pt>
                <c:pt idx="26">
                  <c:v>-4.6362344627918798E-3</c:v>
                </c:pt>
                <c:pt idx="27">
                  <c:v>-5.3026227883790199E-3</c:v>
                </c:pt>
                <c:pt idx="28">
                  <c:v>-5.4722424497344099E-3</c:v>
                </c:pt>
                <c:pt idx="29">
                  <c:v>-5.6576037396997899E-3</c:v>
                </c:pt>
                <c:pt idx="30">
                  <c:v>-3.9834698793601098E-3</c:v>
                </c:pt>
                <c:pt idx="31">
                  <c:v>-3.5737728185150702E-3</c:v>
                </c:pt>
                <c:pt idx="32">
                  <c:v>-2.2829677585868499E-3</c:v>
                </c:pt>
                <c:pt idx="33">
                  <c:v>-1.4780771432311201E-3</c:v>
                </c:pt>
                <c:pt idx="34">
                  <c:v>-2.6794766412181598E-3</c:v>
                </c:pt>
                <c:pt idx="35">
                  <c:v>-8.5462443996499901E-4</c:v>
                </c:pt>
                <c:pt idx="36">
                  <c:v>-1.61484163487087E-3</c:v>
                </c:pt>
                <c:pt idx="37">
                  <c:v>-1.23210336857549E-3</c:v>
                </c:pt>
                <c:pt idx="38">
                  <c:v>-2.2917039326041302E-3</c:v>
                </c:pt>
                <c:pt idx="39">
                  <c:v>-2.8592784434448701E-3</c:v>
                </c:pt>
                <c:pt idx="40">
                  <c:v>-2.0969799891056898E-3</c:v>
                </c:pt>
                <c:pt idx="41">
                  <c:v>-1.51348136874317E-3</c:v>
                </c:pt>
                <c:pt idx="42">
                  <c:v>1.47873676095103E-4</c:v>
                </c:pt>
                <c:pt idx="43">
                  <c:v>8.0169422578856497E-4</c:v>
                </c:pt>
                <c:pt idx="44">
                  <c:v>5.9848895351263104E-4</c:v>
                </c:pt>
                <c:pt idx="45">
                  <c:v>1.5706101656954301E-3</c:v>
                </c:pt>
                <c:pt idx="46">
                  <c:v>7.7747711758202403E-4</c:v>
                </c:pt>
                <c:pt idx="47">
                  <c:v>-9.14478521161489E-4</c:v>
                </c:pt>
                <c:pt idx="48">
                  <c:v>-6.5452342688931899E-4</c:v>
                </c:pt>
                <c:pt idx="49">
                  <c:v>-4.9088260456258705E-4</c:v>
                </c:pt>
                <c:pt idx="50">
                  <c:v>6.8965622141581805E-4</c:v>
                </c:pt>
                <c:pt idx="51">
                  <c:v>2.1874771012178598E-3</c:v>
                </c:pt>
                <c:pt idx="52">
                  <c:v>2.2649819430384001E-3</c:v>
                </c:pt>
                <c:pt idx="53">
                  <c:v>1.78951057682504E-3</c:v>
                </c:pt>
                <c:pt idx="54">
                  <c:v>2.83272212223417E-3</c:v>
                </c:pt>
                <c:pt idx="55">
                  <c:v>1.21930068729095E-3</c:v>
                </c:pt>
                <c:pt idx="56">
                  <c:v>3.0516697667127999E-3</c:v>
                </c:pt>
                <c:pt idx="57">
                  <c:v>3.0539708177552802E-3</c:v>
                </c:pt>
                <c:pt idx="58">
                  <c:v>2.2215221488461499E-3</c:v>
                </c:pt>
                <c:pt idx="59">
                  <c:v>2.9426558712219602E-3</c:v>
                </c:pt>
                <c:pt idx="60">
                  <c:v>4.6016284442521498E-3</c:v>
                </c:pt>
                <c:pt idx="61">
                  <c:v>4.3888903547775497E-3</c:v>
                </c:pt>
                <c:pt idx="62">
                  <c:v>2.68227346663617E-3</c:v>
                </c:pt>
                <c:pt idx="63">
                  <c:v>3.6355011182045301E-3</c:v>
                </c:pt>
                <c:pt idx="64">
                  <c:v>1.8901035515940601E-3</c:v>
                </c:pt>
                <c:pt idx="65">
                  <c:v>1.3749962606003599E-3</c:v>
                </c:pt>
                <c:pt idx="66">
                  <c:v>3.3251133588242199E-4</c:v>
                </c:pt>
                <c:pt idx="67">
                  <c:v>6.3766306435438002E-4</c:v>
                </c:pt>
                <c:pt idx="68">
                  <c:v>2.8751718393386599E-3</c:v>
                </c:pt>
                <c:pt idx="69">
                  <c:v>3.4750759290678602E-3</c:v>
                </c:pt>
                <c:pt idx="70">
                  <c:v>4.6357479195368798E-3</c:v>
                </c:pt>
                <c:pt idx="71">
                  <c:v>3.0947250709758701E-3</c:v>
                </c:pt>
                <c:pt idx="72">
                  <c:v>2.8213206615230499E-3</c:v>
                </c:pt>
                <c:pt idx="73">
                  <c:v>2.7475915704671598E-3</c:v>
                </c:pt>
                <c:pt idx="74">
                  <c:v>2.3322350449179702E-3</c:v>
                </c:pt>
                <c:pt idx="75">
                  <c:v>3.19714427624014E-3</c:v>
                </c:pt>
                <c:pt idx="76">
                  <c:v>-3.9578638982637899E-4</c:v>
                </c:pt>
                <c:pt idx="77">
                  <c:v>9.1569937843973795E-4</c:v>
                </c:pt>
                <c:pt idx="78">
                  <c:v>3.2071537203481502E-4</c:v>
                </c:pt>
                <c:pt idx="79">
                  <c:v>-1.4771420583515099E-3</c:v>
                </c:pt>
                <c:pt idx="80">
                  <c:v>-1.3460398363010599E-3</c:v>
                </c:pt>
                <c:pt idx="81">
                  <c:v>-1.63244113615281E-3</c:v>
                </c:pt>
                <c:pt idx="82">
                  <c:v>7.1264852956659497E-4</c:v>
                </c:pt>
                <c:pt idx="83">
                  <c:v>1.9418445020667201E-3</c:v>
                </c:pt>
                <c:pt idx="84">
                  <c:v>1.5186659956127799E-3</c:v>
                </c:pt>
                <c:pt idx="85">
                  <c:v>5.0651075322530499E-3</c:v>
                </c:pt>
                <c:pt idx="86">
                  <c:v>1.0694807402305501E-3</c:v>
                </c:pt>
                <c:pt idx="87">
                  <c:v>6.4164221230770602E-4</c:v>
                </c:pt>
                <c:pt idx="88">
                  <c:v>4.3912517480631499E-4</c:v>
                </c:pt>
                <c:pt idx="89">
                  <c:v>1.27418355264422E-5</c:v>
                </c:pt>
                <c:pt idx="90">
                  <c:v>-3.3948377199876999E-4</c:v>
                </c:pt>
                <c:pt idx="91">
                  <c:v>-6.7406909914582405E-4</c:v>
                </c:pt>
                <c:pt idx="92">
                  <c:v>-2.53308304776896E-3</c:v>
                </c:pt>
                <c:pt idx="93">
                  <c:v>-2.7094334797089698E-3</c:v>
                </c:pt>
                <c:pt idx="94">
                  <c:v>-2.22541389273857E-3</c:v>
                </c:pt>
                <c:pt idx="95">
                  <c:v>1.7762191171717701E-5</c:v>
                </c:pt>
                <c:pt idx="96">
                  <c:v>-3.3997355043372299E-4</c:v>
                </c:pt>
                <c:pt idx="97">
                  <c:v>-1.0264830198096801E-3</c:v>
                </c:pt>
                <c:pt idx="98">
                  <c:v>6.2263055921644203E-4</c:v>
                </c:pt>
                <c:pt idx="99">
                  <c:v>3.01800001759612E-4</c:v>
                </c:pt>
                <c:pt idx="100">
                  <c:v>8.4601982694974397E-4</c:v>
                </c:pt>
                <c:pt idx="101">
                  <c:v>2.3465604275736199E-3</c:v>
                </c:pt>
                <c:pt idx="102">
                  <c:v>1.4243623644480401E-3</c:v>
                </c:pt>
                <c:pt idx="103">
                  <c:v>-3.3585836996415899E-4</c:v>
                </c:pt>
                <c:pt idx="104">
                  <c:v>1.44214117771264E-3</c:v>
                </c:pt>
                <c:pt idx="105">
                  <c:v>-2.63310616170206E-4</c:v>
                </c:pt>
                <c:pt idx="106">
                  <c:v>-2.0594950413983402E-3</c:v>
                </c:pt>
                <c:pt idx="107">
                  <c:v>-2.35684573379526E-3</c:v>
                </c:pt>
                <c:pt idx="108">
                  <c:v>-1.1930205289630599E-3</c:v>
                </c:pt>
                <c:pt idx="109">
                  <c:v>-2.9129459245087102E-3</c:v>
                </c:pt>
                <c:pt idx="110">
                  <c:v>-2.71570553945871E-3</c:v>
                </c:pt>
                <c:pt idx="111">
                  <c:v>-2.7404786992773298E-3</c:v>
                </c:pt>
                <c:pt idx="112">
                  <c:v>-1.20084774882959E-3</c:v>
                </c:pt>
                <c:pt idx="113">
                  <c:v>-2.3083829428746502E-3</c:v>
                </c:pt>
                <c:pt idx="114">
                  <c:v>-7.8748724339436403E-4</c:v>
                </c:pt>
                <c:pt idx="115">
                  <c:v>7.7011006142694704E-4</c:v>
                </c:pt>
                <c:pt idx="116">
                  <c:v>-6.5689978428505196E-5</c:v>
                </c:pt>
                <c:pt idx="117">
                  <c:v>-6.7088455609258903E-4</c:v>
                </c:pt>
                <c:pt idx="118">
                  <c:v>1.179859363701E-3</c:v>
                </c:pt>
                <c:pt idx="119">
                  <c:v>2.11663266406218E-3</c:v>
                </c:pt>
                <c:pt idx="120">
                  <c:v>2.03176917611153E-3</c:v>
                </c:pt>
                <c:pt idx="121">
                  <c:v>3.79447174462631E-3</c:v>
                </c:pt>
                <c:pt idx="122">
                  <c:v>3.1257219608061301E-3</c:v>
                </c:pt>
                <c:pt idx="123">
                  <c:v>3.9694754089065198E-3</c:v>
                </c:pt>
                <c:pt idx="124">
                  <c:v>3.7977012773776101E-3</c:v>
                </c:pt>
                <c:pt idx="125">
                  <c:v>5.3305588074332496E-3</c:v>
                </c:pt>
                <c:pt idx="126">
                  <c:v>4.4180214286359196E-3</c:v>
                </c:pt>
                <c:pt idx="127">
                  <c:v>2.5657565628644801E-3</c:v>
                </c:pt>
                <c:pt idx="128">
                  <c:v>3.9823590579098301E-3</c:v>
                </c:pt>
                <c:pt idx="129">
                  <c:v>1.23282919418759E-3</c:v>
                </c:pt>
                <c:pt idx="130">
                  <c:v>-9.1797177013382201E-4</c:v>
                </c:pt>
                <c:pt idx="131">
                  <c:v>-3.1047811994160297E-4</c:v>
                </c:pt>
                <c:pt idx="132">
                  <c:v>5.2861087513738595E-4</c:v>
                </c:pt>
                <c:pt idx="133">
                  <c:v>-2.10450775841307E-3</c:v>
                </c:pt>
                <c:pt idx="134">
                  <c:v>-2.5439799287403E-3</c:v>
                </c:pt>
                <c:pt idx="135">
                  <c:v>-3.1291964360373901E-3</c:v>
                </c:pt>
                <c:pt idx="136">
                  <c:v>-2.89753293917343E-3</c:v>
                </c:pt>
                <c:pt idx="137">
                  <c:v>-2.2144428123094702E-3</c:v>
                </c:pt>
                <c:pt idx="138">
                  <c:v>-2.01708445673937E-3</c:v>
                </c:pt>
                <c:pt idx="139">
                  <c:v>-2.6213805096329998E-3</c:v>
                </c:pt>
                <c:pt idx="140">
                  <c:v>-3.05337281524446E-3</c:v>
                </c:pt>
                <c:pt idx="141">
                  <c:v>-3.6025931194251602E-3</c:v>
                </c:pt>
                <c:pt idx="142">
                  <c:v>-3.2194396174590099E-3</c:v>
                </c:pt>
                <c:pt idx="143">
                  <c:v>-1.6736545276947201E-3</c:v>
                </c:pt>
                <c:pt idx="144">
                  <c:v>-2.51715162523504E-3</c:v>
                </c:pt>
                <c:pt idx="145">
                  <c:v>-1.8123010630232399E-3</c:v>
                </c:pt>
                <c:pt idx="146">
                  <c:v>-6.30480258837645E-4</c:v>
                </c:pt>
                <c:pt idx="147">
                  <c:v>-4.5520198406413299E-4</c:v>
                </c:pt>
                <c:pt idx="148">
                  <c:v>-1.8367405038591699E-5</c:v>
                </c:pt>
                <c:pt idx="149">
                  <c:v>3.6913937335978199E-3</c:v>
                </c:pt>
                <c:pt idx="150">
                  <c:v>3.3146199043915798E-3</c:v>
                </c:pt>
                <c:pt idx="151">
                  <c:v>2.21939612562576E-3</c:v>
                </c:pt>
                <c:pt idx="152">
                  <c:v>3.5608923233805098E-3</c:v>
                </c:pt>
                <c:pt idx="153">
                  <c:v>3.01485280752045E-3</c:v>
                </c:pt>
                <c:pt idx="154">
                  <c:v>2.37100110593383E-3</c:v>
                </c:pt>
                <c:pt idx="155">
                  <c:v>3.4158123945490799E-3</c:v>
                </c:pt>
                <c:pt idx="156">
                  <c:v>2.34631756609447E-3</c:v>
                </c:pt>
                <c:pt idx="157">
                  <c:v>4.2145870765453999E-3</c:v>
                </c:pt>
                <c:pt idx="158">
                  <c:v>4.4854317470239798E-3</c:v>
                </c:pt>
                <c:pt idx="159">
                  <c:v>3.78318738120679E-3</c:v>
                </c:pt>
                <c:pt idx="160">
                  <c:v>2.3702101781298301E-3</c:v>
                </c:pt>
                <c:pt idx="161">
                  <c:v>2.6672022195186702E-3</c:v>
                </c:pt>
                <c:pt idx="162">
                  <c:v>2.4618142883293301E-3</c:v>
                </c:pt>
                <c:pt idx="163">
                  <c:v>2.9248387940835801E-3</c:v>
                </c:pt>
                <c:pt idx="164">
                  <c:v>6.7124572019342595E-4</c:v>
                </c:pt>
                <c:pt idx="165">
                  <c:v>2.6985346880277201E-5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F2-45F0-9D43-463616539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IYH_XLV_2!$Y$1</c:f>
              <c:strCache>
                <c:ptCount val="1"/>
                <c:pt idx="0">
                  <c:v> XLV*/IYH*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IYH_XLV_2!$Y$2:$Y$167</c:f>
              <c:numCache>
                <c:formatCode>_(* #,##0.0000_);_(* \(#,##0.0000\);_(* "-"??_);_(@_)</c:formatCode>
                <c:ptCount val="166"/>
                <c:pt idx="0">
                  <c:v>2.3816575271846898</c:v>
                </c:pt>
                <c:pt idx="1">
                  <c:v>2.3816575271846898</c:v>
                </c:pt>
                <c:pt idx="2">
                  <c:v>2.3816575271846898</c:v>
                </c:pt>
                <c:pt idx="3">
                  <c:v>2.3816575271846898</c:v>
                </c:pt>
                <c:pt idx="4">
                  <c:v>2.3816575271846898</c:v>
                </c:pt>
                <c:pt idx="5">
                  <c:v>2.3816575271846898</c:v>
                </c:pt>
                <c:pt idx="6">
                  <c:v>2.3816575271846898</c:v>
                </c:pt>
                <c:pt idx="7">
                  <c:v>2.3816575271846898</c:v>
                </c:pt>
                <c:pt idx="8">
                  <c:v>2.3816575271846898</c:v>
                </c:pt>
                <c:pt idx="9">
                  <c:v>2.3816575271846898</c:v>
                </c:pt>
                <c:pt idx="10">
                  <c:v>2.3816575271846898</c:v>
                </c:pt>
                <c:pt idx="11">
                  <c:v>2.3816575271846898</c:v>
                </c:pt>
                <c:pt idx="12">
                  <c:v>2.3816575271846898</c:v>
                </c:pt>
                <c:pt idx="13">
                  <c:v>2.3816575271846898</c:v>
                </c:pt>
                <c:pt idx="14">
                  <c:v>2.3816575271846898</c:v>
                </c:pt>
                <c:pt idx="15">
                  <c:v>2.3816575271846898</c:v>
                </c:pt>
                <c:pt idx="16">
                  <c:v>2.3816575271846898</c:v>
                </c:pt>
                <c:pt idx="17">
                  <c:v>2.3816575271846898</c:v>
                </c:pt>
                <c:pt idx="18">
                  <c:v>2.3816575271846898</c:v>
                </c:pt>
                <c:pt idx="19">
                  <c:v>2.3816575271846898</c:v>
                </c:pt>
                <c:pt idx="20">
                  <c:v>2.3816575271846898</c:v>
                </c:pt>
                <c:pt idx="21">
                  <c:v>2.3816575271846898</c:v>
                </c:pt>
                <c:pt idx="22">
                  <c:v>2.3816575271846898</c:v>
                </c:pt>
                <c:pt idx="23">
                  <c:v>2.3816575271846898</c:v>
                </c:pt>
                <c:pt idx="24">
                  <c:v>2.3816575271846898</c:v>
                </c:pt>
                <c:pt idx="25">
                  <c:v>2.3816575271846898</c:v>
                </c:pt>
                <c:pt idx="26">
                  <c:v>2.3816575271846898</c:v>
                </c:pt>
                <c:pt idx="27">
                  <c:v>2.3816575271846898</c:v>
                </c:pt>
                <c:pt idx="28">
                  <c:v>2.3816575271846898</c:v>
                </c:pt>
                <c:pt idx="29">
                  <c:v>2.3816575271846898</c:v>
                </c:pt>
                <c:pt idx="30">
                  <c:v>2.3816575271846898</c:v>
                </c:pt>
                <c:pt idx="31">
                  <c:v>2.3816575271846898</c:v>
                </c:pt>
                <c:pt idx="32">
                  <c:v>2.3816575271846898</c:v>
                </c:pt>
                <c:pt idx="33">
                  <c:v>2.3816575271846898</c:v>
                </c:pt>
                <c:pt idx="34">
                  <c:v>2.3816575271846898</c:v>
                </c:pt>
                <c:pt idx="35">
                  <c:v>2.3816575271846898</c:v>
                </c:pt>
                <c:pt idx="36">
                  <c:v>2.3816575271846898</c:v>
                </c:pt>
                <c:pt idx="37">
                  <c:v>2.3816575271846898</c:v>
                </c:pt>
                <c:pt idx="38">
                  <c:v>2.3816575271846898</c:v>
                </c:pt>
                <c:pt idx="39">
                  <c:v>2.3816575271846898</c:v>
                </c:pt>
                <c:pt idx="40">
                  <c:v>2.3816575271846898</c:v>
                </c:pt>
                <c:pt idx="41">
                  <c:v>2.3816575271846898</c:v>
                </c:pt>
                <c:pt idx="42">
                  <c:v>2.3816575271846898</c:v>
                </c:pt>
                <c:pt idx="43">
                  <c:v>2.3816575271846898</c:v>
                </c:pt>
                <c:pt idx="44">
                  <c:v>2.3816575271846898</c:v>
                </c:pt>
                <c:pt idx="45">
                  <c:v>2.3816575271846898</c:v>
                </c:pt>
                <c:pt idx="46">
                  <c:v>2.3816575271846898</c:v>
                </c:pt>
                <c:pt idx="47">
                  <c:v>2.3816575271846898</c:v>
                </c:pt>
                <c:pt idx="48">
                  <c:v>2.3816575271846898</c:v>
                </c:pt>
                <c:pt idx="49">
                  <c:v>2.3816575271846898</c:v>
                </c:pt>
                <c:pt idx="50">
                  <c:v>2.3816575271846898</c:v>
                </c:pt>
                <c:pt idx="51">
                  <c:v>2.3816575271846898</c:v>
                </c:pt>
                <c:pt idx="52">
                  <c:v>2.3816575271846898</c:v>
                </c:pt>
                <c:pt idx="53">
                  <c:v>2.3816575271846898</c:v>
                </c:pt>
                <c:pt idx="54">
                  <c:v>2.3816575271846898</c:v>
                </c:pt>
                <c:pt idx="55">
                  <c:v>2.3816575271846898</c:v>
                </c:pt>
                <c:pt idx="56">
                  <c:v>2.3816575271846898</c:v>
                </c:pt>
                <c:pt idx="57">
                  <c:v>2.3816575271846898</c:v>
                </c:pt>
                <c:pt idx="58">
                  <c:v>2.3816575271846898</c:v>
                </c:pt>
                <c:pt idx="59">
                  <c:v>2.3816575271846898</c:v>
                </c:pt>
                <c:pt idx="60">
                  <c:v>2.3816575271846898</c:v>
                </c:pt>
                <c:pt idx="61">
                  <c:v>2.3816575271846898</c:v>
                </c:pt>
                <c:pt idx="62">
                  <c:v>2.3816575271846898</c:v>
                </c:pt>
                <c:pt idx="63">
                  <c:v>2.3816575271846898</c:v>
                </c:pt>
                <c:pt idx="64">
                  <c:v>2.3816575271846898</c:v>
                </c:pt>
                <c:pt idx="65">
                  <c:v>2.3816575271846898</c:v>
                </c:pt>
                <c:pt idx="66">
                  <c:v>2.3816575271846898</c:v>
                </c:pt>
                <c:pt idx="67">
                  <c:v>2.3816575271846898</c:v>
                </c:pt>
                <c:pt idx="68">
                  <c:v>2.3816575271846898</c:v>
                </c:pt>
                <c:pt idx="69">
                  <c:v>2.3816575271846898</c:v>
                </c:pt>
                <c:pt idx="70">
                  <c:v>2.3816575271846898</c:v>
                </c:pt>
                <c:pt idx="71">
                  <c:v>2.3816575271846898</c:v>
                </c:pt>
                <c:pt idx="72">
                  <c:v>2.3816575271846898</c:v>
                </c:pt>
                <c:pt idx="73">
                  <c:v>2.3816575271846898</c:v>
                </c:pt>
                <c:pt idx="74">
                  <c:v>2.3816575271846898</c:v>
                </c:pt>
                <c:pt idx="75">
                  <c:v>2.3816575271846898</c:v>
                </c:pt>
                <c:pt idx="76">
                  <c:v>2.3816575271846898</c:v>
                </c:pt>
                <c:pt idx="77">
                  <c:v>2.3816575271846898</c:v>
                </c:pt>
                <c:pt idx="78">
                  <c:v>2.3816575271846898</c:v>
                </c:pt>
                <c:pt idx="79">
                  <c:v>2.3816575271846898</c:v>
                </c:pt>
                <c:pt idx="80">
                  <c:v>2.3816575271846898</c:v>
                </c:pt>
                <c:pt idx="81">
                  <c:v>2.3816575271846898</c:v>
                </c:pt>
                <c:pt idx="82">
                  <c:v>2.3816575271846898</c:v>
                </c:pt>
                <c:pt idx="83">
                  <c:v>2.3816575271846898</c:v>
                </c:pt>
                <c:pt idx="84">
                  <c:v>2.3816575271846898</c:v>
                </c:pt>
                <c:pt idx="85">
                  <c:v>2.3816575271846898</c:v>
                </c:pt>
                <c:pt idx="86">
                  <c:v>2.3816575271846898</c:v>
                </c:pt>
                <c:pt idx="87">
                  <c:v>2.3816575271846898</c:v>
                </c:pt>
                <c:pt idx="88">
                  <c:v>2.3816575271846898</c:v>
                </c:pt>
                <c:pt idx="89">
                  <c:v>2.3816575271846898</c:v>
                </c:pt>
                <c:pt idx="90">
                  <c:v>2.3816575271846898</c:v>
                </c:pt>
                <c:pt idx="91">
                  <c:v>2.3816575271846898</c:v>
                </c:pt>
                <c:pt idx="92">
                  <c:v>2.3816575271846898</c:v>
                </c:pt>
                <c:pt idx="93">
                  <c:v>2.3816575271846898</c:v>
                </c:pt>
                <c:pt idx="94">
                  <c:v>2.3816575271846898</c:v>
                </c:pt>
                <c:pt idx="95">
                  <c:v>2.3816575271846898</c:v>
                </c:pt>
                <c:pt idx="96">
                  <c:v>2.3816575271846898</c:v>
                </c:pt>
                <c:pt idx="97">
                  <c:v>2.3816575271846898</c:v>
                </c:pt>
                <c:pt idx="98">
                  <c:v>2.3816575271846898</c:v>
                </c:pt>
                <c:pt idx="99">
                  <c:v>2.3816575271846898</c:v>
                </c:pt>
                <c:pt idx="100">
                  <c:v>2.3816575271846898</c:v>
                </c:pt>
                <c:pt idx="101">
                  <c:v>2.3816575271846898</c:v>
                </c:pt>
                <c:pt idx="102">
                  <c:v>2.3816575271846898</c:v>
                </c:pt>
                <c:pt idx="103">
                  <c:v>2.3816575271846898</c:v>
                </c:pt>
                <c:pt idx="104">
                  <c:v>2.3816575271846898</c:v>
                </c:pt>
                <c:pt idx="105">
                  <c:v>2.3816575271846898</c:v>
                </c:pt>
                <c:pt idx="106">
                  <c:v>2.3816575271846898</c:v>
                </c:pt>
                <c:pt idx="107">
                  <c:v>2.3816575271846898</c:v>
                </c:pt>
                <c:pt idx="108">
                  <c:v>2.3816575271846898</c:v>
                </c:pt>
                <c:pt idx="109">
                  <c:v>2.3816575271846898</c:v>
                </c:pt>
                <c:pt idx="110">
                  <c:v>2.3816575271846898</c:v>
                </c:pt>
                <c:pt idx="111">
                  <c:v>2.3816575271846898</c:v>
                </c:pt>
                <c:pt idx="112">
                  <c:v>2.3816575271846898</c:v>
                </c:pt>
                <c:pt idx="113">
                  <c:v>2.3816575271846898</c:v>
                </c:pt>
                <c:pt idx="114">
                  <c:v>2.3816575271846898</c:v>
                </c:pt>
                <c:pt idx="115">
                  <c:v>2.3816575271846898</c:v>
                </c:pt>
                <c:pt idx="116">
                  <c:v>2.3816575271846898</c:v>
                </c:pt>
                <c:pt idx="117">
                  <c:v>2.3816575271846898</c:v>
                </c:pt>
                <c:pt idx="118">
                  <c:v>2.3816575271846898</c:v>
                </c:pt>
                <c:pt idx="119">
                  <c:v>2.3816575271846898</c:v>
                </c:pt>
                <c:pt idx="120">
                  <c:v>2.3816575271846898</c:v>
                </c:pt>
                <c:pt idx="121">
                  <c:v>2.3816575271846898</c:v>
                </c:pt>
                <c:pt idx="122">
                  <c:v>2.3816575271846898</c:v>
                </c:pt>
                <c:pt idx="123">
                  <c:v>2.3816575271846898</c:v>
                </c:pt>
                <c:pt idx="124">
                  <c:v>2.3816575271846898</c:v>
                </c:pt>
                <c:pt idx="125">
                  <c:v>2.3816575271846898</c:v>
                </c:pt>
                <c:pt idx="126">
                  <c:v>2.3816575271846898</c:v>
                </c:pt>
                <c:pt idx="127">
                  <c:v>2.3816575271846898</c:v>
                </c:pt>
                <c:pt idx="128">
                  <c:v>2.3816575271846898</c:v>
                </c:pt>
                <c:pt idx="129">
                  <c:v>2.3816575271846898</c:v>
                </c:pt>
                <c:pt idx="130">
                  <c:v>2.3816575271846898</c:v>
                </c:pt>
                <c:pt idx="131">
                  <c:v>2.3816575271846898</c:v>
                </c:pt>
                <c:pt idx="132">
                  <c:v>2.3816575271846898</c:v>
                </c:pt>
                <c:pt idx="133">
                  <c:v>2.3816575271846898</c:v>
                </c:pt>
                <c:pt idx="134">
                  <c:v>2.3816575271846898</c:v>
                </c:pt>
                <c:pt idx="135">
                  <c:v>2.3816575271846898</c:v>
                </c:pt>
                <c:pt idx="136">
                  <c:v>2.3816575271846898</c:v>
                </c:pt>
                <c:pt idx="137">
                  <c:v>2.3816575271846898</c:v>
                </c:pt>
                <c:pt idx="138">
                  <c:v>2.3816575271846898</c:v>
                </c:pt>
                <c:pt idx="139">
                  <c:v>2.3816575271846898</c:v>
                </c:pt>
                <c:pt idx="140">
                  <c:v>2.3816575271846898</c:v>
                </c:pt>
                <c:pt idx="141">
                  <c:v>2.3816575271846898</c:v>
                </c:pt>
                <c:pt idx="142">
                  <c:v>2.3816575271846898</c:v>
                </c:pt>
                <c:pt idx="143">
                  <c:v>2.3816575271846898</c:v>
                </c:pt>
                <c:pt idx="144">
                  <c:v>2.3816575271846898</c:v>
                </c:pt>
                <c:pt idx="145">
                  <c:v>2.3816575271846898</c:v>
                </c:pt>
                <c:pt idx="146">
                  <c:v>2.3816575271846898</c:v>
                </c:pt>
                <c:pt idx="147">
                  <c:v>2.3816575271846898</c:v>
                </c:pt>
                <c:pt idx="148">
                  <c:v>2.3816575271846898</c:v>
                </c:pt>
                <c:pt idx="149">
                  <c:v>2.3816575271846898</c:v>
                </c:pt>
                <c:pt idx="150">
                  <c:v>2.3816575271846898</c:v>
                </c:pt>
                <c:pt idx="151">
                  <c:v>2.3816575271846898</c:v>
                </c:pt>
                <c:pt idx="152">
                  <c:v>2.3816575271846898</c:v>
                </c:pt>
                <c:pt idx="153">
                  <c:v>2.3816575271846898</c:v>
                </c:pt>
                <c:pt idx="154">
                  <c:v>2.3816575271846898</c:v>
                </c:pt>
                <c:pt idx="155">
                  <c:v>2.3816575271846898</c:v>
                </c:pt>
                <c:pt idx="156">
                  <c:v>2.3816575271846898</c:v>
                </c:pt>
                <c:pt idx="157">
                  <c:v>2.3816575271846898</c:v>
                </c:pt>
                <c:pt idx="158">
                  <c:v>2.3816575271846898</c:v>
                </c:pt>
                <c:pt idx="159">
                  <c:v>2.3816575271846898</c:v>
                </c:pt>
                <c:pt idx="160">
                  <c:v>2.3816575271846898</c:v>
                </c:pt>
                <c:pt idx="161">
                  <c:v>2.3816575271846898</c:v>
                </c:pt>
                <c:pt idx="162">
                  <c:v>2.3816575271846898</c:v>
                </c:pt>
                <c:pt idx="163">
                  <c:v>2.3816575271846898</c:v>
                </c:pt>
                <c:pt idx="164">
                  <c:v>2.3816575271846898</c:v>
                </c:pt>
                <c:pt idx="165">
                  <c:v>2.3816575271846898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8-493E-BC70-CC2368E1226E}"/>
            </c:ext>
          </c:extLst>
        </c:ser>
        <c:ser>
          <c:idx val="1"/>
          <c:order val="1"/>
          <c:tx>
            <c:strRef>
              <c:f>IYH_XLV_2!$Z$1</c:f>
              <c:strCache>
                <c:ptCount val="1"/>
                <c:pt idx="0">
                  <c:v> XLV*/IYH*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IYH_XLV_2!$Z$2:$Z$167</c:f>
              <c:numCache>
                <c:formatCode>_(* #,##0.0000_);_(* \(#,##0.0000\);_(* "-"??_);_(@_)</c:formatCode>
                <c:ptCount val="166"/>
                <c:pt idx="9">
                  <c:v>2.37611986927423</c:v>
                </c:pt>
                <c:pt idx="10">
                  <c:v>2.3760714177143898</c:v>
                </c:pt>
                <c:pt idx="11">
                  <c:v>2.37611302437326</c:v>
                </c:pt>
                <c:pt idx="12">
                  <c:v>2.3765469967742598</c:v>
                </c:pt>
                <c:pt idx="13">
                  <c:v>2.3771248103762002</c:v>
                </c:pt>
                <c:pt idx="14">
                  <c:v>2.3778073377989202</c:v>
                </c:pt>
                <c:pt idx="15">
                  <c:v>2.37878305479334</c:v>
                </c:pt>
                <c:pt idx="16">
                  <c:v>2.3786314641947901</c:v>
                </c:pt>
                <c:pt idx="17">
                  <c:v>2.3787702219165099</c:v>
                </c:pt>
                <c:pt idx="18">
                  <c:v>2.3787028992452099</c:v>
                </c:pt>
                <c:pt idx="19">
                  <c:v>2.3788758792979401</c:v>
                </c:pt>
                <c:pt idx="20">
                  <c:v>2.3795281849360999</c:v>
                </c:pt>
                <c:pt idx="21">
                  <c:v>2.3802391486077199</c:v>
                </c:pt>
                <c:pt idx="22">
                  <c:v>2.3805388769265199</c:v>
                </c:pt>
                <c:pt idx="23">
                  <c:v>2.3822244517011399</c:v>
                </c:pt>
                <c:pt idx="24">
                  <c:v>2.3836938996960599</c:v>
                </c:pt>
                <c:pt idx="25">
                  <c:v>2.3850906320820999</c:v>
                </c:pt>
                <c:pt idx="26">
                  <c:v>2.3867727368009901</c:v>
                </c:pt>
                <c:pt idx="27">
                  <c:v>2.3884340081402402</c:v>
                </c:pt>
                <c:pt idx="28">
                  <c:v>2.3902852149702598</c:v>
                </c:pt>
                <c:pt idx="29">
                  <c:v>2.3919160325865798</c:v>
                </c:pt>
                <c:pt idx="30">
                  <c:v>2.3928754879162701</c:v>
                </c:pt>
                <c:pt idx="31">
                  <c:v>2.3938789099220301</c:v>
                </c:pt>
                <c:pt idx="32">
                  <c:v>2.3949530157633498</c:v>
                </c:pt>
                <c:pt idx="33">
                  <c:v>2.3946868592300401</c:v>
                </c:pt>
                <c:pt idx="34">
                  <c:v>2.3947107678598099</c:v>
                </c:pt>
                <c:pt idx="35">
                  <c:v>2.3942643943586801</c:v>
                </c:pt>
                <c:pt idx="36">
                  <c:v>2.3943177824824202</c:v>
                </c:pt>
                <c:pt idx="37">
                  <c:v>2.3941300070174001</c:v>
                </c:pt>
                <c:pt idx="38">
                  <c:v>2.3941386954430102</c:v>
                </c:pt>
                <c:pt idx="39">
                  <c:v>2.3942425884083298</c:v>
                </c:pt>
                <c:pt idx="40">
                  <c:v>2.3945611639452502</c:v>
                </c:pt>
                <c:pt idx="41">
                  <c:v>2.3948210720445799</c:v>
                </c:pt>
                <c:pt idx="42">
                  <c:v>2.39496918428615</c:v>
                </c:pt>
                <c:pt idx="43">
                  <c:v>2.39514558572266</c:v>
                </c:pt>
                <c:pt idx="44">
                  <c:v>2.3950075129291601</c:v>
                </c:pt>
                <c:pt idx="45">
                  <c:v>2.3949930754618398</c:v>
                </c:pt>
                <c:pt idx="46">
                  <c:v>2.3949158862598399</c:v>
                </c:pt>
                <c:pt idx="47">
                  <c:v>2.3952474050438299</c:v>
                </c:pt>
                <c:pt idx="48">
                  <c:v>2.39519622472281</c:v>
                </c:pt>
                <c:pt idx="49">
                  <c:v>2.3948743753133002</c:v>
                </c:pt>
                <c:pt idx="50">
                  <c:v>2.39435485669877</c:v>
                </c:pt>
                <c:pt idx="51">
                  <c:v>2.3935430562916098</c:v>
                </c:pt>
                <c:pt idx="52">
                  <c:v>2.3930200028729698</c:v>
                </c:pt>
                <c:pt idx="53">
                  <c:v>2.3926872531608399</c:v>
                </c:pt>
                <c:pt idx="54">
                  <c:v>2.3920533926353098</c:v>
                </c:pt>
                <c:pt idx="55">
                  <c:v>2.3920047021734101</c:v>
                </c:pt>
                <c:pt idx="56">
                  <c:v>2.3913485186564798</c:v>
                </c:pt>
                <c:pt idx="57">
                  <c:v>2.3902512320207498</c:v>
                </c:pt>
                <c:pt idx="58">
                  <c:v>2.3893695394119301</c:v>
                </c:pt>
                <c:pt idx="59">
                  <c:v>2.3883105709175698</c:v>
                </c:pt>
                <c:pt idx="60">
                  <c:v>2.3870810615479598</c:v>
                </c:pt>
                <c:pt idx="61">
                  <c:v>2.3861833054508401</c:v>
                </c:pt>
                <c:pt idx="62">
                  <c:v>2.3856529136504498</c:v>
                </c:pt>
                <c:pt idx="63">
                  <c:v>2.3847480584206</c:v>
                </c:pt>
                <c:pt idx="64">
                  <c:v>2.3844542865273302</c:v>
                </c:pt>
                <c:pt idx="65">
                  <c:v>2.3838901323398298</c:v>
                </c:pt>
                <c:pt idx="66">
                  <c:v>2.38398489988165</c:v>
                </c:pt>
                <c:pt idx="67">
                  <c:v>2.3840158871286601</c:v>
                </c:pt>
                <c:pt idx="68">
                  <c:v>2.3832999196123499</c:v>
                </c:pt>
                <c:pt idx="69">
                  <c:v>2.38258020591508</c:v>
                </c:pt>
                <c:pt idx="70">
                  <c:v>2.3819602180972899</c:v>
                </c:pt>
                <c:pt idx="71">
                  <c:v>2.3816506439965299</c:v>
                </c:pt>
                <c:pt idx="72">
                  <c:v>2.3810245595732602</c:v>
                </c:pt>
                <c:pt idx="73">
                  <c:v>2.38063790853582</c:v>
                </c:pt>
                <c:pt idx="74">
                  <c:v>2.3799314547624002</c:v>
                </c:pt>
                <c:pt idx="75">
                  <c:v>2.3788931109988698</c:v>
                </c:pt>
                <c:pt idx="76">
                  <c:v>2.3784111910927601</c:v>
                </c:pt>
                <c:pt idx="77">
                  <c:v>2.3776985825138701</c:v>
                </c:pt>
                <c:pt idx="78">
                  <c:v>2.3776799607185701</c:v>
                </c:pt>
                <c:pt idx="79">
                  <c:v>2.3782752040163802</c:v>
                </c:pt>
                <c:pt idx="80">
                  <c:v>2.3791973395914598</c:v>
                </c:pt>
                <c:pt idx="81">
                  <c:v>2.37992888922629</c:v>
                </c:pt>
                <c:pt idx="82">
                  <c:v>2.3801181937565499</c:v>
                </c:pt>
                <c:pt idx="83">
                  <c:v>2.3800335816991698</c:v>
                </c:pt>
                <c:pt idx="84">
                  <c:v>2.3799916912224099</c:v>
                </c:pt>
                <c:pt idx="85">
                  <c:v>2.3793265383331401</c:v>
                </c:pt>
                <c:pt idx="86">
                  <c:v>2.3787497825370498</c:v>
                </c:pt>
                <c:pt idx="87">
                  <c:v>2.3785534022135399</c:v>
                </c:pt>
                <c:pt idx="88">
                  <c:v>2.3782522169021698</c:v>
                </c:pt>
                <c:pt idx="89">
                  <c:v>2.3776449098064099</c:v>
                </c:pt>
                <c:pt idx="90">
                  <c:v>2.37715825579608</c:v>
                </c:pt>
                <c:pt idx="91">
                  <c:v>2.376689584497</c:v>
                </c:pt>
                <c:pt idx="92">
                  <c:v>2.3772143468606002</c:v>
                </c:pt>
                <c:pt idx="93">
                  <c:v>2.3781310153161699</c:v>
                </c:pt>
                <c:pt idx="94">
                  <c:v>2.37889692362906</c:v>
                </c:pt>
                <c:pt idx="95">
                  <c:v>2.3800433990393</c:v>
                </c:pt>
                <c:pt idx="96">
                  <c:v>2.3804361353922299</c:v>
                </c:pt>
                <c:pt idx="97">
                  <c:v>2.38093434000313</c:v>
                </c:pt>
                <c:pt idx="98">
                  <c:v>2.3810524104436701</c:v>
                </c:pt>
                <c:pt idx="99">
                  <c:v>2.3811522558048899</c:v>
                </c:pt>
                <c:pt idx="100">
                  <c:v>2.3810141500958202</c:v>
                </c:pt>
                <c:pt idx="101">
                  <c:v>2.3803870185015699</c:v>
                </c:pt>
                <c:pt idx="102">
                  <c:v>2.37946816693889</c:v>
                </c:pt>
                <c:pt idx="103">
                  <c:v>2.37887019991018</c:v>
                </c:pt>
                <c:pt idx="104">
                  <c:v>2.3779392308384999</c:v>
                </c:pt>
                <c:pt idx="105">
                  <c:v>2.37790346871498</c:v>
                </c:pt>
                <c:pt idx="106">
                  <c:v>2.3782418517540602</c:v>
                </c:pt>
                <c:pt idx="107">
                  <c:v>2.37853350347378</c:v>
                </c:pt>
                <c:pt idx="108">
                  <c:v>2.3789647091075699</c:v>
                </c:pt>
                <c:pt idx="109">
                  <c:v>2.37976643514232</c:v>
                </c:pt>
                <c:pt idx="110">
                  <c:v>2.38072106937754</c:v>
                </c:pt>
                <c:pt idx="111">
                  <c:v>2.3821101890755298</c:v>
                </c:pt>
                <c:pt idx="112">
                  <c:v>2.38300589164648</c:v>
                </c:pt>
                <c:pt idx="113">
                  <c:v>2.3837658925079102</c:v>
                </c:pt>
                <c:pt idx="114">
                  <c:v>2.3845780021310898</c:v>
                </c:pt>
                <c:pt idx="115">
                  <c:v>2.3846161090099698</c:v>
                </c:pt>
                <c:pt idx="116">
                  <c:v>2.3843699342439599</c:v>
                </c:pt>
                <c:pt idx="117">
                  <c:v>2.3841650010794599</c:v>
                </c:pt>
                <c:pt idx="118">
                  <c:v>2.38376165753367</c:v>
                </c:pt>
                <c:pt idx="119">
                  <c:v>2.38269931148995</c:v>
                </c:pt>
                <c:pt idx="120">
                  <c:v>2.38164600262352</c:v>
                </c:pt>
                <c:pt idx="121">
                  <c:v>2.3801224073784</c:v>
                </c:pt>
                <c:pt idx="122">
                  <c:v>2.3790799445889999</c:v>
                </c:pt>
                <c:pt idx="123">
                  <c:v>2.37756694211454</c:v>
                </c:pt>
                <c:pt idx="124">
                  <c:v>2.3764117882115601</c:v>
                </c:pt>
                <c:pt idx="125">
                  <c:v>2.37525316787442</c:v>
                </c:pt>
                <c:pt idx="126">
                  <c:v>2.3740558688751601</c:v>
                </c:pt>
                <c:pt idx="127">
                  <c:v>2.3730770923445199</c:v>
                </c:pt>
                <c:pt idx="128">
                  <c:v>2.37213970316561</c:v>
                </c:pt>
                <c:pt idx="129">
                  <c:v>2.3720089868454601</c:v>
                </c:pt>
                <c:pt idx="130">
                  <c:v>2.3723227694187501</c:v>
                </c:pt>
                <c:pt idx="131">
                  <c:v>2.3728784873578199</c:v>
                </c:pt>
                <c:pt idx="132">
                  <c:v>2.3730344198409101</c:v>
                </c:pt>
                <c:pt idx="133">
                  <c:v>2.3739796916072402</c:v>
                </c:pt>
                <c:pt idx="134">
                  <c:v>2.3749979343567502</c:v>
                </c:pt>
                <c:pt idx="135">
                  <c:v>2.3765290607636702</c:v>
                </c:pt>
                <c:pt idx="136">
                  <c:v>2.3778632699078499</c:v>
                </c:pt>
                <c:pt idx="137">
                  <c:v>2.37867432798717</c:v>
                </c:pt>
                <c:pt idx="138">
                  <c:v>2.3798248808411802</c:v>
                </c:pt>
                <c:pt idx="139">
                  <c:v>2.3805446744995402</c:v>
                </c:pt>
                <c:pt idx="140">
                  <c:v>2.3809452828007198</c:v>
                </c:pt>
                <c:pt idx="141">
                  <c:v>2.3816941838584</c:v>
                </c:pt>
                <c:pt idx="142">
                  <c:v>2.3826649501913</c:v>
                </c:pt>
                <c:pt idx="143">
                  <c:v>2.38274193395947</c:v>
                </c:pt>
                <c:pt idx="144">
                  <c:v>2.3829949457375901</c:v>
                </c:pt>
                <c:pt idx="145">
                  <c:v>2.3830110712483399</c:v>
                </c:pt>
                <c:pt idx="146">
                  <c:v>2.3828596329268001</c:v>
                </c:pt>
                <c:pt idx="147">
                  <c:v>2.3828814746745199</c:v>
                </c:pt>
                <c:pt idx="148">
                  <c:v>2.38289634885271</c:v>
                </c:pt>
                <c:pt idx="149">
                  <c:v>2.38193309521938</c:v>
                </c:pt>
                <c:pt idx="150">
                  <c:v>2.38091464236446</c:v>
                </c:pt>
                <c:pt idx="151">
                  <c:v>2.3799586506233501</c:v>
                </c:pt>
                <c:pt idx="152">
                  <c:v>2.3786997934756799</c:v>
                </c:pt>
                <c:pt idx="153">
                  <c:v>2.3778680992118901</c:v>
                </c:pt>
                <c:pt idx="154">
                  <c:v>2.37689939396056</c:v>
                </c:pt>
                <c:pt idx="155">
                  <c:v>2.3757513717946099</c:v>
                </c:pt>
                <c:pt idx="156">
                  <c:v>2.3750047762745399</c:v>
                </c:pt>
                <c:pt idx="157">
                  <c:v>2.3737529605625598</c:v>
                </c:pt>
                <c:pt idx="158">
                  <c:v>2.3724381302314899</c:v>
                </c:pt>
                <c:pt idx="159">
                  <c:v>2.3720484094990102</c:v>
                </c:pt>
                <c:pt idx="160">
                  <c:v>2.3718488501647998</c:v>
                </c:pt>
                <c:pt idx="161">
                  <c:v>2.3712888807077199</c:v>
                </c:pt>
                <c:pt idx="162">
                  <c:v>2.3710307793865302</c:v>
                </c:pt>
                <c:pt idx="163">
                  <c:v>2.37047213569394</c:v>
                </c:pt>
                <c:pt idx="164">
                  <c:v>2.3702630361517598</c:v>
                </c:pt>
                <c:pt idx="165">
                  <c:v>2.37043159401696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8-493E-BC70-CC2368E1226E}"/>
            </c:ext>
          </c:extLst>
        </c:ser>
        <c:ser>
          <c:idx val="2"/>
          <c:order val="2"/>
          <c:tx>
            <c:strRef>
              <c:f>IYH_XLV_2!$AA$1</c:f>
              <c:strCache>
                <c:ptCount val="1"/>
                <c:pt idx="0">
                  <c:v> XLV*/IYH*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IYH_XLV_2!$AA$2:$AA$167</c:f>
              <c:numCache>
                <c:formatCode>_(* #,##0.0000_);_(* \(#,##0.0000\);_(* "-"??_);_(@_)</c:formatCode>
                <c:ptCount val="166"/>
                <c:pt idx="19">
                  <c:v>2.3774978742860902</c:v>
                </c:pt>
                <c:pt idx="20">
                  <c:v>2.3777998013252399</c:v>
                </c:pt>
                <c:pt idx="21">
                  <c:v>2.3781760864904902</c:v>
                </c:pt>
                <c:pt idx="22">
                  <c:v>2.3785429368503901</c:v>
                </c:pt>
                <c:pt idx="23">
                  <c:v>2.3796746310386698</c:v>
                </c:pt>
                <c:pt idx="24">
                  <c:v>2.3807506187474901</c:v>
                </c:pt>
                <c:pt idx="25">
                  <c:v>2.3819368434377202</c:v>
                </c:pt>
                <c:pt idx="26">
                  <c:v>2.3827021004978901</c:v>
                </c:pt>
                <c:pt idx="27">
                  <c:v>2.3836021150283702</c:v>
                </c:pt>
                <c:pt idx="28">
                  <c:v>2.38449405710774</c:v>
                </c:pt>
                <c:pt idx="29">
                  <c:v>2.3853959559422599</c:v>
                </c:pt>
                <c:pt idx="30">
                  <c:v>2.3862018364261801</c:v>
                </c:pt>
                <c:pt idx="31">
                  <c:v>2.3870590292648699</c:v>
                </c:pt>
                <c:pt idx="32">
                  <c:v>2.3877459463449302</c:v>
                </c:pt>
                <c:pt idx="33">
                  <c:v>2.3884556554655898</c:v>
                </c:pt>
                <c:pt idx="34">
                  <c:v>2.3892023337779298</c:v>
                </c:pt>
                <c:pt idx="35">
                  <c:v>2.38967751322039</c:v>
                </c:pt>
                <c:pt idx="36">
                  <c:v>2.3905452596417098</c:v>
                </c:pt>
                <c:pt idx="37">
                  <c:v>2.3912820075788201</c:v>
                </c:pt>
                <c:pt idx="38">
                  <c:v>2.3922119552066401</c:v>
                </c:pt>
                <c:pt idx="39">
                  <c:v>2.3930793104974599</c:v>
                </c:pt>
                <c:pt idx="40">
                  <c:v>2.3937183259307599</c:v>
                </c:pt>
                <c:pt idx="41">
                  <c:v>2.3943499909832999</c:v>
                </c:pt>
                <c:pt idx="42">
                  <c:v>2.3949611000247502</c:v>
                </c:pt>
                <c:pt idx="43">
                  <c:v>2.3949162224763501</c:v>
                </c:pt>
                <c:pt idx="44">
                  <c:v>2.3948591403944799</c:v>
                </c:pt>
                <c:pt idx="45">
                  <c:v>2.3946287349102602</c:v>
                </c:pt>
                <c:pt idx="46">
                  <c:v>2.39461683437113</c:v>
                </c:pt>
                <c:pt idx="47">
                  <c:v>2.3946887060306099</c:v>
                </c:pt>
                <c:pt idx="48">
                  <c:v>2.3946674600829101</c:v>
                </c:pt>
                <c:pt idx="49">
                  <c:v>2.3945584818608099</c:v>
                </c:pt>
                <c:pt idx="50">
                  <c:v>2.3944580103220101</c:v>
                </c:pt>
                <c:pt idx="51">
                  <c:v>2.3941820641680902</c:v>
                </c:pt>
                <c:pt idx="52">
                  <c:v>2.3939945935795599</c:v>
                </c:pt>
                <c:pt idx="53">
                  <c:v>2.3939164194417502</c:v>
                </c:pt>
                <c:pt idx="54">
                  <c:v>2.3935304527822399</c:v>
                </c:pt>
                <c:pt idx="55">
                  <c:v>2.3934988888176201</c:v>
                </c:pt>
                <c:pt idx="56">
                  <c:v>2.3931322024581601</c:v>
                </c:pt>
                <c:pt idx="57">
                  <c:v>2.3927493185322901</c:v>
                </c:pt>
                <c:pt idx="58">
                  <c:v>2.3922828820673701</c:v>
                </c:pt>
                <c:pt idx="59">
                  <c:v>2.3915924731154399</c:v>
                </c:pt>
                <c:pt idx="60">
                  <c:v>2.39071795912337</c:v>
                </c:pt>
                <c:pt idx="61">
                  <c:v>2.3898631808712301</c:v>
                </c:pt>
                <c:pt idx="62">
                  <c:v>2.38933645826171</c:v>
                </c:pt>
                <c:pt idx="63">
                  <c:v>2.3887176557907202</c:v>
                </c:pt>
                <c:pt idx="64">
                  <c:v>2.3882538395813202</c:v>
                </c:pt>
                <c:pt idx="65">
                  <c:v>2.38794741725662</c:v>
                </c:pt>
                <c:pt idx="66">
                  <c:v>2.3876667092690602</c:v>
                </c:pt>
                <c:pt idx="67">
                  <c:v>2.3871335595747101</c:v>
                </c:pt>
                <c:pt idx="68">
                  <c:v>2.3863347295121402</c:v>
                </c:pt>
                <c:pt idx="69">
                  <c:v>2.38544538841633</c:v>
                </c:pt>
                <c:pt idx="70">
                  <c:v>2.3845206398226302</c:v>
                </c:pt>
                <c:pt idx="71">
                  <c:v>2.3839169747236801</c:v>
                </c:pt>
                <c:pt idx="72">
                  <c:v>2.3833387366118499</c:v>
                </c:pt>
                <c:pt idx="73">
                  <c:v>2.38269298347821</c:v>
                </c:pt>
                <c:pt idx="74">
                  <c:v>2.3821928706448698</c:v>
                </c:pt>
                <c:pt idx="75">
                  <c:v>2.38139162166935</c:v>
                </c:pt>
                <c:pt idx="76">
                  <c:v>2.3811980454872099</c:v>
                </c:pt>
                <c:pt idx="77">
                  <c:v>2.38085723482126</c:v>
                </c:pt>
                <c:pt idx="78">
                  <c:v>2.38048994016546</c:v>
                </c:pt>
                <c:pt idx="79">
                  <c:v>2.3804277049657299</c:v>
                </c:pt>
                <c:pt idx="80">
                  <c:v>2.38057877884438</c:v>
                </c:pt>
                <c:pt idx="81">
                  <c:v>2.38078976661141</c:v>
                </c:pt>
                <c:pt idx="82">
                  <c:v>2.3805713766648999</c:v>
                </c:pt>
                <c:pt idx="83">
                  <c:v>2.3803357451174998</c:v>
                </c:pt>
                <c:pt idx="84">
                  <c:v>2.3799615729924</c:v>
                </c:pt>
                <c:pt idx="85">
                  <c:v>2.3791098246660001</c:v>
                </c:pt>
                <c:pt idx="86">
                  <c:v>2.3785804868149101</c:v>
                </c:pt>
                <c:pt idx="87">
                  <c:v>2.3781259923636999</c:v>
                </c:pt>
                <c:pt idx="88">
                  <c:v>2.37796608881037</c:v>
                </c:pt>
                <c:pt idx="89">
                  <c:v>2.3779600569113999</c:v>
                </c:pt>
                <c:pt idx="90">
                  <c:v>2.3781777976937701</c:v>
                </c:pt>
                <c:pt idx="91">
                  <c:v>2.3783092368616501</c:v>
                </c:pt>
                <c:pt idx="92">
                  <c:v>2.3786662703085799</c:v>
                </c:pt>
                <c:pt idx="93">
                  <c:v>2.3790822985076701</c:v>
                </c:pt>
                <c:pt idx="94">
                  <c:v>2.3794443074257301</c:v>
                </c:pt>
                <c:pt idx="95">
                  <c:v>2.3796849686862198</c:v>
                </c:pt>
                <c:pt idx="96">
                  <c:v>2.3795929589646398</c:v>
                </c:pt>
                <c:pt idx="97">
                  <c:v>2.3797438711083299</c:v>
                </c:pt>
                <c:pt idx="98">
                  <c:v>2.3796523136729202</c:v>
                </c:pt>
                <c:pt idx="99">
                  <c:v>2.3793985828056501</c:v>
                </c:pt>
                <c:pt idx="100">
                  <c:v>2.3790862029459499</c:v>
                </c:pt>
                <c:pt idx="101">
                  <c:v>2.3785383014992898</c:v>
                </c:pt>
                <c:pt idx="102">
                  <c:v>2.3783412568997502</c:v>
                </c:pt>
                <c:pt idx="103">
                  <c:v>2.3785006076131801</c:v>
                </c:pt>
                <c:pt idx="104">
                  <c:v>2.3784180772337802</c:v>
                </c:pt>
                <c:pt idx="105">
                  <c:v>2.3789734338771402</c:v>
                </c:pt>
                <c:pt idx="106">
                  <c:v>2.3793389935731399</c:v>
                </c:pt>
                <c:pt idx="107">
                  <c:v>2.3797339217384499</c:v>
                </c:pt>
                <c:pt idx="108">
                  <c:v>2.3800085597756202</c:v>
                </c:pt>
                <c:pt idx="109">
                  <c:v>2.3804593454736001</c:v>
                </c:pt>
                <c:pt idx="110">
                  <c:v>2.3808676097366801</c:v>
                </c:pt>
                <c:pt idx="111">
                  <c:v>2.3812486037885501</c:v>
                </c:pt>
                <c:pt idx="112">
                  <c:v>2.3812370292926799</c:v>
                </c:pt>
                <c:pt idx="113">
                  <c:v>2.3813180462090502</c:v>
                </c:pt>
                <c:pt idx="114">
                  <c:v>2.3812586164847902</c:v>
                </c:pt>
                <c:pt idx="115">
                  <c:v>2.3812597888624798</c:v>
                </c:pt>
                <c:pt idx="116">
                  <c:v>2.3813058929990101</c:v>
                </c:pt>
                <c:pt idx="117">
                  <c:v>2.3813492522766202</c:v>
                </c:pt>
                <c:pt idx="118">
                  <c:v>2.3813631833206199</c:v>
                </c:pt>
                <c:pt idx="119">
                  <c:v>2.3812328733161299</c:v>
                </c:pt>
                <c:pt idx="120">
                  <c:v>2.3811835360005298</c:v>
                </c:pt>
                <c:pt idx="121">
                  <c:v>2.38111629822696</c:v>
                </c:pt>
                <c:pt idx="122">
                  <c:v>2.3810429181177399</c:v>
                </c:pt>
                <c:pt idx="123">
                  <c:v>2.3806664173112302</c:v>
                </c:pt>
                <c:pt idx="124">
                  <c:v>2.3804948951713301</c:v>
                </c:pt>
                <c:pt idx="125">
                  <c:v>2.3799346384422</c:v>
                </c:pt>
                <c:pt idx="126">
                  <c:v>2.3792129015595598</c:v>
                </c:pt>
                <c:pt idx="127">
                  <c:v>2.3786210467119902</c:v>
                </c:pt>
                <c:pt idx="128">
                  <c:v>2.37795068034964</c:v>
                </c:pt>
                <c:pt idx="129">
                  <c:v>2.3773541491676999</c:v>
                </c:pt>
                <c:pt idx="130">
                  <c:v>2.3769843860211299</c:v>
                </c:pt>
                <c:pt idx="131">
                  <c:v>2.3765004473681102</c:v>
                </c:pt>
                <c:pt idx="132">
                  <c:v>2.3760571822149501</c:v>
                </c:pt>
                <c:pt idx="133">
                  <c:v>2.3757733168608901</c:v>
                </c:pt>
                <c:pt idx="134">
                  <c:v>2.3757048612841598</c:v>
                </c:pt>
                <c:pt idx="135">
                  <c:v>2.3758911143190402</c:v>
                </c:pt>
                <c:pt idx="136">
                  <c:v>2.3759595693915001</c:v>
                </c:pt>
                <c:pt idx="137">
                  <c:v>2.3758757101658401</c:v>
                </c:pt>
                <c:pt idx="138">
                  <c:v>2.37598229200339</c:v>
                </c:pt>
                <c:pt idx="139">
                  <c:v>2.3762768306725</c:v>
                </c:pt>
                <c:pt idx="140">
                  <c:v>2.3766340261097301</c:v>
                </c:pt>
                <c:pt idx="141">
                  <c:v>2.37728633560811</c:v>
                </c:pt>
                <c:pt idx="142">
                  <c:v>2.3778496850161002</c:v>
                </c:pt>
                <c:pt idx="143">
                  <c:v>2.37836081278336</c:v>
                </c:pt>
                <c:pt idx="144">
                  <c:v>2.3789964400471701</c:v>
                </c:pt>
                <c:pt idx="145">
                  <c:v>2.3797700660060102</c:v>
                </c:pt>
                <c:pt idx="146">
                  <c:v>2.3803614514173201</c:v>
                </c:pt>
                <c:pt idx="147">
                  <c:v>2.3807779013308501</c:v>
                </c:pt>
                <c:pt idx="148">
                  <c:v>2.3813606148469502</c:v>
                </c:pt>
                <c:pt idx="149">
                  <c:v>2.3812388848594601</c:v>
                </c:pt>
                <c:pt idx="150">
                  <c:v>2.3809299625825902</c:v>
                </c:pt>
                <c:pt idx="151">
                  <c:v>2.38082641724088</c:v>
                </c:pt>
                <c:pt idx="152">
                  <c:v>2.38068237183349</c:v>
                </c:pt>
                <c:pt idx="153">
                  <c:v>2.3803050165856798</c:v>
                </c:pt>
                <c:pt idx="154">
                  <c:v>2.37994716984907</c:v>
                </c:pt>
                <c:pt idx="155">
                  <c:v>2.3793812215214798</c:v>
                </c:pt>
                <c:pt idx="156">
                  <c:v>2.37893220460067</c:v>
                </c:pt>
                <c:pt idx="157">
                  <c:v>2.3783172176185401</c:v>
                </c:pt>
                <c:pt idx="158">
                  <c:v>2.3776672395421001</c:v>
                </c:pt>
                <c:pt idx="159">
                  <c:v>2.3769907523592</c:v>
                </c:pt>
                <c:pt idx="160">
                  <c:v>2.3763817462646299</c:v>
                </c:pt>
                <c:pt idx="161">
                  <c:v>2.3756237656655399</c:v>
                </c:pt>
                <c:pt idx="162">
                  <c:v>2.3748652864311102</c:v>
                </c:pt>
                <c:pt idx="163">
                  <c:v>2.37417011745291</c:v>
                </c:pt>
                <c:pt idx="164">
                  <c:v>2.3735812150561602</c:v>
                </c:pt>
                <c:pt idx="165">
                  <c:v>2.3730914829057901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38-493E-BC70-CC2368E12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IYH_XLV_2!$U$1</c:f>
              <c:strCache>
                <c:ptCount val="1"/>
                <c:pt idx="0">
                  <c:v>log diff IYH x avg / XLV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IYH_XLV_2!$U$2:$U$167</c:f>
              <c:numCache>
                <c:formatCode>0.00%</c:formatCode>
                <c:ptCount val="166"/>
                <c:pt idx="1">
                  <c:v>9.5617303278455301E-4</c:v>
                </c:pt>
                <c:pt idx="2">
                  <c:v>2.1128918528499699E-3</c:v>
                </c:pt>
                <c:pt idx="3">
                  <c:v>3.4324991536042E-3</c:v>
                </c:pt>
                <c:pt idx="4">
                  <c:v>2.67383896002845E-3</c:v>
                </c:pt>
                <c:pt idx="5">
                  <c:v>3.1462808066936299E-3</c:v>
                </c:pt>
                <c:pt idx="6">
                  <c:v>7.3928183806169204E-4</c:v>
                </c:pt>
                <c:pt idx="7">
                  <c:v>8.7834231455742096E-4</c:v>
                </c:pt>
                <c:pt idx="8">
                  <c:v>2.5905185605467598E-4</c:v>
                </c:pt>
                <c:pt idx="9">
                  <c:v>-2.2096583966169699E-4</c:v>
                </c:pt>
                <c:pt idx="10">
                  <c:v>2.7722311822748E-4</c:v>
                </c:pt>
                <c:pt idx="11">
                  <c:v>7.8116343226778903E-4</c:v>
                </c:pt>
                <c:pt idx="12">
                  <c:v>2.8687438681645301E-4</c:v>
                </c:pt>
                <c:pt idx="13">
                  <c:v>9.9877323895167995E-4</c:v>
                </c:pt>
                <c:pt idx="14">
                  <c:v>-1.98127237501066E-4</c:v>
                </c:pt>
                <c:pt idx="15">
                  <c:v>-9.5878710953032698E-4</c:v>
                </c:pt>
                <c:pt idx="16">
                  <c:v>1.3770364195426299E-3</c:v>
                </c:pt>
                <c:pt idx="17">
                  <c:v>2.94851955918158E-4</c:v>
                </c:pt>
                <c:pt idx="18">
                  <c:v>5.4209789406595599E-4</c:v>
                </c:pt>
                <c:pt idx="19">
                  <c:v>-9.4751341480142496E-4</c:v>
                </c:pt>
                <c:pt idx="20">
                  <c:v>-2.4611872403895998E-3</c:v>
                </c:pt>
                <c:pt idx="21">
                  <c:v>-2.2046311156501699E-3</c:v>
                </c:pt>
                <c:pt idx="22">
                  <c:v>-9.7234289523815602E-4</c:v>
                </c:pt>
                <c:pt idx="23">
                  <c:v>-6.0671401864736997E-3</c:v>
                </c:pt>
                <c:pt idx="24">
                  <c:v>-6.35347573718072E-3</c:v>
                </c:pt>
                <c:pt idx="25">
                  <c:v>-6.8059912776021296E-3</c:v>
                </c:pt>
                <c:pt idx="26">
                  <c:v>-5.6770401403712298E-3</c:v>
                </c:pt>
                <c:pt idx="27">
                  <c:v>-6.6646519944386397E-3</c:v>
                </c:pt>
                <c:pt idx="28">
                  <c:v>-7.2119288511734801E-3</c:v>
                </c:pt>
                <c:pt idx="29">
                  <c:v>-7.7714193774489401E-3</c:v>
                </c:pt>
                <c:pt idx="30">
                  <c:v>-6.4754488889290701E-3</c:v>
                </c:pt>
                <c:pt idx="31">
                  <c:v>-6.4035340665083004E-3</c:v>
                </c:pt>
                <c:pt idx="32">
                  <c:v>-5.47189347381743E-3</c:v>
                </c:pt>
                <c:pt idx="33">
                  <c:v>-4.95472857220611E-3</c:v>
                </c:pt>
                <c:pt idx="34">
                  <c:v>-6.4533136519796704E-3</c:v>
                </c:pt>
                <c:pt idx="35">
                  <c:v>-4.9410323045210001E-3</c:v>
                </c:pt>
                <c:pt idx="36">
                  <c:v>-5.9001159531730102E-3</c:v>
                </c:pt>
                <c:pt idx="37">
                  <c:v>-5.8804345869769197E-3</c:v>
                </c:pt>
                <c:pt idx="38">
                  <c:v>-7.2481800929981204E-3</c:v>
                </c:pt>
                <c:pt idx="39">
                  <c:v>-8.2045698283463604E-3</c:v>
                </c:pt>
                <c:pt idx="40">
                  <c:v>-7.8047802589036397E-3</c:v>
                </c:pt>
                <c:pt idx="41">
                  <c:v>-7.4882724268030198E-3</c:v>
                </c:pt>
                <c:pt idx="42">
                  <c:v>-6.0907670241996696E-3</c:v>
                </c:pt>
                <c:pt idx="43">
                  <c:v>-5.6921435302635798E-3</c:v>
                </c:pt>
                <c:pt idx="44">
                  <c:v>-5.8766103065889799E-3</c:v>
                </c:pt>
                <c:pt idx="45">
                  <c:v>-4.8806541219736498E-3</c:v>
                </c:pt>
                <c:pt idx="46">
                  <c:v>-5.5775741759642103E-3</c:v>
                </c:pt>
                <c:pt idx="47">
                  <c:v>-7.2645601221084898E-3</c:v>
                </c:pt>
                <c:pt idx="48">
                  <c:v>-7.0346184228391598E-3</c:v>
                </c:pt>
                <c:pt idx="49">
                  <c:v>-6.8621054486113697E-3</c:v>
                </c:pt>
                <c:pt idx="50">
                  <c:v>-8.7559843266865594E-3</c:v>
                </c:pt>
                <c:pt idx="51">
                  <c:v>-7.2644082506457897E-3</c:v>
                </c:pt>
                <c:pt idx="52">
                  <c:v>-7.0825104133481901E-3</c:v>
                </c:pt>
                <c:pt idx="53">
                  <c:v>-7.5089961943546196E-3</c:v>
                </c:pt>
                <c:pt idx="54">
                  <c:v>-2.3294272864320402E-3</c:v>
                </c:pt>
                <c:pt idx="55">
                  <c:v>-3.78639434960574E-3</c:v>
                </c:pt>
                <c:pt idx="56">
                  <c:v>-1.94379820566682E-3</c:v>
                </c:pt>
                <c:pt idx="57">
                  <c:v>-1.78474496538006E-3</c:v>
                </c:pt>
                <c:pt idx="58">
                  <c:v>-2.4439478170533899E-3</c:v>
                </c:pt>
                <c:pt idx="59">
                  <c:v>-1.52841931673989E-3</c:v>
                </c:pt>
                <c:pt idx="60">
                  <c:v>4.0816131580935001E-4</c:v>
                </c:pt>
                <c:pt idx="61">
                  <c:v>5.5486576103705595E-4</c:v>
                </c:pt>
                <c:pt idx="62">
                  <c:v>-7.9285332694816E-4</c:v>
                </c:pt>
                <c:pt idx="63">
                  <c:v>3.8773234535925699E-4</c:v>
                </c:pt>
                <c:pt idx="64">
                  <c:v>-1.1051184727426701E-3</c:v>
                </c:pt>
                <c:pt idx="65">
                  <c:v>-1.4454232606986501E-3</c:v>
                </c:pt>
                <c:pt idx="66">
                  <c:v>-2.3604614978906999E-3</c:v>
                </c:pt>
                <c:pt idx="67">
                  <c:v>-1.92451993989121E-3</c:v>
                </c:pt>
                <c:pt idx="68">
                  <c:v>5.4009176911569705E-4</c:v>
                </c:pt>
                <c:pt idx="69">
                  <c:v>1.4724875155478899E-3</c:v>
                </c:pt>
                <c:pt idx="70">
                  <c:v>3.01703916457923E-3</c:v>
                </c:pt>
                <c:pt idx="71">
                  <c:v>1.86718726969876E-3</c:v>
                </c:pt>
                <c:pt idx="72">
                  <c:v>1.8337097571532201E-3</c:v>
                </c:pt>
                <c:pt idx="73">
                  <c:v>2.01137092788821E-3</c:v>
                </c:pt>
                <c:pt idx="74">
                  <c:v>1.87571332746318E-3</c:v>
                </c:pt>
                <c:pt idx="75">
                  <c:v>2.9511015523287099E-3</c:v>
                </c:pt>
                <c:pt idx="76">
                  <c:v>-3.14868052355582E-4</c:v>
                </c:pt>
                <c:pt idx="77">
                  <c:v>1.09513409806984E-3</c:v>
                </c:pt>
                <c:pt idx="78">
                  <c:v>6.4639256844952798E-4</c:v>
                </c:pt>
                <c:pt idx="79">
                  <c:v>-1.0048915894328E-3</c:v>
                </c:pt>
                <c:pt idx="80">
                  <c:v>-8.4079859131715997E-4</c:v>
                </c:pt>
                <c:pt idx="81">
                  <c:v>-1.21144996548523E-3</c:v>
                </c:pt>
                <c:pt idx="82">
                  <c:v>1.0573157042413699E-3</c:v>
                </c:pt>
                <c:pt idx="83">
                  <c:v>2.3851530842791701E-3</c:v>
                </c:pt>
                <c:pt idx="84">
                  <c:v>2.0563577122794498E-3</c:v>
                </c:pt>
                <c:pt idx="85">
                  <c:v>5.7711424169870299E-3</c:v>
                </c:pt>
                <c:pt idx="86">
                  <c:v>2.12616565430862E-3</c:v>
                </c:pt>
                <c:pt idx="87">
                  <c:v>1.92798041227827E-3</c:v>
                </c:pt>
                <c:pt idx="88">
                  <c:v>1.9194064444931101E-3</c:v>
                </c:pt>
                <c:pt idx="89">
                  <c:v>1.5414099397421299E-3</c:v>
                </c:pt>
                <c:pt idx="90">
                  <c:v>1.1853380683192901E-3</c:v>
                </c:pt>
                <c:pt idx="91">
                  <c:v>7.5833282848115403E-4</c:v>
                </c:pt>
                <c:pt idx="92">
                  <c:v>-1.15264422768137E-3</c:v>
                </c:pt>
                <c:pt idx="93">
                  <c:v>-1.4839591931141299E-3</c:v>
                </c:pt>
                <c:pt idx="94">
                  <c:v>-1.18353648363034E-3</c:v>
                </c:pt>
                <c:pt idx="95">
                  <c:v>9.1521685548213603E-4</c:v>
                </c:pt>
                <c:pt idx="96">
                  <c:v>4.4877606054738299E-4</c:v>
                </c:pt>
                <c:pt idx="97">
                  <c:v>-2.1132525555812501E-4</c:v>
                </c:pt>
                <c:pt idx="98">
                  <c:v>1.3874115135695201E-3</c:v>
                </c:pt>
                <c:pt idx="99">
                  <c:v>1.1025130805146499E-3</c:v>
                </c:pt>
                <c:pt idx="100">
                  <c:v>1.74314886780041E-3</c:v>
                </c:pt>
                <c:pt idx="101">
                  <c:v>3.3882505413631299E-3</c:v>
                </c:pt>
                <c:pt idx="102">
                  <c:v>2.7039687141009699E-3</c:v>
                </c:pt>
                <c:pt idx="103">
                  <c:v>1.03006898580826E-3</c:v>
                </c:pt>
                <c:pt idx="104">
                  <c:v>2.7394540557269501E-3</c:v>
                </c:pt>
                <c:pt idx="105">
                  <c:v>1.03698715526567E-3</c:v>
                </c:pt>
                <c:pt idx="106">
                  <c:v>-1.00405828114828E-3</c:v>
                </c:pt>
                <c:pt idx="107">
                  <c:v>-1.4544241858072699E-3</c:v>
                </c:pt>
                <c:pt idx="108">
                  <c:v>-4.6415082976403199E-4</c:v>
                </c:pt>
                <c:pt idx="109">
                  <c:v>-2.29555200664048E-3</c:v>
                </c:pt>
                <c:pt idx="110">
                  <c:v>-2.2944989096203901E-3</c:v>
                </c:pt>
                <c:pt idx="111">
                  <c:v>-2.4898254512785E-3</c:v>
                </c:pt>
                <c:pt idx="112">
                  <c:v>-3.6500232167377602E-3</c:v>
                </c:pt>
                <c:pt idx="113">
                  <c:v>-4.7583133399653303E-3</c:v>
                </c:pt>
                <c:pt idx="114">
                  <c:v>-3.2882172379832199E-3</c:v>
                </c:pt>
                <c:pt idx="115">
                  <c:v>-1.7117043968293E-3</c:v>
                </c:pt>
                <c:pt idx="116">
                  <c:v>1.8257320704240601E-3</c:v>
                </c:pt>
                <c:pt idx="117">
                  <c:v>1.1608435964017201E-3</c:v>
                </c:pt>
                <c:pt idx="118">
                  <c:v>2.9836744666470799E-3</c:v>
                </c:pt>
                <c:pt idx="119">
                  <c:v>3.8816676705953402E-3</c:v>
                </c:pt>
                <c:pt idx="120">
                  <c:v>3.7761142296416799E-3</c:v>
                </c:pt>
                <c:pt idx="121">
                  <c:v>5.5627612327057699E-3</c:v>
                </c:pt>
                <c:pt idx="122">
                  <c:v>4.9514649252901197E-3</c:v>
                </c:pt>
                <c:pt idx="123">
                  <c:v>5.8167900246843098E-3</c:v>
                </c:pt>
                <c:pt idx="124">
                  <c:v>5.73870771953729E-3</c:v>
                </c:pt>
                <c:pt idx="125">
                  <c:v>7.37888094637999E-3</c:v>
                </c:pt>
                <c:pt idx="126">
                  <c:v>6.6608287199398201E-3</c:v>
                </c:pt>
                <c:pt idx="127">
                  <c:v>5.1359505830461697E-3</c:v>
                </c:pt>
                <c:pt idx="128">
                  <c:v>6.8120205130883897E-3</c:v>
                </c:pt>
                <c:pt idx="129">
                  <c:v>4.3518170985499703E-3</c:v>
                </c:pt>
                <c:pt idx="130">
                  <c:v>2.4331442049859301E-3</c:v>
                </c:pt>
                <c:pt idx="131">
                  <c:v>3.2488304396486299E-3</c:v>
                </c:pt>
                <c:pt idx="132">
                  <c:v>4.2971270538066002E-3</c:v>
                </c:pt>
                <c:pt idx="133">
                  <c:v>1.7830019841637301E-3</c:v>
                </c:pt>
                <c:pt idx="134">
                  <c:v>1.47213075054319E-3</c:v>
                </c:pt>
                <c:pt idx="135">
                  <c:v>9.4121088197086499E-4</c:v>
                </c:pt>
                <c:pt idx="136">
                  <c:v>1.07976481920278E-3</c:v>
                </c:pt>
                <c:pt idx="137">
                  <c:v>1.75025855374436E-3</c:v>
                </c:pt>
                <c:pt idx="138">
                  <c:v>1.95313847673862E-3</c:v>
                </c:pt>
                <c:pt idx="139">
                  <c:v>1.28348534084167E-3</c:v>
                </c:pt>
                <c:pt idx="140">
                  <c:v>7.12246064165034E-4</c:v>
                </c:pt>
                <c:pt idx="141">
                  <c:v>-4.6795951498112202E-5</c:v>
                </c:pt>
                <c:pt idx="142">
                  <c:v>7.6996027509503999E-5</c:v>
                </c:pt>
                <c:pt idx="143">
                  <c:v>1.43224416806222E-3</c:v>
                </c:pt>
                <c:pt idx="144">
                  <c:v>3.8275075129903899E-4</c:v>
                </c:pt>
                <c:pt idx="145">
                  <c:v>8.2733359467286095E-4</c:v>
                </c:pt>
                <c:pt idx="146">
                  <c:v>1.6906252558609499E-3</c:v>
                </c:pt>
                <c:pt idx="147">
                  <c:v>1.5863196052869899E-3</c:v>
                </c:pt>
                <c:pt idx="148">
                  <c:v>1.8453084870101799E-3</c:v>
                </c:pt>
                <c:pt idx="149">
                  <c:v>5.3101757760977801E-3</c:v>
                </c:pt>
                <c:pt idx="150">
                  <c:v>4.9433140406497499E-3</c:v>
                </c:pt>
                <c:pt idx="151">
                  <c:v>3.97902923968259E-3</c:v>
                </c:pt>
                <c:pt idx="152">
                  <c:v>5.3649288315201398E-3</c:v>
                </c:pt>
                <c:pt idx="153">
                  <c:v>4.8777947999761196E-3</c:v>
                </c:pt>
                <c:pt idx="154">
                  <c:v>4.4043294190573602E-3</c:v>
                </c:pt>
                <c:pt idx="155">
                  <c:v>5.6101265104982201E-3</c:v>
                </c:pt>
                <c:pt idx="156">
                  <c:v>4.7364616464553502E-3</c:v>
                </c:pt>
                <c:pt idx="157">
                  <c:v>6.7236312301037701E-3</c:v>
                </c:pt>
                <c:pt idx="158">
                  <c:v>7.2992299154819099E-3</c:v>
                </c:pt>
                <c:pt idx="159">
                  <c:v>6.8384672319620598E-3</c:v>
                </c:pt>
                <c:pt idx="160">
                  <c:v>5.7035238686536397E-3</c:v>
                </c:pt>
                <c:pt idx="161">
                  <c:v>6.2517142482405403E-3</c:v>
                </c:pt>
                <c:pt idx="162">
                  <c:v>6.3889660691939798E-3</c:v>
                </c:pt>
                <c:pt idx="163">
                  <c:v>7.2015802873251098E-3</c:v>
                </c:pt>
                <c:pt idx="164">
                  <c:v>5.2367914523120604E-3</c:v>
                </c:pt>
                <c:pt idx="165">
                  <c:v>4.8471357208932E-3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08-4FDB-9517-325FCA156DC9}"/>
            </c:ext>
          </c:extLst>
        </c:ser>
        <c:ser>
          <c:idx val="1"/>
          <c:order val="1"/>
          <c:tx>
            <c:strRef>
              <c:f>IYH_XLV_2!$V$1</c:f>
              <c:strCache>
                <c:ptCount val="1"/>
                <c:pt idx="0">
                  <c:v>log diff IYH x 10 dma / XLV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IYH_XLV_2!$V$2:$V$167</c:f>
              <c:numCache>
                <c:formatCode>0.00%</c:formatCode>
                <c:ptCount val="166"/>
                <c:pt idx="10">
                  <c:v>-1.12707743675636E-3</c:v>
                </c:pt>
                <c:pt idx="11">
                  <c:v>-6.4352837252873798E-4</c:v>
                </c:pt>
                <c:pt idx="12">
                  <c:v>-1.12030687756449E-3</c:v>
                </c:pt>
                <c:pt idx="13">
                  <c:v>-2.2578507311114799E-4</c:v>
                </c:pt>
                <c:pt idx="14">
                  <c:v>-1.17958353149355E-3</c:v>
                </c:pt>
                <c:pt idx="15">
                  <c:v>-1.6531615246889099E-3</c:v>
                </c:pt>
                <c:pt idx="16">
                  <c:v>1.09292100403215E-3</c:v>
                </c:pt>
                <c:pt idx="17">
                  <c:v>-5.2991603523340503E-5</c:v>
                </c:pt>
                <c:pt idx="18">
                  <c:v>2.5258774051173898E-4</c:v>
                </c:pt>
                <c:pt idx="19">
                  <c:v>-1.26532542927679E-3</c:v>
                </c:pt>
                <c:pt idx="20">
                  <c:v>-2.7062815718347298E-3</c:v>
                </c:pt>
                <c:pt idx="21">
                  <c:v>-2.1755555222892102E-3</c:v>
                </c:pt>
                <c:pt idx="22">
                  <c:v>-6.4452846567435596E-4</c:v>
                </c:pt>
                <c:pt idx="23">
                  <c:v>-5.6134100693537303E-3</c:v>
                </c:pt>
                <c:pt idx="24">
                  <c:v>-5.1919318032922603E-3</c:v>
                </c:pt>
                <c:pt idx="25">
                  <c:v>-5.0277989107652601E-3</c:v>
                </c:pt>
                <c:pt idx="26">
                  <c:v>-3.3130664631506701E-3</c:v>
                </c:pt>
                <c:pt idx="27">
                  <c:v>-3.5956686978991198E-3</c:v>
                </c:pt>
                <c:pt idx="28">
                  <c:v>-3.4471551962264898E-3</c:v>
                </c:pt>
                <c:pt idx="29">
                  <c:v>-3.2318745605232099E-3</c:v>
                </c:pt>
                <c:pt idx="30">
                  <c:v>-1.2538676644513001E-3</c:v>
                </c:pt>
                <c:pt idx="31">
                  <c:v>-7.80909102326532E-4</c:v>
                </c:pt>
                <c:pt idx="32">
                  <c:v>5.6998091787204203E-4</c:v>
                </c:pt>
                <c:pt idx="33">
                  <c:v>1.53573364883386E-3</c:v>
                </c:pt>
                <c:pt idx="34">
                  <c:v>-7.3989863277724004E-5</c:v>
                </c:pt>
                <c:pt idx="35">
                  <c:v>1.44827546614662E-3</c:v>
                </c:pt>
                <c:pt idx="36">
                  <c:v>3.0277468760996599E-4</c:v>
                </c:pt>
                <c:pt idx="37">
                  <c:v>3.4475414613107801E-4</c:v>
                </c:pt>
                <c:pt idx="38">
                  <c:v>-1.1014198917978599E-3</c:v>
                </c:pt>
                <c:pt idx="39">
                  <c:v>-2.0541805803443699E-3</c:v>
                </c:pt>
                <c:pt idx="40">
                  <c:v>-1.61099723785925E-3</c:v>
                </c:pt>
                <c:pt idx="41">
                  <c:v>-1.1614392521640099E-3</c:v>
                </c:pt>
                <c:pt idx="42">
                  <c:v>3.4460127533655899E-4</c:v>
                </c:pt>
                <c:pt idx="43">
                  <c:v>8.0506974940614104E-4</c:v>
                </c:pt>
                <c:pt idx="44">
                  <c:v>6.9425525285000803E-4</c:v>
                </c:pt>
                <c:pt idx="45">
                  <c:v>1.63256284432444E-3</c:v>
                </c:pt>
                <c:pt idx="46">
                  <c:v>9.2961462100309296E-4</c:v>
                </c:pt>
                <c:pt idx="47">
                  <c:v>-7.8960124960318005E-4</c:v>
                </c:pt>
                <c:pt idx="48">
                  <c:v>-4.2124306456574898E-4</c:v>
                </c:pt>
                <c:pt idx="49">
                  <c:v>-2.7009776522592799E-4</c:v>
                </c:pt>
                <c:pt idx="50">
                  <c:v>-2.2983585498992602E-3</c:v>
                </c:pt>
                <c:pt idx="51">
                  <c:v>-7.1149306421406104E-4</c:v>
                </c:pt>
                <c:pt idx="52">
                  <c:v>-5.5200033670261596E-4</c:v>
                </c:pt>
                <c:pt idx="53">
                  <c:v>-8.7931112605432401E-4</c:v>
                </c:pt>
                <c:pt idx="54">
                  <c:v>4.4819212817257797E-3</c:v>
                </c:pt>
                <c:pt idx="55">
                  <c:v>2.6711325379352E-3</c:v>
                </c:pt>
                <c:pt idx="56">
                  <c:v>4.4045289115203796E-3</c:v>
                </c:pt>
                <c:pt idx="57">
                  <c:v>4.2010777338059102E-3</c:v>
                </c:pt>
                <c:pt idx="58">
                  <c:v>2.99454303262913E-3</c:v>
                </c:pt>
                <c:pt idx="59">
                  <c:v>3.4512196841782099E-3</c:v>
                </c:pt>
                <c:pt idx="60">
                  <c:v>4.8547072007580402E-3</c:v>
                </c:pt>
                <c:pt idx="61">
                  <c:v>4.0848237495483596E-3</c:v>
                </c:pt>
                <c:pt idx="62">
                  <c:v>1.9550064809994001E-3</c:v>
                </c:pt>
                <c:pt idx="63">
                  <c:v>2.5056782499214502E-3</c:v>
                </c:pt>
                <c:pt idx="64">
                  <c:v>2.2169959181363901E-4</c:v>
                </c:pt>
                <c:pt idx="65">
                  <c:v>-2.41091399350315E-4</c:v>
                </c:pt>
                <c:pt idx="66">
                  <c:v>-1.3905849608802101E-3</c:v>
                </c:pt>
                <c:pt idx="67">
                  <c:v>-9.1292865414243003E-4</c:v>
                </c:pt>
                <c:pt idx="68">
                  <c:v>1.56567224305181E-3</c:v>
                </c:pt>
                <c:pt idx="69">
                  <c:v>2.1996413727411899E-3</c:v>
                </c:pt>
                <c:pt idx="70">
                  <c:v>3.4442669991638598E-3</c:v>
                </c:pt>
                <c:pt idx="71">
                  <c:v>2.0340510119373702E-3</c:v>
                </c:pt>
                <c:pt idx="72">
                  <c:v>1.8695134501104699E-3</c:v>
                </c:pt>
                <c:pt idx="73">
                  <c:v>1.7846298323042999E-3</c:v>
                </c:pt>
                <c:pt idx="74">
                  <c:v>1.4867530714630199E-3</c:v>
                </c:pt>
                <c:pt idx="75">
                  <c:v>2.2640124781406899E-3</c:v>
                </c:pt>
                <c:pt idx="76">
                  <c:v>-1.44167771861512E-3</c:v>
                </c:pt>
                <c:pt idx="77">
                  <c:v>-2.3676073001719001E-4</c:v>
                </c:pt>
                <c:pt idx="78">
                  <c:v>-9.8804140863955996E-4</c:v>
                </c:pt>
                <c:pt idx="79">
                  <c:v>-2.6499667767939899E-3</c:v>
                </c:pt>
                <c:pt idx="80">
                  <c:v>-2.23781669974204E-3</c:v>
                </c:pt>
                <c:pt idx="81">
                  <c:v>-2.2226393143280499E-3</c:v>
                </c:pt>
                <c:pt idx="82">
                  <c:v>3.5415319698716601E-4</c:v>
                </c:pt>
                <c:pt idx="83">
                  <c:v>1.75956936071083E-3</c:v>
                </c:pt>
                <c:pt idx="84">
                  <c:v>1.3934538141737399E-3</c:v>
                </c:pt>
                <c:pt idx="85">
                  <c:v>5.0901974426457502E-3</c:v>
                </c:pt>
                <c:pt idx="86">
                  <c:v>1.1642129390289501E-3</c:v>
                </c:pt>
                <c:pt idx="87">
                  <c:v>7.2188071991382001E-4</c:v>
                </c:pt>
                <c:pt idx="88">
                  <c:v>6.3004408809765695E-4</c:v>
                </c:pt>
                <c:pt idx="89">
                  <c:v>1.24737260798568E-4</c:v>
                </c:pt>
                <c:pt idx="90">
                  <c:v>-4.8628991943254599E-4</c:v>
                </c:pt>
                <c:pt idx="91">
                  <c:v>-1.1162334688603101E-3</c:v>
                </c:pt>
                <c:pt idx="92">
                  <c:v>-3.22462263188773E-3</c:v>
                </c:pt>
                <c:pt idx="93">
                  <c:v>-3.3344971494646898E-3</c:v>
                </c:pt>
                <c:pt idx="94">
                  <c:v>-2.6466959790790502E-3</c:v>
                </c:pt>
                <c:pt idx="95">
                  <c:v>-2.2367283305401499E-4</c:v>
                </c:pt>
                <c:pt idx="96">
                  <c:v>-2.0570714749451699E-4</c:v>
                </c:pt>
                <c:pt idx="97">
                  <c:v>-6.9818967647793302E-4</c:v>
                </c:pt>
                <c:pt idx="98">
                  <c:v>1.1143753847486101E-3</c:v>
                </c:pt>
                <c:pt idx="99">
                  <c:v>8.8260164979548402E-4</c:v>
                </c:pt>
                <c:pt idx="100">
                  <c:v>1.5670778203629701E-3</c:v>
                </c:pt>
                <c:pt idx="101">
                  <c:v>3.1564686708234701E-3</c:v>
                </c:pt>
                <c:pt idx="102">
                  <c:v>2.2096443916467898E-3</c:v>
                </c:pt>
                <c:pt idx="103">
                  <c:v>1.50117271437403E-4</c:v>
                </c:pt>
                <c:pt idx="104">
                  <c:v>1.60778934907864E-3</c:v>
                </c:pt>
                <c:pt idx="105">
                  <c:v>-4.87192663986187E-4</c:v>
                </c:pt>
                <c:pt idx="106">
                  <c:v>-2.54042188039728E-3</c:v>
                </c:pt>
                <c:pt idx="107">
                  <c:v>-2.8452511450425301E-3</c:v>
                </c:pt>
                <c:pt idx="108">
                  <c:v>-1.73039891253038E-3</c:v>
                </c:pt>
                <c:pt idx="109">
                  <c:v>-3.37651195556703E-3</c:v>
                </c:pt>
                <c:pt idx="110">
                  <c:v>-3.0351396044496202E-3</c:v>
                </c:pt>
                <c:pt idx="111">
                  <c:v>-2.8263721896974901E-3</c:v>
                </c:pt>
                <c:pt idx="112">
                  <c:v>-3.39900038464621E-3</c:v>
                </c:pt>
                <c:pt idx="113">
                  <c:v>-3.87195103945459E-3</c:v>
                </c:pt>
                <c:pt idx="114">
                  <c:v>-1.8226174448669199E-3</c:v>
                </c:pt>
                <c:pt idx="115">
                  <c:v>3.5576467774044602E-4</c:v>
                </c:pt>
                <c:pt idx="116">
                  <c:v>4.1675576045526203E-3</c:v>
                </c:pt>
                <c:pt idx="117">
                  <c:v>3.2204280496020499E-3</c:v>
                </c:pt>
                <c:pt idx="118">
                  <c:v>4.7821977625030297E-3</c:v>
                </c:pt>
                <c:pt idx="119">
                  <c:v>5.3364020104317402E-3</c:v>
                </c:pt>
                <c:pt idx="120">
                  <c:v>4.6143225599529197E-3</c:v>
                </c:pt>
                <c:pt idx="121">
                  <c:v>5.7946813659887396E-3</c:v>
                </c:pt>
                <c:pt idx="122">
                  <c:v>4.3792237186875502E-3</c:v>
                </c:pt>
                <c:pt idx="123">
                  <c:v>4.3840947695719702E-3</c:v>
                </c:pt>
                <c:pt idx="124">
                  <c:v>3.2469807729207799E-3</c:v>
                </c:pt>
                <c:pt idx="125">
                  <c:v>3.9829057582545903E-3</c:v>
                </c:pt>
                <c:pt idx="126">
                  <c:v>2.3548665666001099E-3</c:v>
                </c:pt>
                <c:pt idx="127">
                  <c:v>3.4633104217797798E-4</c:v>
                </c:pt>
                <c:pt idx="128">
                  <c:v>1.6241577839677401E-3</c:v>
                </c:pt>
                <c:pt idx="129">
                  <c:v>-1.2190648555405301E-3</c:v>
                </c:pt>
                <c:pt idx="130">
                  <c:v>-3.1848222168095199E-3</c:v>
                </c:pt>
                <c:pt idx="131">
                  <c:v>-2.2345100738621099E-3</c:v>
                </c:pt>
                <c:pt idx="132">
                  <c:v>-9.5459768296008698E-4</c:v>
                </c:pt>
                <c:pt idx="133">
                  <c:v>-3.4032500397503198E-3</c:v>
                </c:pt>
                <c:pt idx="134">
                  <c:v>-3.3102641422722498E-3</c:v>
                </c:pt>
                <c:pt idx="135">
                  <c:v>-3.4141147356580902E-3</c:v>
                </c:pt>
                <c:pt idx="136">
                  <c:v>-2.6318741638933301E-3</c:v>
                </c:pt>
                <c:pt idx="137">
                  <c:v>-1.4035174904268601E-3</c:v>
                </c:pt>
                <c:pt idx="138">
                  <c:v>-8.6222341492846796E-4</c:v>
                </c:pt>
                <c:pt idx="139">
                  <c:v>-1.04686640255706E-3</c:v>
                </c:pt>
                <c:pt idx="140">
                  <c:v>-1.3114688842470099E-3</c:v>
                </c:pt>
                <c:pt idx="141">
                  <c:v>-1.89835825027898E-3</c:v>
                </c:pt>
                <c:pt idx="142">
                  <c:v>-1.44497522343933E-3</c:v>
                </c:pt>
                <c:pt idx="143">
                  <c:v>3.3191684489930202E-4</c:v>
                </c:pt>
                <c:pt idx="144">
                  <c:v>-6.8251919387338905E-4</c:v>
                </c:pt>
                <c:pt idx="145">
                  <c:v>-1.2898926426552801E-4</c:v>
                </c:pt>
                <c:pt idx="146">
                  <c:v>7.45690881332046E-4</c:v>
                </c:pt>
                <c:pt idx="147">
                  <c:v>5.8032420981955096E-4</c:v>
                </c:pt>
                <c:pt idx="148">
                  <c:v>8.5569599822779899E-4</c:v>
                </c:pt>
                <c:pt idx="149">
                  <c:v>4.3313364243883204E-3</c:v>
                </c:pt>
                <c:pt idx="150">
                  <c:v>3.5626569584217001E-3</c:v>
                </c:pt>
                <c:pt idx="151">
                  <c:v>2.1757876131403698E-3</c:v>
                </c:pt>
                <c:pt idx="152">
                  <c:v>3.15908894753042E-3</c:v>
                </c:pt>
                <c:pt idx="153">
                  <c:v>2.1432936262464602E-3</c:v>
                </c:pt>
                <c:pt idx="154">
                  <c:v>1.32535855014921E-3</c:v>
                </c:pt>
                <c:pt idx="155">
                  <c:v>2.1286407595021602E-3</c:v>
                </c:pt>
                <c:pt idx="156">
                  <c:v>7.7645598838302203E-4</c:v>
                </c:pt>
                <c:pt idx="157">
                  <c:v>2.4587679057169799E-3</c:v>
                </c:pt>
                <c:pt idx="158">
                  <c:v>2.5204463732991901E-3</c:v>
                </c:pt>
                <c:pt idx="159">
                  <c:v>1.5140293856747899E-3</c:v>
                </c:pt>
                <c:pt idx="160">
                  <c:v>2.2635976097561201E-4</c:v>
                </c:pt>
                <c:pt idx="161">
                  <c:v>6.9851457654469601E-4</c:v>
                </c:pt>
                <c:pt idx="162">
                  <c:v>6.0837246938756E-4</c:v>
                </c:pt>
                <c:pt idx="163">
                  <c:v>1.3185875831855801E-3</c:v>
                </c:pt>
                <c:pt idx="164">
                  <c:v>-8.78570438800823E-4</c:v>
                </c:pt>
                <c:pt idx="165">
                  <c:v>-1.35158370721184E-3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08-4FDB-9517-325FCA156DC9}"/>
            </c:ext>
          </c:extLst>
        </c:ser>
        <c:ser>
          <c:idx val="2"/>
          <c:order val="2"/>
          <c:tx>
            <c:strRef>
              <c:f>IYH_XLV_2!$W$1</c:f>
              <c:strCache>
                <c:ptCount val="1"/>
                <c:pt idx="0">
                  <c:v>log diff IYH x 20 dma / XLV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IYH_XLV_2!$W$2:$W$167</c:f>
              <c:numCache>
                <c:formatCode>0.00%</c:formatCode>
                <c:ptCount val="166"/>
                <c:pt idx="20">
                  <c:v>-3.2857167137296502E-3</c:v>
                </c:pt>
                <c:pt idx="21">
                  <c:v>-2.9021750414353199E-3</c:v>
                </c:pt>
                <c:pt idx="22">
                  <c:v>-1.5116500364366901E-3</c:v>
                </c:pt>
                <c:pt idx="23">
                  <c:v>-6.45220220247982E-3</c:v>
                </c:pt>
                <c:pt idx="24">
                  <c:v>-6.26285786109557E-3</c:v>
                </c:pt>
                <c:pt idx="25">
                  <c:v>-6.2633181036463896E-3</c:v>
                </c:pt>
                <c:pt idx="26">
                  <c:v>-4.6362344627918798E-3</c:v>
                </c:pt>
                <c:pt idx="27">
                  <c:v>-5.3026227883790199E-3</c:v>
                </c:pt>
                <c:pt idx="28">
                  <c:v>-5.4722424497344099E-3</c:v>
                </c:pt>
                <c:pt idx="29">
                  <c:v>-5.6576037396997899E-3</c:v>
                </c:pt>
                <c:pt idx="30">
                  <c:v>-3.9834698793601098E-3</c:v>
                </c:pt>
                <c:pt idx="31">
                  <c:v>-3.5737728185150702E-3</c:v>
                </c:pt>
                <c:pt idx="32">
                  <c:v>-2.2829677585868499E-3</c:v>
                </c:pt>
                <c:pt idx="33">
                  <c:v>-1.4780771432311201E-3</c:v>
                </c:pt>
                <c:pt idx="34">
                  <c:v>-2.6794766412181598E-3</c:v>
                </c:pt>
                <c:pt idx="35">
                  <c:v>-8.5462443996499901E-4</c:v>
                </c:pt>
                <c:pt idx="36">
                  <c:v>-1.61484163487087E-3</c:v>
                </c:pt>
                <c:pt idx="37">
                  <c:v>-1.23210336857549E-3</c:v>
                </c:pt>
                <c:pt idx="38">
                  <c:v>-2.2917039326041302E-3</c:v>
                </c:pt>
                <c:pt idx="39">
                  <c:v>-2.8592784434448701E-3</c:v>
                </c:pt>
                <c:pt idx="40">
                  <c:v>-2.0969799891056898E-3</c:v>
                </c:pt>
                <c:pt idx="41">
                  <c:v>-1.51348136874317E-3</c:v>
                </c:pt>
                <c:pt idx="42">
                  <c:v>1.47873676095103E-4</c:v>
                </c:pt>
                <c:pt idx="43">
                  <c:v>8.0169422578856497E-4</c:v>
                </c:pt>
                <c:pt idx="44">
                  <c:v>5.9848895351263104E-4</c:v>
                </c:pt>
                <c:pt idx="45">
                  <c:v>1.5706101656954301E-3</c:v>
                </c:pt>
                <c:pt idx="46">
                  <c:v>7.7747711758202403E-4</c:v>
                </c:pt>
                <c:pt idx="47">
                  <c:v>-9.14478521161489E-4</c:v>
                </c:pt>
                <c:pt idx="48">
                  <c:v>-6.5452342688931899E-4</c:v>
                </c:pt>
                <c:pt idx="49">
                  <c:v>-4.9088260456258705E-4</c:v>
                </c:pt>
                <c:pt idx="50">
                  <c:v>-2.4302712261458099E-3</c:v>
                </c:pt>
                <c:pt idx="51">
                  <c:v>-8.24527680975875E-4</c:v>
                </c:pt>
                <c:pt idx="52">
                  <c:v>-5.9957009376247403E-4</c:v>
                </c:pt>
                <c:pt idx="53">
                  <c:v>-9.4554482677248499E-4</c:v>
                </c:pt>
                <c:pt idx="54">
                  <c:v>4.3616870063761899E-3</c:v>
                </c:pt>
                <c:pt idx="55">
                  <c:v>2.6989779649869202E-3</c:v>
                </c:pt>
                <c:pt idx="56">
                  <c:v>4.4839629060397599E-3</c:v>
                </c:pt>
                <c:pt idx="57">
                  <c:v>4.4456757272399797E-3</c:v>
                </c:pt>
                <c:pt idx="58">
                  <c:v>3.5821578311159802E-3</c:v>
                </c:pt>
                <c:pt idx="59">
                  <c:v>4.25772899197266E-3</c:v>
                </c:pt>
                <c:pt idx="60">
                  <c:v>5.8607527018836704E-3</c:v>
                </c:pt>
                <c:pt idx="61">
                  <c:v>5.59744463185116E-3</c:v>
                </c:pt>
                <c:pt idx="62">
                  <c:v>3.84812016966414E-3</c:v>
                </c:pt>
                <c:pt idx="63">
                  <c:v>4.7640923034175699E-3</c:v>
                </c:pt>
                <c:pt idx="64">
                  <c:v>2.9677248482575199E-3</c:v>
                </c:pt>
                <c:pt idx="65">
                  <c:v>2.38895561702756E-3</c:v>
                </c:pt>
                <c:pt idx="66">
                  <c:v>1.3022562911802599E-3</c:v>
                </c:pt>
                <c:pt idx="67">
                  <c:v>1.57727992165687E-3</c:v>
                </c:pt>
                <c:pt idx="68">
                  <c:v>3.7745616511978401E-3</c:v>
                </c:pt>
                <c:pt idx="69">
                  <c:v>4.3281443966375699E-3</c:v>
                </c:pt>
                <c:pt idx="70">
                  <c:v>5.4559453876852201E-3</c:v>
                </c:pt>
                <c:pt idx="71">
                  <c:v>3.7170119347710402E-3</c:v>
                </c:pt>
                <c:pt idx="72">
                  <c:v>3.2264609133701699E-3</c:v>
                </c:pt>
                <c:pt idx="73">
                  <c:v>2.95766052686105E-3</c:v>
                </c:pt>
                <c:pt idx="74">
                  <c:v>2.3450102186015598E-3</c:v>
                </c:pt>
                <c:pt idx="75">
                  <c:v>3.2101701299865602E-3</c:v>
                </c:pt>
                <c:pt idx="76">
                  <c:v>-3.9278510545155497E-4</c:v>
                </c:pt>
                <c:pt idx="77">
                  <c:v>9.3566881763924598E-4</c:v>
                </c:pt>
                <c:pt idx="78">
                  <c:v>3.4285027622224799E-4</c:v>
                </c:pt>
                <c:pt idx="79">
                  <c:v>-1.4631488208515201E-3</c:v>
                </c:pt>
                <c:pt idx="80">
                  <c:v>-1.32527774413743E-3</c:v>
                </c:pt>
                <c:pt idx="81">
                  <c:v>-1.6334392926617299E-3</c:v>
                </c:pt>
                <c:pt idx="82">
                  <c:v>7.2370455597176497E-4</c:v>
                </c:pt>
                <c:pt idx="83">
                  <c:v>1.9590105591332199E-3</c:v>
                </c:pt>
                <c:pt idx="84">
                  <c:v>1.53043501586646E-3</c:v>
                </c:pt>
                <c:pt idx="85">
                  <c:v>5.0871253974412601E-3</c:v>
                </c:pt>
                <c:pt idx="86">
                  <c:v>1.0817878607657001E-3</c:v>
                </c:pt>
                <c:pt idx="87">
                  <c:v>6.5898513010456802E-4</c:v>
                </c:pt>
                <c:pt idx="88">
                  <c:v>4.5752316205387899E-4</c:v>
                </c:pt>
                <c:pt idx="89">
                  <c:v>1.05425275531887E-5</c:v>
                </c:pt>
                <c:pt idx="90">
                  <c:v>-3.48975553445818E-4</c:v>
                </c:pt>
                <c:pt idx="91">
                  <c:v>-6.8445181714419799E-4</c:v>
                </c:pt>
                <c:pt idx="92">
                  <c:v>-2.5399804763098399E-3</c:v>
                </c:pt>
                <c:pt idx="93">
                  <c:v>-2.7218324689762502E-3</c:v>
                </c:pt>
                <c:pt idx="94">
                  <c:v>-2.2464881292820101E-3</c:v>
                </c:pt>
                <c:pt idx="95">
                  <c:v>5.3257382133221996E-6</c:v>
                </c:pt>
                <c:pt idx="96">
                  <c:v>-3.5943008392588701E-4</c:v>
                </c:pt>
                <c:pt idx="97">
                  <c:v>-1.05774264977971E-3</c:v>
                </c:pt>
                <c:pt idx="98">
                  <c:v>6.0634138583065002E-4</c:v>
                </c:pt>
                <c:pt idx="99">
                  <c:v>2.8440005535782702E-4</c:v>
                </c:pt>
                <c:pt idx="100">
                  <c:v>8.1957893649996596E-4</c:v>
                </c:pt>
                <c:pt idx="101">
                  <c:v>2.3354137999687498E-3</c:v>
                </c:pt>
                <c:pt idx="102">
                  <c:v>1.42112847478841E-3</c:v>
                </c:pt>
                <c:pt idx="103">
                  <c:v>-3.35058094850532E-4</c:v>
                </c:pt>
                <c:pt idx="104">
                  <c:v>1.4420556907777399E-3</c:v>
                </c:pt>
                <c:pt idx="105">
                  <c:v>-2.9452904256788398E-4</c:v>
                </c:pt>
                <c:pt idx="106">
                  <c:v>-2.0993844706687502E-3</c:v>
                </c:pt>
                <c:pt idx="107">
                  <c:v>-2.3931677323542002E-3</c:v>
                </c:pt>
                <c:pt idx="108">
                  <c:v>-1.23366962681484E-3</c:v>
                </c:pt>
                <c:pt idx="109">
                  <c:v>-2.9458950208972302E-3</c:v>
                </c:pt>
                <c:pt idx="110">
                  <c:v>-2.75281493839357E-3</c:v>
                </c:pt>
                <c:pt idx="111">
                  <c:v>-2.7739883837981298E-3</c:v>
                </c:pt>
                <c:pt idx="112">
                  <c:v>-3.77160451912327E-3</c:v>
                </c:pt>
                <c:pt idx="113">
                  <c:v>-4.7547180637961496E-3</c:v>
                </c:pt>
                <c:pt idx="114">
                  <c:v>-3.1204064721257999E-3</c:v>
                </c:pt>
                <c:pt idx="115">
                  <c:v>-1.43844727731507E-3</c:v>
                </c:pt>
                <c:pt idx="116">
                  <c:v>2.2303430805550202E-3</c:v>
                </c:pt>
                <c:pt idx="117">
                  <c:v>1.49671051001076E-3</c:v>
                </c:pt>
                <c:pt idx="118">
                  <c:v>3.2509861756827799E-3</c:v>
                </c:pt>
                <c:pt idx="119">
                  <c:v>4.0693585840258298E-3</c:v>
                </c:pt>
                <c:pt idx="120">
                  <c:v>3.8252096428807898E-3</c:v>
                </c:pt>
                <c:pt idx="121">
                  <c:v>5.5104883244602703E-3</c:v>
                </c:pt>
                <c:pt idx="122">
                  <c:v>4.79094045849202E-3</c:v>
                </c:pt>
                <c:pt idx="123">
                  <c:v>5.5442958007260899E-3</c:v>
                </c:pt>
                <c:pt idx="124">
                  <c:v>5.2276016958756003E-3</c:v>
                </c:pt>
                <c:pt idx="125">
                  <c:v>6.7183590378633402E-3</c:v>
                </c:pt>
                <c:pt idx="126">
                  <c:v>5.6842845353042796E-3</c:v>
                </c:pt>
                <c:pt idx="127">
                  <c:v>3.7767969771694099E-3</c:v>
                </c:pt>
                <c:pt idx="128">
                  <c:v>5.1234519827593203E-3</c:v>
                </c:pt>
                <c:pt idx="129">
                  <c:v>2.29991318927206E-3</c:v>
                </c:pt>
                <c:pt idx="130">
                  <c:v>4.8475424248456101E-5</c:v>
                </c:pt>
                <c:pt idx="131">
                  <c:v>6.2720326951015096E-4</c:v>
                </c:pt>
                <c:pt idx="132">
                  <c:v>1.38788127538827E-3</c:v>
                </c:pt>
                <c:pt idx="133">
                  <c:v>-1.5247105078311999E-3</c:v>
                </c:pt>
                <c:pt idx="134">
                  <c:v>-2.1642742743610199E-3</c:v>
                </c:pt>
                <c:pt idx="135">
                  <c:v>-2.93432447675482E-3</c:v>
                </c:pt>
                <c:pt idx="136">
                  <c:v>-2.9289915965120101E-3</c:v>
                </c:pt>
                <c:pt idx="137">
                  <c:v>-2.2211047408195201E-3</c:v>
                </c:pt>
                <c:pt idx="138">
                  <c:v>-2.0477702387920499E-3</c:v>
                </c:pt>
                <c:pt idx="139">
                  <c:v>-2.66581887897156E-3</c:v>
                </c:pt>
                <c:pt idx="140">
                  <c:v>-3.1069797913511202E-3</c:v>
                </c:pt>
                <c:pt idx="141">
                  <c:v>-3.71259863192478E-3</c:v>
                </c:pt>
                <c:pt idx="142">
                  <c:v>-3.30811308472315E-3</c:v>
                </c:pt>
                <c:pt idx="143">
                  <c:v>-1.70895865934535E-3</c:v>
                </c:pt>
                <c:pt idx="144">
                  <c:v>-2.5393545414547202E-3</c:v>
                </c:pt>
                <c:pt idx="145">
                  <c:v>-1.82704649183705E-3</c:v>
                </c:pt>
                <c:pt idx="146">
                  <c:v>-6.3670459145794304E-4</c:v>
                </c:pt>
                <c:pt idx="147">
                  <c:v>-4.9298949442877201E-4</c:v>
                </c:pt>
                <c:pt idx="148">
                  <c:v>-5.6762033162298702E-5</c:v>
                </c:pt>
                <c:pt idx="149">
                  <c:v>3.6558085517445502E-3</c:v>
                </c:pt>
                <c:pt idx="150">
                  <c:v>3.24117971575629E-3</c:v>
                </c:pt>
                <c:pt idx="151">
                  <c:v>2.1516275688819799E-3</c:v>
                </c:pt>
                <c:pt idx="152">
                  <c:v>3.5010817235881799E-3</c:v>
                </c:pt>
                <c:pt idx="153">
                  <c:v>2.96071436701455E-3</c:v>
                </c:pt>
                <c:pt idx="154">
                  <c:v>2.3327158858576901E-3</c:v>
                </c:pt>
                <c:pt idx="155">
                  <c:v>3.39201926127344E-3</c:v>
                </c:pt>
                <c:pt idx="156">
                  <c:v>2.2851279615796402E-3</c:v>
                </c:pt>
                <c:pt idx="157">
                  <c:v>4.0895293971115699E-3</c:v>
                </c:pt>
                <c:pt idx="158">
                  <c:v>4.4168266260846602E-3</c:v>
                </c:pt>
                <c:pt idx="159">
                  <c:v>3.6891891593909998E-3</c:v>
                </c:pt>
                <c:pt idx="160">
                  <c:v>2.2767109434599E-3</c:v>
                </c:pt>
                <c:pt idx="161">
                  <c:v>2.5752513712590801E-3</c:v>
                </c:pt>
                <c:pt idx="162">
                  <c:v>2.3973466844613499E-3</c:v>
                </c:pt>
                <c:pt idx="163">
                  <c:v>2.8940724727430701E-3</c:v>
                </c:pt>
                <c:pt idx="164">
                  <c:v>6.4077753066371505E-4</c:v>
                </c:pt>
                <c:pt idx="165">
                  <c:v>7.9560509155290101E-6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08-4FDB-9517-325FCA156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0.00%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B43-4C1E-A75B-1688C9CA7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0.00%</c:formatCode>
              <c:ptCount val="146"/>
              <c:pt idx="0">
                <c:v>0</c:v>
              </c:pt>
              <c:pt idx="1">
                <c:v>2.5655612473939916E-4</c:v>
              </c:pt>
              <c:pt idx="2">
                <c:v>1.4888443451512995E-3</c:v>
              </c:pt>
              <c:pt idx="3">
                <c:v>-3.6059529460840505E-3</c:v>
              </c:pt>
              <c:pt idx="4">
                <c:v>-3.89228849679105E-3</c:v>
              </c:pt>
              <c:pt idx="5">
                <c:v>-4.3448040372126399E-3</c:v>
              </c:pt>
              <c:pt idx="6">
                <c:v>-3.2158528999817193E-3</c:v>
              </c:pt>
              <c:pt idx="7">
                <c:v>-4.2034647540489991E-3</c:v>
              </c:pt>
              <c:pt idx="8">
                <c:v>-4.7507416107837788E-3</c:v>
              </c:pt>
              <c:pt idx="9">
                <c:v>-5.3102321370589785E-3</c:v>
              </c:pt>
              <c:pt idx="10">
                <c:v>-4.0142616485392985E-3</c:v>
              </c:pt>
              <c:pt idx="11">
                <c:v>-3.9423468261186286E-3</c:v>
              </c:pt>
              <c:pt idx="12">
                <c:v>-3.0107062334277382E-3</c:v>
              </c:pt>
              <c:pt idx="13">
                <c:v>-2.4935413318163979E-3</c:v>
              </c:pt>
              <c:pt idx="14">
                <c:v>-3.9921264115897782E-3</c:v>
              </c:pt>
              <c:pt idx="15">
                <c:v>-2.4798450641311384E-3</c:v>
              </c:pt>
              <c:pt idx="16">
                <c:v>-3.4389287127831684E-3</c:v>
              </c:pt>
              <c:pt idx="17">
                <c:v>-3.4192473465869183E-3</c:v>
              </c:pt>
              <c:pt idx="18">
                <c:v>-4.7869928526083202E-3</c:v>
              </c:pt>
              <c:pt idx="19">
                <c:v>-5.7433825879564205E-3</c:v>
              </c:pt>
              <c:pt idx="20">
                <c:v>-5.3435930185138205E-3</c:v>
              </c:pt>
              <c:pt idx="21">
                <c:v>-5.0270851864132101E-3</c:v>
              </c:pt>
              <c:pt idx="22">
                <c:v>-3.6295797838099119E-3</c:v>
              </c:pt>
              <c:pt idx="23">
                <c:v>-3.6295797838099119E-3</c:v>
              </c:pt>
              <c:pt idx="24">
                <c:v>-3.6295797838099119E-3</c:v>
              </c:pt>
              <c:pt idx="25">
                <c:v>-3.6295797838099119E-3</c:v>
              </c:pt>
              <c:pt idx="26">
                <c:v>-3.6295797838099119E-3</c:v>
              </c:pt>
              <c:pt idx="27">
                <c:v>-3.6295797838099119E-3</c:v>
              </c:pt>
              <c:pt idx="28">
                <c:v>-3.6295797838099119E-3</c:v>
              </c:pt>
              <c:pt idx="29">
                <c:v>-3.6295797838099119E-3</c:v>
              </c:pt>
              <c:pt idx="30">
                <c:v>-3.6295797838099119E-3</c:v>
              </c:pt>
              <c:pt idx="31">
                <c:v>-3.6295797838099119E-3</c:v>
              </c:pt>
              <c:pt idx="32">
                <c:v>-3.8114776211074322E-3</c:v>
              </c:pt>
              <c:pt idx="33">
                <c:v>-3.3849918401011423E-3</c:v>
              </c:pt>
              <c:pt idx="34">
                <c:v>-3.3849918401011423E-3</c:v>
              </c:pt>
              <c:pt idx="35">
                <c:v>-1.9280247769275184E-3</c:v>
              </c:pt>
              <c:pt idx="36">
                <c:v>-3.7706209208661591E-3</c:v>
              </c:pt>
              <c:pt idx="37">
                <c:v>-3.9296741611527988E-3</c:v>
              </c:pt>
              <c:pt idx="38">
                <c:v>-3.270471309479701E-3</c:v>
              </c:pt>
              <c:pt idx="39">
                <c:v>-4.18599980979306E-3</c:v>
              </c:pt>
              <c:pt idx="40">
                <c:v>-6.1225804423421602E-3</c:v>
              </c:pt>
              <c:pt idx="41">
                <c:v>-6.2692848875698301E-3</c:v>
              </c:pt>
              <c:pt idx="42">
                <c:v>-4.9215657995845203E-3</c:v>
              </c:pt>
              <c:pt idx="43">
                <c:v>-6.1021514718919596E-3</c:v>
              </c:pt>
              <c:pt idx="44">
                <c:v>-4.6093006537899477E-3</c:v>
              </c:pt>
              <c:pt idx="45">
                <c:v>-4.2689958658341468E-3</c:v>
              </c:pt>
              <c:pt idx="46">
                <c:v>-3.3539576286419968E-3</c:v>
              </c:pt>
              <c:pt idx="47">
                <c:v>-3.789899186641498E-3</c:v>
              </c:pt>
              <c:pt idx="48">
                <c:v>-6.2545108956484977E-3</c:v>
              </c:pt>
              <c:pt idx="49">
                <c:v>-7.1869066420808475E-3</c:v>
              </c:pt>
              <c:pt idx="50">
                <c:v>-8.7314582911119584E-3</c:v>
              </c:pt>
              <c:pt idx="51">
                <c:v>-7.581606396231599E-3</c:v>
              </c:pt>
              <c:pt idx="52">
                <c:v>-7.5481288836860994E-3</c:v>
              </c:pt>
              <c:pt idx="53">
                <c:v>-7.7257900544209397E-3</c:v>
              </c:pt>
              <c:pt idx="54">
                <c:v>-7.5901324539959392E-3</c:v>
              </c:pt>
              <c:pt idx="55">
                <c:v>-8.6655206788615984E-3</c:v>
              </c:pt>
              <c:pt idx="56">
                <c:v>-5.3995510741771001E-3</c:v>
              </c:pt>
              <c:pt idx="57">
                <c:v>-5.3995510741771001E-3</c:v>
              </c:pt>
              <c:pt idx="58">
                <c:v>-5.3995510741771001E-3</c:v>
              </c:pt>
              <c:pt idx="59">
                <c:v>-5.3995510741771001E-3</c:v>
              </c:pt>
              <c:pt idx="60">
                <c:v>-5.2354580760614307E-3</c:v>
              </c:pt>
              <c:pt idx="61">
                <c:v>-5.606109450229429E-3</c:v>
              </c:pt>
              <c:pt idx="62">
                <c:v>-3.3373437805028394E-3</c:v>
              </c:pt>
              <c:pt idx="63">
                <c:v>-3.3373437805028394E-3</c:v>
              </c:pt>
              <c:pt idx="64">
                <c:v>-3.3373437805028394E-3</c:v>
              </c:pt>
              <c:pt idx="65">
                <c:v>-3.3373437805028394E-3</c:v>
              </c:pt>
              <c:pt idx="66">
                <c:v>3.076329821758597E-4</c:v>
              </c:pt>
              <c:pt idx="67">
                <c:v>5.0581822420614963E-4</c:v>
              </c:pt>
              <c:pt idx="68">
                <c:v>5.143921919911797E-4</c:v>
              </c:pt>
              <c:pt idx="69">
                <c:v>8.9238869674228023E-4</c:v>
              </c:pt>
              <c:pt idx="70">
                <c:v>1.2484605681651207E-3</c:v>
              </c:pt>
              <c:pt idx="71">
                <c:v>1.2484605681651207E-3</c:v>
              </c:pt>
              <c:pt idx="72">
                <c:v>1.2484605681651207E-3</c:v>
              </c:pt>
              <c:pt idx="73">
                <c:v>9.1714560273219083E-4</c:v>
              </c:pt>
              <c:pt idx="74">
                <c:v>1.2175683122159905E-3</c:v>
              </c:pt>
              <c:pt idx="75">
                <c:v>3.3163216513283846E-3</c:v>
              </c:pt>
              <c:pt idx="76">
                <c:v>3.3163216513283846E-3</c:v>
              </c:pt>
              <c:pt idx="77">
                <c:v>3.3163216513283846E-3</c:v>
              </c:pt>
              <c:pt idx="78">
                <c:v>4.9150584204562444E-3</c:v>
              </c:pt>
              <c:pt idx="79">
                <c:v>4.9150584204562444E-3</c:v>
              </c:pt>
              <c:pt idx="80">
                <c:v>4.9150584204562444E-3</c:v>
              </c:pt>
              <c:pt idx="81">
                <c:v>4.9150584204562444E-3</c:v>
              </c:pt>
              <c:pt idx="82">
                <c:v>5.5993402477185449E-3</c:v>
              </c:pt>
              <c:pt idx="83">
                <c:v>7.2732399760111234E-3</c:v>
              </c:pt>
              <c:pt idx="84">
                <c:v>7.2732399760111234E-3</c:v>
              </c:pt>
              <c:pt idx="85">
                <c:v>7.2732399760111234E-3</c:v>
              </c:pt>
              <c:pt idx="86">
                <c:v>7.2732399760111234E-3</c:v>
              </c:pt>
              <c:pt idx="87">
                <c:v>6.8228740713522137E-3</c:v>
              </c:pt>
              <c:pt idx="88">
                <c:v>7.8131474273952142E-3</c:v>
              </c:pt>
              <c:pt idx="89">
                <c:v>5.9817462505189142E-3</c:v>
              </c:pt>
              <c:pt idx="90">
                <c:v>5.9827993475387552E-3</c:v>
              </c:pt>
              <c:pt idx="91">
                <c:v>5.7874728058807451E-3</c:v>
              </c:pt>
              <c:pt idx="92">
                <c:v>5.7874728058807451E-3</c:v>
              </c:pt>
              <c:pt idx="93">
                <c:v>4.6791826826531897E-3</c:v>
              </c:pt>
              <c:pt idx="94">
                <c:v>6.1492787846352901E-3</c:v>
              </c:pt>
              <c:pt idx="95">
                <c:v>7.7257916257892304E-3</c:v>
              </c:pt>
              <c:pt idx="96">
                <c:v>7.7257916257892304E-3</c:v>
              </c:pt>
              <c:pt idx="97">
                <c:v>7.7257916257892304E-3</c:v>
              </c:pt>
              <c:pt idx="98">
                <c:v>7.7257916257892304E-3</c:v>
              </c:pt>
              <c:pt idx="99">
                <c:v>6.8277984218406314E-3</c:v>
              </c:pt>
              <c:pt idx="100">
                <c:v>6.9333518627946317E-3</c:v>
              </c:pt>
              <c:pt idx="101">
                <c:v>5.1467048597304017E-3</c:v>
              </c:pt>
              <c:pt idx="102">
                <c:v>5.7580011671461012E-3</c:v>
              </c:pt>
              <c:pt idx="103">
                <c:v>4.892676067751971E-3</c:v>
              </c:pt>
              <c:pt idx="104">
                <c:v>4.9707583728987714E-3</c:v>
              </c:pt>
              <c:pt idx="105">
                <c:v>3.3305851460559508E-3</c:v>
              </c:pt>
              <c:pt idx="106">
                <c:v>4.0486373724963522E-3</c:v>
              </c:pt>
              <c:pt idx="107">
                <c:v>5.573515509389752E-3</c:v>
              </c:pt>
              <c:pt idx="108">
                <c:v>3.897445579347754E-3</c:v>
              </c:pt>
              <c:pt idx="109">
                <c:v>6.3576489938861344E-3</c:v>
              </c:pt>
              <c:pt idx="110">
                <c:v>8.2763218874498945E-3</c:v>
              </c:pt>
              <c:pt idx="111">
                <c:v>8.2763218874498945E-3</c:v>
              </c:pt>
              <c:pt idx="112">
                <c:v>8.2763218874498945E-3</c:v>
              </c:pt>
              <c:pt idx="113">
                <c:v>8.2763218874498945E-3</c:v>
              </c:pt>
              <c:pt idx="114">
                <c:v>7.9654506538292848E-3</c:v>
              </c:pt>
              <c:pt idx="115">
                <c:v>7.4345307852569844E-3</c:v>
              </c:pt>
              <c:pt idx="116">
                <c:v>7.5730847224888438E-3</c:v>
              </c:pt>
              <c:pt idx="117">
                <c:v>8.243578457030434E-3</c:v>
              </c:pt>
              <c:pt idx="118">
                <c:v>8.4464583800247343E-3</c:v>
              </c:pt>
              <c:pt idx="119">
                <c:v>7.7768052441276343E-3</c:v>
              </c:pt>
              <c:pt idx="120">
                <c:v>7.2055659674508344E-3</c:v>
              </c:pt>
              <c:pt idx="121">
                <c:v>6.4465239517878343E-3</c:v>
              </c:pt>
              <c:pt idx="122">
                <c:v>6.5703159307955146E-3</c:v>
              </c:pt>
              <c:pt idx="123">
                <c:v>7.9255640713479132E-3</c:v>
              </c:pt>
              <c:pt idx="124">
                <c:v>6.8760706545846831E-3</c:v>
              </c:pt>
              <c:pt idx="125">
                <c:v>7.3206534979584729E-3</c:v>
              </c:pt>
              <c:pt idx="126">
                <c:v>8.1839451591464701E-3</c:v>
              </c:pt>
              <c:pt idx="127">
                <c:v>8.0796395085726697E-3</c:v>
              </c:pt>
              <c:pt idx="128">
                <c:v>8.3386283902955795E-3</c:v>
              </c:pt>
              <c:pt idx="129">
                <c:v>1.180349567938303E-2</c:v>
              </c:pt>
              <c:pt idx="130">
                <c:v>1.217035741483103E-2</c:v>
              </c:pt>
              <c:pt idx="131">
                <c:v>1.313464221579806E-2</c:v>
              </c:pt>
              <c:pt idx="132">
                <c:v>1.1748742623960331E-2</c:v>
              </c:pt>
              <c:pt idx="133">
                <c:v>1.2235876655504378E-2</c:v>
              </c:pt>
              <c:pt idx="134">
                <c:v>1.2709342036423188E-2</c:v>
              </c:pt>
              <c:pt idx="135">
                <c:v>1.1503544944982376E-2</c:v>
              </c:pt>
              <c:pt idx="136">
                <c:v>1.2377209809025276E-2</c:v>
              </c:pt>
              <c:pt idx="137">
                <c:v>1.0390040225376871E-2</c:v>
              </c:pt>
              <c:pt idx="138">
                <c:v>9.8144415399986692E-3</c:v>
              </c:pt>
              <c:pt idx="139">
                <c:v>1.0275204223518368E-2</c:v>
              </c:pt>
              <c:pt idx="140">
                <c:v>1.1410147586827074E-2</c:v>
              </c:pt>
              <c:pt idx="141">
                <c:v>1.0861957207239963E-2</c:v>
              </c:pt>
              <c:pt idx="142">
                <c:v>1.0724705386286722E-2</c:v>
              </c:pt>
              <c:pt idx="143">
                <c:v>9.912091168155621E-3</c:v>
              </c:pt>
              <c:pt idx="144">
                <c:v>1.187688000316869E-2</c:v>
              </c:pt>
              <c:pt idx="145">
                <c:v>1.226653573458754E-2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DD3-4D5F-83BE-64C8890DF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IYH_XLV_2!$BJ$22:$BJ$167</c:f>
              <c:numCache>
                <c:formatCode>0.00%</c:formatCode>
                <c:ptCount val="146"/>
                <c:pt idx="0">
                  <c:v>0</c:v>
                </c:pt>
                <c:pt idx="1">
                  <c:v>2.5655612473939916E-4</c:v>
                </c:pt>
                <c:pt idx="2">
                  <c:v>1.4888443451512995E-3</c:v>
                </c:pt>
                <c:pt idx="3">
                  <c:v>-3.6059529460840505E-3</c:v>
                </c:pt>
                <c:pt idx="4">
                  <c:v>-3.89228849679105E-3</c:v>
                </c:pt>
                <c:pt idx="5">
                  <c:v>-4.3448040372126399E-3</c:v>
                </c:pt>
                <c:pt idx="6">
                  <c:v>-3.2158528999817193E-3</c:v>
                </c:pt>
                <c:pt idx="7">
                  <c:v>-4.2034647540489991E-3</c:v>
                </c:pt>
                <c:pt idx="8">
                  <c:v>-4.7507416107837788E-3</c:v>
                </c:pt>
                <c:pt idx="9">
                  <c:v>-5.3102321370589785E-3</c:v>
                </c:pt>
                <c:pt idx="10">
                  <c:v>-4.0142616485392985E-3</c:v>
                </c:pt>
                <c:pt idx="11">
                  <c:v>-3.9423468261186286E-3</c:v>
                </c:pt>
                <c:pt idx="12">
                  <c:v>-3.0107062334277382E-3</c:v>
                </c:pt>
                <c:pt idx="13">
                  <c:v>-2.4935413318163979E-3</c:v>
                </c:pt>
                <c:pt idx="14">
                  <c:v>-3.9921264115897782E-3</c:v>
                </c:pt>
                <c:pt idx="15">
                  <c:v>-2.4798450641311384E-3</c:v>
                </c:pt>
                <c:pt idx="16">
                  <c:v>-3.4389287127831684E-3</c:v>
                </c:pt>
                <c:pt idx="17">
                  <c:v>-3.4192473465869183E-3</c:v>
                </c:pt>
                <c:pt idx="18">
                  <c:v>-4.7869928526083202E-3</c:v>
                </c:pt>
                <c:pt idx="19">
                  <c:v>-5.7433825879564205E-3</c:v>
                </c:pt>
                <c:pt idx="20">
                  <c:v>-5.3435930185138205E-3</c:v>
                </c:pt>
                <c:pt idx="21">
                  <c:v>-5.0270851864132101E-3</c:v>
                </c:pt>
                <c:pt idx="22">
                  <c:v>-3.6295797838099119E-3</c:v>
                </c:pt>
                <c:pt idx="23">
                  <c:v>-3.6295797838099119E-3</c:v>
                </c:pt>
                <c:pt idx="24">
                  <c:v>-3.6295797838099119E-3</c:v>
                </c:pt>
                <c:pt idx="25">
                  <c:v>-3.6295797838099119E-3</c:v>
                </c:pt>
                <c:pt idx="26">
                  <c:v>-3.6295797838099119E-3</c:v>
                </c:pt>
                <c:pt idx="27">
                  <c:v>-3.6295797838099119E-3</c:v>
                </c:pt>
                <c:pt idx="28">
                  <c:v>-3.6295797838099119E-3</c:v>
                </c:pt>
                <c:pt idx="29">
                  <c:v>-3.6295797838099119E-3</c:v>
                </c:pt>
                <c:pt idx="30">
                  <c:v>-3.6295797838099119E-3</c:v>
                </c:pt>
                <c:pt idx="31">
                  <c:v>-3.6295797838099119E-3</c:v>
                </c:pt>
                <c:pt idx="32">
                  <c:v>-3.6295797838099119E-3</c:v>
                </c:pt>
                <c:pt idx="33">
                  <c:v>-3.6295797838099119E-3</c:v>
                </c:pt>
                <c:pt idx="34">
                  <c:v>-3.6295797838099119E-3</c:v>
                </c:pt>
                <c:pt idx="35">
                  <c:v>-3.6295797838099119E-3</c:v>
                </c:pt>
                <c:pt idx="36">
                  <c:v>-3.6295797838099119E-3</c:v>
                </c:pt>
                <c:pt idx="37">
                  <c:v>-3.6295797838099119E-3</c:v>
                </c:pt>
                <c:pt idx="38">
                  <c:v>-3.6295797838099119E-3</c:v>
                </c:pt>
                <c:pt idx="39">
                  <c:v>-3.6295797838099119E-3</c:v>
                </c:pt>
                <c:pt idx="40">
                  <c:v>-3.6295797838099119E-3</c:v>
                </c:pt>
                <c:pt idx="41">
                  <c:v>-3.6295797838099119E-3</c:v>
                </c:pt>
                <c:pt idx="42">
                  <c:v>-3.6295797838099119E-3</c:v>
                </c:pt>
                <c:pt idx="43">
                  <c:v>-3.6295797838099119E-3</c:v>
                </c:pt>
                <c:pt idx="44">
                  <c:v>-3.6295797838099119E-3</c:v>
                </c:pt>
                <c:pt idx="45">
                  <c:v>-3.6295797838099119E-3</c:v>
                </c:pt>
                <c:pt idx="46">
                  <c:v>-3.6295797838099119E-3</c:v>
                </c:pt>
                <c:pt idx="47">
                  <c:v>-3.6295797838099119E-3</c:v>
                </c:pt>
                <c:pt idx="48">
                  <c:v>-3.6295797838099119E-3</c:v>
                </c:pt>
                <c:pt idx="49">
                  <c:v>-3.6295797838099119E-3</c:v>
                </c:pt>
                <c:pt idx="50">
                  <c:v>-3.6295797838099119E-3</c:v>
                </c:pt>
                <c:pt idx="51">
                  <c:v>-3.6295797838099119E-3</c:v>
                </c:pt>
                <c:pt idx="52">
                  <c:v>-3.6295797838099119E-3</c:v>
                </c:pt>
                <c:pt idx="53">
                  <c:v>-3.6295797838099119E-3</c:v>
                </c:pt>
                <c:pt idx="54">
                  <c:v>-3.6295797838099119E-3</c:v>
                </c:pt>
                <c:pt idx="55">
                  <c:v>-3.6295797838099119E-3</c:v>
                </c:pt>
                <c:pt idx="56">
                  <c:v>-3.6295797838099119E-3</c:v>
                </c:pt>
                <c:pt idx="57">
                  <c:v>-3.6295797838099119E-3</c:v>
                </c:pt>
                <c:pt idx="58">
                  <c:v>-3.6295797838099119E-3</c:v>
                </c:pt>
                <c:pt idx="59">
                  <c:v>-3.6295797838099119E-3</c:v>
                </c:pt>
                <c:pt idx="60">
                  <c:v>-3.4654867856942426E-3</c:v>
                </c:pt>
                <c:pt idx="61">
                  <c:v>-3.8361381598622409E-3</c:v>
                </c:pt>
                <c:pt idx="62">
                  <c:v>-1.5673724901356513E-3</c:v>
                </c:pt>
                <c:pt idx="63">
                  <c:v>-1.5673724901356513E-3</c:v>
                </c:pt>
                <c:pt idx="64">
                  <c:v>-1.5673724901356513E-3</c:v>
                </c:pt>
                <c:pt idx="65">
                  <c:v>-1.5673724901356513E-3</c:v>
                </c:pt>
                <c:pt idx="66">
                  <c:v>-1.5673724901356513E-3</c:v>
                </c:pt>
                <c:pt idx="67">
                  <c:v>-1.5673724901356513E-3</c:v>
                </c:pt>
                <c:pt idx="68">
                  <c:v>-1.5673724901356513E-3</c:v>
                </c:pt>
                <c:pt idx="69">
                  <c:v>-1.5673724901356513E-3</c:v>
                </c:pt>
                <c:pt idx="70">
                  <c:v>-1.5673724901356513E-3</c:v>
                </c:pt>
                <c:pt idx="71">
                  <c:v>-1.5673724901356513E-3</c:v>
                </c:pt>
                <c:pt idx="72">
                  <c:v>-1.5673724901356513E-3</c:v>
                </c:pt>
                <c:pt idx="73">
                  <c:v>-1.8986874555685812E-3</c:v>
                </c:pt>
                <c:pt idx="74">
                  <c:v>-1.5982647460847815E-3</c:v>
                </c:pt>
                <c:pt idx="75">
                  <c:v>5.0048859302761258E-4</c:v>
                </c:pt>
                <c:pt idx="76">
                  <c:v>5.0048859302761258E-4</c:v>
                </c:pt>
                <c:pt idx="77">
                  <c:v>5.0048859302761258E-4</c:v>
                </c:pt>
                <c:pt idx="78">
                  <c:v>2.099225362155472E-3</c:v>
                </c:pt>
                <c:pt idx="79">
                  <c:v>2.099225362155472E-3</c:v>
                </c:pt>
                <c:pt idx="80">
                  <c:v>2.099225362155472E-3</c:v>
                </c:pt>
                <c:pt idx="81">
                  <c:v>2.099225362155472E-3</c:v>
                </c:pt>
                <c:pt idx="82">
                  <c:v>2.099225362155472E-3</c:v>
                </c:pt>
                <c:pt idx="83">
                  <c:v>2.099225362155472E-3</c:v>
                </c:pt>
                <c:pt idx="84">
                  <c:v>2.099225362155472E-3</c:v>
                </c:pt>
                <c:pt idx="85">
                  <c:v>2.099225362155472E-3</c:v>
                </c:pt>
                <c:pt idx="86">
                  <c:v>2.099225362155472E-3</c:v>
                </c:pt>
                <c:pt idx="87">
                  <c:v>1.6488594574965618E-3</c:v>
                </c:pt>
                <c:pt idx="88">
                  <c:v>2.6391328135395623E-3</c:v>
                </c:pt>
                <c:pt idx="89">
                  <c:v>8.0773163666326237E-4</c:v>
                </c:pt>
                <c:pt idx="90">
                  <c:v>8.0878473368310331E-4</c:v>
                </c:pt>
                <c:pt idx="91">
                  <c:v>6.1345819202509319E-4</c:v>
                </c:pt>
                <c:pt idx="92">
                  <c:v>6.1345819202509319E-4</c:v>
                </c:pt>
                <c:pt idx="93">
                  <c:v>-4.9483193120246176E-4</c:v>
                </c:pt>
                <c:pt idx="94">
                  <c:v>9.7526417077963869E-4</c:v>
                </c:pt>
                <c:pt idx="95">
                  <c:v>2.551777011933579E-3</c:v>
                </c:pt>
                <c:pt idx="96">
                  <c:v>2.551777011933579E-3</c:v>
                </c:pt>
                <c:pt idx="97">
                  <c:v>2.551777011933579E-3</c:v>
                </c:pt>
                <c:pt idx="98">
                  <c:v>2.551777011933579E-3</c:v>
                </c:pt>
                <c:pt idx="99">
                  <c:v>2.551777011933579E-3</c:v>
                </c:pt>
                <c:pt idx="100">
                  <c:v>2.551777011933579E-3</c:v>
                </c:pt>
                <c:pt idx="101">
                  <c:v>2.551777011933579E-3</c:v>
                </c:pt>
                <c:pt idx="102">
                  <c:v>2.551777011933579E-3</c:v>
                </c:pt>
                <c:pt idx="103">
                  <c:v>2.551777011933579E-3</c:v>
                </c:pt>
                <c:pt idx="104">
                  <c:v>2.551777011933579E-3</c:v>
                </c:pt>
                <c:pt idx="105">
                  <c:v>2.551777011933579E-3</c:v>
                </c:pt>
                <c:pt idx="106">
                  <c:v>2.551777011933579E-3</c:v>
                </c:pt>
                <c:pt idx="107">
                  <c:v>2.551777011933579E-3</c:v>
                </c:pt>
                <c:pt idx="108">
                  <c:v>2.551777011933579E-3</c:v>
                </c:pt>
                <c:pt idx="109">
                  <c:v>2.551777011933579E-3</c:v>
                </c:pt>
                <c:pt idx="110">
                  <c:v>2.551777011933579E-3</c:v>
                </c:pt>
                <c:pt idx="111">
                  <c:v>2.551777011933579E-3</c:v>
                </c:pt>
                <c:pt idx="112">
                  <c:v>2.551777011933579E-3</c:v>
                </c:pt>
                <c:pt idx="113">
                  <c:v>2.551777011933579E-3</c:v>
                </c:pt>
                <c:pt idx="114">
                  <c:v>2.2409057783129693E-3</c:v>
                </c:pt>
                <c:pt idx="115">
                  <c:v>1.7099859097406689E-3</c:v>
                </c:pt>
                <c:pt idx="116">
                  <c:v>1.8485398469725283E-3</c:v>
                </c:pt>
                <c:pt idx="117">
                  <c:v>2.5190335815141185E-3</c:v>
                </c:pt>
                <c:pt idx="118">
                  <c:v>2.7219135045084188E-3</c:v>
                </c:pt>
                <c:pt idx="119">
                  <c:v>2.0522603686113187E-3</c:v>
                </c:pt>
                <c:pt idx="120">
                  <c:v>1.4810210919345189E-3</c:v>
                </c:pt>
                <c:pt idx="121">
                  <c:v>7.2197907627151881E-4</c:v>
                </c:pt>
                <c:pt idx="122">
                  <c:v>8.4577105527919912E-4</c:v>
                </c:pt>
                <c:pt idx="123">
                  <c:v>2.2010191958315986E-3</c:v>
                </c:pt>
                <c:pt idx="124">
                  <c:v>1.1515257790683684E-3</c:v>
                </c:pt>
                <c:pt idx="125">
                  <c:v>1.5961086224421583E-3</c:v>
                </c:pt>
                <c:pt idx="126">
                  <c:v>2.4594002836301554E-3</c:v>
                </c:pt>
                <c:pt idx="127">
                  <c:v>2.355094633056355E-3</c:v>
                </c:pt>
                <c:pt idx="128">
                  <c:v>2.6140835147792649E-3</c:v>
                </c:pt>
                <c:pt idx="129">
                  <c:v>6.078950803866715E-3</c:v>
                </c:pt>
                <c:pt idx="130">
                  <c:v>6.078950803866715E-3</c:v>
                </c:pt>
                <c:pt idx="131">
                  <c:v>6.078950803866715E-3</c:v>
                </c:pt>
                <c:pt idx="132">
                  <c:v>6.078950803866715E-3</c:v>
                </c:pt>
                <c:pt idx="133">
                  <c:v>6.078950803866715E-3</c:v>
                </c:pt>
                <c:pt idx="134">
                  <c:v>6.078950803866715E-3</c:v>
                </c:pt>
                <c:pt idx="135">
                  <c:v>6.078950803866715E-3</c:v>
                </c:pt>
                <c:pt idx="136">
                  <c:v>6.078950803866715E-3</c:v>
                </c:pt>
                <c:pt idx="137">
                  <c:v>6.078950803866715E-3</c:v>
                </c:pt>
                <c:pt idx="138">
                  <c:v>6.078950803866715E-3</c:v>
                </c:pt>
                <c:pt idx="139">
                  <c:v>6.078950803866715E-3</c:v>
                </c:pt>
                <c:pt idx="140">
                  <c:v>6.078950803866715E-3</c:v>
                </c:pt>
                <c:pt idx="141">
                  <c:v>6.078950803866715E-3</c:v>
                </c:pt>
                <c:pt idx="142">
                  <c:v>6.078950803866715E-3</c:v>
                </c:pt>
                <c:pt idx="143">
                  <c:v>6.078950803866715E-3</c:v>
                </c:pt>
                <c:pt idx="144">
                  <c:v>6.078950803866715E-3</c:v>
                </c:pt>
                <c:pt idx="145">
                  <c:v>6.078950803866715E-3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9B-49A4-B3AC-1895AE43C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IYH_XLV_2!$BV$22:$BV$167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-1.8189783729752025E-4</c:v>
                </c:pt>
                <c:pt idx="33">
                  <c:v>2.4458794370876965E-4</c:v>
                </c:pt>
                <c:pt idx="34">
                  <c:v>2.4458794370876965E-4</c:v>
                </c:pt>
                <c:pt idx="35">
                  <c:v>1.7015550068823935E-3</c:v>
                </c:pt>
                <c:pt idx="36">
                  <c:v>-1.4104113705624716E-4</c:v>
                </c:pt>
                <c:pt idx="37">
                  <c:v>-3.0009437734288729E-4</c:v>
                </c:pt>
                <c:pt idx="38">
                  <c:v>3.5910847433021044E-4</c:v>
                </c:pt>
                <c:pt idx="39">
                  <c:v>-5.5642002598314897E-4</c:v>
                </c:pt>
                <c:pt idx="40">
                  <c:v>-2.4930006585322491E-3</c:v>
                </c:pt>
                <c:pt idx="41">
                  <c:v>-2.6397051037599191E-3</c:v>
                </c:pt>
                <c:pt idx="42">
                  <c:v>-1.2919860157746092E-3</c:v>
                </c:pt>
                <c:pt idx="43">
                  <c:v>-2.472571688082049E-3</c:v>
                </c:pt>
                <c:pt idx="44">
                  <c:v>-9.7972086998003691E-4</c:v>
                </c:pt>
                <c:pt idx="45">
                  <c:v>-6.39416082024236E-4</c:v>
                </c:pt>
                <c:pt idx="46">
                  <c:v>2.75622155167914E-4</c:v>
                </c:pt>
                <c:pt idx="47">
                  <c:v>-1.6031940283158723E-4</c:v>
                </c:pt>
                <c:pt idx="48">
                  <c:v>-2.6249311118385875E-3</c:v>
                </c:pt>
                <c:pt idx="49">
                  <c:v>-3.5573268582709374E-3</c:v>
                </c:pt>
                <c:pt idx="50">
                  <c:v>-5.1018785073020474E-3</c:v>
                </c:pt>
                <c:pt idx="51">
                  <c:v>-3.952026612421688E-3</c:v>
                </c:pt>
                <c:pt idx="52">
                  <c:v>-3.9185490998761884E-3</c:v>
                </c:pt>
                <c:pt idx="53">
                  <c:v>-4.0962102706110287E-3</c:v>
                </c:pt>
                <c:pt idx="54">
                  <c:v>-3.9605526701860282E-3</c:v>
                </c:pt>
                <c:pt idx="55">
                  <c:v>-5.0359408950516882E-3</c:v>
                </c:pt>
                <c:pt idx="56">
                  <c:v>-1.7699712903671899E-3</c:v>
                </c:pt>
                <c:pt idx="57">
                  <c:v>-1.7699712903671899E-3</c:v>
                </c:pt>
                <c:pt idx="58">
                  <c:v>-1.7699712903671899E-3</c:v>
                </c:pt>
                <c:pt idx="59">
                  <c:v>-1.7699712903671899E-3</c:v>
                </c:pt>
                <c:pt idx="60">
                  <c:v>-1.7699712903671899E-3</c:v>
                </c:pt>
                <c:pt idx="61">
                  <c:v>-1.7699712903671899E-3</c:v>
                </c:pt>
                <c:pt idx="62">
                  <c:v>-1.7699712903671899E-3</c:v>
                </c:pt>
                <c:pt idx="63">
                  <c:v>-1.7699712903671899E-3</c:v>
                </c:pt>
                <c:pt idx="64">
                  <c:v>-1.7699712903671899E-3</c:v>
                </c:pt>
                <c:pt idx="65">
                  <c:v>-1.7699712903671899E-3</c:v>
                </c:pt>
                <c:pt idx="66">
                  <c:v>1.8750054723115092E-3</c:v>
                </c:pt>
                <c:pt idx="67">
                  <c:v>2.0731907143417992E-3</c:v>
                </c:pt>
                <c:pt idx="68">
                  <c:v>2.0817646821268293E-3</c:v>
                </c:pt>
                <c:pt idx="69">
                  <c:v>2.4597611868779298E-3</c:v>
                </c:pt>
                <c:pt idx="70">
                  <c:v>2.8158330583007703E-3</c:v>
                </c:pt>
                <c:pt idx="71">
                  <c:v>2.8158330583007703E-3</c:v>
                </c:pt>
                <c:pt idx="72">
                  <c:v>2.8158330583007703E-3</c:v>
                </c:pt>
                <c:pt idx="73">
                  <c:v>2.8158330583007703E-3</c:v>
                </c:pt>
                <c:pt idx="74">
                  <c:v>2.8158330583007703E-3</c:v>
                </c:pt>
                <c:pt idx="75">
                  <c:v>2.8158330583007703E-3</c:v>
                </c:pt>
                <c:pt idx="76">
                  <c:v>2.8158330583007703E-3</c:v>
                </c:pt>
                <c:pt idx="77">
                  <c:v>2.8158330583007703E-3</c:v>
                </c:pt>
                <c:pt idx="78">
                  <c:v>2.8158330583007703E-3</c:v>
                </c:pt>
                <c:pt idx="79">
                  <c:v>2.8158330583007703E-3</c:v>
                </c:pt>
                <c:pt idx="80">
                  <c:v>2.8158330583007703E-3</c:v>
                </c:pt>
                <c:pt idx="81">
                  <c:v>2.8158330583007703E-3</c:v>
                </c:pt>
                <c:pt idx="82">
                  <c:v>3.5001148855630707E-3</c:v>
                </c:pt>
                <c:pt idx="83">
                  <c:v>5.1740146138556497E-3</c:v>
                </c:pt>
                <c:pt idx="84">
                  <c:v>5.1740146138556497E-3</c:v>
                </c:pt>
                <c:pt idx="85">
                  <c:v>5.1740146138556497E-3</c:v>
                </c:pt>
                <c:pt idx="86">
                  <c:v>5.1740146138556497E-3</c:v>
                </c:pt>
                <c:pt idx="87">
                  <c:v>5.1740146138556497E-3</c:v>
                </c:pt>
                <c:pt idx="88">
                  <c:v>5.1740146138556497E-3</c:v>
                </c:pt>
                <c:pt idx="89">
                  <c:v>5.1740146138556497E-3</c:v>
                </c:pt>
                <c:pt idx="90">
                  <c:v>5.1740146138556497E-3</c:v>
                </c:pt>
                <c:pt idx="91">
                  <c:v>5.1740146138556497E-3</c:v>
                </c:pt>
                <c:pt idx="92">
                  <c:v>5.1740146138556497E-3</c:v>
                </c:pt>
                <c:pt idx="93">
                  <c:v>5.1740146138556497E-3</c:v>
                </c:pt>
                <c:pt idx="94">
                  <c:v>5.1740146138556497E-3</c:v>
                </c:pt>
                <c:pt idx="95">
                  <c:v>5.1740146138556497E-3</c:v>
                </c:pt>
                <c:pt idx="96">
                  <c:v>5.1740146138556497E-3</c:v>
                </c:pt>
                <c:pt idx="97">
                  <c:v>5.1740146138556497E-3</c:v>
                </c:pt>
                <c:pt idx="98">
                  <c:v>5.1740146138556497E-3</c:v>
                </c:pt>
                <c:pt idx="99">
                  <c:v>5.1740146138556497E-3</c:v>
                </c:pt>
                <c:pt idx="100">
                  <c:v>5.27956805480965E-3</c:v>
                </c:pt>
                <c:pt idx="101">
                  <c:v>3.4929210517454204E-3</c:v>
                </c:pt>
                <c:pt idx="102">
                  <c:v>4.1042173591611195E-3</c:v>
                </c:pt>
                <c:pt idx="103">
                  <c:v>3.2388922597669893E-3</c:v>
                </c:pt>
                <c:pt idx="104">
                  <c:v>3.3169745649137897E-3</c:v>
                </c:pt>
                <c:pt idx="105">
                  <c:v>1.6768013380709691E-3</c:v>
                </c:pt>
                <c:pt idx="106">
                  <c:v>2.3948535645113705E-3</c:v>
                </c:pt>
                <c:pt idx="107">
                  <c:v>3.9197317014047703E-3</c:v>
                </c:pt>
                <c:pt idx="108">
                  <c:v>2.2436617713627724E-3</c:v>
                </c:pt>
                <c:pt idx="109">
                  <c:v>4.7038651859011528E-3</c:v>
                </c:pt>
                <c:pt idx="110">
                  <c:v>6.6225380794649128E-3</c:v>
                </c:pt>
                <c:pt idx="111">
                  <c:v>6.6225380794649128E-3</c:v>
                </c:pt>
                <c:pt idx="112">
                  <c:v>6.6225380794649128E-3</c:v>
                </c:pt>
                <c:pt idx="113">
                  <c:v>6.6225380794649128E-3</c:v>
                </c:pt>
                <c:pt idx="114">
                  <c:v>6.6225380794649128E-3</c:v>
                </c:pt>
                <c:pt idx="115">
                  <c:v>6.6225380794649128E-3</c:v>
                </c:pt>
                <c:pt idx="116">
                  <c:v>6.6225380794649128E-3</c:v>
                </c:pt>
                <c:pt idx="117">
                  <c:v>6.6225380794649128E-3</c:v>
                </c:pt>
                <c:pt idx="118">
                  <c:v>6.6225380794649128E-3</c:v>
                </c:pt>
                <c:pt idx="119">
                  <c:v>6.6225380794649128E-3</c:v>
                </c:pt>
                <c:pt idx="120">
                  <c:v>6.6225380794649128E-3</c:v>
                </c:pt>
                <c:pt idx="121">
                  <c:v>6.6225380794649128E-3</c:v>
                </c:pt>
                <c:pt idx="122">
                  <c:v>6.6225380794649128E-3</c:v>
                </c:pt>
                <c:pt idx="123">
                  <c:v>6.6225380794649128E-3</c:v>
                </c:pt>
                <c:pt idx="124">
                  <c:v>6.6225380794649128E-3</c:v>
                </c:pt>
                <c:pt idx="125">
                  <c:v>6.6225380794649128E-3</c:v>
                </c:pt>
                <c:pt idx="126">
                  <c:v>6.6225380794649128E-3</c:v>
                </c:pt>
                <c:pt idx="127">
                  <c:v>6.6225380794649128E-3</c:v>
                </c:pt>
                <c:pt idx="128">
                  <c:v>6.6225380794649128E-3</c:v>
                </c:pt>
                <c:pt idx="129">
                  <c:v>6.6225380794649128E-3</c:v>
                </c:pt>
                <c:pt idx="130">
                  <c:v>6.9893998149129135E-3</c:v>
                </c:pt>
                <c:pt idx="131">
                  <c:v>7.9536846158799433E-3</c:v>
                </c:pt>
                <c:pt idx="132">
                  <c:v>6.567785024042214E-3</c:v>
                </c:pt>
                <c:pt idx="133">
                  <c:v>7.0549190555862611E-3</c:v>
                </c:pt>
                <c:pt idx="134">
                  <c:v>7.5283844365050707E-3</c:v>
                </c:pt>
                <c:pt idx="135">
                  <c:v>6.3225873450642595E-3</c:v>
                </c:pt>
                <c:pt idx="136">
                  <c:v>7.1962522091071589E-3</c:v>
                </c:pt>
                <c:pt idx="137">
                  <c:v>5.2090826254587545E-3</c:v>
                </c:pt>
                <c:pt idx="138">
                  <c:v>4.6334839400805523E-3</c:v>
                </c:pt>
                <c:pt idx="139">
                  <c:v>5.0942466236002515E-3</c:v>
                </c:pt>
                <c:pt idx="140">
                  <c:v>6.2291899869089569E-3</c:v>
                </c:pt>
                <c:pt idx="141">
                  <c:v>5.6809996073218473E-3</c:v>
                </c:pt>
                <c:pt idx="142">
                  <c:v>5.5437477863686064E-3</c:v>
                </c:pt>
                <c:pt idx="143">
                  <c:v>4.731133568237505E-3</c:v>
                </c:pt>
                <c:pt idx="144">
                  <c:v>6.6959224032505753E-3</c:v>
                </c:pt>
                <c:pt idx="145">
                  <c:v>7.0855781346694253E-3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1-479E-947B-B77C5AEBC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8A27D3-8D01-4940-869E-8D10CDD596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B711AE-47EA-4142-A672-2EDAED413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11B2DB-C937-4BDF-B11F-1E9E94F196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248BBF-E5CB-443E-9385-E3E245C3F7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2437EC-385C-4D2D-A94C-466046D0C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2FB2752-DE8C-49CA-A646-55BD95C60B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4C0675D-3593-4E85-866B-DE127FA8DA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E2039A7-3BA9-4F33-ADC6-EF92FB3814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23FB2-67E5-4FD5-9289-22432FA04AEA}">
  <dimension ref="A1:BY167"/>
  <sheetViews>
    <sheetView tabSelected="1" topLeftCell="BX1" workbookViewId="0">
      <selection activeCell="BZ6" sqref="BZ6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BG1" s="6"/>
      <c r="BH1" s="6"/>
      <c r="BI1" s="6"/>
      <c r="BJ1" s="7">
        <f>BJ167</f>
        <v>6.078950803866715E-3</v>
      </c>
      <c r="BS1" s="6"/>
      <c r="BT1" s="6"/>
      <c r="BU1" s="6"/>
      <c r="BV1" s="7">
        <f>BV167</f>
        <v>7.0855781346694253E-3</v>
      </c>
      <c r="BY1" s="7">
        <f>BY167</f>
        <v>1.3164528938536141E-2</v>
      </c>
    </row>
    <row r="2" spans="1:77" x14ac:dyDescent="0.3">
      <c r="A2" s="1">
        <v>46024</v>
      </c>
      <c r="B2" s="8">
        <v>65.36</v>
      </c>
      <c r="C2" s="8">
        <v>155.51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65.36</v>
      </c>
      <c r="M2" s="8">
        <v>155.51</v>
      </c>
      <c r="N2" s="10">
        <v>2.3792839657282698</v>
      </c>
      <c r="O2" s="10">
        <v>2.3794589997480098</v>
      </c>
      <c r="X2" s="10">
        <v>2.3792839657282698</v>
      </c>
      <c r="Y2" s="10">
        <v>2.3816575271846898</v>
      </c>
    </row>
    <row r="3" spans="1:77" x14ac:dyDescent="0.3">
      <c r="A3" s="1">
        <v>46027</v>
      </c>
      <c r="B3" s="8">
        <v>65.22</v>
      </c>
      <c r="C3" s="8">
        <v>155.04</v>
      </c>
      <c r="D3" s="9">
        <v>-2.1442801905744101E-3</v>
      </c>
      <c r="E3" s="9">
        <v>-3.0268900907901102E-3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65.22</v>
      </c>
      <c r="M3" s="8">
        <v>155.04</v>
      </c>
      <c r="N3" s="10">
        <v>2.3771849126034899</v>
      </c>
      <c r="O3" s="10">
        <v>2.3794589997480098</v>
      </c>
      <c r="R3" s="8">
        <v>155.188315963565</v>
      </c>
      <c r="U3" s="9">
        <v>9.5617303278455301E-4</v>
      </c>
      <c r="X3" s="10">
        <v>2.3771849126034899</v>
      </c>
      <c r="Y3" s="10">
        <v>2.3816575271846898</v>
      </c>
      <c r="AB3" s="8">
        <v>155.33170392298501</v>
      </c>
      <c r="AE3" s="9">
        <v>1.8797074938762899E-3</v>
      </c>
    </row>
    <row r="4" spans="1:77" x14ac:dyDescent="0.3">
      <c r="A4" s="1">
        <v>46028</v>
      </c>
      <c r="B4" s="8">
        <v>66.58</v>
      </c>
      <c r="C4" s="8">
        <v>158.09</v>
      </c>
      <c r="D4" s="9">
        <v>2.0638061785705802E-2</v>
      </c>
      <c r="E4" s="9">
        <v>1.9481342965640198E-2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66.58</v>
      </c>
      <c r="M4" s="8">
        <v>158.09</v>
      </c>
      <c r="N4" s="10">
        <v>2.3744367677981302</v>
      </c>
      <c r="O4" s="10">
        <v>2.3794589997480098</v>
      </c>
      <c r="R4" s="8">
        <v>158.424380203222</v>
      </c>
      <c r="U4" s="9">
        <v>2.1128918528499699E-3</v>
      </c>
      <c r="X4" s="10">
        <v>2.3744367677981302</v>
      </c>
      <c r="Y4" s="10">
        <v>2.3816575271846898</v>
      </c>
      <c r="AB4" s="8">
        <v>158.570758159956</v>
      </c>
      <c r="AE4" s="9">
        <v>3.0364263139417498E-3</v>
      </c>
    </row>
    <row r="5" spans="1:77" x14ac:dyDescent="0.3">
      <c r="A5" s="1">
        <v>46029</v>
      </c>
      <c r="B5" s="8">
        <v>67.33</v>
      </c>
      <c r="C5" s="8">
        <v>159.66</v>
      </c>
      <c r="D5" s="9">
        <v>1.1201670410310499E-2</v>
      </c>
      <c r="E5" s="9">
        <v>9.8820631095565097E-3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67.33</v>
      </c>
      <c r="M5" s="8">
        <v>159.66</v>
      </c>
      <c r="N5" s="10">
        <v>2.3713055101737699</v>
      </c>
      <c r="O5" s="10">
        <v>2.3794589997480098</v>
      </c>
      <c r="R5" s="8">
        <v>160.20897445303299</v>
      </c>
      <c r="U5" s="9">
        <v>3.4324991536042E-3</v>
      </c>
      <c r="X5" s="10">
        <v>2.3713055101737699</v>
      </c>
      <c r="Y5" s="10">
        <v>2.3816575271846898</v>
      </c>
      <c r="AB5" s="8">
        <v>160.35700130534499</v>
      </c>
      <c r="AE5" s="9">
        <v>4.35603361469593E-3</v>
      </c>
    </row>
    <row r="6" spans="1:77" x14ac:dyDescent="0.3">
      <c r="A6" s="1">
        <v>46030</v>
      </c>
      <c r="B6" s="8">
        <v>66.63</v>
      </c>
      <c r="C6" s="8">
        <v>158.12</v>
      </c>
      <c r="D6" s="9">
        <v>-1.04509759827437E-2</v>
      </c>
      <c r="E6" s="9">
        <v>-9.692315789168E-3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66.63</v>
      </c>
      <c r="M6" s="8">
        <v>158.12</v>
      </c>
      <c r="N6" s="10">
        <v>2.3731052078643202</v>
      </c>
      <c r="O6" s="10">
        <v>2.3794589997480098</v>
      </c>
      <c r="R6" s="8">
        <v>158.54335315320901</v>
      </c>
      <c r="U6" s="9">
        <v>2.67383896002845E-3</v>
      </c>
      <c r="X6" s="10">
        <v>2.3731052078643202</v>
      </c>
      <c r="Y6" s="10">
        <v>2.3816575271846898</v>
      </c>
      <c r="AB6" s="8">
        <v>158.68984103631601</v>
      </c>
      <c r="AE6" s="9">
        <v>3.59737342112018E-3</v>
      </c>
    </row>
    <row r="7" spans="1:77" x14ac:dyDescent="0.3">
      <c r="A7" s="1">
        <v>46031</v>
      </c>
      <c r="B7" s="8">
        <v>66.319999999999993</v>
      </c>
      <c r="C7" s="8">
        <v>157.31</v>
      </c>
      <c r="D7" s="9">
        <v>-4.6634157474062903E-3</v>
      </c>
      <c r="E7" s="9">
        <v>-5.13585759407135E-3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66.319999999999993</v>
      </c>
      <c r="M7" s="8">
        <v>157.31</v>
      </c>
      <c r="N7" s="10">
        <v>2.3719843184559699</v>
      </c>
      <c r="O7" s="10">
        <v>2.3794589997480098</v>
      </c>
      <c r="R7" s="8">
        <v>157.805720863288</v>
      </c>
      <c r="U7" s="9">
        <v>3.1462808066936299E-3</v>
      </c>
      <c r="X7" s="10">
        <v>2.3719843184559699</v>
      </c>
      <c r="Y7" s="10">
        <v>2.3816575271846898</v>
      </c>
      <c r="AB7" s="8">
        <v>157.951527202888</v>
      </c>
      <c r="AE7" s="9">
        <v>4.0698152677852003E-3</v>
      </c>
    </row>
    <row r="8" spans="1:77" x14ac:dyDescent="0.3">
      <c r="A8" s="1">
        <v>46034</v>
      </c>
      <c r="B8" s="8">
        <v>66.19</v>
      </c>
      <c r="C8" s="8">
        <v>157.38</v>
      </c>
      <c r="D8" s="9">
        <v>-1.962116696208E-3</v>
      </c>
      <c r="E8" s="9">
        <v>4.4488227242393098E-4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66.19</v>
      </c>
      <c r="M8" s="8">
        <v>157.38</v>
      </c>
      <c r="N8" s="10">
        <v>2.3777005589968199</v>
      </c>
      <c r="O8" s="10">
        <v>2.3794589997480098</v>
      </c>
      <c r="R8" s="8">
        <v>157.49639119331999</v>
      </c>
      <c r="U8" s="9">
        <v>7.3928183806169204E-4</v>
      </c>
      <c r="X8" s="10">
        <v>2.3777005589968199</v>
      </c>
      <c r="Y8" s="10">
        <v>2.3816575271846898</v>
      </c>
      <c r="AB8" s="8">
        <v>157.641911724354</v>
      </c>
      <c r="AE8" s="9">
        <v>1.6628162991533699E-3</v>
      </c>
    </row>
    <row r="9" spans="1:77" x14ac:dyDescent="0.3">
      <c r="A9" s="1">
        <v>46035</v>
      </c>
      <c r="B9" s="8">
        <v>65.930000000000007</v>
      </c>
      <c r="C9" s="8">
        <v>156.74</v>
      </c>
      <c r="D9" s="9">
        <v>-3.9358210056229803E-3</v>
      </c>
      <c r="E9" s="9">
        <v>-4.07488148211864E-3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65.930000000000007</v>
      </c>
      <c r="M9" s="8">
        <v>156.74</v>
      </c>
      <c r="N9" s="10">
        <v>2.3773699378128299</v>
      </c>
      <c r="O9" s="10">
        <v>2.3794589997480098</v>
      </c>
      <c r="R9" s="8">
        <v>156.877731853386</v>
      </c>
      <c r="U9" s="9">
        <v>8.7834231455742096E-4</v>
      </c>
      <c r="X9" s="10">
        <v>2.3773699378128299</v>
      </c>
      <c r="Y9" s="10">
        <v>2.3816575271846898</v>
      </c>
      <c r="AB9" s="8">
        <v>157.022680767286</v>
      </c>
      <c r="AE9" s="9">
        <v>1.80187677564904E-3</v>
      </c>
      <c r="BJ9" s="12">
        <f>AVERAGE(BI22:BI200)</f>
        <v>4.1636649341552844E-5</v>
      </c>
      <c r="BV9" s="12">
        <f>AVERAGE(BU22:BU200)</f>
        <v>4.8531357086776882E-5</v>
      </c>
      <c r="BY9" s="12">
        <f>AVERAGE(BX22:BX200)</f>
        <v>9.0168006428329733E-5</v>
      </c>
    </row>
    <row r="10" spans="1:77" x14ac:dyDescent="0.3">
      <c r="A10" s="1">
        <v>46036</v>
      </c>
      <c r="B10" s="8">
        <v>66.36</v>
      </c>
      <c r="C10" s="8">
        <v>157.86000000000001</v>
      </c>
      <c r="D10" s="9">
        <v>6.5008921970352504E-3</v>
      </c>
      <c r="E10" s="9">
        <v>7.1201826555377804E-3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66.36</v>
      </c>
      <c r="M10" s="8">
        <v>157.86000000000001</v>
      </c>
      <c r="N10" s="10">
        <v>2.37884267631103</v>
      </c>
      <c r="O10" s="10">
        <v>2.3794589997480098</v>
      </c>
      <c r="R10" s="8">
        <v>157.90089922327701</v>
      </c>
      <c r="U10" s="9">
        <v>2.5905185605467598E-4</v>
      </c>
      <c r="X10" s="10">
        <v>2.37884267631103</v>
      </c>
      <c r="Y10" s="10">
        <v>2.3816575271846898</v>
      </c>
      <c r="AB10" s="8">
        <v>158.04679350397601</v>
      </c>
      <c r="AE10" s="9">
        <v>1.1825863171465599E-3</v>
      </c>
      <c r="AZ10" s="13"/>
      <c r="BJ10" s="12">
        <f>STDEV(BI22:BI200)</f>
        <v>7.6496936161357275E-4</v>
      </c>
      <c r="BL10" s="13"/>
      <c r="BV10" s="12">
        <f>STDEV(BU22:BU200)</f>
        <v>8.105924701060273E-4</v>
      </c>
      <c r="BY10" s="12">
        <f>STDEV(BX22:BX200)</f>
        <v>1.1127304431509412E-3</v>
      </c>
    </row>
    <row r="11" spans="1:77" x14ac:dyDescent="0.3">
      <c r="A11" s="1">
        <v>46037</v>
      </c>
      <c r="B11" s="8">
        <v>65.95</v>
      </c>
      <c r="C11" s="8">
        <v>156.96</v>
      </c>
      <c r="D11" s="9">
        <v>-6.1975861589200296E-3</v>
      </c>
      <c r="E11" s="9">
        <v>-5.7175684632034002E-3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65.95</v>
      </c>
      <c r="M11" s="8">
        <v>156.96</v>
      </c>
      <c r="N11" s="10">
        <v>2.3799848369977199</v>
      </c>
      <c r="O11" s="10">
        <v>2.3794589997480098</v>
      </c>
      <c r="P11" s="10">
        <v>2.37611986927423</v>
      </c>
      <c r="R11" s="8">
        <v>156.92532103338101</v>
      </c>
      <c r="U11" s="9">
        <v>-2.2096583966169699E-4</v>
      </c>
      <c r="X11" s="10">
        <v>2.3799848369977199</v>
      </c>
      <c r="Y11" s="10">
        <v>2.3816575271846898</v>
      </c>
      <c r="Z11" s="10">
        <v>2.37611986927423</v>
      </c>
      <c r="AB11" s="8">
        <v>157.07031391782999</v>
      </c>
      <c r="AE11" s="9">
        <v>7.0256862142980701E-4</v>
      </c>
      <c r="BJ11">
        <f>SQRT(252)*BJ9/BJ10</f>
        <v>0.86403632703447741</v>
      </c>
      <c r="BV11">
        <f>SQRT(252)*BV9/BV10</f>
        <v>0.95043001045856124</v>
      </c>
      <c r="BY11">
        <f>SQRT(252)*BY9/BY10</f>
        <v>1.2863607140016373</v>
      </c>
    </row>
    <row r="12" spans="1:77" x14ac:dyDescent="0.3">
      <c r="A12" s="1">
        <v>46038</v>
      </c>
      <c r="B12" s="8">
        <v>65.47</v>
      </c>
      <c r="C12" s="8">
        <v>155.74</v>
      </c>
      <c r="D12" s="9">
        <v>-7.3048567103236898E-3</v>
      </c>
      <c r="E12" s="9">
        <v>-7.80304566821295E-3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65.47</v>
      </c>
      <c r="M12" s="8">
        <v>155.74</v>
      </c>
      <c r="N12" s="10">
        <v>2.3787994501298302</v>
      </c>
      <c r="O12" s="10">
        <v>2.3794589997480098</v>
      </c>
      <c r="P12" s="10">
        <v>2.3760714177143898</v>
      </c>
      <c r="R12" s="8">
        <v>155.78318071350199</v>
      </c>
      <c r="S12" s="8">
        <v>155.56456784138399</v>
      </c>
      <c r="U12" s="9">
        <v>2.7722311822748E-4</v>
      </c>
      <c r="V12" s="9">
        <v>-1.12707743675636E-3</v>
      </c>
      <c r="X12" s="10">
        <v>2.3787994501298302</v>
      </c>
      <c r="Y12" s="10">
        <v>2.3816575271846898</v>
      </c>
      <c r="Z12" s="10">
        <v>2.3760714177143898</v>
      </c>
      <c r="AB12" s="8">
        <v>155.927118304781</v>
      </c>
      <c r="AC12" s="8">
        <v>155.56456784138399</v>
      </c>
      <c r="AE12" s="9">
        <v>1.2007575793191901E-3</v>
      </c>
      <c r="AF12" s="9">
        <v>-1.12707743675636E-3</v>
      </c>
    </row>
    <row r="13" spans="1:77" x14ac:dyDescent="0.3">
      <c r="A13" s="1">
        <v>46042</v>
      </c>
      <c r="B13" s="8">
        <v>65.36</v>
      </c>
      <c r="C13" s="8">
        <v>155.4</v>
      </c>
      <c r="D13" s="9">
        <v>-1.6815719012525201E-3</v>
      </c>
      <c r="E13" s="9">
        <v>-2.1855122152929702E-3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65.36</v>
      </c>
      <c r="M13" s="8">
        <v>155.4</v>
      </c>
      <c r="N13" s="10">
        <v>2.37760097919216</v>
      </c>
      <c r="O13" s="10">
        <v>2.3794589997480098</v>
      </c>
      <c r="P13" s="10">
        <v>2.37611302437326</v>
      </c>
      <c r="R13" s="8">
        <v>155.521440223529</v>
      </c>
      <c r="S13" s="8">
        <v>155.300027861812</v>
      </c>
      <c r="U13" s="9">
        <v>7.8116343226778903E-4</v>
      </c>
      <c r="V13" s="9">
        <v>-6.4352837252873798E-4</v>
      </c>
      <c r="X13" s="10">
        <v>2.37760097919216</v>
      </c>
      <c r="Y13" s="10">
        <v>2.3816575271846898</v>
      </c>
      <c r="Z13" s="10">
        <v>2.37611302437326</v>
      </c>
      <c r="AB13" s="8">
        <v>155.66513597679099</v>
      </c>
      <c r="AC13" s="8">
        <v>155.300027861812</v>
      </c>
      <c r="AE13" s="9">
        <v>1.70469789335962E-3</v>
      </c>
      <c r="AF13" s="9">
        <v>-6.4352837252873798E-4</v>
      </c>
    </row>
    <row r="14" spans="1:77" x14ac:dyDescent="0.3">
      <c r="A14" s="1">
        <v>46043</v>
      </c>
      <c r="B14" s="8">
        <v>66.53</v>
      </c>
      <c r="C14" s="8">
        <v>158.26</v>
      </c>
      <c r="D14" s="9">
        <v>1.7742523202048801E-2</v>
      </c>
      <c r="E14" s="9">
        <v>1.8236812247500199E-2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66.53</v>
      </c>
      <c r="M14" s="8">
        <v>158.26</v>
      </c>
      <c r="N14" s="10">
        <v>2.3787764918082002</v>
      </c>
      <c r="O14" s="10">
        <v>2.3794589997480098</v>
      </c>
      <c r="P14" s="10">
        <v>2.3765469967742598</v>
      </c>
      <c r="R14" s="8">
        <v>158.30540725323499</v>
      </c>
      <c r="S14" s="8">
        <v>158.08279951155299</v>
      </c>
      <c r="U14" s="9">
        <v>2.8687438681645301E-4</v>
      </c>
      <c r="V14" s="9">
        <v>-1.12030687756449E-3</v>
      </c>
      <c r="X14" s="10">
        <v>2.3787764918082002</v>
      </c>
      <c r="Y14" s="10">
        <v>2.3816575271846898</v>
      </c>
      <c r="Z14" s="10">
        <v>2.3765469967742598</v>
      </c>
      <c r="AB14" s="8">
        <v>158.45167528359701</v>
      </c>
      <c r="AC14" s="8">
        <v>158.08279951155299</v>
      </c>
      <c r="AE14" s="9">
        <v>1.2104088479081101E-3</v>
      </c>
      <c r="AF14" s="9">
        <v>-1.12030687756449E-3</v>
      </c>
    </row>
    <row r="15" spans="1:77" x14ac:dyDescent="0.3">
      <c r="A15" s="1">
        <v>46044</v>
      </c>
      <c r="B15" s="8">
        <v>66.59</v>
      </c>
      <c r="C15" s="8">
        <v>158.29</v>
      </c>
      <c r="D15" s="9">
        <v>9.0144236873495405E-4</v>
      </c>
      <c r="E15" s="9">
        <v>1.8954351659959299E-4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66.59</v>
      </c>
      <c r="M15" s="8">
        <v>158.29</v>
      </c>
      <c r="N15" s="10">
        <v>2.3770836461931202</v>
      </c>
      <c r="O15" s="10">
        <v>2.3794589997480098</v>
      </c>
      <c r="P15" s="10">
        <v>2.3771248103762002</v>
      </c>
      <c r="R15" s="8">
        <v>158.44817479322001</v>
      </c>
      <c r="S15" s="8">
        <v>158.254264515198</v>
      </c>
      <c r="U15" s="9">
        <v>9.9877323895167995E-4</v>
      </c>
      <c r="V15" s="9">
        <v>-2.2578507311114799E-4</v>
      </c>
      <c r="X15" s="10">
        <v>2.3770836461931202</v>
      </c>
      <c r="Y15" s="10">
        <v>2.3816575271846898</v>
      </c>
      <c r="Z15" s="10">
        <v>2.3771248103762002</v>
      </c>
      <c r="AB15" s="8">
        <v>158.59457473522801</v>
      </c>
      <c r="AC15" s="8">
        <v>158.254264515198</v>
      </c>
      <c r="AE15" s="9">
        <v>1.9223077000432901E-3</v>
      </c>
      <c r="AF15" s="9">
        <v>-2.2578507311114799E-4</v>
      </c>
    </row>
    <row r="16" spans="1:77" x14ac:dyDescent="0.3">
      <c r="A16" s="1">
        <v>46045</v>
      </c>
      <c r="B16" s="8">
        <v>66.17</v>
      </c>
      <c r="C16" s="8">
        <v>157.47999999999999</v>
      </c>
      <c r="D16" s="9">
        <v>-6.32722809856286E-3</v>
      </c>
      <c r="E16" s="9">
        <v>-5.1303276221102197E-3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66.17</v>
      </c>
      <c r="M16" s="8">
        <v>157.47999999999999</v>
      </c>
      <c r="N16" s="10">
        <v>2.3799304820915799</v>
      </c>
      <c r="O16" s="10">
        <v>2.3794589997480098</v>
      </c>
      <c r="P16" s="10">
        <v>2.3778073377989202</v>
      </c>
      <c r="R16" s="8">
        <v>157.44880201332501</v>
      </c>
      <c r="S16" s="8">
        <v>157.294348702593</v>
      </c>
      <c r="U16" s="9">
        <v>-1.98127237501066E-4</v>
      </c>
      <c r="V16" s="9">
        <v>-1.17958353149355E-3</v>
      </c>
      <c r="X16" s="10">
        <v>2.3799304820915799</v>
      </c>
      <c r="Y16" s="10">
        <v>2.3816575271846898</v>
      </c>
      <c r="Z16" s="10">
        <v>2.3778073377989202</v>
      </c>
      <c r="AB16" s="8">
        <v>157.59427857381101</v>
      </c>
      <c r="AC16" s="8">
        <v>157.294348702593</v>
      </c>
      <c r="AE16" s="9">
        <v>7.25407223590792E-4</v>
      </c>
      <c r="AF16" s="9">
        <v>-1.17958353149355E-3</v>
      </c>
    </row>
    <row r="17" spans="1:77" x14ac:dyDescent="0.3">
      <c r="A17" s="1">
        <v>46048</v>
      </c>
      <c r="B17" s="8">
        <v>66.38</v>
      </c>
      <c r="C17" s="8">
        <v>158.1</v>
      </c>
      <c r="D17" s="9">
        <v>3.1686182678603999E-3</v>
      </c>
      <c r="E17" s="9">
        <v>3.9292781398895501E-3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66.38</v>
      </c>
      <c r="M17" s="8">
        <v>158.1</v>
      </c>
      <c r="N17" s="10">
        <v>2.3817414884001198</v>
      </c>
      <c r="O17" s="10">
        <v>2.3794589997480098</v>
      </c>
      <c r="P17" s="10">
        <v>2.37878305479334</v>
      </c>
      <c r="R17" s="8">
        <v>157.94848840327199</v>
      </c>
      <c r="S17" s="8">
        <v>157.83885108309201</v>
      </c>
      <c r="U17" s="9">
        <v>-9.5878710953032698E-4</v>
      </c>
      <c r="V17" s="9">
        <v>-1.6531615246889099E-3</v>
      </c>
      <c r="X17" s="10">
        <v>2.3817414884001198</v>
      </c>
      <c r="Y17" s="10">
        <v>2.3816575271846898</v>
      </c>
      <c r="Z17" s="10">
        <v>2.37878305479334</v>
      </c>
      <c r="AB17" s="8">
        <v>158.09442665451999</v>
      </c>
      <c r="AC17" s="8">
        <v>157.83885108309201</v>
      </c>
      <c r="AE17" s="9">
        <v>-3.5252648438640098E-5</v>
      </c>
      <c r="AF17" s="9">
        <v>-1.6531615246889099E-3</v>
      </c>
    </row>
    <row r="18" spans="1:77" x14ac:dyDescent="0.3">
      <c r="A18" s="1">
        <v>46049</v>
      </c>
      <c r="B18" s="8">
        <v>65.42</v>
      </c>
      <c r="C18" s="8">
        <v>155.44999999999999</v>
      </c>
      <c r="D18" s="9">
        <v>-1.45677841815906E-2</v>
      </c>
      <c r="E18" s="9">
        <v>-1.6903607710663501E-2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65.42</v>
      </c>
      <c r="M18" s="8">
        <v>155.44999999999999</v>
      </c>
      <c r="N18" s="10">
        <v>2.3761846530113102</v>
      </c>
      <c r="O18" s="10">
        <v>2.3794589997480098</v>
      </c>
      <c r="P18" s="10">
        <v>2.3786314641947901</v>
      </c>
      <c r="R18" s="8">
        <v>155.66420776351401</v>
      </c>
      <c r="S18" s="8">
        <v>155.61998744458</v>
      </c>
      <c r="U18" s="9">
        <v>1.3770364195426299E-3</v>
      </c>
      <c r="V18" s="9">
        <v>1.09292100403215E-3</v>
      </c>
      <c r="X18" s="10">
        <v>2.3761846530113102</v>
      </c>
      <c r="Y18" s="10">
        <v>2.3816575271846898</v>
      </c>
      <c r="Z18" s="10">
        <v>2.3786314641947901</v>
      </c>
      <c r="AB18" s="8">
        <v>155.80803542842199</v>
      </c>
      <c r="AC18" s="8">
        <v>155.61998744458</v>
      </c>
      <c r="AE18" s="9">
        <v>2.3005708806343801E-3</v>
      </c>
      <c r="AF18" s="9">
        <v>1.09292100403215E-3</v>
      </c>
    </row>
    <row r="19" spans="1:77" x14ac:dyDescent="0.3">
      <c r="A19" s="1">
        <v>46050</v>
      </c>
      <c r="B19" s="8">
        <v>64.87</v>
      </c>
      <c r="C19" s="8">
        <v>154.31</v>
      </c>
      <c r="D19" s="9">
        <v>-8.4427548852737903E-3</v>
      </c>
      <c r="E19" s="9">
        <v>-7.3605704216493E-3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64.87</v>
      </c>
      <c r="M19" s="8">
        <v>154.31</v>
      </c>
      <c r="N19" s="10">
        <v>2.3787575150300602</v>
      </c>
      <c r="O19" s="10">
        <v>2.3794589997480098</v>
      </c>
      <c r="P19" s="10">
        <v>2.3787702219165099</v>
      </c>
      <c r="R19" s="8">
        <v>154.355505313653</v>
      </c>
      <c r="S19" s="8">
        <v>154.30182308231599</v>
      </c>
      <c r="U19" s="9">
        <v>2.94851955918158E-4</v>
      </c>
      <c r="V19" s="9">
        <v>-5.2991603523340503E-5</v>
      </c>
      <c r="X19" s="10">
        <v>2.3787575150300602</v>
      </c>
      <c r="Y19" s="10">
        <v>2.3816575271846898</v>
      </c>
      <c r="Z19" s="10">
        <v>2.3787702219165099</v>
      </c>
      <c r="AB19" s="8">
        <v>154.49812378847099</v>
      </c>
      <c r="AC19" s="8">
        <v>154.30182308231599</v>
      </c>
      <c r="AE19" s="9">
        <v>1.2183864170098901E-3</v>
      </c>
      <c r="AF19" s="9">
        <v>-5.2991603523340503E-5</v>
      </c>
      <c r="BX19" s="6" t="s">
        <v>33</v>
      </c>
      <c r="BY19" s="6" t="s">
        <v>33</v>
      </c>
    </row>
    <row r="20" spans="1:77" x14ac:dyDescent="0.3">
      <c r="A20" s="1">
        <v>46051</v>
      </c>
      <c r="B20" s="8">
        <v>64.680000000000007</v>
      </c>
      <c r="C20" s="8">
        <v>153.82</v>
      </c>
      <c r="D20" s="9">
        <v>-2.93323251605789E-3</v>
      </c>
      <c r="E20" s="9">
        <v>-3.1804784542057399E-3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64.680000000000007</v>
      </c>
      <c r="M20" s="8">
        <v>153.82</v>
      </c>
      <c r="N20" s="10">
        <v>2.3781694495980199</v>
      </c>
      <c r="O20" s="10">
        <v>2.3794589997480098</v>
      </c>
      <c r="P20" s="10">
        <v>2.3787028992452099</v>
      </c>
      <c r="R20" s="8">
        <v>153.903408103701</v>
      </c>
      <c r="S20" s="8">
        <v>153.85885795356</v>
      </c>
      <c r="U20" s="9">
        <v>5.4209789406595599E-4</v>
      </c>
      <c r="V20" s="9">
        <v>2.5258774051173898E-4</v>
      </c>
      <c r="X20" s="10">
        <v>2.3781694495980199</v>
      </c>
      <c r="Y20" s="10">
        <v>2.3816575271846898</v>
      </c>
      <c r="Z20" s="10">
        <v>2.3787028992452099</v>
      </c>
      <c r="AB20" s="8">
        <v>154.045608858306</v>
      </c>
      <c r="AC20" s="8">
        <v>153.85885795356</v>
      </c>
      <c r="AE20" s="9">
        <v>1.46563235515779E-3</v>
      </c>
      <c r="AF20" s="9">
        <v>2.5258774051173898E-4</v>
      </c>
      <c r="AZ20" s="14" t="s">
        <v>34</v>
      </c>
      <c r="BA20" s="15">
        <v>-1E-3</v>
      </c>
      <c r="BB20" s="6" t="s">
        <v>35</v>
      </c>
      <c r="BC20" s="6" t="s">
        <v>36</v>
      </c>
      <c r="BD20" s="6" t="s">
        <v>37</v>
      </c>
      <c r="BE20" s="6" t="s">
        <v>38</v>
      </c>
      <c r="BF20" s="6" t="s">
        <v>39</v>
      </c>
      <c r="BG20" s="6" t="str">
        <f>D1</f>
        <v>IYH log rtn</v>
      </c>
      <c r="BH20" s="6" t="str">
        <f>E1</f>
        <v>XLV log rtn</v>
      </c>
      <c r="BI20" s="6" t="s">
        <v>40</v>
      </c>
      <c r="BJ20" s="6" t="s">
        <v>41</v>
      </c>
      <c r="BL20" s="14" t="s">
        <v>34</v>
      </c>
      <c r="BM20" s="15">
        <v>2E-3</v>
      </c>
      <c r="BN20" s="6" t="s">
        <v>36</v>
      </c>
      <c r="BO20" s="6" t="s">
        <v>35</v>
      </c>
      <c r="BP20" s="6" t="s">
        <v>37</v>
      </c>
      <c r="BQ20" s="6" t="s">
        <v>38</v>
      </c>
      <c r="BR20" s="6" t="s">
        <v>39</v>
      </c>
      <c r="BS20" s="7" t="str">
        <f>D1</f>
        <v>IYH log rtn</v>
      </c>
      <c r="BT20" s="7" t="str">
        <f>E1</f>
        <v>XLV log rtn</v>
      </c>
      <c r="BU20" s="6" t="s">
        <v>40</v>
      </c>
      <c r="BV20" s="6" t="s">
        <v>41</v>
      </c>
      <c r="BX20" s="6" t="s">
        <v>40</v>
      </c>
      <c r="BY20" s="6" t="s">
        <v>41</v>
      </c>
    </row>
    <row r="21" spans="1:77" x14ac:dyDescent="0.3">
      <c r="A21" s="1">
        <v>46052</v>
      </c>
      <c r="B21" s="8">
        <v>64.97</v>
      </c>
      <c r="C21" s="8">
        <v>154.74</v>
      </c>
      <c r="D21" s="9">
        <v>4.4735901835333304E-3</v>
      </c>
      <c r="E21" s="9">
        <v>5.9632014924008402E-3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64.97</v>
      </c>
      <c r="M21" s="8">
        <v>154.74</v>
      </c>
      <c r="N21" s="10">
        <v>2.3817146375250098</v>
      </c>
      <c r="O21" s="10">
        <v>2.3794589997480098</v>
      </c>
      <c r="P21" s="10">
        <v>2.3788758792979401</v>
      </c>
      <c r="Q21" s="10">
        <v>2.3774978742860902</v>
      </c>
      <c r="R21" s="8">
        <v>154.59345121362799</v>
      </c>
      <c r="S21" s="8">
        <v>154.544327363961</v>
      </c>
      <c r="U21" s="9">
        <v>-9.4751341480142496E-4</v>
      </c>
      <c r="V21" s="9">
        <v>-1.26532542927679E-3</v>
      </c>
      <c r="X21" s="10">
        <v>2.3817146375250098</v>
      </c>
      <c r="Y21" s="10">
        <v>2.3816575271846898</v>
      </c>
      <c r="Z21" s="10">
        <v>2.3788758792979401</v>
      </c>
      <c r="AA21" s="10">
        <v>2.3774978742860902</v>
      </c>
      <c r="AB21" s="8">
        <v>154.736289541189</v>
      </c>
      <c r="AC21" s="8">
        <v>154.544327363961</v>
      </c>
      <c r="AE21" s="9">
        <v>-2.3978953709652101E-5</v>
      </c>
      <c r="AF21" s="9">
        <v>-1.26532542927679E-3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65.27</v>
      </c>
      <c r="C22" s="8">
        <v>155.69</v>
      </c>
      <c r="D22" s="9">
        <v>4.60688775468647E-3</v>
      </c>
      <c r="E22" s="9">
        <v>6.1205615802746201E-3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65.27</v>
      </c>
      <c r="M22" s="8">
        <v>155.69</v>
      </c>
      <c r="N22" s="10">
        <v>2.3853225065114101</v>
      </c>
      <c r="O22" s="10">
        <v>2.3794589997480098</v>
      </c>
      <c r="P22" s="10">
        <v>2.3795281849360999</v>
      </c>
      <c r="Q22" s="10">
        <v>2.3777998013252399</v>
      </c>
      <c r="R22" s="8">
        <v>155.30728891355199</v>
      </c>
      <c r="S22" s="8">
        <v>155.26922864177601</v>
      </c>
      <c r="T22" s="8">
        <v>155.17928625465299</v>
      </c>
      <c r="U22" s="9">
        <v>-2.4611872403895998E-3</v>
      </c>
      <c r="V22" s="9">
        <v>-2.7062815718347298E-3</v>
      </c>
      <c r="W22" s="9">
        <v>-3.2857167137296502E-3</v>
      </c>
      <c r="X22" s="10">
        <v>2.3853225065114101</v>
      </c>
      <c r="Y22" s="10">
        <v>2.3816575271846898</v>
      </c>
      <c r="Z22" s="10">
        <v>2.3795281849360999</v>
      </c>
      <c r="AA22" s="10">
        <v>2.3777998013252399</v>
      </c>
      <c r="AB22" s="8">
        <v>155.450786799345</v>
      </c>
      <c r="AC22" s="8">
        <v>155.26922864177601</v>
      </c>
      <c r="AD22" s="8">
        <v>155.17928625465299</v>
      </c>
      <c r="AE22" s="9">
        <v>-1.5376527792978799E-3</v>
      </c>
      <c r="AF22" s="9">
        <v>-2.7062815718347298E-3</v>
      </c>
      <c r="AG22" s="9">
        <v>-3.2857167137296502E-3</v>
      </c>
      <c r="AZ22" s="9"/>
      <c r="BB22">
        <f>IF($AG22&lt;BA$20,1,0)</f>
        <v>1</v>
      </c>
      <c r="BC22">
        <f>IF($AG22&gt;BA$21,1,0)</f>
        <v>0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64.62</v>
      </c>
      <c r="C23" s="8">
        <v>154.1</v>
      </c>
      <c r="D23" s="9">
        <v>-1.00085522507736E-2</v>
      </c>
      <c r="E23" s="9">
        <v>-1.0265108375512999E-2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64.62</v>
      </c>
      <c r="M23" s="8">
        <v>154.1</v>
      </c>
      <c r="N23" s="10">
        <v>2.38471061590838</v>
      </c>
      <c r="O23" s="10">
        <v>2.3794589997480098</v>
      </c>
      <c r="P23" s="10">
        <v>2.3802391486077199</v>
      </c>
      <c r="Q23" s="10">
        <v>2.3781760864904902</v>
      </c>
      <c r="R23" s="8">
        <v>153.76064056371601</v>
      </c>
      <c r="S23" s="8">
        <v>153.76511131057001</v>
      </c>
      <c r="T23" s="8">
        <v>153.65342316163699</v>
      </c>
      <c r="U23" s="9">
        <v>-2.2046311156501699E-3</v>
      </c>
      <c r="V23" s="9">
        <v>-2.1755555222892102E-3</v>
      </c>
      <c r="W23" s="9">
        <v>-2.9021750414353199E-3</v>
      </c>
      <c r="X23" s="10">
        <v>2.38471061590838</v>
      </c>
      <c r="Y23" s="10">
        <v>2.3816575271846898</v>
      </c>
      <c r="Z23" s="10">
        <v>2.3802391486077199</v>
      </c>
      <c r="AA23" s="10">
        <v>2.3781760864904902</v>
      </c>
      <c r="AB23" s="8">
        <v>153.90270940667401</v>
      </c>
      <c r="AC23" s="8">
        <v>153.76511131057001</v>
      </c>
      <c r="AD23" s="8">
        <v>153.65342316163699</v>
      </c>
      <c r="AE23" s="9">
        <v>-1.2810966545586E-3</v>
      </c>
      <c r="AF23" s="9">
        <v>-2.1755555222892102E-3</v>
      </c>
      <c r="AG23" s="9">
        <v>-2.9021750414353199E-3</v>
      </c>
      <c r="AZ23" s="9"/>
      <c r="BB23">
        <f t="shared" ref="BB23:BB86" si="2">IF($AG23&lt;BA$20,1,0)</f>
        <v>1</v>
      </c>
      <c r="BC23">
        <f t="shared" ref="BC23:BC86" si="3">IF($AG23&gt;BA$21,1,0)</f>
        <v>0</v>
      </c>
      <c r="BD23">
        <f t="shared" ref="BD23:BD86" si="4">BF23</f>
        <v>1</v>
      </c>
      <c r="BE23">
        <f t="shared" si="0"/>
        <v>1</v>
      </c>
      <c r="BF23">
        <f t="shared" ref="BF23:BF86" si="5">IF(BB22,1,IF(BC22,0,BD22))*BE22</f>
        <v>1</v>
      </c>
      <c r="BG23" s="9">
        <f t="shared" ref="BG23:BG86" si="6">BF23*D23</f>
        <v>-1.00085522507736E-2</v>
      </c>
      <c r="BH23" s="9">
        <f t="shared" ref="BH23:BH86" si="7">-BF23*$E23</f>
        <v>1.0265108375512999E-2</v>
      </c>
      <c r="BI23" s="9">
        <f t="shared" ref="BI23:BI86" si="8">BG23+BH23</f>
        <v>2.5655612473939916E-4</v>
      </c>
      <c r="BJ23" s="12">
        <f t="shared" ref="BJ23:BJ86" si="9">BJ22+BI23</f>
        <v>2.5655612473939916E-4</v>
      </c>
      <c r="BL23" s="9"/>
      <c r="BN23">
        <f t="shared" ref="BN23:BN86" si="10">IF($AG23&gt;BM$20,1,0)</f>
        <v>0</v>
      </c>
      <c r="BO23">
        <f t="shared" ref="BO23:BO86" si="11">IF($AG23&lt;BM$21,1,0)</f>
        <v>1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2.5655612473939916E-4</v>
      </c>
      <c r="BY23" s="12">
        <f t="shared" ref="BY23:BY86" si="19">BY22+BX23</f>
        <v>2.5655612473939916E-4</v>
      </c>
    </row>
    <row r="24" spans="1:77" x14ac:dyDescent="0.3">
      <c r="A24" s="1">
        <v>46057</v>
      </c>
      <c r="B24" s="8">
        <v>65.510000000000005</v>
      </c>
      <c r="C24" s="8">
        <v>156.03</v>
      </c>
      <c r="D24" s="9">
        <v>1.3678842347432701E-2</v>
      </c>
      <c r="E24" s="9">
        <v>1.24465541270208E-2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65.510000000000005</v>
      </c>
      <c r="M24" s="8">
        <v>156.03</v>
      </c>
      <c r="N24" s="10">
        <v>2.38177377499618</v>
      </c>
      <c r="O24" s="10">
        <v>2.3794589997480098</v>
      </c>
      <c r="P24" s="10">
        <v>2.3805388769265199</v>
      </c>
      <c r="Q24" s="10">
        <v>2.3785429368503901</v>
      </c>
      <c r="R24" s="8">
        <v>155.87835907349199</v>
      </c>
      <c r="S24" s="8">
        <v>155.92946662529101</v>
      </c>
      <c r="T24" s="8">
        <v>155.79431542599201</v>
      </c>
      <c r="U24" s="9">
        <v>-9.7234289523815602E-4</v>
      </c>
      <c r="V24" s="9">
        <v>-6.4452846567435596E-4</v>
      </c>
      <c r="W24" s="9">
        <v>-1.5116500364366901E-3</v>
      </c>
      <c r="X24" s="10">
        <v>2.38177377499618</v>
      </c>
      <c r="Y24" s="10">
        <v>2.3816575271846898</v>
      </c>
      <c r="Z24" s="10">
        <v>2.3805388769265199</v>
      </c>
      <c r="AA24" s="10">
        <v>2.3785429368503901</v>
      </c>
      <c r="AB24" s="8">
        <v>156.02238460586901</v>
      </c>
      <c r="AC24" s="8">
        <v>155.92946662529101</v>
      </c>
      <c r="AD24" s="8">
        <v>155.79431542599201</v>
      </c>
      <c r="AE24" s="9">
        <v>-4.8808434146597501E-5</v>
      </c>
      <c r="AF24" s="9">
        <v>-6.4452846567435596E-4</v>
      </c>
      <c r="AG24" s="9">
        <v>-1.5116500364366901E-3</v>
      </c>
      <c r="AZ24" s="9"/>
      <c r="BB24">
        <f t="shared" si="2"/>
        <v>1</v>
      </c>
      <c r="BC24">
        <f t="shared" si="3"/>
        <v>0</v>
      </c>
      <c r="BD24">
        <f t="shared" si="4"/>
        <v>1</v>
      </c>
      <c r="BE24">
        <f t="shared" si="0"/>
        <v>1</v>
      </c>
      <c r="BF24">
        <f t="shared" si="5"/>
        <v>1</v>
      </c>
      <c r="BG24" s="9">
        <f t="shared" si="6"/>
        <v>1.3678842347432701E-2</v>
      </c>
      <c r="BH24" s="9">
        <f t="shared" si="7"/>
        <v>-1.24465541270208E-2</v>
      </c>
      <c r="BI24" s="9">
        <f t="shared" si="8"/>
        <v>1.2322882204119003E-3</v>
      </c>
      <c r="BJ24" s="12">
        <f t="shared" si="9"/>
        <v>1.4888443451512995E-3</v>
      </c>
      <c r="BL24" s="9"/>
      <c r="BN24">
        <f t="shared" si="10"/>
        <v>0</v>
      </c>
      <c r="BO24">
        <f t="shared" si="11"/>
        <v>1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1.2322882204119003E-3</v>
      </c>
      <c r="BY24" s="12">
        <f t="shared" si="19"/>
        <v>1.4888443451512995E-3</v>
      </c>
    </row>
    <row r="25" spans="1:77" x14ac:dyDescent="0.3">
      <c r="A25" s="1">
        <v>46058</v>
      </c>
      <c r="B25" s="8">
        <v>64.680000000000007</v>
      </c>
      <c r="C25" s="8">
        <v>154.84</v>
      </c>
      <c r="D25" s="9">
        <v>-1.27507680348788E-2</v>
      </c>
      <c r="E25" s="9">
        <v>-7.6559707436434504E-3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64.680000000000007</v>
      </c>
      <c r="M25" s="8">
        <v>154.84</v>
      </c>
      <c r="N25" s="10">
        <v>2.39393939393939</v>
      </c>
      <c r="O25" s="10">
        <v>2.3794589997480098</v>
      </c>
      <c r="P25" s="10">
        <v>2.3822244517011399</v>
      </c>
      <c r="Q25" s="10">
        <v>2.3796746310386698</v>
      </c>
      <c r="R25" s="8">
        <v>153.903408103701</v>
      </c>
      <c r="S25" s="8">
        <v>153.973254559607</v>
      </c>
      <c r="T25" s="8">
        <v>153.844157155483</v>
      </c>
      <c r="U25" s="9">
        <v>-6.0671401864736997E-3</v>
      </c>
      <c r="V25" s="9">
        <v>-5.6134100693537303E-3</v>
      </c>
      <c r="W25" s="9">
        <v>-6.45220220247982E-3</v>
      </c>
      <c r="X25" s="10">
        <v>2.39393939393939</v>
      </c>
      <c r="Y25" s="10">
        <v>2.3816575271846898</v>
      </c>
      <c r="Z25" s="10">
        <v>2.3822244517011399</v>
      </c>
      <c r="AA25" s="10">
        <v>2.3796746310386698</v>
      </c>
      <c r="AB25" s="8">
        <v>154.045608858306</v>
      </c>
      <c r="AC25" s="8">
        <v>153.973254559607</v>
      </c>
      <c r="AD25" s="8">
        <v>153.844157155483</v>
      </c>
      <c r="AE25" s="9">
        <v>-5.1436057253818404E-3</v>
      </c>
      <c r="AF25" s="9">
        <v>-5.6134100693537303E-3</v>
      </c>
      <c r="AG25" s="9">
        <v>-6.45220220247982E-3</v>
      </c>
      <c r="AZ25" s="9"/>
      <c r="BB25">
        <f t="shared" si="2"/>
        <v>1</v>
      </c>
      <c r="BC25">
        <f t="shared" si="3"/>
        <v>0</v>
      </c>
      <c r="BD25">
        <f t="shared" si="4"/>
        <v>1</v>
      </c>
      <c r="BE25">
        <f t="shared" si="0"/>
        <v>1</v>
      </c>
      <c r="BF25">
        <f t="shared" si="5"/>
        <v>1</v>
      </c>
      <c r="BG25" s="9">
        <f t="shared" si="6"/>
        <v>-1.27507680348788E-2</v>
      </c>
      <c r="BH25" s="9">
        <f t="shared" si="7"/>
        <v>7.6559707436434504E-3</v>
      </c>
      <c r="BI25" s="9">
        <f t="shared" si="8"/>
        <v>-5.0947972912353499E-3</v>
      </c>
      <c r="BJ25" s="12">
        <f t="shared" si="9"/>
        <v>-3.6059529460840505E-3</v>
      </c>
      <c r="BL25" s="9"/>
      <c r="BN25">
        <f t="shared" si="10"/>
        <v>0</v>
      </c>
      <c r="BO25">
        <f t="shared" si="11"/>
        <v>1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-5.0947972912353499E-3</v>
      </c>
      <c r="BY25" s="12">
        <f t="shared" si="19"/>
        <v>-3.6059529460840505E-3</v>
      </c>
    </row>
    <row r="26" spans="1:77" x14ac:dyDescent="0.3">
      <c r="A26" s="1">
        <v>46059</v>
      </c>
      <c r="B26" s="8">
        <v>65.86</v>
      </c>
      <c r="C26" s="8">
        <v>157.71</v>
      </c>
      <c r="D26" s="9">
        <v>1.8079242239312E-2</v>
      </c>
      <c r="E26" s="9">
        <v>1.8365577790018999E-2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65.86</v>
      </c>
      <c r="M26" s="8">
        <v>157.71</v>
      </c>
      <c r="N26" s="10">
        <v>2.3946249620406901</v>
      </c>
      <c r="O26" s="10">
        <v>2.3794589997480098</v>
      </c>
      <c r="P26" s="10">
        <v>2.3836938996960599</v>
      </c>
      <c r="Q26" s="10">
        <v>2.3807506187474901</v>
      </c>
      <c r="R26" s="8">
        <v>156.711169723403</v>
      </c>
      <c r="S26" s="8">
        <v>156.89330238903699</v>
      </c>
      <c r="T26" s="8">
        <v>156.72537120020701</v>
      </c>
      <c r="U26" s="9">
        <v>-6.35347573718072E-3</v>
      </c>
      <c r="V26" s="9">
        <v>-5.1919318032922603E-3</v>
      </c>
      <c r="W26" s="9">
        <v>-6.26285786109557E-3</v>
      </c>
      <c r="X26" s="10">
        <v>2.3946249620406901</v>
      </c>
      <c r="Y26" s="10">
        <v>2.3816575271846898</v>
      </c>
      <c r="Z26" s="10">
        <v>2.3836938996960599</v>
      </c>
      <c r="AA26" s="10">
        <v>2.3807506187474901</v>
      </c>
      <c r="AB26" s="8">
        <v>156.855964740384</v>
      </c>
      <c r="AC26" s="8">
        <v>156.89330238903699</v>
      </c>
      <c r="AD26" s="8">
        <v>156.72537120020701</v>
      </c>
      <c r="AE26" s="9">
        <v>-5.4299412760890203E-3</v>
      </c>
      <c r="AF26" s="9">
        <v>-5.1919318032922603E-3</v>
      </c>
      <c r="AG26" s="9">
        <v>-6.26285786109557E-3</v>
      </c>
      <c r="AZ26" s="9"/>
      <c r="BB26">
        <f t="shared" si="2"/>
        <v>1</v>
      </c>
      <c r="BC26">
        <f t="shared" si="3"/>
        <v>0</v>
      </c>
      <c r="BD26">
        <f t="shared" si="4"/>
        <v>1</v>
      </c>
      <c r="BE26">
        <f t="shared" si="0"/>
        <v>1</v>
      </c>
      <c r="BF26">
        <f t="shared" si="5"/>
        <v>1</v>
      </c>
      <c r="BG26" s="9">
        <f t="shared" si="6"/>
        <v>1.8079242239312E-2</v>
      </c>
      <c r="BH26" s="9">
        <f t="shared" si="7"/>
        <v>-1.8365577790018999E-2</v>
      </c>
      <c r="BI26" s="9">
        <f t="shared" si="8"/>
        <v>-2.8633555070699951E-4</v>
      </c>
      <c r="BJ26" s="12">
        <f t="shared" si="9"/>
        <v>-3.89228849679105E-3</v>
      </c>
      <c r="BL26" s="9"/>
      <c r="BN26">
        <f t="shared" si="10"/>
        <v>0</v>
      </c>
      <c r="BO26">
        <f t="shared" si="11"/>
        <v>1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-2.8633555070699951E-4</v>
      </c>
      <c r="BY26" s="12">
        <f t="shared" si="19"/>
        <v>-3.89228849679105E-3</v>
      </c>
    </row>
    <row r="27" spans="1:77" x14ac:dyDescent="0.3">
      <c r="A27" s="1">
        <v>46062</v>
      </c>
      <c r="B27" s="8">
        <v>65.25</v>
      </c>
      <c r="C27" s="8">
        <v>156.32</v>
      </c>
      <c r="D27" s="9">
        <v>-9.3052307454154701E-3</v>
      </c>
      <c r="E27" s="9">
        <v>-8.8527152049938801E-3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65.25</v>
      </c>
      <c r="M27" s="8">
        <v>156.32</v>
      </c>
      <c r="N27" s="10">
        <v>2.3957088122605299</v>
      </c>
      <c r="O27" s="10">
        <v>2.3794589997480098</v>
      </c>
      <c r="P27" s="10">
        <v>2.3850906320820999</v>
      </c>
      <c r="Q27" s="10">
        <v>2.3819368434377202</v>
      </c>
      <c r="R27" s="8">
        <v>155.259699733557</v>
      </c>
      <c r="S27" s="8">
        <v>155.53602695516699</v>
      </c>
      <c r="T27" s="8">
        <v>155.34397787327401</v>
      </c>
      <c r="U27" s="9">
        <v>-6.8059912776021296E-3</v>
      </c>
      <c r="V27" s="9">
        <v>-5.0277989107652601E-3</v>
      </c>
      <c r="W27" s="9">
        <v>-6.2633181036463896E-3</v>
      </c>
      <c r="X27" s="10">
        <v>2.3957088122605299</v>
      </c>
      <c r="Y27" s="10">
        <v>2.3816575271846898</v>
      </c>
      <c r="Z27" s="10">
        <v>2.3850906320820999</v>
      </c>
      <c r="AA27" s="10">
        <v>2.3819368434377202</v>
      </c>
      <c r="AB27" s="8">
        <v>155.40315364880101</v>
      </c>
      <c r="AC27" s="8">
        <v>155.53602695516699</v>
      </c>
      <c r="AD27" s="8">
        <v>155.34397787327401</v>
      </c>
      <c r="AE27" s="9">
        <v>-5.8824568165106398E-3</v>
      </c>
      <c r="AF27" s="9">
        <v>-5.0277989107652601E-3</v>
      </c>
      <c r="AG27" s="9">
        <v>-6.2633181036463896E-3</v>
      </c>
      <c r="AZ27" s="9"/>
      <c r="BB27">
        <f t="shared" si="2"/>
        <v>1</v>
      </c>
      <c r="BC27">
        <f t="shared" si="3"/>
        <v>0</v>
      </c>
      <c r="BD27">
        <f t="shared" si="4"/>
        <v>1</v>
      </c>
      <c r="BE27">
        <f t="shared" si="0"/>
        <v>1</v>
      </c>
      <c r="BF27">
        <f t="shared" si="5"/>
        <v>1</v>
      </c>
      <c r="BG27" s="9">
        <f t="shared" si="6"/>
        <v>-9.3052307454154701E-3</v>
      </c>
      <c r="BH27" s="9">
        <f t="shared" si="7"/>
        <v>8.8527152049938801E-3</v>
      </c>
      <c r="BI27" s="9">
        <f t="shared" si="8"/>
        <v>-4.5251554042158998E-4</v>
      </c>
      <c r="BJ27" s="12">
        <f t="shared" si="9"/>
        <v>-4.3448040372126399E-3</v>
      </c>
      <c r="BL27" s="9"/>
      <c r="BN27">
        <f t="shared" si="10"/>
        <v>0</v>
      </c>
      <c r="BO27">
        <f t="shared" si="11"/>
        <v>1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0</v>
      </c>
      <c r="BX27" s="12">
        <f t="shared" si="18"/>
        <v>-4.5251554042158998E-4</v>
      </c>
      <c r="BY27" s="12">
        <f t="shared" si="19"/>
        <v>-4.3448040372126399E-3</v>
      </c>
    </row>
    <row r="28" spans="1:77" x14ac:dyDescent="0.3">
      <c r="A28" s="1">
        <v>46063</v>
      </c>
      <c r="B28" s="8">
        <v>64.91</v>
      </c>
      <c r="C28" s="8">
        <v>155.33000000000001</v>
      </c>
      <c r="D28" s="9">
        <v>-5.2243511574256597E-3</v>
      </c>
      <c r="E28" s="9">
        <v>-6.3533022946565803E-3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64.91</v>
      </c>
      <c r="M28" s="8">
        <v>155.33000000000001</v>
      </c>
      <c r="N28" s="10">
        <v>2.3930057002002698</v>
      </c>
      <c r="O28" s="10">
        <v>2.3794589997480098</v>
      </c>
      <c r="P28" s="10">
        <v>2.3867727368009901</v>
      </c>
      <c r="Q28" s="10">
        <v>2.3827021004978901</v>
      </c>
      <c r="R28" s="8">
        <v>154.450683673643</v>
      </c>
      <c r="S28" s="8">
        <v>154.81623292844901</v>
      </c>
      <c r="T28" s="8">
        <v>154.611520507542</v>
      </c>
      <c r="U28" s="9">
        <v>-5.6770401403712298E-3</v>
      </c>
      <c r="V28" s="9">
        <v>-3.3130664631506701E-3</v>
      </c>
      <c r="W28" s="9">
        <v>-4.6362344627918798E-3</v>
      </c>
      <c r="X28" s="10">
        <v>2.3930057002002698</v>
      </c>
      <c r="Y28" s="10">
        <v>2.3816575271846898</v>
      </c>
      <c r="Z28" s="10">
        <v>2.3867727368009901</v>
      </c>
      <c r="AA28" s="10">
        <v>2.3827021004978901</v>
      </c>
      <c r="AB28" s="8">
        <v>154.593390089558</v>
      </c>
      <c r="AC28" s="8">
        <v>154.81623292844901</v>
      </c>
      <c r="AD28" s="8">
        <v>154.611520507542</v>
      </c>
      <c r="AE28" s="9">
        <v>-4.7535056792796697E-3</v>
      </c>
      <c r="AF28" s="9">
        <v>-3.3130664631506701E-3</v>
      </c>
      <c r="AG28" s="9">
        <v>-4.6362344627918798E-3</v>
      </c>
      <c r="AZ28" s="9"/>
      <c r="BB28">
        <f t="shared" si="2"/>
        <v>1</v>
      </c>
      <c r="BC28">
        <f t="shared" si="3"/>
        <v>0</v>
      </c>
      <c r="BD28">
        <f t="shared" si="4"/>
        <v>1</v>
      </c>
      <c r="BE28">
        <f t="shared" si="0"/>
        <v>1</v>
      </c>
      <c r="BF28">
        <f t="shared" si="5"/>
        <v>1</v>
      </c>
      <c r="BG28" s="9">
        <f t="shared" si="6"/>
        <v>-5.2243511574256597E-3</v>
      </c>
      <c r="BH28" s="9">
        <f t="shared" si="7"/>
        <v>6.3533022946565803E-3</v>
      </c>
      <c r="BI28" s="9">
        <f t="shared" si="8"/>
        <v>1.1289511372309206E-3</v>
      </c>
      <c r="BJ28" s="12">
        <f t="shared" si="9"/>
        <v>-3.2158528999817193E-3</v>
      </c>
      <c r="BL28" s="9"/>
      <c r="BN28">
        <f t="shared" si="10"/>
        <v>0</v>
      </c>
      <c r="BO28">
        <f t="shared" si="11"/>
        <v>1</v>
      </c>
      <c r="BP28">
        <f t="shared" si="12"/>
        <v>0</v>
      </c>
      <c r="BQ28">
        <f t="shared" si="1"/>
        <v>1</v>
      </c>
      <c r="BR28">
        <f t="shared" si="13"/>
        <v>0</v>
      </c>
      <c r="BS28" s="9">
        <f t="shared" si="14"/>
        <v>0</v>
      </c>
      <c r="BT28" s="9">
        <f t="shared" si="15"/>
        <v>0</v>
      </c>
      <c r="BU28" s="9">
        <f t="shared" si="16"/>
        <v>0</v>
      </c>
      <c r="BV28" s="12">
        <f t="shared" si="17"/>
        <v>0</v>
      </c>
      <c r="BX28" s="12">
        <f t="shared" si="18"/>
        <v>1.1289511372309206E-3</v>
      </c>
      <c r="BY28" s="12">
        <f t="shared" si="19"/>
        <v>-3.2158528999817193E-3</v>
      </c>
    </row>
    <row r="29" spans="1:77" x14ac:dyDescent="0.3">
      <c r="A29" s="1">
        <v>46064</v>
      </c>
      <c r="B29" s="8">
        <v>65.23</v>
      </c>
      <c r="C29" s="8">
        <v>156.25</v>
      </c>
      <c r="D29" s="9">
        <v>4.9177907626276303E-3</v>
      </c>
      <c r="E29" s="9">
        <v>5.9054026166949101E-3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65.23</v>
      </c>
      <c r="M29" s="8">
        <v>156.25</v>
      </c>
      <c r="N29" s="10">
        <v>2.3953702284224998</v>
      </c>
      <c r="O29" s="10">
        <v>2.3794589997480098</v>
      </c>
      <c r="P29" s="10">
        <v>2.3884340081402402</v>
      </c>
      <c r="Q29" s="10">
        <v>2.3836021150283702</v>
      </c>
      <c r="R29" s="8">
        <v>155.21211055356201</v>
      </c>
      <c r="S29" s="8">
        <v>155.68918562152899</v>
      </c>
      <c r="T29" s="8">
        <v>155.423658015477</v>
      </c>
      <c r="U29" s="9">
        <v>-6.6646519944386397E-3</v>
      </c>
      <c r="V29" s="9">
        <v>-3.5956686978991198E-3</v>
      </c>
      <c r="W29" s="9">
        <v>-5.3026227883790199E-3</v>
      </c>
      <c r="X29" s="10">
        <v>2.3953702284224998</v>
      </c>
      <c r="Y29" s="10">
        <v>2.3816575271846898</v>
      </c>
      <c r="Z29" s="10">
        <v>2.3884340081402402</v>
      </c>
      <c r="AA29" s="10">
        <v>2.3836021150283702</v>
      </c>
      <c r="AB29" s="8">
        <v>155.35552049825699</v>
      </c>
      <c r="AC29" s="8">
        <v>155.68918562152899</v>
      </c>
      <c r="AD29" s="8">
        <v>155.423658015477</v>
      </c>
      <c r="AE29" s="9">
        <v>-5.7411175333469799E-3</v>
      </c>
      <c r="AF29" s="9">
        <v>-3.5956686978991198E-3</v>
      </c>
      <c r="AG29" s="9">
        <v>-5.3026227883790199E-3</v>
      </c>
      <c r="AZ29" s="9"/>
      <c r="BB29">
        <f t="shared" si="2"/>
        <v>1</v>
      </c>
      <c r="BC29">
        <f t="shared" si="3"/>
        <v>0</v>
      </c>
      <c r="BD29">
        <f t="shared" si="4"/>
        <v>1</v>
      </c>
      <c r="BE29">
        <f t="shared" si="0"/>
        <v>1</v>
      </c>
      <c r="BF29">
        <f t="shared" si="5"/>
        <v>1</v>
      </c>
      <c r="BG29" s="9">
        <f t="shared" si="6"/>
        <v>4.9177907626276303E-3</v>
      </c>
      <c r="BH29" s="9">
        <f t="shared" si="7"/>
        <v>-5.9054026166949101E-3</v>
      </c>
      <c r="BI29" s="9">
        <f t="shared" si="8"/>
        <v>-9.8761185406727979E-4</v>
      </c>
      <c r="BJ29" s="12">
        <f t="shared" si="9"/>
        <v>-4.2034647540489991E-3</v>
      </c>
      <c r="BL29" s="9"/>
      <c r="BN29">
        <f t="shared" si="10"/>
        <v>0</v>
      </c>
      <c r="BO29">
        <f t="shared" si="11"/>
        <v>1</v>
      </c>
      <c r="BP29">
        <f t="shared" si="12"/>
        <v>0</v>
      </c>
      <c r="BQ29">
        <f t="shared" si="1"/>
        <v>1</v>
      </c>
      <c r="BR29">
        <f t="shared" si="13"/>
        <v>0</v>
      </c>
      <c r="BS29" s="9">
        <f t="shared" si="14"/>
        <v>0</v>
      </c>
      <c r="BT29" s="9">
        <f t="shared" si="15"/>
        <v>0</v>
      </c>
      <c r="BU29" s="9">
        <f t="shared" si="16"/>
        <v>0</v>
      </c>
      <c r="BV29" s="12">
        <f t="shared" si="17"/>
        <v>0</v>
      </c>
      <c r="BX29" s="12">
        <f t="shared" si="18"/>
        <v>-9.8761185406727979E-4</v>
      </c>
      <c r="BY29" s="12">
        <f t="shared" si="19"/>
        <v>-4.2034647540489991E-3</v>
      </c>
    </row>
    <row r="30" spans="1:77" x14ac:dyDescent="0.3">
      <c r="A30" s="1">
        <v>46065</v>
      </c>
      <c r="B30" s="8">
        <v>65.09</v>
      </c>
      <c r="C30" s="8">
        <v>156</v>
      </c>
      <c r="D30" s="9">
        <v>-2.1485582237086502E-3</v>
      </c>
      <c r="E30" s="9">
        <v>-1.6012813669738701E-3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65.09</v>
      </c>
      <c r="M30" s="8">
        <v>156</v>
      </c>
      <c r="N30" s="10">
        <v>2.3966815178982901</v>
      </c>
      <c r="O30" s="10">
        <v>2.3794589997480098</v>
      </c>
      <c r="P30" s="10">
        <v>2.3902852149702598</v>
      </c>
      <c r="Q30" s="10">
        <v>2.38449405710774</v>
      </c>
      <c r="R30" s="8">
        <v>154.87898629359799</v>
      </c>
      <c r="S30" s="8">
        <v>155.46316958984801</v>
      </c>
      <c r="T30" s="8">
        <v>155.14866166719699</v>
      </c>
      <c r="U30" s="9">
        <v>-7.2119288511734801E-3</v>
      </c>
      <c r="V30" s="9">
        <v>-3.4471551962264898E-3</v>
      </c>
      <c r="W30" s="9">
        <v>-5.4722424497344099E-3</v>
      </c>
      <c r="X30" s="10">
        <v>2.3966815178982901</v>
      </c>
      <c r="Y30" s="10">
        <v>2.3816575271846898</v>
      </c>
      <c r="Z30" s="10">
        <v>2.3902852149702598</v>
      </c>
      <c r="AA30" s="10">
        <v>2.38449405710774</v>
      </c>
      <c r="AB30" s="8">
        <v>155.02208844445099</v>
      </c>
      <c r="AC30" s="8">
        <v>155.46316958984801</v>
      </c>
      <c r="AD30" s="8">
        <v>155.14866166719699</v>
      </c>
      <c r="AE30" s="9">
        <v>-6.2883943900818896E-3</v>
      </c>
      <c r="AF30" s="9">
        <v>-3.4471551962264898E-3</v>
      </c>
      <c r="AG30" s="9">
        <v>-5.4722424497344099E-3</v>
      </c>
      <c r="AZ30" s="9"/>
      <c r="BB30">
        <f t="shared" si="2"/>
        <v>1</v>
      </c>
      <c r="BC30">
        <f t="shared" si="3"/>
        <v>0</v>
      </c>
      <c r="BD30">
        <f t="shared" si="4"/>
        <v>1</v>
      </c>
      <c r="BE30">
        <f t="shared" si="0"/>
        <v>1</v>
      </c>
      <c r="BF30">
        <f t="shared" si="5"/>
        <v>1</v>
      </c>
      <c r="BG30" s="9">
        <f t="shared" si="6"/>
        <v>-2.1485582237086502E-3</v>
      </c>
      <c r="BH30" s="9">
        <f t="shared" si="7"/>
        <v>1.6012813669738701E-3</v>
      </c>
      <c r="BI30" s="9">
        <f t="shared" si="8"/>
        <v>-5.4727685673478009E-4</v>
      </c>
      <c r="BJ30" s="12">
        <f t="shared" si="9"/>
        <v>-4.7507416107837788E-3</v>
      </c>
      <c r="BL30" s="9"/>
      <c r="BN30">
        <f t="shared" si="10"/>
        <v>0</v>
      </c>
      <c r="BO30">
        <f t="shared" si="11"/>
        <v>1</v>
      </c>
      <c r="BP30">
        <f t="shared" si="12"/>
        <v>0</v>
      </c>
      <c r="BQ30">
        <f t="shared" si="1"/>
        <v>1</v>
      </c>
      <c r="BR30">
        <f t="shared" si="13"/>
        <v>0</v>
      </c>
      <c r="BS30" s="9">
        <f t="shared" si="14"/>
        <v>0</v>
      </c>
      <c r="BT30" s="9">
        <f t="shared" si="15"/>
        <v>0</v>
      </c>
      <c r="BU30" s="9">
        <f t="shared" si="16"/>
        <v>0</v>
      </c>
      <c r="BV30" s="12">
        <f t="shared" si="17"/>
        <v>0</v>
      </c>
      <c r="BX30" s="12">
        <f t="shared" si="18"/>
        <v>-5.4727685673478009E-4</v>
      </c>
      <c r="BY30" s="12">
        <f t="shared" si="19"/>
        <v>-4.7507416107837788E-3</v>
      </c>
    </row>
    <row r="31" spans="1:77" x14ac:dyDescent="0.3">
      <c r="A31" s="1">
        <v>46066</v>
      </c>
      <c r="B31" s="8">
        <v>65.75</v>
      </c>
      <c r="C31" s="8">
        <v>157.66999999999999</v>
      </c>
      <c r="D31" s="9">
        <v>1.00887434735779E-2</v>
      </c>
      <c r="E31" s="9">
        <v>1.06482339998531E-2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65.75</v>
      </c>
      <c r="M31" s="8">
        <v>157.66999999999999</v>
      </c>
      <c r="N31" s="10">
        <v>2.3980228136882098</v>
      </c>
      <c r="O31" s="10">
        <v>2.3794589997480098</v>
      </c>
      <c r="P31" s="10">
        <v>2.3919160325865798</v>
      </c>
      <c r="Q31" s="10">
        <v>2.3853959559422599</v>
      </c>
      <c r="R31" s="8">
        <v>156.449429233431</v>
      </c>
      <c r="S31" s="8">
        <v>157.16125288429501</v>
      </c>
      <c r="T31" s="8">
        <v>156.78048425483399</v>
      </c>
      <c r="U31" s="9">
        <v>-7.7714193774489401E-3</v>
      </c>
      <c r="V31" s="9">
        <v>-3.2318745605232099E-3</v>
      </c>
      <c r="W31" s="9">
        <v>-5.6576037396997899E-3</v>
      </c>
      <c r="X31" s="10">
        <v>2.3980228136882098</v>
      </c>
      <c r="Y31" s="10">
        <v>2.3816575271846898</v>
      </c>
      <c r="Z31" s="10">
        <v>2.3919160325865798</v>
      </c>
      <c r="AA31" s="10">
        <v>2.3853959559422599</v>
      </c>
      <c r="AB31" s="8">
        <v>156.59398241239299</v>
      </c>
      <c r="AC31" s="8">
        <v>157.16125288429501</v>
      </c>
      <c r="AD31" s="8">
        <v>156.78048425483399</v>
      </c>
      <c r="AE31" s="9">
        <v>-6.84788491635721E-3</v>
      </c>
      <c r="AF31" s="9">
        <v>-3.2318745605232099E-3</v>
      </c>
      <c r="AG31" s="9">
        <v>-5.6576037396997899E-3</v>
      </c>
      <c r="AZ31" s="9"/>
      <c r="BB31">
        <f t="shared" si="2"/>
        <v>1</v>
      </c>
      <c r="BC31">
        <f t="shared" si="3"/>
        <v>0</v>
      </c>
      <c r="BD31">
        <f t="shared" si="4"/>
        <v>1</v>
      </c>
      <c r="BE31">
        <f t="shared" si="0"/>
        <v>1</v>
      </c>
      <c r="BF31">
        <f t="shared" si="5"/>
        <v>1</v>
      </c>
      <c r="BG31" s="9">
        <f t="shared" si="6"/>
        <v>1.00887434735779E-2</v>
      </c>
      <c r="BH31" s="9">
        <f t="shared" si="7"/>
        <v>-1.06482339998531E-2</v>
      </c>
      <c r="BI31" s="9">
        <f t="shared" si="8"/>
        <v>-5.594905262751998E-4</v>
      </c>
      <c r="BJ31" s="12">
        <f t="shared" si="9"/>
        <v>-5.3102321370589785E-3</v>
      </c>
      <c r="BL31" s="9"/>
      <c r="BN31">
        <f t="shared" si="10"/>
        <v>0</v>
      </c>
      <c r="BO31">
        <f t="shared" si="11"/>
        <v>1</v>
      </c>
      <c r="BP31">
        <f t="shared" si="12"/>
        <v>0</v>
      </c>
      <c r="BQ31">
        <f t="shared" si="1"/>
        <v>1</v>
      </c>
      <c r="BR31">
        <f t="shared" si="13"/>
        <v>0</v>
      </c>
      <c r="BS31" s="9">
        <f t="shared" si="14"/>
        <v>0</v>
      </c>
      <c r="BT31" s="9">
        <f t="shared" si="15"/>
        <v>0</v>
      </c>
      <c r="BU31" s="9">
        <f t="shared" si="16"/>
        <v>0</v>
      </c>
      <c r="BV31" s="12">
        <f t="shared" si="17"/>
        <v>0</v>
      </c>
      <c r="BX31" s="12">
        <f t="shared" si="18"/>
        <v>-5.594905262751998E-4</v>
      </c>
      <c r="BY31" s="12">
        <f t="shared" si="19"/>
        <v>-5.3102321370589785E-3</v>
      </c>
    </row>
    <row r="32" spans="1:77" x14ac:dyDescent="0.3">
      <c r="A32" s="1">
        <v>46070</v>
      </c>
      <c r="B32" s="8">
        <v>65.709999999999994</v>
      </c>
      <c r="C32" s="8">
        <v>157.37</v>
      </c>
      <c r="D32" s="9">
        <v>-6.0855014809754E-4</v>
      </c>
      <c r="E32" s="9">
        <v>-1.9045206366172199E-3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65.709999999999994</v>
      </c>
      <c r="M32" s="8">
        <v>157.37</v>
      </c>
      <c r="N32" s="10">
        <v>2.3949170598082401</v>
      </c>
      <c r="O32" s="10">
        <v>2.3794589997480098</v>
      </c>
      <c r="P32" s="10">
        <v>2.3928754879162701</v>
      </c>
      <c r="Q32" s="10">
        <v>2.3862018364261801</v>
      </c>
      <c r="R32" s="8">
        <v>156.354250873441</v>
      </c>
      <c r="S32" s="8">
        <v>157.17280250126399</v>
      </c>
      <c r="T32" s="8">
        <v>156.744368264966</v>
      </c>
      <c r="U32" s="9">
        <v>-6.4754488889290701E-3</v>
      </c>
      <c r="V32" s="9">
        <v>-1.2538676644513001E-3</v>
      </c>
      <c r="W32" s="9">
        <v>-3.9834698793601098E-3</v>
      </c>
      <c r="X32" s="10">
        <v>2.3949170598082401</v>
      </c>
      <c r="Y32" s="10">
        <v>2.3816575271846898</v>
      </c>
      <c r="Z32" s="10">
        <v>2.3928754879162701</v>
      </c>
      <c r="AA32" s="10">
        <v>2.3862018364261801</v>
      </c>
      <c r="AB32" s="8">
        <v>156.49871611130601</v>
      </c>
      <c r="AC32" s="8">
        <v>157.17280250126399</v>
      </c>
      <c r="AD32" s="8">
        <v>156.744368264966</v>
      </c>
      <c r="AE32" s="9">
        <v>-5.5519144278374597E-3</v>
      </c>
      <c r="AF32" s="9">
        <v>-1.2538676644513001E-3</v>
      </c>
      <c r="AG32" s="9">
        <v>-3.9834698793601098E-3</v>
      </c>
      <c r="AZ32" s="9"/>
      <c r="BB32">
        <f t="shared" si="2"/>
        <v>1</v>
      </c>
      <c r="BC32">
        <f t="shared" si="3"/>
        <v>0</v>
      </c>
      <c r="BD32">
        <f t="shared" si="4"/>
        <v>1</v>
      </c>
      <c r="BE32">
        <f t="shared" si="0"/>
        <v>1</v>
      </c>
      <c r="BF32">
        <f t="shared" si="5"/>
        <v>1</v>
      </c>
      <c r="BG32" s="9">
        <f t="shared" si="6"/>
        <v>-6.0855014809754E-4</v>
      </c>
      <c r="BH32" s="9">
        <f t="shared" si="7"/>
        <v>1.9045206366172199E-3</v>
      </c>
      <c r="BI32" s="9">
        <f t="shared" si="8"/>
        <v>1.29597048851968E-3</v>
      </c>
      <c r="BJ32" s="12">
        <f t="shared" si="9"/>
        <v>-4.0142616485392985E-3</v>
      </c>
      <c r="BL32" s="9"/>
      <c r="BN32">
        <f t="shared" si="10"/>
        <v>0</v>
      </c>
      <c r="BO32">
        <f t="shared" si="11"/>
        <v>1</v>
      </c>
      <c r="BP32">
        <f t="shared" si="12"/>
        <v>0</v>
      </c>
      <c r="BQ32">
        <f t="shared" si="1"/>
        <v>1</v>
      </c>
      <c r="BR32">
        <f t="shared" si="13"/>
        <v>0</v>
      </c>
      <c r="BS32" s="9">
        <f t="shared" si="14"/>
        <v>0</v>
      </c>
      <c r="BT32" s="9">
        <f t="shared" si="15"/>
        <v>0</v>
      </c>
      <c r="BU32" s="9">
        <f t="shared" si="16"/>
        <v>0</v>
      </c>
      <c r="BV32" s="12">
        <f t="shared" si="17"/>
        <v>0</v>
      </c>
      <c r="BX32" s="12">
        <f t="shared" si="18"/>
        <v>1.29597048851968E-3</v>
      </c>
      <c r="BY32" s="12">
        <f t="shared" si="19"/>
        <v>-4.0142616485392985E-3</v>
      </c>
    </row>
    <row r="33" spans="1:77" x14ac:dyDescent="0.3">
      <c r="A33" s="1">
        <v>46071</v>
      </c>
      <c r="B33" s="8">
        <v>65.84</v>
      </c>
      <c r="C33" s="8">
        <v>157.66999999999999</v>
      </c>
      <c r="D33" s="9">
        <v>1.97643545903793E-3</v>
      </c>
      <c r="E33" s="9">
        <v>1.90452063661726E-3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65.84</v>
      </c>
      <c r="M33" s="8">
        <v>157.66999999999999</v>
      </c>
      <c r="N33" s="10">
        <v>2.39474483596597</v>
      </c>
      <c r="O33" s="10">
        <v>2.3794589997480098</v>
      </c>
      <c r="P33" s="10">
        <v>2.3938789099220301</v>
      </c>
      <c r="Q33" s="10">
        <v>2.3870590292648699</v>
      </c>
      <c r="R33" s="8">
        <v>156.66358054340901</v>
      </c>
      <c r="S33" s="8">
        <v>157.54692212440699</v>
      </c>
      <c r="T33" s="8">
        <v>157.1075289103</v>
      </c>
      <c r="U33" s="9">
        <v>-6.4035340665083004E-3</v>
      </c>
      <c r="V33" s="9">
        <v>-7.80909102326532E-4</v>
      </c>
      <c r="W33" s="9">
        <v>-3.5737728185150702E-3</v>
      </c>
      <c r="X33" s="10">
        <v>2.39474483596597</v>
      </c>
      <c r="Y33" s="10">
        <v>2.3816575271846898</v>
      </c>
      <c r="Z33" s="10">
        <v>2.3938789099220301</v>
      </c>
      <c r="AA33" s="10">
        <v>2.3870590292648699</v>
      </c>
      <c r="AB33" s="8">
        <v>156.80833158984001</v>
      </c>
      <c r="AC33" s="8">
        <v>157.54692212440699</v>
      </c>
      <c r="AD33" s="8">
        <v>157.1075289103</v>
      </c>
      <c r="AE33" s="9">
        <v>-5.4799996054166102E-3</v>
      </c>
      <c r="AF33" s="9">
        <v>-7.80909102326532E-4</v>
      </c>
      <c r="AG33" s="9">
        <v>-3.5737728185150702E-3</v>
      </c>
      <c r="AZ33" s="9"/>
      <c r="BB33">
        <f t="shared" si="2"/>
        <v>1</v>
      </c>
      <c r="BC33">
        <f t="shared" si="3"/>
        <v>0</v>
      </c>
      <c r="BD33">
        <f t="shared" si="4"/>
        <v>1</v>
      </c>
      <c r="BE33">
        <f t="shared" si="0"/>
        <v>1</v>
      </c>
      <c r="BF33">
        <f t="shared" si="5"/>
        <v>1</v>
      </c>
      <c r="BG33" s="9">
        <f t="shared" si="6"/>
        <v>1.97643545903793E-3</v>
      </c>
      <c r="BH33" s="9">
        <f t="shared" si="7"/>
        <v>-1.90452063661726E-3</v>
      </c>
      <c r="BI33" s="9">
        <f t="shared" si="8"/>
        <v>7.191482242066994E-5</v>
      </c>
      <c r="BJ33" s="12">
        <f t="shared" si="9"/>
        <v>-3.9423468261186286E-3</v>
      </c>
      <c r="BL33" s="9"/>
      <c r="BN33">
        <f t="shared" si="10"/>
        <v>0</v>
      </c>
      <c r="BO33">
        <f t="shared" si="11"/>
        <v>1</v>
      </c>
      <c r="BP33">
        <f t="shared" si="12"/>
        <v>0</v>
      </c>
      <c r="BQ33">
        <f t="shared" si="1"/>
        <v>1</v>
      </c>
      <c r="BR33">
        <f t="shared" si="13"/>
        <v>0</v>
      </c>
      <c r="BS33" s="9">
        <f t="shared" si="14"/>
        <v>0</v>
      </c>
      <c r="BT33" s="9">
        <f t="shared" si="15"/>
        <v>0</v>
      </c>
      <c r="BU33" s="9">
        <f t="shared" si="16"/>
        <v>0</v>
      </c>
      <c r="BV33" s="12">
        <f t="shared" si="17"/>
        <v>0</v>
      </c>
      <c r="BX33" s="12">
        <f t="shared" si="18"/>
        <v>7.191482242066994E-5</v>
      </c>
      <c r="BY33" s="12">
        <f t="shared" si="19"/>
        <v>-3.9423468261186286E-3</v>
      </c>
    </row>
    <row r="34" spans="1:77" x14ac:dyDescent="0.3">
      <c r="A34" s="1">
        <v>46072</v>
      </c>
      <c r="B34" s="8">
        <v>65.73</v>
      </c>
      <c r="C34" s="8">
        <v>157.26</v>
      </c>
      <c r="D34" s="9">
        <v>-1.6721140933294799E-3</v>
      </c>
      <c r="E34" s="9">
        <v>-2.6037546860203701E-3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65.73</v>
      </c>
      <c r="M34" s="8">
        <v>157.26</v>
      </c>
      <c r="N34" s="10">
        <v>2.3925148334094</v>
      </c>
      <c r="O34" s="10">
        <v>2.3794589997480098</v>
      </c>
      <c r="P34" s="10">
        <v>2.3949530157633498</v>
      </c>
      <c r="Q34" s="10">
        <v>2.3877459463449302</v>
      </c>
      <c r="R34" s="8">
        <v>156.40184005343599</v>
      </c>
      <c r="S34" s="8">
        <v>157.349660749175</v>
      </c>
      <c r="T34" s="8">
        <v>156.90138999358001</v>
      </c>
      <c r="U34" s="9">
        <v>-5.47189347381743E-3</v>
      </c>
      <c r="V34" s="9">
        <v>5.6998091787204203E-4</v>
      </c>
      <c r="W34" s="9">
        <v>-2.2829677585868499E-3</v>
      </c>
      <c r="X34" s="10">
        <v>2.3925148334094</v>
      </c>
      <c r="Y34" s="10">
        <v>2.3816575271846898</v>
      </c>
      <c r="Z34" s="10">
        <v>2.3949530157633498</v>
      </c>
      <c r="AA34" s="10">
        <v>2.3877459463449302</v>
      </c>
      <c r="AB34" s="8">
        <v>156.54634926185</v>
      </c>
      <c r="AC34" s="8">
        <v>157.349660749175</v>
      </c>
      <c r="AD34" s="8">
        <v>156.90138999358001</v>
      </c>
      <c r="AE34" s="9">
        <v>-4.5483590127257997E-3</v>
      </c>
      <c r="AF34" s="9">
        <v>5.6998091787204203E-4</v>
      </c>
      <c r="AG34" s="9">
        <v>-2.2829677585868499E-3</v>
      </c>
      <c r="AZ34" s="9"/>
      <c r="BB34">
        <f t="shared" si="2"/>
        <v>1</v>
      </c>
      <c r="BC34">
        <f t="shared" si="3"/>
        <v>0</v>
      </c>
      <c r="BD34">
        <f t="shared" si="4"/>
        <v>1</v>
      </c>
      <c r="BE34">
        <f t="shared" si="0"/>
        <v>1</v>
      </c>
      <c r="BF34">
        <f t="shared" si="5"/>
        <v>1</v>
      </c>
      <c r="BG34" s="9">
        <f t="shared" si="6"/>
        <v>-1.6721140933294799E-3</v>
      </c>
      <c r="BH34" s="9">
        <f t="shared" si="7"/>
        <v>2.6037546860203701E-3</v>
      </c>
      <c r="BI34" s="9">
        <f t="shared" si="8"/>
        <v>9.3164059269089015E-4</v>
      </c>
      <c r="BJ34" s="12">
        <f t="shared" si="9"/>
        <v>-3.0107062334277382E-3</v>
      </c>
      <c r="BL34" s="9"/>
      <c r="BN34">
        <f t="shared" si="10"/>
        <v>0</v>
      </c>
      <c r="BO34">
        <f t="shared" si="11"/>
        <v>1</v>
      </c>
      <c r="BP34">
        <f t="shared" si="12"/>
        <v>0</v>
      </c>
      <c r="BQ34">
        <f t="shared" si="1"/>
        <v>1</v>
      </c>
      <c r="BR34">
        <f t="shared" si="13"/>
        <v>0</v>
      </c>
      <c r="BS34" s="9">
        <f t="shared" si="14"/>
        <v>0</v>
      </c>
      <c r="BT34" s="9">
        <f t="shared" si="15"/>
        <v>0</v>
      </c>
      <c r="BU34" s="9">
        <f t="shared" si="16"/>
        <v>0</v>
      </c>
      <c r="BV34" s="12">
        <f t="shared" si="17"/>
        <v>0</v>
      </c>
      <c r="BX34" s="12">
        <f t="shared" si="18"/>
        <v>9.3164059269089015E-4</v>
      </c>
      <c r="BY34" s="12">
        <f t="shared" si="19"/>
        <v>-3.0107062334277382E-3</v>
      </c>
    </row>
    <row r="35" spans="1:77" x14ac:dyDescent="0.3">
      <c r="A35" s="1">
        <v>46073</v>
      </c>
      <c r="B35" s="8">
        <v>65.58</v>
      </c>
      <c r="C35" s="8">
        <v>156.82</v>
      </c>
      <c r="D35" s="9">
        <v>-2.2846708589827599E-3</v>
      </c>
      <c r="E35" s="9">
        <v>-2.8018357605941002E-3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65.58</v>
      </c>
      <c r="M35" s="8">
        <v>156.82</v>
      </c>
      <c r="N35" s="10">
        <v>2.3912778286062801</v>
      </c>
      <c r="O35" s="10">
        <v>2.3794589997480098</v>
      </c>
      <c r="P35" s="10">
        <v>2.3946868592300401</v>
      </c>
      <c r="Q35" s="10">
        <v>2.3884556554655898</v>
      </c>
      <c r="R35" s="8">
        <v>156.04492120347399</v>
      </c>
      <c r="S35" s="8">
        <v>157.06101877376</v>
      </c>
      <c r="T35" s="8">
        <v>156.58837916130099</v>
      </c>
      <c r="U35" s="9">
        <v>-4.95472857220611E-3</v>
      </c>
      <c r="V35" s="9">
        <v>1.53573364883386E-3</v>
      </c>
      <c r="W35" s="9">
        <v>-1.4780771432311201E-3</v>
      </c>
      <c r="X35" s="10">
        <v>2.3912778286062801</v>
      </c>
      <c r="Y35" s="10">
        <v>2.3816575271846898</v>
      </c>
      <c r="Z35" s="10">
        <v>2.3946868592300401</v>
      </c>
      <c r="AA35" s="10">
        <v>2.3884556554655898</v>
      </c>
      <c r="AB35" s="8">
        <v>156.18910063277201</v>
      </c>
      <c r="AC35" s="8">
        <v>157.06101877376</v>
      </c>
      <c r="AD35" s="8">
        <v>156.58837916130099</v>
      </c>
      <c r="AE35" s="9">
        <v>-4.0311941111145604E-3</v>
      </c>
      <c r="AF35" s="9">
        <v>1.53573364883386E-3</v>
      </c>
      <c r="AG35" s="9">
        <v>-1.4780771432311201E-3</v>
      </c>
      <c r="AZ35" s="9"/>
      <c r="BB35">
        <f t="shared" si="2"/>
        <v>1</v>
      </c>
      <c r="BC35">
        <f t="shared" si="3"/>
        <v>0</v>
      </c>
      <c r="BD35">
        <f t="shared" si="4"/>
        <v>1</v>
      </c>
      <c r="BE35">
        <f t="shared" si="0"/>
        <v>1</v>
      </c>
      <c r="BF35">
        <f t="shared" si="5"/>
        <v>1</v>
      </c>
      <c r="BG35" s="9">
        <f t="shared" si="6"/>
        <v>-2.2846708589827599E-3</v>
      </c>
      <c r="BH35" s="9">
        <f t="shared" si="7"/>
        <v>2.8018357605941002E-3</v>
      </c>
      <c r="BI35" s="9">
        <f t="shared" si="8"/>
        <v>5.1716490161134035E-4</v>
      </c>
      <c r="BJ35" s="12">
        <f t="shared" si="9"/>
        <v>-2.4935413318163979E-3</v>
      </c>
      <c r="BL35" s="9"/>
      <c r="BN35">
        <f t="shared" si="10"/>
        <v>0</v>
      </c>
      <c r="BO35">
        <f t="shared" si="11"/>
        <v>1</v>
      </c>
      <c r="BP35">
        <f t="shared" si="12"/>
        <v>0</v>
      </c>
      <c r="BQ35">
        <f t="shared" si="1"/>
        <v>1</v>
      </c>
      <c r="BR35">
        <f t="shared" si="13"/>
        <v>0</v>
      </c>
      <c r="BS35" s="9">
        <f t="shared" si="14"/>
        <v>0</v>
      </c>
      <c r="BT35" s="9">
        <f t="shared" si="15"/>
        <v>0</v>
      </c>
      <c r="BU35" s="9">
        <f t="shared" si="16"/>
        <v>0</v>
      </c>
      <c r="BV35" s="12">
        <f t="shared" si="17"/>
        <v>0</v>
      </c>
      <c r="BX35" s="12">
        <f t="shared" si="18"/>
        <v>5.1716490161134035E-4</v>
      </c>
      <c r="BY35" s="12">
        <f t="shared" si="19"/>
        <v>-2.4935413318163979E-3</v>
      </c>
    </row>
    <row r="36" spans="1:77" x14ac:dyDescent="0.3">
      <c r="A36" s="1">
        <v>46076</v>
      </c>
      <c r="B36" s="8">
        <v>66.2</v>
      </c>
      <c r="C36" s="8">
        <v>158.54</v>
      </c>
      <c r="D36" s="9">
        <v>9.4096915264604199E-3</v>
      </c>
      <c r="E36" s="9">
        <v>1.0908276606233801E-2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66.2</v>
      </c>
      <c r="M36" s="8">
        <v>158.54</v>
      </c>
      <c r="N36" s="10">
        <v>2.3948640483383601</v>
      </c>
      <c r="O36" s="10">
        <v>2.3794589997480098</v>
      </c>
      <c r="P36" s="10">
        <v>2.3947107678598099</v>
      </c>
      <c r="Q36" s="10">
        <v>2.3892023337779298</v>
      </c>
      <c r="R36" s="8">
        <v>157.520185783318</v>
      </c>
      <c r="S36" s="8">
        <v>158.52827008102801</v>
      </c>
      <c r="T36" s="8">
        <v>158.11576439182201</v>
      </c>
      <c r="U36" s="9">
        <v>-6.4533136519796704E-3</v>
      </c>
      <c r="V36" s="9">
        <v>-7.3989863277724004E-5</v>
      </c>
      <c r="W36" s="9">
        <v>-2.6794766412181598E-3</v>
      </c>
      <c r="X36" s="10">
        <v>2.3948640483383601</v>
      </c>
      <c r="Y36" s="10">
        <v>2.3816575271846898</v>
      </c>
      <c r="Z36" s="10">
        <v>2.3947107678598099</v>
      </c>
      <c r="AA36" s="10">
        <v>2.3892023337779298</v>
      </c>
      <c r="AB36" s="8">
        <v>157.66572829962601</v>
      </c>
      <c r="AC36" s="8">
        <v>158.52827008102801</v>
      </c>
      <c r="AD36" s="8">
        <v>158.11576439182201</v>
      </c>
      <c r="AE36" s="9">
        <v>-5.5297791908878796E-3</v>
      </c>
      <c r="AF36" s="9">
        <v>-7.3989863277724004E-5</v>
      </c>
      <c r="AG36" s="9">
        <v>-2.6794766412181598E-3</v>
      </c>
      <c r="AZ36" s="9"/>
      <c r="BB36">
        <f t="shared" si="2"/>
        <v>1</v>
      </c>
      <c r="BC36">
        <f t="shared" si="3"/>
        <v>0</v>
      </c>
      <c r="BD36">
        <f t="shared" si="4"/>
        <v>1</v>
      </c>
      <c r="BE36">
        <f t="shared" si="0"/>
        <v>1</v>
      </c>
      <c r="BF36">
        <f t="shared" si="5"/>
        <v>1</v>
      </c>
      <c r="BG36" s="9">
        <f t="shared" si="6"/>
        <v>9.4096915264604199E-3</v>
      </c>
      <c r="BH36" s="9">
        <f t="shared" si="7"/>
        <v>-1.0908276606233801E-2</v>
      </c>
      <c r="BI36" s="9">
        <f t="shared" si="8"/>
        <v>-1.4985850797733808E-3</v>
      </c>
      <c r="BJ36" s="12">
        <f t="shared" si="9"/>
        <v>-3.9921264115897782E-3</v>
      </c>
      <c r="BL36" s="9"/>
      <c r="BN36">
        <f t="shared" si="10"/>
        <v>0</v>
      </c>
      <c r="BO36">
        <f t="shared" si="11"/>
        <v>1</v>
      </c>
      <c r="BP36">
        <f t="shared" si="12"/>
        <v>0</v>
      </c>
      <c r="BQ36">
        <f t="shared" si="1"/>
        <v>1</v>
      </c>
      <c r="BR36">
        <f t="shared" si="13"/>
        <v>0</v>
      </c>
      <c r="BS36" s="9">
        <f t="shared" si="14"/>
        <v>0</v>
      </c>
      <c r="BT36" s="9">
        <f t="shared" si="15"/>
        <v>0</v>
      </c>
      <c r="BU36" s="9">
        <f t="shared" si="16"/>
        <v>0</v>
      </c>
      <c r="BV36" s="12">
        <f t="shared" si="17"/>
        <v>0</v>
      </c>
      <c r="BX36" s="12">
        <f t="shared" si="18"/>
        <v>-1.4985850797733808E-3</v>
      </c>
      <c r="BY36" s="12">
        <f t="shared" si="19"/>
        <v>-3.9921264115897782E-3</v>
      </c>
    </row>
    <row r="37" spans="1:77" x14ac:dyDescent="0.3">
      <c r="A37" s="1">
        <v>46077</v>
      </c>
      <c r="B37" s="8">
        <v>66.02</v>
      </c>
      <c r="C37" s="8">
        <v>157.87</v>
      </c>
      <c r="D37" s="9">
        <v>-2.72273651791562E-3</v>
      </c>
      <c r="E37" s="9">
        <v>-4.2350178653742599E-3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66.02</v>
      </c>
      <c r="M37" s="8">
        <v>157.87</v>
      </c>
      <c r="N37" s="10">
        <v>2.3912450772493101</v>
      </c>
      <c r="O37" s="10">
        <v>2.3794589997480098</v>
      </c>
      <c r="P37" s="10">
        <v>2.3942643943586801</v>
      </c>
      <c r="Q37" s="10">
        <v>2.38967751322039</v>
      </c>
      <c r="R37" s="8">
        <v>157.09188316336301</v>
      </c>
      <c r="S37" s="8">
        <v>158.09880489410401</v>
      </c>
      <c r="T37" s="8">
        <v>157.73513807601901</v>
      </c>
      <c r="U37" s="9">
        <v>-4.9410323045210001E-3</v>
      </c>
      <c r="V37" s="9">
        <v>1.44827546614662E-3</v>
      </c>
      <c r="W37" s="9">
        <v>-8.5462443996499901E-4</v>
      </c>
      <c r="X37" s="10">
        <v>2.3912450772493101</v>
      </c>
      <c r="Y37" s="10">
        <v>2.3816575271846898</v>
      </c>
      <c r="Z37" s="10">
        <v>2.3942643943586801</v>
      </c>
      <c r="AA37" s="10">
        <v>2.38967751322039</v>
      </c>
      <c r="AB37" s="8">
        <v>157.237029944733</v>
      </c>
      <c r="AC37" s="8">
        <v>158.09880489410401</v>
      </c>
      <c r="AD37" s="8">
        <v>157.73513807601901</v>
      </c>
      <c r="AE37" s="9">
        <v>-4.0174978434294097E-3</v>
      </c>
      <c r="AF37" s="9">
        <v>1.44827546614662E-3</v>
      </c>
      <c r="AG37" s="9">
        <v>-8.5462443996499901E-4</v>
      </c>
      <c r="AZ37" s="9"/>
      <c r="BB37">
        <f t="shared" si="2"/>
        <v>0</v>
      </c>
      <c r="BC37">
        <f t="shared" si="3"/>
        <v>0</v>
      </c>
      <c r="BD37">
        <f t="shared" si="4"/>
        <v>1</v>
      </c>
      <c r="BE37">
        <f t="shared" si="0"/>
        <v>1</v>
      </c>
      <c r="BF37">
        <f t="shared" si="5"/>
        <v>1</v>
      </c>
      <c r="BG37" s="9">
        <f t="shared" si="6"/>
        <v>-2.72273651791562E-3</v>
      </c>
      <c r="BH37" s="9">
        <f t="shared" si="7"/>
        <v>4.2350178653742599E-3</v>
      </c>
      <c r="BI37" s="9">
        <f t="shared" si="8"/>
        <v>1.5122813474586399E-3</v>
      </c>
      <c r="BJ37" s="12">
        <f t="shared" si="9"/>
        <v>-2.4798450641311384E-3</v>
      </c>
      <c r="BL37" s="9"/>
      <c r="BN37">
        <f t="shared" si="10"/>
        <v>0</v>
      </c>
      <c r="BO37">
        <f t="shared" si="11"/>
        <v>1</v>
      </c>
      <c r="BP37">
        <f t="shared" si="12"/>
        <v>0</v>
      </c>
      <c r="BQ37">
        <f t="shared" si="1"/>
        <v>1</v>
      </c>
      <c r="BR37">
        <f t="shared" si="13"/>
        <v>0</v>
      </c>
      <c r="BS37" s="9">
        <f t="shared" si="14"/>
        <v>0</v>
      </c>
      <c r="BT37" s="9">
        <f t="shared" si="15"/>
        <v>0</v>
      </c>
      <c r="BU37" s="9">
        <f t="shared" si="16"/>
        <v>0</v>
      </c>
      <c r="BV37" s="12">
        <f t="shared" si="17"/>
        <v>0</v>
      </c>
      <c r="BX37" s="12">
        <f t="shared" si="18"/>
        <v>1.5122813474586399E-3</v>
      </c>
      <c r="BY37" s="12">
        <f t="shared" si="19"/>
        <v>-2.4798450641311384E-3</v>
      </c>
    </row>
    <row r="38" spans="1:77" x14ac:dyDescent="0.3">
      <c r="A38" s="1">
        <v>46078</v>
      </c>
      <c r="B38" s="8">
        <v>65.94</v>
      </c>
      <c r="C38" s="8">
        <v>157.83000000000001</v>
      </c>
      <c r="D38" s="9">
        <v>-1.21248878146192E-3</v>
      </c>
      <c r="E38" s="9">
        <v>-2.5340513280988999E-4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65.94</v>
      </c>
      <c r="M38" s="8">
        <v>157.83000000000001</v>
      </c>
      <c r="N38" s="10">
        <v>2.3935395814376701</v>
      </c>
      <c r="O38" s="10">
        <v>2.3794589997480098</v>
      </c>
      <c r="P38" s="10">
        <v>2.3943177824824202</v>
      </c>
      <c r="Q38" s="10">
        <v>2.3905452596417098</v>
      </c>
      <c r="R38" s="8">
        <v>156.90152644338301</v>
      </c>
      <c r="S38" s="8">
        <v>157.87779416401099</v>
      </c>
      <c r="T38" s="8">
        <v>157.575335221752</v>
      </c>
      <c r="U38" s="9">
        <v>-5.9001159531730102E-3</v>
      </c>
      <c r="V38" s="9">
        <v>3.0277468760996599E-4</v>
      </c>
      <c r="W38" s="9">
        <v>-1.61484163487087E-3</v>
      </c>
      <c r="X38" s="10">
        <v>2.3935395814376701</v>
      </c>
      <c r="Y38" s="10">
        <v>2.3816575271846898</v>
      </c>
      <c r="Z38" s="10">
        <v>2.3943177824824202</v>
      </c>
      <c r="AA38" s="10">
        <v>2.3905452596417098</v>
      </c>
      <c r="AB38" s="8">
        <v>157.04649734255801</v>
      </c>
      <c r="AC38" s="8">
        <v>157.87779416401099</v>
      </c>
      <c r="AD38" s="8">
        <v>157.575335221752</v>
      </c>
      <c r="AE38" s="9">
        <v>-4.9765814920814796E-3</v>
      </c>
      <c r="AF38" s="9">
        <v>3.0277468760996599E-4</v>
      </c>
      <c r="AG38" s="9">
        <v>-1.61484163487087E-3</v>
      </c>
      <c r="AZ38" s="9"/>
      <c r="BB38">
        <f t="shared" si="2"/>
        <v>1</v>
      </c>
      <c r="BC38">
        <f t="shared" si="3"/>
        <v>0</v>
      </c>
      <c r="BD38">
        <f t="shared" si="4"/>
        <v>1</v>
      </c>
      <c r="BE38">
        <f t="shared" si="0"/>
        <v>1</v>
      </c>
      <c r="BF38">
        <f t="shared" si="5"/>
        <v>1</v>
      </c>
      <c r="BG38" s="9">
        <f t="shared" si="6"/>
        <v>-1.21248878146192E-3</v>
      </c>
      <c r="BH38" s="9">
        <f t="shared" si="7"/>
        <v>2.5340513280988999E-4</v>
      </c>
      <c r="BI38" s="9">
        <f t="shared" si="8"/>
        <v>-9.5908364865202999E-4</v>
      </c>
      <c r="BJ38" s="12">
        <f t="shared" si="9"/>
        <v>-3.4389287127831684E-3</v>
      </c>
      <c r="BL38" s="9"/>
      <c r="BN38">
        <f t="shared" si="10"/>
        <v>0</v>
      </c>
      <c r="BO38">
        <f t="shared" si="11"/>
        <v>1</v>
      </c>
      <c r="BP38">
        <f t="shared" si="12"/>
        <v>0</v>
      </c>
      <c r="BQ38">
        <f t="shared" si="1"/>
        <v>1</v>
      </c>
      <c r="BR38">
        <f t="shared" si="13"/>
        <v>0</v>
      </c>
      <c r="BS38" s="9">
        <f t="shared" si="14"/>
        <v>0</v>
      </c>
      <c r="BT38" s="9">
        <f t="shared" si="15"/>
        <v>0</v>
      </c>
      <c r="BU38" s="9">
        <f t="shared" si="16"/>
        <v>0</v>
      </c>
      <c r="BV38" s="12">
        <f t="shared" si="17"/>
        <v>0</v>
      </c>
      <c r="BX38" s="12">
        <f t="shared" si="18"/>
        <v>-9.5908364865202999E-4</v>
      </c>
      <c r="BY38" s="12">
        <f t="shared" si="19"/>
        <v>-3.4389287127831684E-3</v>
      </c>
    </row>
    <row r="39" spans="1:77" x14ac:dyDescent="0.3">
      <c r="A39" s="1">
        <v>46079</v>
      </c>
      <c r="B39" s="8">
        <v>65.77</v>
      </c>
      <c r="C39" s="8">
        <v>157.41999999999999</v>
      </c>
      <c r="D39" s="9">
        <v>-2.5814303303253699E-3</v>
      </c>
      <c r="E39" s="9">
        <v>-2.60111169652162E-3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65.77</v>
      </c>
      <c r="M39" s="8">
        <v>157.41999999999999</v>
      </c>
      <c r="N39" s="10">
        <v>2.3934924737722301</v>
      </c>
      <c r="O39" s="10">
        <v>2.3794589997480098</v>
      </c>
      <c r="P39" s="10">
        <v>2.3941300070174001</v>
      </c>
      <c r="Q39" s="10">
        <v>2.3912820075788201</v>
      </c>
      <c r="R39" s="8">
        <v>156.49701841342599</v>
      </c>
      <c r="S39" s="8">
        <v>157.47428055386899</v>
      </c>
      <c r="T39" s="8">
        <v>157.22616172663501</v>
      </c>
      <c r="U39" s="9">
        <v>-5.8804345869769197E-3</v>
      </c>
      <c r="V39" s="9">
        <v>3.4475414613107801E-4</v>
      </c>
      <c r="W39" s="9">
        <v>-1.23210336857549E-3</v>
      </c>
      <c r="X39" s="10">
        <v>2.3934924737722301</v>
      </c>
      <c r="Y39" s="10">
        <v>2.3816575271846898</v>
      </c>
      <c r="Z39" s="10">
        <v>2.3941300070174001</v>
      </c>
      <c r="AA39" s="10">
        <v>2.3912820075788201</v>
      </c>
      <c r="AB39" s="8">
        <v>156.64161556293701</v>
      </c>
      <c r="AC39" s="8">
        <v>157.47428055386899</v>
      </c>
      <c r="AD39" s="8">
        <v>157.22616172663501</v>
      </c>
      <c r="AE39" s="9">
        <v>-4.9569001258851298E-3</v>
      </c>
      <c r="AF39" s="9">
        <v>3.4475414613107801E-4</v>
      </c>
      <c r="AG39" s="9">
        <v>-1.23210336857549E-3</v>
      </c>
      <c r="AZ39" s="9"/>
      <c r="BB39">
        <f t="shared" si="2"/>
        <v>1</v>
      </c>
      <c r="BC39">
        <f t="shared" si="3"/>
        <v>0</v>
      </c>
      <c r="BD39">
        <f t="shared" si="4"/>
        <v>1</v>
      </c>
      <c r="BE39">
        <f t="shared" si="0"/>
        <v>1</v>
      </c>
      <c r="BF39">
        <f t="shared" si="5"/>
        <v>1</v>
      </c>
      <c r="BG39" s="9">
        <f t="shared" si="6"/>
        <v>-2.5814303303253699E-3</v>
      </c>
      <c r="BH39" s="9">
        <f t="shared" si="7"/>
        <v>2.60111169652162E-3</v>
      </c>
      <c r="BI39" s="9">
        <f t="shared" si="8"/>
        <v>1.9681366196250098E-5</v>
      </c>
      <c r="BJ39" s="12">
        <f t="shared" si="9"/>
        <v>-3.4192473465869183E-3</v>
      </c>
      <c r="BL39" s="9"/>
      <c r="BN39">
        <f t="shared" si="10"/>
        <v>0</v>
      </c>
      <c r="BO39">
        <f t="shared" si="11"/>
        <v>1</v>
      </c>
      <c r="BP39">
        <f t="shared" si="12"/>
        <v>0</v>
      </c>
      <c r="BQ39">
        <f t="shared" si="1"/>
        <v>1</v>
      </c>
      <c r="BR39">
        <f t="shared" si="13"/>
        <v>0</v>
      </c>
      <c r="BS39" s="9">
        <f t="shared" si="14"/>
        <v>0</v>
      </c>
      <c r="BT39" s="9">
        <f t="shared" si="15"/>
        <v>0</v>
      </c>
      <c r="BU39" s="9">
        <f t="shared" si="16"/>
        <v>0</v>
      </c>
      <c r="BV39" s="12">
        <f t="shared" si="17"/>
        <v>0</v>
      </c>
      <c r="BX39" s="12">
        <f t="shared" si="18"/>
        <v>1.9681366196250098E-5</v>
      </c>
      <c r="BY39" s="12">
        <f t="shared" si="19"/>
        <v>-3.4192473465869183E-3</v>
      </c>
    </row>
    <row r="40" spans="1:77" x14ac:dyDescent="0.3">
      <c r="A40" s="1">
        <v>46080</v>
      </c>
      <c r="B40" s="8">
        <v>66.84</v>
      </c>
      <c r="C40" s="8">
        <v>160.19999999999999</v>
      </c>
      <c r="D40" s="9">
        <v>1.61378964139333E-2</v>
      </c>
      <c r="E40" s="9">
        <v>1.7505641919954702E-2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66.84</v>
      </c>
      <c r="M40" s="8">
        <v>160.19999999999999</v>
      </c>
      <c r="N40" s="10">
        <v>2.39676840215439</v>
      </c>
      <c r="O40" s="10">
        <v>2.3794589997480098</v>
      </c>
      <c r="P40" s="10">
        <v>2.3941386954430102</v>
      </c>
      <c r="Q40" s="10">
        <v>2.3922119552066401</v>
      </c>
      <c r="R40" s="8">
        <v>159.04303954315699</v>
      </c>
      <c r="S40" s="8">
        <v>160.02364966904301</v>
      </c>
      <c r="T40" s="8">
        <v>159.833289386568</v>
      </c>
      <c r="U40" s="9">
        <v>-7.2481800929981204E-3</v>
      </c>
      <c r="V40" s="9">
        <v>-1.1014198917978599E-3</v>
      </c>
      <c r="W40" s="9">
        <v>-2.2917039326041302E-3</v>
      </c>
      <c r="X40" s="10">
        <v>2.39676840215439</v>
      </c>
      <c r="Y40" s="10">
        <v>2.3816575271846898</v>
      </c>
      <c r="Z40" s="10">
        <v>2.3941386954430102</v>
      </c>
      <c r="AA40" s="10">
        <v>2.3922119552066401</v>
      </c>
      <c r="AB40" s="8">
        <v>159.18998911702499</v>
      </c>
      <c r="AC40" s="8">
        <v>160.02364966904301</v>
      </c>
      <c r="AD40" s="8">
        <v>159.833289386568</v>
      </c>
      <c r="AE40" s="9">
        <v>-6.3246456319065898E-3</v>
      </c>
      <c r="AF40" s="9">
        <v>-1.1014198917978599E-3</v>
      </c>
      <c r="AG40" s="9">
        <v>-2.2917039326041302E-3</v>
      </c>
      <c r="AZ40" s="9"/>
      <c r="BB40">
        <f t="shared" si="2"/>
        <v>1</v>
      </c>
      <c r="BC40">
        <f t="shared" si="3"/>
        <v>0</v>
      </c>
      <c r="BD40">
        <f t="shared" si="4"/>
        <v>1</v>
      </c>
      <c r="BE40">
        <f t="shared" si="0"/>
        <v>1</v>
      </c>
      <c r="BF40">
        <f t="shared" si="5"/>
        <v>1</v>
      </c>
      <c r="BG40" s="9">
        <f t="shared" si="6"/>
        <v>1.61378964139333E-2</v>
      </c>
      <c r="BH40" s="9">
        <f t="shared" si="7"/>
        <v>-1.7505641919954702E-2</v>
      </c>
      <c r="BI40" s="9">
        <f t="shared" si="8"/>
        <v>-1.3677455060214019E-3</v>
      </c>
      <c r="BJ40" s="12">
        <f t="shared" si="9"/>
        <v>-4.7869928526083202E-3</v>
      </c>
      <c r="BL40" s="9"/>
      <c r="BN40">
        <f t="shared" si="10"/>
        <v>0</v>
      </c>
      <c r="BO40">
        <f t="shared" si="11"/>
        <v>1</v>
      </c>
      <c r="BP40">
        <f t="shared" si="12"/>
        <v>0</v>
      </c>
      <c r="BQ40">
        <f t="shared" si="1"/>
        <v>1</v>
      </c>
      <c r="BR40">
        <f t="shared" si="13"/>
        <v>0</v>
      </c>
      <c r="BS40" s="9">
        <f t="shared" si="14"/>
        <v>0</v>
      </c>
      <c r="BT40" s="9">
        <f t="shared" si="15"/>
        <v>0</v>
      </c>
      <c r="BU40" s="9">
        <f t="shared" si="16"/>
        <v>0</v>
      </c>
      <c r="BV40" s="12">
        <f t="shared" si="17"/>
        <v>0</v>
      </c>
      <c r="BX40" s="12">
        <f t="shared" si="18"/>
        <v>-1.3677455060214019E-3</v>
      </c>
      <c r="BY40" s="12">
        <f t="shared" si="19"/>
        <v>-4.7869928526083202E-3</v>
      </c>
    </row>
    <row r="41" spans="1:77" x14ac:dyDescent="0.3">
      <c r="A41" s="1">
        <v>46083</v>
      </c>
      <c r="B41" s="8">
        <v>66.08</v>
      </c>
      <c r="C41" s="8">
        <v>158.53</v>
      </c>
      <c r="D41" s="9">
        <v>-1.1435574514470401E-2</v>
      </c>
      <c r="E41" s="9">
        <v>-1.04791847791223E-2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66.08</v>
      </c>
      <c r="M41" s="8">
        <v>158.53</v>
      </c>
      <c r="N41" s="10">
        <v>2.3990617433414001</v>
      </c>
      <c r="O41" s="10">
        <v>2.3794589997480098</v>
      </c>
      <c r="P41" s="10">
        <v>2.3942425884083298</v>
      </c>
      <c r="Q41" s="10">
        <v>2.3930793104974599</v>
      </c>
      <c r="R41" s="8">
        <v>157.234650703348</v>
      </c>
      <c r="S41" s="8">
        <v>158.20468499487399</v>
      </c>
      <c r="T41" s="8">
        <v>158.07736600005401</v>
      </c>
      <c r="U41" s="9">
        <v>-8.2045698283463604E-3</v>
      </c>
      <c r="V41" s="9">
        <v>-2.0541805803443699E-3</v>
      </c>
      <c r="W41" s="9">
        <v>-2.8592784434448701E-3</v>
      </c>
      <c r="X41" s="10">
        <v>2.3990617433414001</v>
      </c>
      <c r="Y41" s="10">
        <v>2.3816575271846898</v>
      </c>
      <c r="Z41" s="10">
        <v>2.3942425884083298</v>
      </c>
      <c r="AA41" s="10">
        <v>2.3930793104974599</v>
      </c>
      <c r="AB41" s="8">
        <v>157.37992939636399</v>
      </c>
      <c r="AC41" s="8">
        <v>158.20468499487399</v>
      </c>
      <c r="AD41" s="8">
        <v>158.07736600005401</v>
      </c>
      <c r="AE41" s="9">
        <v>-7.2810353672546598E-3</v>
      </c>
      <c r="AF41" s="9">
        <v>-2.0541805803443699E-3</v>
      </c>
      <c r="AG41" s="9">
        <v>-2.8592784434448701E-3</v>
      </c>
      <c r="AZ41" s="9"/>
      <c r="BB41">
        <f t="shared" si="2"/>
        <v>1</v>
      </c>
      <c r="BC41">
        <f t="shared" si="3"/>
        <v>0</v>
      </c>
      <c r="BD41">
        <f t="shared" si="4"/>
        <v>1</v>
      </c>
      <c r="BE41">
        <f t="shared" si="0"/>
        <v>1</v>
      </c>
      <c r="BF41">
        <f t="shared" si="5"/>
        <v>1</v>
      </c>
      <c r="BG41" s="9">
        <f t="shared" si="6"/>
        <v>-1.1435574514470401E-2</v>
      </c>
      <c r="BH41" s="9">
        <f t="shared" si="7"/>
        <v>1.04791847791223E-2</v>
      </c>
      <c r="BI41" s="9">
        <f t="shared" si="8"/>
        <v>-9.5638973534810032E-4</v>
      </c>
      <c r="BJ41" s="12">
        <f t="shared" si="9"/>
        <v>-5.7433825879564205E-3</v>
      </c>
      <c r="BL41" s="9"/>
      <c r="BN41">
        <f t="shared" si="10"/>
        <v>0</v>
      </c>
      <c r="BO41">
        <f t="shared" si="11"/>
        <v>1</v>
      </c>
      <c r="BP41">
        <f t="shared" si="12"/>
        <v>0</v>
      </c>
      <c r="BQ41">
        <f t="shared" si="1"/>
        <v>1</v>
      </c>
      <c r="BR41">
        <f t="shared" si="13"/>
        <v>0</v>
      </c>
      <c r="BS41" s="9">
        <f t="shared" si="14"/>
        <v>0</v>
      </c>
      <c r="BT41" s="9">
        <f t="shared" si="15"/>
        <v>0</v>
      </c>
      <c r="BU41" s="9">
        <f t="shared" si="16"/>
        <v>0</v>
      </c>
      <c r="BV41" s="12">
        <f t="shared" si="17"/>
        <v>0</v>
      </c>
      <c r="BX41" s="12">
        <f t="shared" si="18"/>
        <v>-9.5638973534810032E-4</v>
      </c>
      <c r="BY41" s="12">
        <f t="shared" si="19"/>
        <v>-5.7433825879564205E-3</v>
      </c>
    </row>
    <row r="42" spans="1:77" x14ac:dyDescent="0.3">
      <c r="A42" s="1">
        <v>46084</v>
      </c>
      <c r="B42" s="8">
        <v>65.36</v>
      </c>
      <c r="C42" s="8">
        <v>156.74</v>
      </c>
      <c r="D42" s="9">
        <v>-1.0955678660975099E-2</v>
      </c>
      <c r="E42" s="9">
        <v>-1.1355468230417699E-2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65.36</v>
      </c>
      <c r="M42" s="8">
        <v>156.74</v>
      </c>
      <c r="N42" s="10">
        <v>2.3981028151774701</v>
      </c>
      <c r="O42" s="10">
        <v>2.3794589997480098</v>
      </c>
      <c r="P42" s="10">
        <v>2.3945611639452502</v>
      </c>
      <c r="Q42" s="10">
        <v>2.3937183259307599</v>
      </c>
      <c r="R42" s="8">
        <v>155.521440223529</v>
      </c>
      <c r="S42" s="8">
        <v>156.487695578368</v>
      </c>
      <c r="T42" s="8">
        <v>156.41166373411301</v>
      </c>
      <c r="U42" s="9">
        <v>-7.8047802589036397E-3</v>
      </c>
      <c r="V42" s="9">
        <v>-1.61099723785925E-3</v>
      </c>
      <c r="W42" s="9">
        <v>-2.0969799891056898E-3</v>
      </c>
      <c r="X42" s="10">
        <v>2.3981028151774701</v>
      </c>
      <c r="Y42" s="10">
        <v>2.3816575271846898</v>
      </c>
      <c r="Z42" s="10">
        <v>2.3945611639452502</v>
      </c>
      <c r="AA42" s="10">
        <v>2.3937183259307599</v>
      </c>
      <c r="AB42" s="8">
        <v>155.66513597679099</v>
      </c>
      <c r="AC42" s="8">
        <v>156.487695578368</v>
      </c>
      <c r="AD42" s="8">
        <v>156.41166373411301</v>
      </c>
      <c r="AE42" s="9">
        <v>-6.8812457978118897E-3</v>
      </c>
      <c r="AF42" s="9">
        <v>-1.61099723785925E-3</v>
      </c>
      <c r="AG42" s="9">
        <v>-2.0969799891056898E-3</v>
      </c>
      <c r="AZ42" s="9"/>
      <c r="BB42">
        <f t="shared" si="2"/>
        <v>1</v>
      </c>
      <c r="BC42">
        <f t="shared" si="3"/>
        <v>0</v>
      </c>
      <c r="BD42">
        <f t="shared" si="4"/>
        <v>1</v>
      </c>
      <c r="BE42">
        <f t="shared" si="0"/>
        <v>1</v>
      </c>
      <c r="BF42">
        <f t="shared" si="5"/>
        <v>1</v>
      </c>
      <c r="BG42" s="9">
        <f t="shared" si="6"/>
        <v>-1.0955678660975099E-2</v>
      </c>
      <c r="BH42" s="9">
        <f t="shared" si="7"/>
        <v>1.1355468230417699E-2</v>
      </c>
      <c r="BI42" s="9">
        <f t="shared" si="8"/>
        <v>3.9978956944260007E-4</v>
      </c>
      <c r="BJ42" s="12">
        <f t="shared" si="9"/>
        <v>-5.3435930185138205E-3</v>
      </c>
      <c r="BL42" s="9"/>
      <c r="BN42">
        <f t="shared" si="10"/>
        <v>0</v>
      </c>
      <c r="BO42">
        <f t="shared" si="11"/>
        <v>1</v>
      </c>
      <c r="BP42">
        <f t="shared" si="12"/>
        <v>0</v>
      </c>
      <c r="BQ42">
        <f t="shared" si="1"/>
        <v>1</v>
      </c>
      <c r="BR42">
        <f t="shared" si="13"/>
        <v>0</v>
      </c>
      <c r="BS42" s="9">
        <f t="shared" si="14"/>
        <v>0</v>
      </c>
      <c r="BT42" s="9">
        <f t="shared" si="15"/>
        <v>0</v>
      </c>
      <c r="BU42" s="9">
        <f t="shared" si="16"/>
        <v>0</v>
      </c>
      <c r="BV42" s="12">
        <f t="shared" si="17"/>
        <v>0</v>
      </c>
      <c r="BX42" s="12">
        <f t="shared" si="18"/>
        <v>3.9978956944260007E-4</v>
      </c>
      <c r="BY42" s="12">
        <f t="shared" si="19"/>
        <v>-5.3435930185138205E-3</v>
      </c>
    </row>
    <row r="43" spans="1:77" x14ac:dyDescent="0.3">
      <c r="A43" s="1">
        <v>46085</v>
      </c>
      <c r="B43" s="8">
        <v>65.510000000000005</v>
      </c>
      <c r="C43" s="8">
        <v>157.05000000000001</v>
      </c>
      <c r="D43" s="9">
        <v>2.2923521920376199E-3</v>
      </c>
      <c r="E43" s="9">
        <v>1.9758443599370099E-3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65.510000000000005</v>
      </c>
      <c r="M43" s="8">
        <v>157.05000000000001</v>
      </c>
      <c r="N43" s="10">
        <v>2.3973439169592399</v>
      </c>
      <c r="O43" s="10">
        <v>2.3794589997480098</v>
      </c>
      <c r="P43" s="10">
        <v>2.3948210720445799</v>
      </c>
      <c r="Q43" s="10">
        <v>2.3943499909832999</v>
      </c>
      <c r="R43" s="8">
        <v>155.87835907349199</v>
      </c>
      <c r="S43" s="8">
        <v>156.86770185005301</v>
      </c>
      <c r="T43" s="8">
        <v>156.812487531724</v>
      </c>
      <c r="U43" s="9">
        <v>-7.4882724268030198E-3</v>
      </c>
      <c r="V43" s="9">
        <v>-1.1614392521640099E-3</v>
      </c>
      <c r="W43" s="9">
        <v>-1.51348136874317E-3</v>
      </c>
      <c r="X43" s="10">
        <v>2.3973439169592399</v>
      </c>
      <c r="Y43" s="10">
        <v>2.3816575271846898</v>
      </c>
      <c r="Z43" s="10">
        <v>2.3948210720445799</v>
      </c>
      <c r="AA43" s="10">
        <v>2.3943499909832999</v>
      </c>
      <c r="AB43" s="8">
        <v>156.02238460586901</v>
      </c>
      <c r="AC43" s="8">
        <v>156.86770185005301</v>
      </c>
      <c r="AD43" s="8">
        <v>156.812487531724</v>
      </c>
      <c r="AE43" s="9">
        <v>-6.5647379657113999E-3</v>
      </c>
      <c r="AF43" s="9">
        <v>-1.1614392521640099E-3</v>
      </c>
      <c r="AG43" s="9">
        <v>-1.51348136874317E-3</v>
      </c>
      <c r="AZ43" s="9"/>
      <c r="BB43">
        <f t="shared" si="2"/>
        <v>1</v>
      </c>
      <c r="BC43">
        <f t="shared" si="3"/>
        <v>0</v>
      </c>
      <c r="BD43">
        <f t="shared" si="4"/>
        <v>1</v>
      </c>
      <c r="BE43">
        <f t="shared" si="0"/>
        <v>1</v>
      </c>
      <c r="BF43">
        <f t="shared" si="5"/>
        <v>1</v>
      </c>
      <c r="BG43" s="9">
        <f t="shared" si="6"/>
        <v>2.2923521920376199E-3</v>
      </c>
      <c r="BH43" s="9">
        <f t="shared" si="7"/>
        <v>-1.9758443599370099E-3</v>
      </c>
      <c r="BI43" s="9">
        <f t="shared" si="8"/>
        <v>3.1650783210060993E-4</v>
      </c>
      <c r="BJ43" s="12">
        <f t="shared" si="9"/>
        <v>-5.0270851864132101E-3</v>
      </c>
      <c r="BL43" s="9"/>
      <c r="BN43">
        <f t="shared" si="10"/>
        <v>0</v>
      </c>
      <c r="BO43">
        <f t="shared" si="11"/>
        <v>1</v>
      </c>
      <c r="BP43">
        <f t="shared" si="12"/>
        <v>0</v>
      </c>
      <c r="BQ43">
        <f t="shared" si="1"/>
        <v>1</v>
      </c>
      <c r="BR43">
        <f t="shared" si="13"/>
        <v>0</v>
      </c>
      <c r="BS43" s="9">
        <f t="shared" si="14"/>
        <v>0</v>
      </c>
      <c r="BT43" s="9">
        <f t="shared" si="15"/>
        <v>0</v>
      </c>
      <c r="BU43" s="9">
        <f t="shared" si="16"/>
        <v>0</v>
      </c>
      <c r="BV43" s="12">
        <f t="shared" si="17"/>
        <v>0</v>
      </c>
      <c r="BX43" s="12">
        <f t="shared" si="18"/>
        <v>3.1650783210060993E-4</v>
      </c>
      <c r="BY43" s="12">
        <f t="shared" si="19"/>
        <v>-5.0270851864132101E-3</v>
      </c>
    </row>
    <row r="44" spans="1:77" x14ac:dyDescent="0.3">
      <c r="A44" s="1">
        <v>46086</v>
      </c>
      <c r="B44" s="8">
        <v>64.290000000000006</v>
      </c>
      <c r="C44" s="8">
        <v>153.91</v>
      </c>
      <c r="D44" s="9">
        <v>-1.8798704590189601E-2</v>
      </c>
      <c r="E44" s="9">
        <v>-2.01962099927929E-2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64.290000000000006</v>
      </c>
      <c r="M44" s="8">
        <v>153.91</v>
      </c>
      <c r="N44" s="10">
        <v>2.3939959558251598</v>
      </c>
      <c r="O44" s="10">
        <v>2.3794589997480098</v>
      </c>
      <c r="P44" s="10">
        <v>2.39496918428615</v>
      </c>
      <c r="Q44" s="10">
        <v>2.3949611000247502</v>
      </c>
      <c r="R44" s="8">
        <v>152.97541909379899</v>
      </c>
      <c r="S44" s="8">
        <v>153.963046721746</v>
      </c>
      <c r="T44" s="8">
        <v>153.93276092031601</v>
      </c>
      <c r="U44" s="9">
        <v>-6.0907670241996696E-3</v>
      </c>
      <c r="V44" s="9">
        <v>3.4460127533655899E-4</v>
      </c>
      <c r="W44" s="9">
        <v>1.47873676095103E-4</v>
      </c>
      <c r="X44" s="10">
        <v>2.3939959558251598</v>
      </c>
      <c r="Y44" s="10">
        <v>2.3816575271846898</v>
      </c>
      <c r="Z44" s="10">
        <v>2.39496918428615</v>
      </c>
      <c r="AA44" s="10">
        <v>2.3949611000247502</v>
      </c>
      <c r="AB44" s="8">
        <v>153.116762422704</v>
      </c>
      <c r="AC44" s="8">
        <v>153.963046721746</v>
      </c>
      <c r="AD44" s="8">
        <v>153.93276092031601</v>
      </c>
      <c r="AE44" s="9">
        <v>-5.1672325631080202E-3</v>
      </c>
      <c r="AF44" s="9">
        <v>3.4460127533655899E-4</v>
      </c>
      <c r="AG44" s="9">
        <v>1.47873676095103E-4</v>
      </c>
      <c r="AZ44" s="9"/>
      <c r="BB44">
        <f t="shared" si="2"/>
        <v>0</v>
      </c>
      <c r="BC44">
        <f t="shared" si="3"/>
        <v>1</v>
      </c>
      <c r="BD44">
        <f t="shared" si="4"/>
        <v>1</v>
      </c>
      <c r="BE44">
        <f t="shared" si="0"/>
        <v>1</v>
      </c>
      <c r="BF44">
        <f t="shared" si="5"/>
        <v>1</v>
      </c>
      <c r="BG44" s="9">
        <f t="shared" si="6"/>
        <v>-1.8798704590189601E-2</v>
      </c>
      <c r="BH44" s="9">
        <f t="shared" si="7"/>
        <v>2.01962099927929E-2</v>
      </c>
      <c r="BI44" s="9">
        <f t="shared" si="8"/>
        <v>1.3975054026032982E-3</v>
      </c>
      <c r="BJ44" s="12">
        <f t="shared" si="9"/>
        <v>-3.6295797838099119E-3</v>
      </c>
      <c r="BL44" s="9"/>
      <c r="BN44">
        <f t="shared" si="10"/>
        <v>0</v>
      </c>
      <c r="BO44">
        <f t="shared" si="11"/>
        <v>0</v>
      </c>
      <c r="BP44">
        <f t="shared" si="12"/>
        <v>0</v>
      </c>
      <c r="BQ44">
        <f t="shared" si="1"/>
        <v>1</v>
      </c>
      <c r="BR44">
        <f t="shared" si="13"/>
        <v>0</v>
      </c>
      <c r="BS44" s="9">
        <f t="shared" si="14"/>
        <v>0</v>
      </c>
      <c r="BT44" s="9">
        <f t="shared" si="15"/>
        <v>0</v>
      </c>
      <c r="BU44" s="9">
        <f t="shared" si="16"/>
        <v>0</v>
      </c>
      <c r="BV44" s="12">
        <f t="shared" si="17"/>
        <v>0</v>
      </c>
      <c r="BX44" s="12">
        <f t="shared" si="18"/>
        <v>1.3975054026032982E-3</v>
      </c>
      <c r="BY44" s="12">
        <f t="shared" si="19"/>
        <v>-3.6295797838099119E-3</v>
      </c>
    </row>
    <row r="45" spans="1:77" x14ac:dyDescent="0.3">
      <c r="A45" s="1">
        <v>46087</v>
      </c>
      <c r="B45" s="8">
        <v>63.81</v>
      </c>
      <c r="C45" s="8">
        <v>152.69999999999999</v>
      </c>
      <c r="D45" s="9">
        <v>-7.4941802733399301E-3</v>
      </c>
      <c r="E45" s="9">
        <v>-7.8928037672759601E-3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63.81</v>
      </c>
      <c r="M45" s="8">
        <v>152.69999999999999</v>
      </c>
      <c r="N45" s="10">
        <v>2.3930418429713201</v>
      </c>
      <c r="O45" s="10">
        <v>2.3794589997480098</v>
      </c>
      <c r="P45" s="10">
        <v>2.39514558572266</v>
      </c>
      <c r="Q45" s="10">
        <v>2.3949162224763501</v>
      </c>
      <c r="R45" s="8">
        <v>151.83327877392</v>
      </c>
      <c r="S45" s="8">
        <v>152.822983649299</v>
      </c>
      <c r="T45" s="8">
        <v>152.822467792579</v>
      </c>
      <c r="U45" s="9">
        <v>-5.6921435302635798E-3</v>
      </c>
      <c r="V45" s="9">
        <v>8.0506974940614104E-4</v>
      </c>
      <c r="W45" s="9">
        <v>8.0169422578856497E-4</v>
      </c>
      <c r="X45" s="10">
        <v>2.3930418429713201</v>
      </c>
      <c r="Y45" s="10">
        <v>2.3816575271846898</v>
      </c>
      <c r="Z45" s="10">
        <v>2.39514558572266</v>
      </c>
      <c r="AA45" s="10">
        <v>2.3949162224763501</v>
      </c>
      <c r="AB45" s="8">
        <v>151.97356680965501</v>
      </c>
      <c r="AC45" s="8">
        <v>152.822983649299</v>
      </c>
      <c r="AD45" s="8">
        <v>152.822467792579</v>
      </c>
      <c r="AE45" s="9">
        <v>-4.7686090691718298E-3</v>
      </c>
      <c r="AF45" s="9">
        <v>8.0506974940614104E-4</v>
      </c>
      <c r="AG45" s="9">
        <v>8.0169422578856497E-4</v>
      </c>
      <c r="AZ45" s="9"/>
      <c r="BB45">
        <f t="shared" si="2"/>
        <v>0</v>
      </c>
      <c r="BC45">
        <f t="shared" si="3"/>
        <v>1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-3.6295797838099119E-3</v>
      </c>
      <c r="BL45" s="9"/>
      <c r="BN45">
        <f t="shared" si="10"/>
        <v>0</v>
      </c>
      <c r="BO45">
        <f t="shared" si="11"/>
        <v>0</v>
      </c>
      <c r="BP45">
        <f t="shared" si="12"/>
        <v>0</v>
      </c>
      <c r="BQ45">
        <f t="shared" si="1"/>
        <v>1</v>
      </c>
      <c r="BR45">
        <f t="shared" si="13"/>
        <v>0</v>
      </c>
      <c r="BS45" s="9">
        <f t="shared" si="14"/>
        <v>0</v>
      </c>
      <c r="BT45" s="9">
        <f t="shared" si="15"/>
        <v>0</v>
      </c>
      <c r="BU45" s="9">
        <f t="shared" si="16"/>
        <v>0</v>
      </c>
      <c r="BV45" s="12">
        <f t="shared" si="17"/>
        <v>0</v>
      </c>
      <c r="BX45" s="12">
        <f t="shared" si="18"/>
        <v>0</v>
      </c>
      <c r="BY45" s="12">
        <f t="shared" si="19"/>
        <v>-3.6295797838099119E-3</v>
      </c>
    </row>
    <row r="46" spans="1:77" x14ac:dyDescent="0.3">
      <c r="A46" s="1">
        <v>46090</v>
      </c>
      <c r="B46" s="8">
        <v>64.45</v>
      </c>
      <c r="C46" s="8">
        <v>154.26</v>
      </c>
      <c r="D46" s="9">
        <v>9.9798115049408598E-3</v>
      </c>
      <c r="E46" s="9">
        <v>1.01642782812662E-2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64.45</v>
      </c>
      <c r="M46" s="8">
        <v>154.26</v>
      </c>
      <c r="N46" s="10">
        <v>2.3934833204034098</v>
      </c>
      <c r="O46" s="10">
        <v>2.3794589997480098</v>
      </c>
      <c r="P46" s="10">
        <v>2.3950075129291601</v>
      </c>
      <c r="Q46" s="10">
        <v>2.3948591403944799</v>
      </c>
      <c r="R46" s="8">
        <v>153.35613253375899</v>
      </c>
      <c r="S46" s="8">
        <v>154.367132999825</v>
      </c>
      <c r="T46" s="8">
        <v>154.35235053860001</v>
      </c>
      <c r="U46" s="9">
        <v>-5.8766103065889799E-3</v>
      </c>
      <c r="V46" s="9">
        <v>6.9425525285000803E-4</v>
      </c>
      <c r="W46" s="9">
        <v>5.9848895351263104E-4</v>
      </c>
      <c r="X46" s="10">
        <v>2.3934833204034098</v>
      </c>
      <c r="Y46" s="10">
        <v>2.3816575271846898</v>
      </c>
      <c r="Z46" s="10">
        <v>2.3950075129291601</v>
      </c>
      <c r="AA46" s="10">
        <v>2.3948591403944799</v>
      </c>
      <c r="AB46" s="8">
        <v>153.497827627053</v>
      </c>
      <c r="AC46" s="8">
        <v>154.367132999825</v>
      </c>
      <c r="AD46" s="8">
        <v>154.35235053860001</v>
      </c>
      <c r="AE46" s="9">
        <v>-4.95307584549751E-3</v>
      </c>
      <c r="AF46" s="9">
        <v>6.9425525285000803E-4</v>
      </c>
      <c r="AG46" s="9">
        <v>5.9848895351263104E-4</v>
      </c>
      <c r="AZ46" s="9"/>
      <c r="BB46">
        <f t="shared" si="2"/>
        <v>0</v>
      </c>
      <c r="BC46">
        <f t="shared" si="3"/>
        <v>1</v>
      </c>
      <c r="BD46">
        <f t="shared" si="4"/>
        <v>0</v>
      </c>
      <c r="BE46">
        <f t="shared" si="0"/>
        <v>1</v>
      </c>
      <c r="BF46">
        <f t="shared" si="5"/>
        <v>0</v>
      </c>
      <c r="BG46" s="9">
        <f t="shared" si="6"/>
        <v>0</v>
      </c>
      <c r="BH46" s="9">
        <f t="shared" si="7"/>
        <v>0</v>
      </c>
      <c r="BI46" s="9">
        <f t="shared" si="8"/>
        <v>0</v>
      </c>
      <c r="BJ46" s="12">
        <f t="shared" si="9"/>
        <v>-3.6295797838099119E-3</v>
      </c>
      <c r="BL46" s="9"/>
      <c r="BN46">
        <f t="shared" si="10"/>
        <v>0</v>
      </c>
      <c r="BO46">
        <f t="shared" si="11"/>
        <v>0</v>
      </c>
      <c r="BP46">
        <f t="shared" si="12"/>
        <v>0</v>
      </c>
      <c r="BQ46">
        <f t="shared" si="1"/>
        <v>1</v>
      </c>
      <c r="BR46">
        <f t="shared" si="13"/>
        <v>0</v>
      </c>
      <c r="BS46" s="9">
        <f t="shared" si="14"/>
        <v>0</v>
      </c>
      <c r="BT46" s="9">
        <f t="shared" si="15"/>
        <v>0</v>
      </c>
      <c r="BU46" s="9">
        <f t="shared" si="16"/>
        <v>0</v>
      </c>
      <c r="BV46" s="12">
        <f t="shared" si="17"/>
        <v>0</v>
      </c>
      <c r="BX46" s="12">
        <f t="shared" si="18"/>
        <v>0</v>
      </c>
      <c r="BY46" s="12">
        <f t="shared" si="19"/>
        <v>-3.6295797838099119E-3</v>
      </c>
    </row>
    <row r="47" spans="1:77" x14ac:dyDescent="0.3">
      <c r="A47" s="1">
        <v>46091</v>
      </c>
      <c r="B47" s="8">
        <v>64.05</v>
      </c>
      <c r="C47" s="8">
        <v>153.15</v>
      </c>
      <c r="D47" s="9">
        <v>-6.2257010424532104E-3</v>
      </c>
      <c r="E47" s="9">
        <v>-7.2216572270687703E-3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64.05</v>
      </c>
      <c r="M47" s="8">
        <v>153.15</v>
      </c>
      <c r="N47" s="10">
        <v>2.39110070257611</v>
      </c>
      <c r="O47" s="10">
        <v>2.3794589997480098</v>
      </c>
      <c r="P47" s="10">
        <v>2.3949930754618398</v>
      </c>
      <c r="Q47" s="10">
        <v>2.3946287349102602</v>
      </c>
      <c r="R47" s="8">
        <v>152.40434893386001</v>
      </c>
      <c r="S47" s="8">
        <v>153.40023120311301</v>
      </c>
      <c r="T47" s="8">
        <v>153.39072794226601</v>
      </c>
      <c r="U47" s="9">
        <v>-4.8806541219736498E-3</v>
      </c>
      <c r="V47" s="9">
        <v>1.63256284432444E-3</v>
      </c>
      <c r="W47" s="9">
        <v>1.5706101656954301E-3</v>
      </c>
      <c r="X47" s="10">
        <v>2.39110070257611</v>
      </c>
      <c r="Y47" s="10">
        <v>2.3816575271846898</v>
      </c>
      <c r="Z47" s="10">
        <v>2.3949930754618398</v>
      </c>
      <c r="AA47" s="10">
        <v>2.3946287349102602</v>
      </c>
      <c r="AB47" s="8">
        <v>152.54516461617899</v>
      </c>
      <c r="AC47" s="8">
        <v>153.40023120311301</v>
      </c>
      <c r="AD47" s="8">
        <v>153.39072794226601</v>
      </c>
      <c r="AE47" s="9">
        <v>-3.9571196608819597E-3</v>
      </c>
      <c r="AF47" s="9">
        <v>1.63256284432444E-3</v>
      </c>
      <c r="AG47" s="9">
        <v>1.5706101656954301E-3</v>
      </c>
      <c r="AZ47" s="9"/>
      <c r="BB47">
        <f t="shared" si="2"/>
        <v>0</v>
      </c>
      <c r="BC47">
        <f t="shared" si="3"/>
        <v>1</v>
      </c>
      <c r="BD47">
        <f t="shared" si="4"/>
        <v>0</v>
      </c>
      <c r="BE47">
        <f t="shared" si="0"/>
        <v>1</v>
      </c>
      <c r="BF47">
        <f t="shared" si="5"/>
        <v>0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-3.6295797838099119E-3</v>
      </c>
      <c r="BL47" s="9"/>
      <c r="BN47">
        <f t="shared" si="10"/>
        <v>0</v>
      </c>
      <c r="BO47">
        <f t="shared" si="11"/>
        <v>0</v>
      </c>
      <c r="BP47">
        <f t="shared" si="12"/>
        <v>0</v>
      </c>
      <c r="BQ47">
        <f t="shared" si="1"/>
        <v>1</v>
      </c>
      <c r="BR47">
        <f t="shared" si="13"/>
        <v>0</v>
      </c>
      <c r="BS47" s="9">
        <f t="shared" si="14"/>
        <v>0</v>
      </c>
      <c r="BT47" s="9">
        <f t="shared" si="15"/>
        <v>0</v>
      </c>
      <c r="BU47" s="9">
        <f t="shared" si="16"/>
        <v>0</v>
      </c>
      <c r="BV47" s="12">
        <f t="shared" si="17"/>
        <v>0</v>
      </c>
      <c r="BX47" s="12">
        <f t="shared" si="18"/>
        <v>0</v>
      </c>
      <c r="BY47" s="12">
        <f t="shared" si="19"/>
        <v>-3.6295797838099119E-3</v>
      </c>
    </row>
    <row r="48" spans="1:77" x14ac:dyDescent="0.3">
      <c r="A48" s="1">
        <v>46092</v>
      </c>
      <c r="B48" s="8">
        <v>63.88</v>
      </c>
      <c r="C48" s="8">
        <v>152.85</v>
      </c>
      <c r="D48" s="9">
        <v>-2.65770499593148E-3</v>
      </c>
      <c r="E48" s="9">
        <v>-1.9607849419407599E-3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63.88</v>
      </c>
      <c r="M48" s="8">
        <v>152.85</v>
      </c>
      <c r="N48" s="10">
        <v>2.3927676894176502</v>
      </c>
      <c r="O48" s="10">
        <v>2.3794589997480098</v>
      </c>
      <c r="P48" s="10">
        <v>2.3949158862598399</v>
      </c>
      <c r="Q48" s="10">
        <v>2.39461683437113</v>
      </c>
      <c r="R48" s="8">
        <v>151.999840903902</v>
      </c>
      <c r="S48" s="8">
        <v>152.99215766050199</v>
      </c>
      <c r="T48" s="8">
        <v>152.96888358606699</v>
      </c>
      <c r="U48" s="9">
        <v>-5.5775741759642103E-3</v>
      </c>
      <c r="V48" s="9">
        <v>9.2961462100309296E-4</v>
      </c>
      <c r="W48" s="9">
        <v>7.7747711758202403E-4</v>
      </c>
      <c r="X48" s="10">
        <v>2.3927676894176502</v>
      </c>
      <c r="Y48" s="10">
        <v>2.3816575271846898</v>
      </c>
      <c r="Z48" s="10">
        <v>2.3949158862598399</v>
      </c>
      <c r="AA48" s="10">
        <v>2.39461683437113</v>
      </c>
      <c r="AB48" s="8">
        <v>152.14028283655799</v>
      </c>
      <c r="AC48" s="8">
        <v>152.99215766050199</v>
      </c>
      <c r="AD48" s="8">
        <v>152.96888358606699</v>
      </c>
      <c r="AE48" s="9">
        <v>-4.6540397148725496E-3</v>
      </c>
      <c r="AF48" s="9">
        <v>9.2961462100309296E-4</v>
      </c>
      <c r="AG48" s="9">
        <v>7.7747711758202403E-4</v>
      </c>
      <c r="AZ48" s="9"/>
      <c r="BB48">
        <f t="shared" si="2"/>
        <v>0</v>
      </c>
      <c r="BC48">
        <f t="shared" si="3"/>
        <v>1</v>
      </c>
      <c r="BD48">
        <f t="shared" si="4"/>
        <v>0</v>
      </c>
      <c r="BE48">
        <f t="shared" si="0"/>
        <v>1</v>
      </c>
      <c r="BF48">
        <f t="shared" si="5"/>
        <v>0</v>
      </c>
      <c r="BG48" s="9">
        <f t="shared" si="6"/>
        <v>0</v>
      </c>
      <c r="BH48" s="9">
        <f t="shared" si="7"/>
        <v>0</v>
      </c>
      <c r="BI48" s="9">
        <f t="shared" si="8"/>
        <v>0</v>
      </c>
      <c r="BJ48" s="12">
        <f t="shared" si="9"/>
        <v>-3.6295797838099119E-3</v>
      </c>
      <c r="BL48" s="9"/>
      <c r="BN48">
        <f t="shared" si="10"/>
        <v>0</v>
      </c>
      <c r="BO48">
        <f t="shared" si="11"/>
        <v>0</v>
      </c>
      <c r="BP48">
        <f t="shared" si="12"/>
        <v>0</v>
      </c>
      <c r="BQ48">
        <f t="shared" si="1"/>
        <v>1</v>
      </c>
      <c r="BR48">
        <f t="shared" si="13"/>
        <v>0</v>
      </c>
      <c r="BS48" s="9">
        <f t="shared" si="14"/>
        <v>0</v>
      </c>
      <c r="BT48" s="9">
        <f t="shared" si="15"/>
        <v>0</v>
      </c>
      <c r="BU48" s="9">
        <f t="shared" si="16"/>
        <v>0</v>
      </c>
      <c r="BV48" s="12">
        <f t="shared" si="17"/>
        <v>0</v>
      </c>
      <c r="BX48" s="12">
        <f t="shared" si="18"/>
        <v>0</v>
      </c>
      <c r="BY48" s="12">
        <f t="shared" si="19"/>
        <v>-3.6295797838099119E-3</v>
      </c>
    </row>
    <row r="49" spans="1:77" x14ac:dyDescent="0.3">
      <c r="A49" s="1">
        <v>46093</v>
      </c>
      <c r="B49" s="8">
        <v>62.65</v>
      </c>
      <c r="C49" s="8">
        <v>150.16</v>
      </c>
      <c r="D49" s="9">
        <v>-1.94426420047344E-2</v>
      </c>
      <c r="E49" s="9">
        <v>-1.7755656058589999E-2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62.65</v>
      </c>
      <c r="M49" s="8">
        <v>150.16</v>
      </c>
      <c r="N49" s="10">
        <v>2.3968076616121299</v>
      </c>
      <c r="O49" s="10">
        <v>2.3794589997480098</v>
      </c>
      <c r="P49" s="10">
        <v>2.3952474050438299</v>
      </c>
      <c r="Q49" s="10">
        <v>2.3946887060306099</v>
      </c>
      <c r="R49" s="8">
        <v>149.07310633421201</v>
      </c>
      <c r="S49" s="8">
        <v>150.04148027417901</v>
      </c>
      <c r="T49" s="8">
        <v>150.02274467335101</v>
      </c>
      <c r="U49" s="9">
        <v>-7.2645601221084898E-3</v>
      </c>
      <c r="V49" s="9">
        <v>-7.8960124960318005E-4</v>
      </c>
      <c r="W49" s="9">
        <v>-9.14478521161489E-4</v>
      </c>
      <c r="X49" s="10">
        <v>2.3968076616121299</v>
      </c>
      <c r="Y49" s="10">
        <v>2.3816575271846898</v>
      </c>
      <c r="Z49" s="10">
        <v>2.3952474050438299</v>
      </c>
      <c r="AA49" s="10">
        <v>2.3946887060306099</v>
      </c>
      <c r="AB49" s="8">
        <v>149.210844078121</v>
      </c>
      <c r="AC49" s="8">
        <v>150.04148027417901</v>
      </c>
      <c r="AD49" s="8">
        <v>150.02274467335101</v>
      </c>
      <c r="AE49" s="9">
        <v>-6.3410256610168898E-3</v>
      </c>
      <c r="AF49" s="9">
        <v>-7.8960124960318005E-4</v>
      </c>
      <c r="AG49" s="9">
        <v>-9.14478521161489E-4</v>
      </c>
      <c r="AZ49" s="9"/>
      <c r="BB49">
        <f t="shared" si="2"/>
        <v>0</v>
      </c>
      <c r="BC49">
        <f t="shared" si="3"/>
        <v>0</v>
      </c>
      <c r="BD49">
        <f t="shared" si="4"/>
        <v>0</v>
      </c>
      <c r="BE49">
        <f t="shared" si="0"/>
        <v>1</v>
      </c>
      <c r="BF49">
        <f t="shared" si="5"/>
        <v>0</v>
      </c>
      <c r="BG49" s="9">
        <f t="shared" si="6"/>
        <v>0</v>
      </c>
      <c r="BH49" s="9">
        <f t="shared" si="7"/>
        <v>0</v>
      </c>
      <c r="BI49" s="9">
        <f t="shared" si="8"/>
        <v>0</v>
      </c>
      <c r="BJ49" s="12">
        <f t="shared" si="9"/>
        <v>-3.6295797838099119E-3</v>
      </c>
      <c r="BL49" s="9"/>
      <c r="BN49">
        <f t="shared" si="10"/>
        <v>0</v>
      </c>
      <c r="BO49">
        <f t="shared" si="11"/>
        <v>1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0</v>
      </c>
      <c r="BX49" s="12">
        <f t="shared" si="18"/>
        <v>0</v>
      </c>
      <c r="BY49" s="12">
        <f t="shared" si="19"/>
        <v>-3.6295797838099119E-3</v>
      </c>
    </row>
    <row r="50" spans="1:77" x14ac:dyDescent="0.3">
      <c r="A50" s="1">
        <v>46094</v>
      </c>
      <c r="B50" s="8">
        <v>62.51</v>
      </c>
      <c r="C50" s="8">
        <v>149.79</v>
      </c>
      <c r="D50" s="9">
        <v>-2.2371373983563199E-3</v>
      </c>
      <c r="E50" s="9">
        <v>-2.4670790976258298E-3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62.51</v>
      </c>
      <c r="M50" s="8">
        <v>149.79</v>
      </c>
      <c r="N50" s="10">
        <v>2.3962565989441602</v>
      </c>
      <c r="O50" s="10">
        <v>2.3794589997480098</v>
      </c>
      <c r="P50" s="10">
        <v>2.39519622472281</v>
      </c>
      <c r="Q50" s="10">
        <v>2.3946674600829101</v>
      </c>
      <c r="R50" s="8">
        <v>148.73998207424799</v>
      </c>
      <c r="S50" s="8">
        <v>149.726915289289</v>
      </c>
      <c r="T50" s="8">
        <v>149.691991013973</v>
      </c>
      <c r="U50" s="9">
        <v>-7.0346184228391598E-3</v>
      </c>
      <c r="V50" s="9">
        <v>-4.2124306456574898E-4</v>
      </c>
      <c r="W50" s="9">
        <v>-6.5452342688931899E-4</v>
      </c>
      <c r="X50" s="10">
        <v>2.3962565989441602</v>
      </c>
      <c r="Y50" s="10">
        <v>2.3816575271846898</v>
      </c>
      <c r="Z50" s="10">
        <v>2.39519622472281</v>
      </c>
      <c r="AA50" s="10">
        <v>2.3946674600829101</v>
      </c>
      <c r="AB50" s="8">
        <v>148.87741202431499</v>
      </c>
      <c r="AC50" s="8">
        <v>149.726915289289</v>
      </c>
      <c r="AD50" s="8">
        <v>149.691991013973</v>
      </c>
      <c r="AE50" s="9">
        <v>-6.1110839617474697E-3</v>
      </c>
      <c r="AF50" s="9">
        <v>-4.2124306456574898E-4</v>
      </c>
      <c r="AG50" s="9">
        <v>-6.5452342688931899E-4</v>
      </c>
      <c r="AZ50" s="9"/>
      <c r="BB50">
        <f t="shared" si="2"/>
        <v>0</v>
      </c>
      <c r="BC50">
        <f t="shared" si="3"/>
        <v>0</v>
      </c>
      <c r="BD50">
        <f t="shared" si="4"/>
        <v>0</v>
      </c>
      <c r="BE50">
        <f t="shared" si="0"/>
        <v>1</v>
      </c>
      <c r="BF50">
        <f t="shared" si="5"/>
        <v>0</v>
      </c>
      <c r="BG50" s="9">
        <f t="shared" si="6"/>
        <v>0</v>
      </c>
      <c r="BH50" s="9">
        <f t="shared" si="7"/>
        <v>0</v>
      </c>
      <c r="BI50" s="9">
        <f t="shared" si="8"/>
        <v>0</v>
      </c>
      <c r="BJ50" s="12">
        <f t="shared" si="9"/>
        <v>-3.6295797838099119E-3</v>
      </c>
      <c r="BL50" s="9"/>
      <c r="BN50">
        <f t="shared" si="10"/>
        <v>0</v>
      </c>
      <c r="BO50">
        <f t="shared" si="11"/>
        <v>1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0</v>
      </c>
      <c r="BX50" s="12">
        <f t="shared" si="18"/>
        <v>0</v>
      </c>
      <c r="BY50" s="12">
        <f t="shared" si="19"/>
        <v>-3.6295797838099119E-3</v>
      </c>
    </row>
    <row r="51" spans="1:77" x14ac:dyDescent="0.3">
      <c r="A51" s="1">
        <v>46097</v>
      </c>
      <c r="B51" s="8">
        <v>63.03</v>
      </c>
      <c r="C51" s="8">
        <v>151.01</v>
      </c>
      <c r="D51" s="9">
        <v>8.2842595812977898E-3</v>
      </c>
      <c r="E51" s="9">
        <v>8.1117466070702703E-3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63.03</v>
      </c>
      <c r="M51" s="8">
        <v>151.01</v>
      </c>
      <c r="N51" s="10">
        <v>2.3958432492463899</v>
      </c>
      <c r="O51" s="10">
        <v>2.3794589997480098</v>
      </c>
      <c r="P51" s="10">
        <v>2.3948743753133002</v>
      </c>
      <c r="Q51" s="10">
        <v>2.3945584818608099</v>
      </c>
      <c r="R51" s="8">
        <v>149.97730075411701</v>
      </c>
      <c r="S51" s="8">
        <v>150.96921804427799</v>
      </c>
      <c r="T51" s="8">
        <v>150.935890009025</v>
      </c>
      <c r="U51" s="9">
        <v>-6.8621054486113697E-3</v>
      </c>
      <c r="V51" s="9">
        <v>-2.7009776522592799E-4</v>
      </c>
      <c r="W51" s="9">
        <v>-4.9088260456258705E-4</v>
      </c>
      <c r="X51" s="10">
        <v>2.3958432492463899</v>
      </c>
      <c r="Y51" s="10">
        <v>2.3816575271846898</v>
      </c>
      <c r="Z51" s="10">
        <v>2.3948743753133002</v>
      </c>
      <c r="AA51" s="10">
        <v>2.3945584818608099</v>
      </c>
      <c r="AB51" s="8">
        <v>150.11587393845099</v>
      </c>
      <c r="AC51" s="8">
        <v>150.96921804427799</v>
      </c>
      <c r="AD51" s="8">
        <v>150.935890009025</v>
      </c>
      <c r="AE51" s="9">
        <v>-5.9385709875197602E-3</v>
      </c>
      <c r="AF51" s="9">
        <v>-2.7009776522592799E-4</v>
      </c>
      <c r="AG51" s="9">
        <v>-4.9088260456258705E-4</v>
      </c>
      <c r="AZ51" s="9"/>
      <c r="BB51">
        <f t="shared" si="2"/>
        <v>0</v>
      </c>
      <c r="BC51">
        <f t="shared" si="3"/>
        <v>0</v>
      </c>
      <c r="BD51">
        <f t="shared" si="4"/>
        <v>0</v>
      </c>
      <c r="BE51">
        <f t="shared" si="0"/>
        <v>0</v>
      </c>
      <c r="BF51">
        <f t="shared" si="5"/>
        <v>0</v>
      </c>
      <c r="BG51" s="9">
        <f t="shared" si="6"/>
        <v>0</v>
      </c>
      <c r="BH51" s="9">
        <f t="shared" si="7"/>
        <v>0</v>
      </c>
      <c r="BI51" s="9">
        <f t="shared" si="8"/>
        <v>0</v>
      </c>
      <c r="BJ51" s="12">
        <f t="shared" si="9"/>
        <v>-3.6295797838099119E-3</v>
      </c>
      <c r="BL51" s="9"/>
      <c r="BN51">
        <f t="shared" si="10"/>
        <v>0</v>
      </c>
      <c r="BO51">
        <f t="shared" si="11"/>
        <v>1</v>
      </c>
      <c r="BP51">
        <f t="shared" si="12"/>
        <v>0</v>
      </c>
      <c r="BQ51">
        <f t="shared" si="1"/>
        <v>0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0</v>
      </c>
      <c r="BX51" s="12">
        <f t="shared" si="18"/>
        <v>0</v>
      </c>
      <c r="BY51" s="12">
        <f t="shared" si="19"/>
        <v>-3.6295797838099119E-3</v>
      </c>
    </row>
    <row r="52" spans="1:77" x14ac:dyDescent="0.3">
      <c r="A52" s="1">
        <v>46098</v>
      </c>
      <c r="B52" s="8">
        <v>62.34</v>
      </c>
      <c r="C52" s="8">
        <v>149.63999999999999</v>
      </c>
      <c r="D52" s="9">
        <v>-1.10075291858276E-2</v>
      </c>
      <c r="E52" s="9">
        <v>-9.1136503077524599E-3</v>
      </c>
      <c r="F52" s="8">
        <v>0.1948</v>
      </c>
      <c r="G52" s="8">
        <v>0.1948</v>
      </c>
      <c r="H52" s="8">
        <v>0</v>
      </c>
      <c r="I52" s="8">
        <v>0</v>
      </c>
      <c r="J52" s="8">
        <v>0.1948</v>
      </c>
      <c r="K52" s="8">
        <v>0</v>
      </c>
      <c r="L52" s="8">
        <v>62.534799999999997</v>
      </c>
      <c r="M52" s="8">
        <v>149.63999999999999</v>
      </c>
      <c r="N52" s="10">
        <v>2.4003849855630399</v>
      </c>
      <c r="O52" s="10">
        <v>2.3794589997480098</v>
      </c>
      <c r="P52" s="10">
        <v>2.3951025923518601</v>
      </c>
      <c r="Q52" s="10">
        <v>2.3948318781485498</v>
      </c>
      <c r="R52" s="8">
        <v>148.33547404429001</v>
      </c>
      <c r="S52" s="8">
        <v>149.29646855703101</v>
      </c>
      <c r="T52" s="8">
        <v>149.27677575920299</v>
      </c>
      <c r="U52" s="9">
        <v>-8.7559843266865594E-3</v>
      </c>
      <c r="V52" s="9">
        <v>-2.2983585498992602E-3</v>
      </c>
      <c r="W52" s="9">
        <v>-2.4302712261458099E-3</v>
      </c>
      <c r="X52" s="10">
        <v>2.39290762903215</v>
      </c>
      <c r="Y52" s="10">
        <v>2.3816575271846898</v>
      </c>
      <c r="Z52" s="10">
        <v>2.39435485669877</v>
      </c>
      <c r="AA52" s="10">
        <v>2.3944580103220101</v>
      </c>
      <c r="AB52" s="8">
        <v>148.936477130989</v>
      </c>
      <c r="AC52" s="8">
        <v>149.76299008534201</v>
      </c>
      <c r="AD52" s="8">
        <v>149.74323575147</v>
      </c>
      <c r="AE52" s="9">
        <v>-4.7125224180333304E-3</v>
      </c>
      <c r="AF52" s="9">
        <v>8.2156889766249496E-4</v>
      </c>
      <c r="AG52" s="9">
        <v>6.8965622141581805E-4</v>
      </c>
      <c r="AZ52" s="9"/>
      <c r="BB52">
        <f t="shared" si="2"/>
        <v>0</v>
      </c>
      <c r="BC52">
        <f t="shared" si="3"/>
        <v>1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-3.6295797838099119E-3</v>
      </c>
      <c r="BL52" s="9"/>
      <c r="BN52">
        <f t="shared" si="10"/>
        <v>0</v>
      </c>
      <c r="BO52">
        <f t="shared" si="11"/>
        <v>0</v>
      </c>
      <c r="BP52">
        <f t="shared" si="12"/>
        <v>0</v>
      </c>
      <c r="BQ52">
        <f t="shared" si="1"/>
        <v>1</v>
      </c>
      <c r="BR52">
        <f t="shared" si="13"/>
        <v>0</v>
      </c>
      <c r="BS52" s="9">
        <f t="shared" si="14"/>
        <v>0</v>
      </c>
      <c r="BT52" s="9">
        <f t="shared" si="15"/>
        <v>0</v>
      </c>
      <c r="BU52" s="9">
        <f t="shared" si="16"/>
        <v>0</v>
      </c>
      <c r="BV52" s="12">
        <f t="shared" si="17"/>
        <v>0</v>
      </c>
      <c r="BX52" s="12">
        <f t="shared" si="18"/>
        <v>0</v>
      </c>
      <c r="BY52" s="12">
        <f t="shared" si="19"/>
        <v>-3.6295797838099119E-3</v>
      </c>
    </row>
    <row r="53" spans="1:77" x14ac:dyDescent="0.3">
      <c r="A53" s="1">
        <v>46099</v>
      </c>
      <c r="B53" s="8">
        <v>61.39</v>
      </c>
      <c r="C53" s="8">
        <v>147.13999999999999</v>
      </c>
      <c r="D53" s="9">
        <v>-1.5356318899786E-2</v>
      </c>
      <c r="E53" s="9">
        <v>-1.6847894975827001E-2</v>
      </c>
      <c r="F53" s="8">
        <v>0</v>
      </c>
      <c r="G53" s="8">
        <v>0.1948</v>
      </c>
      <c r="H53" s="8">
        <v>0</v>
      </c>
      <c r="I53" s="8">
        <v>0</v>
      </c>
      <c r="J53" s="8">
        <v>0.1948</v>
      </c>
      <c r="K53" s="8">
        <v>0</v>
      </c>
      <c r="L53" s="8">
        <v>61.584800000000001</v>
      </c>
      <c r="M53" s="8">
        <v>147.13999999999999</v>
      </c>
      <c r="N53" s="10">
        <v>2.39680729760547</v>
      </c>
      <c r="O53" s="10">
        <v>2.3794589997480098</v>
      </c>
      <c r="P53" s="10">
        <v>2.3950489304164799</v>
      </c>
      <c r="Q53" s="10">
        <v>2.3949350012305302</v>
      </c>
      <c r="R53" s="8">
        <v>146.07498799453001</v>
      </c>
      <c r="S53" s="8">
        <v>147.03534814448</v>
      </c>
      <c r="T53" s="8">
        <v>147.01872899954</v>
      </c>
      <c r="U53" s="9">
        <v>-7.2644082506457897E-3</v>
      </c>
      <c r="V53" s="9">
        <v>-7.1149306421406104E-4</v>
      </c>
      <c r="W53" s="9">
        <v>-8.24527680975875E-4</v>
      </c>
      <c r="X53" s="10">
        <v>2.3892259128875901</v>
      </c>
      <c r="Y53" s="10">
        <v>2.3816575271846898</v>
      </c>
      <c r="Z53" s="10">
        <v>2.3935430562916098</v>
      </c>
      <c r="AA53" s="10">
        <v>2.3941820641680902</v>
      </c>
      <c r="AB53" s="8">
        <v>146.673902480164</v>
      </c>
      <c r="AC53" s="8">
        <v>147.45586497882201</v>
      </c>
      <c r="AD53" s="8">
        <v>147.462217674079</v>
      </c>
      <c r="AE53" s="9">
        <v>-3.1727423848294102E-3</v>
      </c>
      <c r="AF53" s="9">
        <v>2.1443960178183599E-3</v>
      </c>
      <c r="AG53" s="9">
        <v>2.1874771012178598E-3</v>
      </c>
      <c r="AZ53" s="9"/>
      <c r="BB53">
        <f t="shared" si="2"/>
        <v>0</v>
      </c>
      <c r="BC53">
        <f t="shared" si="3"/>
        <v>1</v>
      </c>
      <c r="BD53">
        <f t="shared" si="4"/>
        <v>0</v>
      </c>
      <c r="BE53">
        <f t="shared" si="0"/>
        <v>1</v>
      </c>
      <c r="BF53">
        <f t="shared" si="5"/>
        <v>0</v>
      </c>
      <c r="BG53" s="9">
        <f t="shared" si="6"/>
        <v>0</v>
      </c>
      <c r="BH53" s="9">
        <f t="shared" si="7"/>
        <v>0</v>
      </c>
      <c r="BI53" s="9">
        <f t="shared" si="8"/>
        <v>0</v>
      </c>
      <c r="BJ53" s="12">
        <f t="shared" si="9"/>
        <v>-3.6295797838099119E-3</v>
      </c>
      <c r="BL53" s="9"/>
      <c r="BN53">
        <f t="shared" si="10"/>
        <v>1</v>
      </c>
      <c r="BO53">
        <f t="shared" si="11"/>
        <v>0</v>
      </c>
      <c r="BP53">
        <f t="shared" si="12"/>
        <v>0</v>
      </c>
      <c r="BQ53">
        <f t="shared" si="1"/>
        <v>1</v>
      </c>
      <c r="BR53">
        <f t="shared" si="13"/>
        <v>0</v>
      </c>
      <c r="BS53" s="9">
        <f t="shared" si="14"/>
        <v>0</v>
      </c>
      <c r="BT53" s="9">
        <f t="shared" si="15"/>
        <v>0</v>
      </c>
      <c r="BU53" s="9">
        <f t="shared" si="16"/>
        <v>0</v>
      </c>
      <c r="BV53" s="12">
        <f t="shared" si="17"/>
        <v>0</v>
      </c>
      <c r="BX53" s="12">
        <f t="shared" si="18"/>
        <v>0</v>
      </c>
      <c r="BY53" s="12">
        <f t="shared" si="19"/>
        <v>-3.6295797838099119E-3</v>
      </c>
    </row>
    <row r="54" spans="1:77" x14ac:dyDescent="0.3">
      <c r="A54" s="1">
        <v>46100</v>
      </c>
      <c r="B54" s="8">
        <v>61.18</v>
      </c>
      <c r="C54" s="8">
        <v>146.61000000000001</v>
      </c>
      <c r="D54" s="9">
        <v>-3.4266167166475498E-3</v>
      </c>
      <c r="E54" s="9">
        <v>-3.6085145539450701E-3</v>
      </c>
      <c r="F54" s="8">
        <v>0</v>
      </c>
      <c r="G54" s="8">
        <v>0.1948</v>
      </c>
      <c r="H54" s="8">
        <v>0</v>
      </c>
      <c r="I54" s="8">
        <v>0</v>
      </c>
      <c r="J54" s="8">
        <v>0.1948</v>
      </c>
      <c r="K54" s="8">
        <v>0</v>
      </c>
      <c r="L54" s="8">
        <v>61.3748</v>
      </c>
      <c r="M54" s="8">
        <v>146.61000000000001</v>
      </c>
      <c r="N54" s="10">
        <v>2.3963713631905801</v>
      </c>
      <c r="O54" s="10">
        <v>2.3794589997480098</v>
      </c>
      <c r="P54" s="10">
        <v>2.3952864711530202</v>
      </c>
      <c r="Q54" s="10">
        <v>2.3951278277195902</v>
      </c>
      <c r="R54" s="8">
        <v>145.57530160458299</v>
      </c>
      <c r="S54" s="8">
        <v>146.52909356288001</v>
      </c>
      <c r="T54" s="8">
        <v>146.522123375284</v>
      </c>
      <c r="U54" s="9">
        <v>-7.0825104133481901E-3</v>
      </c>
      <c r="V54" s="9">
        <v>-5.5200033670261596E-4</v>
      </c>
      <c r="W54" s="9">
        <v>-5.9957009376247403E-4</v>
      </c>
      <c r="X54" s="10">
        <v>2.3887654216388401</v>
      </c>
      <c r="Y54" s="10">
        <v>2.3816575271846898</v>
      </c>
      <c r="Z54" s="10">
        <v>2.3930200028729698</v>
      </c>
      <c r="AA54" s="10">
        <v>2.3939945935795599</v>
      </c>
      <c r="AB54" s="8">
        <v>146.17375439945499</v>
      </c>
      <c r="AC54" s="8">
        <v>146.903226371286</v>
      </c>
      <c r="AD54" s="8">
        <v>146.94244535190401</v>
      </c>
      <c r="AE54" s="9">
        <v>-2.9799872214433401E-3</v>
      </c>
      <c r="AF54" s="9">
        <v>1.9980460333098699E-3</v>
      </c>
      <c r="AG54" s="9">
        <v>2.2649819430384001E-3</v>
      </c>
      <c r="AZ54" s="9"/>
      <c r="BB54">
        <f t="shared" si="2"/>
        <v>0</v>
      </c>
      <c r="BC54">
        <f t="shared" si="3"/>
        <v>1</v>
      </c>
      <c r="BD54">
        <f t="shared" si="4"/>
        <v>0</v>
      </c>
      <c r="BE54">
        <f t="shared" si="0"/>
        <v>1</v>
      </c>
      <c r="BF54">
        <f t="shared" si="5"/>
        <v>0</v>
      </c>
      <c r="BG54" s="9">
        <f t="shared" si="6"/>
        <v>0</v>
      </c>
      <c r="BH54" s="9">
        <f t="shared" si="7"/>
        <v>0</v>
      </c>
      <c r="BI54" s="9">
        <f t="shared" si="8"/>
        <v>0</v>
      </c>
      <c r="BJ54" s="12">
        <f t="shared" si="9"/>
        <v>-3.6295797838099119E-3</v>
      </c>
      <c r="BL54" s="9"/>
      <c r="BN54">
        <f t="shared" si="10"/>
        <v>1</v>
      </c>
      <c r="BO54">
        <f t="shared" si="11"/>
        <v>0</v>
      </c>
      <c r="BP54">
        <f t="shared" si="12"/>
        <v>1</v>
      </c>
      <c r="BQ54">
        <f t="shared" si="1"/>
        <v>1</v>
      </c>
      <c r="BR54">
        <f t="shared" si="13"/>
        <v>1</v>
      </c>
      <c r="BS54" s="9">
        <f t="shared" si="14"/>
        <v>3.4266167166475498E-3</v>
      </c>
      <c r="BT54" s="9">
        <f t="shared" si="15"/>
        <v>-3.6085145539450701E-3</v>
      </c>
      <c r="BU54" s="9">
        <f t="shared" si="16"/>
        <v>-1.8189783729752025E-4</v>
      </c>
      <c r="BV54" s="12">
        <f t="shared" si="17"/>
        <v>-1.8189783729752025E-4</v>
      </c>
      <c r="BX54" s="12">
        <f t="shared" si="18"/>
        <v>-1.8189783729752025E-4</v>
      </c>
      <c r="BY54" s="12">
        <f t="shared" si="19"/>
        <v>-3.8114776211074322E-3</v>
      </c>
    </row>
    <row r="55" spans="1:77" x14ac:dyDescent="0.3">
      <c r="A55" s="1">
        <v>46101</v>
      </c>
      <c r="B55" s="8">
        <v>60.62</v>
      </c>
      <c r="C55" s="8">
        <v>145.33000000000001</v>
      </c>
      <c r="D55" s="9">
        <v>-9.1954670931003804E-3</v>
      </c>
      <c r="E55" s="9">
        <v>-8.7689813120940905E-3</v>
      </c>
      <c r="F55" s="8">
        <v>0</v>
      </c>
      <c r="G55" s="8">
        <v>0.1948</v>
      </c>
      <c r="H55" s="8">
        <v>0</v>
      </c>
      <c r="I55" s="8">
        <v>0</v>
      </c>
      <c r="J55" s="8">
        <v>0.1948</v>
      </c>
      <c r="K55" s="8">
        <v>0</v>
      </c>
      <c r="L55" s="8">
        <v>60.814799999999998</v>
      </c>
      <c r="M55" s="8">
        <v>145.33000000000001</v>
      </c>
      <c r="N55" s="10">
        <v>2.3973935994721201</v>
      </c>
      <c r="O55" s="10">
        <v>2.3794589997480098</v>
      </c>
      <c r="P55" s="10">
        <v>2.3957216468031</v>
      </c>
      <c r="Q55" s="10">
        <v>2.39543361626288</v>
      </c>
      <c r="R55" s="8">
        <v>144.242804564724</v>
      </c>
      <c r="S55" s="8">
        <v>145.202265881296</v>
      </c>
      <c r="T55" s="8">
        <v>145.19264891636101</v>
      </c>
      <c r="U55" s="9">
        <v>-7.5089961943546196E-3</v>
      </c>
      <c r="V55" s="9">
        <v>-8.7931112605432401E-4</v>
      </c>
      <c r="W55" s="9">
        <v>-9.4554482677248499E-4</v>
      </c>
      <c r="X55" s="10">
        <v>2.3897143458500198</v>
      </c>
      <c r="Y55" s="10">
        <v>2.3816575271846898</v>
      </c>
      <c r="Z55" s="10">
        <v>2.3926872531608399</v>
      </c>
      <c r="AA55" s="10">
        <v>2.3939164194417502</v>
      </c>
      <c r="AB55" s="8">
        <v>144.84002618423099</v>
      </c>
      <c r="AC55" s="8">
        <v>145.531032870719</v>
      </c>
      <c r="AD55" s="8">
        <v>145.59030240962201</v>
      </c>
      <c r="AE55" s="9">
        <v>-3.3771529602645701E-3</v>
      </c>
      <c r="AF55" s="9">
        <v>1.3823295664407999E-3</v>
      </c>
      <c r="AG55" s="9">
        <v>1.78951057682504E-3</v>
      </c>
      <c r="AZ55" s="9"/>
      <c r="BB55">
        <f t="shared" si="2"/>
        <v>0</v>
      </c>
      <c r="BC55">
        <f t="shared" si="3"/>
        <v>1</v>
      </c>
      <c r="BD55">
        <f t="shared" si="4"/>
        <v>0</v>
      </c>
      <c r="BE55">
        <f t="shared" si="0"/>
        <v>0</v>
      </c>
      <c r="BF55">
        <f t="shared" si="5"/>
        <v>0</v>
      </c>
      <c r="BG55" s="9">
        <f t="shared" si="6"/>
        <v>0</v>
      </c>
      <c r="BH55" s="9">
        <f t="shared" si="7"/>
        <v>0</v>
      </c>
      <c r="BI55" s="9">
        <f t="shared" si="8"/>
        <v>0</v>
      </c>
      <c r="BJ55" s="12">
        <f t="shared" si="9"/>
        <v>-3.6295797838099119E-3</v>
      </c>
      <c r="BL55" s="9"/>
      <c r="BN55">
        <f t="shared" si="10"/>
        <v>0</v>
      </c>
      <c r="BO55">
        <f t="shared" si="11"/>
        <v>0</v>
      </c>
      <c r="BP55">
        <f t="shared" si="12"/>
        <v>1</v>
      </c>
      <c r="BQ55">
        <f t="shared" si="1"/>
        <v>0</v>
      </c>
      <c r="BR55">
        <f t="shared" si="13"/>
        <v>1</v>
      </c>
      <c r="BS55" s="9">
        <f t="shared" si="14"/>
        <v>9.1954670931003804E-3</v>
      </c>
      <c r="BT55" s="9">
        <f t="shared" si="15"/>
        <v>-8.7689813120940905E-3</v>
      </c>
      <c r="BU55" s="9">
        <f t="shared" si="16"/>
        <v>4.2648578100628991E-4</v>
      </c>
      <c r="BV55" s="12">
        <f t="shared" si="17"/>
        <v>2.4458794370876965E-4</v>
      </c>
      <c r="BX55" s="12">
        <f t="shared" si="18"/>
        <v>4.2648578100628991E-4</v>
      </c>
      <c r="BY55" s="12">
        <f t="shared" si="19"/>
        <v>-3.3849918401011423E-3</v>
      </c>
    </row>
    <row r="56" spans="1:77" x14ac:dyDescent="0.3">
      <c r="A56" s="1">
        <v>46104</v>
      </c>
      <c r="B56" s="8">
        <v>60.7</v>
      </c>
      <c r="C56" s="8">
        <v>144.77000000000001</v>
      </c>
      <c r="D56" s="9">
        <v>1.3188264357956499E-3</v>
      </c>
      <c r="E56" s="9">
        <v>-3.8607424721268601E-3</v>
      </c>
      <c r="F56" s="8">
        <v>0</v>
      </c>
      <c r="G56" s="8">
        <v>0.1948</v>
      </c>
      <c r="H56" s="8">
        <v>0.59470000000000001</v>
      </c>
      <c r="I56" s="8">
        <v>0.59470000000000001</v>
      </c>
      <c r="J56" s="8">
        <v>0.1948</v>
      </c>
      <c r="K56" s="8">
        <v>0.59470000000000001</v>
      </c>
      <c r="L56" s="8">
        <v>60.894799999999996</v>
      </c>
      <c r="M56" s="8">
        <v>145.3647</v>
      </c>
      <c r="N56" s="10">
        <v>2.3850082372322898</v>
      </c>
      <c r="O56" s="10">
        <v>2.3794589997480098</v>
      </c>
      <c r="P56" s="10">
        <v>2.39487413848599</v>
      </c>
      <c r="Q56" s="10">
        <v>2.3949408257075802</v>
      </c>
      <c r="R56" s="8">
        <v>144.433161284704</v>
      </c>
      <c r="S56" s="8">
        <v>145.42030396094799</v>
      </c>
      <c r="T56" s="8">
        <v>145.402820507157</v>
      </c>
      <c r="U56" s="9">
        <v>-2.3294272864320402E-3</v>
      </c>
      <c r="V56" s="9">
        <v>4.4819212817257797E-3</v>
      </c>
      <c r="W56" s="9">
        <v>4.3616870063761899E-3</v>
      </c>
      <c r="X56" s="10">
        <v>2.3871447151480898</v>
      </c>
      <c r="Y56" s="10">
        <v>2.3816575271846898</v>
      </c>
      <c r="Z56" s="10">
        <v>2.3920533926353098</v>
      </c>
      <c r="AA56" s="10">
        <v>2.3935304527822399</v>
      </c>
      <c r="AB56" s="8">
        <v>145.030558786406</v>
      </c>
      <c r="AC56" s="8">
        <v>145.702211743779</v>
      </c>
      <c r="AD56" s="8">
        <v>145.77706157862099</v>
      </c>
      <c r="AE56" s="9">
        <v>-2.3012866150451598E-3</v>
      </c>
      <c r="AF56" s="9">
        <v>2.31913612598433E-3</v>
      </c>
      <c r="AG56" s="9">
        <v>2.83272212223417E-3</v>
      </c>
      <c r="AZ56" s="9"/>
      <c r="BB56">
        <f t="shared" si="2"/>
        <v>0</v>
      </c>
      <c r="BC56">
        <f t="shared" si="3"/>
        <v>1</v>
      </c>
      <c r="BD56">
        <f t="shared" si="4"/>
        <v>0</v>
      </c>
      <c r="BE56">
        <f t="shared" si="0"/>
        <v>1</v>
      </c>
      <c r="BF56">
        <f t="shared" si="5"/>
        <v>0</v>
      </c>
      <c r="BG56" s="9">
        <f t="shared" si="6"/>
        <v>0</v>
      </c>
      <c r="BH56" s="9">
        <f t="shared" si="7"/>
        <v>0</v>
      </c>
      <c r="BI56" s="9">
        <f t="shared" si="8"/>
        <v>0</v>
      </c>
      <c r="BJ56" s="12">
        <f t="shared" si="9"/>
        <v>-3.6295797838099119E-3</v>
      </c>
      <c r="BL56" s="9"/>
      <c r="BN56">
        <f t="shared" si="10"/>
        <v>1</v>
      </c>
      <c r="BO56">
        <f t="shared" si="11"/>
        <v>0</v>
      </c>
      <c r="BP56">
        <f t="shared" si="12"/>
        <v>0</v>
      </c>
      <c r="BQ56">
        <f t="shared" si="1"/>
        <v>1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2.4458794370876965E-4</v>
      </c>
      <c r="BX56" s="12">
        <f t="shared" si="18"/>
        <v>0</v>
      </c>
      <c r="BY56" s="12">
        <f t="shared" si="19"/>
        <v>-3.3849918401011423E-3</v>
      </c>
    </row>
    <row r="57" spans="1:77" x14ac:dyDescent="0.3">
      <c r="A57" s="1">
        <v>46105</v>
      </c>
      <c r="B57" s="8">
        <v>60.62</v>
      </c>
      <c r="C57" s="8">
        <v>144.79</v>
      </c>
      <c r="D57" s="9">
        <v>-1.31882643579555E-3</v>
      </c>
      <c r="E57" s="9">
        <v>1.38140627378074E-4</v>
      </c>
      <c r="F57" s="8">
        <v>0</v>
      </c>
      <c r="G57" s="8">
        <v>0.1948</v>
      </c>
      <c r="H57" s="8">
        <v>0</v>
      </c>
      <c r="I57" s="8">
        <v>0.59470000000000001</v>
      </c>
      <c r="J57" s="8">
        <v>0.1948</v>
      </c>
      <c r="K57" s="8">
        <v>0.59470000000000001</v>
      </c>
      <c r="L57" s="8">
        <v>60.814799999999998</v>
      </c>
      <c r="M57" s="8">
        <v>145.38469999999899</v>
      </c>
      <c r="N57" s="10">
        <v>2.3884856483008901</v>
      </c>
      <c r="O57" s="10">
        <v>2.3794589997480098</v>
      </c>
      <c r="P57" s="10">
        <v>2.3946126330584701</v>
      </c>
      <c r="Q57" s="10">
        <v>2.3948028542601598</v>
      </c>
      <c r="R57" s="8">
        <v>144.242804564724</v>
      </c>
      <c r="S57" s="8">
        <v>145.17727027502099</v>
      </c>
      <c r="T57" s="8">
        <v>145.18131285439301</v>
      </c>
      <c r="U57" s="9">
        <v>-3.78639434960574E-3</v>
      </c>
      <c r="V57" s="9">
        <v>2.6711325379352E-3</v>
      </c>
      <c r="W57" s="9">
        <v>2.6989779649869202E-3</v>
      </c>
      <c r="X57" s="10">
        <v>2.3906137979570699</v>
      </c>
      <c r="Y57" s="10">
        <v>2.3816575271846898</v>
      </c>
      <c r="Z57" s="10">
        <v>2.3920047021734101</v>
      </c>
      <c r="AA57" s="10">
        <v>2.3934988888176201</v>
      </c>
      <c r="AB57" s="8">
        <v>144.84002618423099</v>
      </c>
      <c r="AC57" s="8">
        <v>145.47224866243801</v>
      </c>
      <c r="AD57" s="8">
        <v>145.562075779861</v>
      </c>
      <c r="AE57" s="9">
        <v>-3.7534669247492802E-3</v>
      </c>
      <c r="AF57" s="9">
        <v>6.0200497519462097E-4</v>
      </c>
      <c r="AG57" s="9">
        <v>1.21930068729095E-3</v>
      </c>
      <c r="AZ57" s="9"/>
      <c r="BB57">
        <f t="shared" si="2"/>
        <v>0</v>
      </c>
      <c r="BC57">
        <f t="shared" si="3"/>
        <v>1</v>
      </c>
      <c r="BD57">
        <f t="shared" si="4"/>
        <v>0</v>
      </c>
      <c r="BE57">
        <f t="shared" si="0"/>
        <v>1</v>
      </c>
      <c r="BF57">
        <f t="shared" si="5"/>
        <v>0</v>
      </c>
      <c r="BG57" s="9">
        <f t="shared" si="6"/>
        <v>0</v>
      </c>
      <c r="BH57" s="9">
        <f t="shared" si="7"/>
        <v>0</v>
      </c>
      <c r="BI57" s="9">
        <f t="shared" si="8"/>
        <v>0</v>
      </c>
      <c r="BJ57" s="12">
        <f t="shared" si="9"/>
        <v>-3.6295797838099119E-3</v>
      </c>
      <c r="BL57" s="9"/>
      <c r="BN57">
        <f t="shared" si="10"/>
        <v>0</v>
      </c>
      <c r="BO57">
        <f t="shared" si="11"/>
        <v>0</v>
      </c>
      <c r="BP57">
        <f t="shared" si="12"/>
        <v>1</v>
      </c>
      <c r="BQ57">
        <f t="shared" si="1"/>
        <v>1</v>
      </c>
      <c r="BR57">
        <f t="shared" si="13"/>
        <v>1</v>
      </c>
      <c r="BS57" s="9">
        <f t="shared" si="14"/>
        <v>1.31882643579555E-3</v>
      </c>
      <c r="BT57" s="9">
        <f t="shared" si="15"/>
        <v>1.38140627378074E-4</v>
      </c>
      <c r="BU57" s="9">
        <f t="shared" si="16"/>
        <v>1.4569670631736239E-3</v>
      </c>
      <c r="BV57" s="12">
        <f t="shared" si="17"/>
        <v>1.7015550068823935E-3</v>
      </c>
      <c r="BX57" s="12">
        <f t="shared" si="18"/>
        <v>1.4569670631736239E-3</v>
      </c>
      <c r="BY57" s="12">
        <f t="shared" si="19"/>
        <v>-1.9280247769275184E-3</v>
      </c>
    </row>
    <row r="58" spans="1:77" x14ac:dyDescent="0.3">
      <c r="A58" s="1">
        <v>46106</v>
      </c>
      <c r="B58" s="8">
        <v>61.34</v>
      </c>
      <c r="C58" s="8">
        <v>146.24</v>
      </c>
      <c r="D58" s="9">
        <v>1.1807287056448301E-2</v>
      </c>
      <c r="E58" s="9">
        <v>9.9646909125096599E-3</v>
      </c>
      <c r="F58" s="8">
        <v>0</v>
      </c>
      <c r="G58" s="8">
        <v>0.1948</v>
      </c>
      <c r="H58" s="8">
        <v>0</v>
      </c>
      <c r="I58" s="8">
        <v>0.59470000000000001</v>
      </c>
      <c r="J58" s="8">
        <v>0.1948</v>
      </c>
      <c r="K58" s="8">
        <v>0.59470000000000001</v>
      </c>
      <c r="L58" s="8">
        <v>61.534799999999997</v>
      </c>
      <c r="M58" s="8">
        <v>146.8347</v>
      </c>
      <c r="N58" s="10">
        <v>2.38408868601238</v>
      </c>
      <c r="O58" s="10">
        <v>2.3794589997480098</v>
      </c>
      <c r="P58" s="10">
        <v>2.39374473271794</v>
      </c>
      <c r="Q58" s="10">
        <v>2.3943303094888901</v>
      </c>
      <c r="R58" s="8">
        <v>145.956015044542</v>
      </c>
      <c r="S58" s="8">
        <v>146.88553891180601</v>
      </c>
      <c r="T58" s="8">
        <v>146.897207080318</v>
      </c>
      <c r="U58" s="9">
        <v>-1.94379820566682E-3</v>
      </c>
      <c r="V58" s="9">
        <v>4.4045289115203796E-3</v>
      </c>
      <c r="W58" s="9">
        <v>4.4839629060397599E-3</v>
      </c>
      <c r="X58" s="10">
        <v>2.38620585424832</v>
      </c>
      <c r="Y58" s="10">
        <v>2.3816575271846898</v>
      </c>
      <c r="Z58" s="10">
        <v>2.3913485186564798</v>
      </c>
      <c r="AA58" s="10">
        <v>2.3931322024581601</v>
      </c>
      <c r="AB58" s="8">
        <v>146.55481960380399</v>
      </c>
      <c r="AC58" s="8">
        <v>147.19153094730001</v>
      </c>
      <c r="AD58" s="8">
        <v>147.28347542361499</v>
      </c>
      <c r="AE58" s="9">
        <v>-1.90791055844874E-3</v>
      </c>
      <c r="AF58" s="9">
        <v>2.42720604440602E-3</v>
      </c>
      <c r="AG58" s="9">
        <v>3.0516697667127999E-3</v>
      </c>
      <c r="AZ58" s="9"/>
      <c r="BB58">
        <f t="shared" si="2"/>
        <v>0</v>
      </c>
      <c r="BC58">
        <f t="shared" si="3"/>
        <v>1</v>
      </c>
      <c r="BD58">
        <f t="shared" si="4"/>
        <v>0</v>
      </c>
      <c r="BE58">
        <f t="shared" si="0"/>
        <v>1</v>
      </c>
      <c r="BF58">
        <f t="shared" si="5"/>
        <v>0</v>
      </c>
      <c r="BG58" s="9">
        <f t="shared" si="6"/>
        <v>0</v>
      </c>
      <c r="BH58" s="9">
        <f t="shared" si="7"/>
        <v>0</v>
      </c>
      <c r="BI58" s="9">
        <f t="shared" si="8"/>
        <v>0</v>
      </c>
      <c r="BJ58" s="12">
        <f t="shared" si="9"/>
        <v>-3.6295797838099119E-3</v>
      </c>
      <c r="BL58" s="9"/>
      <c r="BN58">
        <f t="shared" si="10"/>
        <v>1</v>
      </c>
      <c r="BO58">
        <f t="shared" si="11"/>
        <v>0</v>
      </c>
      <c r="BP58">
        <f t="shared" si="12"/>
        <v>1</v>
      </c>
      <c r="BQ58">
        <f t="shared" si="1"/>
        <v>1</v>
      </c>
      <c r="BR58">
        <f t="shared" si="13"/>
        <v>1</v>
      </c>
      <c r="BS58" s="9">
        <f t="shared" si="14"/>
        <v>-1.1807287056448301E-2</v>
      </c>
      <c r="BT58" s="9">
        <f t="shared" si="15"/>
        <v>9.9646909125096599E-3</v>
      </c>
      <c r="BU58" s="9">
        <f t="shared" si="16"/>
        <v>-1.8425961439386407E-3</v>
      </c>
      <c r="BV58" s="12">
        <f t="shared" si="17"/>
        <v>-1.4104113705624716E-4</v>
      </c>
      <c r="BX58" s="12">
        <f t="shared" si="18"/>
        <v>-1.8425961439386407E-3</v>
      </c>
      <c r="BY58" s="12">
        <f t="shared" si="19"/>
        <v>-3.7706209208661591E-3</v>
      </c>
    </row>
    <row r="59" spans="1:77" x14ac:dyDescent="0.3">
      <c r="A59" s="1">
        <v>46107</v>
      </c>
      <c r="B59" s="8">
        <v>61.14</v>
      </c>
      <c r="C59" s="8">
        <v>145.74</v>
      </c>
      <c r="D59" s="9">
        <v>-3.26584222341711E-3</v>
      </c>
      <c r="E59" s="9">
        <v>-3.4248954637037502E-3</v>
      </c>
      <c r="F59" s="8">
        <v>0</v>
      </c>
      <c r="G59" s="8">
        <v>0.1948</v>
      </c>
      <c r="H59" s="8">
        <v>0</v>
      </c>
      <c r="I59" s="8">
        <v>0.59470000000000001</v>
      </c>
      <c r="J59" s="8">
        <v>0.1948</v>
      </c>
      <c r="K59" s="8">
        <v>0.59470000000000001</v>
      </c>
      <c r="L59" s="8">
        <v>61.334800000000001</v>
      </c>
      <c r="M59" s="8">
        <v>146.3347</v>
      </c>
      <c r="N59" s="10">
        <v>2.3837095191364002</v>
      </c>
      <c r="O59" s="10">
        <v>2.3794589997480098</v>
      </c>
      <c r="P59" s="10">
        <v>2.3924349184703702</v>
      </c>
      <c r="Q59" s="10">
        <v>2.3938411617570998</v>
      </c>
      <c r="R59" s="8">
        <v>145.48012324459299</v>
      </c>
      <c r="S59" s="8">
        <v>146.35355295837499</v>
      </c>
      <c r="T59" s="8">
        <v>146.38935512215099</v>
      </c>
      <c r="U59" s="9">
        <v>-1.78474496538006E-3</v>
      </c>
      <c r="V59" s="9">
        <v>4.2010777338059102E-3</v>
      </c>
      <c r="W59" s="9">
        <v>4.4456757272399797E-3</v>
      </c>
      <c r="X59" s="10">
        <v>2.38583479525489</v>
      </c>
      <c r="Y59" s="10">
        <v>2.3816575271846898</v>
      </c>
      <c r="Z59" s="10">
        <v>2.3902512320207498</v>
      </c>
      <c r="AA59" s="10">
        <v>2.3927493185322901</v>
      </c>
      <c r="AB59" s="8">
        <v>146.07848809836699</v>
      </c>
      <c r="AC59" s="8">
        <v>146.67288312209101</v>
      </c>
      <c r="AD59" s="8">
        <v>146.78228501133</v>
      </c>
      <c r="AE59" s="9">
        <v>-1.7523967975933399E-3</v>
      </c>
      <c r="AF59" s="9">
        <v>2.3083584981385E-3</v>
      </c>
      <c r="AG59" s="9">
        <v>3.0539708177552802E-3</v>
      </c>
      <c r="AZ59" s="9"/>
      <c r="BB59">
        <f t="shared" si="2"/>
        <v>0</v>
      </c>
      <c r="BC59">
        <f t="shared" si="3"/>
        <v>1</v>
      </c>
      <c r="BD59">
        <f t="shared" si="4"/>
        <v>0</v>
      </c>
      <c r="BE59">
        <f t="shared" si="0"/>
        <v>1</v>
      </c>
      <c r="BF59">
        <f t="shared" si="5"/>
        <v>0</v>
      </c>
      <c r="BG59" s="9">
        <f t="shared" si="6"/>
        <v>0</v>
      </c>
      <c r="BH59" s="9">
        <f t="shared" si="7"/>
        <v>0</v>
      </c>
      <c r="BI59" s="9">
        <f t="shared" si="8"/>
        <v>0</v>
      </c>
      <c r="BJ59" s="12">
        <f t="shared" si="9"/>
        <v>-3.6295797838099119E-3</v>
      </c>
      <c r="BL59" s="9"/>
      <c r="BN59">
        <f t="shared" si="10"/>
        <v>1</v>
      </c>
      <c r="BO59">
        <f t="shared" si="11"/>
        <v>0</v>
      </c>
      <c r="BP59">
        <f t="shared" si="12"/>
        <v>1</v>
      </c>
      <c r="BQ59">
        <f t="shared" si="1"/>
        <v>1</v>
      </c>
      <c r="BR59">
        <f t="shared" si="13"/>
        <v>1</v>
      </c>
      <c r="BS59" s="9">
        <f t="shared" si="14"/>
        <v>3.26584222341711E-3</v>
      </c>
      <c r="BT59" s="9">
        <f t="shared" si="15"/>
        <v>-3.4248954637037502E-3</v>
      </c>
      <c r="BU59" s="9">
        <f t="shared" si="16"/>
        <v>-1.5905324028664012E-4</v>
      </c>
      <c r="BV59" s="12">
        <f t="shared" si="17"/>
        <v>-3.0009437734288729E-4</v>
      </c>
      <c r="BX59" s="12">
        <f t="shared" si="18"/>
        <v>-1.5905324028664012E-4</v>
      </c>
      <c r="BY59" s="12">
        <f t="shared" si="19"/>
        <v>-3.9296741611527988E-3</v>
      </c>
    </row>
    <row r="60" spans="1:77" x14ac:dyDescent="0.3">
      <c r="A60" s="1">
        <v>46108</v>
      </c>
      <c r="B60" s="8">
        <v>60.06</v>
      </c>
      <c r="C60" s="8">
        <v>143.26</v>
      </c>
      <c r="D60" s="9">
        <v>-1.7822253907504099E-2</v>
      </c>
      <c r="E60" s="9">
        <v>-1.7163051055831002E-2</v>
      </c>
      <c r="F60" s="8">
        <v>0</v>
      </c>
      <c r="G60" s="8">
        <v>0.1948</v>
      </c>
      <c r="H60" s="8">
        <v>0</v>
      </c>
      <c r="I60" s="8">
        <v>0.59470000000000001</v>
      </c>
      <c r="J60" s="8">
        <v>0.1948</v>
      </c>
      <c r="K60" s="8">
        <v>0.59470000000000001</v>
      </c>
      <c r="L60" s="8">
        <v>60.254800000000003</v>
      </c>
      <c r="M60" s="8">
        <v>143.85469999999901</v>
      </c>
      <c r="N60" s="10">
        <v>2.3852813852813801</v>
      </c>
      <c r="O60" s="10">
        <v>2.3794589997480098</v>
      </c>
      <c r="P60" s="10">
        <v>2.3913373971040901</v>
      </c>
      <c r="Q60" s="10">
        <v>2.3932668109134498</v>
      </c>
      <c r="R60" s="8">
        <v>142.910307524865</v>
      </c>
      <c r="S60" s="8">
        <v>143.68964120333001</v>
      </c>
      <c r="T60" s="8">
        <v>143.774100175131</v>
      </c>
      <c r="U60" s="9">
        <v>-2.4439478170533899E-3</v>
      </c>
      <c r="V60" s="9">
        <v>2.99454303262913E-3</v>
      </c>
      <c r="W60" s="9">
        <v>3.5821578311159802E-3</v>
      </c>
      <c r="X60" s="10">
        <v>2.3874396728559302</v>
      </c>
      <c r="Y60" s="10">
        <v>2.3816575271846898</v>
      </c>
      <c r="Z60" s="10">
        <v>2.3893695394119301</v>
      </c>
      <c r="AA60" s="10">
        <v>2.3922828820673701</v>
      </c>
      <c r="AB60" s="8">
        <v>143.50629796900799</v>
      </c>
      <c r="AC60" s="8">
        <v>144.02410993516401</v>
      </c>
      <c r="AD60" s="8">
        <v>144.17463163829899</v>
      </c>
      <c r="AE60" s="9">
        <v>-2.4248398646066001E-3</v>
      </c>
      <c r="AF60" s="9">
        <v>1.17695327946042E-3</v>
      </c>
      <c r="AG60" s="9">
        <v>2.2215221488461499E-3</v>
      </c>
      <c r="AZ60" s="9"/>
      <c r="BB60">
        <f t="shared" si="2"/>
        <v>0</v>
      </c>
      <c r="BC60">
        <f t="shared" si="3"/>
        <v>1</v>
      </c>
      <c r="BD60">
        <f t="shared" si="4"/>
        <v>0</v>
      </c>
      <c r="BE60">
        <f t="shared" si="0"/>
        <v>1</v>
      </c>
      <c r="BF60">
        <f t="shared" si="5"/>
        <v>0</v>
      </c>
      <c r="BG60" s="9">
        <f t="shared" si="6"/>
        <v>0</v>
      </c>
      <c r="BH60" s="9">
        <f t="shared" si="7"/>
        <v>0</v>
      </c>
      <c r="BI60" s="9">
        <f t="shared" si="8"/>
        <v>0</v>
      </c>
      <c r="BJ60" s="12">
        <f t="shared" si="9"/>
        <v>-3.6295797838099119E-3</v>
      </c>
      <c r="BL60" s="9"/>
      <c r="BN60">
        <f t="shared" si="10"/>
        <v>1</v>
      </c>
      <c r="BO60">
        <f t="shared" si="11"/>
        <v>0</v>
      </c>
      <c r="BP60">
        <f t="shared" si="12"/>
        <v>1</v>
      </c>
      <c r="BQ60">
        <f t="shared" si="1"/>
        <v>1</v>
      </c>
      <c r="BR60">
        <f t="shared" si="13"/>
        <v>1</v>
      </c>
      <c r="BS60" s="9">
        <f t="shared" si="14"/>
        <v>1.7822253907504099E-2</v>
      </c>
      <c r="BT60" s="9">
        <f t="shared" si="15"/>
        <v>-1.7163051055831002E-2</v>
      </c>
      <c r="BU60" s="9">
        <f t="shared" si="16"/>
        <v>6.5920285167309772E-4</v>
      </c>
      <c r="BV60" s="12">
        <f t="shared" si="17"/>
        <v>3.5910847433021044E-4</v>
      </c>
      <c r="BX60" s="12">
        <f t="shared" si="18"/>
        <v>6.5920285167309772E-4</v>
      </c>
      <c r="BY60" s="12">
        <f t="shared" si="19"/>
        <v>-3.270471309479701E-3</v>
      </c>
    </row>
    <row r="61" spans="1:77" x14ac:dyDescent="0.3">
      <c r="A61" s="1">
        <v>46111</v>
      </c>
      <c r="B61" s="8">
        <v>60.35</v>
      </c>
      <c r="C61" s="8">
        <v>143.82</v>
      </c>
      <c r="D61" s="9">
        <v>4.8168849883562896E-3</v>
      </c>
      <c r="E61" s="9">
        <v>3.9013564880429302E-3</v>
      </c>
      <c r="F61" s="8">
        <v>0</v>
      </c>
      <c r="G61" s="8">
        <v>0.1948</v>
      </c>
      <c r="H61" s="8">
        <v>0</v>
      </c>
      <c r="I61" s="8">
        <v>0.59470000000000001</v>
      </c>
      <c r="J61" s="8">
        <v>0.1948</v>
      </c>
      <c r="K61" s="8">
        <v>0.59470000000000001</v>
      </c>
      <c r="L61" s="8">
        <v>60.544800000000002</v>
      </c>
      <c r="M61" s="8">
        <v>144.41469999999899</v>
      </c>
      <c r="N61" s="10">
        <v>2.3830985915492899</v>
      </c>
      <c r="O61" s="10">
        <v>2.3794589997480098</v>
      </c>
      <c r="P61" s="10">
        <v>2.3900629313343802</v>
      </c>
      <c r="Q61" s="10">
        <v>2.39246865332384</v>
      </c>
      <c r="R61" s="8">
        <v>143.60035063479199</v>
      </c>
      <c r="S61" s="8">
        <v>144.31721191523201</v>
      </c>
      <c r="T61" s="8">
        <v>144.43365203862601</v>
      </c>
      <c r="U61" s="9">
        <v>-1.52841931673989E-3</v>
      </c>
      <c r="V61" s="9">
        <v>3.4512196841782099E-3</v>
      </c>
      <c r="W61" s="9">
        <v>4.25772899197266E-3</v>
      </c>
      <c r="X61" s="10">
        <v>2.3852535643027899</v>
      </c>
      <c r="Y61" s="10">
        <v>2.3816575271846898</v>
      </c>
      <c r="Z61" s="10">
        <v>2.3883105709175698</v>
      </c>
      <c r="AA61" s="10">
        <v>2.3915924731154399</v>
      </c>
      <c r="AB61" s="8">
        <v>144.19697865189099</v>
      </c>
      <c r="AC61" s="8">
        <v>144.66390088978699</v>
      </c>
      <c r="AD61" s="8">
        <v>144.84028863819199</v>
      </c>
      <c r="AE61" s="9">
        <v>-1.5087496834878299E-3</v>
      </c>
      <c r="AF61" s="9">
        <v>1.7241051447639301E-3</v>
      </c>
      <c r="AG61" s="9">
        <v>2.9426558712219602E-3</v>
      </c>
      <c r="AZ61" s="9"/>
      <c r="BB61">
        <f t="shared" si="2"/>
        <v>0</v>
      </c>
      <c r="BC61">
        <f t="shared" si="3"/>
        <v>1</v>
      </c>
      <c r="BD61">
        <f t="shared" si="4"/>
        <v>0</v>
      </c>
      <c r="BE61">
        <f t="shared" si="0"/>
        <v>1</v>
      </c>
      <c r="BF61">
        <f t="shared" si="5"/>
        <v>0</v>
      </c>
      <c r="BG61" s="9">
        <f t="shared" si="6"/>
        <v>0</v>
      </c>
      <c r="BH61" s="9">
        <f t="shared" si="7"/>
        <v>0</v>
      </c>
      <c r="BI61" s="9">
        <f t="shared" si="8"/>
        <v>0</v>
      </c>
      <c r="BJ61" s="12">
        <f t="shared" si="9"/>
        <v>-3.6295797838099119E-3</v>
      </c>
      <c r="BL61" s="9"/>
      <c r="BN61">
        <f t="shared" si="10"/>
        <v>1</v>
      </c>
      <c r="BO61">
        <f t="shared" si="11"/>
        <v>0</v>
      </c>
      <c r="BP61">
        <f t="shared" si="12"/>
        <v>1</v>
      </c>
      <c r="BQ61">
        <f t="shared" si="1"/>
        <v>1</v>
      </c>
      <c r="BR61">
        <f t="shared" si="13"/>
        <v>1</v>
      </c>
      <c r="BS61" s="9">
        <f t="shared" si="14"/>
        <v>-4.8168849883562896E-3</v>
      </c>
      <c r="BT61" s="9">
        <f t="shared" si="15"/>
        <v>3.9013564880429302E-3</v>
      </c>
      <c r="BU61" s="9">
        <f t="shared" si="16"/>
        <v>-9.1552850031335941E-4</v>
      </c>
      <c r="BV61" s="12">
        <f t="shared" si="17"/>
        <v>-5.5642002598314897E-4</v>
      </c>
      <c r="BX61" s="12">
        <f t="shared" si="18"/>
        <v>-9.1552850031335941E-4</v>
      </c>
      <c r="BY61" s="12">
        <f t="shared" si="19"/>
        <v>-4.18599980979306E-3</v>
      </c>
    </row>
    <row r="62" spans="1:77" x14ac:dyDescent="0.3">
      <c r="A62" s="1">
        <v>46112</v>
      </c>
      <c r="B62" s="8">
        <v>61.64</v>
      </c>
      <c r="C62" s="8">
        <v>146.61000000000001</v>
      </c>
      <c r="D62" s="9">
        <v>2.1150062908374401E-2</v>
      </c>
      <c r="E62" s="9">
        <v>1.9213482275825301E-2</v>
      </c>
      <c r="F62" s="8">
        <v>0</v>
      </c>
      <c r="G62" s="8">
        <v>0.1948</v>
      </c>
      <c r="H62" s="8">
        <v>0</v>
      </c>
      <c r="I62" s="8">
        <v>0.59470000000000001</v>
      </c>
      <c r="J62" s="8">
        <v>0.1948</v>
      </c>
      <c r="K62" s="8">
        <v>0.59470000000000001</v>
      </c>
      <c r="L62" s="8">
        <v>61.834800000000001</v>
      </c>
      <c r="M62" s="8">
        <v>147.2047</v>
      </c>
      <c r="N62" s="10">
        <v>2.3784879948085602</v>
      </c>
      <c r="O62" s="10">
        <v>2.3794589997480098</v>
      </c>
      <c r="P62" s="10">
        <v>2.38787323225894</v>
      </c>
      <c r="Q62" s="10">
        <v>2.3914879123053998</v>
      </c>
      <c r="R62" s="8">
        <v>146.66985274446699</v>
      </c>
      <c r="S62" s="8">
        <v>147.32347908745101</v>
      </c>
      <c r="T62" s="8">
        <v>147.47176779088201</v>
      </c>
      <c r="U62" s="9">
        <v>4.0816131580935001E-4</v>
      </c>
      <c r="V62" s="9">
        <v>4.8547072007580402E-3</v>
      </c>
      <c r="W62" s="9">
        <v>5.8607527018836704E-3</v>
      </c>
      <c r="X62" s="10">
        <v>2.3806125353360801</v>
      </c>
      <c r="Y62" s="10">
        <v>2.3816575271846898</v>
      </c>
      <c r="Z62" s="10">
        <v>2.3870810615479598</v>
      </c>
      <c r="AA62" s="10">
        <v>2.39071795912337</v>
      </c>
      <c r="AB62" s="8">
        <v>147.26931686195999</v>
      </c>
      <c r="AC62" s="8">
        <v>147.68070649057401</v>
      </c>
      <c r="AD62" s="8">
        <v>147.88364225659799</v>
      </c>
      <c r="AE62" s="9">
        <v>4.3886291691106898E-4</v>
      </c>
      <c r="AF62" s="9">
        <v>3.2284195388170801E-3</v>
      </c>
      <c r="AG62" s="9">
        <v>4.6016284442521498E-3</v>
      </c>
      <c r="AZ62" s="9"/>
      <c r="BB62">
        <f t="shared" si="2"/>
        <v>0</v>
      </c>
      <c r="BC62">
        <f t="shared" si="3"/>
        <v>1</v>
      </c>
      <c r="BD62">
        <f t="shared" si="4"/>
        <v>0</v>
      </c>
      <c r="BE62">
        <f t="shared" si="0"/>
        <v>1</v>
      </c>
      <c r="BF62">
        <f t="shared" si="5"/>
        <v>0</v>
      </c>
      <c r="BG62" s="9">
        <f t="shared" si="6"/>
        <v>0</v>
      </c>
      <c r="BH62" s="9">
        <f t="shared" si="7"/>
        <v>0</v>
      </c>
      <c r="BI62" s="9">
        <f t="shared" si="8"/>
        <v>0</v>
      </c>
      <c r="BJ62" s="12">
        <f t="shared" si="9"/>
        <v>-3.6295797838099119E-3</v>
      </c>
      <c r="BL62" s="9"/>
      <c r="BN62">
        <f t="shared" si="10"/>
        <v>1</v>
      </c>
      <c r="BO62">
        <f t="shared" si="11"/>
        <v>0</v>
      </c>
      <c r="BP62">
        <f t="shared" si="12"/>
        <v>1</v>
      </c>
      <c r="BQ62">
        <f t="shared" si="1"/>
        <v>1</v>
      </c>
      <c r="BR62">
        <f t="shared" si="13"/>
        <v>1</v>
      </c>
      <c r="BS62" s="9">
        <f t="shared" si="14"/>
        <v>-2.1150062908374401E-2</v>
      </c>
      <c r="BT62" s="9">
        <f t="shared" si="15"/>
        <v>1.9213482275825301E-2</v>
      </c>
      <c r="BU62" s="9">
        <f t="shared" si="16"/>
        <v>-1.9365806325491002E-3</v>
      </c>
      <c r="BV62" s="12">
        <f t="shared" si="17"/>
        <v>-2.4930006585322491E-3</v>
      </c>
      <c r="BX62" s="12">
        <f t="shared" si="18"/>
        <v>-1.9365806325491002E-3</v>
      </c>
      <c r="BY62" s="12">
        <f t="shared" si="19"/>
        <v>-6.1225804423421602E-3</v>
      </c>
    </row>
    <row r="63" spans="1:77" x14ac:dyDescent="0.3">
      <c r="A63" s="1">
        <v>46113</v>
      </c>
      <c r="B63" s="8">
        <v>62.12</v>
      </c>
      <c r="C63" s="8">
        <v>147.72999999999999</v>
      </c>
      <c r="D63" s="9">
        <v>7.75698782857115E-3</v>
      </c>
      <c r="E63" s="9">
        <v>7.61028338334348E-3</v>
      </c>
      <c r="F63" s="8">
        <v>0</v>
      </c>
      <c r="G63" s="8">
        <v>0.1948</v>
      </c>
      <c r="H63" s="8">
        <v>0</v>
      </c>
      <c r="I63" s="8">
        <v>0.59470000000000001</v>
      </c>
      <c r="J63" s="8">
        <v>0.1948</v>
      </c>
      <c r="K63" s="8">
        <v>0.59470000000000001</v>
      </c>
      <c r="L63" s="8">
        <v>62.314799999999998</v>
      </c>
      <c r="M63" s="8">
        <v>148.32469999999901</v>
      </c>
      <c r="N63" s="10">
        <v>2.3781390856406901</v>
      </c>
      <c r="O63" s="10">
        <v>2.3794589997480098</v>
      </c>
      <c r="P63" s="10">
        <v>2.3860064110624601</v>
      </c>
      <c r="Q63" s="10">
        <v>2.3905276707394698</v>
      </c>
      <c r="R63" s="8">
        <v>147.81199306434601</v>
      </c>
      <c r="S63" s="8">
        <v>148.334685187925</v>
      </c>
      <c r="T63" s="8">
        <v>148.559229112411</v>
      </c>
      <c r="U63" s="9">
        <v>5.5486576103705595E-4</v>
      </c>
      <c r="V63" s="9">
        <v>4.0848237495483596E-3</v>
      </c>
      <c r="W63" s="9">
        <v>5.59744463185116E-3</v>
      </c>
      <c r="X63" s="10">
        <v>2.3802483519163902</v>
      </c>
      <c r="Y63" s="10">
        <v>2.3816575271846898</v>
      </c>
      <c r="Z63" s="10">
        <v>2.3861833054508401</v>
      </c>
      <c r="AA63" s="10">
        <v>2.3898631808712301</v>
      </c>
      <c r="AB63" s="8">
        <v>148.41251247500799</v>
      </c>
      <c r="AC63" s="8">
        <v>148.75047893414899</v>
      </c>
      <c r="AD63" s="8">
        <v>148.97711147918099</v>
      </c>
      <c r="AE63" s="9">
        <v>5.9185349110573999E-4</v>
      </c>
      <c r="AF63" s="9">
        <v>2.86647458880651E-3</v>
      </c>
      <c r="AG63" s="9">
        <v>4.3888903547775497E-3</v>
      </c>
      <c r="AZ63" s="9"/>
      <c r="BB63">
        <f t="shared" si="2"/>
        <v>0</v>
      </c>
      <c r="BC63">
        <f t="shared" si="3"/>
        <v>1</v>
      </c>
      <c r="BD63">
        <f t="shared" si="4"/>
        <v>0</v>
      </c>
      <c r="BE63">
        <f t="shared" si="0"/>
        <v>1</v>
      </c>
      <c r="BF63">
        <f t="shared" si="5"/>
        <v>0</v>
      </c>
      <c r="BG63" s="9">
        <f t="shared" si="6"/>
        <v>0</v>
      </c>
      <c r="BH63" s="9">
        <f t="shared" si="7"/>
        <v>0</v>
      </c>
      <c r="BI63" s="9">
        <f t="shared" si="8"/>
        <v>0</v>
      </c>
      <c r="BJ63" s="12">
        <f t="shared" si="9"/>
        <v>-3.6295797838099119E-3</v>
      </c>
      <c r="BL63" s="9"/>
      <c r="BN63">
        <f t="shared" si="10"/>
        <v>1</v>
      </c>
      <c r="BO63">
        <f t="shared" si="11"/>
        <v>0</v>
      </c>
      <c r="BP63">
        <f t="shared" si="12"/>
        <v>1</v>
      </c>
      <c r="BQ63">
        <f t="shared" si="1"/>
        <v>1</v>
      </c>
      <c r="BR63">
        <f t="shared" si="13"/>
        <v>1</v>
      </c>
      <c r="BS63" s="9">
        <f t="shared" si="14"/>
        <v>-7.75698782857115E-3</v>
      </c>
      <c r="BT63" s="9">
        <f t="shared" si="15"/>
        <v>7.61028338334348E-3</v>
      </c>
      <c r="BU63" s="9">
        <f t="shared" si="16"/>
        <v>-1.4670444522766994E-4</v>
      </c>
      <c r="BV63" s="12">
        <f t="shared" si="17"/>
        <v>-2.6397051037599191E-3</v>
      </c>
      <c r="BX63" s="12">
        <f t="shared" si="18"/>
        <v>-1.4670444522766994E-4</v>
      </c>
      <c r="BY63" s="12">
        <f t="shared" si="19"/>
        <v>-6.2692848875698301E-3</v>
      </c>
    </row>
    <row r="64" spans="1:77" x14ac:dyDescent="0.3">
      <c r="A64" s="1">
        <v>46114</v>
      </c>
      <c r="B64" s="8">
        <v>61.65</v>
      </c>
      <c r="C64" s="8">
        <v>146.81</v>
      </c>
      <c r="D64" s="9">
        <v>-7.5947686701330298E-3</v>
      </c>
      <c r="E64" s="9">
        <v>-6.24704958214772E-3</v>
      </c>
      <c r="F64" s="8">
        <v>0</v>
      </c>
      <c r="G64" s="8">
        <v>0.1948</v>
      </c>
      <c r="H64" s="8">
        <v>0</v>
      </c>
      <c r="I64" s="8">
        <v>0.59470000000000001</v>
      </c>
      <c r="J64" s="8">
        <v>0.1948</v>
      </c>
      <c r="K64" s="8">
        <v>0.59470000000000001</v>
      </c>
      <c r="L64" s="8">
        <v>61.844799999999999</v>
      </c>
      <c r="M64" s="8">
        <v>147.40469999999999</v>
      </c>
      <c r="N64" s="10">
        <v>2.38134630981346</v>
      </c>
      <c r="O64" s="10">
        <v>2.3794589997480098</v>
      </c>
      <c r="P64" s="10">
        <v>2.3845039057247499</v>
      </c>
      <c r="Q64" s="10">
        <v>2.3898951884388899</v>
      </c>
      <c r="R64" s="8">
        <v>146.693647334464</v>
      </c>
      <c r="S64" s="8">
        <v>147.097295242</v>
      </c>
      <c r="T64" s="8">
        <v>147.376030901088</v>
      </c>
      <c r="U64" s="9">
        <v>-7.9285332694816E-4</v>
      </c>
      <c r="V64" s="9">
        <v>1.9550064809994001E-3</v>
      </c>
      <c r="W64" s="9">
        <v>3.84812016966414E-3</v>
      </c>
      <c r="X64" s="10">
        <v>2.3834615036349001</v>
      </c>
      <c r="Y64" s="10">
        <v>2.3816575271846898</v>
      </c>
      <c r="Z64" s="10">
        <v>2.3856529136504498</v>
      </c>
      <c r="AA64" s="10">
        <v>2.38933645826171</v>
      </c>
      <c r="AB64" s="8">
        <v>147.293133437232</v>
      </c>
      <c r="AC64" s="8">
        <v>147.573029288946</v>
      </c>
      <c r="AD64" s="8">
        <v>147.800610448345</v>
      </c>
      <c r="AE64" s="9">
        <v>-7.5715906558744496E-4</v>
      </c>
      <c r="AF64" s="9">
        <v>1.1413018035234699E-3</v>
      </c>
      <c r="AG64" s="9">
        <v>2.68227346663617E-3</v>
      </c>
      <c r="AZ64" s="9"/>
      <c r="BB64">
        <f t="shared" si="2"/>
        <v>0</v>
      </c>
      <c r="BC64">
        <f t="shared" si="3"/>
        <v>1</v>
      </c>
      <c r="BD64">
        <f t="shared" si="4"/>
        <v>0</v>
      </c>
      <c r="BE64">
        <f t="shared" si="0"/>
        <v>1</v>
      </c>
      <c r="BF64">
        <f t="shared" si="5"/>
        <v>0</v>
      </c>
      <c r="BG64" s="9">
        <f t="shared" si="6"/>
        <v>0</v>
      </c>
      <c r="BH64" s="9">
        <f t="shared" si="7"/>
        <v>0</v>
      </c>
      <c r="BI64" s="9">
        <f t="shared" si="8"/>
        <v>0</v>
      </c>
      <c r="BJ64" s="12">
        <f t="shared" si="9"/>
        <v>-3.6295797838099119E-3</v>
      </c>
      <c r="BL64" s="9"/>
      <c r="BN64">
        <f t="shared" si="10"/>
        <v>1</v>
      </c>
      <c r="BO64">
        <f t="shared" si="11"/>
        <v>0</v>
      </c>
      <c r="BP64">
        <f t="shared" si="12"/>
        <v>1</v>
      </c>
      <c r="BQ64">
        <f t="shared" si="1"/>
        <v>1</v>
      </c>
      <c r="BR64">
        <f t="shared" si="13"/>
        <v>1</v>
      </c>
      <c r="BS64" s="9">
        <f t="shared" si="14"/>
        <v>7.5947686701330298E-3</v>
      </c>
      <c r="BT64" s="9">
        <f t="shared" si="15"/>
        <v>-6.24704958214772E-3</v>
      </c>
      <c r="BU64" s="9">
        <f t="shared" si="16"/>
        <v>1.3477190879853098E-3</v>
      </c>
      <c r="BV64" s="12">
        <f t="shared" si="17"/>
        <v>-1.2919860157746092E-3</v>
      </c>
      <c r="BX64" s="12">
        <f t="shared" si="18"/>
        <v>1.3477190879853098E-3</v>
      </c>
      <c r="BY64" s="12">
        <f t="shared" si="19"/>
        <v>-4.9215657995845203E-3</v>
      </c>
    </row>
    <row r="65" spans="1:77" x14ac:dyDescent="0.3">
      <c r="A65" s="1">
        <v>46118</v>
      </c>
      <c r="B65" s="8">
        <v>61.5</v>
      </c>
      <c r="C65" s="8">
        <v>146.28</v>
      </c>
      <c r="D65" s="9">
        <v>-2.4360547978811101E-3</v>
      </c>
      <c r="E65" s="9">
        <v>-3.6166404701885499E-3</v>
      </c>
      <c r="F65" s="8">
        <v>0</v>
      </c>
      <c r="G65" s="8">
        <v>0.1948</v>
      </c>
      <c r="H65" s="8">
        <v>0</v>
      </c>
      <c r="I65" s="8">
        <v>0.59470000000000001</v>
      </c>
      <c r="J65" s="8">
        <v>0.1948</v>
      </c>
      <c r="K65" s="8">
        <v>0.59470000000000001</v>
      </c>
      <c r="L65" s="8">
        <v>61.694800000000001</v>
      </c>
      <c r="M65" s="8">
        <v>146.87469999999999</v>
      </c>
      <c r="N65" s="10">
        <v>2.37853658536585</v>
      </c>
      <c r="O65" s="10">
        <v>2.3794589997480098</v>
      </c>
      <c r="P65" s="10">
        <v>2.3826182043141202</v>
      </c>
      <c r="Q65" s="10">
        <v>2.3891699255586101</v>
      </c>
      <c r="R65" s="8">
        <v>146.336728484502</v>
      </c>
      <c r="S65" s="8">
        <v>146.646990202072</v>
      </c>
      <c r="T65" s="8">
        <v>146.97855408899099</v>
      </c>
      <c r="U65" s="9">
        <v>3.8773234535925699E-4</v>
      </c>
      <c r="V65" s="9">
        <v>2.5056782499214502E-3</v>
      </c>
      <c r="W65" s="9">
        <v>4.7640923034175699E-3</v>
      </c>
      <c r="X65" s="10">
        <v>2.3806657935514801</v>
      </c>
      <c r="Y65" s="10">
        <v>2.3816575271846898</v>
      </c>
      <c r="Z65" s="10">
        <v>2.3847480584206</v>
      </c>
      <c r="AA65" s="10">
        <v>2.3887176557907202</v>
      </c>
      <c r="AB65" s="8">
        <v>146.93588480815399</v>
      </c>
      <c r="AC65" s="8">
        <v>147.18237937708199</v>
      </c>
      <c r="AD65" s="8">
        <v>147.40963492516499</v>
      </c>
      <c r="AE65" s="9">
        <v>4.1649152346709498E-4</v>
      </c>
      <c r="AF65" s="9">
        <v>2.0926514676403102E-3</v>
      </c>
      <c r="AG65" s="9">
        <v>3.6355011182045301E-3</v>
      </c>
      <c r="AZ65" s="9"/>
      <c r="BB65">
        <f t="shared" si="2"/>
        <v>0</v>
      </c>
      <c r="BC65">
        <f t="shared" si="3"/>
        <v>1</v>
      </c>
      <c r="BD65">
        <f t="shared" si="4"/>
        <v>0</v>
      </c>
      <c r="BE65">
        <f t="shared" si="0"/>
        <v>1</v>
      </c>
      <c r="BF65">
        <f t="shared" si="5"/>
        <v>0</v>
      </c>
      <c r="BG65" s="9">
        <f t="shared" si="6"/>
        <v>0</v>
      </c>
      <c r="BH65" s="9">
        <f t="shared" si="7"/>
        <v>0</v>
      </c>
      <c r="BI65" s="9">
        <f t="shared" si="8"/>
        <v>0</v>
      </c>
      <c r="BJ65" s="12">
        <f t="shared" si="9"/>
        <v>-3.6295797838099119E-3</v>
      </c>
      <c r="BL65" s="9"/>
      <c r="BN65">
        <f t="shared" si="10"/>
        <v>1</v>
      </c>
      <c r="BO65">
        <f t="shared" si="11"/>
        <v>0</v>
      </c>
      <c r="BP65">
        <f t="shared" si="12"/>
        <v>1</v>
      </c>
      <c r="BQ65">
        <f t="shared" si="1"/>
        <v>1</v>
      </c>
      <c r="BR65">
        <f t="shared" si="13"/>
        <v>1</v>
      </c>
      <c r="BS65" s="9">
        <f t="shared" si="14"/>
        <v>2.4360547978811101E-3</v>
      </c>
      <c r="BT65" s="9">
        <f t="shared" si="15"/>
        <v>-3.6166404701885499E-3</v>
      </c>
      <c r="BU65" s="9">
        <f t="shared" si="16"/>
        <v>-1.1805856723074398E-3</v>
      </c>
      <c r="BV65" s="12">
        <f t="shared" si="17"/>
        <v>-2.472571688082049E-3</v>
      </c>
      <c r="BX65" s="12">
        <f t="shared" si="18"/>
        <v>-1.1805856723074398E-3</v>
      </c>
      <c r="BY65" s="12">
        <f t="shared" si="19"/>
        <v>-6.1021514718919596E-3</v>
      </c>
    </row>
    <row r="66" spans="1:77" x14ac:dyDescent="0.3">
      <c r="A66" s="1">
        <v>46119</v>
      </c>
      <c r="B66" s="8">
        <v>61.53</v>
      </c>
      <c r="C66" s="8">
        <v>146.57</v>
      </c>
      <c r="D66" s="9">
        <v>4.87685939926748E-4</v>
      </c>
      <c r="E66" s="9">
        <v>1.9805367580287602E-3</v>
      </c>
      <c r="F66" s="8">
        <v>0</v>
      </c>
      <c r="G66" s="8">
        <v>0.1948</v>
      </c>
      <c r="H66" s="8">
        <v>0</v>
      </c>
      <c r="I66" s="8">
        <v>0.59470000000000001</v>
      </c>
      <c r="J66" s="8">
        <v>0.1948</v>
      </c>
      <c r="K66" s="8">
        <v>0.59470000000000001</v>
      </c>
      <c r="L66" s="8">
        <v>61.724800000000002</v>
      </c>
      <c r="M66" s="8">
        <v>147.16469999999899</v>
      </c>
      <c r="N66" s="10">
        <v>2.3820900373801299</v>
      </c>
      <c r="O66" s="10">
        <v>2.3794589997480098</v>
      </c>
      <c r="P66" s="10">
        <v>2.3823263843289002</v>
      </c>
      <c r="Q66" s="10">
        <v>2.3886002614074502</v>
      </c>
      <c r="R66" s="8">
        <v>146.40811225449499</v>
      </c>
      <c r="S66" s="8">
        <v>146.602498111448</v>
      </c>
      <c r="T66" s="8">
        <v>147.00562551962099</v>
      </c>
      <c r="U66" s="9">
        <v>-1.1051184727426701E-3</v>
      </c>
      <c r="V66" s="9">
        <v>2.2169959181363901E-4</v>
      </c>
      <c r="W66" s="9">
        <v>2.9677248482575199E-3</v>
      </c>
      <c r="X66" s="10">
        <v>2.38420699621545</v>
      </c>
      <c r="Y66" s="10">
        <v>2.3816575271846898</v>
      </c>
      <c r="Z66" s="10">
        <v>2.3844542865273302</v>
      </c>
      <c r="AA66" s="10">
        <v>2.3882538395813202</v>
      </c>
      <c r="AB66" s="8">
        <v>147.00733453396899</v>
      </c>
      <c r="AC66" s="8">
        <v>147.19809695639901</v>
      </c>
      <c r="AD66" s="8">
        <v>147.44311956015099</v>
      </c>
      <c r="AE66" s="9">
        <v>-1.06988743026007E-3</v>
      </c>
      <c r="AF66" s="9">
        <v>2.26910172674695E-4</v>
      </c>
      <c r="AG66" s="9">
        <v>1.8901035515940601E-3</v>
      </c>
      <c r="AZ66" s="9"/>
      <c r="BB66">
        <f t="shared" si="2"/>
        <v>0</v>
      </c>
      <c r="BC66">
        <f t="shared" si="3"/>
        <v>1</v>
      </c>
      <c r="BD66">
        <f t="shared" si="4"/>
        <v>0</v>
      </c>
      <c r="BE66">
        <f t="shared" si="0"/>
        <v>1</v>
      </c>
      <c r="BF66">
        <f t="shared" si="5"/>
        <v>0</v>
      </c>
      <c r="BG66" s="9">
        <f t="shared" si="6"/>
        <v>0</v>
      </c>
      <c r="BH66" s="9">
        <f t="shared" si="7"/>
        <v>0</v>
      </c>
      <c r="BI66" s="9">
        <f t="shared" si="8"/>
        <v>0</v>
      </c>
      <c r="BJ66" s="12">
        <f t="shared" si="9"/>
        <v>-3.6295797838099119E-3</v>
      </c>
      <c r="BL66" s="9"/>
      <c r="BN66">
        <f t="shared" si="10"/>
        <v>0</v>
      </c>
      <c r="BO66">
        <f t="shared" si="11"/>
        <v>0</v>
      </c>
      <c r="BP66">
        <f t="shared" si="12"/>
        <v>1</v>
      </c>
      <c r="BQ66">
        <f t="shared" si="1"/>
        <v>1</v>
      </c>
      <c r="BR66">
        <f t="shared" si="13"/>
        <v>1</v>
      </c>
      <c r="BS66" s="9">
        <f t="shared" si="14"/>
        <v>-4.87685939926748E-4</v>
      </c>
      <c r="BT66" s="9">
        <f t="shared" si="15"/>
        <v>1.9805367580287602E-3</v>
      </c>
      <c r="BU66" s="9">
        <f t="shared" si="16"/>
        <v>1.4928508181020121E-3</v>
      </c>
      <c r="BV66" s="12">
        <f t="shared" si="17"/>
        <v>-9.7972086998003691E-4</v>
      </c>
      <c r="BX66" s="12">
        <f t="shared" si="18"/>
        <v>1.4928508181020121E-3</v>
      </c>
      <c r="BY66" s="12">
        <f t="shared" si="19"/>
        <v>-4.6093006537899477E-3</v>
      </c>
    </row>
    <row r="67" spans="1:77" x14ac:dyDescent="0.3">
      <c r="A67" s="1">
        <v>46120</v>
      </c>
      <c r="B67" s="8">
        <v>62.81</v>
      </c>
      <c r="C67" s="8">
        <v>149.66999999999999</v>
      </c>
      <c r="D67" s="9">
        <v>2.0589435713890498E-2</v>
      </c>
      <c r="E67" s="9">
        <v>2.0929740501846299E-2</v>
      </c>
      <c r="F67" s="8">
        <v>0</v>
      </c>
      <c r="G67" s="8">
        <v>0.1948</v>
      </c>
      <c r="H67" s="8">
        <v>0</v>
      </c>
      <c r="I67" s="8">
        <v>0.59470000000000001</v>
      </c>
      <c r="J67" s="8">
        <v>0.1948</v>
      </c>
      <c r="K67" s="8">
        <v>0.59470000000000001</v>
      </c>
      <c r="L67" s="8">
        <v>63.004800000000003</v>
      </c>
      <c r="M67" s="8">
        <v>150.26469999999901</v>
      </c>
      <c r="N67" s="10">
        <v>2.3829008119726098</v>
      </c>
      <c r="O67" s="10">
        <v>2.3794589997480098</v>
      </c>
      <c r="P67" s="10">
        <v>2.3817679006960799</v>
      </c>
      <c r="Q67" s="10">
        <v>2.3881902668772699</v>
      </c>
      <c r="R67" s="8">
        <v>149.45381977417199</v>
      </c>
      <c r="S67" s="8">
        <v>149.633920199698</v>
      </c>
      <c r="T67" s="8">
        <v>150.027982419002</v>
      </c>
      <c r="U67" s="9">
        <v>-1.4454232606986501E-3</v>
      </c>
      <c r="V67" s="9">
        <v>-2.41091399350315E-4</v>
      </c>
      <c r="W67" s="9">
        <v>2.38895561702756E-3</v>
      </c>
      <c r="X67" s="10">
        <v>2.3849722560820701</v>
      </c>
      <c r="Y67" s="10">
        <v>2.3816575271846898</v>
      </c>
      <c r="Z67" s="10">
        <v>2.3838901323398298</v>
      </c>
      <c r="AA67" s="10">
        <v>2.38794741725662</v>
      </c>
      <c r="AB67" s="8">
        <v>150.05585616876601</v>
      </c>
      <c r="AC67" s="8">
        <v>150.232065431797</v>
      </c>
      <c r="AD67" s="8">
        <v>150.47145551205301</v>
      </c>
      <c r="AE67" s="9">
        <v>-1.39080632749607E-3</v>
      </c>
      <c r="AF67" s="9">
        <v>-2.1720412386995E-4</v>
      </c>
      <c r="AG67" s="9">
        <v>1.3749962606003599E-3</v>
      </c>
      <c r="AZ67" s="9"/>
      <c r="BB67">
        <f t="shared" si="2"/>
        <v>0</v>
      </c>
      <c r="BC67">
        <f t="shared" si="3"/>
        <v>1</v>
      </c>
      <c r="BD67">
        <f t="shared" si="4"/>
        <v>0</v>
      </c>
      <c r="BE67">
        <f t="shared" si="0"/>
        <v>1</v>
      </c>
      <c r="BF67">
        <f t="shared" si="5"/>
        <v>0</v>
      </c>
      <c r="BG67" s="9">
        <f t="shared" si="6"/>
        <v>0</v>
      </c>
      <c r="BH67" s="9">
        <f t="shared" si="7"/>
        <v>0</v>
      </c>
      <c r="BI67" s="9">
        <f t="shared" si="8"/>
        <v>0</v>
      </c>
      <c r="BJ67" s="12">
        <f t="shared" si="9"/>
        <v>-3.6295797838099119E-3</v>
      </c>
      <c r="BL67" s="9"/>
      <c r="BN67">
        <f t="shared" si="10"/>
        <v>0</v>
      </c>
      <c r="BO67">
        <f t="shared" si="11"/>
        <v>0</v>
      </c>
      <c r="BP67">
        <f t="shared" si="12"/>
        <v>1</v>
      </c>
      <c r="BQ67">
        <f t="shared" si="1"/>
        <v>1</v>
      </c>
      <c r="BR67">
        <f t="shared" si="13"/>
        <v>1</v>
      </c>
      <c r="BS67" s="9">
        <f t="shared" si="14"/>
        <v>-2.0589435713890498E-2</v>
      </c>
      <c r="BT67" s="9">
        <f t="shared" si="15"/>
        <v>2.0929740501846299E-2</v>
      </c>
      <c r="BU67" s="9">
        <f t="shared" si="16"/>
        <v>3.4030478795580091E-4</v>
      </c>
      <c r="BV67" s="12">
        <f t="shared" si="17"/>
        <v>-6.39416082024236E-4</v>
      </c>
      <c r="BX67" s="12">
        <f t="shared" si="18"/>
        <v>3.4030478795580091E-4</v>
      </c>
      <c r="BY67" s="12">
        <f t="shared" si="19"/>
        <v>-4.2689958658341468E-3</v>
      </c>
    </row>
    <row r="68" spans="1:77" x14ac:dyDescent="0.3">
      <c r="A68" s="1">
        <v>46121</v>
      </c>
      <c r="B68" s="8">
        <v>62.61</v>
      </c>
      <c r="C68" s="8">
        <v>149.33000000000001</v>
      </c>
      <c r="D68" s="9">
        <v>-3.18928670907039E-3</v>
      </c>
      <c r="E68" s="9">
        <v>-2.27424847187824E-3</v>
      </c>
      <c r="F68" s="8">
        <v>0</v>
      </c>
      <c r="G68" s="8">
        <v>0.1948</v>
      </c>
      <c r="H68" s="8">
        <v>0</v>
      </c>
      <c r="I68" s="8">
        <v>0.59470000000000001</v>
      </c>
      <c r="J68" s="8">
        <v>0.1948</v>
      </c>
      <c r="K68" s="8">
        <v>0.59470000000000001</v>
      </c>
      <c r="L68" s="8">
        <v>62.8048</v>
      </c>
      <c r="M68" s="8">
        <v>149.9247</v>
      </c>
      <c r="N68" s="10">
        <v>2.38508225523079</v>
      </c>
      <c r="O68" s="10">
        <v>2.3794589997480098</v>
      </c>
      <c r="P68" s="10">
        <v>2.3818672576179201</v>
      </c>
      <c r="Q68" s="10">
        <v>2.38780599516793</v>
      </c>
      <c r="R68" s="8">
        <v>148.97792797422201</v>
      </c>
      <c r="S68" s="8">
        <v>149.12248826258099</v>
      </c>
      <c r="T68" s="8">
        <v>149.52459260918599</v>
      </c>
      <c r="U68" s="9">
        <v>-2.3604614978906999E-3</v>
      </c>
      <c r="V68" s="9">
        <v>-1.3905849608802101E-3</v>
      </c>
      <c r="W68" s="9">
        <v>1.3022562911802599E-3</v>
      </c>
      <c r="X68" s="10">
        <v>2.3871535296665201</v>
      </c>
      <c r="Y68" s="10">
        <v>2.3816575271846898</v>
      </c>
      <c r="Z68" s="10">
        <v>2.38398489988165</v>
      </c>
      <c r="AA68" s="10">
        <v>2.3876667092690602</v>
      </c>
      <c r="AB68" s="8">
        <v>149.57952466332901</v>
      </c>
      <c r="AC68" s="8">
        <v>149.71974298357699</v>
      </c>
      <c r="AD68" s="8">
        <v>149.97455995131801</v>
      </c>
      <c r="AE68" s="9">
        <v>-2.3049791026020102E-3</v>
      </c>
      <c r="AF68" s="9">
        <v>-1.3680016645445899E-3</v>
      </c>
      <c r="AG68" s="9">
        <v>3.3251133588242199E-4</v>
      </c>
      <c r="AZ68" s="9"/>
      <c r="BB68">
        <f t="shared" si="2"/>
        <v>0</v>
      </c>
      <c r="BC68">
        <f t="shared" si="3"/>
        <v>1</v>
      </c>
      <c r="BD68">
        <f t="shared" si="4"/>
        <v>0</v>
      </c>
      <c r="BE68">
        <f t="shared" si="0"/>
        <v>1</v>
      </c>
      <c r="BF68">
        <f t="shared" si="5"/>
        <v>0</v>
      </c>
      <c r="BG68" s="9">
        <f t="shared" si="6"/>
        <v>0</v>
      </c>
      <c r="BH68" s="9">
        <f t="shared" si="7"/>
        <v>0</v>
      </c>
      <c r="BI68" s="9">
        <f t="shared" si="8"/>
        <v>0</v>
      </c>
      <c r="BJ68" s="12">
        <f t="shared" si="9"/>
        <v>-3.6295797838099119E-3</v>
      </c>
      <c r="BL68" s="9"/>
      <c r="BN68">
        <f t="shared" si="10"/>
        <v>0</v>
      </c>
      <c r="BO68">
        <f t="shared" si="11"/>
        <v>0</v>
      </c>
      <c r="BP68">
        <f t="shared" si="12"/>
        <v>1</v>
      </c>
      <c r="BQ68">
        <f t="shared" si="1"/>
        <v>1</v>
      </c>
      <c r="BR68">
        <f t="shared" si="13"/>
        <v>1</v>
      </c>
      <c r="BS68" s="9">
        <f t="shared" si="14"/>
        <v>3.18928670907039E-3</v>
      </c>
      <c r="BT68" s="9">
        <f t="shared" si="15"/>
        <v>-2.27424847187824E-3</v>
      </c>
      <c r="BU68" s="9">
        <f t="shared" si="16"/>
        <v>9.1503823719215E-4</v>
      </c>
      <c r="BV68" s="12">
        <f t="shared" si="17"/>
        <v>2.75622155167914E-4</v>
      </c>
      <c r="BX68" s="12">
        <f t="shared" si="18"/>
        <v>9.1503823719215E-4</v>
      </c>
      <c r="BY68" s="12">
        <f t="shared" si="19"/>
        <v>-3.3539576286419968E-3</v>
      </c>
    </row>
    <row r="69" spans="1:77" x14ac:dyDescent="0.3">
      <c r="A69" s="1">
        <v>46122</v>
      </c>
      <c r="B69" s="8">
        <v>61.79</v>
      </c>
      <c r="C69" s="8">
        <v>147.31</v>
      </c>
      <c r="D69" s="9">
        <v>-1.31834706843308E-2</v>
      </c>
      <c r="E69" s="9">
        <v>-1.3619412242330301E-2</v>
      </c>
      <c r="F69" s="8">
        <v>0</v>
      </c>
      <c r="G69" s="8">
        <v>0.1948</v>
      </c>
      <c r="H69" s="8">
        <v>0</v>
      </c>
      <c r="I69" s="8">
        <v>0.59470000000000001</v>
      </c>
      <c r="J69" s="8">
        <v>0.1948</v>
      </c>
      <c r="K69" s="8">
        <v>0.59470000000000001</v>
      </c>
      <c r="L69" s="8">
        <v>61.9848</v>
      </c>
      <c r="M69" s="8">
        <v>147.90469999999999</v>
      </c>
      <c r="N69" s="10">
        <v>2.3840427253600902</v>
      </c>
      <c r="O69" s="10">
        <v>2.3794589997480098</v>
      </c>
      <c r="P69" s="10">
        <v>2.3819005782402898</v>
      </c>
      <c r="Q69" s="10">
        <v>2.38716774835533</v>
      </c>
      <c r="R69" s="8">
        <v>147.02677159442899</v>
      </c>
      <c r="S69" s="8">
        <v>147.17557784821099</v>
      </c>
      <c r="T69" s="8">
        <v>147.542532441426</v>
      </c>
      <c r="U69" s="9">
        <v>-1.92451993989121E-3</v>
      </c>
      <c r="V69" s="9">
        <v>-9.1292865414243003E-4</v>
      </c>
      <c r="W69" s="9">
        <v>1.57727992165687E-3</v>
      </c>
      <c r="X69" s="10">
        <v>2.3861446677249898</v>
      </c>
      <c r="Y69" s="10">
        <v>2.3816575271846898</v>
      </c>
      <c r="Z69" s="10">
        <v>2.3840158871286601</v>
      </c>
      <c r="AA69" s="10">
        <v>2.3871335595747101</v>
      </c>
      <c r="AB69" s="8">
        <v>147.62656549103701</v>
      </c>
      <c r="AC69" s="8">
        <v>147.77082722218401</v>
      </c>
      <c r="AD69" s="8">
        <v>147.999043440701</v>
      </c>
      <c r="AE69" s="9">
        <v>-1.8822684673832099E-3</v>
      </c>
      <c r="AF69" s="9">
        <v>-9.0553850175679996E-4</v>
      </c>
      <c r="AG69" s="9">
        <v>6.3766306435438002E-4</v>
      </c>
      <c r="AZ69" s="9"/>
      <c r="BB69">
        <f t="shared" si="2"/>
        <v>0</v>
      </c>
      <c r="BC69">
        <f t="shared" si="3"/>
        <v>1</v>
      </c>
      <c r="BD69">
        <f t="shared" si="4"/>
        <v>0</v>
      </c>
      <c r="BE69">
        <f t="shared" si="0"/>
        <v>1</v>
      </c>
      <c r="BF69">
        <f t="shared" si="5"/>
        <v>0</v>
      </c>
      <c r="BG69" s="9">
        <f t="shared" si="6"/>
        <v>0</v>
      </c>
      <c r="BH69" s="9">
        <f t="shared" si="7"/>
        <v>0</v>
      </c>
      <c r="BI69" s="9">
        <f t="shared" si="8"/>
        <v>0</v>
      </c>
      <c r="BJ69" s="12">
        <f t="shared" si="9"/>
        <v>-3.6295797838099119E-3</v>
      </c>
      <c r="BL69" s="9"/>
      <c r="BN69">
        <f t="shared" si="10"/>
        <v>0</v>
      </c>
      <c r="BO69">
        <f t="shared" si="11"/>
        <v>0</v>
      </c>
      <c r="BP69">
        <f t="shared" si="12"/>
        <v>1</v>
      </c>
      <c r="BQ69">
        <f t="shared" si="1"/>
        <v>1</v>
      </c>
      <c r="BR69">
        <f t="shared" si="13"/>
        <v>1</v>
      </c>
      <c r="BS69" s="9">
        <f t="shared" si="14"/>
        <v>1.31834706843308E-2</v>
      </c>
      <c r="BT69" s="9">
        <f t="shared" si="15"/>
        <v>-1.3619412242330301E-2</v>
      </c>
      <c r="BU69" s="9">
        <f t="shared" si="16"/>
        <v>-4.3594155799950123E-4</v>
      </c>
      <c r="BV69" s="12">
        <f t="shared" si="17"/>
        <v>-1.6031940283158723E-4</v>
      </c>
      <c r="BX69" s="12">
        <f t="shared" si="18"/>
        <v>-4.3594155799950123E-4</v>
      </c>
      <c r="BY69" s="12">
        <f t="shared" si="19"/>
        <v>-3.789899186641498E-3</v>
      </c>
    </row>
    <row r="70" spans="1:77" x14ac:dyDescent="0.3">
      <c r="A70" s="1">
        <v>46125</v>
      </c>
      <c r="B70" s="8">
        <v>62.22</v>
      </c>
      <c r="C70" s="8">
        <v>147.97</v>
      </c>
      <c r="D70" s="9">
        <v>6.9349523966028403E-3</v>
      </c>
      <c r="E70" s="9">
        <v>4.4703406875958402E-3</v>
      </c>
      <c r="F70" s="8">
        <v>0</v>
      </c>
      <c r="G70" s="8">
        <v>0.1948</v>
      </c>
      <c r="H70" s="8">
        <v>0</v>
      </c>
      <c r="I70" s="8">
        <v>0.59470000000000001</v>
      </c>
      <c r="J70" s="8">
        <v>0.1948</v>
      </c>
      <c r="K70" s="8">
        <v>0.59470000000000001</v>
      </c>
      <c r="L70" s="8">
        <v>62.4148</v>
      </c>
      <c r="M70" s="8">
        <v>148.56469999999999</v>
      </c>
      <c r="N70" s="10">
        <v>2.3781742205078702</v>
      </c>
      <c r="O70" s="10">
        <v>2.3794589997480098</v>
      </c>
      <c r="P70" s="10">
        <v>2.3811898617629299</v>
      </c>
      <c r="Q70" s="10">
        <v>2.3862636294335098</v>
      </c>
      <c r="R70" s="8">
        <v>148.049938964321</v>
      </c>
      <c r="S70" s="8">
        <v>148.20185397810999</v>
      </c>
      <c r="T70" s="8">
        <v>148.529577302668</v>
      </c>
      <c r="U70" s="9">
        <v>5.4009176911569705E-4</v>
      </c>
      <c r="V70" s="9">
        <v>1.56567224305181E-3</v>
      </c>
      <c r="W70" s="9">
        <v>3.7745616511978401E-3</v>
      </c>
      <c r="X70" s="10">
        <v>2.3802799976928499</v>
      </c>
      <c r="Y70" s="10">
        <v>2.3816575271846898</v>
      </c>
      <c r="Z70" s="10">
        <v>2.3832999196123499</v>
      </c>
      <c r="AA70" s="10">
        <v>2.3863347295121402</v>
      </c>
      <c r="AB70" s="8">
        <v>148.65067822772701</v>
      </c>
      <c r="AC70" s="8">
        <v>148.79787479195801</v>
      </c>
      <c r="AD70" s="8">
        <v>148.992463694143</v>
      </c>
      <c r="AE70" s="9">
        <v>5.7855842209949204E-4</v>
      </c>
      <c r="AF70" s="9">
        <v>1.5682863918765901E-3</v>
      </c>
      <c r="AG70" s="9">
        <v>2.8751718393386599E-3</v>
      </c>
      <c r="AZ70" s="9"/>
      <c r="BB70">
        <f t="shared" si="2"/>
        <v>0</v>
      </c>
      <c r="BC70">
        <f t="shared" si="3"/>
        <v>1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-3.6295797838099119E-3</v>
      </c>
      <c r="BL70" s="9"/>
      <c r="BN70">
        <f t="shared" si="10"/>
        <v>1</v>
      </c>
      <c r="BO70">
        <f t="shared" si="11"/>
        <v>0</v>
      </c>
      <c r="BP70">
        <f t="shared" si="12"/>
        <v>1</v>
      </c>
      <c r="BQ70">
        <f t="shared" si="1"/>
        <v>1</v>
      </c>
      <c r="BR70">
        <f t="shared" si="13"/>
        <v>1</v>
      </c>
      <c r="BS70" s="9">
        <f t="shared" si="14"/>
        <v>-6.9349523966028403E-3</v>
      </c>
      <c r="BT70" s="9">
        <f t="shared" si="15"/>
        <v>4.4703406875958402E-3</v>
      </c>
      <c r="BU70" s="9">
        <f t="shared" si="16"/>
        <v>-2.464611709007E-3</v>
      </c>
      <c r="BV70" s="12">
        <f t="shared" si="17"/>
        <v>-2.6249311118385875E-3</v>
      </c>
      <c r="BX70" s="12">
        <f t="shared" si="18"/>
        <v>-2.464611709007E-3</v>
      </c>
      <c r="BY70" s="12">
        <f t="shared" si="19"/>
        <v>-6.2545108956484977E-3</v>
      </c>
    </row>
    <row r="71" spans="1:77" x14ac:dyDescent="0.3">
      <c r="A71" s="1">
        <v>46126</v>
      </c>
      <c r="B71" s="8">
        <v>62.64</v>
      </c>
      <c r="C71" s="8">
        <v>148.83000000000001</v>
      </c>
      <c r="D71" s="9">
        <v>6.7275602130567498E-3</v>
      </c>
      <c r="E71" s="9">
        <v>5.7951644666243999E-3</v>
      </c>
      <c r="F71" s="8">
        <v>0</v>
      </c>
      <c r="G71" s="8">
        <v>0.1948</v>
      </c>
      <c r="H71" s="8">
        <v>0</v>
      </c>
      <c r="I71" s="8">
        <v>0.59470000000000001</v>
      </c>
      <c r="J71" s="8">
        <v>0.1948</v>
      </c>
      <c r="K71" s="8">
        <v>0.59470000000000001</v>
      </c>
      <c r="L71" s="8">
        <v>62.834800000000001</v>
      </c>
      <c r="M71" s="8">
        <v>149.4247</v>
      </c>
      <c r="N71" s="10">
        <v>2.3759578544061299</v>
      </c>
      <c r="O71" s="10">
        <v>2.3794589997480098</v>
      </c>
      <c r="P71" s="10">
        <v>2.3804757880486198</v>
      </c>
      <c r="Q71" s="10">
        <v>2.3852693596914998</v>
      </c>
      <c r="R71" s="8">
        <v>149.049311744215</v>
      </c>
      <c r="S71" s="8">
        <v>149.15773294082999</v>
      </c>
      <c r="T71" s="8">
        <v>149.475553747715</v>
      </c>
      <c r="U71" s="9">
        <v>1.4724875155478899E-3</v>
      </c>
      <c r="V71" s="9">
        <v>2.1996413727411899E-3</v>
      </c>
      <c r="W71" s="9">
        <v>4.3281443966375699E-3</v>
      </c>
      <c r="X71" s="10">
        <v>2.3780564273300699</v>
      </c>
      <c r="Y71" s="10">
        <v>2.3816575271846898</v>
      </c>
      <c r="Z71" s="10">
        <v>2.38258020591508</v>
      </c>
      <c r="AA71" s="10">
        <v>2.38544538841633</v>
      </c>
      <c r="AB71" s="8">
        <v>149.65097438914401</v>
      </c>
      <c r="AC71" s="8">
        <v>149.754173788858</v>
      </c>
      <c r="AD71" s="8">
        <v>149.94486546194901</v>
      </c>
      <c r="AE71" s="9">
        <v>1.51315838562309E-3</v>
      </c>
      <c r="AF71" s="9">
        <v>2.20252130692638E-3</v>
      </c>
      <c r="AG71" s="9">
        <v>3.4750759290678602E-3</v>
      </c>
      <c r="AZ71" s="9"/>
      <c r="BB71">
        <f t="shared" si="2"/>
        <v>0</v>
      </c>
      <c r="BC71">
        <f t="shared" si="3"/>
        <v>1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-3.6295797838099119E-3</v>
      </c>
      <c r="BL71" s="9"/>
      <c r="BN71">
        <f t="shared" si="10"/>
        <v>1</v>
      </c>
      <c r="BO71">
        <f t="shared" si="11"/>
        <v>0</v>
      </c>
      <c r="BP71">
        <f t="shared" si="12"/>
        <v>1</v>
      </c>
      <c r="BQ71">
        <f t="shared" si="1"/>
        <v>1</v>
      </c>
      <c r="BR71">
        <f t="shared" si="13"/>
        <v>1</v>
      </c>
      <c r="BS71" s="9">
        <f t="shared" si="14"/>
        <v>-6.7275602130567498E-3</v>
      </c>
      <c r="BT71" s="9">
        <f t="shared" si="15"/>
        <v>5.7951644666243999E-3</v>
      </c>
      <c r="BU71" s="9">
        <f t="shared" si="16"/>
        <v>-9.3239574643234988E-4</v>
      </c>
      <c r="BV71" s="12">
        <f t="shared" si="17"/>
        <v>-3.5573268582709374E-3</v>
      </c>
      <c r="BX71" s="12">
        <f t="shared" si="18"/>
        <v>-9.3239574643234988E-4</v>
      </c>
      <c r="BY71" s="12">
        <f t="shared" si="19"/>
        <v>-7.1869066420808475E-3</v>
      </c>
    </row>
    <row r="72" spans="1:77" x14ac:dyDescent="0.3">
      <c r="A72" s="1">
        <v>46127</v>
      </c>
      <c r="B72" s="8">
        <v>62.29</v>
      </c>
      <c r="C72" s="8">
        <v>147.77000000000001</v>
      </c>
      <c r="D72" s="9">
        <v>-5.6031524164935299E-3</v>
      </c>
      <c r="E72" s="9">
        <v>-7.1477040655246399E-3</v>
      </c>
      <c r="F72" s="8">
        <v>0</v>
      </c>
      <c r="G72" s="8">
        <v>0.1948</v>
      </c>
      <c r="H72" s="8">
        <v>0</v>
      </c>
      <c r="I72" s="8">
        <v>0.59470000000000001</v>
      </c>
      <c r="J72" s="8">
        <v>0.1948</v>
      </c>
      <c r="K72" s="8">
        <v>0.59470000000000001</v>
      </c>
      <c r="L72" s="8">
        <v>62.4848</v>
      </c>
      <c r="M72" s="8">
        <v>148.3647</v>
      </c>
      <c r="N72" s="10">
        <v>2.3722908974153101</v>
      </c>
      <c r="O72" s="10">
        <v>2.3794589997480098</v>
      </c>
      <c r="P72" s="10">
        <v>2.3798560783092899</v>
      </c>
      <c r="Q72" s="10">
        <v>2.3838646552841101</v>
      </c>
      <c r="R72" s="8">
        <v>148.216501094303</v>
      </c>
      <c r="S72" s="8">
        <v>148.279836837548</v>
      </c>
      <c r="T72" s="8">
        <v>148.578428415183</v>
      </c>
      <c r="U72" s="9">
        <v>3.01703916457923E-3</v>
      </c>
      <c r="V72" s="9">
        <v>3.4442669991638598E-3</v>
      </c>
      <c r="W72" s="9">
        <v>5.4559453876852201E-3</v>
      </c>
      <c r="X72" s="10">
        <v>2.3744126571582198</v>
      </c>
      <c r="Y72" s="10">
        <v>2.3816575271846898</v>
      </c>
      <c r="Z72" s="10">
        <v>2.3819602180972899</v>
      </c>
      <c r="AA72" s="10">
        <v>2.3845206398226302</v>
      </c>
      <c r="AB72" s="8">
        <v>148.81739425462999</v>
      </c>
      <c r="AC72" s="8">
        <v>148.87504765056201</v>
      </c>
      <c r="AD72" s="8">
        <v>149.05407800611599</v>
      </c>
      <c r="AE72" s="9">
        <v>3.0465806219685098E-3</v>
      </c>
      <c r="AF72" s="9">
        <v>3.43391592873398E-3</v>
      </c>
      <c r="AG72" s="9">
        <v>4.6357479195368798E-3</v>
      </c>
      <c r="AZ72" s="9"/>
      <c r="BB72">
        <f t="shared" si="2"/>
        <v>0</v>
      </c>
      <c r="BC72">
        <f t="shared" si="3"/>
        <v>1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-3.6295797838099119E-3</v>
      </c>
      <c r="BL72" s="9"/>
      <c r="BN72">
        <f t="shared" si="10"/>
        <v>1</v>
      </c>
      <c r="BO72">
        <f t="shared" si="11"/>
        <v>0</v>
      </c>
      <c r="BP72">
        <f t="shared" si="12"/>
        <v>1</v>
      </c>
      <c r="BQ72">
        <f t="shared" si="1"/>
        <v>1</v>
      </c>
      <c r="BR72">
        <f t="shared" si="13"/>
        <v>1</v>
      </c>
      <c r="BS72" s="9">
        <f t="shared" si="14"/>
        <v>5.6031524164935299E-3</v>
      </c>
      <c r="BT72" s="9">
        <f t="shared" si="15"/>
        <v>-7.1477040655246399E-3</v>
      </c>
      <c r="BU72" s="9">
        <f t="shared" si="16"/>
        <v>-1.54455164903111E-3</v>
      </c>
      <c r="BV72" s="12">
        <f t="shared" si="17"/>
        <v>-5.1018785073020474E-3</v>
      </c>
      <c r="BX72" s="12">
        <f t="shared" si="18"/>
        <v>-1.54455164903111E-3</v>
      </c>
      <c r="BY72" s="12">
        <f t="shared" si="19"/>
        <v>-8.7314582911119584E-3</v>
      </c>
    </row>
    <row r="73" spans="1:77" x14ac:dyDescent="0.3">
      <c r="A73" s="1">
        <v>46128</v>
      </c>
      <c r="B73" s="8">
        <v>61.73</v>
      </c>
      <c r="C73" s="8">
        <v>146.61000000000001</v>
      </c>
      <c r="D73" s="9">
        <v>-9.0308628602496898E-3</v>
      </c>
      <c r="E73" s="9">
        <v>-7.8810109653693304E-3</v>
      </c>
      <c r="F73" s="8">
        <v>0</v>
      </c>
      <c r="G73" s="8">
        <v>0.1948</v>
      </c>
      <c r="H73" s="8">
        <v>0</v>
      </c>
      <c r="I73" s="8">
        <v>0.59470000000000001</v>
      </c>
      <c r="J73" s="8">
        <v>0.1948</v>
      </c>
      <c r="K73" s="8">
        <v>0.59470000000000001</v>
      </c>
      <c r="L73" s="8">
        <v>61.924799999999998</v>
      </c>
      <c r="M73" s="8">
        <v>147.2047</v>
      </c>
      <c r="N73" s="10">
        <v>2.37502024947351</v>
      </c>
      <c r="O73" s="10">
        <v>2.3794589997480098</v>
      </c>
      <c r="P73" s="10">
        <v>2.3795441946925702</v>
      </c>
      <c r="Q73" s="10">
        <v>2.38277530287752</v>
      </c>
      <c r="R73" s="8">
        <v>146.88400405444401</v>
      </c>
      <c r="S73" s="8">
        <v>146.90851571403201</v>
      </c>
      <c r="T73" s="8">
        <v>147.15596517068801</v>
      </c>
      <c r="U73" s="9">
        <v>1.86718726969876E-3</v>
      </c>
      <c r="V73" s="9">
        <v>2.0340510119373702E-3</v>
      </c>
      <c r="W73" s="9">
        <v>3.7170119347710402E-3</v>
      </c>
      <c r="X73" s="10">
        <v>2.37715261090871</v>
      </c>
      <c r="Y73" s="10">
        <v>2.3816575271846898</v>
      </c>
      <c r="Z73" s="10">
        <v>2.3816506439965299</v>
      </c>
      <c r="AA73" s="10">
        <v>2.3839169747236801</v>
      </c>
      <c r="AB73" s="8">
        <v>147.48366603940599</v>
      </c>
      <c r="AC73" s="8">
        <v>147.50241011363099</v>
      </c>
      <c r="AD73" s="8">
        <v>147.66096371688801</v>
      </c>
      <c r="AE73" s="9">
        <v>1.89329579913271E-3</v>
      </c>
      <c r="AF73" s="9">
        <v>2.0203802669457398E-3</v>
      </c>
      <c r="AG73" s="9">
        <v>3.0947250709758701E-3</v>
      </c>
      <c r="AZ73" s="9"/>
      <c r="BB73">
        <f t="shared" si="2"/>
        <v>0</v>
      </c>
      <c r="BC73">
        <f t="shared" si="3"/>
        <v>1</v>
      </c>
      <c r="BD73">
        <f t="shared" si="4"/>
        <v>0</v>
      </c>
      <c r="BE73">
        <f t="shared" si="0"/>
        <v>1</v>
      </c>
      <c r="BF73">
        <f t="shared" si="5"/>
        <v>0</v>
      </c>
      <c r="BG73" s="9">
        <f t="shared" si="6"/>
        <v>0</v>
      </c>
      <c r="BH73" s="9">
        <f t="shared" si="7"/>
        <v>0</v>
      </c>
      <c r="BI73" s="9">
        <f t="shared" si="8"/>
        <v>0</v>
      </c>
      <c r="BJ73" s="12">
        <f t="shared" si="9"/>
        <v>-3.6295797838099119E-3</v>
      </c>
      <c r="BL73" s="9"/>
      <c r="BN73">
        <f t="shared" si="10"/>
        <v>1</v>
      </c>
      <c r="BO73">
        <f t="shared" si="11"/>
        <v>0</v>
      </c>
      <c r="BP73">
        <f t="shared" si="12"/>
        <v>1</v>
      </c>
      <c r="BQ73">
        <f t="shared" si="1"/>
        <v>1</v>
      </c>
      <c r="BR73">
        <f t="shared" si="13"/>
        <v>1</v>
      </c>
      <c r="BS73" s="9">
        <f t="shared" si="14"/>
        <v>9.0308628602496898E-3</v>
      </c>
      <c r="BT73" s="9">
        <f t="shared" si="15"/>
        <v>-7.8810109653693304E-3</v>
      </c>
      <c r="BU73" s="9">
        <f t="shared" si="16"/>
        <v>1.1498518948803594E-3</v>
      </c>
      <c r="BV73" s="12">
        <f t="shared" si="17"/>
        <v>-3.952026612421688E-3</v>
      </c>
      <c r="BX73" s="12">
        <f t="shared" si="18"/>
        <v>1.1498518948803594E-3</v>
      </c>
      <c r="BY73" s="12">
        <f t="shared" si="19"/>
        <v>-7.581606396231599E-3</v>
      </c>
    </row>
    <row r="74" spans="1:77" x14ac:dyDescent="0.3">
      <c r="A74" s="1">
        <v>46129</v>
      </c>
      <c r="B74" s="8">
        <v>62.65</v>
      </c>
      <c r="C74" s="8">
        <v>148.80000000000001</v>
      </c>
      <c r="D74" s="9">
        <v>1.47936449362728E-2</v>
      </c>
      <c r="E74" s="9">
        <v>1.48271224488183E-2</v>
      </c>
      <c r="F74" s="8">
        <v>0</v>
      </c>
      <c r="G74" s="8">
        <v>0.1948</v>
      </c>
      <c r="H74" s="8">
        <v>0</v>
      </c>
      <c r="I74" s="8">
        <v>0.59470000000000001</v>
      </c>
      <c r="J74" s="8">
        <v>0.1948</v>
      </c>
      <c r="K74" s="8">
        <v>0.59470000000000001</v>
      </c>
      <c r="L74" s="8">
        <v>62.844799999999999</v>
      </c>
      <c r="M74" s="8">
        <v>149.3947</v>
      </c>
      <c r="N74" s="10">
        <v>2.3750997605746198</v>
      </c>
      <c r="O74" s="10">
        <v>2.3794589997480098</v>
      </c>
      <c r="P74" s="10">
        <v>2.37891953976869</v>
      </c>
      <c r="Q74" s="10">
        <v>2.3817117227467199</v>
      </c>
      <c r="R74" s="8">
        <v>149.07310633421201</v>
      </c>
      <c r="S74" s="8">
        <v>149.07844379749</v>
      </c>
      <c r="T74" s="8">
        <v>149.280872725276</v>
      </c>
      <c r="U74" s="9">
        <v>1.8337097571532201E-3</v>
      </c>
      <c r="V74" s="9">
        <v>1.8695134501104699E-3</v>
      </c>
      <c r="W74" s="9">
        <v>3.2264609133701699E-3</v>
      </c>
      <c r="X74" s="10">
        <v>2.3772006594022099</v>
      </c>
      <c r="Y74" s="10">
        <v>2.3816575271846898</v>
      </c>
      <c r="Z74" s="10">
        <v>2.3810245595732602</v>
      </c>
      <c r="AA74" s="10">
        <v>2.3833387366118499</v>
      </c>
      <c r="AB74" s="8">
        <v>149.67479096441599</v>
      </c>
      <c r="AC74" s="8">
        <v>149.67435839183301</v>
      </c>
      <c r="AD74" s="8">
        <v>149.81678549311499</v>
      </c>
      <c r="AE74" s="9">
        <v>1.8730833787406499E-3</v>
      </c>
      <c r="AF74" s="9">
        <v>1.87019329146633E-3</v>
      </c>
      <c r="AG74" s="9">
        <v>2.8213206615230499E-3</v>
      </c>
      <c r="AZ74" s="9"/>
      <c r="BB74">
        <f t="shared" si="2"/>
        <v>0</v>
      </c>
      <c r="BC74">
        <f t="shared" si="3"/>
        <v>1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-3.6295797838099119E-3</v>
      </c>
      <c r="BL74" s="9"/>
      <c r="BN74">
        <f t="shared" si="10"/>
        <v>1</v>
      </c>
      <c r="BO74">
        <f t="shared" si="11"/>
        <v>0</v>
      </c>
      <c r="BP74">
        <f t="shared" si="12"/>
        <v>1</v>
      </c>
      <c r="BQ74">
        <f t="shared" si="1"/>
        <v>1</v>
      </c>
      <c r="BR74">
        <f t="shared" si="13"/>
        <v>1</v>
      </c>
      <c r="BS74" s="9">
        <f t="shared" si="14"/>
        <v>-1.47936449362728E-2</v>
      </c>
      <c r="BT74" s="9">
        <f t="shared" si="15"/>
        <v>1.48271224488183E-2</v>
      </c>
      <c r="BU74" s="9">
        <f t="shared" si="16"/>
        <v>3.3477512545499605E-5</v>
      </c>
      <c r="BV74" s="12">
        <f t="shared" si="17"/>
        <v>-3.9185490998761884E-3</v>
      </c>
      <c r="BX74" s="12">
        <f t="shared" si="18"/>
        <v>3.3477512545499605E-5</v>
      </c>
      <c r="BY74" s="12">
        <f t="shared" si="19"/>
        <v>-7.5481288836860994E-3</v>
      </c>
    </row>
    <row r="75" spans="1:77" x14ac:dyDescent="0.3">
      <c r="A75" s="1">
        <v>46132</v>
      </c>
      <c r="B75" s="8">
        <v>62.08</v>
      </c>
      <c r="C75" s="8">
        <v>147.41999999999999</v>
      </c>
      <c r="D75" s="9">
        <v>-9.1398054671140098E-3</v>
      </c>
      <c r="E75" s="9">
        <v>-9.3174666378488501E-3</v>
      </c>
      <c r="F75" s="8">
        <v>0</v>
      </c>
      <c r="G75" s="8">
        <v>0.1948</v>
      </c>
      <c r="H75" s="8">
        <v>0</v>
      </c>
      <c r="I75" s="8">
        <v>0.59470000000000001</v>
      </c>
      <c r="J75" s="8">
        <v>0.1948</v>
      </c>
      <c r="K75" s="8">
        <v>0.59470000000000001</v>
      </c>
      <c r="L75" s="8">
        <v>62.274799999999999</v>
      </c>
      <c r="M75" s="8">
        <v>148.01469999999901</v>
      </c>
      <c r="N75" s="10">
        <v>2.3746778350515401</v>
      </c>
      <c r="O75" s="10">
        <v>2.3794589997480098</v>
      </c>
      <c r="P75" s="10">
        <v>2.3785336647372599</v>
      </c>
      <c r="Q75" s="10">
        <v>2.3805759345256901</v>
      </c>
      <c r="R75" s="8">
        <v>147.71681470435601</v>
      </c>
      <c r="S75" s="8">
        <v>147.68332502883999</v>
      </c>
      <c r="T75" s="8">
        <v>147.85666374811601</v>
      </c>
      <c r="U75" s="9">
        <v>2.01137092788821E-3</v>
      </c>
      <c r="V75" s="9">
        <v>1.7846298323042999E-3</v>
      </c>
      <c r="W75" s="9">
        <v>2.95766052686105E-3</v>
      </c>
      <c r="X75" s="10">
        <v>2.3767992831771401</v>
      </c>
      <c r="Y75" s="10">
        <v>2.3816575271846898</v>
      </c>
      <c r="Z75" s="10">
        <v>2.38063790853582</v>
      </c>
      <c r="AA75" s="10">
        <v>2.38269298347821</v>
      </c>
      <c r="AB75" s="8">
        <v>148.31724617392101</v>
      </c>
      <c r="AC75" s="8">
        <v>148.27782824251199</v>
      </c>
      <c r="AD75" s="8">
        <v>148.42194315475601</v>
      </c>
      <c r="AE75" s="9">
        <v>2.0419417005193901E-3</v>
      </c>
      <c r="AF75" s="9">
        <v>1.7761386913619601E-3</v>
      </c>
      <c r="AG75" s="9">
        <v>2.7475915704671598E-3</v>
      </c>
      <c r="AZ75" s="9"/>
      <c r="BB75">
        <f t="shared" si="2"/>
        <v>0</v>
      </c>
      <c r="BC75">
        <f t="shared" si="3"/>
        <v>1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-3.6295797838099119E-3</v>
      </c>
      <c r="BL75" s="9"/>
      <c r="BN75">
        <f t="shared" si="10"/>
        <v>1</v>
      </c>
      <c r="BO75">
        <f t="shared" si="11"/>
        <v>0</v>
      </c>
      <c r="BP75">
        <f t="shared" si="12"/>
        <v>1</v>
      </c>
      <c r="BQ75">
        <f t="shared" si="1"/>
        <v>1</v>
      </c>
      <c r="BR75">
        <f t="shared" si="13"/>
        <v>1</v>
      </c>
      <c r="BS75" s="9">
        <f t="shared" si="14"/>
        <v>9.1398054671140098E-3</v>
      </c>
      <c r="BT75" s="9">
        <f t="shared" si="15"/>
        <v>-9.3174666378488501E-3</v>
      </c>
      <c r="BU75" s="9">
        <f t="shared" si="16"/>
        <v>-1.7766117073484029E-4</v>
      </c>
      <c r="BV75" s="12">
        <f t="shared" si="17"/>
        <v>-4.0962102706110287E-3</v>
      </c>
      <c r="BX75" s="12">
        <f t="shared" si="18"/>
        <v>-1.7766117073484029E-4</v>
      </c>
      <c r="BY75" s="12">
        <f t="shared" si="19"/>
        <v>-7.7257900544209397E-3</v>
      </c>
    </row>
    <row r="76" spans="1:77" x14ac:dyDescent="0.3">
      <c r="A76" s="1">
        <v>46133</v>
      </c>
      <c r="B76" s="8">
        <v>61.44</v>
      </c>
      <c r="C76" s="8">
        <v>145.91999999999999</v>
      </c>
      <c r="D76" s="9">
        <v>-1.03627870355465E-2</v>
      </c>
      <c r="E76" s="9">
        <v>-1.0227129435121499E-2</v>
      </c>
      <c r="F76" s="8">
        <v>0</v>
      </c>
      <c r="G76" s="8">
        <v>0.1948</v>
      </c>
      <c r="H76" s="8">
        <v>0</v>
      </c>
      <c r="I76" s="8">
        <v>0.59470000000000001</v>
      </c>
      <c r="J76" s="8">
        <v>0.1948</v>
      </c>
      <c r="K76" s="8">
        <v>0.59470000000000001</v>
      </c>
      <c r="L76" s="8">
        <v>61.634799999999998</v>
      </c>
      <c r="M76" s="8">
        <v>146.51469999999901</v>
      </c>
      <c r="N76" s="10">
        <v>2.375</v>
      </c>
      <c r="O76" s="10">
        <v>2.3794589997480098</v>
      </c>
      <c r="P76" s="10">
        <v>2.3778246609992499</v>
      </c>
      <c r="Q76" s="10">
        <v>2.38007552266407</v>
      </c>
      <c r="R76" s="8">
        <v>146.19396094451699</v>
      </c>
      <c r="S76" s="8">
        <v>146.137108361457</v>
      </c>
      <c r="T76" s="8">
        <v>146.26258541725801</v>
      </c>
      <c r="U76" s="9">
        <v>1.87571332746318E-3</v>
      </c>
      <c r="V76" s="9">
        <v>1.4867530714630199E-3</v>
      </c>
      <c r="W76" s="9">
        <v>2.3450102186015598E-3</v>
      </c>
      <c r="X76" s="10">
        <v>2.3771424584812402</v>
      </c>
      <c r="Y76" s="10">
        <v>2.3816575271846898</v>
      </c>
      <c r="Z76" s="10">
        <v>2.3799314547624002</v>
      </c>
      <c r="AA76" s="10">
        <v>2.3821928706448698</v>
      </c>
      <c r="AB76" s="8">
        <v>146.79298535652299</v>
      </c>
      <c r="AC76" s="8">
        <v>146.730141365024</v>
      </c>
      <c r="AD76" s="8">
        <v>146.85680549808299</v>
      </c>
      <c r="AE76" s="9">
        <v>1.8975666436300801E-3</v>
      </c>
      <c r="AF76" s="9">
        <v>1.4693619351193201E-3</v>
      </c>
      <c r="AG76" s="9">
        <v>2.3322350449179702E-3</v>
      </c>
      <c r="AZ76" s="9"/>
      <c r="BB76">
        <f t="shared" si="2"/>
        <v>0</v>
      </c>
      <c r="BC76">
        <f t="shared" si="3"/>
        <v>1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-3.6295797838099119E-3</v>
      </c>
      <c r="BL76" s="9"/>
      <c r="BN76">
        <f t="shared" si="10"/>
        <v>1</v>
      </c>
      <c r="BO76">
        <f t="shared" si="11"/>
        <v>0</v>
      </c>
      <c r="BP76">
        <f t="shared" si="12"/>
        <v>1</v>
      </c>
      <c r="BQ76">
        <f t="shared" si="1"/>
        <v>1</v>
      </c>
      <c r="BR76">
        <f t="shared" si="13"/>
        <v>1</v>
      </c>
      <c r="BS76" s="9">
        <f t="shared" si="14"/>
        <v>1.03627870355465E-2</v>
      </c>
      <c r="BT76" s="9">
        <f t="shared" si="15"/>
        <v>-1.0227129435121499E-2</v>
      </c>
      <c r="BU76" s="9">
        <f t="shared" si="16"/>
        <v>1.3565760042500048E-4</v>
      </c>
      <c r="BV76" s="12">
        <f t="shared" si="17"/>
        <v>-3.9605526701860282E-3</v>
      </c>
      <c r="BX76" s="12">
        <f t="shared" si="18"/>
        <v>1.3565760042500048E-4</v>
      </c>
      <c r="BY76" s="12">
        <f t="shared" si="19"/>
        <v>-7.5901324539959392E-3</v>
      </c>
    </row>
    <row r="77" spans="1:77" x14ac:dyDescent="0.3">
      <c r="A77" s="1">
        <v>46134</v>
      </c>
      <c r="B77" s="8">
        <v>61.7</v>
      </c>
      <c r="C77" s="8">
        <v>146.38</v>
      </c>
      <c r="D77" s="9">
        <v>4.2228420719255498E-3</v>
      </c>
      <c r="E77" s="9">
        <v>3.1474538470598898E-3</v>
      </c>
      <c r="F77" s="8">
        <v>0</v>
      </c>
      <c r="G77" s="8">
        <v>0.1948</v>
      </c>
      <c r="H77" s="8">
        <v>0</v>
      </c>
      <c r="I77" s="8">
        <v>0.59470000000000001</v>
      </c>
      <c r="J77" s="8">
        <v>0.1948</v>
      </c>
      <c r="K77" s="8">
        <v>0.59470000000000001</v>
      </c>
      <c r="L77" s="8">
        <v>61.894799999999996</v>
      </c>
      <c r="M77" s="8">
        <v>146.97469999999899</v>
      </c>
      <c r="N77" s="10">
        <v>2.37244732576985</v>
      </c>
      <c r="O77" s="10">
        <v>2.3794589997480098</v>
      </c>
      <c r="P77" s="10">
        <v>2.3767793123789702</v>
      </c>
      <c r="Q77" s="10">
        <v>2.3792736065375202</v>
      </c>
      <c r="R77" s="8">
        <v>146.81262028445201</v>
      </c>
      <c r="S77" s="8">
        <v>146.71178158365299</v>
      </c>
      <c r="T77" s="8">
        <v>146.850659748373</v>
      </c>
      <c r="U77" s="9">
        <v>2.9511015523287099E-3</v>
      </c>
      <c r="V77" s="9">
        <v>2.2640124781406899E-3</v>
      </c>
      <c r="W77" s="9">
        <v>3.2101701299865602E-3</v>
      </c>
      <c r="X77" s="10">
        <v>2.3745888184467798</v>
      </c>
      <c r="Y77" s="10">
        <v>2.3816575271846898</v>
      </c>
      <c r="Z77" s="10">
        <v>2.3788931109988698</v>
      </c>
      <c r="AA77" s="10">
        <v>2.38139162166935</v>
      </c>
      <c r="AB77" s="8">
        <v>147.41221631359099</v>
      </c>
      <c r="AC77" s="8">
        <v>147.30538140622801</v>
      </c>
      <c r="AD77" s="8">
        <v>147.44535128998999</v>
      </c>
      <c r="AE77" s="9">
        <v>2.97239185216157E-3</v>
      </c>
      <c r="AF77" s="9">
        <v>2.2473933256450299E-3</v>
      </c>
      <c r="AG77" s="9">
        <v>3.19714427624014E-3</v>
      </c>
      <c r="AZ77" s="9"/>
      <c r="BB77">
        <f t="shared" si="2"/>
        <v>0</v>
      </c>
      <c r="BC77">
        <f t="shared" si="3"/>
        <v>1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-3.6295797838099119E-3</v>
      </c>
      <c r="BL77" s="9"/>
      <c r="BN77">
        <f t="shared" si="10"/>
        <v>1</v>
      </c>
      <c r="BO77">
        <f t="shared" si="11"/>
        <v>0</v>
      </c>
      <c r="BP77">
        <f t="shared" si="12"/>
        <v>1</v>
      </c>
      <c r="BQ77">
        <f t="shared" si="1"/>
        <v>1</v>
      </c>
      <c r="BR77">
        <f t="shared" si="13"/>
        <v>1</v>
      </c>
      <c r="BS77" s="9">
        <f t="shared" si="14"/>
        <v>-4.2228420719255498E-3</v>
      </c>
      <c r="BT77" s="9">
        <f t="shared" si="15"/>
        <v>3.1474538470598898E-3</v>
      </c>
      <c r="BU77" s="9">
        <f t="shared" si="16"/>
        <v>-1.07538822486566E-3</v>
      </c>
      <c r="BV77" s="12">
        <f t="shared" si="17"/>
        <v>-5.0359408950516882E-3</v>
      </c>
      <c r="BX77" s="12">
        <f t="shared" si="18"/>
        <v>-1.07538822486566E-3</v>
      </c>
      <c r="BY77" s="12">
        <f t="shared" si="19"/>
        <v>-8.6655206788615984E-3</v>
      </c>
    </row>
    <row r="78" spans="1:77" x14ac:dyDescent="0.3">
      <c r="A78" s="1">
        <v>46135</v>
      </c>
      <c r="B78" s="8">
        <v>61.44</v>
      </c>
      <c r="C78" s="8">
        <v>146.24</v>
      </c>
      <c r="D78" s="9">
        <v>-4.2228420719255403E-3</v>
      </c>
      <c r="E78" s="9">
        <v>-9.5687246724104197E-4</v>
      </c>
      <c r="F78" s="8">
        <v>0</v>
      </c>
      <c r="G78" s="8">
        <v>0.1948</v>
      </c>
      <c r="H78" s="8">
        <v>0</v>
      </c>
      <c r="I78" s="8">
        <v>0.59470000000000001</v>
      </c>
      <c r="J78" s="8">
        <v>0.1948</v>
      </c>
      <c r="K78" s="8">
        <v>0.59470000000000001</v>
      </c>
      <c r="L78" s="8">
        <v>61.634799999999998</v>
      </c>
      <c r="M78" s="8">
        <v>146.8347</v>
      </c>
      <c r="N78" s="10">
        <v>2.3802083333333299</v>
      </c>
      <c r="O78" s="10">
        <v>2.3794589997480098</v>
      </c>
      <c r="P78" s="10">
        <v>2.3762919201892201</v>
      </c>
      <c r="Q78" s="10">
        <v>2.3790795889035699</v>
      </c>
      <c r="R78" s="8">
        <v>146.19396094451699</v>
      </c>
      <c r="S78" s="8">
        <v>146.02932095256401</v>
      </c>
      <c r="T78" s="8">
        <v>146.182570385665</v>
      </c>
      <c r="U78" s="9">
        <v>-3.14868052355582E-4</v>
      </c>
      <c r="V78" s="9">
        <v>-1.44167771861512E-3</v>
      </c>
      <c r="W78" s="9">
        <v>-3.9278510545155497E-4</v>
      </c>
      <c r="X78" s="10">
        <v>2.3823343306054299</v>
      </c>
      <c r="Y78" s="10">
        <v>2.3816575271846898</v>
      </c>
      <c r="Z78" s="10">
        <v>2.3784111910927601</v>
      </c>
      <c r="AA78" s="10">
        <v>2.3811980454872099</v>
      </c>
      <c r="AB78" s="8">
        <v>146.79298535652299</v>
      </c>
      <c r="AC78" s="8">
        <v>146.62260111779301</v>
      </c>
      <c r="AD78" s="8">
        <v>146.77659632326601</v>
      </c>
      <c r="AE78" s="9">
        <v>-2.8413290597425502E-4</v>
      </c>
      <c r="AF78" s="9">
        <v>-1.44551809296049E-3</v>
      </c>
      <c r="AG78" s="9">
        <v>-3.9578638982637899E-4</v>
      </c>
      <c r="AZ78" s="9"/>
      <c r="BB78">
        <f t="shared" si="2"/>
        <v>0</v>
      </c>
      <c r="BC78">
        <f t="shared" si="3"/>
        <v>0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-3.6295797838099119E-3</v>
      </c>
      <c r="BL78" s="9"/>
      <c r="BN78">
        <f t="shared" si="10"/>
        <v>0</v>
      </c>
      <c r="BO78">
        <f t="shared" si="11"/>
        <v>1</v>
      </c>
      <c r="BP78">
        <f t="shared" si="12"/>
        <v>1</v>
      </c>
      <c r="BQ78">
        <f t="shared" si="1"/>
        <v>1</v>
      </c>
      <c r="BR78">
        <f t="shared" si="13"/>
        <v>1</v>
      </c>
      <c r="BS78" s="9">
        <f t="shared" si="14"/>
        <v>4.2228420719255403E-3</v>
      </c>
      <c r="BT78" s="9">
        <f t="shared" si="15"/>
        <v>-9.5687246724104197E-4</v>
      </c>
      <c r="BU78" s="9">
        <f t="shared" si="16"/>
        <v>3.2659696046844983E-3</v>
      </c>
      <c r="BV78" s="12">
        <f t="shared" si="17"/>
        <v>-1.7699712903671899E-3</v>
      </c>
      <c r="BX78" s="12">
        <f t="shared" si="18"/>
        <v>3.2659696046844983E-3</v>
      </c>
      <c r="BY78" s="12">
        <f t="shared" si="19"/>
        <v>-5.3995510741771001E-3</v>
      </c>
    </row>
    <row r="79" spans="1:77" x14ac:dyDescent="0.3">
      <c r="A79" s="1">
        <v>46136</v>
      </c>
      <c r="B79" s="8">
        <v>60.66</v>
      </c>
      <c r="C79" s="8">
        <v>144.18</v>
      </c>
      <c r="D79" s="9">
        <v>-1.27765865789816E-2</v>
      </c>
      <c r="E79" s="9">
        <v>-1.41865887294073E-2</v>
      </c>
      <c r="F79" s="8">
        <v>0</v>
      </c>
      <c r="G79" s="8">
        <v>0.1948</v>
      </c>
      <c r="H79" s="8">
        <v>0</v>
      </c>
      <c r="I79" s="8">
        <v>0.59470000000000001</v>
      </c>
      <c r="J79" s="8">
        <v>0.1948</v>
      </c>
      <c r="K79" s="8">
        <v>0.59470000000000001</v>
      </c>
      <c r="L79" s="8">
        <v>60.854799999999997</v>
      </c>
      <c r="M79" s="8">
        <v>144.7747</v>
      </c>
      <c r="N79" s="10">
        <v>2.3768545994065202</v>
      </c>
      <c r="O79" s="10">
        <v>2.3794589997480098</v>
      </c>
      <c r="P79" s="10">
        <v>2.37557310759387</v>
      </c>
      <c r="Q79" s="10">
        <v>2.3787368429170801</v>
      </c>
      <c r="R79" s="8">
        <v>144.337982924714</v>
      </c>
      <c r="S79" s="8">
        <v>144.14586787867799</v>
      </c>
      <c r="T79" s="8">
        <v>144.31496786289</v>
      </c>
      <c r="U79" s="9">
        <v>1.09513409806984E-3</v>
      </c>
      <c r="V79" s="9">
        <v>-2.3676073001719001E-4</v>
      </c>
      <c r="W79" s="9">
        <v>9.3566881763924598E-4</v>
      </c>
      <c r="X79" s="10">
        <v>2.3790185819360099</v>
      </c>
      <c r="Y79" s="10">
        <v>2.3816575271846898</v>
      </c>
      <c r="Z79" s="10">
        <v>2.3776985825138701</v>
      </c>
      <c r="AA79" s="10">
        <v>2.38085723482126</v>
      </c>
      <c r="AB79" s="8">
        <v>144.935292485319</v>
      </c>
      <c r="AC79" s="8">
        <v>144.73773735171201</v>
      </c>
      <c r="AD79" s="8">
        <v>144.90733081851499</v>
      </c>
      <c r="AE79" s="9">
        <v>1.10864316684445E-3</v>
      </c>
      <c r="AF79" s="9">
        <v>-2.5534411458633002E-4</v>
      </c>
      <c r="AG79" s="9">
        <v>9.1569937843973795E-4</v>
      </c>
      <c r="AZ79" s="9"/>
      <c r="BB79">
        <f t="shared" si="2"/>
        <v>0</v>
      </c>
      <c r="BC79">
        <f t="shared" si="3"/>
        <v>1</v>
      </c>
      <c r="BD79">
        <f t="shared" si="4"/>
        <v>0</v>
      </c>
      <c r="BE79">
        <f t="shared" si="0"/>
        <v>1</v>
      </c>
      <c r="BF79">
        <f t="shared" si="5"/>
        <v>0</v>
      </c>
      <c r="BG79" s="9">
        <f t="shared" si="6"/>
        <v>0</v>
      </c>
      <c r="BH79" s="9">
        <f t="shared" si="7"/>
        <v>0</v>
      </c>
      <c r="BI79" s="9">
        <f t="shared" si="8"/>
        <v>0</v>
      </c>
      <c r="BJ79" s="12">
        <f t="shared" si="9"/>
        <v>-3.6295797838099119E-3</v>
      </c>
      <c r="BL79" s="9"/>
      <c r="BN79">
        <f t="shared" si="10"/>
        <v>0</v>
      </c>
      <c r="BO79">
        <f t="shared" si="11"/>
        <v>0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-1.7699712903671899E-3</v>
      </c>
      <c r="BX79" s="12">
        <f t="shared" si="18"/>
        <v>0</v>
      </c>
      <c r="BY79" s="12">
        <f t="shared" si="19"/>
        <v>-5.3995510741771001E-3</v>
      </c>
    </row>
    <row r="80" spans="1:77" x14ac:dyDescent="0.3">
      <c r="A80" s="1">
        <v>46139</v>
      </c>
      <c r="B80" s="8">
        <v>60.33</v>
      </c>
      <c r="C80" s="8">
        <v>143.46</v>
      </c>
      <c r="D80" s="9">
        <v>-5.4550098077646601E-3</v>
      </c>
      <c r="E80" s="9">
        <v>-5.0062682781441903E-3</v>
      </c>
      <c r="F80" s="8">
        <v>0</v>
      </c>
      <c r="G80" s="8">
        <v>0.1948</v>
      </c>
      <c r="H80" s="8">
        <v>0</v>
      </c>
      <c r="I80" s="8">
        <v>0.59470000000000001</v>
      </c>
      <c r="J80" s="8">
        <v>0.1948</v>
      </c>
      <c r="K80" s="8">
        <v>0.59470000000000001</v>
      </c>
      <c r="L80" s="8">
        <v>60.524799999999999</v>
      </c>
      <c r="M80" s="8">
        <v>144.0547</v>
      </c>
      <c r="N80" s="10">
        <v>2.37792143212332</v>
      </c>
      <c r="O80" s="10">
        <v>2.3794589997480098</v>
      </c>
      <c r="P80" s="10">
        <v>2.3755478287554102</v>
      </c>
      <c r="Q80" s="10">
        <v>2.3783688452591698</v>
      </c>
      <c r="R80" s="8">
        <v>143.55276145479701</v>
      </c>
      <c r="S80" s="8">
        <v>143.318325581138</v>
      </c>
      <c r="T80" s="8">
        <v>143.509193733187</v>
      </c>
      <c r="U80" s="9">
        <v>6.4639256844952798E-4</v>
      </c>
      <c r="V80" s="9">
        <v>-9.8804140863955996E-4</v>
      </c>
      <c r="W80" s="9">
        <v>3.4285027622224799E-4</v>
      </c>
      <c r="X80" s="10">
        <v>2.38009377973987</v>
      </c>
      <c r="Y80" s="10">
        <v>2.3816575271846898</v>
      </c>
      <c r="Z80" s="10">
        <v>2.3776799607185701</v>
      </c>
      <c r="AA80" s="10">
        <v>2.38048994016546</v>
      </c>
      <c r="AB80" s="8">
        <v>144.14934550134799</v>
      </c>
      <c r="AC80" s="8">
        <v>143.90973116693499</v>
      </c>
      <c r="AD80" s="8">
        <v>144.10090796610999</v>
      </c>
      <c r="AE80" s="9">
        <v>6.5679511601517701E-4</v>
      </c>
      <c r="AF80" s="9">
        <v>-1.00685244162873E-3</v>
      </c>
      <c r="AG80" s="9">
        <v>3.2071537203481502E-4</v>
      </c>
      <c r="AZ80" s="9"/>
      <c r="BB80">
        <f t="shared" si="2"/>
        <v>0</v>
      </c>
      <c r="BC80">
        <f t="shared" si="3"/>
        <v>1</v>
      </c>
      <c r="BD80">
        <f t="shared" si="4"/>
        <v>0</v>
      </c>
      <c r="BE80">
        <f t="shared" si="0"/>
        <v>1</v>
      </c>
      <c r="BF80">
        <f t="shared" si="5"/>
        <v>0</v>
      </c>
      <c r="BG80" s="9">
        <f t="shared" si="6"/>
        <v>0</v>
      </c>
      <c r="BH80" s="9">
        <f t="shared" si="7"/>
        <v>0</v>
      </c>
      <c r="BI80" s="9">
        <f t="shared" si="8"/>
        <v>0</v>
      </c>
      <c r="BJ80" s="12">
        <f t="shared" si="9"/>
        <v>-3.6295797838099119E-3</v>
      </c>
      <c r="BL80" s="9"/>
      <c r="BN80">
        <f t="shared" si="10"/>
        <v>0</v>
      </c>
      <c r="BO80">
        <f t="shared" si="11"/>
        <v>0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-1.7699712903671899E-3</v>
      </c>
      <c r="BX80" s="12">
        <f t="shared" si="18"/>
        <v>0</v>
      </c>
      <c r="BY80" s="12">
        <f t="shared" si="19"/>
        <v>-5.3995510741771001E-3</v>
      </c>
    </row>
    <row r="81" spans="1:77" x14ac:dyDescent="0.3">
      <c r="A81" s="1">
        <v>46140</v>
      </c>
      <c r="B81" s="8">
        <v>60.39</v>
      </c>
      <c r="C81" s="8">
        <v>143.84</v>
      </c>
      <c r="D81" s="9">
        <v>9.9403586713947491E-4</v>
      </c>
      <c r="E81" s="9">
        <v>2.6453200250218301E-3</v>
      </c>
      <c r="F81" s="8">
        <v>0</v>
      </c>
      <c r="G81" s="8">
        <v>0.1948</v>
      </c>
      <c r="H81" s="8">
        <v>0</v>
      </c>
      <c r="I81" s="8">
        <v>0.59470000000000001</v>
      </c>
      <c r="J81" s="8">
        <v>0.1948</v>
      </c>
      <c r="K81" s="8">
        <v>0.59470000000000001</v>
      </c>
      <c r="L81" s="8">
        <v>60.584800000000001</v>
      </c>
      <c r="M81" s="8">
        <v>144.43469999999999</v>
      </c>
      <c r="N81" s="10">
        <v>2.38185129988408</v>
      </c>
      <c r="O81" s="10">
        <v>2.3794589997480098</v>
      </c>
      <c r="P81" s="10">
        <v>2.3761371733032099</v>
      </c>
      <c r="Q81" s="10">
        <v>2.37830648067591</v>
      </c>
      <c r="R81" s="8">
        <v>143.69552899478199</v>
      </c>
      <c r="S81" s="8">
        <v>143.45933337853899</v>
      </c>
      <c r="T81" s="8">
        <v>143.62969456520099</v>
      </c>
      <c r="U81" s="9">
        <v>-1.0048915894328E-3</v>
      </c>
      <c r="V81" s="9">
        <v>-2.6499667767939899E-3</v>
      </c>
      <c r="W81" s="9">
        <v>-1.4631488208515201E-3</v>
      </c>
      <c r="X81" s="10">
        <v>2.3840088603081901</v>
      </c>
      <c r="Y81" s="10">
        <v>2.3816575271846898</v>
      </c>
      <c r="Z81" s="10">
        <v>2.3782752040163802</v>
      </c>
      <c r="AA81" s="10">
        <v>2.3804277049657299</v>
      </c>
      <c r="AB81" s="8">
        <v>144.29224495297899</v>
      </c>
      <c r="AC81" s="8">
        <v>144.051264884142</v>
      </c>
      <c r="AD81" s="8">
        <v>144.221506926936</v>
      </c>
      <c r="AE81" s="9">
        <v>-9.8678049326750804E-4</v>
      </c>
      <c r="AF81" s="9">
        <v>-2.6582599385851398E-3</v>
      </c>
      <c r="AG81" s="9">
        <v>-1.4771420583515099E-3</v>
      </c>
      <c r="AZ81" s="9"/>
      <c r="BB81">
        <f t="shared" si="2"/>
        <v>1</v>
      </c>
      <c r="BC81">
        <f t="shared" si="3"/>
        <v>0</v>
      </c>
      <c r="BD81">
        <f t="shared" si="4"/>
        <v>0</v>
      </c>
      <c r="BE81">
        <f t="shared" si="0"/>
        <v>1</v>
      </c>
      <c r="BF81">
        <f t="shared" si="5"/>
        <v>0</v>
      </c>
      <c r="BG81" s="9">
        <f t="shared" si="6"/>
        <v>0</v>
      </c>
      <c r="BH81" s="9">
        <f t="shared" si="7"/>
        <v>0</v>
      </c>
      <c r="BI81" s="9">
        <f t="shared" si="8"/>
        <v>0</v>
      </c>
      <c r="BJ81" s="12">
        <f t="shared" si="9"/>
        <v>-3.6295797838099119E-3</v>
      </c>
      <c r="BL81" s="9"/>
      <c r="BN81">
        <f t="shared" si="10"/>
        <v>0</v>
      </c>
      <c r="BO81">
        <f t="shared" si="11"/>
        <v>1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-1.7699712903671899E-3</v>
      </c>
      <c r="BX81" s="12">
        <f t="shared" si="18"/>
        <v>0</v>
      </c>
      <c r="BY81" s="12">
        <f t="shared" si="19"/>
        <v>-5.3995510741771001E-3</v>
      </c>
    </row>
    <row r="82" spans="1:77" x14ac:dyDescent="0.3">
      <c r="A82" s="1">
        <v>46141</v>
      </c>
      <c r="B82" s="8">
        <v>59.98</v>
      </c>
      <c r="C82" s="8">
        <v>142.84</v>
      </c>
      <c r="D82" s="9">
        <v>-6.8123549989468303E-3</v>
      </c>
      <c r="E82" s="9">
        <v>-6.9764479970624996E-3</v>
      </c>
      <c r="F82" s="8">
        <v>0</v>
      </c>
      <c r="G82" s="8">
        <v>0.1948</v>
      </c>
      <c r="H82" s="8">
        <v>0</v>
      </c>
      <c r="I82" s="8">
        <v>0.59470000000000001</v>
      </c>
      <c r="J82" s="8">
        <v>0.1948</v>
      </c>
      <c r="K82" s="8">
        <v>0.59470000000000001</v>
      </c>
      <c r="L82" s="8">
        <v>60.174799999999998</v>
      </c>
      <c r="M82" s="8">
        <v>143.43469999999999</v>
      </c>
      <c r="N82" s="10">
        <v>2.38146048682894</v>
      </c>
      <c r="O82" s="10">
        <v>2.3794589997480098</v>
      </c>
      <c r="P82" s="10">
        <v>2.3770541322445702</v>
      </c>
      <c r="Q82" s="10">
        <v>2.37845510527693</v>
      </c>
      <c r="R82" s="8">
        <v>142.719950804885</v>
      </c>
      <c r="S82" s="8">
        <v>142.52070765472601</v>
      </c>
      <c r="T82" s="8">
        <v>142.65082271094099</v>
      </c>
      <c r="U82" s="9">
        <v>-8.4079859131715997E-4</v>
      </c>
      <c r="V82" s="9">
        <v>-2.23781669974204E-3</v>
      </c>
      <c r="W82" s="9">
        <v>-1.32527774413743E-3</v>
      </c>
      <c r="X82" s="10">
        <v>2.3836340129090501</v>
      </c>
      <c r="Y82" s="10">
        <v>2.3816575271846898</v>
      </c>
      <c r="Z82" s="10">
        <v>2.3791973395914598</v>
      </c>
      <c r="AA82" s="10">
        <v>2.38057877884438</v>
      </c>
      <c r="AB82" s="8">
        <v>143.31576536683301</v>
      </c>
      <c r="AC82" s="8">
        <v>143.11223474664499</v>
      </c>
      <c r="AD82" s="8">
        <v>143.24176106077201</v>
      </c>
      <c r="AE82" s="9">
        <v>-8.2953406777875195E-4</v>
      </c>
      <c r="AF82" s="9">
        <v>-2.2506985793755E-3</v>
      </c>
      <c r="AG82" s="9">
        <v>-1.3460398363010599E-3</v>
      </c>
      <c r="AZ82" s="9"/>
      <c r="BB82">
        <f t="shared" si="2"/>
        <v>1</v>
      </c>
      <c r="BC82">
        <f t="shared" si="3"/>
        <v>0</v>
      </c>
      <c r="BD82">
        <f t="shared" si="4"/>
        <v>1</v>
      </c>
      <c r="BE82">
        <f t="shared" si="0"/>
        <v>1</v>
      </c>
      <c r="BF82">
        <f t="shared" si="5"/>
        <v>1</v>
      </c>
      <c r="BG82" s="9">
        <f t="shared" si="6"/>
        <v>-6.8123549989468303E-3</v>
      </c>
      <c r="BH82" s="9">
        <f t="shared" si="7"/>
        <v>6.9764479970624996E-3</v>
      </c>
      <c r="BI82" s="9">
        <f t="shared" si="8"/>
        <v>1.6409299811566934E-4</v>
      </c>
      <c r="BJ82" s="12">
        <f t="shared" si="9"/>
        <v>-3.4654867856942426E-3</v>
      </c>
      <c r="BL82" s="9"/>
      <c r="BN82">
        <f t="shared" si="10"/>
        <v>0</v>
      </c>
      <c r="BO82">
        <f t="shared" si="11"/>
        <v>1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-1.7699712903671899E-3</v>
      </c>
      <c r="BX82" s="12">
        <f t="shared" si="18"/>
        <v>1.6409299811566934E-4</v>
      </c>
      <c r="BY82" s="12">
        <f t="shared" si="19"/>
        <v>-5.2354580760614307E-3</v>
      </c>
    </row>
    <row r="83" spans="1:77" x14ac:dyDescent="0.3">
      <c r="A83" s="1">
        <v>46142</v>
      </c>
      <c r="B83" s="8">
        <v>61.28</v>
      </c>
      <c r="C83" s="8">
        <v>145.99</v>
      </c>
      <c r="D83" s="9">
        <v>2.1442352111472801E-2</v>
      </c>
      <c r="E83" s="9">
        <v>2.1813003485640799E-2</v>
      </c>
      <c r="F83" s="8">
        <v>0</v>
      </c>
      <c r="G83" s="8">
        <v>0.1948</v>
      </c>
      <c r="H83" s="8">
        <v>0</v>
      </c>
      <c r="I83" s="8">
        <v>0.59470000000000001</v>
      </c>
      <c r="J83" s="8">
        <v>0.1948</v>
      </c>
      <c r="K83" s="8">
        <v>0.59470000000000001</v>
      </c>
      <c r="L83" s="8">
        <v>61.474800000000002</v>
      </c>
      <c r="M83" s="8">
        <v>146.5847</v>
      </c>
      <c r="N83" s="10">
        <v>2.3823433420365498</v>
      </c>
      <c r="O83" s="10">
        <v>2.3794589997480098</v>
      </c>
      <c r="P83" s="10">
        <v>2.37778644150087</v>
      </c>
      <c r="Q83" s="10">
        <v>2.3786653180967199</v>
      </c>
      <c r="R83" s="8">
        <v>145.81324750455801</v>
      </c>
      <c r="S83" s="8">
        <v>145.66587722394701</v>
      </c>
      <c r="T83" s="8">
        <v>145.75172885136999</v>
      </c>
      <c r="U83" s="9">
        <v>-1.21144996548523E-3</v>
      </c>
      <c r="V83" s="9">
        <v>-2.2226393143280499E-3</v>
      </c>
      <c r="W83" s="9">
        <v>-1.6334392926617299E-3</v>
      </c>
      <c r="X83" s="10">
        <v>2.38446810725695</v>
      </c>
      <c r="Y83" s="10">
        <v>2.3816575271846898</v>
      </c>
      <c r="Z83" s="10">
        <v>2.37992888922629</v>
      </c>
      <c r="AA83" s="10">
        <v>2.38078976661141</v>
      </c>
      <c r="AB83" s="8">
        <v>146.411920152173</v>
      </c>
      <c r="AC83" s="8">
        <v>146.260680611917</v>
      </c>
      <c r="AD83" s="8">
        <v>146.34560431370201</v>
      </c>
      <c r="AE83" s="9">
        <v>-1.1793983682430299E-3</v>
      </c>
      <c r="AF83" s="9">
        <v>-2.21290511484847E-3</v>
      </c>
      <c r="AG83" s="9">
        <v>-1.63244113615281E-3</v>
      </c>
      <c r="AZ83" s="9"/>
      <c r="BB83">
        <f t="shared" si="2"/>
        <v>1</v>
      </c>
      <c r="BC83">
        <f t="shared" si="3"/>
        <v>0</v>
      </c>
      <c r="BD83">
        <f t="shared" si="4"/>
        <v>1</v>
      </c>
      <c r="BE83">
        <f t="shared" si="0"/>
        <v>1</v>
      </c>
      <c r="BF83">
        <f t="shared" si="5"/>
        <v>1</v>
      </c>
      <c r="BG83" s="9">
        <f t="shared" si="6"/>
        <v>2.1442352111472801E-2</v>
      </c>
      <c r="BH83" s="9">
        <f t="shared" si="7"/>
        <v>-2.1813003485640799E-2</v>
      </c>
      <c r="BI83" s="9">
        <f t="shared" si="8"/>
        <v>-3.7065137416799829E-4</v>
      </c>
      <c r="BJ83" s="12">
        <f t="shared" si="9"/>
        <v>-3.8361381598622409E-3</v>
      </c>
      <c r="BL83" s="9"/>
      <c r="BN83">
        <f t="shared" si="10"/>
        <v>0</v>
      </c>
      <c r="BO83">
        <f t="shared" si="11"/>
        <v>1</v>
      </c>
      <c r="BP83">
        <f t="shared" si="12"/>
        <v>0</v>
      </c>
      <c r="BQ83">
        <f t="shared" si="1"/>
        <v>1</v>
      </c>
      <c r="BR83">
        <f t="shared" si="13"/>
        <v>0</v>
      </c>
      <c r="BS83" s="9">
        <f t="shared" si="14"/>
        <v>0</v>
      </c>
      <c r="BT83" s="9">
        <f t="shared" si="15"/>
        <v>0</v>
      </c>
      <c r="BU83" s="9">
        <f t="shared" si="16"/>
        <v>0</v>
      </c>
      <c r="BV83" s="12">
        <f t="shared" si="17"/>
        <v>-1.7699712903671899E-3</v>
      </c>
      <c r="BX83" s="12">
        <f t="shared" si="18"/>
        <v>-3.7065137416799829E-4</v>
      </c>
      <c r="BY83" s="12">
        <f t="shared" si="19"/>
        <v>-5.606109450229429E-3</v>
      </c>
    </row>
    <row r="84" spans="1:77" x14ac:dyDescent="0.3">
      <c r="A84" s="1">
        <v>46143</v>
      </c>
      <c r="B84" s="8">
        <v>61.07</v>
      </c>
      <c r="C84" s="8">
        <v>145.16</v>
      </c>
      <c r="D84" s="9">
        <v>-3.4327781972924901E-3</v>
      </c>
      <c r="E84" s="9">
        <v>-5.7015438670190797E-3</v>
      </c>
      <c r="F84" s="8">
        <v>0</v>
      </c>
      <c r="G84" s="8">
        <v>0.1948</v>
      </c>
      <c r="H84" s="8">
        <v>0</v>
      </c>
      <c r="I84" s="8">
        <v>0.59470000000000001</v>
      </c>
      <c r="J84" s="8">
        <v>0.1948</v>
      </c>
      <c r="K84" s="8">
        <v>0.59470000000000001</v>
      </c>
      <c r="L84" s="8">
        <v>61.264800000000001</v>
      </c>
      <c r="M84" s="8">
        <v>145.75469999999899</v>
      </c>
      <c r="N84" s="10">
        <v>2.37694448992958</v>
      </c>
      <c r="O84" s="10">
        <v>2.3794589997480098</v>
      </c>
      <c r="P84" s="10">
        <v>2.3779709144363701</v>
      </c>
      <c r="Q84" s="10">
        <v>2.3784452271025298</v>
      </c>
      <c r="R84" s="8">
        <v>145.31356111461099</v>
      </c>
      <c r="S84" s="8">
        <v>145.21141798245799</v>
      </c>
      <c r="T84" s="8">
        <v>145.26509097616699</v>
      </c>
      <c r="U84" s="9">
        <v>1.0573157042413699E-3</v>
      </c>
      <c r="V84" s="9">
        <v>3.5415319698716601E-4</v>
      </c>
      <c r="W84" s="9">
        <v>7.2370455597176497E-4</v>
      </c>
      <c r="X84" s="10">
        <v>2.37909370470482</v>
      </c>
      <c r="Y84" s="10">
        <v>2.3816575271846898</v>
      </c>
      <c r="Z84" s="10">
        <v>2.3801181937565499</v>
      </c>
      <c r="AA84" s="10">
        <v>2.3805713766648999</v>
      </c>
      <c r="AB84" s="8">
        <v>145.91177207146399</v>
      </c>
      <c r="AC84" s="8">
        <v>145.80586741267001</v>
      </c>
      <c r="AD84" s="8">
        <v>145.85860889349399</v>
      </c>
      <c r="AE84" s="9">
        <v>1.0770664556260701E-3</v>
      </c>
      <c r="AF84" s="9">
        <v>3.5098994113201901E-4</v>
      </c>
      <c r="AG84" s="9">
        <v>7.1264852956659497E-4</v>
      </c>
      <c r="AZ84" s="9"/>
      <c r="BB84">
        <f t="shared" si="2"/>
        <v>0</v>
      </c>
      <c r="BC84">
        <f t="shared" si="3"/>
        <v>1</v>
      </c>
      <c r="BD84">
        <f t="shared" si="4"/>
        <v>1</v>
      </c>
      <c r="BE84">
        <f t="shared" si="0"/>
        <v>1</v>
      </c>
      <c r="BF84">
        <f t="shared" si="5"/>
        <v>1</v>
      </c>
      <c r="BG84" s="9">
        <f t="shared" si="6"/>
        <v>-3.4327781972924901E-3</v>
      </c>
      <c r="BH84" s="9">
        <f t="shared" si="7"/>
        <v>5.7015438670190797E-3</v>
      </c>
      <c r="BI84" s="9">
        <f t="shared" si="8"/>
        <v>2.2687656697265896E-3</v>
      </c>
      <c r="BJ84" s="12">
        <f t="shared" si="9"/>
        <v>-1.5673724901356513E-3</v>
      </c>
      <c r="BL84" s="9"/>
      <c r="BN84">
        <f t="shared" si="10"/>
        <v>0</v>
      </c>
      <c r="BO84">
        <f t="shared" si="11"/>
        <v>0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-1.7699712903671899E-3</v>
      </c>
      <c r="BX84" s="12">
        <f t="shared" si="18"/>
        <v>2.2687656697265896E-3</v>
      </c>
      <c r="BY84" s="12">
        <f t="shared" si="19"/>
        <v>-3.3373437805028394E-3</v>
      </c>
    </row>
    <row r="85" spans="1:77" x14ac:dyDescent="0.3">
      <c r="A85" s="1">
        <v>46146</v>
      </c>
      <c r="B85" s="8">
        <v>60.97</v>
      </c>
      <c r="C85" s="8">
        <v>144.72999999999999</v>
      </c>
      <c r="D85" s="9">
        <v>-1.63880731531866E-3</v>
      </c>
      <c r="E85" s="9">
        <v>-2.9666446953564001E-3</v>
      </c>
      <c r="F85" s="8">
        <v>0</v>
      </c>
      <c r="G85" s="8">
        <v>0.1948</v>
      </c>
      <c r="H85" s="8">
        <v>0</v>
      </c>
      <c r="I85" s="8">
        <v>0.59470000000000001</v>
      </c>
      <c r="J85" s="8">
        <v>0.1948</v>
      </c>
      <c r="K85" s="8">
        <v>0.59470000000000001</v>
      </c>
      <c r="L85" s="8">
        <v>61.1648</v>
      </c>
      <c r="M85" s="8">
        <v>145.32469999999901</v>
      </c>
      <c r="N85" s="10">
        <v>2.3737903887157601</v>
      </c>
      <c r="O85" s="10">
        <v>2.3794589997480098</v>
      </c>
      <c r="P85" s="10">
        <v>2.3778821698027901</v>
      </c>
      <c r="Q85" s="10">
        <v>2.3782079172700299</v>
      </c>
      <c r="R85" s="8">
        <v>145.075615214636</v>
      </c>
      <c r="S85" s="8">
        <v>144.98488665318499</v>
      </c>
      <c r="T85" s="8">
        <v>145.01380549644099</v>
      </c>
      <c r="U85" s="9">
        <v>2.3851530842791701E-3</v>
      </c>
      <c r="V85" s="9">
        <v>1.75956936071083E-3</v>
      </c>
      <c r="W85" s="9">
        <v>1.9590105591332199E-3</v>
      </c>
      <c r="X85" s="10">
        <v>2.3759531626033201</v>
      </c>
      <c r="Y85" s="10">
        <v>2.3816575271846898</v>
      </c>
      <c r="Z85" s="10">
        <v>2.3800335816991698</v>
      </c>
      <c r="AA85" s="10">
        <v>2.3803357451174998</v>
      </c>
      <c r="AB85" s="8">
        <v>145.67360631874601</v>
      </c>
      <c r="AC85" s="8">
        <v>145.57945329748</v>
      </c>
      <c r="AD85" s="8">
        <v>145.607172139433</v>
      </c>
      <c r="AE85" s="9">
        <v>2.3979966780960601E-3</v>
      </c>
      <c r="AF85" s="9">
        <v>1.7514590954909499E-3</v>
      </c>
      <c r="AG85" s="9">
        <v>1.9418445020667201E-3</v>
      </c>
      <c r="AZ85" s="9"/>
      <c r="BB85">
        <f t="shared" si="2"/>
        <v>0</v>
      </c>
      <c r="BC85">
        <f t="shared" si="3"/>
        <v>1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-1.5673724901356513E-3</v>
      </c>
      <c r="BL85" s="9"/>
      <c r="BN85">
        <f t="shared" si="10"/>
        <v>0</v>
      </c>
      <c r="BO85">
        <f t="shared" si="11"/>
        <v>0</v>
      </c>
      <c r="BP85">
        <f t="shared" si="12"/>
        <v>0</v>
      </c>
      <c r="BQ85">
        <f t="shared" si="1"/>
        <v>1</v>
      </c>
      <c r="BR85">
        <f t="shared" si="13"/>
        <v>0</v>
      </c>
      <c r="BS85" s="9">
        <f t="shared" si="14"/>
        <v>0</v>
      </c>
      <c r="BT85" s="9">
        <f t="shared" si="15"/>
        <v>0</v>
      </c>
      <c r="BU85" s="9">
        <f t="shared" si="16"/>
        <v>0</v>
      </c>
      <c r="BV85" s="12">
        <f t="shared" si="17"/>
        <v>-1.7699712903671899E-3</v>
      </c>
      <c r="BX85" s="12">
        <f t="shared" si="18"/>
        <v>0</v>
      </c>
      <c r="BY85" s="12">
        <f t="shared" si="19"/>
        <v>-3.3373437805028394E-3</v>
      </c>
    </row>
    <row r="86" spans="1:77" x14ac:dyDescent="0.3">
      <c r="A86" s="1">
        <v>46147</v>
      </c>
      <c r="B86" s="8">
        <v>61.19</v>
      </c>
      <c r="C86" s="8">
        <v>145.30000000000001</v>
      </c>
      <c r="D86" s="9">
        <v>3.60183755472447E-3</v>
      </c>
      <c r="E86" s="9">
        <v>3.9306329267242701E-3</v>
      </c>
      <c r="F86" s="8">
        <v>0</v>
      </c>
      <c r="G86" s="8">
        <v>0.1948</v>
      </c>
      <c r="H86" s="8">
        <v>0</v>
      </c>
      <c r="I86" s="8">
        <v>0.59470000000000001</v>
      </c>
      <c r="J86" s="8">
        <v>0.1948</v>
      </c>
      <c r="K86" s="8">
        <v>0.59470000000000001</v>
      </c>
      <c r="L86" s="8">
        <v>61.384799999999998</v>
      </c>
      <c r="M86" s="8">
        <v>145.8947</v>
      </c>
      <c r="N86" s="10">
        <v>2.3745710083346898</v>
      </c>
      <c r="O86" s="10">
        <v>2.3794589997480098</v>
      </c>
      <c r="P86" s="10">
        <v>2.3778392706362599</v>
      </c>
      <c r="Q86" s="10">
        <v>2.3778319658177498</v>
      </c>
      <c r="R86" s="8">
        <v>145.59909619458</v>
      </c>
      <c r="S86" s="8">
        <v>145.50260997023301</v>
      </c>
      <c r="T86" s="8">
        <v>145.52254245775299</v>
      </c>
      <c r="U86" s="9">
        <v>2.0563577122794498E-3</v>
      </c>
      <c r="V86" s="9">
        <v>1.3934538141737399E-3</v>
      </c>
      <c r="W86" s="9">
        <v>1.53043501586646E-3</v>
      </c>
      <c r="X86" s="10">
        <v>2.37672355371362</v>
      </c>
      <c r="Y86" s="10">
        <v>2.3816575271846898</v>
      </c>
      <c r="Z86" s="10">
        <v>2.3799916912224099</v>
      </c>
      <c r="AA86" s="10">
        <v>2.3799615729924</v>
      </c>
      <c r="AB86" s="8">
        <v>146.197570974727</v>
      </c>
      <c r="AC86" s="8">
        <v>146.09788540588701</v>
      </c>
      <c r="AD86" s="8">
        <v>146.116433646888</v>
      </c>
      <c r="AE86" s="9">
        <v>2.07380415963685E-3</v>
      </c>
      <c r="AF86" s="9">
        <v>1.3917164259518099E-3</v>
      </c>
      <c r="AG86" s="9">
        <v>1.5186659956127799E-3</v>
      </c>
      <c r="AZ86" s="9"/>
      <c r="BB86">
        <f t="shared" si="2"/>
        <v>0</v>
      </c>
      <c r="BC86">
        <f t="shared" si="3"/>
        <v>1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-1.5673724901356513E-3</v>
      </c>
      <c r="BL86" s="9"/>
      <c r="BN86">
        <f t="shared" si="10"/>
        <v>0</v>
      </c>
      <c r="BO86">
        <f t="shared" si="11"/>
        <v>0</v>
      </c>
      <c r="BP86">
        <f t="shared" si="12"/>
        <v>0</v>
      </c>
      <c r="BQ86">
        <f t="shared" ref="BQ86:BQ149" si="21">IF(F87+H87&gt;0,0,1)</f>
        <v>1</v>
      </c>
      <c r="BR86">
        <f t="shared" si="13"/>
        <v>0</v>
      </c>
      <c r="BS86" s="9">
        <f t="shared" si="14"/>
        <v>0</v>
      </c>
      <c r="BT86" s="9">
        <f t="shared" si="15"/>
        <v>0</v>
      </c>
      <c r="BU86" s="9">
        <f t="shared" si="16"/>
        <v>0</v>
      </c>
      <c r="BV86" s="12">
        <f t="shared" si="17"/>
        <v>-1.7699712903671899E-3</v>
      </c>
      <c r="BX86" s="12">
        <f t="shared" si="18"/>
        <v>0</v>
      </c>
      <c r="BY86" s="12">
        <f t="shared" si="19"/>
        <v>-3.3373437805028394E-3</v>
      </c>
    </row>
    <row r="87" spans="1:77" x14ac:dyDescent="0.3">
      <c r="A87" s="1">
        <v>46148</v>
      </c>
      <c r="B87" s="8">
        <v>61.46</v>
      </c>
      <c r="C87" s="8">
        <v>145.4</v>
      </c>
      <c r="D87" s="9">
        <v>4.4027792278894702E-3</v>
      </c>
      <c r="E87" s="9">
        <v>6.8799452318182798E-4</v>
      </c>
      <c r="F87" s="8">
        <v>0</v>
      </c>
      <c r="G87" s="8">
        <v>0.1948</v>
      </c>
      <c r="H87" s="8">
        <v>0</v>
      </c>
      <c r="I87" s="8">
        <v>0.59470000000000001</v>
      </c>
      <c r="J87" s="8">
        <v>0.1948</v>
      </c>
      <c r="K87" s="8">
        <v>0.59470000000000001</v>
      </c>
      <c r="L87" s="8">
        <v>61.654800000000002</v>
      </c>
      <c r="M87" s="8">
        <v>145.99469999999999</v>
      </c>
      <c r="N87" s="10">
        <v>2.3657663520989201</v>
      </c>
      <c r="O87" s="10">
        <v>2.3794589997480098</v>
      </c>
      <c r="P87" s="10">
        <v>2.3771711732691698</v>
      </c>
      <c r="Q87" s="10">
        <v>2.37697524282407</v>
      </c>
      <c r="R87" s="8">
        <v>146.241550124512</v>
      </c>
      <c r="S87" s="8">
        <v>146.14200157330399</v>
      </c>
      <c r="T87" s="8">
        <v>146.141552619159</v>
      </c>
      <c r="U87" s="9">
        <v>5.7711424169870299E-3</v>
      </c>
      <c r="V87" s="9">
        <v>5.0901974426457502E-3</v>
      </c>
      <c r="W87" s="9">
        <v>5.0871253974412601E-3</v>
      </c>
      <c r="X87" s="10">
        <v>2.36793728955409</v>
      </c>
      <c r="Y87" s="10">
        <v>2.3816575271846898</v>
      </c>
      <c r="Z87" s="10">
        <v>2.3793265383331401</v>
      </c>
      <c r="AA87" s="10">
        <v>2.3791098246660001</v>
      </c>
      <c r="AB87" s="8">
        <v>146.84061850706601</v>
      </c>
      <c r="AC87" s="8">
        <v>146.73791172397901</v>
      </c>
      <c r="AD87" s="8">
        <v>146.73605479053199</v>
      </c>
      <c r="AE87" s="9">
        <v>5.77745105588315E-3</v>
      </c>
      <c r="AF87" s="9">
        <v>5.0777623749921801E-3</v>
      </c>
      <c r="AG87" s="9">
        <v>5.0651075322530499E-3</v>
      </c>
      <c r="AZ87" s="9"/>
      <c r="BB87">
        <f t="shared" ref="BB87:BB150" si="22">IF($AG87&lt;BA$20,1,0)</f>
        <v>0</v>
      </c>
      <c r="BC87">
        <f t="shared" ref="BC87:BC150" si="23">IF($AG87&gt;BA$21,1,0)</f>
        <v>1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-1.5673724901356513E-3</v>
      </c>
      <c r="BL87" s="9"/>
      <c r="BN87">
        <f t="shared" ref="BN87:BN150" si="30">IF($AG87&gt;BM$20,1,0)</f>
        <v>1</v>
      </c>
      <c r="BO87">
        <f t="shared" ref="BO87:BO150" si="31">IF($AG87&lt;BM$21,1,0)</f>
        <v>0</v>
      </c>
      <c r="BP87">
        <f t="shared" ref="BP87:BP150" si="32">BR87</f>
        <v>0</v>
      </c>
      <c r="BQ87">
        <f t="shared" si="21"/>
        <v>1</v>
      </c>
      <c r="BR87">
        <f t="shared" ref="BR87:BR150" si="33">IF(BN86,1,IF(BO86,0,BP86))*BQ86</f>
        <v>0</v>
      </c>
      <c r="BS87" s="9">
        <f t="shared" ref="BS87:BS150" si="34">-BR87*D87</f>
        <v>0</v>
      </c>
      <c r="BT87" s="9">
        <f t="shared" ref="BT87:BT150" si="35">BR87*$E87</f>
        <v>0</v>
      </c>
      <c r="BU87" s="9">
        <f t="shared" ref="BU87:BU150" si="36">BS87+BT87</f>
        <v>0</v>
      </c>
      <c r="BV87" s="12">
        <f t="shared" ref="BV87:BV150" si="37">BV86+BU87</f>
        <v>-1.7699712903671899E-3</v>
      </c>
      <c r="BX87" s="12">
        <f t="shared" ref="BX87:BX150" si="38">BI87+BU87</f>
        <v>0</v>
      </c>
      <c r="BY87" s="12">
        <f t="shared" ref="BY87:BY150" si="39">BY86+BX87</f>
        <v>-3.3373437805028394E-3</v>
      </c>
    </row>
    <row r="88" spans="1:77" x14ac:dyDescent="0.3">
      <c r="A88" s="1">
        <v>46149</v>
      </c>
      <c r="B88" s="8">
        <v>60.95</v>
      </c>
      <c r="C88" s="8">
        <v>144.72</v>
      </c>
      <c r="D88" s="9">
        <v>-8.3327007750580093E-3</v>
      </c>
      <c r="E88" s="9">
        <v>-4.6877240123793101E-3</v>
      </c>
      <c r="F88" s="8">
        <v>0</v>
      </c>
      <c r="G88" s="8">
        <v>0.1948</v>
      </c>
      <c r="H88" s="8">
        <v>0</v>
      </c>
      <c r="I88" s="8">
        <v>0.59470000000000001</v>
      </c>
      <c r="J88" s="8">
        <v>0.1948</v>
      </c>
      <c r="K88" s="8">
        <v>0.59470000000000001</v>
      </c>
      <c r="L88" s="8">
        <v>61.144799999999996</v>
      </c>
      <c r="M88" s="8">
        <v>145.31469999999999</v>
      </c>
      <c r="N88" s="10">
        <v>2.3744052502050801</v>
      </c>
      <c r="O88" s="10">
        <v>2.3794589997480098</v>
      </c>
      <c r="P88" s="10">
        <v>2.3765908649563401</v>
      </c>
      <c r="Q88" s="10">
        <v>2.3764413925727799</v>
      </c>
      <c r="R88" s="8">
        <v>145.02802603464099</v>
      </c>
      <c r="S88" s="8">
        <v>144.88858301075601</v>
      </c>
      <c r="T88" s="8">
        <v>144.87664105012701</v>
      </c>
      <c r="U88" s="9">
        <v>2.12616565430862E-3</v>
      </c>
      <c r="V88" s="9">
        <v>1.1642129390289501E-3</v>
      </c>
      <c r="W88" s="9">
        <v>1.0817878607657001E-3</v>
      </c>
      <c r="X88" s="10">
        <v>2.3765667726445998</v>
      </c>
      <c r="Y88" s="10">
        <v>2.3816575271846898</v>
      </c>
      <c r="Z88" s="10">
        <v>2.3787497825370498</v>
      </c>
      <c r="AA88" s="10">
        <v>2.3785804868149101</v>
      </c>
      <c r="AB88" s="8">
        <v>145.62597316820199</v>
      </c>
      <c r="AC88" s="8">
        <v>145.483445321072</v>
      </c>
      <c r="AD88" s="8">
        <v>145.47019440723801</v>
      </c>
      <c r="AE88" s="9">
        <v>2.13977154572425E-3</v>
      </c>
      <c r="AF88" s="9">
        <v>1.1605668242929499E-3</v>
      </c>
      <c r="AG88" s="9">
        <v>1.0694807402305501E-3</v>
      </c>
      <c r="AZ88" s="9"/>
      <c r="BB88">
        <f t="shared" si="22"/>
        <v>0</v>
      </c>
      <c r="BC88">
        <f t="shared" si="23"/>
        <v>1</v>
      </c>
      <c r="BD88">
        <f t="shared" si="24"/>
        <v>0</v>
      </c>
      <c r="BE88">
        <f t="shared" si="20"/>
        <v>1</v>
      </c>
      <c r="BF88">
        <f t="shared" si="25"/>
        <v>0</v>
      </c>
      <c r="BG88" s="9">
        <f t="shared" si="26"/>
        <v>0</v>
      </c>
      <c r="BH88" s="9">
        <f t="shared" si="27"/>
        <v>0</v>
      </c>
      <c r="BI88" s="9">
        <f t="shared" si="28"/>
        <v>0</v>
      </c>
      <c r="BJ88" s="12">
        <f t="shared" si="29"/>
        <v>-1.5673724901356513E-3</v>
      </c>
      <c r="BL88" s="9"/>
      <c r="BN88">
        <f t="shared" si="30"/>
        <v>0</v>
      </c>
      <c r="BO88">
        <f t="shared" si="31"/>
        <v>0</v>
      </c>
      <c r="BP88">
        <f t="shared" si="32"/>
        <v>1</v>
      </c>
      <c r="BQ88">
        <f t="shared" si="21"/>
        <v>1</v>
      </c>
      <c r="BR88">
        <f t="shared" si="33"/>
        <v>1</v>
      </c>
      <c r="BS88" s="9">
        <f t="shared" si="34"/>
        <v>8.3327007750580093E-3</v>
      </c>
      <c r="BT88" s="9">
        <f t="shared" si="35"/>
        <v>-4.6877240123793101E-3</v>
      </c>
      <c r="BU88" s="9">
        <f t="shared" si="36"/>
        <v>3.6449767626786991E-3</v>
      </c>
      <c r="BV88" s="12">
        <f t="shared" si="37"/>
        <v>1.8750054723115092E-3</v>
      </c>
      <c r="BX88" s="12">
        <f t="shared" si="38"/>
        <v>3.6449767626786991E-3</v>
      </c>
      <c r="BY88" s="12">
        <f t="shared" si="39"/>
        <v>3.076329821758597E-4</v>
      </c>
    </row>
    <row r="89" spans="1:77" x14ac:dyDescent="0.3">
      <c r="A89" s="1">
        <v>46150</v>
      </c>
      <c r="B89" s="8">
        <v>60.42</v>
      </c>
      <c r="C89" s="8">
        <v>143.49</v>
      </c>
      <c r="D89" s="9">
        <v>-8.7336799687546592E-3</v>
      </c>
      <c r="E89" s="9">
        <v>-8.5354947267243693E-3</v>
      </c>
      <c r="F89" s="8">
        <v>0</v>
      </c>
      <c r="G89" s="8">
        <v>0.1948</v>
      </c>
      <c r="H89" s="8">
        <v>0</v>
      </c>
      <c r="I89" s="8">
        <v>0.59470000000000001</v>
      </c>
      <c r="J89" s="8">
        <v>0.1948</v>
      </c>
      <c r="K89" s="8">
        <v>0.59470000000000001</v>
      </c>
      <c r="L89" s="8">
        <v>60.614800000000002</v>
      </c>
      <c r="M89" s="8">
        <v>144.0847</v>
      </c>
      <c r="N89" s="10">
        <v>2.3748758689175702</v>
      </c>
      <c r="O89" s="10">
        <v>2.3794589997480098</v>
      </c>
      <c r="P89" s="10">
        <v>2.37639299190745</v>
      </c>
      <c r="Q89" s="10">
        <v>2.3759830497506602</v>
      </c>
      <c r="R89" s="8">
        <v>143.76691276477399</v>
      </c>
      <c r="S89" s="8">
        <v>143.593620060662</v>
      </c>
      <c r="T89" s="8">
        <v>143.584588939247</v>
      </c>
      <c r="U89" s="9">
        <v>1.92798041227827E-3</v>
      </c>
      <c r="V89" s="9">
        <v>7.2188071991382001E-4</v>
      </c>
      <c r="W89" s="9">
        <v>6.5898513010456802E-4</v>
      </c>
      <c r="X89" s="10">
        <v>2.3770547787009102</v>
      </c>
      <c r="Y89" s="10">
        <v>2.3816575271846898</v>
      </c>
      <c r="Z89" s="10">
        <v>2.3785534022135399</v>
      </c>
      <c r="AA89" s="10">
        <v>2.3781259923636999</v>
      </c>
      <c r="AB89" s="8">
        <v>144.36369467879399</v>
      </c>
      <c r="AC89" s="8">
        <v>144.18744231852699</v>
      </c>
      <c r="AD89" s="8">
        <v>144.177180492188</v>
      </c>
      <c r="AE89" s="9">
        <v>1.93445185304486E-3</v>
      </c>
      <c r="AF89" s="9">
        <v>7.1281478710537099E-4</v>
      </c>
      <c r="AG89" s="9">
        <v>6.4164221230770602E-4</v>
      </c>
      <c r="AZ89" s="9"/>
      <c r="BB89">
        <f t="shared" si="22"/>
        <v>0</v>
      </c>
      <c r="BC89">
        <f t="shared" si="23"/>
        <v>1</v>
      </c>
      <c r="BD89">
        <f t="shared" si="24"/>
        <v>0</v>
      </c>
      <c r="BE89">
        <f t="shared" si="20"/>
        <v>1</v>
      </c>
      <c r="BF89">
        <f t="shared" si="25"/>
        <v>0</v>
      </c>
      <c r="BG89" s="9">
        <f t="shared" si="26"/>
        <v>0</v>
      </c>
      <c r="BH89" s="9">
        <f t="shared" si="27"/>
        <v>0</v>
      </c>
      <c r="BI89" s="9">
        <f t="shared" si="28"/>
        <v>0</v>
      </c>
      <c r="BJ89" s="12">
        <f t="shared" si="29"/>
        <v>-1.5673724901356513E-3</v>
      </c>
      <c r="BL89" s="9"/>
      <c r="BN89">
        <f t="shared" si="30"/>
        <v>0</v>
      </c>
      <c r="BO89">
        <f t="shared" si="31"/>
        <v>0</v>
      </c>
      <c r="BP89">
        <f t="shared" si="32"/>
        <v>1</v>
      </c>
      <c r="BQ89">
        <f t="shared" si="21"/>
        <v>1</v>
      </c>
      <c r="BR89">
        <f t="shared" si="33"/>
        <v>1</v>
      </c>
      <c r="BS89" s="9">
        <f t="shared" si="34"/>
        <v>8.7336799687546592E-3</v>
      </c>
      <c r="BT89" s="9">
        <f t="shared" si="35"/>
        <v>-8.5354947267243693E-3</v>
      </c>
      <c r="BU89" s="9">
        <f t="shared" si="36"/>
        <v>1.9818524203028993E-4</v>
      </c>
      <c r="BV89" s="12">
        <f t="shared" si="37"/>
        <v>2.0731907143417992E-3</v>
      </c>
      <c r="BX89" s="12">
        <f t="shared" si="38"/>
        <v>1.9818524203028993E-4</v>
      </c>
      <c r="BY89" s="12">
        <f t="shared" si="39"/>
        <v>5.0581822420614963E-4</v>
      </c>
    </row>
    <row r="90" spans="1:77" x14ac:dyDescent="0.3">
      <c r="A90" s="1">
        <v>46153</v>
      </c>
      <c r="B90" s="8">
        <v>60.23</v>
      </c>
      <c r="C90" s="8">
        <v>143.04</v>
      </c>
      <c r="D90" s="9">
        <v>-3.1496089028963301E-3</v>
      </c>
      <c r="E90" s="9">
        <v>-3.1410349351113E-3</v>
      </c>
      <c r="F90" s="8">
        <v>0</v>
      </c>
      <c r="G90" s="8">
        <v>0.1948</v>
      </c>
      <c r="H90" s="8">
        <v>0</v>
      </c>
      <c r="I90" s="8">
        <v>0.59470000000000001</v>
      </c>
      <c r="J90" s="8">
        <v>0.1948</v>
      </c>
      <c r="K90" s="8">
        <v>0.59470000000000001</v>
      </c>
      <c r="L90" s="8">
        <v>60.424799999999998</v>
      </c>
      <c r="M90" s="8">
        <v>143.63469999999899</v>
      </c>
      <c r="N90" s="10">
        <v>2.37489623111406</v>
      </c>
      <c r="O90" s="10">
        <v>2.3794589997480098</v>
      </c>
      <c r="P90" s="10">
        <v>2.3760904718065201</v>
      </c>
      <c r="Q90" s="10">
        <v>2.3758191502809698</v>
      </c>
      <c r="R90" s="8">
        <v>143.31481555482199</v>
      </c>
      <c r="S90" s="8">
        <v>143.130149902585</v>
      </c>
      <c r="T90" s="8">
        <v>143.105459086482</v>
      </c>
      <c r="U90" s="9">
        <v>1.9194064444931101E-3</v>
      </c>
      <c r="V90" s="9">
        <v>6.3004408809765695E-4</v>
      </c>
      <c r="W90" s="9">
        <v>4.5752316205387899E-4</v>
      </c>
      <c r="X90" s="10">
        <v>2.37708192662615</v>
      </c>
      <c r="Y90" s="10">
        <v>2.3816575271846898</v>
      </c>
      <c r="Z90" s="10">
        <v>2.3782522169021698</v>
      </c>
      <c r="AA90" s="10">
        <v>2.37796608881037</v>
      </c>
      <c r="AB90" s="8">
        <v>143.911179748629</v>
      </c>
      <c r="AC90" s="8">
        <v>143.72361361807299</v>
      </c>
      <c r="AD90" s="8">
        <v>143.69778746337801</v>
      </c>
      <c r="AE90" s="9">
        <v>1.9230310938512199E-3</v>
      </c>
      <c r="AF90" s="9">
        <v>6.1883451215438299E-4</v>
      </c>
      <c r="AG90" s="9">
        <v>4.3912517480631499E-4</v>
      </c>
      <c r="AZ90" s="9"/>
      <c r="BB90">
        <f t="shared" si="22"/>
        <v>0</v>
      </c>
      <c r="BC90">
        <f t="shared" si="23"/>
        <v>1</v>
      </c>
      <c r="BD90">
        <f t="shared" si="24"/>
        <v>0</v>
      </c>
      <c r="BE90">
        <f t="shared" si="20"/>
        <v>1</v>
      </c>
      <c r="BF90">
        <f t="shared" si="25"/>
        <v>0</v>
      </c>
      <c r="BG90" s="9">
        <f t="shared" si="26"/>
        <v>0</v>
      </c>
      <c r="BH90" s="9">
        <f t="shared" si="27"/>
        <v>0</v>
      </c>
      <c r="BI90" s="9">
        <f t="shared" si="28"/>
        <v>0</v>
      </c>
      <c r="BJ90" s="12">
        <f t="shared" si="29"/>
        <v>-1.5673724901356513E-3</v>
      </c>
      <c r="BL90" s="9"/>
      <c r="BN90">
        <f t="shared" si="30"/>
        <v>0</v>
      </c>
      <c r="BO90">
        <f t="shared" si="31"/>
        <v>0</v>
      </c>
      <c r="BP90">
        <f t="shared" si="32"/>
        <v>1</v>
      </c>
      <c r="BQ90">
        <f t="shared" si="21"/>
        <v>1</v>
      </c>
      <c r="BR90">
        <f t="shared" si="33"/>
        <v>1</v>
      </c>
      <c r="BS90" s="9">
        <f t="shared" si="34"/>
        <v>3.1496089028963301E-3</v>
      </c>
      <c r="BT90" s="9">
        <f t="shared" si="35"/>
        <v>-3.1410349351113E-3</v>
      </c>
      <c r="BU90" s="9">
        <f t="shared" si="36"/>
        <v>8.573967785030067E-6</v>
      </c>
      <c r="BV90" s="12">
        <f t="shared" si="37"/>
        <v>2.0817646821268293E-3</v>
      </c>
      <c r="BX90" s="12">
        <f t="shared" si="38"/>
        <v>8.573967785030067E-6</v>
      </c>
      <c r="BY90" s="12">
        <f t="shared" si="39"/>
        <v>5.143921919911797E-4</v>
      </c>
    </row>
    <row r="91" spans="1:77" x14ac:dyDescent="0.3">
      <c r="A91" s="1">
        <v>46154</v>
      </c>
      <c r="B91" s="8">
        <v>61.39</v>
      </c>
      <c r="C91" s="8">
        <v>145.85</v>
      </c>
      <c r="D91" s="9">
        <v>1.90763883837754E-2</v>
      </c>
      <c r="E91" s="9">
        <v>1.9454384888526501E-2</v>
      </c>
      <c r="F91" s="8">
        <v>0</v>
      </c>
      <c r="G91" s="8">
        <v>0.1948</v>
      </c>
      <c r="H91" s="8">
        <v>0</v>
      </c>
      <c r="I91" s="8">
        <v>0.59470000000000001</v>
      </c>
      <c r="J91" s="8">
        <v>0.1948</v>
      </c>
      <c r="K91" s="8">
        <v>0.59470000000000001</v>
      </c>
      <c r="L91" s="8">
        <v>61.584800000000001</v>
      </c>
      <c r="M91" s="8">
        <v>146.44469999999899</v>
      </c>
      <c r="N91" s="10">
        <v>2.3757941032741399</v>
      </c>
      <c r="O91" s="10">
        <v>2.3794589997480098</v>
      </c>
      <c r="P91" s="10">
        <v>2.37548475214553</v>
      </c>
      <c r="Q91" s="10">
        <v>2.37581096272437</v>
      </c>
      <c r="R91" s="8">
        <v>146.07498799453001</v>
      </c>
      <c r="S91" s="8">
        <v>145.86819406420199</v>
      </c>
      <c r="T91" s="8">
        <v>145.851537635748</v>
      </c>
      <c r="U91" s="9">
        <v>1.5414099397421299E-3</v>
      </c>
      <c r="V91" s="9">
        <v>1.24737260798568E-4</v>
      </c>
      <c r="W91" s="9">
        <v>1.05425275531887E-5</v>
      </c>
      <c r="X91" s="10">
        <v>2.3779357893506101</v>
      </c>
      <c r="Y91" s="10">
        <v>2.3816575271846898</v>
      </c>
      <c r="Z91" s="10">
        <v>2.3776449098064099</v>
      </c>
      <c r="AA91" s="10">
        <v>2.3779600569113999</v>
      </c>
      <c r="AB91" s="8">
        <v>146.673902480164</v>
      </c>
      <c r="AC91" s="8">
        <v>146.464187127477</v>
      </c>
      <c r="AD91" s="8">
        <v>146.44656598616899</v>
      </c>
      <c r="AE91" s="9">
        <v>1.56388932629324E-3</v>
      </c>
      <c r="AF91" s="9">
        <v>1.33059312040375E-4</v>
      </c>
      <c r="AG91" s="9">
        <v>1.27418355264422E-5</v>
      </c>
      <c r="AZ91" s="9"/>
      <c r="BB91">
        <f t="shared" si="22"/>
        <v>0</v>
      </c>
      <c r="BC91">
        <f t="shared" si="23"/>
        <v>1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-1.5673724901356513E-3</v>
      </c>
      <c r="BL91" s="9"/>
      <c r="BN91">
        <f t="shared" si="30"/>
        <v>0</v>
      </c>
      <c r="BO91">
        <f t="shared" si="31"/>
        <v>0</v>
      </c>
      <c r="BP91">
        <f t="shared" si="32"/>
        <v>1</v>
      </c>
      <c r="BQ91">
        <f t="shared" si="21"/>
        <v>1</v>
      </c>
      <c r="BR91">
        <f t="shared" si="33"/>
        <v>1</v>
      </c>
      <c r="BS91" s="9">
        <f t="shared" si="34"/>
        <v>-1.90763883837754E-2</v>
      </c>
      <c r="BT91" s="9">
        <f t="shared" si="35"/>
        <v>1.9454384888526501E-2</v>
      </c>
      <c r="BU91" s="9">
        <f t="shared" si="36"/>
        <v>3.7799650475110053E-4</v>
      </c>
      <c r="BV91" s="12">
        <f t="shared" si="37"/>
        <v>2.4597611868779298E-3</v>
      </c>
      <c r="BX91" s="12">
        <f t="shared" si="38"/>
        <v>3.7799650475110053E-4</v>
      </c>
      <c r="BY91" s="12">
        <f t="shared" si="39"/>
        <v>8.9238869674228023E-4</v>
      </c>
    </row>
    <row r="92" spans="1:77" x14ac:dyDescent="0.3">
      <c r="A92" s="1">
        <v>46155</v>
      </c>
      <c r="B92" s="8">
        <v>61.73</v>
      </c>
      <c r="C92" s="8">
        <v>146.71</v>
      </c>
      <c r="D92" s="9">
        <v>5.5230809663994098E-3</v>
      </c>
      <c r="E92" s="9">
        <v>5.8791528378222503E-3</v>
      </c>
      <c r="F92" s="8">
        <v>0</v>
      </c>
      <c r="G92" s="8">
        <v>0.1948</v>
      </c>
      <c r="H92" s="8">
        <v>0</v>
      </c>
      <c r="I92" s="8">
        <v>0.59470000000000001</v>
      </c>
      <c r="J92" s="8">
        <v>0.1948</v>
      </c>
      <c r="K92" s="8">
        <v>0.59470000000000001</v>
      </c>
      <c r="L92" s="8">
        <v>61.924799999999998</v>
      </c>
      <c r="M92" s="8">
        <v>147.3047</v>
      </c>
      <c r="N92" s="10">
        <v>2.3766402073545998</v>
      </c>
      <c r="O92" s="10">
        <v>2.3794589997480098</v>
      </c>
      <c r="P92" s="10">
        <v>2.3750027241981</v>
      </c>
      <c r="Q92" s="10">
        <v>2.3760284282213302</v>
      </c>
      <c r="R92" s="8">
        <v>146.88400405444401</v>
      </c>
      <c r="S92" s="8">
        <v>146.638673749943</v>
      </c>
      <c r="T92" s="8">
        <v>146.658810728975</v>
      </c>
      <c r="U92" s="9">
        <v>1.1853380683192901E-3</v>
      </c>
      <c r="V92" s="9">
        <v>-4.8628991943254599E-4</v>
      </c>
      <c r="W92" s="9">
        <v>-3.48975553445818E-4</v>
      </c>
      <c r="X92" s="10">
        <v>2.3787674728057202</v>
      </c>
      <c r="Y92" s="10">
        <v>2.3816575271846898</v>
      </c>
      <c r="Z92" s="10">
        <v>2.37715825579608</v>
      </c>
      <c r="AA92" s="10">
        <v>2.3781777976937701</v>
      </c>
      <c r="AB92" s="8">
        <v>147.48366603940599</v>
      </c>
      <c r="AC92" s="8">
        <v>147.23518551078001</v>
      </c>
      <c r="AD92" s="8">
        <v>147.254700932227</v>
      </c>
      <c r="AE92" s="9">
        <v>1.2142003010396001E-3</v>
      </c>
      <c r="AF92" s="9">
        <v>-4.7202089720167301E-4</v>
      </c>
      <c r="AG92" s="9">
        <v>-3.3948377199876999E-4</v>
      </c>
      <c r="AZ92" s="9"/>
      <c r="BB92">
        <f t="shared" si="22"/>
        <v>0</v>
      </c>
      <c r="BC92">
        <f t="shared" si="23"/>
        <v>0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-1.5673724901356513E-3</v>
      </c>
      <c r="BL92" s="9"/>
      <c r="BN92">
        <f t="shared" si="30"/>
        <v>0</v>
      </c>
      <c r="BO92">
        <f t="shared" si="31"/>
        <v>1</v>
      </c>
      <c r="BP92">
        <f t="shared" si="32"/>
        <v>1</v>
      </c>
      <c r="BQ92">
        <f t="shared" si="21"/>
        <v>1</v>
      </c>
      <c r="BR92">
        <f t="shared" si="33"/>
        <v>1</v>
      </c>
      <c r="BS92" s="9">
        <f t="shared" si="34"/>
        <v>-5.5230809663994098E-3</v>
      </c>
      <c r="BT92" s="9">
        <f t="shared" si="35"/>
        <v>5.8791528378222503E-3</v>
      </c>
      <c r="BU92" s="9">
        <f t="shared" si="36"/>
        <v>3.5607187142284048E-4</v>
      </c>
      <c r="BV92" s="12">
        <f t="shared" si="37"/>
        <v>2.8158330583007703E-3</v>
      </c>
      <c r="BX92" s="12">
        <f t="shared" si="38"/>
        <v>3.5607187142284048E-4</v>
      </c>
      <c r="BY92" s="12">
        <f t="shared" si="39"/>
        <v>1.2484605681651207E-3</v>
      </c>
    </row>
    <row r="93" spans="1:77" x14ac:dyDescent="0.3">
      <c r="A93" s="1">
        <v>46156</v>
      </c>
      <c r="B93" s="8">
        <v>61.67</v>
      </c>
      <c r="C93" s="8">
        <v>146.63</v>
      </c>
      <c r="D93" s="9">
        <v>-9.7244740240297301E-4</v>
      </c>
      <c r="E93" s="9">
        <v>-5.4544216256492901E-4</v>
      </c>
      <c r="F93" s="8">
        <v>0</v>
      </c>
      <c r="G93" s="8">
        <v>0.1948</v>
      </c>
      <c r="H93" s="8">
        <v>0</v>
      </c>
      <c r="I93" s="8">
        <v>0.59470000000000001</v>
      </c>
      <c r="J93" s="8">
        <v>0.1948</v>
      </c>
      <c r="K93" s="8">
        <v>0.59470000000000001</v>
      </c>
      <c r="L93" s="8">
        <v>61.864800000000002</v>
      </c>
      <c r="M93" s="8">
        <v>147.22469999999899</v>
      </c>
      <c r="N93" s="10">
        <v>2.37765526187773</v>
      </c>
      <c r="O93" s="10">
        <v>2.3794589997480098</v>
      </c>
      <c r="P93" s="10">
        <v>2.3745339161822101</v>
      </c>
      <c r="Q93" s="10">
        <v>2.3761601788415398</v>
      </c>
      <c r="R93" s="8">
        <v>146.74123651445899</v>
      </c>
      <c r="S93" s="8">
        <v>146.46641800129601</v>
      </c>
      <c r="T93" s="8">
        <v>146.529673168409</v>
      </c>
      <c r="U93" s="9">
        <v>7.5833282848115403E-4</v>
      </c>
      <c r="V93" s="9">
        <v>-1.1162334688603101E-3</v>
      </c>
      <c r="W93" s="9">
        <v>-6.8445181714419799E-4</v>
      </c>
      <c r="X93" s="10">
        <v>2.3797813942662001</v>
      </c>
      <c r="Y93" s="10">
        <v>2.3816575271846898</v>
      </c>
      <c r="Z93" s="10">
        <v>2.376689584497</v>
      </c>
      <c r="AA93" s="10">
        <v>2.3783092368616501</v>
      </c>
      <c r="AB93" s="8">
        <v>147.34076658777499</v>
      </c>
      <c r="AC93" s="8">
        <v>147.06242006317299</v>
      </c>
      <c r="AD93" s="8">
        <v>147.12549381876499</v>
      </c>
      <c r="AE93" s="9">
        <v>7.8805295900395602E-4</v>
      </c>
      <c r="AF93" s="9">
        <v>-1.1028682005532701E-3</v>
      </c>
      <c r="AG93" s="9">
        <v>-6.7406909914582405E-4</v>
      </c>
      <c r="AZ93" s="9"/>
      <c r="BB93">
        <f t="shared" si="22"/>
        <v>0</v>
      </c>
      <c r="BC93">
        <f t="shared" si="23"/>
        <v>0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-1.5673724901356513E-3</v>
      </c>
      <c r="BL93" s="9"/>
      <c r="BN93">
        <f t="shared" si="30"/>
        <v>0</v>
      </c>
      <c r="BO93">
        <f t="shared" si="31"/>
        <v>1</v>
      </c>
      <c r="BP93">
        <f t="shared" si="32"/>
        <v>0</v>
      </c>
      <c r="BQ93">
        <f t="shared" si="21"/>
        <v>1</v>
      </c>
      <c r="BR93">
        <f t="shared" si="33"/>
        <v>0</v>
      </c>
      <c r="BS93" s="9">
        <f t="shared" si="34"/>
        <v>0</v>
      </c>
      <c r="BT93" s="9">
        <f t="shared" si="35"/>
        <v>0</v>
      </c>
      <c r="BU93" s="9">
        <f t="shared" si="36"/>
        <v>0</v>
      </c>
      <c r="BV93" s="12">
        <f t="shared" si="37"/>
        <v>2.8158330583007703E-3</v>
      </c>
      <c r="BX93" s="12">
        <f t="shared" si="38"/>
        <v>0</v>
      </c>
      <c r="BY93" s="12">
        <f t="shared" si="39"/>
        <v>1.2484605681651207E-3</v>
      </c>
    </row>
    <row r="94" spans="1:77" x14ac:dyDescent="0.3">
      <c r="A94" s="1">
        <v>46157</v>
      </c>
      <c r="B94" s="8">
        <v>60.91</v>
      </c>
      <c r="C94" s="8">
        <v>145.1</v>
      </c>
      <c r="D94" s="9">
        <v>-1.24002241550082E-2</v>
      </c>
      <c r="E94" s="9">
        <v>-1.0489247098845699E-2</v>
      </c>
      <c r="F94" s="8">
        <v>0</v>
      </c>
      <c r="G94" s="8">
        <v>0.1948</v>
      </c>
      <c r="H94" s="8">
        <v>0</v>
      </c>
      <c r="I94" s="8">
        <v>0.59470000000000001</v>
      </c>
      <c r="J94" s="8">
        <v>0.1948</v>
      </c>
      <c r="K94" s="8">
        <v>0.59470000000000001</v>
      </c>
      <c r="L94" s="8">
        <v>61.104799999999997</v>
      </c>
      <c r="M94" s="8">
        <v>145.69469999999899</v>
      </c>
      <c r="N94" s="10">
        <v>2.3822032506977502</v>
      </c>
      <c r="O94" s="10">
        <v>2.3794589997480098</v>
      </c>
      <c r="P94" s="10">
        <v>2.3750597922590302</v>
      </c>
      <c r="Q94" s="10">
        <v>2.3765153533476999</v>
      </c>
      <c r="R94" s="8">
        <v>144.93284767465099</v>
      </c>
      <c r="S94" s="8">
        <v>144.632860834658</v>
      </c>
      <c r="T94" s="8">
        <v>144.731916493238</v>
      </c>
      <c r="U94" s="9">
        <v>-1.15264422768137E-3</v>
      </c>
      <c r="V94" s="9">
        <v>-3.22462263188773E-3</v>
      </c>
      <c r="W94" s="9">
        <v>-2.5399804763098399E-3</v>
      </c>
      <c r="X94" s="10">
        <v>2.3843413283408101</v>
      </c>
      <c r="Y94" s="10">
        <v>2.3816575271846898</v>
      </c>
      <c r="Z94" s="10">
        <v>2.3772143468606002</v>
      </c>
      <c r="AA94" s="10">
        <v>2.3786662703085799</v>
      </c>
      <c r="AB94" s="8">
        <v>145.53070686711499</v>
      </c>
      <c r="AC94" s="8">
        <v>145.22714172277199</v>
      </c>
      <c r="AD94" s="8">
        <v>145.32611025658301</v>
      </c>
      <c r="AE94" s="9">
        <v>-1.1262283190383001E-3</v>
      </c>
      <c r="AF94" s="9">
        <v>-3.2143250367281501E-3</v>
      </c>
      <c r="AG94" s="9">
        <v>-2.53308304776896E-3</v>
      </c>
      <c r="AZ94" s="9"/>
      <c r="BB94">
        <f t="shared" si="22"/>
        <v>1</v>
      </c>
      <c r="BC94">
        <f t="shared" si="23"/>
        <v>0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-1.5673724901356513E-3</v>
      </c>
      <c r="BL94" s="9"/>
      <c r="BN94">
        <f t="shared" si="30"/>
        <v>0</v>
      </c>
      <c r="BO94">
        <f t="shared" si="31"/>
        <v>1</v>
      </c>
      <c r="BP94">
        <f t="shared" si="32"/>
        <v>0</v>
      </c>
      <c r="BQ94">
        <f t="shared" si="21"/>
        <v>1</v>
      </c>
      <c r="BR94">
        <f t="shared" si="33"/>
        <v>0</v>
      </c>
      <c r="BS94" s="9">
        <f t="shared" si="34"/>
        <v>0</v>
      </c>
      <c r="BT94" s="9">
        <f t="shared" si="35"/>
        <v>0</v>
      </c>
      <c r="BU94" s="9">
        <f t="shared" si="36"/>
        <v>0</v>
      </c>
      <c r="BV94" s="12">
        <f t="shared" si="37"/>
        <v>2.8158330583007703E-3</v>
      </c>
      <c r="BX94" s="12">
        <f t="shared" si="38"/>
        <v>0</v>
      </c>
      <c r="BY94" s="12">
        <f t="shared" si="39"/>
        <v>1.2484605681651207E-3</v>
      </c>
    </row>
    <row r="95" spans="1:77" x14ac:dyDescent="0.3">
      <c r="A95" s="1">
        <v>46160</v>
      </c>
      <c r="B95" s="8">
        <v>61.15</v>
      </c>
      <c r="C95" s="8">
        <v>145.72</v>
      </c>
      <c r="D95" s="9">
        <v>3.93249728478805E-3</v>
      </c>
      <c r="E95" s="9">
        <v>4.2638122502209799E-3</v>
      </c>
      <c r="F95" s="8">
        <v>0</v>
      </c>
      <c r="G95" s="8">
        <v>0.1948</v>
      </c>
      <c r="H95" s="8">
        <v>0</v>
      </c>
      <c r="I95" s="8">
        <v>0.59470000000000001</v>
      </c>
      <c r="J95" s="8">
        <v>0.1948</v>
      </c>
      <c r="K95" s="8">
        <v>0.59470000000000001</v>
      </c>
      <c r="L95" s="8">
        <v>61.344799999999999</v>
      </c>
      <c r="M95" s="8">
        <v>146.31469999999999</v>
      </c>
      <c r="N95" s="10">
        <v>2.3829926410466</v>
      </c>
      <c r="O95" s="10">
        <v>2.3794589997480098</v>
      </c>
      <c r="P95" s="10">
        <v>2.37598001749212</v>
      </c>
      <c r="Q95" s="10">
        <v>2.3769310936474501</v>
      </c>
      <c r="R95" s="8">
        <v>145.50391783459</v>
      </c>
      <c r="S95" s="8">
        <v>145.23490629663999</v>
      </c>
      <c r="T95" s="8">
        <v>145.32391385721201</v>
      </c>
      <c r="U95" s="9">
        <v>-1.4839591931141299E-3</v>
      </c>
      <c r="V95" s="9">
        <v>-3.3344971494646898E-3</v>
      </c>
      <c r="W95" s="9">
        <v>-2.7218324689762502E-3</v>
      </c>
      <c r="X95" s="10">
        <v>2.3851198471589998</v>
      </c>
      <c r="Y95" s="10">
        <v>2.3816575271846898</v>
      </c>
      <c r="Z95" s="10">
        <v>2.3781310153161699</v>
      </c>
      <c r="AA95" s="10">
        <v>2.3790822985076701</v>
      </c>
      <c r="AB95" s="8">
        <v>146.102304673639</v>
      </c>
      <c r="AC95" s="8">
        <v>145.829738665294</v>
      </c>
      <c r="AD95" s="8">
        <v>145.91880661882499</v>
      </c>
      <c r="AE95" s="9">
        <v>-1.4526881837732201E-3</v>
      </c>
      <c r="AF95" s="9">
        <v>-3.3200137738557201E-3</v>
      </c>
      <c r="AG95" s="9">
        <v>-2.7094334797089698E-3</v>
      </c>
      <c r="AZ95" s="9"/>
      <c r="BB95">
        <f t="shared" si="22"/>
        <v>1</v>
      </c>
      <c r="BC95">
        <f t="shared" si="23"/>
        <v>0</v>
      </c>
      <c r="BD95">
        <f t="shared" si="24"/>
        <v>1</v>
      </c>
      <c r="BE95">
        <f t="shared" si="20"/>
        <v>1</v>
      </c>
      <c r="BF95">
        <f t="shared" si="25"/>
        <v>1</v>
      </c>
      <c r="BG95" s="9">
        <f t="shared" si="26"/>
        <v>3.93249728478805E-3</v>
      </c>
      <c r="BH95" s="9">
        <f t="shared" si="27"/>
        <v>-4.2638122502209799E-3</v>
      </c>
      <c r="BI95" s="9">
        <f t="shared" si="28"/>
        <v>-3.3131496543292987E-4</v>
      </c>
      <c r="BJ95" s="12">
        <f t="shared" si="29"/>
        <v>-1.8986874555685812E-3</v>
      </c>
      <c r="BL95" s="9"/>
      <c r="BN95">
        <f t="shared" si="30"/>
        <v>0</v>
      </c>
      <c r="BO95">
        <f t="shared" si="31"/>
        <v>1</v>
      </c>
      <c r="BP95">
        <f t="shared" si="32"/>
        <v>0</v>
      </c>
      <c r="BQ95">
        <f t="shared" si="21"/>
        <v>1</v>
      </c>
      <c r="BR95">
        <f t="shared" si="33"/>
        <v>0</v>
      </c>
      <c r="BS95" s="9">
        <f t="shared" si="34"/>
        <v>0</v>
      </c>
      <c r="BT95" s="9">
        <f t="shared" si="35"/>
        <v>0</v>
      </c>
      <c r="BU95" s="9">
        <f t="shared" si="36"/>
        <v>0</v>
      </c>
      <c r="BV95" s="12">
        <f t="shared" si="37"/>
        <v>2.8158330583007703E-3</v>
      </c>
      <c r="BX95" s="12">
        <f t="shared" si="38"/>
        <v>-3.3131496543292987E-4</v>
      </c>
      <c r="BY95" s="12">
        <f t="shared" si="39"/>
        <v>9.1714560273219083E-4</v>
      </c>
    </row>
    <row r="96" spans="1:77" x14ac:dyDescent="0.3">
      <c r="A96" s="1">
        <v>46161</v>
      </c>
      <c r="B96" s="8">
        <v>61.84</v>
      </c>
      <c r="C96" s="8">
        <v>147.32</v>
      </c>
      <c r="D96" s="9">
        <v>1.12205421459852E-2</v>
      </c>
      <c r="E96" s="9">
        <v>1.09201194365014E-2</v>
      </c>
      <c r="F96" s="8">
        <v>0</v>
      </c>
      <c r="G96" s="8">
        <v>0.1948</v>
      </c>
      <c r="H96" s="8">
        <v>0</v>
      </c>
      <c r="I96" s="8">
        <v>0.59470000000000001</v>
      </c>
      <c r="J96" s="8">
        <v>0.1948</v>
      </c>
      <c r="K96" s="8">
        <v>0.59470000000000001</v>
      </c>
      <c r="L96" s="8">
        <v>62.034799999999997</v>
      </c>
      <c r="M96" s="8">
        <v>147.91469999999899</v>
      </c>
      <c r="N96" s="10">
        <v>2.3822768434670101</v>
      </c>
      <c r="O96" s="10">
        <v>2.3794589997480098</v>
      </c>
      <c r="P96" s="10">
        <v>2.3767506010053498</v>
      </c>
      <c r="Q96" s="10">
        <v>2.3772949358208</v>
      </c>
      <c r="R96" s="8">
        <v>147.145744544416</v>
      </c>
      <c r="S96" s="8">
        <v>146.93060428171199</v>
      </c>
      <c r="T96" s="8">
        <v>146.98941883115799</v>
      </c>
      <c r="U96" s="9">
        <v>-1.18353648363034E-3</v>
      </c>
      <c r="V96" s="9">
        <v>-2.6466959790790502E-3</v>
      </c>
      <c r="W96" s="9">
        <v>-2.2464881292820101E-3</v>
      </c>
      <c r="X96" s="10">
        <v>2.38438263684254</v>
      </c>
      <c r="Y96" s="10">
        <v>2.3816575271846898</v>
      </c>
      <c r="Z96" s="10">
        <v>2.37889692362906</v>
      </c>
      <c r="AA96" s="10">
        <v>2.3794443074257301</v>
      </c>
      <c r="AB96" s="8">
        <v>147.745648367397</v>
      </c>
      <c r="AC96" s="8">
        <v>147.52688190893599</v>
      </c>
      <c r="AD96" s="8">
        <v>147.585894571463</v>
      </c>
      <c r="AE96" s="9">
        <v>-1.14355308014048E-3</v>
      </c>
      <c r="AF96" s="9">
        <v>-2.6253468540848798E-3</v>
      </c>
      <c r="AG96" s="9">
        <v>-2.22541389273857E-3</v>
      </c>
      <c r="AZ96" s="9"/>
      <c r="BB96">
        <f t="shared" si="22"/>
        <v>1</v>
      </c>
      <c r="BC96">
        <f t="shared" si="23"/>
        <v>0</v>
      </c>
      <c r="BD96">
        <f t="shared" si="24"/>
        <v>1</v>
      </c>
      <c r="BE96">
        <f t="shared" si="20"/>
        <v>1</v>
      </c>
      <c r="BF96">
        <f t="shared" si="25"/>
        <v>1</v>
      </c>
      <c r="BG96" s="9">
        <f t="shared" si="26"/>
        <v>1.12205421459852E-2</v>
      </c>
      <c r="BH96" s="9">
        <f t="shared" si="27"/>
        <v>-1.09201194365014E-2</v>
      </c>
      <c r="BI96" s="9">
        <f t="shared" si="28"/>
        <v>3.0042270948379968E-4</v>
      </c>
      <c r="BJ96" s="12">
        <f t="shared" si="29"/>
        <v>-1.5982647460847815E-3</v>
      </c>
      <c r="BL96" s="9"/>
      <c r="BN96">
        <f t="shared" si="30"/>
        <v>0</v>
      </c>
      <c r="BO96">
        <f t="shared" si="31"/>
        <v>1</v>
      </c>
      <c r="BP96">
        <f t="shared" si="32"/>
        <v>0</v>
      </c>
      <c r="BQ96">
        <f t="shared" si="21"/>
        <v>1</v>
      </c>
      <c r="BR96">
        <f t="shared" si="33"/>
        <v>0</v>
      </c>
      <c r="BS96" s="9">
        <f t="shared" si="34"/>
        <v>0</v>
      </c>
      <c r="BT96" s="9">
        <f t="shared" si="35"/>
        <v>0</v>
      </c>
      <c r="BU96" s="9">
        <f t="shared" si="36"/>
        <v>0</v>
      </c>
      <c r="BV96" s="12">
        <f t="shared" si="37"/>
        <v>2.8158330583007703E-3</v>
      </c>
      <c r="BX96" s="12">
        <f t="shared" si="38"/>
        <v>3.0042270948379968E-4</v>
      </c>
      <c r="BY96" s="12">
        <f t="shared" si="39"/>
        <v>1.2175683122159905E-3</v>
      </c>
    </row>
    <row r="97" spans="1:77" x14ac:dyDescent="0.3">
      <c r="A97" s="1">
        <v>46162</v>
      </c>
      <c r="B97" s="8">
        <v>61.89</v>
      </c>
      <c r="C97" s="8">
        <v>147.13</v>
      </c>
      <c r="D97" s="9">
        <v>8.08211472103524E-4</v>
      </c>
      <c r="E97" s="9">
        <v>-1.2905418670088699E-3</v>
      </c>
      <c r="F97" s="8">
        <v>0</v>
      </c>
      <c r="G97" s="8">
        <v>0.1948</v>
      </c>
      <c r="H97" s="8">
        <v>0</v>
      </c>
      <c r="I97" s="8">
        <v>0.59470000000000001</v>
      </c>
      <c r="J97" s="8">
        <v>0.1948</v>
      </c>
      <c r="K97" s="8">
        <v>0.59470000000000001</v>
      </c>
      <c r="L97" s="8">
        <v>62.084800000000001</v>
      </c>
      <c r="M97" s="8">
        <v>147.72469999999899</v>
      </c>
      <c r="N97" s="10">
        <v>2.3772822750040299</v>
      </c>
      <c r="O97" s="10">
        <v>2.3794589997480098</v>
      </c>
      <c r="P97" s="10">
        <v>2.3779021932958599</v>
      </c>
      <c r="Q97" s="10">
        <v>2.3775366832825102</v>
      </c>
      <c r="R97" s="8">
        <v>147.26471749440401</v>
      </c>
      <c r="S97" s="8">
        <v>147.09709469622101</v>
      </c>
      <c r="T97" s="8">
        <v>147.13078357794899</v>
      </c>
      <c r="U97" s="9">
        <v>9.1521685548213603E-4</v>
      </c>
      <c r="V97" s="9">
        <v>-2.2367283305401499E-4</v>
      </c>
      <c r="W97" s="9">
        <v>5.3257382133221996E-6</v>
      </c>
      <c r="X97" s="10">
        <v>2.3794020436564098</v>
      </c>
      <c r="Y97" s="10">
        <v>2.3816575271846898</v>
      </c>
      <c r="Z97" s="10">
        <v>2.3800433990393</v>
      </c>
      <c r="AA97" s="10">
        <v>2.3796849686862198</v>
      </c>
      <c r="AB97" s="8">
        <v>147.86473124375601</v>
      </c>
      <c r="AC97" s="8">
        <v>147.69333972412599</v>
      </c>
      <c r="AD97" s="8">
        <v>147.72732393766501</v>
      </c>
      <c r="AE97" s="9">
        <v>9.4747131954390097E-4</v>
      </c>
      <c r="AF97" s="9">
        <v>-2.1231117788890699E-4</v>
      </c>
      <c r="AG97" s="9">
        <v>1.7762191171717701E-5</v>
      </c>
      <c r="AZ97" s="9"/>
      <c r="BB97">
        <f t="shared" si="22"/>
        <v>0</v>
      </c>
      <c r="BC97">
        <f t="shared" si="23"/>
        <v>1</v>
      </c>
      <c r="BD97">
        <f t="shared" si="24"/>
        <v>1</v>
      </c>
      <c r="BE97">
        <f t="shared" si="20"/>
        <v>1</v>
      </c>
      <c r="BF97">
        <f t="shared" si="25"/>
        <v>1</v>
      </c>
      <c r="BG97" s="9">
        <f t="shared" si="26"/>
        <v>8.08211472103524E-4</v>
      </c>
      <c r="BH97" s="9">
        <f t="shared" si="27"/>
        <v>1.2905418670088699E-3</v>
      </c>
      <c r="BI97" s="9">
        <f t="shared" si="28"/>
        <v>2.0987533391123941E-3</v>
      </c>
      <c r="BJ97" s="12">
        <f t="shared" si="29"/>
        <v>5.0048859302761258E-4</v>
      </c>
      <c r="BL97" s="9"/>
      <c r="BN97">
        <f t="shared" si="30"/>
        <v>0</v>
      </c>
      <c r="BO97">
        <f t="shared" si="31"/>
        <v>0</v>
      </c>
      <c r="BP97">
        <f t="shared" si="32"/>
        <v>0</v>
      </c>
      <c r="BQ97">
        <f t="shared" si="21"/>
        <v>1</v>
      </c>
      <c r="BR97">
        <f t="shared" si="33"/>
        <v>0</v>
      </c>
      <c r="BS97" s="9">
        <f t="shared" si="34"/>
        <v>0</v>
      </c>
      <c r="BT97" s="9">
        <f t="shared" si="35"/>
        <v>0</v>
      </c>
      <c r="BU97" s="9">
        <f t="shared" si="36"/>
        <v>0</v>
      </c>
      <c r="BV97" s="12">
        <f t="shared" si="37"/>
        <v>2.8158330583007703E-3</v>
      </c>
      <c r="BX97" s="12">
        <f t="shared" si="38"/>
        <v>2.0987533391123941E-3</v>
      </c>
      <c r="BY97" s="12">
        <f t="shared" si="39"/>
        <v>3.3163216513283846E-3</v>
      </c>
    </row>
    <row r="98" spans="1:77" x14ac:dyDescent="0.3">
      <c r="A98" s="1">
        <v>46163</v>
      </c>
      <c r="B98" s="8">
        <v>62.29</v>
      </c>
      <c r="C98" s="8">
        <v>148.15</v>
      </c>
      <c r="D98" s="9">
        <v>6.4422835147839698E-3</v>
      </c>
      <c r="E98" s="9">
        <v>6.9087243097187704E-3</v>
      </c>
      <c r="F98" s="8">
        <v>0</v>
      </c>
      <c r="G98" s="8">
        <v>0.1948</v>
      </c>
      <c r="H98" s="8">
        <v>0</v>
      </c>
      <c r="I98" s="8">
        <v>0.59470000000000001</v>
      </c>
      <c r="J98" s="8">
        <v>0.1948</v>
      </c>
      <c r="K98" s="8">
        <v>0.59470000000000001</v>
      </c>
      <c r="L98" s="8">
        <v>62.4848</v>
      </c>
      <c r="M98" s="8">
        <v>148.74469999999999</v>
      </c>
      <c r="N98" s="10">
        <v>2.37839139508749</v>
      </c>
      <c r="O98" s="10">
        <v>2.3794589997480098</v>
      </c>
      <c r="P98" s="10">
        <v>2.3783008077840999</v>
      </c>
      <c r="Q98" s="10">
        <v>2.37744583637022</v>
      </c>
      <c r="R98" s="8">
        <v>148.216501094303</v>
      </c>
      <c r="S98" s="8">
        <v>148.119527620399</v>
      </c>
      <c r="T98" s="8">
        <v>148.096760001668</v>
      </c>
      <c r="U98" s="9">
        <v>4.4877606054738299E-4</v>
      </c>
      <c r="V98" s="9">
        <v>-2.0570714749451699E-4</v>
      </c>
      <c r="W98" s="9">
        <v>-3.5943008392588701E-4</v>
      </c>
      <c r="X98" s="10">
        <v>2.38049413617391</v>
      </c>
      <c r="Y98" s="10">
        <v>2.3816575271846898</v>
      </c>
      <c r="Z98" s="10">
        <v>2.3804361353922299</v>
      </c>
      <c r="AA98" s="10">
        <v>2.3795929589646398</v>
      </c>
      <c r="AB98" s="8">
        <v>148.81739425462999</v>
      </c>
      <c r="AC98" s="8">
        <v>148.71653578029</v>
      </c>
      <c r="AD98" s="8">
        <v>148.694139331364</v>
      </c>
      <c r="AE98" s="9">
        <v>4.8859890073366303E-4</v>
      </c>
      <c r="AF98" s="9">
        <v>-1.8936396683328E-4</v>
      </c>
      <c r="AG98" s="9">
        <v>-3.3997355043372299E-4</v>
      </c>
      <c r="AZ98" s="9"/>
      <c r="BB98">
        <f t="shared" si="22"/>
        <v>0</v>
      </c>
      <c r="BC98">
        <f t="shared" si="23"/>
        <v>0</v>
      </c>
      <c r="BD98">
        <f t="shared" si="24"/>
        <v>0</v>
      </c>
      <c r="BE98">
        <f t="shared" si="20"/>
        <v>1</v>
      </c>
      <c r="BF98">
        <f t="shared" si="25"/>
        <v>0</v>
      </c>
      <c r="BG98" s="9">
        <f t="shared" si="26"/>
        <v>0</v>
      </c>
      <c r="BH98" s="9">
        <f t="shared" si="27"/>
        <v>0</v>
      </c>
      <c r="BI98" s="9">
        <f t="shared" si="28"/>
        <v>0</v>
      </c>
      <c r="BJ98" s="12">
        <f t="shared" si="29"/>
        <v>5.0048859302761258E-4</v>
      </c>
      <c r="BL98" s="9"/>
      <c r="BN98">
        <f t="shared" si="30"/>
        <v>0</v>
      </c>
      <c r="BO98">
        <f t="shared" si="31"/>
        <v>1</v>
      </c>
      <c r="BP98">
        <f t="shared" si="32"/>
        <v>0</v>
      </c>
      <c r="BQ98">
        <f t="shared" si="21"/>
        <v>1</v>
      </c>
      <c r="BR98">
        <f t="shared" si="33"/>
        <v>0</v>
      </c>
      <c r="BS98" s="9">
        <f t="shared" si="34"/>
        <v>0</v>
      </c>
      <c r="BT98" s="9">
        <f t="shared" si="35"/>
        <v>0</v>
      </c>
      <c r="BU98" s="9">
        <f t="shared" si="36"/>
        <v>0</v>
      </c>
      <c r="BV98" s="12">
        <f t="shared" si="37"/>
        <v>2.8158330583007703E-3</v>
      </c>
      <c r="BX98" s="12">
        <f t="shared" si="38"/>
        <v>0</v>
      </c>
      <c r="BY98" s="12">
        <f t="shared" si="39"/>
        <v>3.3163216513283846E-3</v>
      </c>
    </row>
    <row r="99" spans="1:77" x14ac:dyDescent="0.3">
      <c r="A99" s="1">
        <v>46164</v>
      </c>
      <c r="B99" s="8">
        <v>62.98</v>
      </c>
      <c r="C99" s="8">
        <v>149.88999999999999</v>
      </c>
      <c r="D99" s="9">
        <v>1.10163164068243E-2</v>
      </c>
      <c r="E99" s="9">
        <v>1.16764177229299E-2</v>
      </c>
      <c r="F99" s="8">
        <v>0</v>
      </c>
      <c r="G99" s="8">
        <v>0.1948</v>
      </c>
      <c r="H99" s="8">
        <v>0</v>
      </c>
      <c r="I99" s="8">
        <v>0.59470000000000001</v>
      </c>
      <c r="J99" s="8">
        <v>0.1948</v>
      </c>
      <c r="K99" s="8">
        <v>0.59470000000000001</v>
      </c>
      <c r="L99" s="8">
        <v>63.174799999999998</v>
      </c>
      <c r="M99" s="8">
        <v>150.48469999999901</v>
      </c>
      <c r="N99" s="10">
        <v>2.3799618926643298</v>
      </c>
      <c r="O99" s="10">
        <v>2.3794589997480098</v>
      </c>
      <c r="P99" s="10">
        <v>2.37880941015877</v>
      </c>
      <c r="Q99" s="10">
        <v>2.37760120103311</v>
      </c>
      <c r="R99" s="8">
        <v>149.858327804129</v>
      </c>
      <c r="S99" s="8">
        <v>149.785384874242</v>
      </c>
      <c r="T99" s="8">
        <v>149.731538774596</v>
      </c>
      <c r="U99" s="9">
        <v>-2.1132525555812501E-4</v>
      </c>
      <c r="V99" s="9">
        <v>-6.9818967647793302E-4</v>
      </c>
      <c r="W99" s="9">
        <v>-1.05774264977971E-3</v>
      </c>
      <c r="X99" s="10">
        <v>2.38203682480989</v>
      </c>
      <c r="Y99" s="10">
        <v>2.3816575271846898</v>
      </c>
      <c r="Z99" s="10">
        <v>2.38093434000313</v>
      </c>
      <c r="AA99" s="10">
        <v>2.3797438711083299</v>
      </c>
      <c r="AB99" s="8">
        <v>150.46073794838699</v>
      </c>
      <c r="AC99" s="8">
        <v>150.38357676617699</v>
      </c>
      <c r="AD99" s="8">
        <v>150.330309263999</v>
      </c>
      <c r="AE99" s="9">
        <v>-1.5924515637335399E-4</v>
      </c>
      <c r="AF99" s="9">
        <v>-6.7220937160615004E-4</v>
      </c>
      <c r="AG99" s="9">
        <v>-1.0264830198096801E-3</v>
      </c>
      <c r="AZ99" s="9"/>
      <c r="BB99">
        <f t="shared" si="22"/>
        <v>1</v>
      </c>
      <c r="BC99">
        <f t="shared" si="23"/>
        <v>0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5.0048859302761258E-4</v>
      </c>
      <c r="BL99" s="9"/>
      <c r="BN99">
        <f t="shared" si="30"/>
        <v>0</v>
      </c>
      <c r="BO99">
        <f t="shared" si="31"/>
        <v>1</v>
      </c>
      <c r="BP99">
        <f t="shared" si="32"/>
        <v>0</v>
      </c>
      <c r="BQ99">
        <f t="shared" si="21"/>
        <v>1</v>
      </c>
      <c r="BR99">
        <f t="shared" si="33"/>
        <v>0</v>
      </c>
      <c r="BS99" s="9">
        <f t="shared" si="34"/>
        <v>0</v>
      </c>
      <c r="BT99" s="9">
        <f t="shared" si="35"/>
        <v>0</v>
      </c>
      <c r="BU99" s="9">
        <f t="shared" si="36"/>
        <v>0</v>
      </c>
      <c r="BV99" s="12">
        <f t="shared" si="37"/>
        <v>2.8158330583007703E-3</v>
      </c>
      <c r="BX99" s="12">
        <f t="shared" si="38"/>
        <v>0</v>
      </c>
      <c r="BY99" s="12">
        <f t="shared" si="39"/>
        <v>3.3163216513283846E-3</v>
      </c>
    </row>
    <row r="100" spans="1:77" x14ac:dyDescent="0.3">
      <c r="A100" s="1">
        <v>46168</v>
      </c>
      <c r="B100" s="8">
        <v>62.5</v>
      </c>
      <c r="C100" s="8">
        <v>148.51</v>
      </c>
      <c r="D100" s="9">
        <v>-7.6506589305227303E-3</v>
      </c>
      <c r="E100" s="9">
        <v>-9.2493956996505897E-3</v>
      </c>
      <c r="F100" s="8">
        <v>0</v>
      </c>
      <c r="G100" s="8">
        <v>0.1948</v>
      </c>
      <c r="H100" s="8">
        <v>0</v>
      </c>
      <c r="I100" s="8">
        <v>0.59470000000000001</v>
      </c>
      <c r="J100" s="8">
        <v>0.1948</v>
      </c>
      <c r="K100" s="8">
        <v>0.59470000000000001</v>
      </c>
      <c r="L100" s="8">
        <v>62.694800000000001</v>
      </c>
      <c r="M100" s="8">
        <v>149.10469999999901</v>
      </c>
      <c r="N100" s="10">
        <v>2.37616</v>
      </c>
      <c r="O100" s="10">
        <v>2.3794589997480098</v>
      </c>
      <c r="P100" s="10">
        <v>2.3789357870473702</v>
      </c>
      <c r="Q100" s="10">
        <v>2.37751312942695</v>
      </c>
      <c r="R100" s="8">
        <v>148.71618748425001</v>
      </c>
      <c r="S100" s="8">
        <v>148.675588134923</v>
      </c>
      <c r="T100" s="8">
        <v>148.60007506456901</v>
      </c>
      <c r="U100" s="9">
        <v>1.3874115135695201E-3</v>
      </c>
      <c r="V100" s="9">
        <v>1.1143753847486101E-3</v>
      </c>
      <c r="W100" s="9">
        <v>6.0634138583065002E-4</v>
      </c>
      <c r="X100" s="10">
        <v>2.3782626310316002</v>
      </c>
      <c r="Y100" s="10">
        <v>2.3816575271846898</v>
      </c>
      <c r="Z100" s="10">
        <v>2.3810524104436701</v>
      </c>
      <c r="AA100" s="10">
        <v>2.3796523136729202</v>
      </c>
      <c r="AB100" s="8">
        <v>149.317542335339</v>
      </c>
      <c r="AC100" s="8">
        <v>149.27220225962799</v>
      </c>
      <c r="AD100" s="8">
        <v>149.19756605036301</v>
      </c>
      <c r="AE100" s="9">
        <v>1.42645112350667E-3</v>
      </c>
      <c r="AF100" s="9">
        <v>1.12275632567821E-3</v>
      </c>
      <c r="AG100" s="9">
        <v>6.2263055921644203E-4</v>
      </c>
      <c r="AZ100" s="9"/>
      <c r="BB100">
        <f t="shared" si="22"/>
        <v>0</v>
      </c>
      <c r="BC100">
        <f t="shared" si="23"/>
        <v>1</v>
      </c>
      <c r="BD100">
        <f t="shared" si="24"/>
        <v>1</v>
      </c>
      <c r="BE100">
        <f t="shared" si="20"/>
        <v>1</v>
      </c>
      <c r="BF100">
        <f t="shared" si="25"/>
        <v>1</v>
      </c>
      <c r="BG100" s="9">
        <f t="shared" si="26"/>
        <v>-7.6506589305227303E-3</v>
      </c>
      <c r="BH100" s="9">
        <f t="shared" si="27"/>
        <v>9.2493956996505897E-3</v>
      </c>
      <c r="BI100" s="9">
        <f t="shared" si="28"/>
        <v>1.5987367691278594E-3</v>
      </c>
      <c r="BJ100" s="12">
        <f t="shared" si="29"/>
        <v>2.099225362155472E-3</v>
      </c>
      <c r="BL100" s="9"/>
      <c r="BN100">
        <f t="shared" si="30"/>
        <v>0</v>
      </c>
      <c r="BO100">
        <f t="shared" si="31"/>
        <v>0</v>
      </c>
      <c r="BP100">
        <f t="shared" si="32"/>
        <v>0</v>
      </c>
      <c r="BQ100">
        <f t="shared" si="21"/>
        <v>1</v>
      </c>
      <c r="BR100">
        <f t="shared" si="33"/>
        <v>0</v>
      </c>
      <c r="BS100" s="9">
        <f t="shared" si="34"/>
        <v>0</v>
      </c>
      <c r="BT100" s="9">
        <f t="shared" si="35"/>
        <v>0</v>
      </c>
      <c r="BU100" s="9">
        <f t="shared" si="36"/>
        <v>0</v>
      </c>
      <c r="BV100" s="12">
        <f t="shared" si="37"/>
        <v>2.8158330583007703E-3</v>
      </c>
      <c r="BX100" s="12">
        <f t="shared" si="38"/>
        <v>1.5987367691278594E-3</v>
      </c>
      <c r="BY100" s="12">
        <f t="shared" si="39"/>
        <v>4.9150584204562444E-3</v>
      </c>
    </row>
    <row r="101" spans="1:77" x14ac:dyDescent="0.3">
      <c r="A101" s="1">
        <v>46169</v>
      </c>
      <c r="B101" s="8">
        <v>62.6</v>
      </c>
      <c r="C101" s="8">
        <v>148.79</v>
      </c>
      <c r="D101" s="9">
        <v>1.5987213636970701E-3</v>
      </c>
      <c r="E101" s="9">
        <v>1.8836197967521001E-3</v>
      </c>
      <c r="F101" s="8">
        <v>0</v>
      </c>
      <c r="G101" s="8">
        <v>0.1948</v>
      </c>
      <c r="H101" s="8">
        <v>0</v>
      </c>
      <c r="I101" s="8">
        <v>0.59470000000000001</v>
      </c>
      <c r="J101" s="8">
        <v>0.1948</v>
      </c>
      <c r="K101" s="8">
        <v>0.59470000000000001</v>
      </c>
      <c r="L101" s="8">
        <v>62.794800000000002</v>
      </c>
      <c r="M101" s="8">
        <v>149.38469999999899</v>
      </c>
      <c r="N101" s="10">
        <v>2.3768370607028699</v>
      </c>
      <c r="O101" s="10">
        <v>2.3794589997480098</v>
      </c>
      <c r="P101" s="10">
        <v>2.3790400827902398</v>
      </c>
      <c r="Q101" s="10">
        <v>2.37726241746789</v>
      </c>
      <c r="R101" s="8">
        <v>148.954133384225</v>
      </c>
      <c r="S101" s="8">
        <v>148.92138026916501</v>
      </c>
      <c r="T101" s="8">
        <v>148.83232190212701</v>
      </c>
      <c r="U101" s="9">
        <v>1.1025130805146499E-3</v>
      </c>
      <c r="V101" s="9">
        <v>8.8260164979548402E-4</v>
      </c>
      <c r="W101" s="9">
        <v>2.8440005535782702E-4</v>
      </c>
      <c r="X101" s="10">
        <v>2.37893424296279</v>
      </c>
      <c r="Y101" s="10">
        <v>2.3816575271846898</v>
      </c>
      <c r="Z101" s="10">
        <v>2.3811522558048899</v>
      </c>
      <c r="AA101" s="10">
        <v>2.3793985828056501</v>
      </c>
      <c r="AB101" s="8">
        <v>149.555708088057</v>
      </c>
      <c r="AC101" s="8">
        <v>149.51770990332801</v>
      </c>
      <c r="AD101" s="8">
        <v>149.42979110662799</v>
      </c>
      <c r="AE101" s="9">
        <v>1.1440949572839401E-3</v>
      </c>
      <c r="AF101" s="9">
        <v>8.8998889069569903E-4</v>
      </c>
      <c r="AG101" s="9">
        <v>3.01800001759612E-4</v>
      </c>
      <c r="AZ101" s="9"/>
      <c r="BB101">
        <f t="shared" si="22"/>
        <v>0</v>
      </c>
      <c r="BC101">
        <f t="shared" si="23"/>
        <v>1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2.099225362155472E-3</v>
      </c>
      <c r="BL101" s="9"/>
      <c r="BN101">
        <f t="shared" si="30"/>
        <v>0</v>
      </c>
      <c r="BO101">
        <f t="shared" si="31"/>
        <v>0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2.8158330583007703E-3</v>
      </c>
      <c r="BX101" s="12">
        <f t="shared" si="38"/>
        <v>0</v>
      </c>
      <c r="BY101" s="12">
        <f t="shared" si="39"/>
        <v>4.9150584204562444E-3</v>
      </c>
    </row>
    <row r="102" spans="1:77" x14ac:dyDescent="0.3">
      <c r="A102" s="1">
        <v>46170</v>
      </c>
      <c r="B102" s="8">
        <v>63.52</v>
      </c>
      <c r="C102" s="8">
        <v>150.88</v>
      </c>
      <c r="D102" s="9">
        <v>1.45895388328274E-2</v>
      </c>
      <c r="E102" s="9">
        <v>1.3948903045541401E-2</v>
      </c>
      <c r="F102" s="8">
        <v>0</v>
      </c>
      <c r="G102" s="8">
        <v>0.1948</v>
      </c>
      <c r="H102" s="8">
        <v>0</v>
      </c>
      <c r="I102" s="8">
        <v>0.59470000000000001</v>
      </c>
      <c r="J102" s="8">
        <v>0.1948</v>
      </c>
      <c r="K102" s="8">
        <v>0.59470000000000001</v>
      </c>
      <c r="L102" s="8">
        <v>63.714799999999997</v>
      </c>
      <c r="M102" s="8">
        <v>151.47469999999899</v>
      </c>
      <c r="N102" s="10">
        <v>2.3753148614609501</v>
      </c>
      <c r="O102" s="10">
        <v>2.3794589997480098</v>
      </c>
      <c r="P102" s="10">
        <v>2.3789075482008801</v>
      </c>
      <c r="Q102" s="10">
        <v>2.3769551361994901</v>
      </c>
      <c r="R102" s="8">
        <v>151.14323566399301</v>
      </c>
      <c r="S102" s="8">
        <v>151.116626058836</v>
      </c>
      <c r="T102" s="8">
        <v>151.00370875755999</v>
      </c>
      <c r="U102" s="9">
        <v>1.74314886780041E-3</v>
      </c>
      <c r="V102" s="9">
        <v>1.5670778203629701E-3</v>
      </c>
      <c r="W102" s="9">
        <v>8.1957893649996596E-4</v>
      </c>
      <c r="X102" s="10">
        <v>2.3773864157150202</v>
      </c>
      <c r="Y102" s="10">
        <v>2.3816575271846898</v>
      </c>
      <c r="Z102" s="10">
        <v>2.3810141500958202</v>
      </c>
      <c r="AA102" s="10">
        <v>2.3790862029459499</v>
      </c>
      <c r="AB102" s="8">
        <v>151.746833013067</v>
      </c>
      <c r="AC102" s="8">
        <v>151.714639748157</v>
      </c>
      <c r="AD102" s="8">
        <v>151.60290482374501</v>
      </c>
      <c r="AE102" s="9">
        <v>1.7949456519603499E-3</v>
      </c>
      <c r="AF102" s="9">
        <v>1.58277199619E-3</v>
      </c>
      <c r="AG102" s="9">
        <v>8.4601982694974397E-4</v>
      </c>
      <c r="AZ102" s="9"/>
      <c r="BB102">
        <f t="shared" si="22"/>
        <v>0</v>
      </c>
      <c r="BC102">
        <f t="shared" si="23"/>
        <v>1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2.099225362155472E-3</v>
      </c>
      <c r="BL102" s="9"/>
      <c r="BN102">
        <f t="shared" si="30"/>
        <v>0</v>
      </c>
      <c r="BO102">
        <f t="shared" si="31"/>
        <v>0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2.8158330583007703E-3</v>
      </c>
      <c r="BX102" s="12">
        <f t="shared" si="38"/>
        <v>0</v>
      </c>
      <c r="BY102" s="12">
        <f t="shared" si="39"/>
        <v>4.9150584204562444E-3</v>
      </c>
    </row>
    <row r="103" spans="1:77" x14ac:dyDescent="0.3">
      <c r="A103" s="1">
        <v>46171</v>
      </c>
      <c r="B103" s="8">
        <v>63.03</v>
      </c>
      <c r="C103" s="8">
        <v>149.47</v>
      </c>
      <c r="D103" s="9">
        <v>-7.7440134138615398E-3</v>
      </c>
      <c r="E103" s="9">
        <v>-9.3891150874241998E-3</v>
      </c>
      <c r="F103" s="8">
        <v>0</v>
      </c>
      <c r="G103" s="8">
        <v>0.1948</v>
      </c>
      <c r="H103" s="8">
        <v>0</v>
      </c>
      <c r="I103" s="8">
        <v>0.59470000000000001</v>
      </c>
      <c r="J103" s="8">
        <v>0.1948</v>
      </c>
      <c r="K103" s="8">
        <v>0.59470000000000001</v>
      </c>
      <c r="L103" s="8">
        <v>63.224800000000002</v>
      </c>
      <c r="M103" s="8">
        <v>150.06469999999999</v>
      </c>
      <c r="N103" s="10">
        <v>2.37141043947326</v>
      </c>
      <c r="O103" s="10">
        <v>2.3794589997480098</v>
      </c>
      <c r="P103" s="10">
        <v>2.3782830659604302</v>
      </c>
      <c r="Q103" s="10">
        <v>2.3764084910713201</v>
      </c>
      <c r="R103" s="8">
        <v>149.97730075411701</v>
      </c>
      <c r="S103" s="8">
        <v>149.94254276310099</v>
      </c>
      <c r="T103" s="8">
        <v>149.81948223465301</v>
      </c>
      <c r="U103" s="9">
        <v>3.3882505413631299E-3</v>
      </c>
      <c r="V103" s="9">
        <v>3.1564686708234701E-3</v>
      </c>
      <c r="W103" s="9">
        <v>2.3354137999687498E-3</v>
      </c>
      <c r="X103" s="10">
        <v>2.3735100783236902</v>
      </c>
      <c r="Y103" s="10">
        <v>2.3816575271846898</v>
      </c>
      <c r="Z103" s="10">
        <v>2.3803870185015699</v>
      </c>
      <c r="AA103" s="10">
        <v>2.3785383014992898</v>
      </c>
      <c r="AB103" s="8">
        <v>150.57982082474601</v>
      </c>
      <c r="AC103" s="8">
        <v>150.53914343697801</v>
      </c>
      <c r="AD103" s="8">
        <v>150.41724936401701</v>
      </c>
      <c r="AE103" s="9">
        <v>3.42678008842274E-3</v>
      </c>
      <c r="AF103" s="9">
        <v>3.1566052217171302E-3</v>
      </c>
      <c r="AG103" s="9">
        <v>2.3465604275736199E-3</v>
      </c>
      <c r="AZ103" s="9"/>
      <c r="BB103">
        <f t="shared" si="22"/>
        <v>0</v>
      </c>
      <c r="BC103">
        <f t="shared" si="23"/>
        <v>1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2.099225362155472E-3</v>
      </c>
      <c r="BL103" s="9"/>
      <c r="BN103">
        <f t="shared" si="30"/>
        <v>1</v>
      </c>
      <c r="BO103">
        <f t="shared" si="31"/>
        <v>0</v>
      </c>
      <c r="BP103">
        <f t="shared" si="32"/>
        <v>0</v>
      </c>
      <c r="BQ103">
        <f t="shared" si="21"/>
        <v>1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2.8158330583007703E-3</v>
      </c>
      <c r="BX103" s="12">
        <f t="shared" si="38"/>
        <v>0</v>
      </c>
      <c r="BY103" s="12">
        <f t="shared" si="39"/>
        <v>4.9150584204562444E-3</v>
      </c>
    </row>
    <row r="104" spans="1:77" x14ac:dyDescent="0.3">
      <c r="A104" s="1">
        <v>46174</v>
      </c>
      <c r="B104" s="8">
        <v>62.3</v>
      </c>
      <c r="C104" s="8">
        <v>147.84</v>
      </c>
      <c r="D104" s="9">
        <v>-1.16493777316113E-2</v>
      </c>
      <c r="E104" s="9">
        <v>-1.0965095904349E-2</v>
      </c>
      <c r="F104" s="8">
        <v>0</v>
      </c>
      <c r="G104" s="8">
        <v>0.1948</v>
      </c>
      <c r="H104" s="8">
        <v>0</v>
      </c>
      <c r="I104" s="8">
        <v>0.59470000000000001</v>
      </c>
      <c r="J104" s="8">
        <v>0.1948</v>
      </c>
      <c r="K104" s="8">
        <v>0.59470000000000001</v>
      </c>
      <c r="L104" s="8">
        <v>62.494799999999998</v>
      </c>
      <c r="M104" s="8">
        <v>148.43469999999999</v>
      </c>
      <c r="N104" s="10">
        <v>2.3730337078651602</v>
      </c>
      <c r="O104" s="10">
        <v>2.3794589997480098</v>
      </c>
      <c r="P104" s="10">
        <v>2.37736611167717</v>
      </c>
      <c r="Q104" s="10">
        <v>2.3762129519681001</v>
      </c>
      <c r="R104" s="8">
        <v>148.240295684301</v>
      </c>
      <c r="S104" s="8">
        <v>148.167035009335</v>
      </c>
      <c r="T104" s="8">
        <v>148.050248993743</v>
      </c>
      <c r="U104" s="9">
        <v>2.7039687141009699E-3</v>
      </c>
      <c r="V104" s="9">
        <v>2.2096443916467898E-3</v>
      </c>
      <c r="W104" s="9">
        <v>1.42112847478841E-3</v>
      </c>
      <c r="X104" s="10">
        <v>2.3751528127140098</v>
      </c>
      <c r="Y104" s="10">
        <v>2.3816575271846898</v>
      </c>
      <c r="Z104" s="10">
        <v>2.37946816693889</v>
      </c>
      <c r="AA104" s="10">
        <v>2.3783412568997502</v>
      </c>
      <c r="AB104" s="8">
        <v>148.841210829902</v>
      </c>
      <c r="AC104" s="8">
        <v>148.76181064385199</v>
      </c>
      <c r="AD104" s="8">
        <v>148.646275444537</v>
      </c>
      <c r="AE104" s="9">
        <v>2.7349076630490601E-3</v>
      </c>
      <c r="AF104" s="9">
        <v>2.2013096670287502E-3</v>
      </c>
      <c r="AG104" s="9">
        <v>1.4243623644480401E-3</v>
      </c>
      <c r="AZ104" s="9"/>
      <c r="BB104">
        <f t="shared" si="22"/>
        <v>0</v>
      </c>
      <c r="BC104">
        <f t="shared" si="23"/>
        <v>1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2.099225362155472E-3</v>
      </c>
      <c r="BL104" s="9"/>
      <c r="BN104">
        <f t="shared" si="30"/>
        <v>0</v>
      </c>
      <c r="BO104">
        <f t="shared" si="31"/>
        <v>0</v>
      </c>
      <c r="BP104">
        <f t="shared" si="32"/>
        <v>1</v>
      </c>
      <c r="BQ104">
        <f t="shared" si="21"/>
        <v>1</v>
      </c>
      <c r="BR104">
        <f t="shared" si="33"/>
        <v>1</v>
      </c>
      <c r="BS104" s="9">
        <f t="shared" si="34"/>
        <v>1.16493777316113E-2</v>
      </c>
      <c r="BT104" s="9">
        <f t="shared" si="35"/>
        <v>-1.0965095904349E-2</v>
      </c>
      <c r="BU104" s="9">
        <f t="shared" si="36"/>
        <v>6.8428182726230045E-4</v>
      </c>
      <c r="BV104" s="12">
        <f t="shared" si="37"/>
        <v>3.5001148855630707E-3</v>
      </c>
      <c r="BX104" s="12">
        <f t="shared" si="38"/>
        <v>6.8428182726230045E-4</v>
      </c>
      <c r="BY104" s="12">
        <f t="shared" si="39"/>
        <v>5.5993402477185449E-3</v>
      </c>
    </row>
    <row r="105" spans="1:77" x14ac:dyDescent="0.3">
      <c r="A105" s="1">
        <v>46175</v>
      </c>
      <c r="B105" s="8">
        <v>61.59</v>
      </c>
      <c r="C105" s="8">
        <v>146.4</v>
      </c>
      <c r="D105" s="9">
        <v>-1.1461906094455399E-2</v>
      </c>
      <c r="E105" s="9">
        <v>-9.7880063661628207E-3</v>
      </c>
      <c r="F105" s="8">
        <v>0</v>
      </c>
      <c r="G105" s="8">
        <v>0.1948</v>
      </c>
      <c r="H105" s="8">
        <v>0</v>
      </c>
      <c r="I105" s="8">
        <v>0.59470000000000001</v>
      </c>
      <c r="J105" s="8">
        <v>0.1948</v>
      </c>
      <c r="K105" s="8">
        <v>0.59470000000000001</v>
      </c>
      <c r="L105" s="8">
        <v>61.784799999999997</v>
      </c>
      <c r="M105" s="8">
        <v>146.99469999999999</v>
      </c>
      <c r="N105" s="10">
        <v>2.3770092547491402</v>
      </c>
      <c r="O105" s="10">
        <v>2.3794589997480098</v>
      </c>
      <c r="P105" s="10">
        <v>2.3767677730474199</v>
      </c>
      <c r="Q105" s="10">
        <v>2.3763738952697699</v>
      </c>
      <c r="R105" s="8">
        <v>146.55087979447899</v>
      </c>
      <c r="S105" s="8">
        <v>146.421978818197</v>
      </c>
      <c r="T105" s="8">
        <v>146.35095571171499</v>
      </c>
      <c r="U105" s="9">
        <v>1.03006898580826E-3</v>
      </c>
      <c r="V105" s="9">
        <v>1.50117271437403E-4</v>
      </c>
      <c r="W105" s="9">
        <v>-3.35058094850532E-4</v>
      </c>
      <c r="X105" s="10">
        <v>2.3791401768719802</v>
      </c>
      <c r="Y105" s="10">
        <v>2.3816575271846898</v>
      </c>
      <c r="Z105" s="10">
        <v>2.37887019991018</v>
      </c>
      <c r="AA105" s="10">
        <v>2.3785006076131801</v>
      </c>
      <c r="AB105" s="8">
        <v>147.15023398560001</v>
      </c>
      <c r="AC105" s="8">
        <v>147.01496480068599</v>
      </c>
      <c r="AD105" s="8">
        <v>146.94533888929899</v>
      </c>
      <c r="AE105" s="9">
        <v>1.05753308744074E-3</v>
      </c>
      <c r="AF105" s="9">
        <v>1.3785125554885801E-4</v>
      </c>
      <c r="AG105" s="9">
        <v>-3.3585836996415899E-4</v>
      </c>
      <c r="AZ105" s="9"/>
      <c r="BB105">
        <f t="shared" si="22"/>
        <v>0</v>
      </c>
      <c r="BC105">
        <f t="shared" si="23"/>
        <v>0</v>
      </c>
      <c r="BD105">
        <f t="shared" si="24"/>
        <v>0</v>
      </c>
      <c r="BE105">
        <f t="shared" si="20"/>
        <v>1</v>
      </c>
      <c r="BF105">
        <f t="shared" si="25"/>
        <v>0</v>
      </c>
      <c r="BG105" s="9">
        <f t="shared" si="26"/>
        <v>0</v>
      </c>
      <c r="BH105" s="9">
        <f t="shared" si="27"/>
        <v>0</v>
      </c>
      <c r="BI105" s="9">
        <f t="shared" si="28"/>
        <v>0</v>
      </c>
      <c r="BJ105" s="12">
        <f t="shared" si="29"/>
        <v>2.099225362155472E-3</v>
      </c>
      <c r="BL105" s="9"/>
      <c r="BN105">
        <f t="shared" si="30"/>
        <v>0</v>
      </c>
      <c r="BO105">
        <f t="shared" si="31"/>
        <v>1</v>
      </c>
      <c r="BP105">
        <f t="shared" si="32"/>
        <v>1</v>
      </c>
      <c r="BQ105">
        <f t="shared" si="21"/>
        <v>1</v>
      </c>
      <c r="BR105">
        <f t="shared" si="33"/>
        <v>1</v>
      </c>
      <c r="BS105" s="9">
        <f t="shared" si="34"/>
        <v>1.1461906094455399E-2</v>
      </c>
      <c r="BT105" s="9">
        <f t="shared" si="35"/>
        <v>-9.7880063661628207E-3</v>
      </c>
      <c r="BU105" s="9">
        <f t="shared" si="36"/>
        <v>1.6738997282925785E-3</v>
      </c>
      <c r="BV105" s="12">
        <f t="shared" si="37"/>
        <v>5.1740146138556497E-3</v>
      </c>
      <c r="BX105" s="12">
        <f t="shared" si="38"/>
        <v>1.6738997282925785E-3</v>
      </c>
      <c r="BY105" s="12">
        <f t="shared" si="39"/>
        <v>7.2732399760111234E-3</v>
      </c>
    </row>
    <row r="106" spans="1:77" x14ac:dyDescent="0.3">
      <c r="A106" s="1">
        <v>46176</v>
      </c>
      <c r="B106" s="8">
        <v>62.18</v>
      </c>
      <c r="C106" s="8">
        <v>147.55000000000001</v>
      </c>
      <c r="D106" s="9">
        <v>9.5338849316556999E-3</v>
      </c>
      <c r="E106" s="9">
        <v>7.8244998617371699E-3</v>
      </c>
      <c r="F106" s="8">
        <v>0</v>
      </c>
      <c r="G106" s="8">
        <v>0.1948</v>
      </c>
      <c r="H106" s="8">
        <v>0</v>
      </c>
      <c r="I106" s="8">
        <v>0.59470000000000001</v>
      </c>
      <c r="J106" s="8">
        <v>0.1948</v>
      </c>
      <c r="K106" s="8">
        <v>0.59470000000000001</v>
      </c>
      <c r="L106" s="8">
        <v>62.3748</v>
      </c>
      <c r="M106" s="8">
        <v>148.1447</v>
      </c>
      <c r="N106" s="10">
        <v>2.37294950144741</v>
      </c>
      <c r="O106" s="10">
        <v>2.3794589997480098</v>
      </c>
      <c r="P106" s="10">
        <v>2.3758350388454699</v>
      </c>
      <c r="Q106" s="10">
        <v>2.3762928199254101</v>
      </c>
      <c r="R106" s="8">
        <v>147.954760604331</v>
      </c>
      <c r="S106" s="8">
        <v>147.787420128089</v>
      </c>
      <c r="T106" s="8">
        <v>147.762928807874</v>
      </c>
      <c r="U106" s="9">
        <v>2.7394540557269501E-3</v>
      </c>
      <c r="V106" s="9">
        <v>1.60778934907864E-3</v>
      </c>
      <c r="W106" s="9">
        <v>1.4420556907777399E-3</v>
      </c>
      <c r="X106" s="10">
        <v>2.3750729461256701</v>
      </c>
      <c r="Y106" s="10">
        <v>2.3816575271846898</v>
      </c>
      <c r="Z106" s="10">
        <v>2.3779392308384999</v>
      </c>
      <c r="AA106" s="10">
        <v>2.3784180772337802</v>
      </c>
      <c r="AB106" s="8">
        <v>148.55541192663901</v>
      </c>
      <c r="AC106" s="8">
        <v>148.38155294535801</v>
      </c>
      <c r="AD106" s="8">
        <v>148.35849969975001</v>
      </c>
      <c r="AE106" s="9">
        <v>2.7685341020440798E-3</v>
      </c>
      <c r="AF106" s="9">
        <v>1.5975178816540201E-3</v>
      </c>
      <c r="AG106" s="9">
        <v>1.44214117771264E-3</v>
      </c>
      <c r="AZ106" s="9"/>
      <c r="BB106">
        <f t="shared" si="22"/>
        <v>0</v>
      </c>
      <c r="BC106">
        <f t="shared" si="23"/>
        <v>1</v>
      </c>
      <c r="BD106">
        <f t="shared" si="24"/>
        <v>0</v>
      </c>
      <c r="BE106">
        <f t="shared" si="20"/>
        <v>1</v>
      </c>
      <c r="BF106">
        <f t="shared" si="25"/>
        <v>0</v>
      </c>
      <c r="BG106" s="9">
        <f t="shared" si="26"/>
        <v>0</v>
      </c>
      <c r="BH106" s="9">
        <f t="shared" si="27"/>
        <v>0</v>
      </c>
      <c r="BI106" s="9">
        <f t="shared" si="28"/>
        <v>0</v>
      </c>
      <c r="BJ106" s="12">
        <f t="shared" si="29"/>
        <v>2.099225362155472E-3</v>
      </c>
      <c r="BL106" s="9"/>
      <c r="BN106">
        <f t="shared" si="30"/>
        <v>0</v>
      </c>
      <c r="BO106">
        <f t="shared" si="31"/>
        <v>0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5.1740146138556497E-3</v>
      </c>
      <c r="BX106" s="12">
        <f t="shared" si="38"/>
        <v>0</v>
      </c>
      <c r="BY106" s="12">
        <f t="shared" si="39"/>
        <v>7.2732399760111234E-3</v>
      </c>
    </row>
    <row r="107" spans="1:77" x14ac:dyDescent="0.3">
      <c r="A107" s="1">
        <v>46177</v>
      </c>
      <c r="B107" s="8">
        <v>63.98</v>
      </c>
      <c r="C107" s="8">
        <v>152.08000000000001</v>
      </c>
      <c r="D107" s="9">
        <v>2.8537129890763999E-2</v>
      </c>
      <c r="E107" s="9">
        <v>3.02395967912252E-2</v>
      </c>
      <c r="F107" s="8">
        <v>0</v>
      </c>
      <c r="G107" s="8">
        <v>0.1948</v>
      </c>
      <c r="H107" s="8">
        <v>0</v>
      </c>
      <c r="I107" s="8">
        <v>0.59470000000000001</v>
      </c>
      <c r="J107" s="8">
        <v>0.1948</v>
      </c>
      <c r="K107" s="8">
        <v>0.59470000000000001</v>
      </c>
      <c r="L107" s="8">
        <v>64.174799999999905</v>
      </c>
      <c r="M107" s="8">
        <v>152.6747</v>
      </c>
      <c r="N107" s="10">
        <v>2.3769928102532001</v>
      </c>
      <c r="O107" s="10">
        <v>2.3794589997480098</v>
      </c>
      <c r="P107" s="10">
        <v>2.3758060923703801</v>
      </c>
      <c r="Q107" s="10">
        <v>2.3768541428331198</v>
      </c>
      <c r="R107" s="8">
        <v>152.23778680387699</v>
      </c>
      <c r="S107" s="8">
        <v>152.00592578533301</v>
      </c>
      <c r="T107" s="8">
        <v>152.03521461882701</v>
      </c>
      <c r="U107" s="9">
        <v>1.03698715526567E-3</v>
      </c>
      <c r="V107" s="9">
        <v>-4.87192663986187E-4</v>
      </c>
      <c r="W107" s="9">
        <v>-2.9452904256788398E-4</v>
      </c>
      <c r="X107" s="10">
        <v>2.3790444224212601</v>
      </c>
      <c r="Y107" s="10">
        <v>2.3816575271846898</v>
      </c>
      <c r="Z107" s="10">
        <v>2.37790346871498</v>
      </c>
      <c r="AA107" s="10">
        <v>2.3789734338771402</v>
      </c>
      <c r="AB107" s="8">
        <v>152.842395475572</v>
      </c>
      <c r="AC107" s="8">
        <v>152.603774551214</v>
      </c>
      <c r="AD107" s="8">
        <v>152.63450442286199</v>
      </c>
      <c r="AE107" s="9">
        <v>1.0977814001041999E-3</v>
      </c>
      <c r="AF107" s="9">
        <v>-4.6466066869406397E-4</v>
      </c>
      <c r="AG107" s="9">
        <v>-2.63310616170206E-4</v>
      </c>
      <c r="AZ107" s="9"/>
      <c r="BB107">
        <f t="shared" si="22"/>
        <v>0</v>
      </c>
      <c r="BC107">
        <f t="shared" si="23"/>
        <v>0</v>
      </c>
      <c r="BD107">
        <f t="shared" si="24"/>
        <v>0</v>
      </c>
      <c r="BE107">
        <f t="shared" si="20"/>
        <v>1</v>
      </c>
      <c r="BF107">
        <f t="shared" si="25"/>
        <v>0</v>
      </c>
      <c r="BG107" s="9">
        <f t="shared" si="26"/>
        <v>0</v>
      </c>
      <c r="BH107" s="9">
        <f t="shared" si="27"/>
        <v>0</v>
      </c>
      <c r="BI107" s="9">
        <f t="shared" si="28"/>
        <v>0</v>
      </c>
      <c r="BJ107" s="12">
        <f t="shared" si="29"/>
        <v>2.099225362155472E-3</v>
      </c>
      <c r="BL107" s="9"/>
      <c r="BN107">
        <f t="shared" si="30"/>
        <v>0</v>
      </c>
      <c r="BO107">
        <f t="shared" si="31"/>
        <v>1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5.1740146138556497E-3</v>
      </c>
      <c r="BX107" s="12">
        <f t="shared" si="38"/>
        <v>0</v>
      </c>
      <c r="BY107" s="12">
        <f t="shared" si="39"/>
        <v>7.2732399760111234E-3</v>
      </c>
    </row>
    <row r="108" spans="1:77" x14ac:dyDescent="0.3">
      <c r="A108" s="1">
        <v>46178</v>
      </c>
      <c r="B108" s="8">
        <v>64.239999999999995</v>
      </c>
      <c r="C108" s="8">
        <v>153.01</v>
      </c>
      <c r="D108" s="9">
        <v>4.05553511713429E-3</v>
      </c>
      <c r="E108" s="9">
        <v>6.0965805535481603E-3</v>
      </c>
      <c r="F108" s="8">
        <v>0</v>
      </c>
      <c r="G108" s="8">
        <v>0.1948</v>
      </c>
      <c r="H108" s="8">
        <v>0</v>
      </c>
      <c r="I108" s="8">
        <v>0.59470000000000001</v>
      </c>
      <c r="J108" s="8">
        <v>0.1948</v>
      </c>
      <c r="K108" s="8">
        <v>0.59470000000000001</v>
      </c>
      <c r="L108" s="8">
        <v>64.434799999999996</v>
      </c>
      <c r="M108" s="8">
        <v>153.60469999999901</v>
      </c>
      <c r="N108" s="10">
        <v>2.3818493150684898</v>
      </c>
      <c r="O108" s="10">
        <v>2.3794589997480098</v>
      </c>
      <c r="P108" s="10">
        <v>2.3761518843684799</v>
      </c>
      <c r="Q108" s="10">
        <v>2.3772263460762901</v>
      </c>
      <c r="R108" s="8">
        <v>152.85644614381201</v>
      </c>
      <c r="S108" s="8">
        <v>152.621783373873</v>
      </c>
      <c r="T108" s="8">
        <v>152.68911013559901</v>
      </c>
      <c r="U108" s="9">
        <v>-1.00405828114828E-3</v>
      </c>
      <c r="V108" s="9">
        <v>-2.54042188039728E-3</v>
      </c>
      <c r="W108" s="9">
        <v>-2.0993844706687502E-3</v>
      </c>
      <c r="X108" s="10">
        <v>2.3838779665646501</v>
      </c>
      <c r="Y108" s="10">
        <v>2.3816575271846898</v>
      </c>
      <c r="Z108" s="10">
        <v>2.3782418517540602</v>
      </c>
      <c r="AA108" s="10">
        <v>2.3793389935731399</v>
      </c>
      <c r="AB108" s="8">
        <v>153.46162643264</v>
      </c>
      <c r="AC108" s="8">
        <v>153.21973442595601</v>
      </c>
      <c r="AD108" s="8">
        <v>153.28867741718599</v>
      </c>
      <c r="AE108" s="9">
        <v>-9.3187409622821297E-4</v>
      </c>
      <c r="AF108" s="9">
        <v>-2.5093554023501198E-3</v>
      </c>
      <c r="AG108" s="9">
        <v>-2.0594950413983402E-3</v>
      </c>
      <c r="AZ108" s="9"/>
      <c r="BB108">
        <f t="shared" si="22"/>
        <v>1</v>
      </c>
      <c r="BC108">
        <f t="shared" si="23"/>
        <v>0</v>
      </c>
      <c r="BD108">
        <f t="shared" si="24"/>
        <v>0</v>
      </c>
      <c r="BE108">
        <f t="shared" si="20"/>
        <v>1</v>
      </c>
      <c r="BF108">
        <f t="shared" si="25"/>
        <v>0</v>
      </c>
      <c r="BG108" s="9">
        <f t="shared" si="26"/>
        <v>0</v>
      </c>
      <c r="BH108" s="9">
        <f t="shared" si="27"/>
        <v>0</v>
      </c>
      <c r="BI108" s="9">
        <f t="shared" si="28"/>
        <v>0</v>
      </c>
      <c r="BJ108" s="12">
        <f t="shared" si="29"/>
        <v>2.099225362155472E-3</v>
      </c>
      <c r="BL108" s="9"/>
      <c r="BN108">
        <f t="shared" si="30"/>
        <v>0</v>
      </c>
      <c r="BO108">
        <f t="shared" si="31"/>
        <v>1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5.1740146138556497E-3</v>
      </c>
      <c r="BX108" s="12">
        <f t="shared" si="38"/>
        <v>0</v>
      </c>
      <c r="BY108" s="12">
        <f t="shared" si="39"/>
        <v>7.2732399760111234E-3</v>
      </c>
    </row>
    <row r="109" spans="1:77" x14ac:dyDescent="0.3">
      <c r="A109" s="1">
        <v>46181</v>
      </c>
      <c r="B109" s="8">
        <v>64.06</v>
      </c>
      <c r="C109" s="8">
        <v>152.65</v>
      </c>
      <c r="D109" s="9">
        <v>-2.80592545749404E-3</v>
      </c>
      <c r="E109" s="9">
        <v>-2.3555595528351298E-3</v>
      </c>
      <c r="F109" s="8">
        <v>0</v>
      </c>
      <c r="G109" s="8">
        <v>0.1948</v>
      </c>
      <c r="H109" s="8">
        <v>0</v>
      </c>
      <c r="I109" s="8">
        <v>0.59470000000000001</v>
      </c>
      <c r="J109" s="8">
        <v>0.1948</v>
      </c>
      <c r="K109" s="8">
        <v>0.59470000000000001</v>
      </c>
      <c r="L109" s="8">
        <v>64.254800000000003</v>
      </c>
      <c r="M109" s="8">
        <v>153.24469999999999</v>
      </c>
      <c r="N109" s="10">
        <v>2.3829222603808899</v>
      </c>
      <c r="O109" s="10">
        <v>2.3794589997480098</v>
      </c>
      <c r="P109" s="10">
        <v>2.3764479211401399</v>
      </c>
      <c r="Q109" s="10">
        <v>2.3776286656494601</v>
      </c>
      <c r="R109" s="8">
        <v>152.42814352385699</v>
      </c>
      <c r="S109" s="8">
        <v>152.21628971264499</v>
      </c>
      <c r="T109" s="8">
        <v>152.28511972964699</v>
      </c>
      <c r="U109" s="9">
        <v>-1.4544241858072699E-3</v>
      </c>
      <c r="V109" s="9">
        <v>-2.8452511450425301E-3</v>
      </c>
      <c r="W109" s="9">
        <v>-2.3931677323542002E-3</v>
      </c>
      <c r="X109" s="10">
        <v>2.3849533420071301</v>
      </c>
      <c r="Y109" s="10">
        <v>2.3816575271846898</v>
      </c>
      <c r="Z109" s="10">
        <v>2.37853350347378</v>
      </c>
      <c r="AA109" s="10">
        <v>2.3797339217384499</v>
      </c>
      <c r="AB109" s="8">
        <v>153.03292807774699</v>
      </c>
      <c r="AC109" s="8">
        <v>152.813454536086</v>
      </c>
      <c r="AD109" s="8">
        <v>152.883951164243</v>
      </c>
      <c r="AE109" s="9">
        <v>-1.38287577405113E-3</v>
      </c>
      <c r="AF109" s="9">
        <v>-2.81806410262755E-3</v>
      </c>
      <c r="AG109" s="9">
        <v>-2.35684573379526E-3</v>
      </c>
      <c r="AZ109" s="9"/>
      <c r="BB109">
        <f t="shared" si="22"/>
        <v>1</v>
      </c>
      <c r="BC109">
        <f t="shared" si="23"/>
        <v>0</v>
      </c>
      <c r="BD109">
        <f t="shared" si="24"/>
        <v>1</v>
      </c>
      <c r="BE109">
        <f t="shared" si="20"/>
        <v>1</v>
      </c>
      <c r="BF109">
        <f t="shared" si="25"/>
        <v>1</v>
      </c>
      <c r="BG109" s="9">
        <f t="shared" si="26"/>
        <v>-2.80592545749404E-3</v>
      </c>
      <c r="BH109" s="9">
        <f t="shared" si="27"/>
        <v>2.3555595528351298E-3</v>
      </c>
      <c r="BI109" s="9">
        <f t="shared" si="28"/>
        <v>-4.5036590465891016E-4</v>
      </c>
      <c r="BJ109" s="12">
        <f t="shared" si="29"/>
        <v>1.6488594574965618E-3</v>
      </c>
      <c r="BL109" s="9"/>
      <c r="BN109">
        <f t="shared" si="30"/>
        <v>0</v>
      </c>
      <c r="BO109">
        <f t="shared" si="31"/>
        <v>1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5.1740146138556497E-3</v>
      </c>
      <c r="BX109" s="12">
        <f t="shared" si="38"/>
        <v>-4.5036590465891016E-4</v>
      </c>
      <c r="BY109" s="12">
        <f t="shared" si="39"/>
        <v>6.8228740713522137E-3</v>
      </c>
    </row>
    <row r="110" spans="1:77" x14ac:dyDescent="0.3">
      <c r="A110" s="1">
        <v>46182</v>
      </c>
      <c r="B110" s="8">
        <v>64.930000000000007</v>
      </c>
      <c r="C110" s="8">
        <v>154.57</v>
      </c>
      <c r="D110" s="9">
        <v>1.3489622339383301E-2</v>
      </c>
      <c r="E110" s="9">
        <v>1.24993489833403E-2</v>
      </c>
      <c r="F110" s="8">
        <v>0</v>
      </c>
      <c r="G110" s="8">
        <v>0.1948</v>
      </c>
      <c r="H110" s="8">
        <v>0</v>
      </c>
      <c r="I110" s="8">
        <v>0.59470000000000001</v>
      </c>
      <c r="J110" s="8">
        <v>0.1948</v>
      </c>
      <c r="K110" s="8">
        <v>0.59470000000000001</v>
      </c>
      <c r="L110" s="8">
        <v>65.124799999999993</v>
      </c>
      <c r="M110" s="8">
        <v>155.16469999999899</v>
      </c>
      <c r="N110" s="10">
        <v>2.3805636839673401</v>
      </c>
      <c r="O110" s="10">
        <v>2.3794589997480098</v>
      </c>
      <c r="P110" s="10">
        <v>2.3768882895368701</v>
      </c>
      <c r="Q110" s="10">
        <v>2.3779120382921199</v>
      </c>
      <c r="R110" s="8">
        <v>154.49827285363801</v>
      </c>
      <c r="S110" s="8">
        <v>154.302763519629</v>
      </c>
      <c r="T110" s="8">
        <v>154.37942926061899</v>
      </c>
      <c r="U110" s="9">
        <v>-4.6415082976403199E-4</v>
      </c>
      <c r="V110" s="9">
        <v>-1.73039891253038E-3</v>
      </c>
      <c r="W110" s="9">
        <v>-1.23366962681484E-3</v>
      </c>
      <c r="X110" s="10">
        <v>2.38257468736948</v>
      </c>
      <c r="Y110" s="10">
        <v>2.3816575271846898</v>
      </c>
      <c r="Z110" s="10">
        <v>2.3789647091075699</v>
      </c>
      <c r="AA110" s="10">
        <v>2.3800085597756202</v>
      </c>
      <c r="AB110" s="8">
        <v>155.10497012639701</v>
      </c>
      <c r="AC110" s="8">
        <v>154.901518707029</v>
      </c>
      <c r="AD110" s="8">
        <v>154.97969570643201</v>
      </c>
      <c r="AE110" s="9">
        <v>-3.85019098487281E-4</v>
      </c>
      <c r="AF110" s="9">
        <v>-1.6975816151177099E-3</v>
      </c>
      <c r="AG110" s="9">
        <v>-1.1930205289630599E-3</v>
      </c>
      <c r="AZ110" s="9"/>
      <c r="BB110">
        <f t="shared" si="22"/>
        <v>1</v>
      </c>
      <c r="BC110">
        <f t="shared" si="23"/>
        <v>0</v>
      </c>
      <c r="BD110">
        <f t="shared" si="24"/>
        <v>1</v>
      </c>
      <c r="BE110">
        <f t="shared" si="20"/>
        <v>1</v>
      </c>
      <c r="BF110">
        <f t="shared" si="25"/>
        <v>1</v>
      </c>
      <c r="BG110" s="9">
        <f t="shared" si="26"/>
        <v>1.3489622339383301E-2</v>
      </c>
      <c r="BH110" s="9">
        <f t="shared" si="27"/>
        <v>-1.24993489833403E-2</v>
      </c>
      <c r="BI110" s="9">
        <f t="shared" si="28"/>
        <v>9.9027335604300049E-4</v>
      </c>
      <c r="BJ110" s="12">
        <f t="shared" si="29"/>
        <v>2.6391328135395623E-3</v>
      </c>
      <c r="BL110" s="9"/>
      <c r="BN110">
        <f t="shared" si="30"/>
        <v>0</v>
      </c>
      <c r="BO110">
        <f t="shared" si="31"/>
        <v>1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5.1740146138556497E-3</v>
      </c>
      <c r="BX110" s="12">
        <f t="shared" si="38"/>
        <v>9.9027335604300049E-4</v>
      </c>
      <c r="BY110" s="12">
        <f t="shared" si="39"/>
        <v>7.8131474273952142E-3</v>
      </c>
    </row>
    <row r="111" spans="1:77" x14ac:dyDescent="0.3">
      <c r="A111" s="1">
        <v>46183</v>
      </c>
      <c r="B111" s="8">
        <v>64.09</v>
      </c>
      <c r="C111" s="8">
        <v>152.85</v>
      </c>
      <c r="D111" s="9">
        <v>-1.30214210042599E-2</v>
      </c>
      <c r="E111" s="9">
        <v>-1.11900198273836E-2</v>
      </c>
      <c r="F111" s="8">
        <v>0</v>
      </c>
      <c r="G111" s="8">
        <v>0.1948</v>
      </c>
      <c r="H111" s="8">
        <v>0</v>
      </c>
      <c r="I111" s="8">
        <v>0.59470000000000001</v>
      </c>
      <c r="J111" s="8">
        <v>0.1948</v>
      </c>
      <c r="K111" s="8">
        <v>0.59470000000000001</v>
      </c>
      <c r="L111" s="8">
        <v>64.284800000000004</v>
      </c>
      <c r="M111" s="8">
        <v>153.44469999999899</v>
      </c>
      <c r="N111" s="10">
        <v>2.3849274457793701</v>
      </c>
      <c r="O111" s="10">
        <v>2.3794589997480098</v>
      </c>
      <c r="P111" s="10">
        <v>2.3776973280445199</v>
      </c>
      <c r="Q111" s="10">
        <v>2.3783687054173801</v>
      </c>
      <c r="R111" s="8">
        <v>152.49952729384901</v>
      </c>
      <c r="S111" s="8">
        <v>152.33477047641799</v>
      </c>
      <c r="T111" s="8">
        <v>152.40038253414201</v>
      </c>
      <c r="U111" s="9">
        <v>-2.29555200664048E-3</v>
      </c>
      <c r="V111" s="9">
        <v>-3.37651195556703E-3</v>
      </c>
      <c r="W111" s="9">
        <v>-2.9458950208972302E-3</v>
      </c>
      <c r="X111" s="10">
        <v>2.38695150331026</v>
      </c>
      <c r="Y111" s="10">
        <v>2.3816575271846898</v>
      </c>
      <c r="Z111" s="10">
        <v>2.37976643514232</v>
      </c>
      <c r="AA111" s="10">
        <v>2.3804593454736001</v>
      </c>
      <c r="AB111" s="8">
        <v>153.10437780356199</v>
      </c>
      <c r="AC111" s="8">
        <v>152.93127053203801</v>
      </c>
      <c r="AD111" s="8">
        <v>152.998374263464</v>
      </c>
      <c r="AE111" s="9">
        <v>-2.2203448706450499E-3</v>
      </c>
      <c r="AF111" s="9">
        <v>-3.3516332739909902E-3</v>
      </c>
      <c r="AG111" s="9">
        <v>-2.9129459245087102E-3</v>
      </c>
      <c r="AZ111" s="9"/>
      <c r="BB111">
        <f t="shared" si="22"/>
        <v>1</v>
      </c>
      <c r="BC111">
        <f t="shared" si="23"/>
        <v>0</v>
      </c>
      <c r="BD111">
        <f t="shared" si="24"/>
        <v>1</v>
      </c>
      <c r="BE111">
        <f t="shared" si="20"/>
        <v>1</v>
      </c>
      <c r="BF111">
        <f t="shared" si="25"/>
        <v>1</v>
      </c>
      <c r="BG111" s="9">
        <f t="shared" si="26"/>
        <v>-1.30214210042599E-2</v>
      </c>
      <c r="BH111" s="9">
        <f t="shared" si="27"/>
        <v>1.11900198273836E-2</v>
      </c>
      <c r="BI111" s="9">
        <f t="shared" si="28"/>
        <v>-1.8314011768762999E-3</v>
      </c>
      <c r="BJ111" s="12">
        <f t="shared" si="29"/>
        <v>8.0773163666326237E-4</v>
      </c>
      <c r="BL111" s="9"/>
      <c r="BN111">
        <f t="shared" si="30"/>
        <v>0</v>
      </c>
      <c r="BO111">
        <f t="shared" si="31"/>
        <v>1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5.1740146138556497E-3</v>
      </c>
      <c r="BX111" s="12">
        <f t="shared" si="38"/>
        <v>-1.8314011768762999E-3</v>
      </c>
      <c r="BY111" s="12">
        <f t="shared" si="39"/>
        <v>5.9817462505189142E-3</v>
      </c>
    </row>
    <row r="112" spans="1:77" x14ac:dyDescent="0.3">
      <c r="A112" s="1">
        <v>46184</v>
      </c>
      <c r="B112" s="8">
        <v>64.61</v>
      </c>
      <c r="C112" s="8">
        <v>154.09</v>
      </c>
      <c r="D112" s="9">
        <v>8.0808520539384504E-3</v>
      </c>
      <c r="E112" s="9">
        <v>8.0797989569186095E-3</v>
      </c>
      <c r="F112" s="8">
        <v>0</v>
      </c>
      <c r="G112" s="8">
        <v>0.1948</v>
      </c>
      <c r="H112" s="8">
        <v>0</v>
      </c>
      <c r="I112" s="8">
        <v>0.59470000000000001</v>
      </c>
      <c r="J112" s="8">
        <v>0.1948</v>
      </c>
      <c r="K112" s="8">
        <v>0.59470000000000001</v>
      </c>
      <c r="L112" s="8">
        <v>64.8048</v>
      </c>
      <c r="M112" s="8">
        <v>154.68469999999999</v>
      </c>
      <c r="N112" s="10">
        <v>2.3849249342207002</v>
      </c>
      <c r="O112" s="10">
        <v>2.3794589997480098</v>
      </c>
      <c r="P112" s="10">
        <v>2.3786583353205</v>
      </c>
      <c r="Q112" s="10">
        <v>2.3787829417606901</v>
      </c>
      <c r="R112" s="8">
        <v>153.736845973718</v>
      </c>
      <c r="S112" s="8">
        <v>153.623024364956</v>
      </c>
      <c r="T112" s="8">
        <v>153.666402057017</v>
      </c>
      <c r="U112" s="9">
        <v>-2.2944989096203901E-3</v>
      </c>
      <c r="V112" s="9">
        <v>-3.0351396044496202E-3</v>
      </c>
      <c r="W112" s="9">
        <v>-2.75281493839357E-3</v>
      </c>
      <c r="X112" s="10">
        <v>2.3869327580672999</v>
      </c>
      <c r="Y112" s="10">
        <v>2.3816575271846898</v>
      </c>
      <c r="Z112" s="10">
        <v>2.38072106937754</v>
      </c>
      <c r="AA112" s="10">
        <v>2.3808676097366801</v>
      </c>
      <c r="AB112" s="8">
        <v>154.34283971769801</v>
      </c>
      <c r="AC112" s="8">
        <v>154.220287876111</v>
      </c>
      <c r="AD112" s="8">
        <v>154.26519179154701</v>
      </c>
      <c r="AE112" s="9">
        <v>-2.2124916249696199E-3</v>
      </c>
      <c r="AF112" s="9">
        <v>-3.0068305272697598E-3</v>
      </c>
      <c r="AG112" s="9">
        <v>-2.71570553945871E-3</v>
      </c>
      <c r="AZ112" s="9"/>
      <c r="BB112">
        <f t="shared" si="22"/>
        <v>1</v>
      </c>
      <c r="BC112">
        <f t="shared" si="23"/>
        <v>0</v>
      </c>
      <c r="BD112">
        <f t="shared" si="24"/>
        <v>1</v>
      </c>
      <c r="BE112">
        <f t="shared" si="20"/>
        <v>1</v>
      </c>
      <c r="BF112">
        <f t="shared" si="25"/>
        <v>1</v>
      </c>
      <c r="BG112" s="9">
        <f t="shared" si="26"/>
        <v>8.0808520539384504E-3</v>
      </c>
      <c r="BH112" s="9">
        <f t="shared" si="27"/>
        <v>-8.0797989569186095E-3</v>
      </c>
      <c r="BI112" s="9">
        <f t="shared" si="28"/>
        <v>1.0530970198409373E-6</v>
      </c>
      <c r="BJ112" s="12">
        <f t="shared" si="29"/>
        <v>8.0878473368310331E-4</v>
      </c>
      <c r="BL112" s="9"/>
      <c r="BN112">
        <f t="shared" si="30"/>
        <v>0</v>
      </c>
      <c r="BO112">
        <f t="shared" si="31"/>
        <v>1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5.1740146138556497E-3</v>
      </c>
      <c r="BX112" s="12">
        <f t="shared" si="38"/>
        <v>1.0530970198409373E-6</v>
      </c>
      <c r="BY112" s="12">
        <f t="shared" si="39"/>
        <v>5.9827993475387552E-3</v>
      </c>
    </row>
    <row r="113" spans="1:77" x14ac:dyDescent="0.3">
      <c r="A113" s="1">
        <v>46185</v>
      </c>
      <c r="B113" s="8">
        <v>64.48</v>
      </c>
      <c r="C113" s="8">
        <v>153.81</v>
      </c>
      <c r="D113" s="9">
        <v>-2.01409937170114E-3</v>
      </c>
      <c r="E113" s="9">
        <v>-1.8187728300431299E-3</v>
      </c>
      <c r="F113" s="8">
        <v>0</v>
      </c>
      <c r="G113" s="8">
        <v>0.1948</v>
      </c>
      <c r="H113" s="8">
        <v>0</v>
      </c>
      <c r="I113" s="8">
        <v>0.59470000000000001</v>
      </c>
      <c r="J113" s="8">
        <v>0.1948</v>
      </c>
      <c r="K113" s="8">
        <v>0.59470000000000001</v>
      </c>
      <c r="L113" s="8">
        <v>64.674800000000005</v>
      </c>
      <c r="M113" s="8">
        <v>154.40469999999999</v>
      </c>
      <c r="N113" s="10">
        <v>2.3853908188585602</v>
      </c>
      <c r="O113" s="10">
        <v>2.3794589997480098</v>
      </c>
      <c r="P113" s="10">
        <v>2.3800563732590301</v>
      </c>
      <c r="Q113" s="10">
        <v>2.3791697196097301</v>
      </c>
      <c r="R113" s="8">
        <v>153.42751630375099</v>
      </c>
      <c r="S113" s="8">
        <v>153.37588946146499</v>
      </c>
      <c r="T113" s="8">
        <v>153.38392408472899</v>
      </c>
      <c r="U113" s="9">
        <v>-2.4898254512785E-3</v>
      </c>
      <c r="V113" s="9">
        <v>-2.8263721896974901E-3</v>
      </c>
      <c r="W113" s="9">
        <v>-2.7739883837981298E-3</v>
      </c>
      <c r="X113" s="10">
        <v>2.3874012753035099</v>
      </c>
      <c r="Y113" s="10">
        <v>2.3816575271846898</v>
      </c>
      <c r="Z113" s="10">
        <v>2.3821101890755298</v>
      </c>
      <c r="AA113" s="10">
        <v>2.3812486037885501</v>
      </c>
      <c r="AB113" s="8">
        <v>154.03322423916401</v>
      </c>
      <c r="AC113" s="8">
        <v>153.97265901777899</v>
      </c>
      <c r="AD113" s="8">
        <v>153.98213648619799</v>
      </c>
      <c r="AE113" s="9">
        <v>-2.4087565844147698E-3</v>
      </c>
      <c r="AF113" s="9">
        <v>-2.8020297357315501E-3</v>
      </c>
      <c r="AG113" s="9">
        <v>-2.7404786992773298E-3</v>
      </c>
      <c r="AZ113" s="9"/>
      <c r="BB113">
        <f t="shared" si="22"/>
        <v>1</v>
      </c>
      <c r="BC113">
        <f t="shared" si="23"/>
        <v>0</v>
      </c>
      <c r="BD113">
        <f t="shared" si="24"/>
        <v>1</v>
      </c>
      <c r="BE113">
        <f t="shared" si="20"/>
        <v>0</v>
      </c>
      <c r="BF113">
        <f t="shared" si="25"/>
        <v>1</v>
      </c>
      <c r="BG113" s="9">
        <f t="shared" si="26"/>
        <v>-2.01409937170114E-3</v>
      </c>
      <c r="BH113" s="9">
        <f t="shared" si="27"/>
        <v>1.8187728300431299E-3</v>
      </c>
      <c r="BI113" s="9">
        <f t="shared" si="28"/>
        <v>-1.9532654165801012E-4</v>
      </c>
      <c r="BJ113" s="12">
        <f t="shared" si="29"/>
        <v>6.1345819202509319E-4</v>
      </c>
      <c r="BL113" s="9"/>
      <c r="BN113">
        <f t="shared" si="30"/>
        <v>0</v>
      </c>
      <c r="BO113">
        <f t="shared" si="31"/>
        <v>1</v>
      </c>
      <c r="BP113">
        <f t="shared" si="32"/>
        <v>0</v>
      </c>
      <c r="BQ113">
        <f t="shared" si="21"/>
        <v>0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5.1740146138556497E-3</v>
      </c>
      <c r="BX113" s="12">
        <f t="shared" si="38"/>
        <v>-1.9532654165801012E-4</v>
      </c>
      <c r="BY113" s="12">
        <f t="shared" si="39"/>
        <v>5.7874728058807451E-3</v>
      </c>
    </row>
    <row r="114" spans="1:77" x14ac:dyDescent="0.3">
      <c r="A114" s="1">
        <v>46188</v>
      </c>
      <c r="B114" s="8">
        <v>64.02</v>
      </c>
      <c r="C114" s="8">
        <v>152.88999999999999</v>
      </c>
      <c r="D114" s="9">
        <v>-7.1595636566560098E-3</v>
      </c>
      <c r="E114" s="9">
        <v>-5.9993658911966802E-3</v>
      </c>
      <c r="F114" s="8">
        <v>0.16339999999999999</v>
      </c>
      <c r="G114" s="8">
        <v>0.35819999999999902</v>
      </c>
      <c r="H114" s="8">
        <v>0</v>
      </c>
      <c r="I114" s="8">
        <v>0.59470000000000001</v>
      </c>
      <c r="J114" s="8">
        <v>0.35819999999999902</v>
      </c>
      <c r="K114" s="8">
        <v>0.59470000000000001</v>
      </c>
      <c r="L114" s="8">
        <v>64.378199999999893</v>
      </c>
      <c r="M114" s="8">
        <v>153.48469999999901</v>
      </c>
      <c r="N114" s="10">
        <v>2.3881599500156199</v>
      </c>
      <c r="O114" s="10">
        <v>2.3794589997480098</v>
      </c>
      <c r="P114" s="10">
        <v>2.3815689974740701</v>
      </c>
      <c r="Q114" s="10">
        <v>2.3794675545756201</v>
      </c>
      <c r="R114" s="8">
        <v>152.33296516386699</v>
      </c>
      <c r="S114" s="8">
        <v>152.371209016043</v>
      </c>
      <c r="T114" s="8">
        <v>152.31444544941499</v>
      </c>
      <c r="U114" s="9">
        <v>-3.6500232167377602E-3</v>
      </c>
      <c r="V114" s="9">
        <v>-3.39900038464621E-3</v>
      </c>
      <c r="W114" s="9">
        <v>-3.77160451912327E-3</v>
      </c>
      <c r="X114" s="10">
        <v>2.3841098384235599</v>
      </c>
      <c r="Y114" s="10">
        <v>2.3816575271846898</v>
      </c>
      <c r="Z114" s="10">
        <v>2.38300589164648</v>
      </c>
      <c r="AA114" s="10">
        <v>2.3812370292926799</v>
      </c>
      <c r="AB114" s="8">
        <v>153.32682461660099</v>
      </c>
      <c r="AC114" s="8">
        <v>153.355966174342</v>
      </c>
      <c r="AD114" s="8">
        <v>153.30049886442001</v>
      </c>
      <c r="AE114" s="9">
        <v>-1.02913603085581E-3</v>
      </c>
      <c r="AF114" s="9">
        <v>-8.3909238508677404E-4</v>
      </c>
      <c r="AG114" s="9">
        <v>-1.20084774882959E-3</v>
      </c>
      <c r="AZ114" s="9"/>
      <c r="BB114">
        <f t="shared" si="22"/>
        <v>1</v>
      </c>
      <c r="BC114">
        <f t="shared" si="23"/>
        <v>0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6.1345819202509319E-4</v>
      </c>
      <c r="BL114" s="9"/>
      <c r="BN114">
        <f t="shared" si="30"/>
        <v>0</v>
      </c>
      <c r="BO114">
        <f t="shared" si="31"/>
        <v>1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5.1740146138556497E-3</v>
      </c>
      <c r="BX114" s="12">
        <f t="shared" si="38"/>
        <v>0</v>
      </c>
      <c r="BY114" s="12">
        <f t="shared" si="39"/>
        <v>5.7874728058807451E-3</v>
      </c>
    </row>
    <row r="115" spans="1:77" x14ac:dyDescent="0.3">
      <c r="A115" s="1">
        <v>46189</v>
      </c>
      <c r="B115" s="8">
        <v>63.97</v>
      </c>
      <c r="C115" s="8">
        <v>152.94</v>
      </c>
      <c r="D115" s="9">
        <v>-7.8131107967074898E-4</v>
      </c>
      <c r="E115" s="9">
        <v>3.2697904355680598E-4</v>
      </c>
      <c r="F115" s="8">
        <v>0</v>
      </c>
      <c r="G115" s="8">
        <v>0.35819999999999902</v>
      </c>
      <c r="H115" s="8">
        <v>0</v>
      </c>
      <c r="I115" s="8">
        <v>0.59470000000000001</v>
      </c>
      <c r="J115" s="8">
        <v>0.35819999999999902</v>
      </c>
      <c r="K115" s="8">
        <v>0.59470000000000001</v>
      </c>
      <c r="L115" s="8">
        <v>64.328199999999995</v>
      </c>
      <c r="M115" s="8">
        <v>153.53469999999999</v>
      </c>
      <c r="N115" s="10">
        <v>2.3908081913396901</v>
      </c>
      <c r="O115" s="10">
        <v>2.3794589997480098</v>
      </c>
      <c r="P115" s="10">
        <v>2.3829488911331298</v>
      </c>
      <c r="Q115" s="10">
        <v>2.3798583320902802</v>
      </c>
      <c r="R115" s="8">
        <v>152.21399221388</v>
      </c>
      <c r="S115" s="8">
        <v>152.348968768416</v>
      </c>
      <c r="T115" s="8">
        <v>152.21453946620201</v>
      </c>
      <c r="U115" s="9">
        <v>-4.7583133399653303E-3</v>
      </c>
      <c r="V115" s="9">
        <v>-3.87195103945459E-3</v>
      </c>
      <c r="W115" s="9">
        <v>-4.7547180637961496E-3</v>
      </c>
      <c r="X115" s="10">
        <v>2.3867401854863002</v>
      </c>
      <c r="Y115" s="10">
        <v>2.3816575271846898</v>
      </c>
      <c r="Z115" s="10">
        <v>2.3837658925079102</v>
      </c>
      <c r="AA115" s="10">
        <v>2.3813180462090502</v>
      </c>
      <c r="AB115" s="8">
        <v>153.207741740242</v>
      </c>
      <c r="AC115" s="8">
        <v>153.29447959901299</v>
      </c>
      <c r="AD115" s="8">
        <v>153.180691867745</v>
      </c>
      <c r="AE115" s="9">
        <v>-2.1318105295606601E-3</v>
      </c>
      <c r="AF115" s="9">
        <v>-1.56582532588178E-3</v>
      </c>
      <c r="AG115" s="9">
        <v>-2.3083829428746502E-3</v>
      </c>
      <c r="AZ115" s="9"/>
      <c r="BB115">
        <f t="shared" si="22"/>
        <v>1</v>
      </c>
      <c r="BC115">
        <f t="shared" si="23"/>
        <v>0</v>
      </c>
      <c r="BD115">
        <f t="shared" si="24"/>
        <v>1</v>
      </c>
      <c r="BE115">
        <f t="shared" si="20"/>
        <v>1</v>
      </c>
      <c r="BF115">
        <f t="shared" si="25"/>
        <v>1</v>
      </c>
      <c r="BG115" s="9">
        <f t="shared" si="26"/>
        <v>-7.8131107967074898E-4</v>
      </c>
      <c r="BH115" s="9">
        <f t="shared" si="27"/>
        <v>-3.2697904355680598E-4</v>
      </c>
      <c r="BI115" s="9">
        <f t="shared" si="28"/>
        <v>-1.108290123227555E-3</v>
      </c>
      <c r="BJ115" s="12">
        <f t="shared" si="29"/>
        <v>-4.9483193120246176E-4</v>
      </c>
      <c r="BL115" s="9"/>
      <c r="BN115">
        <f t="shared" si="30"/>
        <v>0</v>
      </c>
      <c r="BO115">
        <f t="shared" si="31"/>
        <v>1</v>
      </c>
      <c r="BP115">
        <f t="shared" si="32"/>
        <v>0</v>
      </c>
      <c r="BQ115">
        <f t="shared" si="21"/>
        <v>1</v>
      </c>
      <c r="BR115">
        <f t="shared" si="33"/>
        <v>0</v>
      </c>
      <c r="BS115" s="9">
        <f t="shared" si="34"/>
        <v>0</v>
      </c>
      <c r="BT115" s="9">
        <f t="shared" si="35"/>
        <v>0</v>
      </c>
      <c r="BU115" s="9">
        <f t="shared" si="36"/>
        <v>0</v>
      </c>
      <c r="BV115" s="12">
        <f t="shared" si="37"/>
        <v>5.1740146138556497E-3</v>
      </c>
      <c r="BX115" s="12">
        <f t="shared" si="38"/>
        <v>-1.108290123227555E-3</v>
      </c>
      <c r="BY115" s="12">
        <f t="shared" si="39"/>
        <v>4.6791826826531897E-3</v>
      </c>
    </row>
    <row r="116" spans="1:77" x14ac:dyDescent="0.3">
      <c r="A116" s="1">
        <v>46190</v>
      </c>
      <c r="B116" s="8">
        <v>63.13</v>
      </c>
      <c r="C116" s="8">
        <v>150.71</v>
      </c>
      <c r="D116" s="9">
        <v>-1.3218131082511899E-2</v>
      </c>
      <c r="E116" s="9">
        <v>-1.4688227184494E-2</v>
      </c>
      <c r="F116" s="8">
        <v>0</v>
      </c>
      <c r="G116" s="8">
        <v>0.35819999999999902</v>
      </c>
      <c r="H116" s="8">
        <v>0</v>
      </c>
      <c r="I116" s="8">
        <v>0.59470000000000001</v>
      </c>
      <c r="J116" s="8">
        <v>0.35819999999999902</v>
      </c>
      <c r="K116" s="8">
        <v>0.59470000000000001</v>
      </c>
      <c r="L116" s="8">
        <v>63.488199999999999</v>
      </c>
      <c r="M116" s="8">
        <v>151.3047</v>
      </c>
      <c r="N116" s="10">
        <v>2.3872960557579499</v>
      </c>
      <c r="O116" s="10">
        <v>2.3794589997480098</v>
      </c>
      <c r="P116" s="10">
        <v>2.3843835465641798</v>
      </c>
      <c r="Q116" s="10">
        <v>2.38010929270482</v>
      </c>
      <c r="R116" s="8">
        <v>150.215246654091</v>
      </c>
      <c r="S116" s="8">
        <v>150.435563497234</v>
      </c>
      <c r="T116" s="8">
        <v>150.240456504859</v>
      </c>
      <c r="U116" s="9">
        <v>-3.2882172379832199E-3</v>
      </c>
      <c r="V116" s="9">
        <v>-1.8226174448669199E-3</v>
      </c>
      <c r="W116" s="9">
        <v>-3.1204064721257999E-3</v>
      </c>
      <c r="X116" s="10">
        <v>2.38319404235747</v>
      </c>
      <c r="Y116" s="10">
        <v>2.3816575271846898</v>
      </c>
      <c r="Z116" s="10">
        <v>2.3845780021310898</v>
      </c>
      <c r="AA116" s="10">
        <v>2.3812586164847902</v>
      </c>
      <c r="AB116" s="8">
        <v>151.20714941740701</v>
      </c>
      <c r="AC116" s="8">
        <v>151.341005736721</v>
      </c>
      <c r="AD116" s="8">
        <v>151.18559638132899</v>
      </c>
      <c r="AE116" s="9">
        <v>-6.4493728865059902E-4</v>
      </c>
      <c r="AF116" s="9">
        <v>2.3992236603455301E-4</v>
      </c>
      <c r="AG116" s="9">
        <v>-7.8748724339436403E-4</v>
      </c>
      <c r="AZ116" s="9"/>
      <c r="BB116">
        <f t="shared" si="22"/>
        <v>0</v>
      </c>
      <c r="BC116">
        <f t="shared" si="23"/>
        <v>0</v>
      </c>
      <c r="BD116">
        <f t="shared" si="24"/>
        <v>1</v>
      </c>
      <c r="BE116">
        <f t="shared" si="20"/>
        <v>1</v>
      </c>
      <c r="BF116">
        <f t="shared" si="25"/>
        <v>1</v>
      </c>
      <c r="BG116" s="9">
        <f t="shared" si="26"/>
        <v>-1.3218131082511899E-2</v>
      </c>
      <c r="BH116" s="9">
        <f t="shared" si="27"/>
        <v>1.4688227184494E-2</v>
      </c>
      <c r="BI116" s="9">
        <f t="shared" si="28"/>
        <v>1.4700961019821004E-3</v>
      </c>
      <c r="BJ116" s="12">
        <f t="shared" si="29"/>
        <v>9.7526417077963869E-4</v>
      </c>
      <c r="BL116" s="9"/>
      <c r="BN116">
        <f t="shared" si="30"/>
        <v>0</v>
      </c>
      <c r="BO116">
        <f t="shared" si="31"/>
        <v>1</v>
      </c>
      <c r="BP116">
        <f t="shared" si="32"/>
        <v>0</v>
      </c>
      <c r="BQ116">
        <f t="shared" si="21"/>
        <v>1</v>
      </c>
      <c r="BR116">
        <f t="shared" si="33"/>
        <v>0</v>
      </c>
      <c r="BS116" s="9">
        <f t="shared" si="34"/>
        <v>0</v>
      </c>
      <c r="BT116" s="9">
        <f t="shared" si="35"/>
        <v>0</v>
      </c>
      <c r="BU116" s="9">
        <f t="shared" si="36"/>
        <v>0</v>
      </c>
      <c r="BV116" s="12">
        <f t="shared" si="37"/>
        <v>5.1740146138556497E-3</v>
      </c>
      <c r="BX116" s="12">
        <f t="shared" si="38"/>
        <v>1.4700961019821004E-3</v>
      </c>
      <c r="BY116" s="12">
        <f t="shared" si="39"/>
        <v>6.1492787846352901E-3</v>
      </c>
    </row>
    <row r="117" spans="1:77" x14ac:dyDescent="0.3">
      <c r="A117" s="1">
        <v>46191</v>
      </c>
      <c r="B117" s="8">
        <v>62.68</v>
      </c>
      <c r="C117" s="8">
        <v>149.4</v>
      </c>
      <c r="D117" s="9">
        <v>-7.1536748917141596E-3</v>
      </c>
      <c r="E117" s="9">
        <v>-8.7301877328680999E-3</v>
      </c>
      <c r="F117" s="8">
        <v>0</v>
      </c>
      <c r="G117" s="8">
        <v>0.35819999999999902</v>
      </c>
      <c r="H117" s="8">
        <v>0</v>
      </c>
      <c r="I117" s="8">
        <v>0.59470000000000001</v>
      </c>
      <c r="J117" s="8">
        <v>0.35819999999999902</v>
      </c>
      <c r="K117" s="8">
        <v>0.59470000000000001</v>
      </c>
      <c r="L117" s="8">
        <v>63.038199999999897</v>
      </c>
      <c r="M117" s="8">
        <v>149.99469999999999</v>
      </c>
      <c r="N117" s="10">
        <v>2.3835354179961699</v>
      </c>
      <c r="O117" s="10">
        <v>2.3794589997480098</v>
      </c>
      <c r="P117" s="10">
        <v>2.3850378073384801</v>
      </c>
      <c r="Q117" s="10">
        <v>2.3804219498544299</v>
      </c>
      <c r="R117" s="8">
        <v>149.144490104205</v>
      </c>
      <c r="S117" s="8">
        <v>149.45316069864299</v>
      </c>
      <c r="T117" s="8">
        <v>149.18525046673801</v>
      </c>
      <c r="U117" s="9">
        <v>-1.7117043968293E-3</v>
      </c>
      <c r="V117" s="9">
        <v>3.5576467774044602E-4</v>
      </c>
      <c r="W117" s="9">
        <v>-1.43844727731507E-3</v>
      </c>
      <c r="X117" s="10">
        <v>2.3794254912100898</v>
      </c>
      <c r="Y117" s="10">
        <v>2.3816575271846898</v>
      </c>
      <c r="Z117" s="10">
        <v>2.3846161090099698</v>
      </c>
      <c r="AA117" s="10">
        <v>2.3812597888624798</v>
      </c>
      <c r="AB117" s="8">
        <v>150.13540353017399</v>
      </c>
      <c r="AC117" s="8">
        <v>150.31950501393999</v>
      </c>
      <c r="AD117" s="8">
        <v>150.110256917692</v>
      </c>
      <c r="AE117" s="9">
        <v>9.3761697895180097E-4</v>
      </c>
      <c r="AF117" s="9">
        <v>2.16310207885493E-3</v>
      </c>
      <c r="AG117" s="9">
        <v>7.7011006142694704E-4</v>
      </c>
      <c r="AZ117" s="9"/>
      <c r="BB117">
        <f t="shared" si="22"/>
        <v>0</v>
      </c>
      <c r="BC117">
        <f t="shared" si="23"/>
        <v>1</v>
      </c>
      <c r="BD117">
        <f t="shared" si="24"/>
        <v>1</v>
      </c>
      <c r="BE117">
        <f t="shared" si="20"/>
        <v>0</v>
      </c>
      <c r="BF117">
        <f t="shared" si="25"/>
        <v>1</v>
      </c>
      <c r="BG117" s="9">
        <f t="shared" si="26"/>
        <v>-7.1536748917141596E-3</v>
      </c>
      <c r="BH117" s="9">
        <f t="shared" si="27"/>
        <v>8.7301877328680999E-3</v>
      </c>
      <c r="BI117" s="9">
        <f t="shared" si="28"/>
        <v>1.5765128411539403E-3</v>
      </c>
      <c r="BJ117" s="12">
        <f t="shared" si="29"/>
        <v>2.551777011933579E-3</v>
      </c>
      <c r="BL117" s="9"/>
      <c r="BN117">
        <f t="shared" si="30"/>
        <v>0</v>
      </c>
      <c r="BO117">
        <f t="shared" si="31"/>
        <v>0</v>
      </c>
      <c r="BP117">
        <f t="shared" si="32"/>
        <v>0</v>
      </c>
      <c r="BQ117">
        <f t="shared" si="21"/>
        <v>0</v>
      </c>
      <c r="BR117">
        <f t="shared" si="33"/>
        <v>0</v>
      </c>
      <c r="BS117" s="9">
        <f t="shared" si="34"/>
        <v>0</v>
      </c>
      <c r="BT117" s="9">
        <f t="shared" si="35"/>
        <v>0</v>
      </c>
      <c r="BU117" s="9">
        <f t="shared" si="36"/>
        <v>0</v>
      </c>
      <c r="BV117" s="12">
        <f t="shared" si="37"/>
        <v>5.1740146138556497E-3</v>
      </c>
      <c r="BX117" s="12">
        <f t="shared" si="38"/>
        <v>1.5765128411539403E-3</v>
      </c>
      <c r="BY117" s="12">
        <f t="shared" si="39"/>
        <v>7.7257916257892304E-3</v>
      </c>
    </row>
    <row r="118" spans="1:77" x14ac:dyDescent="0.3">
      <c r="A118" s="1">
        <v>46195</v>
      </c>
      <c r="B118" s="8">
        <v>63.18</v>
      </c>
      <c r="C118" s="8">
        <v>150.06</v>
      </c>
      <c r="D118" s="9">
        <v>7.9453778861191399E-3</v>
      </c>
      <c r="E118" s="9">
        <v>4.40794141886563E-3</v>
      </c>
      <c r="F118" s="8">
        <v>0</v>
      </c>
      <c r="G118" s="8">
        <v>0.35819999999999902</v>
      </c>
      <c r="H118" s="8">
        <v>0.65620000000000001</v>
      </c>
      <c r="I118" s="8">
        <v>1.2508999999999999</v>
      </c>
      <c r="J118" s="8">
        <v>0.35819999999999902</v>
      </c>
      <c r="K118" s="8">
        <v>1.2508999999999999</v>
      </c>
      <c r="L118" s="8">
        <v>63.538199999999897</v>
      </c>
      <c r="M118" s="8">
        <v>151.3109</v>
      </c>
      <c r="N118" s="10">
        <v>2.3751187084520402</v>
      </c>
      <c r="O118" s="10">
        <v>2.3794589997480098</v>
      </c>
      <c r="P118" s="10">
        <v>2.3843647466768298</v>
      </c>
      <c r="Q118" s="10">
        <v>2.38025831552266</v>
      </c>
      <c r="R118" s="8">
        <v>150.33421960407901</v>
      </c>
      <c r="S118" s="8">
        <v>150.686688667645</v>
      </c>
      <c r="T118" s="8">
        <v>150.395058791803</v>
      </c>
      <c r="U118" s="9">
        <v>1.8257320704240601E-3</v>
      </c>
      <c r="V118" s="9">
        <v>4.1675576045526203E-3</v>
      </c>
      <c r="W118" s="9">
        <v>2.2303430805550202E-3</v>
      </c>
      <c r="X118" s="10">
        <v>2.3814162189045298</v>
      </c>
      <c r="Y118" s="10">
        <v>2.3816575271846898</v>
      </c>
      <c r="Z118" s="10">
        <v>2.3843699342439599</v>
      </c>
      <c r="AA118" s="10">
        <v>2.3813058929990101</v>
      </c>
      <c r="AB118" s="8">
        <v>151.326232293766</v>
      </c>
      <c r="AC118" s="8">
        <v>151.514215257497</v>
      </c>
      <c r="AD118" s="8">
        <v>151.30096071670201</v>
      </c>
      <c r="AE118" s="9">
        <v>1.01324603913987E-4</v>
      </c>
      <c r="AF118" s="9">
        <v>1.34279013069675E-3</v>
      </c>
      <c r="AG118" s="9">
        <v>-6.5689978428505196E-5</v>
      </c>
      <c r="AZ118" s="9"/>
      <c r="BB118">
        <f t="shared" si="22"/>
        <v>0</v>
      </c>
      <c r="BC118">
        <f t="shared" si="23"/>
        <v>0</v>
      </c>
      <c r="BD118">
        <f t="shared" si="24"/>
        <v>0</v>
      </c>
      <c r="BE118">
        <f t="shared" si="20"/>
        <v>1</v>
      </c>
      <c r="BF118">
        <f t="shared" si="25"/>
        <v>0</v>
      </c>
      <c r="BG118" s="9">
        <f t="shared" si="26"/>
        <v>0</v>
      </c>
      <c r="BH118" s="9">
        <f t="shared" si="27"/>
        <v>0</v>
      </c>
      <c r="BI118" s="9">
        <f t="shared" si="28"/>
        <v>0</v>
      </c>
      <c r="BJ118" s="12">
        <f t="shared" si="29"/>
        <v>2.551777011933579E-3</v>
      </c>
      <c r="BL118" s="9"/>
      <c r="BN118">
        <f t="shared" si="30"/>
        <v>0</v>
      </c>
      <c r="BO118">
        <f t="shared" si="31"/>
        <v>1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5.1740146138556497E-3</v>
      </c>
      <c r="BX118" s="12">
        <f t="shared" si="38"/>
        <v>0</v>
      </c>
      <c r="BY118" s="12">
        <f t="shared" si="39"/>
        <v>7.7257916257892304E-3</v>
      </c>
    </row>
    <row r="119" spans="1:77" x14ac:dyDescent="0.3">
      <c r="A119" s="1">
        <v>46196</v>
      </c>
      <c r="B119" s="8">
        <v>64.03</v>
      </c>
      <c r="C119" s="8">
        <v>152.18</v>
      </c>
      <c r="D119" s="9">
        <v>1.33639281567716E-2</v>
      </c>
      <c r="E119" s="9">
        <v>1.40288166307941E-2</v>
      </c>
      <c r="F119" s="8">
        <v>0</v>
      </c>
      <c r="G119" s="8">
        <v>0.35819999999999902</v>
      </c>
      <c r="H119" s="8">
        <v>0</v>
      </c>
      <c r="I119" s="8">
        <v>1.2508999999999999</v>
      </c>
      <c r="J119" s="8">
        <v>0.35819999999999902</v>
      </c>
      <c r="K119" s="8">
        <v>1.2508999999999999</v>
      </c>
      <c r="L119" s="8">
        <v>64.388199999999998</v>
      </c>
      <c r="M119" s="8">
        <v>153.43090000000001</v>
      </c>
      <c r="N119" s="10">
        <v>2.3766984226143899</v>
      </c>
      <c r="O119" s="10">
        <v>2.3794589997480098</v>
      </c>
      <c r="P119" s="10">
        <v>2.3837423629001799</v>
      </c>
      <c r="Q119" s="10">
        <v>2.3800951420201599</v>
      </c>
      <c r="R119" s="8">
        <v>152.35675975386499</v>
      </c>
      <c r="S119" s="8">
        <v>152.67087472971701</v>
      </c>
      <c r="T119" s="8">
        <v>152.40793994291599</v>
      </c>
      <c r="U119" s="9">
        <v>1.1608435964017201E-3</v>
      </c>
      <c r="V119" s="9">
        <v>3.2204280496020499E-3</v>
      </c>
      <c r="W119" s="9">
        <v>1.49671051001076E-3</v>
      </c>
      <c r="X119" s="10">
        <v>2.3829040103621399</v>
      </c>
      <c r="Y119" s="10">
        <v>2.3816575271846898</v>
      </c>
      <c r="Z119" s="10">
        <v>2.3841650010794599</v>
      </c>
      <c r="AA119" s="10">
        <v>2.3813492522766202</v>
      </c>
      <c r="AB119" s="8">
        <v>153.350641191873</v>
      </c>
      <c r="AC119" s="8">
        <v>153.525288200087</v>
      </c>
      <c r="AD119" s="8">
        <v>153.328000099599</v>
      </c>
      <c r="AE119" s="9">
        <v>-5.2323102391155295E-4</v>
      </c>
      <c r="AF119" s="9">
        <v>6.1499462588356102E-4</v>
      </c>
      <c r="AG119" s="9">
        <v>-6.7088455609258903E-4</v>
      </c>
      <c r="AZ119" s="9"/>
      <c r="BB119">
        <f t="shared" si="22"/>
        <v>0</v>
      </c>
      <c r="BC119">
        <f t="shared" si="23"/>
        <v>0</v>
      </c>
      <c r="BD119">
        <f t="shared" si="24"/>
        <v>0</v>
      </c>
      <c r="BE119">
        <f t="shared" si="20"/>
        <v>1</v>
      </c>
      <c r="BF119">
        <f t="shared" si="25"/>
        <v>0</v>
      </c>
      <c r="BG119" s="9">
        <f t="shared" si="26"/>
        <v>0</v>
      </c>
      <c r="BH119" s="9">
        <f t="shared" si="27"/>
        <v>0</v>
      </c>
      <c r="BI119" s="9">
        <f t="shared" si="28"/>
        <v>0</v>
      </c>
      <c r="BJ119" s="12">
        <f t="shared" si="29"/>
        <v>2.551777011933579E-3</v>
      </c>
      <c r="BL119" s="9"/>
      <c r="BN119">
        <f t="shared" si="30"/>
        <v>0</v>
      </c>
      <c r="BO119">
        <f t="shared" si="31"/>
        <v>1</v>
      </c>
      <c r="BP119">
        <f t="shared" si="32"/>
        <v>0</v>
      </c>
      <c r="BQ119">
        <f t="shared" si="21"/>
        <v>1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5.1740146138556497E-3</v>
      </c>
      <c r="BX119" s="12">
        <f t="shared" si="38"/>
        <v>0</v>
      </c>
      <c r="BY119" s="12">
        <f t="shared" si="39"/>
        <v>7.7257916257892304E-3</v>
      </c>
    </row>
    <row r="120" spans="1:77" x14ac:dyDescent="0.3">
      <c r="A120" s="1">
        <v>46197</v>
      </c>
      <c r="B120" s="8">
        <v>64.64</v>
      </c>
      <c r="C120" s="8">
        <v>153.35</v>
      </c>
      <c r="D120" s="9">
        <v>9.4816906821291493E-3</v>
      </c>
      <c r="E120" s="9">
        <v>7.6588598118836997E-3</v>
      </c>
      <c r="F120" s="8">
        <v>0</v>
      </c>
      <c r="G120" s="8">
        <v>0.35819999999999902</v>
      </c>
      <c r="H120" s="8">
        <v>0</v>
      </c>
      <c r="I120" s="8">
        <v>1.2508999999999999</v>
      </c>
      <c r="J120" s="8">
        <v>0.35819999999999902</v>
      </c>
      <c r="K120" s="8">
        <v>1.2508999999999999</v>
      </c>
      <c r="L120" s="8">
        <v>64.998199999999997</v>
      </c>
      <c r="M120" s="8">
        <v>154.6009</v>
      </c>
      <c r="N120" s="10">
        <v>2.37237004950495</v>
      </c>
      <c r="O120" s="10">
        <v>2.3794589997480098</v>
      </c>
      <c r="P120" s="10">
        <v>2.3829229994539398</v>
      </c>
      <c r="Q120" s="10">
        <v>2.3799056444954099</v>
      </c>
      <c r="R120" s="8">
        <v>153.808229743711</v>
      </c>
      <c r="S120" s="8">
        <v>154.08510633786801</v>
      </c>
      <c r="T120" s="8">
        <v>153.84934998018301</v>
      </c>
      <c r="U120" s="9">
        <v>2.9836744666470799E-3</v>
      </c>
      <c r="V120" s="9">
        <v>4.7821977625030297E-3</v>
      </c>
      <c r="W120" s="9">
        <v>3.2509861756827799E-3</v>
      </c>
      <c r="X120" s="10">
        <v>2.37854125191159</v>
      </c>
      <c r="Y120" s="10">
        <v>2.3816575271846898</v>
      </c>
      <c r="Z120" s="10">
        <v>2.38376165753367</v>
      </c>
      <c r="AA120" s="10">
        <v>2.3813631833206199</v>
      </c>
      <c r="AB120" s="8">
        <v>154.80345228345601</v>
      </c>
      <c r="AC120" s="8">
        <v>154.96643357316299</v>
      </c>
      <c r="AD120" s="8">
        <v>154.783414969326</v>
      </c>
      <c r="AE120" s="9">
        <v>1.3093048685144E-3</v>
      </c>
      <c r="AF120" s="9">
        <v>2.3615782636217399E-3</v>
      </c>
      <c r="AG120" s="9">
        <v>1.179859363701E-3</v>
      </c>
      <c r="AZ120" s="9"/>
      <c r="BB120">
        <f t="shared" si="22"/>
        <v>0</v>
      </c>
      <c r="BC120">
        <f t="shared" si="23"/>
        <v>1</v>
      </c>
      <c r="BD120">
        <f t="shared" si="24"/>
        <v>0</v>
      </c>
      <c r="BE120">
        <f t="shared" si="20"/>
        <v>1</v>
      </c>
      <c r="BF120">
        <f t="shared" si="25"/>
        <v>0</v>
      </c>
      <c r="BG120" s="9">
        <f t="shared" si="26"/>
        <v>0</v>
      </c>
      <c r="BH120" s="9">
        <f t="shared" si="27"/>
        <v>0</v>
      </c>
      <c r="BI120" s="9">
        <f t="shared" si="28"/>
        <v>0</v>
      </c>
      <c r="BJ120" s="12">
        <f t="shared" si="29"/>
        <v>2.551777011933579E-3</v>
      </c>
      <c r="BL120" s="9"/>
      <c r="BN120">
        <f t="shared" si="30"/>
        <v>0</v>
      </c>
      <c r="BO120">
        <f t="shared" si="31"/>
        <v>0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5.1740146138556497E-3</v>
      </c>
      <c r="BX120" s="12">
        <f t="shared" si="38"/>
        <v>0</v>
      </c>
      <c r="BY120" s="12">
        <f t="shared" si="39"/>
        <v>7.7257916257892304E-3</v>
      </c>
    </row>
    <row r="121" spans="1:77" x14ac:dyDescent="0.3">
      <c r="A121" s="1">
        <v>46198</v>
      </c>
      <c r="B121" s="8">
        <v>65.66</v>
      </c>
      <c r="C121" s="8">
        <v>155.63</v>
      </c>
      <c r="D121" s="9">
        <v>1.5656497860606699E-2</v>
      </c>
      <c r="E121" s="9">
        <v>1.47585046566581E-2</v>
      </c>
      <c r="F121" s="8">
        <v>0</v>
      </c>
      <c r="G121" s="8">
        <v>0.35819999999999902</v>
      </c>
      <c r="H121" s="8">
        <v>0</v>
      </c>
      <c r="I121" s="8">
        <v>1.2508999999999999</v>
      </c>
      <c r="J121" s="8">
        <v>0.35819999999999902</v>
      </c>
      <c r="K121" s="8">
        <v>1.2508999999999999</v>
      </c>
      <c r="L121" s="8">
        <v>66.018199999999993</v>
      </c>
      <c r="M121" s="8">
        <v>156.8809</v>
      </c>
      <c r="N121" s="10">
        <v>2.37024063356685</v>
      </c>
      <c r="O121" s="10">
        <v>2.3794589997480098</v>
      </c>
      <c r="P121" s="10">
        <v>2.3814543182326902</v>
      </c>
      <c r="Q121" s="10">
        <v>2.3795758231386102</v>
      </c>
      <c r="R121" s="8">
        <v>156.23527792345399</v>
      </c>
      <c r="S121" s="8">
        <v>156.46272414414599</v>
      </c>
      <c r="T121" s="8">
        <v>156.26460461756801</v>
      </c>
      <c r="U121" s="9">
        <v>3.8816676705953402E-3</v>
      </c>
      <c r="V121" s="9">
        <v>5.3364020104317402E-3</v>
      </c>
      <c r="W121" s="9">
        <v>4.0693585840258298E-3</v>
      </c>
      <c r="X121" s="10">
        <v>2.3763280428730198</v>
      </c>
      <c r="Y121" s="10">
        <v>2.3816575271846898</v>
      </c>
      <c r="Z121" s="10">
        <v>2.38269931148995</v>
      </c>
      <c r="AA121" s="10">
        <v>2.3812328733161299</v>
      </c>
      <c r="AB121" s="8">
        <v>157.23274296118399</v>
      </c>
      <c r="AC121" s="8">
        <v>157.371653859389</v>
      </c>
      <c r="AD121" s="8">
        <v>157.213310909097</v>
      </c>
      <c r="AE121" s="9">
        <v>2.2402281226306E-3</v>
      </c>
      <c r="AF121" s="9">
        <v>3.1233111859097699E-3</v>
      </c>
      <c r="AG121" s="9">
        <v>2.11663266406218E-3</v>
      </c>
      <c r="AZ121" s="9"/>
      <c r="BB121">
        <f t="shared" si="22"/>
        <v>0</v>
      </c>
      <c r="BC121">
        <f t="shared" si="23"/>
        <v>1</v>
      </c>
      <c r="BD121">
        <f t="shared" si="24"/>
        <v>0</v>
      </c>
      <c r="BE121">
        <f t="shared" si="20"/>
        <v>1</v>
      </c>
      <c r="BF121">
        <f t="shared" si="25"/>
        <v>0</v>
      </c>
      <c r="BG121" s="9">
        <f t="shared" si="26"/>
        <v>0</v>
      </c>
      <c r="BH121" s="9">
        <f t="shared" si="27"/>
        <v>0</v>
      </c>
      <c r="BI121" s="9">
        <f t="shared" si="28"/>
        <v>0</v>
      </c>
      <c r="BJ121" s="12">
        <f t="shared" si="29"/>
        <v>2.551777011933579E-3</v>
      </c>
      <c r="BL121" s="9"/>
      <c r="BN121">
        <f t="shared" si="30"/>
        <v>1</v>
      </c>
      <c r="BO121">
        <f t="shared" si="31"/>
        <v>0</v>
      </c>
      <c r="BP121">
        <f t="shared" si="32"/>
        <v>0</v>
      </c>
      <c r="BQ121">
        <f t="shared" si="21"/>
        <v>1</v>
      </c>
      <c r="BR121">
        <f t="shared" si="33"/>
        <v>0</v>
      </c>
      <c r="BS121" s="9">
        <f t="shared" si="34"/>
        <v>0</v>
      </c>
      <c r="BT121" s="9">
        <f t="shared" si="35"/>
        <v>0</v>
      </c>
      <c r="BU121" s="9">
        <f t="shared" si="36"/>
        <v>0</v>
      </c>
      <c r="BV121" s="12">
        <f t="shared" si="37"/>
        <v>5.1740146138556497E-3</v>
      </c>
      <c r="BX121" s="12">
        <f t="shared" si="38"/>
        <v>0</v>
      </c>
      <c r="BY121" s="12">
        <f t="shared" si="39"/>
        <v>7.7257916257892304E-3</v>
      </c>
    </row>
    <row r="122" spans="1:77" x14ac:dyDescent="0.3">
      <c r="A122" s="1">
        <v>46199</v>
      </c>
      <c r="B122" s="8">
        <v>67.64</v>
      </c>
      <c r="C122" s="8">
        <v>160.34</v>
      </c>
      <c r="D122" s="9">
        <v>2.9709611956932998E-2</v>
      </c>
      <c r="E122" s="9">
        <v>2.9815165397886999E-2</v>
      </c>
      <c r="F122" s="8">
        <v>0</v>
      </c>
      <c r="G122" s="8">
        <v>0.35819999999999902</v>
      </c>
      <c r="H122" s="8">
        <v>0</v>
      </c>
      <c r="I122" s="8">
        <v>1.2508999999999999</v>
      </c>
      <c r="J122" s="8">
        <v>0.35819999999999902</v>
      </c>
      <c r="K122" s="8">
        <v>1.2508999999999999</v>
      </c>
      <c r="L122" s="8">
        <v>67.998199999999997</v>
      </c>
      <c r="M122" s="8">
        <v>161.5909</v>
      </c>
      <c r="N122" s="10">
        <v>2.3704908338261301</v>
      </c>
      <c r="O122" s="10">
        <v>2.3794589997480098</v>
      </c>
      <c r="P122" s="10">
        <v>2.3800109081932299</v>
      </c>
      <c r="Q122" s="10">
        <v>2.37933462175687</v>
      </c>
      <c r="R122" s="8">
        <v>160.946606742955</v>
      </c>
      <c r="S122" s="8">
        <v>161.08157008525899</v>
      </c>
      <c r="T122" s="8">
        <v>160.95450867709499</v>
      </c>
      <c r="U122" s="9">
        <v>3.7761142296416799E-3</v>
      </c>
      <c r="V122" s="9">
        <v>4.6143225599529197E-3</v>
      </c>
      <c r="W122" s="9">
        <v>3.8252096428807898E-3</v>
      </c>
      <c r="X122" s="10">
        <v>2.3763996694030101</v>
      </c>
      <c r="Y122" s="10">
        <v>2.3816575271846898</v>
      </c>
      <c r="Z122" s="10">
        <v>2.38164600262352</v>
      </c>
      <c r="AA122" s="10">
        <v>2.3811835360005298</v>
      </c>
      <c r="AB122" s="8">
        <v>161.94842486501</v>
      </c>
      <c r="AC122" s="8">
        <v>162.01926432255601</v>
      </c>
      <c r="AD122" s="8">
        <v>161.919549166325</v>
      </c>
      <c r="AE122" s="9">
        <v>2.2100868924449101E-3</v>
      </c>
      <c r="AF122" s="9">
        <v>2.64741111358979E-3</v>
      </c>
      <c r="AG122" s="9">
        <v>2.03176917611153E-3</v>
      </c>
      <c r="AZ122" s="9"/>
      <c r="BB122">
        <f t="shared" si="22"/>
        <v>0</v>
      </c>
      <c r="BC122">
        <f t="shared" si="23"/>
        <v>1</v>
      </c>
      <c r="BD122">
        <f t="shared" si="24"/>
        <v>0</v>
      </c>
      <c r="BE122">
        <f t="shared" si="20"/>
        <v>1</v>
      </c>
      <c r="BF122">
        <f t="shared" si="25"/>
        <v>0</v>
      </c>
      <c r="BG122" s="9">
        <f t="shared" si="26"/>
        <v>0</v>
      </c>
      <c r="BH122" s="9">
        <f t="shared" si="27"/>
        <v>0</v>
      </c>
      <c r="BI122" s="9">
        <f t="shared" si="28"/>
        <v>0</v>
      </c>
      <c r="BJ122" s="12">
        <f t="shared" si="29"/>
        <v>2.551777011933579E-3</v>
      </c>
      <c r="BL122" s="9"/>
      <c r="BN122">
        <f t="shared" si="30"/>
        <v>1</v>
      </c>
      <c r="BO122">
        <f t="shared" si="31"/>
        <v>0</v>
      </c>
      <c r="BP122">
        <f t="shared" si="32"/>
        <v>1</v>
      </c>
      <c r="BQ122">
        <f t="shared" si="21"/>
        <v>1</v>
      </c>
      <c r="BR122">
        <f t="shared" si="33"/>
        <v>1</v>
      </c>
      <c r="BS122" s="9">
        <f t="shared" si="34"/>
        <v>-2.9709611956932998E-2</v>
      </c>
      <c r="BT122" s="9">
        <f t="shared" si="35"/>
        <v>2.9815165397886999E-2</v>
      </c>
      <c r="BU122" s="9">
        <f t="shared" si="36"/>
        <v>1.0555344095400029E-4</v>
      </c>
      <c r="BV122" s="12">
        <f t="shared" si="37"/>
        <v>5.27956805480965E-3</v>
      </c>
      <c r="BX122" s="12">
        <f t="shared" si="38"/>
        <v>1.0555344095400029E-4</v>
      </c>
      <c r="BY122" s="12">
        <f t="shared" si="39"/>
        <v>7.8313450667432307E-3</v>
      </c>
    </row>
    <row r="123" spans="1:77" x14ac:dyDescent="0.3">
      <c r="A123" s="1">
        <v>46202</v>
      </c>
      <c r="B123" s="8">
        <v>67.930000000000007</v>
      </c>
      <c r="C123" s="8">
        <v>160.74</v>
      </c>
      <c r="D123" s="9">
        <v>4.2782391728311197E-3</v>
      </c>
      <c r="E123" s="9">
        <v>2.4915921697668902E-3</v>
      </c>
      <c r="F123" s="8">
        <v>0</v>
      </c>
      <c r="G123" s="8">
        <v>0.35819999999999902</v>
      </c>
      <c r="H123" s="8">
        <v>0</v>
      </c>
      <c r="I123" s="8">
        <v>1.2508999999999999</v>
      </c>
      <c r="J123" s="8">
        <v>0.35819999999999902</v>
      </c>
      <c r="K123" s="8">
        <v>1.2508999999999999</v>
      </c>
      <c r="L123" s="8">
        <v>68.288200000000003</v>
      </c>
      <c r="M123" s="8">
        <v>161.99090000000001</v>
      </c>
      <c r="N123" s="10">
        <v>2.3662593846606801</v>
      </c>
      <c r="O123" s="10">
        <v>2.3794589997480098</v>
      </c>
      <c r="P123" s="10">
        <v>2.3780977647734498</v>
      </c>
      <c r="Q123" s="10">
        <v>2.3790770690162399</v>
      </c>
      <c r="R123" s="8">
        <v>161.63664985288199</v>
      </c>
      <c r="S123" s="8">
        <v>161.674140993566</v>
      </c>
      <c r="T123" s="8">
        <v>161.62820085594399</v>
      </c>
      <c r="U123" s="9">
        <v>5.5627612327057699E-3</v>
      </c>
      <c r="V123" s="9">
        <v>5.7946813659887396E-3</v>
      </c>
      <c r="W123" s="9">
        <v>5.5104883244602703E-3</v>
      </c>
      <c r="X123" s="10">
        <v>2.3721653228522599</v>
      </c>
      <c r="Y123" s="10">
        <v>2.3816575271846898</v>
      </c>
      <c r="Z123" s="10">
        <v>2.3801224073784</v>
      </c>
      <c r="AA123" s="10">
        <v>2.38111629822696</v>
      </c>
      <c r="AB123" s="8">
        <v>162.639105547893</v>
      </c>
      <c r="AC123" s="8">
        <v>162.63831855635499</v>
      </c>
      <c r="AD123" s="8">
        <v>162.606737543111</v>
      </c>
      <c r="AE123" s="9">
        <v>3.9935089072922897E-3</v>
      </c>
      <c r="AF123" s="9">
        <v>3.9886700129847701E-3</v>
      </c>
      <c r="AG123" s="9">
        <v>3.79447174462631E-3</v>
      </c>
      <c r="AZ123" s="9"/>
      <c r="BB123">
        <f t="shared" si="22"/>
        <v>0</v>
      </c>
      <c r="BC123">
        <f t="shared" si="23"/>
        <v>1</v>
      </c>
      <c r="BD123">
        <f t="shared" si="24"/>
        <v>0</v>
      </c>
      <c r="BE123">
        <f t="shared" si="20"/>
        <v>1</v>
      </c>
      <c r="BF123">
        <f t="shared" si="25"/>
        <v>0</v>
      </c>
      <c r="BG123" s="9">
        <f t="shared" si="26"/>
        <v>0</v>
      </c>
      <c r="BH123" s="9">
        <f t="shared" si="27"/>
        <v>0</v>
      </c>
      <c r="BI123" s="9">
        <f t="shared" si="28"/>
        <v>0</v>
      </c>
      <c r="BJ123" s="12">
        <f t="shared" si="29"/>
        <v>2.551777011933579E-3</v>
      </c>
      <c r="BL123" s="9"/>
      <c r="BN123">
        <f t="shared" si="30"/>
        <v>1</v>
      </c>
      <c r="BO123">
        <f t="shared" si="31"/>
        <v>0</v>
      </c>
      <c r="BP123">
        <f t="shared" si="32"/>
        <v>1</v>
      </c>
      <c r="BQ123">
        <f t="shared" si="21"/>
        <v>1</v>
      </c>
      <c r="BR123">
        <f t="shared" si="33"/>
        <v>1</v>
      </c>
      <c r="BS123" s="9">
        <f t="shared" si="34"/>
        <v>-4.2782391728311197E-3</v>
      </c>
      <c r="BT123" s="9">
        <f t="shared" si="35"/>
        <v>2.4915921697668902E-3</v>
      </c>
      <c r="BU123" s="9">
        <f t="shared" si="36"/>
        <v>-1.7866470030642296E-3</v>
      </c>
      <c r="BV123" s="12">
        <f t="shared" si="37"/>
        <v>3.4929210517454204E-3</v>
      </c>
      <c r="BX123" s="12">
        <f t="shared" si="38"/>
        <v>-1.7866470030642296E-3</v>
      </c>
      <c r="BY123" s="12">
        <f t="shared" si="39"/>
        <v>6.0446980636790007E-3</v>
      </c>
    </row>
    <row r="124" spans="1:77" x14ac:dyDescent="0.3">
      <c r="A124" s="1">
        <v>46203</v>
      </c>
      <c r="B124" s="8">
        <v>67.010000000000005</v>
      </c>
      <c r="C124" s="8">
        <v>158.66</v>
      </c>
      <c r="D124" s="9">
        <v>-1.3635901218131199E-2</v>
      </c>
      <c r="E124" s="9">
        <v>-1.30246049107155E-2</v>
      </c>
      <c r="F124" s="8">
        <v>0</v>
      </c>
      <c r="G124" s="8">
        <v>0.35819999999999902</v>
      </c>
      <c r="H124" s="8">
        <v>0</v>
      </c>
      <c r="I124" s="8">
        <v>1.2508999999999999</v>
      </c>
      <c r="J124" s="8">
        <v>0.35819999999999902</v>
      </c>
      <c r="K124" s="8">
        <v>1.2508999999999999</v>
      </c>
      <c r="L124" s="8">
        <v>67.368200000000002</v>
      </c>
      <c r="M124" s="8">
        <v>159.9109</v>
      </c>
      <c r="N124" s="10">
        <v>2.3677063124906699</v>
      </c>
      <c r="O124" s="10">
        <v>2.3794589997480098</v>
      </c>
      <c r="P124" s="10">
        <v>2.3760524010209498</v>
      </c>
      <c r="Q124" s="10">
        <v>2.3788106992475102</v>
      </c>
      <c r="R124" s="8">
        <v>159.44754757311401</v>
      </c>
      <c r="S124" s="8">
        <v>159.35633121746801</v>
      </c>
      <c r="T124" s="8">
        <v>159.421954394778</v>
      </c>
      <c r="U124" s="9">
        <v>4.9514649252901197E-3</v>
      </c>
      <c r="V124" s="9">
        <v>4.3792237186875502E-3</v>
      </c>
      <c r="W124" s="9">
        <v>4.79094045849202E-3</v>
      </c>
      <c r="X124" s="10">
        <v>2.3736852105295898</v>
      </c>
      <c r="Y124" s="10">
        <v>2.3816575271846898</v>
      </c>
      <c r="Z124" s="10">
        <v>2.3790799445889999</v>
      </c>
      <c r="AA124" s="10">
        <v>2.3810429181177399</v>
      </c>
      <c r="AB124" s="8">
        <v>160.44798062288299</v>
      </c>
      <c r="AC124" s="8">
        <v>160.34456236474901</v>
      </c>
      <c r="AD124" s="8">
        <v>160.411519002213</v>
      </c>
      <c r="AE124" s="9">
        <v>3.3529966456423599E-3</v>
      </c>
      <c r="AF124" s="9">
        <v>2.7082294029006199E-3</v>
      </c>
      <c r="AG124" s="9">
        <v>3.1257219608061301E-3</v>
      </c>
      <c r="AZ124" s="9"/>
      <c r="BB124">
        <f t="shared" si="22"/>
        <v>0</v>
      </c>
      <c r="BC124">
        <f t="shared" si="23"/>
        <v>1</v>
      </c>
      <c r="BD124">
        <f t="shared" si="24"/>
        <v>0</v>
      </c>
      <c r="BE124">
        <f t="shared" si="20"/>
        <v>1</v>
      </c>
      <c r="BF124">
        <f t="shared" si="25"/>
        <v>0</v>
      </c>
      <c r="BG124" s="9">
        <f t="shared" si="26"/>
        <v>0</v>
      </c>
      <c r="BH124" s="9">
        <f t="shared" si="27"/>
        <v>0</v>
      </c>
      <c r="BI124" s="9">
        <f t="shared" si="28"/>
        <v>0</v>
      </c>
      <c r="BJ124" s="12">
        <f t="shared" si="29"/>
        <v>2.551777011933579E-3</v>
      </c>
      <c r="BL124" s="9"/>
      <c r="BN124">
        <f t="shared" si="30"/>
        <v>1</v>
      </c>
      <c r="BO124">
        <f t="shared" si="31"/>
        <v>0</v>
      </c>
      <c r="BP124">
        <f t="shared" si="32"/>
        <v>1</v>
      </c>
      <c r="BQ124">
        <f t="shared" si="21"/>
        <v>1</v>
      </c>
      <c r="BR124">
        <f t="shared" si="33"/>
        <v>1</v>
      </c>
      <c r="BS124" s="9">
        <f t="shared" si="34"/>
        <v>1.3635901218131199E-2</v>
      </c>
      <c r="BT124" s="9">
        <f t="shared" si="35"/>
        <v>-1.30246049107155E-2</v>
      </c>
      <c r="BU124" s="9">
        <f t="shared" si="36"/>
        <v>6.1129630741569956E-4</v>
      </c>
      <c r="BV124" s="12">
        <f t="shared" si="37"/>
        <v>4.1042173591611195E-3</v>
      </c>
      <c r="BX124" s="12">
        <f t="shared" si="38"/>
        <v>6.1129630741569956E-4</v>
      </c>
      <c r="BY124" s="12">
        <f t="shared" si="39"/>
        <v>6.6559943710947003E-3</v>
      </c>
    </row>
    <row r="125" spans="1:77" x14ac:dyDescent="0.3">
      <c r="A125" s="1">
        <v>46204</v>
      </c>
      <c r="B125" s="8">
        <v>67.44</v>
      </c>
      <c r="C125" s="8">
        <v>159.54</v>
      </c>
      <c r="D125" s="9">
        <v>6.3964517085205903E-3</v>
      </c>
      <c r="E125" s="9">
        <v>5.5311266091264601E-3</v>
      </c>
      <c r="F125" s="8">
        <v>0</v>
      </c>
      <c r="G125" s="8">
        <v>0.35819999999999902</v>
      </c>
      <c r="H125" s="8">
        <v>0</v>
      </c>
      <c r="I125" s="8">
        <v>1.2508999999999999</v>
      </c>
      <c r="J125" s="8">
        <v>0.35819999999999902</v>
      </c>
      <c r="K125" s="8">
        <v>1.2508999999999999</v>
      </c>
      <c r="L125" s="8">
        <v>67.798199999999994</v>
      </c>
      <c r="M125" s="8">
        <v>160.79089999999999</v>
      </c>
      <c r="N125" s="10">
        <v>2.3656583629893202</v>
      </c>
      <c r="O125" s="10">
        <v>2.3794589997480098</v>
      </c>
      <c r="P125" s="10">
        <v>2.3735374181859101</v>
      </c>
      <c r="Q125" s="10">
        <v>2.3782431546595202</v>
      </c>
      <c r="R125" s="8">
        <v>160.47071494300499</v>
      </c>
      <c r="S125" s="8">
        <v>160.24097392485299</v>
      </c>
      <c r="T125" s="8">
        <v>160.42699355725199</v>
      </c>
      <c r="U125" s="9">
        <v>5.8167900246843098E-3</v>
      </c>
      <c r="V125" s="9">
        <v>4.3840947695719702E-3</v>
      </c>
      <c r="W125" s="9">
        <v>5.5442958007260899E-3</v>
      </c>
      <c r="X125" s="10">
        <v>2.3716101607417301</v>
      </c>
      <c r="Y125" s="10">
        <v>2.3816575271846898</v>
      </c>
      <c r="Z125" s="10">
        <v>2.37756694211454</v>
      </c>
      <c r="AA125" s="10">
        <v>2.3806664173112302</v>
      </c>
      <c r="AB125" s="8">
        <v>161.47209335957299</v>
      </c>
      <c r="AC125" s="8">
        <v>161.29733789923401</v>
      </c>
      <c r="AD125" s="8">
        <v>161.43042397113001</v>
      </c>
      <c r="AE125" s="9">
        <v>4.22756809284534E-3</v>
      </c>
      <c r="AF125" s="9">
        <v>3.14471785678918E-3</v>
      </c>
      <c r="AG125" s="9">
        <v>3.9694754089065198E-3</v>
      </c>
      <c r="AZ125" s="9"/>
      <c r="BB125">
        <f t="shared" si="22"/>
        <v>0</v>
      </c>
      <c r="BC125">
        <f t="shared" si="23"/>
        <v>1</v>
      </c>
      <c r="BD125">
        <f t="shared" si="24"/>
        <v>0</v>
      </c>
      <c r="BE125">
        <f t="shared" si="20"/>
        <v>1</v>
      </c>
      <c r="BF125">
        <f t="shared" si="25"/>
        <v>0</v>
      </c>
      <c r="BG125" s="9">
        <f t="shared" si="26"/>
        <v>0</v>
      </c>
      <c r="BH125" s="9">
        <f t="shared" si="27"/>
        <v>0</v>
      </c>
      <c r="BI125" s="9">
        <f t="shared" si="28"/>
        <v>0</v>
      </c>
      <c r="BJ125" s="12">
        <f t="shared" si="29"/>
        <v>2.551777011933579E-3</v>
      </c>
      <c r="BL125" s="9"/>
      <c r="BN125">
        <f t="shared" si="30"/>
        <v>1</v>
      </c>
      <c r="BO125">
        <f t="shared" si="31"/>
        <v>0</v>
      </c>
      <c r="BP125">
        <f t="shared" si="32"/>
        <v>1</v>
      </c>
      <c r="BQ125">
        <f t="shared" si="21"/>
        <v>1</v>
      </c>
      <c r="BR125">
        <f t="shared" si="33"/>
        <v>1</v>
      </c>
      <c r="BS125" s="9">
        <f t="shared" si="34"/>
        <v>-6.3964517085205903E-3</v>
      </c>
      <c r="BT125" s="9">
        <f t="shared" si="35"/>
        <v>5.5311266091264601E-3</v>
      </c>
      <c r="BU125" s="9">
        <f t="shared" si="36"/>
        <v>-8.653250993941302E-4</v>
      </c>
      <c r="BV125" s="12">
        <f t="shared" si="37"/>
        <v>3.2388922597669893E-3</v>
      </c>
      <c r="BX125" s="12">
        <f t="shared" si="38"/>
        <v>-8.653250993941302E-4</v>
      </c>
      <c r="BY125" s="12">
        <f t="shared" si="39"/>
        <v>5.7906692717005701E-3</v>
      </c>
    </row>
    <row r="126" spans="1:77" x14ac:dyDescent="0.3">
      <c r="A126" s="1">
        <v>46205</v>
      </c>
      <c r="B126" s="8">
        <v>69.209999999999994</v>
      </c>
      <c r="C126" s="8">
        <v>163.74</v>
      </c>
      <c r="D126" s="9">
        <v>2.5907047160171899E-2</v>
      </c>
      <c r="E126" s="9">
        <v>2.5985129465318699E-2</v>
      </c>
      <c r="F126" s="8">
        <v>0</v>
      </c>
      <c r="G126" s="8">
        <v>0.35819999999999902</v>
      </c>
      <c r="H126" s="8">
        <v>0</v>
      </c>
      <c r="I126" s="8">
        <v>1.2508999999999999</v>
      </c>
      <c r="J126" s="8">
        <v>0.35819999999999902</v>
      </c>
      <c r="K126" s="8">
        <v>1.2508999999999999</v>
      </c>
      <c r="L126" s="8">
        <v>69.568199999999905</v>
      </c>
      <c r="M126" s="8">
        <v>164.99090000000001</v>
      </c>
      <c r="N126" s="10">
        <v>2.3658430862592099</v>
      </c>
      <c r="O126" s="10">
        <v>2.3794589997480098</v>
      </c>
      <c r="P126" s="10">
        <v>2.37139212123604</v>
      </c>
      <c r="Q126" s="10">
        <v>2.3778878339001102</v>
      </c>
      <c r="R126" s="8">
        <v>164.68235737255901</v>
      </c>
      <c r="S126" s="8">
        <v>164.272524712647</v>
      </c>
      <c r="T126" s="8">
        <v>164.59820873398499</v>
      </c>
      <c r="U126" s="9">
        <v>5.73870771953729E-3</v>
      </c>
      <c r="V126" s="9">
        <v>3.2469807729207799E-3</v>
      </c>
      <c r="W126" s="9">
        <v>5.2276016958756003E-3</v>
      </c>
      <c r="X126" s="10">
        <v>2.3716425033276698</v>
      </c>
      <c r="Y126" s="10">
        <v>2.3816575271846898</v>
      </c>
      <c r="Z126" s="10">
        <v>2.3764117882115601</v>
      </c>
      <c r="AA126" s="10">
        <v>2.3804948951713301</v>
      </c>
      <c r="AB126" s="8">
        <v>165.68762718268999</v>
      </c>
      <c r="AC126" s="8">
        <v>165.40305254241301</v>
      </c>
      <c r="AD126" s="8">
        <v>165.61867745279099</v>
      </c>
      <c r="AE126" s="9">
        <v>4.2139307902468804E-3</v>
      </c>
      <c r="AF126" s="9">
        <v>2.4949170711654001E-3</v>
      </c>
      <c r="AG126" s="9">
        <v>3.7977012773776101E-3</v>
      </c>
      <c r="AZ126" s="9"/>
      <c r="BB126">
        <f t="shared" si="22"/>
        <v>0</v>
      </c>
      <c r="BC126">
        <f t="shared" si="23"/>
        <v>1</v>
      </c>
      <c r="BD126">
        <f t="shared" si="24"/>
        <v>0</v>
      </c>
      <c r="BE126">
        <f t="shared" si="20"/>
        <v>1</v>
      </c>
      <c r="BF126">
        <f t="shared" si="25"/>
        <v>0</v>
      </c>
      <c r="BG126" s="9">
        <f t="shared" si="26"/>
        <v>0</v>
      </c>
      <c r="BH126" s="9">
        <f t="shared" si="27"/>
        <v>0</v>
      </c>
      <c r="BI126" s="9">
        <f t="shared" si="28"/>
        <v>0</v>
      </c>
      <c r="BJ126" s="12">
        <f t="shared" si="29"/>
        <v>2.551777011933579E-3</v>
      </c>
      <c r="BL126" s="9"/>
      <c r="BN126">
        <f t="shared" si="30"/>
        <v>1</v>
      </c>
      <c r="BO126">
        <f t="shared" si="31"/>
        <v>0</v>
      </c>
      <c r="BP126">
        <f t="shared" si="32"/>
        <v>1</v>
      </c>
      <c r="BQ126">
        <f t="shared" si="21"/>
        <v>1</v>
      </c>
      <c r="BR126">
        <f t="shared" si="33"/>
        <v>1</v>
      </c>
      <c r="BS126" s="9">
        <f t="shared" si="34"/>
        <v>-2.5907047160171899E-2</v>
      </c>
      <c r="BT126" s="9">
        <f t="shared" si="35"/>
        <v>2.5985129465318699E-2</v>
      </c>
      <c r="BU126" s="9">
        <f t="shared" si="36"/>
        <v>7.808230514680034E-5</v>
      </c>
      <c r="BV126" s="12">
        <f t="shared" si="37"/>
        <v>3.3169745649137897E-3</v>
      </c>
      <c r="BX126" s="12">
        <f t="shared" si="38"/>
        <v>7.808230514680034E-5</v>
      </c>
      <c r="BY126" s="12">
        <f t="shared" si="39"/>
        <v>5.8687515768473704E-3</v>
      </c>
    </row>
    <row r="127" spans="1:77" x14ac:dyDescent="0.3">
      <c r="A127" s="1">
        <v>46209</v>
      </c>
      <c r="B127" s="8">
        <v>68.569999999999993</v>
      </c>
      <c r="C127" s="8">
        <v>161.96</v>
      </c>
      <c r="D127" s="9">
        <v>-9.2902395574988791E-3</v>
      </c>
      <c r="E127" s="9">
        <v>-1.09304127843417E-2</v>
      </c>
      <c r="F127" s="8">
        <v>0</v>
      </c>
      <c r="G127" s="8">
        <v>0.35819999999999902</v>
      </c>
      <c r="H127" s="8">
        <v>0</v>
      </c>
      <c r="I127" s="8">
        <v>1.2508999999999999</v>
      </c>
      <c r="J127" s="8">
        <v>0.35819999999999902</v>
      </c>
      <c r="K127" s="8">
        <v>1.2508999999999999</v>
      </c>
      <c r="L127" s="8">
        <v>68.928199999999904</v>
      </c>
      <c r="M127" s="8">
        <v>163.21090000000001</v>
      </c>
      <c r="N127" s="10">
        <v>2.3619658742890399</v>
      </c>
      <c r="O127" s="10">
        <v>2.3794589997480098</v>
      </c>
      <c r="P127" s="10">
        <v>2.3692351668653302</v>
      </c>
      <c r="Q127" s="10">
        <v>2.3771364871018998</v>
      </c>
      <c r="R127" s="8">
        <v>163.15950361272101</v>
      </c>
      <c r="S127" s="8">
        <v>162.60635775315501</v>
      </c>
      <c r="T127" s="8">
        <v>163.05176877053</v>
      </c>
      <c r="U127" s="9">
        <v>7.37888094637999E-3</v>
      </c>
      <c r="V127" s="9">
        <v>3.9829057582545903E-3</v>
      </c>
      <c r="W127" s="9">
        <v>6.7183590378633402E-3</v>
      </c>
      <c r="X127" s="10">
        <v>2.3678392878386498</v>
      </c>
      <c r="Y127" s="10">
        <v>2.3816575271846898</v>
      </c>
      <c r="Z127" s="10">
        <v>2.37525316787442</v>
      </c>
      <c r="AA127" s="10">
        <v>2.3799346384422</v>
      </c>
      <c r="AB127" s="8">
        <v>164.16336636529201</v>
      </c>
      <c r="AC127" s="8">
        <v>163.80178702020399</v>
      </c>
      <c r="AD127" s="8">
        <v>164.083228233348</v>
      </c>
      <c r="AE127" s="9">
        <v>5.81883886793883E-3</v>
      </c>
      <c r="AF127" s="9">
        <v>3.6138516133234402E-3</v>
      </c>
      <c r="AG127" s="9">
        <v>5.3305588074332496E-3</v>
      </c>
      <c r="AZ127" s="9"/>
      <c r="BB127">
        <f t="shared" si="22"/>
        <v>0</v>
      </c>
      <c r="BC127">
        <f t="shared" si="23"/>
        <v>1</v>
      </c>
      <c r="BD127">
        <f t="shared" si="24"/>
        <v>0</v>
      </c>
      <c r="BE127">
        <f t="shared" si="20"/>
        <v>1</v>
      </c>
      <c r="BF127">
        <f t="shared" si="25"/>
        <v>0</v>
      </c>
      <c r="BG127" s="9">
        <f t="shared" si="26"/>
        <v>0</v>
      </c>
      <c r="BH127" s="9">
        <f t="shared" si="27"/>
        <v>0</v>
      </c>
      <c r="BI127" s="9">
        <f t="shared" si="28"/>
        <v>0</v>
      </c>
      <c r="BJ127" s="12">
        <f t="shared" si="29"/>
        <v>2.551777011933579E-3</v>
      </c>
      <c r="BL127" s="9"/>
      <c r="BN127">
        <f t="shared" si="30"/>
        <v>1</v>
      </c>
      <c r="BO127">
        <f t="shared" si="31"/>
        <v>0</v>
      </c>
      <c r="BP127">
        <f t="shared" si="32"/>
        <v>1</v>
      </c>
      <c r="BQ127">
        <f t="shared" si="21"/>
        <v>1</v>
      </c>
      <c r="BR127">
        <f t="shared" si="33"/>
        <v>1</v>
      </c>
      <c r="BS127" s="9">
        <f t="shared" si="34"/>
        <v>9.2902395574988791E-3</v>
      </c>
      <c r="BT127" s="9">
        <f t="shared" si="35"/>
        <v>-1.09304127843417E-2</v>
      </c>
      <c r="BU127" s="9">
        <f t="shared" si="36"/>
        <v>-1.6401732268428205E-3</v>
      </c>
      <c r="BV127" s="12">
        <f t="shared" si="37"/>
        <v>1.6768013380709691E-3</v>
      </c>
      <c r="BX127" s="12">
        <f t="shared" si="38"/>
        <v>-1.6401732268428205E-3</v>
      </c>
      <c r="BY127" s="12">
        <f t="shared" si="39"/>
        <v>4.2285783500045498E-3</v>
      </c>
    </row>
    <row r="128" spans="1:77" x14ac:dyDescent="0.3">
      <c r="A128" s="1">
        <v>46210</v>
      </c>
      <c r="B128" s="8">
        <v>69.569999999999993</v>
      </c>
      <c r="C128" s="8">
        <v>164.44</v>
      </c>
      <c r="D128" s="9">
        <v>1.4478318639276899E-2</v>
      </c>
      <c r="E128" s="9">
        <v>1.5196370865717301E-2</v>
      </c>
      <c r="F128" s="8">
        <v>0</v>
      </c>
      <c r="G128" s="8">
        <v>0.35819999999999902</v>
      </c>
      <c r="H128" s="8">
        <v>0</v>
      </c>
      <c r="I128" s="8">
        <v>1.2508999999999999</v>
      </c>
      <c r="J128" s="8">
        <v>0.35819999999999902</v>
      </c>
      <c r="K128" s="8">
        <v>1.2508999999999999</v>
      </c>
      <c r="L128" s="8">
        <v>69.928199999999904</v>
      </c>
      <c r="M128" s="8">
        <v>165.6909</v>
      </c>
      <c r="N128" s="10">
        <v>2.3636624982032401</v>
      </c>
      <c r="O128" s="10">
        <v>2.3794589997480098</v>
      </c>
      <c r="P128" s="10">
        <v>2.3680895458404501</v>
      </c>
      <c r="Q128" s="10">
        <v>2.37622714625864</v>
      </c>
      <c r="R128" s="8">
        <v>165.53896261246899</v>
      </c>
      <c r="S128" s="8">
        <v>164.82769055882099</v>
      </c>
      <c r="T128" s="8">
        <v>165.37738540767899</v>
      </c>
      <c r="U128" s="9">
        <v>6.6608287199398201E-3</v>
      </c>
      <c r="V128" s="9">
        <v>2.3548665666001099E-3</v>
      </c>
      <c r="W128" s="9">
        <v>5.6842845353042796E-3</v>
      </c>
      <c r="X128" s="10">
        <v>2.36944322891194</v>
      </c>
      <c r="Y128" s="10">
        <v>2.3816575271846898</v>
      </c>
      <c r="Z128" s="10">
        <v>2.3740558688751601</v>
      </c>
      <c r="AA128" s="10">
        <v>2.3792129015595598</v>
      </c>
      <c r="AB128" s="8">
        <v>166.545023892476</v>
      </c>
      <c r="AC128" s="8">
        <v>166.097178573756</v>
      </c>
      <c r="AD128" s="8">
        <v>166.424545383913</v>
      </c>
      <c r="AE128" s="9">
        <v>5.1416822369339003E-3</v>
      </c>
      <c r="AF128" s="9">
        <v>2.4490257670796598E-3</v>
      </c>
      <c r="AG128" s="9">
        <v>4.4180214286359196E-3</v>
      </c>
      <c r="AZ128" s="9"/>
      <c r="BB128">
        <f t="shared" si="22"/>
        <v>0</v>
      </c>
      <c r="BC128">
        <f t="shared" si="23"/>
        <v>1</v>
      </c>
      <c r="BD128">
        <f t="shared" si="24"/>
        <v>0</v>
      </c>
      <c r="BE128">
        <f t="shared" si="20"/>
        <v>1</v>
      </c>
      <c r="BF128">
        <f t="shared" si="25"/>
        <v>0</v>
      </c>
      <c r="BG128" s="9">
        <f t="shared" si="26"/>
        <v>0</v>
      </c>
      <c r="BH128" s="9">
        <f t="shared" si="27"/>
        <v>0</v>
      </c>
      <c r="BI128" s="9">
        <f t="shared" si="28"/>
        <v>0</v>
      </c>
      <c r="BJ128" s="12">
        <f t="shared" si="29"/>
        <v>2.551777011933579E-3</v>
      </c>
      <c r="BL128" s="9"/>
      <c r="BN128">
        <f t="shared" si="30"/>
        <v>1</v>
      </c>
      <c r="BO128">
        <f t="shared" si="31"/>
        <v>0</v>
      </c>
      <c r="BP128">
        <f t="shared" si="32"/>
        <v>1</v>
      </c>
      <c r="BQ128">
        <f t="shared" si="21"/>
        <v>1</v>
      </c>
      <c r="BR128">
        <f t="shared" si="33"/>
        <v>1</v>
      </c>
      <c r="BS128" s="9">
        <f t="shared" si="34"/>
        <v>-1.4478318639276899E-2</v>
      </c>
      <c r="BT128" s="9">
        <f t="shared" si="35"/>
        <v>1.5196370865717301E-2</v>
      </c>
      <c r="BU128" s="9">
        <f t="shared" si="36"/>
        <v>7.1805222644040143E-4</v>
      </c>
      <c r="BV128" s="12">
        <f t="shared" si="37"/>
        <v>2.3948535645113705E-3</v>
      </c>
      <c r="BX128" s="12">
        <f t="shared" si="38"/>
        <v>7.1805222644040143E-4</v>
      </c>
      <c r="BY128" s="12">
        <f t="shared" si="39"/>
        <v>4.9466305764449513E-3</v>
      </c>
    </row>
    <row r="129" spans="1:77" x14ac:dyDescent="0.3">
      <c r="A129" s="1">
        <v>46211</v>
      </c>
      <c r="B129" s="8">
        <v>68.56</v>
      </c>
      <c r="C129" s="8">
        <v>162.30000000000001</v>
      </c>
      <c r="D129" s="9">
        <v>-1.46241656460254E-2</v>
      </c>
      <c r="E129" s="9">
        <v>-1.3099287509132E-2</v>
      </c>
      <c r="F129" s="8">
        <v>0</v>
      </c>
      <c r="G129" s="8">
        <v>0.35819999999999902</v>
      </c>
      <c r="H129" s="8">
        <v>0</v>
      </c>
      <c r="I129" s="8">
        <v>1.2508999999999999</v>
      </c>
      <c r="J129" s="8">
        <v>0.35819999999999902</v>
      </c>
      <c r="K129" s="8">
        <v>1.2508999999999999</v>
      </c>
      <c r="L129" s="8">
        <v>68.918199999999999</v>
      </c>
      <c r="M129" s="8">
        <v>163.55090000000001</v>
      </c>
      <c r="N129" s="10">
        <v>2.3672695449241501</v>
      </c>
      <c r="O129" s="10">
        <v>2.3794589997480098</v>
      </c>
      <c r="P129" s="10">
        <v>2.36714665807142</v>
      </c>
      <c r="Q129" s="10">
        <v>2.3754445104858002</v>
      </c>
      <c r="R129" s="8">
        <v>163.13570902272301</v>
      </c>
      <c r="S129" s="8">
        <v>162.35621926282101</v>
      </c>
      <c r="T129" s="8">
        <v>162.91413314749201</v>
      </c>
      <c r="U129" s="9">
        <v>5.1359505830461697E-3</v>
      </c>
      <c r="V129" s="9">
        <v>3.4633104217797798E-4</v>
      </c>
      <c r="W129" s="9">
        <v>3.7767969771694099E-3</v>
      </c>
      <c r="X129" s="10">
        <v>2.3731162450557299</v>
      </c>
      <c r="Y129" s="10">
        <v>2.3816575271846898</v>
      </c>
      <c r="Z129" s="10">
        <v>2.3730770923445199</v>
      </c>
      <c r="AA129" s="10">
        <v>2.3786210467119902</v>
      </c>
      <c r="AB129" s="8">
        <v>164.13954979002</v>
      </c>
      <c r="AC129" s="8">
        <v>163.61565718231199</v>
      </c>
      <c r="AD129" s="8">
        <v>163.97107059226201</v>
      </c>
      <c r="AE129" s="9">
        <v>3.5927224828878499E-3</v>
      </c>
      <c r="AF129" s="9">
        <v>3.9586676410719801E-4</v>
      </c>
      <c r="AG129" s="9">
        <v>2.5657565628644801E-3</v>
      </c>
      <c r="AZ129" s="9"/>
      <c r="BB129">
        <f t="shared" si="22"/>
        <v>0</v>
      </c>
      <c r="BC129">
        <f t="shared" si="23"/>
        <v>1</v>
      </c>
      <c r="BD129">
        <f t="shared" si="24"/>
        <v>0</v>
      </c>
      <c r="BE129">
        <f t="shared" si="20"/>
        <v>1</v>
      </c>
      <c r="BF129">
        <f t="shared" si="25"/>
        <v>0</v>
      </c>
      <c r="BG129" s="9">
        <f t="shared" si="26"/>
        <v>0</v>
      </c>
      <c r="BH129" s="9">
        <f t="shared" si="27"/>
        <v>0</v>
      </c>
      <c r="BI129" s="9">
        <f t="shared" si="28"/>
        <v>0</v>
      </c>
      <c r="BJ129" s="12">
        <f t="shared" si="29"/>
        <v>2.551777011933579E-3</v>
      </c>
      <c r="BL129" s="9"/>
      <c r="BN129">
        <f t="shared" si="30"/>
        <v>1</v>
      </c>
      <c r="BO129">
        <f t="shared" si="31"/>
        <v>0</v>
      </c>
      <c r="BP129">
        <f t="shared" si="32"/>
        <v>1</v>
      </c>
      <c r="BQ129">
        <f t="shared" si="21"/>
        <v>1</v>
      </c>
      <c r="BR129">
        <f t="shared" si="33"/>
        <v>1</v>
      </c>
      <c r="BS129" s="9">
        <f t="shared" si="34"/>
        <v>1.46241656460254E-2</v>
      </c>
      <c r="BT129" s="9">
        <f t="shared" si="35"/>
        <v>-1.3099287509132E-2</v>
      </c>
      <c r="BU129" s="9">
        <f t="shared" si="36"/>
        <v>1.5248781368933997E-3</v>
      </c>
      <c r="BV129" s="12">
        <f t="shared" si="37"/>
        <v>3.9197317014047703E-3</v>
      </c>
      <c r="BX129" s="12">
        <f t="shared" si="38"/>
        <v>1.5248781368933997E-3</v>
      </c>
      <c r="BY129" s="12">
        <f t="shared" si="39"/>
        <v>6.471508713338351E-3</v>
      </c>
    </row>
    <row r="130" spans="1:77" x14ac:dyDescent="0.3">
      <c r="A130" s="1">
        <v>46212</v>
      </c>
      <c r="B130" s="8">
        <v>68.62</v>
      </c>
      <c r="C130" s="8">
        <v>162.16999999999999</v>
      </c>
      <c r="D130" s="9">
        <v>8.7476314077940005E-4</v>
      </c>
      <c r="E130" s="9">
        <v>-8.0130678926259799E-4</v>
      </c>
      <c r="F130" s="8">
        <v>0</v>
      </c>
      <c r="G130" s="8">
        <v>0.35819999999999902</v>
      </c>
      <c r="H130" s="8">
        <v>0</v>
      </c>
      <c r="I130" s="8">
        <v>1.2508999999999999</v>
      </c>
      <c r="J130" s="8">
        <v>0.35819999999999902</v>
      </c>
      <c r="K130" s="8">
        <v>1.2508999999999999</v>
      </c>
      <c r="L130" s="8">
        <v>68.978200000000001</v>
      </c>
      <c r="M130" s="8">
        <v>163.42089999999999</v>
      </c>
      <c r="N130" s="10">
        <v>2.3633051588458098</v>
      </c>
      <c r="O130" s="10">
        <v>2.3794589997480098</v>
      </c>
      <c r="P130" s="10">
        <v>2.3662401690055099</v>
      </c>
      <c r="Q130" s="10">
        <v>2.37458158422973</v>
      </c>
      <c r="R130" s="8">
        <v>163.27847656270799</v>
      </c>
      <c r="S130" s="8">
        <v>162.433603676861</v>
      </c>
      <c r="T130" s="8">
        <v>163.00300230953599</v>
      </c>
      <c r="U130" s="9">
        <v>6.8120205130883897E-3</v>
      </c>
      <c r="V130" s="9">
        <v>1.6241577839677401E-3</v>
      </c>
      <c r="W130" s="9">
        <v>5.1234519827593203E-3</v>
      </c>
      <c r="X130" s="10">
        <v>2.3691673601224701</v>
      </c>
      <c r="Y130" s="10">
        <v>2.3816575271846898</v>
      </c>
      <c r="Z130" s="10">
        <v>2.37213970316561</v>
      </c>
      <c r="AA130" s="10">
        <v>2.37795068034964</v>
      </c>
      <c r="AB130" s="8">
        <v>164.28244924165099</v>
      </c>
      <c r="AC130" s="8">
        <v>163.69058629115801</v>
      </c>
      <c r="AD130" s="8">
        <v>164.07299828430899</v>
      </c>
      <c r="AE130" s="9">
        <v>5.2581166999886401E-3</v>
      </c>
      <c r="AF130" s="9">
        <v>1.64889564301056E-3</v>
      </c>
      <c r="AG130" s="9">
        <v>3.9823590579098301E-3</v>
      </c>
      <c r="AZ130" s="9"/>
      <c r="BB130">
        <f t="shared" si="22"/>
        <v>0</v>
      </c>
      <c r="BC130">
        <f t="shared" si="23"/>
        <v>1</v>
      </c>
      <c r="BD130">
        <f t="shared" si="24"/>
        <v>0</v>
      </c>
      <c r="BE130">
        <f t="shared" si="20"/>
        <v>1</v>
      </c>
      <c r="BF130">
        <f t="shared" si="25"/>
        <v>0</v>
      </c>
      <c r="BG130" s="9">
        <f t="shared" si="26"/>
        <v>0</v>
      </c>
      <c r="BH130" s="9">
        <f t="shared" si="27"/>
        <v>0</v>
      </c>
      <c r="BI130" s="9">
        <f t="shared" si="28"/>
        <v>0</v>
      </c>
      <c r="BJ130" s="12">
        <f t="shared" si="29"/>
        <v>2.551777011933579E-3</v>
      </c>
      <c r="BL130" s="9"/>
      <c r="BN130">
        <f t="shared" si="30"/>
        <v>1</v>
      </c>
      <c r="BO130">
        <f t="shared" si="31"/>
        <v>0</v>
      </c>
      <c r="BP130">
        <f t="shared" si="32"/>
        <v>1</v>
      </c>
      <c r="BQ130">
        <f t="shared" si="21"/>
        <v>1</v>
      </c>
      <c r="BR130">
        <f t="shared" si="33"/>
        <v>1</v>
      </c>
      <c r="BS130" s="9">
        <f t="shared" si="34"/>
        <v>-8.7476314077940005E-4</v>
      </c>
      <c r="BT130" s="9">
        <f t="shared" si="35"/>
        <v>-8.0130678926259799E-4</v>
      </c>
      <c r="BU130" s="9">
        <f t="shared" si="36"/>
        <v>-1.6760699300419979E-3</v>
      </c>
      <c r="BV130" s="12">
        <f t="shared" si="37"/>
        <v>2.2436617713627724E-3</v>
      </c>
      <c r="BX130" s="12">
        <f t="shared" si="38"/>
        <v>-1.6760699300419979E-3</v>
      </c>
      <c r="BY130" s="12">
        <f t="shared" si="39"/>
        <v>4.7954387832963531E-3</v>
      </c>
    </row>
    <row r="131" spans="1:77" x14ac:dyDescent="0.3">
      <c r="A131" s="1">
        <v>46213</v>
      </c>
      <c r="B131" s="8">
        <v>67.89</v>
      </c>
      <c r="C131" s="8">
        <v>160.84</v>
      </c>
      <c r="D131" s="9">
        <v>-1.0695289116748E-2</v>
      </c>
      <c r="E131" s="9">
        <v>-8.2350857022096199E-3</v>
      </c>
      <c r="F131" s="8">
        <v>0</v>
      </c>
      <c r="G131" s="8">
        <v>0.35819999999999902</v>
      </c>
      <c r="H131" s="8">
        <v>0</v>
      </c>
      <c r="I131" s="8">
        <v>1.2508999999999999</v>
      </c>
      <c r="J131" s="8">
        <v>0.35819999999999902</v>
      </c>
      <c r="K131" s="8">
        <v>1.2508999999999999</v>
      </c>
      <c r="L131" s="8">
        <v>68.248199999999997</v>
      </c>
      <c r="M131" s="8">
        <v>162.0909</v>
      </c>
      <c r="N131" s="10">
        <v>2.3691265282073899</v>
      </c>
      <c r="O131" s="10">
        <v>2.3794589997480098</v>
      </c>
      <c r="P131" s="10">
        <v>2.3661287584695598</v>
      </c>
      <c r="Q131" s="10">
        <v>2.3737915383511301</v>
      </c>
      <c r="R131" s="8">
        <v>161.54147149289199</v>
      </c>
      <c r="S131" s="8">
        <v>160.64404507378401</v>
      </c>
      <c r="T131" s="8">
        <v>161.210343753356</v>
      </c>
      <c r="U131" s="9">
        <v>4.3518170985499703E-3</v>
      </c>
      <c r="V131" s="9">
        <v>-1.2190648555405301E-3</v>
      </c>
      <c r="W131" s="9">
        <v>2.29991318927206E-3</v>
      </c>
      <c r="X131" s="10">
        <v>2.37502087967155</v>
      </c>
      <c r="Y131" s="10">
        <v>2.3816575271846898</v>
      </c>
      <c r="Z131" s="10">
        <v>2.3720089868454601</v>
      </c>
      <c r="AA131" s="10">
        <v>2.3773541491676999</v>
      </c>
      <c r="AB131" s="8">
        <v>162.54383924680599</v>
      </c>
      <c r="AC131" s="8">
        <v>161.89426488958699</v>
      </c>
      <c r="AD131" s="8">
        <v>162.290853622638</v>
      </c>
      <c r="AE131" s="9">
        <v>2.79045638654559E-3</v>
      </c>
      <c r="AF131" s="9">
        <v>-1.21385270602743E-3</v>
      </c>
      <c r="AG131" s="9">
        <v>1.23282919418759E-3</v>
      </c>
      <c r="AZ131" s="9"/>
      <c r="BB131">
        <f t="shared" si="22"/>
        <v>0</v>
      </c>
      <c r="BC131">
        <f t="shared" si="23"/>
        <v>1</v>
      </c>
      <c r="BD131">
        <f t="shared" si="24"/>
        <v>0</v>
      </c>
      <c r="BE131">
        <f t="shared" si="20"/>
        <v>1</v>
      </c>
      <c r="BF131">
        <f t="shared" si="25"/>
        <v>0</v>
      </c>
      <c r="BG131" s="9">
        <f t="shared" si="26"/>
        <v>0</v>
      </c>
      <c r="BH131" s="9">
        <f t="shared" si="27"/>
        <v>0</v>
      </c>
      <c r="BI131" s="9">
        <f t="shared" si="28"/>
        <v>0</v>
      </c>
      <c r="BJ131" s="12">
        <f t="shared" si="29"/>
        <v>2.551777011933579E-3</v>
      </c>
      <c r="BL131" s="9"/>
      <c r="BN131">
        <f t="shared" si="30"/>
        <v>0</v>
      </c>
      <c r="BO131">
        <f t="shared" si="31"/>
        <v>0</v>
      </c>
      <c r="BP131">
        <f t="shared" si="32"/>
        <v>1</v>
      </c>
      <c r="BQ131">
        <f t="shared" si="21"/>
        <v>1</v>
      </c>
      <c r="BR131">
        <f t="shared" si="33"/>
        <v>1</v>
      </c>
      <c r="BS131" s="9">
        <f t="shared" si="34"/>
        <v>1.0695289116748E-2</v>
      </c>
      <c r="BT131" s="9">
        <f t="shared" si="35"/>
        <v>-8.2350857022096199E-3</v>
      </c>
      <c r="BU131" s="9">
        <f t="shared" si="36"/>
        <v>2.4602034145383804E-3</v>
      </c>
      <c r="BV131" s="12">
        <f t="shared" si="37"/>
        <v>4.7038651859011528E-3</v>
      </c>
      <c r="BX131" s="12">
        <f t="shared" si="38"/>
        <v>2.4602034145383804E-3</v>
      </c>
      <c r="BY131" s="12">
        <f t="shared" si="39"/>
        <v>7.2556421978347335E-3</v>
      </c>
    </row>
    <row r="132" spans="1:77" x14ac:dyDescent="0.3">
      <c r="A132" s="1">
        <v>46216</v>
      </c>
      <c r="B132" s="8">
        <v>68</v>
      </c>
      <c r="C132" s="8">
        <v>161.41</v>
      </c>
      <c r="D132" s="9">
        <v>1.6189568625510999E-3</v>
      </c>
      <c r="E132" s="9">
        <v>3.53762975611486E-3</v>
      </c>
      <c r="F132" s="8">
        <v>0</v>
      </c>
      <c r="G132" s="8">
        <v>0.35819999999999902</v>
      </c>
      <c r="H132" s="8">
        <v>0</v>
      </c>
      <c r="I132" s="8">
        <v>1.2508999999999999</v>
      </c>
      <c r="J132" s="8">
        <v>0.35819999999999902</v>
      </c>
      <c r="K132" s="8">
        <v>1.2508999999999999</v>
      </c>
      <c r="L132" s="8">
        <v>68.358199999999997</v>
      </c>
      <c r="M132" s="8">
        <v>162.6609</v>
      </c>
      <c r="N132" s="10">
        <v>2.3736764705882298</v>
      </c>
      <c r="O132" s="10">
        <v>2.3794589997480098</v>
      </c>
      <c r="P132" s="10">
        <v>2.36644732214577</v>
      </c>
      <c r="Q132" s="10">
        <v>2.3732291151695</v>
      </c>
      <c r="R132" s="8">
        <v>161.80321198286401</v>
      </c>
      <c r="S132" s="8">
        <v>160.89675557593</v>
      </c>
      <c r="T132" s="8">
        <v>161.41782460787701</v>
      </c>
      <c r="U132" s="9">
        <v>2.4331442049859301E-3</v>
      </c>
      <c r="V132" s="9">
        <v>-3.1848222168095199E-3</v>
      </c>
      <c r="W132" s="9">
        <v>4.8475424248456101E-5</v>
      </c>
      <c r="X132" s="10">
        <v>2.3795374951359101</v>
      </c>
      <c r="Y132" s="10">
        <v>2.3816575271846898</v>
      </c>
      <c r="Z132" s="10">
        <v>2.3723227694187501</v>
      </c>
      <c r="AA132" s="10">
        <v>2.3769843860211299</v>
      </c>
      <c r="AB132" s="8">
        <v>162.805821574796</v>
      </c>
      <c r="AC132" s="8">
        <v>162.146264724579</v>
      </c>
      <c r="AD132" s="8">
        <v>162.51165039963601</v>
      </c>
      <c r="AE132" s="9">
        <v>8.9054625107830201E-4</v>
      </c>
      <c r="AF132" s="9">
        <v>-3.1688691750952499E-3</v>
      </c>
      <c r="AG132" s="9">
        <v>-9.1797177013382201E-4</v>
      </c>
      <c r="AZ132" s="9"/>
      <c r="BB132">
        <f t="shared" si="22"/>
        <v>0</v>
      </c>
      <c r="BC132">
        <f t="shared" si="23"/>
        <v>0</v>
      </c>
      <c r="BD132">
        <f t="shared" si="24"/>
        <v>0</v>
      </c>
      <c r="BE132">
        <f t="shared" si="20"/>
        <v>1</v>
      </c>
      <c r="BF132">
        <f t="shared" si="25"/>
        <v>0</v>
      </c>
      <c r="BG132" s="9">
        <f t="shared" si="26"/>
        <v>0</v>
      </c>
      <c r="BH132" s="9">
        <f t="shared" si="27"/>
        <v>0</v>
      </c>
      <c r="BI132" s="9">
        <f t="shared" si="28"/>
        <v>0</v>
      </c>
      <c r="BJ132" s="12">
        <f t="shared" si="29"/>
        <v>2.551777011933579E-3</v>
      </c>
      <c r="BL132" s="9"/>
      <c r="BN132">
        <f t="shared" si="30"/>
        <v>0</v>
      </c>
      <c r="BO132">
        <f t="shared" si="31"/>
        <v>1</v>
      </c>
      <c r="BP132">
        <f t="shared" si="32"/>
        <v>1</v>
      </c>
      <c r="BQ132">
        <f t="shared" si="21"/>
        <v>1</v>
      </c>
      <c r="BR132">
        <f t="shared" si="33"/>
        <v>1</v>
      </c>
      <c r="BS132" s="9">
        <f t="shared" si="34"/>
        <v>-1.6189568625510999E-3</v>
      </c>
      <c r="BT132" s="9">
        <f t="shared" si="35"/>
        <v>3.53762975611486E-3</v>
      </c>
      <c r="BU132" s="9">
        <f t="shared" si="36"/>
        <v>1.91867289356376E-3</v>
      </c>
      <c r="BV132" s="12">
        <f t="shared" si="37"/>
        <v>6.6225380794649128E-3</v>
      </c>
      <c r="BX132" s="12">
        <f t="shared" si="38"/>
        <v>1.91867289356376E-3</v>
      </c>
      <c r="BY132" s="12">
        <f t="shared" si="39"/>
        <v>9.1743150913984935E-3</v>
      </c>
    </row>
    <row r="133" spans="1:77" x14ac:dyDescent="0.3">
      <c r="A133" s="1">
        <v>46217</v>
      </c>
      <c r="B133" s="8">
        <v>66.739999999999995</v>
      </c>
      <c r="C133" s="8">
        <v>158.29</v>
      </c>
      <c r="D133" s="9">
        <v>-1.8703231852878699E-2</v>
      </c>
      <c r="E133" s="9">
        <v>-1.95189180875413E-2</v>
      </c>
      <c r="F133" s="8">
        <v>0</v>
      </c>
      <c r="G133" s="8">
        <v>0.35819999999999902</v>
      </c>
      <c r="H133" s="8">
        <v>0</v>
      </c>
      <c r="I133" s="8">
        <v>1.2508999999999999</v>
      </c>
      <c r="J133" s="8">
        <v>0.35819999999999902</v>
      </c>
      <c r="K133" s="8">
        <v>1.2508999999999999</v>
      </c>
      <c r="L133" s="8">
        <v>67.098199999999906</v>
      </c>
      <c r="M133" s="8">
        <v>159.54089999999999</v>
      </c>
      <c r="N133" s="10">
        <v>2.3717410848067102</v>
      </c>
      <c r="O133" s="10">
        <v>2.3794589997480098</v>
      </c>
      <c r="P133" s="10">
        <v>2.3669954921603802</v>
      </c>
      <c r="Q133" s="10">
        <v>2.3725466284669099</v>
      </c>
      <c r="R133" s="8">
        <v>158.805093643182</v>
      </c>
      <c r="S133" s="8">
        <v>157.93669428000899</v>
      </c>
      <c r="T133" s="8">
        <v>158.38931114641301</v>
      </c>
      <c r="U133" s="9">
        <v>3.2488304396486299E-3</v>
      </c>
      <c r="V133" s="9">
        <v>-2.2345100738621099E-3</v>
      </c>
      <c r="W133" s="9">
        <v>6.2720326951015096E-4</v>
      </c>
      <c r="X133" s="10">
        <v>2.37772250224298</v>
      </c>
      <c r="Y133" s="10">
        <v>2.3816575271846898</v>
      </c>
      <c r="Z133" s="10">
        <v>2.3728784873578199</v>
      </c>
      <c r="AA133" s="10">
        <v>2.3765004473681102</v>
      </c>
      <c r="AB133" s="8">
        <v>159.80493309054401</v>
      </c>
      <c r="AC133" s="8">
        <v>159.17858764701299</v>
      </c>
      <c r="AD133" s="8">
        <v>159.491373730123</v>
      </c>
      <c r="AE133" s="9">
        <v>1.6535875740235899E-3</v>
      </c>
      <c r="AF133" s="9">
        <v>-2.2735510258789201E-3</v>
      </c>
      <c r="AG133" s="9">
        <v>-3.1047811994160297E-4</v>
      </c>
      <c r="AZ133" s="9"/>
      <c r="BB133">
        <f t="shared" si="22"/>
        <v>0</v>
      </c>
      <c r="BC133">
        <f t="shared" si="23"/>
        <v>0</v>
      </c>
      <c r="BD133">
        <f t="shared" si="24"/>
        <v>0</v>
      </c>
      <c r="BE133">
        <f t="shared" si="20"/>
        <v>1</v>
      </c>
      <c r="BF133">
        <f t="shared" si="25"/>
        <v>0</v>
      </c>
      <c r="BG133" s="9">
        <f t="shared" si="26"/>
        <v>0</v>
      </c>
      <c r="BH133" s="9">
        <f t="shared" si="27"/>
        <v>0</v>
      </c>
      <c r="BI133" s="9">
        <f t="shared" si="28"/>
        <v>0</v>
      </c>
      <c r="BJ133" s="12">
        <f t="shared" si="29"/>
        <v>2.551777011933579E-3</v>
      </c>
      <c r="BL133" s="9"/>
      <c r="BN133">
        <f t="shared" si="30"/>
        <v>0</v>
      </c>
      <c r="BO133">
        <f t="shared" si="31"/>
        <v>1</v>
      </c>
      <c r="BP133">
        <f t="shared" si="32"/>
        <v>0</v>
      </c>
      <c r="BQ133">
        <f t="shared" si="21"/>
        <v>1</v>
      </c>
      <c r="BR133">
        <f t="shared" si="33"/>
        <v>0</v>
      </c>
      <c r="BS133" s="9">
        <f t="shared" si="34"/>
        <v>0</v>
      </c>
      <c r="BT133" s="9">
        <f t="shared" si="35"/>
        <v>0</v>
      </c>
      <c r="BU133" s="9">
        <f t="shared" si="36"/>
        <v>0</v>
      </c>
      <c r="BV133" s="12">
        <f t="shared" si="37"/>
        <v>6.6225380794649128E-3</v>
      </c>
      <c r="BX133" s="12">
        <f t="shared" si="38"/>
        <v>0</v>
      </c>
      <c r="BY133" s="12">
        <f t="shared" si="39"/>
        <v>9.1743150913984935E-3</v>
      </c>
    </row>
    <row r="134" spans="1:77" x14ac:dyDescent="0.3">
      <c r="A134" s="1">
        <v>46218</v>
      </c>
      <c r="B134" s="8">
        <v>66.81</v>
      </c>
      <c r="C134" s="8">
        <v>158.29</v>
      </c>
      <c r="D134" s="9">
        <v>1.0482966141580701E-3</v>
      </c>
      <c r="E134" s="9">
        <v>0</v>
      </c>
      <c r="F134" s="8">
        <v>0</v>
      </c>
      <c r="G134" s="8">
        <v>0.35819999999999902</v>
      </c>
      <c r="H134" s="8">
        <v>0</v>
      </c>
      <c r="I134" s="8">
        <v>1.2508999999999999</v>
      </c>
      <c r="J134" s="8">
        <v>0.35819999999999902</v>
      </c>
      <c r="K134" s="8">
        <v>1.2508999999999999</v>
      </c>
      <c r="L134" s="8">
        <v>67.168199999999999</v>
      </c>
      <c r="M134" s="8">
        <v>159.54089999999999</v>
      </c>
      <c r="N134" s="10">
        <v>2.3692560993863099</v>
      </c>
      <c r="O134" s="10">
        <v>2.3794589997480098</v>
      </c>
      <c r="P134" s="10">
        <v>2.36715047084994</v>
      </c>
      <c r="Q134" s="10">
        <v>2.37160143593545</v>
      </c>
      <c r="R134" s="8">
        <v>158.971655773164</v>
      </c>
      <c r="S134" s="8">
        <v>158.13896883123499</v>
      </c>
      <c r="T134" s="8">
        <v>158.509840247874</v>
      </c>
      <c r="U134" s="9">
        <v>4.2971270538066002E-3</v>
      </c>
      <c r="V134" s="9">
        <v>-9.5459768296008698E-4</v>
      </c>
      <c r="W134" s="9">
        <v>1.38788127538827E-3</v>
      </c>
      <c r="X134" s="10">
        <v>2.3752445353604799</v>
      </c>
      <c r="Y134" s="10">
        <v>2.3816575271846898</v>
      </c>
      <c r="Z134" s="10">
        <v>2.3730344198409101</v>
      </c>
      <c r="AA134" s="10">
        <v>2.3760571822149501</v>
      </c>
      <c r="AB134" s="8">
        <v>159.97164911744699</v>
      </c>
      <c r="AC134" s="8">
        <v>159.38197681454699</v>
      </c>
      <c r="AD134" s="8">
        <v>159.62525734891</v>
      </c>
      <c r="AE134" s="9">
        <v>2.6962908317586199E-3</v>
      </c>
      <c r="AF134" s="9">
        <v>-9.9662463974915794E-4</v>
      </c>
      <c r="AG134" s="9">
        <v>5.2861087513738595E-4</v>
      </c>
      <c r="AZ134" s="9"/>
      <c r="BB134">
        <f t="shared" si="22"/>
        <v>0</v>
      </c>
      <c r="BC134">
        <f t="shared" si="23"/>
        <v>1</v>
      </c>
      <c r="BD134">
        <f t="shared" si="24"/>
        <v>0</v>
      </c>
      <c r="BE134">
        <f t="shared" si="20"/>
        <v>1</v>
      </c>
      <c r="BF134">
        <f t="shared" si="25"/>
        <v>0</v>
      </c>
      <c r="BG134" s="9">
        <f t="shared" si="26"/>
        <v>0</v>
      </c>
      <c r="BH134" s="9">
        <f t="shared" si="27"/>
        <v>0</v>
      </c>
      <c r="BI134" s="9">
        <f t="shared" si="28"/>
        <v>0</v>
      </c>
      <c r="BJ134" s="12">
        <f t="shared" si="29"/>
        <v>2.551777011933579E-3</v>
      </c>
      <c r="BL134" s="9"/>
      <c r="BN134">
        <f t="shared" si="30"/>
        <v>0</v>
      </c>
      <c r="BO134">
        <f t="shared" si="31"/>
        <v>0</v>
      </c>
      <c r="BP134">
        <f t="shared" si="32"/>
        <v>0</v>
      </c>
      <c r="BQ134">
        <f t="shared" si="21"/>
        <v>1</v>
      </c>
      <c r="BR134">
        <f t="shared" si="33"/>
        <v>0</v>
      </c>
      <c r="BS134" s="9">
        <f t="shared" si="34"/>
        <v>0</v>
      </c>
      <c r="BT134" s="9">
        <f t="shared" si="35"/>
        <v>0</v>
      </c>
      <c r="BU134" s="9">
        <f t="shared" si="36"/>
        <v>0</v>
      </c>
      <c r="BV134" s="12">
        <f t="shared" si="37"/>
        <v>6.6225380794649128E-3</v>
      </c>
      <c r="BX134" s="12">
        <f t="shared" si="38"/>
        <v>0</v>
      </c>
      <c r="BY134" s="12">
        <f t="shared" si="39"/>
        <v>9.1743150913984935E-3</v>
      </c>
    </row>
    <row r="135" spans="1:77" x14ac:dyDescent="0.3">
      <c r="A135" s="1">
        <v>46219</v>
      </c>
      <c r="B135" s="8">
        <v>68.12</v>
      </c>
      <c r="C135" s="8">
        <v>161.80000000000001</v>
      </c>
      <c r="D135" s="9">
        <v>1.9418085857101499E-2</v>
      </c>
      <c r="E135" s="9">
        <v>2.1932210926744501E-2</v>
      </c>
      <c r="F135" s="8">
        <v>0</v>
      </c>
      <c r="G135" s="8">
        <v>0.35819999999999902</v>
      </c>
      <c r="H135" s="8">
        <v>0</v>
      </c>
      <c r="I135" s="8">
        <v>1.2508999999999999</v>
      </c>
      <c r="J135" s="8">
        <v>0.35819999999999902</v>
      </c>
      <c r="K135" s="8">
        <v>1.2508999999999999</v>
      </c>
      <c r="L135" s="8">
        <v>68.478200000000001</v>
      </c>
      <c r="M135" s="8">
        <v>163.05090000000001</v>
      </c>
      <c r="N135" s="10">
        <v>2.3752201996476798</v>
      </c>
      <c r="O135" s="10">
        <v>2.3794589997480098</v>
      </c>
      <c r="P135" s="10">
        <v>2.3681066545157798</v>
      </c>
      <c r="Q135" s="10">
        <v>2.3708220363508499</v>
      </c>
      <c r="R135" s="8">
        <v>162.08874706283399</v>
      </c>
      <c r="S135" s="8">
        <v>161.25029007429799</v>
      </c>
      <c r="T135" s="8">
        <v>161.55348981592201</v>
      </c>
      <c r="U135" s="9">
        <v>1.7830019841637301E-3</v>
      </c>
      <c r="V135" s="9">
        <v>-3.4032500397503198E-3</v>
      </c>
      <c r="W135" s="9">
        <v>-1.5247105078311999E-3</v>
      </c>
      <c r="X135" s="10">
        <v>2.38106287840509</v>
      </c>
      <c r="Y135" s="10">
        <v>2.3816575271846898</v>
      </c>
      <c r="Z135" s="10">
        <v>2.3739796916072402</v>
      </c>
      <c r="AA135" s="10">
        <v>2.3757733168608901</v>
      </c>
      <c r="AB135" s="8">
        <v>163.09162047805799</v>
      </c>
      <c r="AC135" s="8">
        <v>162.50112560874999</v>
      </c>
      <c r="AD135" s="8">
        <v>162.70811893515199</v>
      </c>
      <c r="AE135" s="9">
        <v>2.4970971715593802E-4</v>
      </c>
      <c r="AF135" s="9">
        <v>-3.3774934304244301E-3</v>
      </c>
      <c r="AG135" s="9">
        <v>-2.10450775841307E-3</v>
      </c>
      <c r="AZ135" s="9"/>
      <c r="BB135">
        <f t="shared" si="22"/>
        <v>1</v>
      </c>
      <c r="BC135">
        <f t="shared" si="23"/>
        <v>0</v>
      </c>
      <c r="BD135">
        <f t="shared" si="24"/>
        <v>0</v>
      </c>
      <c r="BE135">
        <f t="shared" si="20"/>
        <v>1</v>
      </c>
      <c r="BF135">
        <f t="shared" si="25"/>
        <v>0</v>
      </c>
      <c r="BG135" s="9">
        <f t="shared" si="26"/>
        <v>0</v>
      </c>
      <c r="BH135" s="9">
        <f t="shared" si="27"/>
        <v>0</v>
      </c>
      <c r="BI135" s="9">
        <f t="shared" si="28"/>
        <v>0</v>
      </c>
      <c r="BJ135" s="12">
        <f t="shared" si="29"/>
        <v>2.551777011933579E-3</v>
      </c>
      <c r="BL135" s="9"/>
      <c r="BN135">
        <f t="shared" si="30"/>
        <v>0</v>
      </c>
      <c r="BO135">
        <f t="shared" si="31"/>
        <v>1</v>
      </c>
      <c r="BP135">
        <f t="shared" si="32"/>
        <v>0</v>
      </c>
      <c r="BQ135">
        <f t="shared" si="21"/>
        <v>1</v>
      </c>
      <c r="BR135">
        <f t="shared" si="33"/>
        <v>0</v>
      </c>
      <c r="BS135" s="9">
        <f t="shared" si="34"/>
        <v>0</v>
      </c>
      <c r="BT135" s="9">
        <f t="shared" si="35"/>
        <v>0</v>
      </c>
      <c r="BU135" s="9">
        <f t="shared" si="36"/>
        <v>0</v>
      </c>
      <c r="BV135" s="12">
        <f t="shared" si="37"/>
        <v>6.6225380794649128E-3</v>
      </c>
      <c r="BX135" s="12">
        <f t="shared" si="38"/>
        <v>0</v>
      </c>
      <c r="BY135" s="12">
        <f t="shared" si="39"/>
        <v>9.1743150913984935E-3</v>
      </c>
    </row>
    <row r="136" spans="1:77" x14ac:dyDescent="0.3">
      <c r="A136" s="1">
        <v>46220</v>
      </c>
      <c r="B136" s="8">
        <v>67.8</v>
      </c>
      <c r="C136" s="8">
        <v>161.09</v>
      </c>
      <c r="D136" s="9">
        <v>-4.70866084813777E-3</v>
      </c>
      <c r="E136" s="9">
        <v>-4.3977896145171603E-3</v>
      </c>
      <c r="F136" s="8">
        <v>0</v>
      </c>
      <c r="G136" s="8">
        <v>0.35819999999999902</v>
      </c>
      <c r="H136" s="8">
        <v>0</v>
      </c>
      <c r="I136" s="8">
        <v>1.2508999999999999</v>
      </c>
      <c r="J136" s="8">
        <v>0.35819999999999902</v>
      </c>
      <c r="K136" s="8">
        <v>1.2508999999999999</v>
      </c>
      <c r="L136" s="8">
        <v>68.158199999999994</v>
      </c>
      <c r="M136" s="8">
        <v>162.3409</v>
      </c>
      <c r="N136" s="10">
        <v>2.37595870206489</v>
      </c>
      <c r="O136" s="10">
        <v>2.3794589997480098</v>
      </c>
      <c r="P136" s="10">
        <v>2.36911821609635</v>
      </c>
      <c r="Q136" s="10">
        <v>2.3702551686661901</v>
      </c>
      <c r="R136" s="8">
        <v>161.327320182915</v>
      </c>
      <c r="S136" s="8">
        <v>160.55763117616999</v>
      </c>
      <c r="T136" s="8">
        <v>160.74173406458701</v>
      </c>
      <c r="U136" s="9">
        <v>1.47213075054319E-3</v>
      </c>
      <c r="V136" s="9">
        <v>-3.3102641422722498E-3</v>
      </c>
      <c r="W136" s="9">
        <v>-2.1642742743610199E-3</v>
      </c>
      <c r="X136" s="10">
        <v>2.3818249308227002</v>
      </c>
      <c r="Y136" s="10">
        <v>2.3816575271846898</v>
      </c>
      <c r="Z136" s="10">
        <v>2.3749979343567502</v>
      </c>
      <c r="AA136" s="10">
        <v>2.3757048612841598</v>
      </c>
      <c r="AB136" s="8">
        <v>162.329490069359</v>
      </c>
      <c r="AC136" s="8">
        <v>161.806182616505</v>
      </c>
      <c r="AD136" s="8">
        <v>161.92843288526799</v>
      </c>
      <c r="AE136" s="9">
        <v>-7.0286241023789398E-5</v>
      </c>
      <c r="AF136" s="9">
        <v>-3.2992298694038301E-3</v>
      </c>
      <c r="AG136" s="9">
        <v>-2.5439799287403E-3</v>
      </c>
      <c r="AZ136" s="9"/>
      <c r="BB136">
        <f t="shared" si="22"/>
        <v>1</v>
      </c>
      <c r="BC136">
        <f t="shared" si="23"/>
        <v>0</v>
      </c>
      <c r="BD136">
        <f t="shared" si="24"/>
        <v>1</v>
      </c>
      <c r="BE136">
        <f t="shared" si="20"/>
        <v>1</v>
      </c>
      <c r="BF136">
        <f t="shared" si="25"/>
        <v>1</v>
      </c>
      <c r="BG136" s="9">
        <f t="shared" si="26"/>
        <v>-4.70866084813777E-3</v>
      </c>
      <c r="BH136" s="9">
        <f t="shared" si="27"/>
        <v>4.3977896145171603E-3</v>
      </c>
      <c r="BI136" s="9">
        <f t="shared" si="28"/>
        <v>-3.1087123362060973E-4</v>
      </c>
      <c r="BJ136" s="12">
        <f t="shared" si="29"/>
        <v>2.2409057783129693E-3</v>
      </c>
      <c r="BL136" s="9"/>
      <c r="BN136">
        <f t="shared" si="30"/>
        <v>0</v>
      </c>
      <c r="BO136">
        <f t="shared" si="31"/>
        <v>1</v>
      </c>
      <c r="BP136">
        <f t="shared" si="32"/>
        <v>0</v>
      </c>
      <c r="BQ136">
        <f t="shared" si="21"/>
        <v>1</v>
      </c>
      <c r="BR136">
        <f t="shared" si="33"/>
        <v>0</v>
      </c>
      <c r="BS136" s="9">
        <f t="shared" si="34"/>
        <v>0</v>
      </c>
      <c r="BT136" s="9">
        <f t="shared" si="35"/>
        <v>0</v>
      </c>
      <c r="BU136" s="9">
        <f t="shared" si="36"/>
        <v>0</v>
      </c>
      <c r="BV136" s="12">
        <f t="shared" si="37"/>
        <v>6.6225380794649128E-3</v>
      </c>
      <c r="BX136" s="12">
        <f t="shared" si="38"/>
        <v>-3.1087123362060973E-4</v>
      </c>
      <c r="BY136" s="12">
        <f t="shared" si="39"/>
        <v>8.8634438577778838E-3</v>
      </c>
    </row>
    <row r="137" spans="1:77" x14ac:dyDescent="0.3">
      <c r="A137" s="1">
        <v>46223</v>
      </c>
      <c r="B137" s="8">
        <v>66.989999999999995</v>
      </c>
      <c r="C137" s="8">
        <v>159.25</v>
      </c>
      <c r="D137" s="9">
        <v>-1.20188404261737E-2</v>
      </c>
      <c r="E137" s="9">
        <v>-1.14879205576014E-2</v>
      </c>
      <c r="F137" s="8">
        <v>0</v>
      </c>
      <c r="G137" s="8">
        <v>0.35819999999999902</v>
      </c>
      <c r="H137" s="8">
        <v>0</v>
      </c>
      <c r="I137" s="8">
        <v>1.2508999999999999</v>
      </c>
      <c r="J137" s="8">
        <v>0.35819999999999902</v>
      </c>
      <c r="K137" s="8">
        <v>1.2508999999999999</v>
      </c>
      <c r="L137" s="8">
        <v>67.348199999999906</v>
      </c>
      <c r="M137" s="8">
        <v>160.5009</v>
      </c>
      <c r="N137" s="10">
        <v>2.37722048066875</v>
      </c>
      <c r="O137" s="10">
        <v>2.3794589997480098</v>
      </c>
      <c r="P137" s="10">
        <v>2.37064367673432</v>
      </c>
      <c r="Q137" s="10">
        <v>2.36993942179982</v>
      </c>
      <c r="R137" s="8">
        <v>159.39995839311899</v>
      </c>
      <c r="S137" s="8">
        <v>158.707229296294</v>
      </c>
      <c r="T137" s="8">
        <v>158.78339374894799</v>
      </c>
      <c r="U137" s="9">
        <v>9.4121088197086499E-4</v>
      </c>
      <c r="V137" s="9">
        <v>-3.4141147356580902E-3</v>
      </c>
      <c r="W137" s="9">
        <v>-2.93432447675482E-3</v>
      </c>
      <c r="X137" s="10">
        <v>2.38315055190784</v>
      </c>
      <c r="Y137" s="10">
        <v>2.3816575271846898</v>
      </c>
      <c r="Z137" s="10">
        <v>2.3765290607636702</v>
      </c>
      <c r="AA137" s="10">
        <v>2.3758911143190402</v>
      </c>
      <c r="AB137" s="8">
        <v>160.40034747234</v>
      </c>
      <c r="AC137" s="8">
        <v>159.95183588264501</v>
      </c>
      <c r="AD137" s="8">
        <v>159.999446138737</v>
      </c>
      <c r="AE137" s="9">
        <v>-6.2668831450608602E-4</v>
      </c>
      <c r="AF137" s="9">
        <v>-3.4268058479639601E-3</v>
      </c>
      <c r="AG137" s="9">
        <v>-3.1291964360373901E-3</v>
      </c>
      <c r="AZ137" s="9"/>
      <c r="BB137">
        <f t="shared" si="22"/>
        <v>1</v>
      </c>
      <c r="BC137">
        <f t="shared" si="23"/>
        <v>0</v>
      </c>
      <c r="BD137">
        <f t="shared" si="24"/>
        <v>1</v>
      </c>
      <c r="BE137">
        <f t="shared" si="20"/>
        <v>1</v>
      </c>
      <c r="BF137">
        <f t="shared" si="25"/>
        <v>1</v>
      </c>
      <c r="BG137" s="9">
        <f t="shared" si="26"/>
        <v>-1.20188404261737E-2</v>
      </c>
      <c r="BH137" s="9">
        <f t="shared" si="27"/>
        <v>1.14879205576014E-2</v>
      </c>
      <c r="BI137" s="9">
        <f t="shared" si="28"/>
        <v>-5.3091986857230038E-4</v>
      </c>
      <c r="BJ137" s="12">
        <f t="shared" si="29"/>
        <v>1.7099859097406689E-3</v>
      </c>
      <c r="BL137" s="9"/>
      <c r="BN137">
        <f t="shared" si="30"/>
        <v>0</v>
      </c>
      <c r="BO137">
        <f t="shared" si="31"/>
        <v>1</v>
      </c>
      <c r="BP137">
        <f t="shared" si="32"/>
        <v>0</v>
      </c>
      <c r="BQ137">
        <f t="shared" si="21"/>
        <v>1</v>
      </c>
      <c r="BR137">
        <f t="shared" si="33"/>
        <v>0</v>
      </c>
      <c r="BS137" s="9">
        <f t="shared" si="34"/>
        <v>0</v>
      </c>
      <c r="BT137" s="9">
        <f t="shared" si="35"/>
        <v>0</v>
      </c>
      <c r="BU137" s="9">
        <f t="shared" si="36"/>
        <v>0</v>
      </c>
      <c r="BV137" s="12">
        <f t="shared" si="37"/>
        <v>6.6225380794649128E-3</v>
      </c>
      <c r="BX137" s="12">
        <f t="shared" si="38"/>
        <v>-5.3091986857230038E-4</v>
      </c>
      <c r="BY137" s="12">
        <f t="shared" si="39"/>
        <v>8.3325239892055834E-3</v>
      </c>
    </row>
    <row r="138" spans="1:77" x14ac:dyDescent="0.3">
      <c r="A138" s="1">
        <v>46224</v>
      </c>
      <c r="B138" s="8">
        <v>67.42</v>
      </c>
      <c r="C138" s="8">
        <v>160.25</v>
      </c>
      <c r="D138" s="9">
        <v>6.3983552857385896E-3</v>
      </c>
      <c r="E138" s="9">
        <v>6.2598013485067302E-3</v>
      </c>
      <c r="F138" s="8">
        <v>0</v>
      </c>
      <c r="G138" s="8">
        <v>0.35819999999999902</v>
      </c>
      <c r="H138" s="8">
        <v>0</v>
      </c>
      <c r="I138" s="8">
        <v>1.2508999999999999</v>
      </c>
      <c r="J138" s="8">
        <v>0.35819999999999902</v>
      </c>
      <c r="K138" s="8">
        <v>1.2508999999999999</v>
      </c>
      <c r="L138" s="8">
        <v>67.778199999999998</v>
      </c>
      <c r="M138" s="8">
        <v>161.5009</v>
      </c>
      <c r="N138" s="10">
        <v>2.3768911302284099</v>
      </c>
      <c r="O138" s="10">
        <v>2.3794589997480098</v>
      </c>
      <c r="P138" s="10">
        <v>2.3719665399368299</v>
      </c>
      <c r="Q138" s="10">
        <v>2.3700280428886402</v>
      </c>
      <c r="R138" s="8">
        <v>160.42312576301001</v>
      </c>
      <c r="S138" s="8">
        <v>159.82879668542799</v>
      </c>
      <c r="T138" s="8">
        <v>159.781315817744</v>
      </c>
      <c r="U138" s="9">
        <v>1.07976481920278E-3</v>
      </c>
      <c r="V138" s="9">
        <v>-2.6318741638933301E-3</v>
      </c>
      <c r="W138" s="9">
        <v>-2.9289915965120101E-3</v>
      </c>
      <c r="X138" s="10">
        <v>2.3827853203537401</v>
      </c>
      <c r="Y138" s="10">
        <v>2.3816575271846898</v>
      </c>
      <c r="Z138" s="10">
        <v>2.3778632699078499</v>
      </c>
      <c r="AA138" s="10">
        <v>2.3759595693915001</v>
      </c>
      <c r="AB138" s="8">
        <v>161.42446020902901</v>
      </c>
      <c r="AC138" s="8">
        <v>161.076861986252</v>
      </c>
      <c r="AD138" s="8">
        <v>161.03362312453899</v>
      </c>
      <c r="AE138" s="9">
        <v>-4.7342080751131802E-4</v>
      </c>
      <c r="AF138" s="9">
        <v>-2.62906069768173E-3</v>
      </c>
      <c r="AG138" s="9">
        <v>-2.89753293917343E-3</v>
      </c>
      <c r="AZ138" s="9"/>
      <c r="BB138">
        <f t="shared" si="22"/>
        <v>1</v>
      </c>
      <c r="BC138">
        <f t="shared" si="23"/>
        <v>0</v>
      </c>
      <c r="BD138">
        <f t="shared" si="24"/>
        <v>1</v>
      </c>
      <c r="BE138">
        <f t="shared" si="20"/>
        <v>1</v>
      </c>
      <c r="BF138">
        <f t="shared" si="25"/>
        <v>1</v>
      </c>
      <c r="BG138" s="9">
        <f t="shared" si="26"/>
        <v>6.3983552857385896E-3</v>
      </c>
      <c r="BH138" s="9">
        <f t="shared" si="27"/>
        <v>-6.2598013485067302E-3</v>
      </c>
      <c r="BI138" s="9">
        <f t="shared" si="28"/>
        <v>1.3855393723185942E-4</v>
      </c>
      <c r="BJ138" s="12">
        <f t="shared" si="29"/>
        <v>1.8485398469725283E-3</v>
      </c>
      <c r="BL138" s="9"/>
      <c r="BN138">
        <f t="shared" si="30"/>
        <v>0</v>
      </c>
      <c r="BO138">
        <f t="shared" si="31"/>
        <v>1</v>
      </c>
      <c r="BP138">
        <f t="shared" si="32"/>
        <v>0</v>
      </c>
      <c r="BQ138">
        <f t="shared" si="21"/>
        <v>1</v>
      </c>
      <c r="BR138">
        <f t="shared" si="33"/>
        <v>0</v>
      </c>
      <c r="BS138" s="9">
        <f t="shared" si="34"/>
        <v>0</v>
      </c>
      <c r="BT138" s="9">
        <f t="shared" si="35"/>
        <v>0</v>
      </c>
      <c r="BU138" s="9">
        <f t="shared" si="36"/>
        <v>0</v>
      </c>
      <c r="BV138" s="12">
        <f t="shared" si="37"/>
        <v>6.6225380794649128E-3</v>
      </c>
      <c r="BX138" s="12">
        <f t="shared" si="38"/>
        <v>1.3855393723185942E-4</v>
      </c>
      <c r="BY138" s="12">
        <f t="shared" si="39"/>
        <v>8.4710779264374429E-3</v>
      </c>
    </row>
    <row r="139" spans="1:77" x14ac:dyDescent="0.3">
      <c r="A139" s="1">
        <v>46225</v>
      </c>
      <c r="B139" s="8">
        <v>67.12</v>
      </c>
      <c r="C139" s="8">
        <v>159.43</v>
      </c>
      <c r="D139" s="9">
        <v>-4.4596476469638399E-3</v>
      </c>
      <c r="E139" s="9">
        <v>-5.1301413815054301E-3</v>
      </c>
      <c r="F139" s="8">
        <v>0</v>
      </c>
      <c r="G139" s="8">
        <v>0.35819999999999902</v>
      </c>
      <c r="H139" s="8">
        <v>0</v>
      </c>
      <c r="I139" s="8">
        <v>1.2508999999999999</v>
      </c>
      <c r="J139" s="8">
        <v>0.35819999999999902</v>
      </c>
      <c r="K139" s="8">
        <v>1.2508999999999999</v>
      </c>
      <c r="L139" s="8">
        <v>67.478200000000001</v>
      </c>
      <c r="M139" s="8">
        <v>160.68090000000001</v>
      </c>
      <c r="N139" s="10">
        <v>2.3752979737783</v>
      </c>
      <c r="O139" s="10">
        <v>2.3794589997480098</v>
      </c>
      <c r="P139" s="10">
        <v>2.3727693828222498</v>
      </c>
      <c r="Q139" s="10">
        <v>2.3699580204468398</v>
      </c>
      <c r="R139" s="8">
        <v>159.70928806308601</v>
      </c>
      <c r="S139" s="8">
        <v>159.20639416056</v>
      </c>
      <c r="T139" s="8">
        <v>159.076282238685</v>
      </c>
      <c r="U139" s="9">
        <v>1.75025855374436E-3</v>
      </c>
      <c r="V139" s="9">
        <v>-1.4035174904268601E-3</v>
      </c>
      <c r="W139" s="9">
        <v>-2.2211047408195201E-3</v>
      </c>
      <c r="X139" s="10">
        <v>2.3812268258489402</v>
      </c>
      <c r="Y139" s="10">
        <v>2.3816575271846898</v>
      </c>
      <c r="Z139" s="10">
        <v>2.37867432798717</v>
      </c>
      <c r="AA139" s="10">
        <v>2.3758757101658401</v>
      </c>
      <c r="AB139" s="8">
        <v>160.709962950874</v>
      </c>
      <c r="AC139" s="8">
        <v>160.45393329949599</v>
      </c>
      <c r="AD139" s="8">
        <v>160.325475015314</v>
      </c>
      <c r="AE139" s="9">
        <v>1.8085735659443801E-4</v>
      </c>
      <c r="AF139" s="9">
        <v>-1.4135292391866401E-3</v>
      </c>
      <c r="AG139" s="9">
        <v>-2.2144428123094702E-3</v>
      </c>
      <c r="AZ139" s="9"/>
      <c r="BB139">
        <f t="shared" si="22"/>
        <v>1</v>
      </c>
      <c r="BC139">
        <f t="shared" si="23"/>
        <v>0</v>
      </c>
      <c r="BD139">
        <f t="shared" si="24"/>
        <v>1</v>
      </c>
      <c r="BE139">
        <f t="shared" si="20"/>
        <v>1</v>
      </c>
      <c r="BF139">
        <f t="shared" si="25"/>
        <v>1</v>
      </c>
      <c r="BG139" s="9">
        <f t="shared" si="26"/>
        <v>-4.4596476469638399E-3</v>
      </c>
      <c r="BH139" s="9">
        <f t="shared" si="27"/>
        <v>5.1301413815054301E-3</v>
      </c>
      <c r="BI139" s="9">
        <f t="shared" si="28"/>
        <v>6.7049373454159018E-4</v>
      </c>
      <c r="BJ139" s="12">
        <f t="shared" si="29"/>
        <v>2.5190335815141185E-3</v>
      </c>
      <c r="BL139" s="9"/>
      <c r="BN139">
        <f t="shared" si="30"/>
        <v>0</v>
      </c>
      <c r="BO139">
        <f t="shared" si="31"/>
        <v>1</v>
      </c>
      <c r="BP139">
        <f t="shared" si="32"/>
        <v>0</v>
      </c>
      <c r="BQ139">
        <f t="shared" si="21"/>
        <v>1</v>
      </c>
      <c r="BR139">
        <f t="shared" si="33"/>
        <v>0</v>
      </c>
      <c r="BS139" s="9">
        <f t="shared" si="34"/>
        <v>0</v>
      </c>
      <c r="BT139" s="9">
        <f t="shared" si="35"/>
        <v>0</v>
      </c>
      <c r="BU139" s="9">
        <f t="shared" si="36"/>
        <v>0</v>
      </c>
      <c r="BV139" s="12">
        <f t="shared" si="37"/>
        <v>6.6225380794649128E-3</v>
      </c>
      <c r="BX139" s="12">
        <f t="shared" si="38"/>
        <v>6.7049373454159018E-4</v>
      </c>
      <c r="BY139" s="12">
        <f t="shared" si="39"/>
        <v>9.141571660979033E-3</v>
      </c>
    </row>
    <row r="140" spans="1:77" x14ac:dyDescent="0.3">
      <c r="A140" s="1">
        <v>46226</v>
      </c>
      <c r="B140" s="8">
        <v>67.98</v>
      </c>
      <c r="C140" s="8">
        <v>161.44</v>
      </c>
      <c r="D140" s="9">
        <v>1.27314821090192E-2</v>
      </c>
      <c r="E140" s="9">
        <v>1.25286021860249E-2</v>
      </c>
      <c r="F140" s="8">
        <v>0</v>
      </c>
      <c r="G140" s="8">
        <v>0.35819999999999902</v>
      </c>
      <c r="H140" s="8">
        <v>0</v>
      </c>
      <c r="I140" s="8">
        <v>1.2508999999999999</v>
      </c>
      <c r="J140" s="8">
        <v>0.35819999999999902</v>
      </c>
      <c r="K140" s="8">
        <v>1.2508999999999999</v>
      </c>
      <c r="L140" s="8">
        <v>68.338200000000001</v>
      </c>
      <c r="M140" s="8">
        <v>162.6909</v>
      </c>
      <c r="N140" s="10">
        <v>2.3748161223889301</v>
      </c>
      <c r="O140" s="10">
        <v>2.3794589997480098</v>
      </c>
      <c r="P140" s="10">
        <v>2.3739204791765598</v>
      </c>
      <c r="Q140" s="10">
        <v>2.37008032409104</v>
      </c>
      <c r="R140" s="8">
        <v>161.755622802869</v>
      </c>
      <c r="S140" s="8">
        <v>161.300862644256</v>
      </c>
      <c r="T140" s="8">
        <v>161.109746229976</v>
      </c>
      <c r="U140" s="9">
        <v>1.95313847673862E-3</v>
      </c>
      <c r="V140" s="9">
        <v>-8.6222341492846796E-4</v>
      </c>
      <c r="W140" s="9">
        <v>-2.0477702387920499E-3</v>
      </c>
      <c r="X140" s="10">
        <v>2.3806728886625601</v>
      </c>
      <c r="Y140" s="10">
        <v>2.3816575271846898</v>
      </c>
      <c r="Z140" s="10">
        <v>2.3798248808411802</v>
      </c>
      <c r="AA140" s="10">
        <v>2.37598229200339</v>
      </c>
      <c r="AB140" s="8">
        <v>162.75818842425301</v>
      </c>
      <c r="AC140" s="8">
        <v>162.554321960853</v>
      </c>
      <c r="AD140" s="8">
        <v>162.36306945645501</v>
      </c>
      <c r="AE140" s="9">
        <v>4.1351122252451198E-4</v>
      </c>
      <c r="AF140" s="9">
        <v>-8.3984660159734301E-4</v>
      </c>
      <c r="AG140" s="9">
        <v>-2.01708445673937E-3</v>
      </c>
      <c r="AZ140" s="9"/>
      <c r="BB140">
        <f t="shared" si="22"/>
        <v>1</v>
      </c>
      <c r="BC140">
        <f t="shared" si="23"/>
        <v>0</v>
      </c>
      <c r="BD140">
        <f t="shared" si="24"/>
        <v>1</v>
      </c>
      <c r="BE140">
        <f t="shared" si="20"/>
        <v>1</v>
      </c>
      <c r="BF140">
        <f t="shared" si="25"/>
        <v>1</v>
      </c>
      <c r="BG140" s="9">
        <f t="shared" si="26"/>
        <v>1.27314821090192E-2</v>
      </c>
      <c r="BH140" s="9">
        <f t="shared" si="27"/>
        <v>-1.25286021860249E-2</v>
      </c>
      <c r="BI140" s="9">
        <f t="shared" si="28"/>
        <v>2.0287992299430034E-4</v>
      </c>
      <c r="BJ140" s="12">
        <f t="shared" si="29"/>
        <v>2.7219135045084188E-3</v>
      </c>
      <c r="BL140" s="9"/>
      <c r="BN140">
        <f t="shared" si="30"/>
        <v>0</v>
      </c>
      <c r="BO140">
        <f t="shared" si="31"/>
        <v>1</v>
      </c>
      <c r="BP140">
        <f t="shared" si="32"/>
        <v>0</v>
      </c>
      <c r="BQ140">
        <f t="shared" si="21"/>
        <v>1</v>
      </c>
      <c r="BR140">
        <f t="shared" si="33"/>
        <v>0</v>
      </c>
      <c r="BS140" s="9">
        <f t="shared" si="34"/>
        <v>0</v>
      </c>
      <c r="BT140" s="9">
        <f t="shared" si="35"/>
        <v>0</v>
      </c>
      <c r="BU140" s="9">
        <f t="shared" si="36"/>
        <v>0</v>
      </c>
      <c r="BV140" s="12">
        <f t="shared" si="37"/>
        <v>6.6225380794649128E-3</v>
      </c>
      <c r="BX140" s="12">
        <f t="shared" si="38"/>
        <v>2.0287992299430034E-4</v>
      </c>
      <c r="BY140" s="12">
        <f t="shared" si="39"/>
        <v>9.3444515839733334E-3</v>
      </c>
    </row>
    <row r="141" spans="1:77" x14ac:dyDescent="0.3">
      <c r="A141" s="1">
        <v>46227</v>
      </c>
      <c r="B141" s="8">
        <v>68.41</v>
      </c>
      <c r="C141" s="8">
        <v>162.57</v>
      </c>
      <c r="D141" s="9">
        <v>6.3054685049365499E-3</v>
      </c>
      <c r="E141" s="9">
        <v>6.97512164083365E-3</v>
      </c>
      <c r="F141" s="8">
        <v>0</v>
      </c>
      <c r="G141" s="8">
        <v>0.35819999999999902</v>
      </c>
      <c r="H141" s="8">
        <v>0</v>
      </c>
      <c r="I141" s="8">
        <v>1.2508999999999999</v>
      </c>
      <c r="J141" s="8">
        <v>0.35819999999999902</v>
      </c>
      <c r="K141" s="8">
        <v>1.2508999999999999</v>
      </c>
      <c r="L141" s="8">
        <v>68.768199999999993</v>
      </c>
      <c r="M141" s="8">
        <v>163.82089999999999</v>
      </c>
      <c r="N141" s="10">
        <v>2.3764069580470601</v>
      </c>
      <c r="O141" s="10">
        <v>2.3794589997480098</v>
      </c>
      <c r="P141" s="10">
        <v>2.37464852216053</v>
      </c>
      <c r="Q141" s="10">
        <v>2.37038864031505</v>
      </c>
      <c r="R141" s="8">
        <v>162.77879017276101</v>
      </c>
      <c r="S141" s="8">
        <v>162.39989998046801</v>
      </c>
      <c r="T141" s="8">
        <v>162.137194971068</v>
      </c>
      <c r="U141" s="9">
        <v>1.28348534084167E-3</v>
      </c>
      <c r="V141" s="9">
        <v>-1.04686640255706E-3</v>
      </c>
      <c r="W141" s="9">
        <v>-2.66581887897156E-3</v>
      </c>
      <c r="X141" s="10">
        <v>2.3822188162551798</v>
      </c>
      <c r="Y141" s="10">
        <v>2.3816575271846898</v>
      </c>
      <c r="Z141" s="10">
        <v>2.3805446744995402</v>
      </c>
      <c r="AA141" s="10">
        <v>2.3762768306725</v>
      </c>
      <c r="AB141" s="8">
        <v>163.78230116094201</v>
      </c>
      <c r="AC141" s="8">
        <v>163.65627337066201</v>
      </c>
      <c r="AD141" s="8">
        <v>163.392025452947</v>
      </c>
      <c r="AE141" s="9">
        <v>-2.3564384657607401E-4</v>
      </c>
      <c r="AF141" s="9">
        <v>-1.00542362394923E-3</v>
      </c>
      <c r="AG141" s="9">
        <v>-2.6213805096329998E-3</v>
      </c>
      <c r="AZ141" s="9"/>
      <c r="BB141">
        <f t="shared" si="22"/>
        <v>1</v>
      </c>
      <c r="BC141">
        <f t="shared" si="23"/>
        <v>0</v>
      </c>
      <c r="BD141">
        <f t="shared" si="24"/>
        <v>1</v>
      </c>
      <c r="BE141">
        <f t="shared" si="20"/>
        <v>1</v>
      </c>
      <c r="BF141">
        <f t="shared" si="25"/>
        <v>1</v>
      </c>
      <c r="BG141" s="9">
        <f t="shared" si="26"/>
        <v>6.3054685049365499E-3</v>
      </c>
      <c r="BH141" s="9">
        <f t="shared" si="27"/>
        <v>-6.97512164083365E-3</v>
      </c>
      <c r="BI141" s="9">
        <f t="shared" si="28"/>
        <v>-6.6965313589710009E-4</v>
      </c>
      <c r="BJ141" s="12">
        <f t="shared" si="29"/>
        <v>2.0522603686113187E-3</v>
      </c>
      <c r="BL141" s="9"/>
      <c r="BN141">
        <f t="shared" si="30"/>
        <v>0</v>
      </c>
      <c r="BO141">
        <f t="shared" si="31"/>
        <v>1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6.6225380794649128E-3</v>
      </c>
      <c r="BX141" s="12">
        <f t="shared" si="38"/>
        <v>-6.6965313589710009E-4</v>
      </c>
      <c r="BY141" s="12">
        <f t="shared" si="39"/>
        <v>8.6747984480762333E-3</v>
      </c>
    </row>
    <row r="142" spans="1:77" x14ac:dyDescent="0.3">
      <c r="A142" s="1">
        <v>46230</v>
      </c>
      <c r="B142" s="8">
        <v>68.72</v>
      </c>
      <c r="C142" s="8">
        <v>163.4</v>
      </c>
      <c r="D142" s="9">
        <v>4.5212649030933402E-3</v>
      </c>
      <c r="E142" s="9">
        <v>5.09250417977014E-3</v>
      </c>
      <c r="F142" s="8">
        <v>0</v>
      </c>
      <c r="G142" s="8">
        <v>0.35819999999999902</v>
      </c>
      <c r="H142" s="8">
        <v>0</v>
      </c>
      <c r="I142" s="8">
        <v>1.2508999999999999</v>
      </c>
      <c r="J142" s="8">
        <v>0.35819999999999902</v>
      </c>
      <c r="K142" s="8">
        <v>1.2508999999999999</v>
      </c>
      <c r="L142" s="8">
        <v>69.078199999999995</v>
      </c>
      <c r="M142" s="8">
        <v>164.65090000000001</v>
      </c>
      <c r="N142" s="10">
        <v>2.3777648428405098</v>
      </c>
      <c r="O142" s="10">
        <v>2.3794589997480098</v>
      </c>
      <c r="P142" s="10">
        <v>2.3750573593857598</v>
      </c>
      <c r="Q142" s="10">
        <v>2.3707523407657698</v>
      </c>
      <c r="R142" s="8">
        <v>163.51642246268301</v>
      </c>
      <c r="S142" s="8">
        <v>163.185846442871</v>
      </c>
      <c r="T142" s="8">
        <v>162.89310736245</v>
      </c>
      <c r="U142" s="9">
        <v>7.12246064165034E-4</v>
      </c>
      <c r="V142" s="9">
        <v>-1.3114688842470099E-3</v>
      </c>
      <c r="W142" s="9">
        <v>-3.1069797913511202E-3</v>
      </c>
      <c r="X142" s="10">
        <v>2.3835435781476599</v>
      </c>
      <c r="Y142" s="10">
        <v>2.3816575271846898</v>
      </c>
      <c r="Z142" s="10">
        <v>2.3809452828007198</v>
      </c>
      <c r="AA142" s="10">
        <v>2.3766340261097301</v>
      </c>
      <c r="AB142" s="8">
        <v>164.520614994369</v>
      </c>
      <c r="AC142" s="8">
        <v>164.443741134014</v>
      </c>
      <c r="AD142" s="8">
        <v>164.148926164561</v>
      </c>
      <c r="AE142" s="9">
        <v>-7.9159347937956702E-4</v>
      </c>
      <c r="AF142" s="9">
        <v>-1.25896242268553E-3</v>
      </c>
      <c r="AG142" s="9">
        <v>-3.05337281524446E-3</v>
      </c>
      <c r="AZ142" s="9"/>
      <c r="BB142">
        <f t="shared" si="22"/>
        <v>1</v>
      </c>
      <c r="BC142">
        <f t="shared" si="23"/>
        <v>0</v>
      </c>
      <c r="BD142">
        <f t="shared" si="24"/>
        <v>1</v>
      </c>
      <c r="BE142">
        <f t="shared" si="20"/>
        <v>1</v>
      </c>
      <c r="BF142">
        <f t="shared" si="25"/>
        <v>1</v>
      </c>
      <c r="BG142" s="9">
        <f t="shared" si="26"/>
        <v>4.5212649030933402E-3</v>
      </c>
      <c r="BH142" s="9">
        <f t="shared" si="27"/>
        <v>-5.09250417977014E-3</v>
      </c>
      <c r="BI142" s="9">
        <f t="shared" si="28"/>
        <v>-5.7123927667679982E-4</v>
      </c>
      <c r="BJ142" s="12">
        <f t="shared" si="29"/>
        <v>1.4810210919345189E-3</v>
      </c>
      <c r="BL142" s="9"/>
      <c r="BN142">
        <f t="shared" si="30"/>
        <v>0</v>
      </c>
      <c r="BO142">
        <f t="shared" si="31"/>
        <v>1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6.6225380794649128E-3</v>
      </c>
      <c r="BX142" s="12">
        <f t="shared" si="38"/>
        <v>-5.7123927667679982E-4</v>
      </c>
      <c r="BY142" s="12">
        <f t="shared" si="39"/>
        <v>8.1035591713994326E-3</v>
      </c>
    </row>
    <row r="143" spans="1:77" x14ac:dyDescent="0.3">
      <c r="A143" s="1">
        <v>46231</v>
      </c>
      <c r="B143" s="8">
        <v>70.290000000000006</v>
      </c>
      <c r="C143" s="8">
        <v>167.26</v>
      </c>
      <c r="D143" s="9">
        <v>2.2589263511813999E-2</v>
      </c>
      <c r="E143" s="9">
        <v>2.3348305527476999E-2</v>
      </c>
      <c r="F143" s="8">
        <v>0</v>
      </c>
      <c r="G143" s="8">
        <v>0.35819999999999902</v>
      </c>
      <c r="H143" s="8">
        <v>0</v>
      </c>
      <c r="I143" s="8">
        <v>1.2508999999999999</v>
      </c>
      <c r="J143" s="8">
        <v>0.35819999999999902</v>
      </c>
      <c r="K143" s="8">
        <v>1.2508999999999999</v>
      </c>
      <c r="L143" s="8">
        <v>70.648200000000003</v>
      </c>
      <c r="M143" s="8">
        <v>168.51089999999999</v>
      </c>
      <c r="N143" s="10">
        <v>2.37957035140133</v>
      </c>
      <c r="O143" s="10">
        <v>2.3794589997480098</v>
      </c>
      <c r="P143" s="10">
        <v>2.3758402860452201</v>
      </c>
      <c r="Q143" s="10">
        <v>2.3714178891027999</v>
      </c>
      <c r="R143" s="8">
        <v>167.25217309228699</v>
      </c>
      <c r="S143" s="8">
        <v>166.942781791225</v>
      </c>
      <c r="T143" s="8">
        <v>166.640182032425</v>
      </c>
      <c r="U143" s="9">
        <v>-4.6795951498112202E-5</v>
      </c>
      <c r="V143" s="9">
        <v>-1.89835825027898E-3</v>
      </c>
      <c r="W143" s="9">
        <v>-3.71259863192478E-3</v>
      </c>
      <c r="X143" s="10">
        <v>2.3852115128198501</v>
      </c>
      <c r="Y143" s="10">
        <v>2.3816575271846898</v>
      </c>
      <c r="Z143" s="10">
        <v>2.3816941838584</v>
      </c>
      <c r="AA143" s="10">
        <v>2.37728633560811</v>
      </c>
      <c r="AB143" s="8">
        <v>168.25981731204899</v>
      </c>
      <c r="AC143" s="8">
        <v>168.209498528361</v>
      </c>
      <c r="AD143" s="8">
        <v>167.90491600340499</v>
      </c>
      <c r="AE143" s="9">
        <v>-1.4911197533828799E-3</v>
      </c>
      <c r="AF143" s="9">
        <v>-1.7902185519601301E-3</v>
      </c>
      <c r="AG143" s="9">
        <v>-3.6025931194251602E-3</v>
      </c>
      <c r="AZ143" s="9"/>
      <c r="BB143">
        <f t="shared" si="22"/>
        <v>1</v>
      </c>
      <c r="BC143">
        <f t="shared" si="23"/>
        <v>0</v>
      </c>
      <c r="BD143">
        <f t="shared" si="24"/>
        <v>1</v>
      </c>
      <c r="BE143">
        <f t="shared" si="20"/>
        <v>1</v>
      </c>
      <c r="BF143">
        <f t="shared" si="25"/>
        <v>1</v>
      </c>
      <c r="BG143" s="9">
        <f t="shared" si="26"/>
        <v>2.2589263511813999E-2</v>
      </c>
      <c r="BH143" s="9">
        <f t="shared" si="27"/>
        <v>-2.3348305527476999E-2</v>
      </c>
      <c r="BI143" s="9">
        <f t="shared" si="28"/>
        <v>-7.5904201566300011E-4</v>
      </c>
      <c r="BJ143" s="12">
        <f t="shared" si="29"/>
        <v>7.2197907627151881E-4</v>
      </c>
      <c r="BL143" s="9"/>
      <c r="BN143">
        <f t="shared" si="30"/>
        <v>0</v>
      </c>
      <c r="BO143">
        <f t="shared" si="31"/>
        <v>1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6.6225380794649128E-3</v>
      </c>
      <c r="BX143" s="12">
        <f t="shared" si="38"/>
        <v>-7.5904201566300011E-4</v>
      </c>
      <c r="BY143" s="12">
        <f t="shared" si="39"/>
        <v>7.3445171557364325E-3</v>
      </c>
    </row>
    <row r="144" spans="1:77" x14ac:dyDescent="0.3">
      <c r="A144" s="1">
        <v>46232</v>
      </c>
      <c r="B144" s="8">
        <v>69.87</v>
      </c>
      <c r="C144" s="8">
        <v>166.24</v>
      </c>
      <c r="D144" s="9">
        <v>-5.9931686234546396E-3</v>
      </c>
      <c r="E144" s="9">
        <v>-6.1169606024623199E-3</v>
      </c>
      <c r="F144" s="8">
        <v>0</v>
      </c>
      <c r="G144" s="8">
        <v>0.35819999999999902</v>
      </c>
      <c r="H144" s="8">
        <v>0</v>
      </c>
      <c r="I144" s="8">
        <v>1.2508999999999999</v>
      </c>
      <c r="J144" s="8">
        <v>0.35819999999999902</v>
      </c>
      <c r="K144" s="8">
        <v>1.2508999999999999</v>
      </c>
      <c r="L144" s="8">
        <v>70.228200000000001</v>
      </c>
      <c r="M144" s="8">
        <v>167.49090000000001</v>
      </c>
      <c r="N144" s="10">
        <v>2.3792757979103998</v>
      </c>
      <c r="O144" s="10">
        <v>2.3794589997480098</v>
      </c>
      <c r="P144" s="10">
        <v>2.3768422558976301</v>
      </c>
      <c r="Q144" s="10">
        <v>2.3719963633737802</v>
      </c>
      <c r="R144" s="8">
        <v>166.25280031239299</v>
      </c>
      <c r="S144" s="8">
        <v>165.999960785979</v>
      </c>
      <c r="T144" s="8">
        <v>165.69096791161201</v>
      </c>
      <c r="U144" s="9">
        <v>7.6996027509503999E-5</v>
      </c>
      <c r="V144" s="9">
        <v>-1.44497522343933E-3</v>
      </c>
      <c r="W144" s="9">
        <v>-3.30811308472315E-3</v>
      </c>
      <c r="X144" s="10">
        <v>2.38495219868941</v>
      </c>
      <c r="Y144" s="10">
        <v>2.3816575271846898</v>
      </c>
      <c r="Z144" s="10">
        <v>2.3826649501913</v>
      </c>
      <c r="AA144" s="10">
        <v>2.3778496850161002</v>
      </c>
      <c r="AB144" s="8">
        <v>167.259521150632</v>
      </c>
      <c r="AC144" s="8">
        <v>167.26209548284501</v>
      </c>
      <c r="AD144" s="8">
        <v>166.95254023435299</v>
      </c>
      <c r="AE144" s="9">
        <v>-1.3823963860597501E-3</v>
      </c>
      <c r="AF144" s="9">
        <v>-1.3670052598364301E-3</v>
      </c>
      <c r="AG144" s="9">
        <v>-3.2194396174590099E-3</v>
      </c>
      <c r="AZ144" s="9"/>
      <c r="BB144">
        <f t="shared" si="22"/>
        <v>1</v>
      </c>
      <c r="BC144">
        <f t="shared" si="23"/>
        <v>0</v>
      </c>
      <c r="BD144">
        <f t="shared" si="24"/>
        <v>1</v>
      </c>
      <c r="BE144">
        <f t="shared" si="20"/>
        <v>1</v>
      </c>
      <c r="BF144">
        <f t="shared" si="25"/>
        <v>1</v>
      </c>
      <c r="BG144" s="9">
        <f t="shared" si="26"/>
        <v>-5.9931686234546396E-3</v>
      </c>
      <c r="BH144" s="9">
        <f t="shared" si="27"/>
        <v>6.1169606024623199E-3</v>
      </c>
      <c r="BI144" s="9">
        <f t="shared" si="28"/>
        <v>1.2379197900768031E-4</v>
      </c>
      <c r="BJ144" s="12">
        <f t="shared" si="29"/>
        <v>8.4577105527919912E-4</v>
      </c>
      <c r="BL144" s="9"/>
      <c r="BN144">
        <f t="shared" si="30"/>
        <v>0</v>
      </c>
      <c r="BO144">
        <f t="shared" si="31"/>
        <v>1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6.6225380794649128E-3</v>
      </c>
      <c r="BX144" s="12">
        <f t="shared" si="38"/>
        <v>1.2379197900768031E-4</v>
      </c>
      <c r="BY144" s="12">
        <f t="shared" si="39"/>
        <v>7.4683091347441128E-3</v>
      </c>
    </row>
    <row r="145" spans="1:77" x14ac:dyDescent="0.3">
      <c r="A145" s="1">
        <v>46233</v>
      </c>
      <c r="B145" s="8">
        <v>68.819999999999993</v>
      </c>
      <c r="C145" s="8">
        <v>163.52000000000001</v>
      </c>
      <c r="D145" s="9">
        <v>-1.51419721950251E-2</v>
      </c>
      <c r="E145" s="9">
        <v>-1.64972203355775E-2</v>
      </c>
      <c r="F145" s="8">
        <v>0</v>
      </c>
      <c r="G145" s="8">
        <v>0.35819999999999902</v>
      </c>
      <c r="H145" s="8">
        <v>0</v>
      </c>
      <c r="I145" s="8">
        <v>1.2508999999999999</v>
      </c>
      <c r="J145" s="8">
        <v>0.35819999999999902</v>
      </c>
      <c r="K145" s="8">
        <v>1.2508999999999999</v>
      </c>
      <c r="L145" s="8">
        <v>69.178199999999904</v>
      </c>
      <c r="M145" s="8">
        <v>164.77090000000001</v>
      </c>
      <c r="N145" s="10">
        <v>2.3760534728276599</v>
      </c>
      <c r="O145" s="10">
        <v>2.3794589997480098</v>
      </c>
      <c r="P145" s="10">
        <v>2.37692558321563</v>
      </c>
      <c r="Q145" s="10">
        <v>2.3725161188657</v>
      </c>
      <c r="R145" s="8">
        <v>163.754368362658</v>
      </c>
      <c r="S145" s="8">
        <v>163.57428405087501</v>
      </c>
      <c r="T145" s="8">
        <v>163.240789727384</v>
      </c>
      <c r="U145" s="9">
        <v>1.43224416806222E-3</v>
      </c>
      <c r="V145" s="9">
        <v>3.3191684489930202E-4</v>
      </c>
      <c r="W145" s="9">
        <v>-1.70895865934535E-3</v>
      </c>
      <c r="X145" s="10">
        <v>2.3818327160868602</v>
      </c>
      <c r="Y145" s="10">
        <v>2.3816575271846898</v>
      </c>
      <c r="Z145" s="10">
        <v>2.38274193395947</v>
      </c>
      <c r="AA145" s="10">
        <v>2.37836081278336</v>
      </c>
      <c r="AB145" s="8">
        <v>164.758780747088</v>
      </c>
      <c r="AC145" s="8">
        <v>164.82847245732299</v>
      </c>
      <c r="AD145" s="8">
        <v>164.495361079981</v>
      </c>
      <c r="AE145" s="9">
        <v>-7.3554848775883502E-5</v>
      </c>
      <c r="AF145" s="9">
        <v>3.4934810391301402E-4</v>
      </c>
      <c r="AG145" s="9">
        <v>-1.6736545276947201E-3</v>
      </c>
      <c r="AZ145" s="9"/>
      <c r="BB145">
        <f t="shared" si="22"/>
        <v>1</v>
      </c>
      <c r="BC145">
        <f t="shared" si="23"/>
        <v>0</v>
      </c>
      <c r="BD145">
        <f t="shared" si="24"/>
        <v>1</v>
      </c>
      <c r="BE145">
        <f t="shared" si="20"/>
        <v>1</v>
      </c>
      <c r="BF145">
        <f t="shared" si="25"/>
        <v>1</v>
      </c>
      <c r="BG145" s="9">
        <f t="shared" si="26"/>
        <v>-1.51419721950251E-2</v>
      </c>
      <c r="BH145" s="9">
        <f t="shared" si="27"/>
        <v>1.64972203355775E-2</v>
      </c>
      <c r="BI145" s="9">
        <f t="shared" si="28"/>
        <v>1.3552481405523994E-3</v>
      </c>
      <c r="BJ145" s="12">
        <f t="shared" si="29"/>
        <v>2.2010191958315986E-3</v>
      </c>
      <c r="BL145" s="9"/>
      <c r="BN145">
        <f t="shared" si="30"/>
        <v>0</v>
      </c>
      <c r="BO145">
        <f t="shared" si="31"/>
        <v>1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6.6225380794649128E-3</v>
      </c>
      <c r="BX145" s="12">
        <f t="shared" si="38"/>
        <v>1.3552481405523994E-3</v>
      </c>
      <c r="BY145" s="12">
        <f t="shared" si="39"/>
        <v>8.8235572752965123E-3</v>
      </c>
    </row>
    <row r="146" spans="1:77" x14ac:dyDescent="0.3">
      <c r="A146" s="1">
        <v>46234</v>
      </c>
      <c r="B146" s="8">
        <v>68.34</v>
      </c>
      <c r="C146" s="8">
        <v>162.55000000000001</v>
      </c>
      <c r="D146" s="9">
        <v>-6.99915368218843E-3</v>
      </c>
      <c r="E146" s="9">
        <v>-5.9496602654251999E-3</v>
      </c>
      <c r="F146" s="8">
        <v>0</v>
      </c>
      <c r="G146" s="8">
        <v>0.35819999999999902</v>
      </c>
      <c r="H146" s="8">
        <v>0</v>
      </c>
      <c r="I146" s="8">
        <v>1.2508999999999999</v>
      </c>
      <c r="J146" s="8">
        <v>0.35819999999999902</v>
      </c>
      <c r="K146" s="8">
        <v>1.2508999999999999</v>
      </c>
      <c r="L146" s="8">
        <v>68.6982</v>
      </c>
      <c r="M146" s="8">
        <v>163.80090000000001</v>
      </c>
      <c r="N146" s="10">
        <v>2.3785484342990899</v>
      </c>
      <c r="O146" s="10">
        <v>2.3794589997480098</v>
      </c>
      <c r="P146" s="10">
        <v>2.3771845564390501</v>
      </c>
      <c r="Q146" s="10">
        <v>2.3731513862677001</v>
      </c>
      <c r="R146" s="8">
        <v>162.61222804277901</v>
      </c>
      <c r="S146" s="8">
        <v>162.43909435695599</v>
      </c>
      <c r="T146" s="8">
        <v>162.137751563282</v>
      </c>
      <c r="U146" s="9">
        <v>3.8275075129903899E-4</v>
      </c>
      <c r="V146" s="9">
        <v>-6.8251919387338905E-4</v>
      </c>
      <c r="W146" s="9">
        <v>-2.5393545414547202E-3</v>
      </c>
      <c r="X146" s="10">
        <v>2.38435504860389</v>
      </c>
      <c r="Y146" s="10">
        <v>2.3816575271846898</v>
      </c>
      <c r="Z146" s="10">
        <v>2.3829949457375901</v>
      </c>
      <c r="AA146" s="10">
        <v>2.3789964400471701</v>
      </c>
      <c r="AB146" s="8">
        <v>163.61558513403901</v>
      </c>
      <c r="AC146" s="8">
        <v>163.690081927535</v>
      </c>
      <c r="AD146" s="8">
        <v>163.38910678875399</v>
      </c>
      <c r="AE146" s="9">
        <v>-1.1319826225173199E-3</v>
      </c>
      <c r="AF146" s="9">
        <v>-6.76770249015267E-4</v>
      </c>
      <c r="AG146" s="9">
        <v>-2.51715162523504E-3</v>
      </c>
      <c r="AZ146" s="9"/>
      <c r="BB146">
        <f t="shared" si="22"/>
        <v>1</v>
      </c>
      <c r="BC146">
        <f t="shared" si="23"/>
        <v>0</v>
      </c>
      <c r="BD146">
        <f t="shared" si="24"/>
        <v>1</v>
      </c>
      <c r="BE146">
        <f t="shared" si="20"/>
        <v>1</v>
      </c>
      <c r="BF146">
        <f t="shared" si="25"/>
        <v>1</v>
      </c>
      <c r="BG146" s="9">
        <f t="shared" si="26"/>
        <v>-6.99915368218843E-3</v>
      </c>
      <c r="BH146" s="9">
        <f t="shared" si="27"/>
        <v>5.9496602654251999E-3</v>
      </c>
      <c r="BI146" s="9">
        <f t="shared" si="28"/>
        <v>-1.0494934167632301E-3</v>
      </c>
      <c r="BJ146" s="12">
        <f t="shared" si="29"/>
        <v>1.1515257790683684E-3</v>
      </c>
      <c r="BL146" s="9"/>
      <c r="BN146">
        <f t="shared" si="30"/>
        <v>0</v>
      </c>
      <c r="BO146">
        <f t="shared" si="31"/>
        <v>1</v>
      </c>
      <c r="BP146">
        <f t="shared" si="32"/>
        <v>0</v>
      </c>
      <c r="BQ146">
        <f t="shared" si="21"/>
        <v>1</v>
      </c>
      <c r="BR146">
        <f t="shared" si="33"/>
        <v>0</v>
      </c>
      <c r="BS146" s="9">
        <f t="shared" si="34"/>
        <v>0</v>
      </c>
      <c r="BT146" s="9">
        <f t="shared" si="35"/>
        <v>0</v>
      </c>
      <c r="BU146" s="9">
        <f t="shared" si="36"/>
        <v>0</v>
      </c>
      <c r="BV146" s="12">
        <f t="shared" si="37"/>
        <v>6.6225380794649128E-3</v>
      </c>
      <c r="BX146" s="12">
        <f t="shared" si="38"/>
        <v>-1.0494934167632301E-3</v>
      </c>
      <c r="BY146" s="12">
        <f t="shared" si="39"/>
        <v>7.7740638585332821E-3</v>
      </c>
    </row>
    <row r="147" spans="1:77" x14ac:dyDescent="0.3">
      <c r="A147" s="1">
        <v>46237</v>
      </c>
      <c r="B147" s="8">
        <v>68.239999999999995</v>
      </c>
      <c r="C147" s="8">
        <v>162.24</v>
      </c>
      <c r="D147" s="9">
        <v>-1.4643435037222101E-3</v>
      </c>
      <c r="E147" s="9">
        <v>-1.908926347096E-3</v>
      </c>
      <c r="F147" s="8">
        <v>0</v>
      </c>
      <c r="G147" s="8">
        <v>0.35819999999999902</v>
      </c>
      <c r="H147" s="8">
        <v>0</v>
      </c>
      <c r="I147" s="8">
        <v>1.2508999999999999</v>
      </c>
      <c r="J147" s="8">
        <v>0.35819999999999902</v>
      </c>
      <c r="K147" s="8">
        <v>1.2508999999999999</v>
      </c>
      <c r="L147" s="8">
        <v>68.598199999999906</v>
      </c>
      <c r="M147" s="8">
        <v>163.49090000000001</v>
      </c>
      <c r="N147" s="10">
        <v>2.37749120750293</v>
      </c>
      <c r="O147" s="10">
        <v>2.3794589997480098</v>
      </c>
      <c r="P147" s="10">
        <v>2.3772116291224599</v>
      </c>
      <c r="Q147" s="10">
        <v>2.3739276529283901</v>
      </c>
      <c r="R147" s="8">
        <v>162.37428214280399</v>
      </c>
      <c r="S147" s="8">
        <v>162.21907413139999</v>
      </c>
      <c r="T147" s="8">
        <v>161.94385059890701</v>
      </c>
      <c r="U147" s="9">
        <v>8.2733359467286095E-4</v>
      </c>
      <c r="V147" s="9">
        <v>-1.2898926426552801E-4</v>
      </c>
      <c r="W147" s="9">
        <v>-1.82704649183705E-3</v>
      </c>
      <c r="X147" s="10">
        <v>2.3833118070153398</v>
      </c>
      <c r="Y147" s="10">
        <v>2.3816575271846898</v>
      </c>
      <c r="Z147" s="10">
        <v>2.3830110712483399</v>
      </c>
      <c r="AA147" s="10">
        <v>2.3797700660060102</v>
      </c>
      <c r="AB147" s="8">
        <v>163.377419381321</v>
      </c>
      <c r="AC147" s="8">
        <v>163.46916388669601</v>
      </c>
      <c r="AD147" s="8">
        <v>163.19487359364399</v>
      </c>
      <c r="AE147" s="9">
        <v>-6.9435070032491399E-4</v>
      </c>
      <c r="AF147" s="9">
        <v>-1.3295882730623101E-4</v>
      </c>
      <c r="AG147" s="9">
        <v>-1.8123010630232399E-3</v>
      </c>
      <c r="AZ147" s="9"/>
      <c r="BB147">
        <f t="shared" si="22"/>
        <v>1</v>
      </c>
      <c r="BC147">
        <f t="shared" si="23"/>
        <v>0</v>
      </c>
      <c r="BD147">
        <f t="shared" si="24"/>
        <v>1</v>
      </c>
      <c r="BE147">
        <f t="shared" si="20"/>
        <v>1</v>
      </c>
      <c r="BF147">
        <f t="shared" si="25"/>
        <v>1</v>
      </c>
      <c r="BG147" s="9">
        <f t="shared" si="26"/>
        <v>-1.4643435037222101E-3</v>
      </c>
      <c r="BH147" s="9">
        <f t="shared" si="27"/>
        <v>1.908926347096E-3</v>
      </c>
      <c r="BI147" s="9">
        <f t="shared" si="28"/>
        <v>4.4458284337378987E-4</v>
      </c>
      <c r="BJ147" s="12">
        <f t="shared" si="29"/>
        <v>1.5961086224421583E-3</v>
      </c>
      <c r="BL147" s="9"/>
      <c r="BN147">
        <f t="shared" si="30"/>
        <v>0</v>
      </c>
      <c r="BO147">
        <f t="shared" si="31"/>
        <v>1</v>
      </c>
      <c r="BP147">
        <f t="shared" si="32"/>
        <v>0</v>
      </c>
      <c r="BQ147">
        <f t="shared" si="21"/>
        <v>1</v>
      </c>
      <c r="BR147">
        <f t="shared" si="33"/>
        <v>0</v>
      </c>
      <c r="BS147" s="9">
        <f t="shared" si="34"/>
        <v>0</v>
      </c>
      <c r="BT147" s="9">
        <f t="shared" si="35"/>
        <v>0</v>
      </c>
      <c r="BU147" s="9">
        <f t="shared" si="36"/>
        <v>0</v>
      </c>
      <c r="BV147" s="12">
        <f t="shared" si="37"/>
        <v>6.6225380794649128E-3</v>
      </c>
      <c r="BX147" s="12">
        <f t="shared" si="38"/>
        <v>4.4458284337378987E-4</v>
      </c>
      <c r="BY147" s="12">
        <f t="shared" si="39"/>
        <v>8.218646701907072E-3</v>
      </c>
    </row>
    <row r="148" spans="1:77" x14ac:dyDescent="0.3">
      <c r="A148" s="1">
        <v>46238</v>
      </c>
      <c r="B148" s="8">
        <v>68.239999999999995</v>
      </c>
      <c r="C148" s="8">
        <v>162.1</v>
      </c>
      <c r="D148" s="9">
        <v>0</v>
      </c>
      <c r="E148" s="9">
        <v>-8.6329166118799701E-4</v>
      </c>
      <c r="F148" s="8">
        <v>0</v>
      </c>
      <c r="G148" s="8">
        <v>0.35819999999999902</v>
      </c>
      <c r="H148" s="8">
        <v>0</v>
      </c>
      <c r="I148" s="8">
        <v>1.2508999999999999</v>
      </c>
      <c r="J148" s="8">
        <v>0.35819999999999902</v>
      </c>
      <c r="K148" s="8">
        <v>1.2508999999999999</v>
      </c>
      <c r="L148" s="8">
        <v>68.598199999999906</v>
      </c>
      <c r="M148" s="8">
        <v>163.3509</v>
      </c>
      <c r="N148" s="10">
        <v>2.3754396248534499</v>
      </c>
      <c r="O148" s="10">
        <v>2.3794589997480098</v>
      </c>
      <c r="P148" s="10">
        <v>2.37706647858497</v>
      </c>
      <c r="Q148" s="10">
        <v>2.3745165092609</v>
      </c>
      <c r="R148" s="8">
        <v>162.37428214280399</v>
      </c>
      <c r="S148" s="8">
        <v>162.22092157131701</v>
      </c>
      <c r="T148" s="8">
        <v>161.99682303583299</v>
      </c>
      <c r="U148" s="9">
        <v>1.6906252558609499E-3</v>
      </c>
      <c r="V148" s="9">
        <v>7.45690881332046E-4</v>
      </c>
      <c r="W148" s="9">
        <v>-6.3670459145794304E-4</v>
      </c>
      <c r="X148" s="10">
        <v>2.3812709371382899</v>
      </c>
      <c r="Y148" s="10">
        <v>2.3816575271846898</v>
      </c>
      <c r="Z148" s="10">
        <v>2.3828596329268001</v>
      </c>
      <c r="AA148" s="10">
        <v>2.3803614514173201</v>
      </c>
      <c r="AB148" s="8">
        <v>163.377419381321</v>
      </c>
      <c r="AC148" s="8">
        <v>163.47027006770799</v>
      </c>
      <c r="AD148" s="8">
        <v>163.247942941893</v>
      </c>
      <c r="AE148" s="9">
        <v>1.62332921918439E-4</v>
      </c>
      <c r="AF148" s="9">
        <v>7.3049168137897396E-4</v>
      </c>
      <c r="AG148" s="9">
        <v>-6.30480258837645E-4</v>
      </c>
      <c r="AZ148" s="9"/>
      <c r="BB148">
        <f t="shared" si="22"/>
        <v>0</v>
      </c>
      <c r="BC148">
        <f t="shared" si="23"/>
        <v>0</v>
      </c>
      <c r="BD148">
        <f t="shared" si="24"/>
        <v>1</v>
      </c>
      <c r="BE148">
        <f t="shared" si="20"/>
        <v>1</v>
      </c>
      <c r="BF148">
        <f t="shared" si="25"/>
        <v>1</v>
      </c>
      <c r="BG148" s="9">
        <f t="shared" si="26"/>
        <v>0</v>
      </c>
      <c r="BH148" s="9">
        <f t="shared" si="27"/>
        <v>8.6329166118799701E-4</v>
      </c>
      <c r="BI148" s="9">
        <f t="shared" si="28"/>
        <v>8.6329166118799701E-4</v>
      </c>
      <c r="BJ148" s="12">
        <f t="shared" si="29"/>
        <v>2.4594002836301554E-3</v>
      </c>
      <c r="BL148" s="9"/>
      <c r="BN148">
        <f t="shared" si="30"/>
        <v>0</v>
      </c>
      <c r="BO148">
        <f t="shared" si="31"/>
        <v>1</v>
      </c>
      <c r="BP148">
        <f t="shared" si="32"/>
        <v>0</v>
      </c>
      <c r="BQ148">
        <f t="shared" si="21"/>
        <v>1</v>
      </c>
      <c r="BR148">
        <f t="shared" si="33"/>
        <v>0</v>
      </c>
      <c r="BS148" s="9">
        <f t="shared" si="34"/>
        <v>0</v>
      </c>
      <c r="BT148" s="9">
        <f t="shared" si="35"/>
        <v>0</v>
      </c>
      <c r="BU148" s="9">
        <f t="shared" si="36"/>
        <v>0</v>
      </c>
      <c r="BV148" s="12">
        <f t="shared" si="37"/>
        <v>6.6225380794649128E-3</v>
      </c>
      <c r="BX148" s="12">
        <f t="shared" si="38"/>
        <v>8.6329166118799701E-4</v>
      </c>
      <c r="BY148" s="12">
        <f t="shared" si="39"/>
        <v>9.0819383630950691E-3</v>
      </c>
    </row>
    <row r="149" spans="1:77" x14ac:dyDescent="0.3">
      <c r="A149" s="1">
        <v>46239</v>
      </c>
      <c r="B149" s="8">
        <v>69.099999999999994</v>
      </c>
      <c r="C149" s="8">
        <v>164.16</v>
      </c>
      <c r="D149" s="9">
        <v>1.25238275902004E-2</v>
      </c>
      <c r="E149" s="9">
        <v>1.2628133240774201E-2</v>
      </c>
      <c r="F149" s="8">
        <v>0</v>
      </c>
      <c r="G149" s="8">
        <v>0.35819999999999902</v>
      </c>
      <c r="H149" s="8">
        <v>0</v>
      </c>
      <c r="I149" s="8">
        <v>1.2508999999999999</v>
      </c>
      <c r="J149" s="8">
        <v>0.35819999999999902</v>
      </c>
      <c r="K149" s="8">
        <v>1.2508999999999999</v>
      </c>
      <c r="L149" s="8">
        <v>69.458199999999906</v>
      </c>
      <c r="M149" s="8">
        <v>165.4109</v>
      </c>
      <c r="N149" s="10">
        <v>2.3756874095513698</v>
      </c>
      <c r="O149" s="10">
        <v>2.3794589997480098</v>
      </c>
      <c r="P149" s="10">
        <v>2.3771054221622698</v>
      </c>
      <c r="Q149" s="10">
        <v>2.37493740249226</v>
      </c>
      <c r="R149" s="8">
        <v>164.42061688258701</v>
      </c>
      <c r="S149" s="8">
        <v>164.25529367022099</v>
      </c>
      <c r="T149" s="8">
        <v>164.07909078992799</v>
      </c>
      <c r="U149" s="9">
        <v>1.5863196052869899E-3</v>
      </c>
      <c r="V149" s="9">
        <v>5.8032420981955096E-4</v>
      </c>
      <c r="W149" s="9">
        <v>-4.9298949442877201E-4</v>
      </c>
      <c r="X149" s="10">
        <v>2.3814452433261999</v>
      </c>
      <c r="Y149" s="10">
        <v>2.3816575271846898</v>
      </c>
      <c r="Z149" s="10">
        <v>2.3828814746745199</v>
      </c>
      <c r="AA149" s="10">
        <v>2.3807779013308501</v>
      </c>
      <c r="AB149" s="8">
        <v>165.42564485469899</v>
      </c>
      <c r="AC149" s="8">
        <v>165.50914095575601</v>
      </c>
      <c r="AD149" s="8">
        <v>165.335621764835</v>
      </c>
      <c r="AE149" s="9">
        <v>8.9136795429775698E-5</v>
      </c>
      <c r="AF149" s="9">
        <v>5.9374438827441902E-4</v>
      </c>
      <c r="AG149" s="9">
        <v>-4.5520198406413299E-4</v>
      </c>
      <c r="AZ149" s="9"/>
      <c r="BB149">
        <f t="shared" si="22"/>
        <v>0</v>
      </c>
      <c r="BC149">
        <f t="shared" si="23"/>
        <v>0</v>
      </c>
      <c r="BD149">
        <f t="shared" si="24"/>
        <v>1</v>
      </c>
      <c r="BE149">
        <f t="shared" si="20"/>
        <v>1</v>
      </c>
      <c r="BF149">
        <f t="shared" si="25"/>
        <v>1</v>
      </c>
      <c r="BG149" s="9">
        <f t="shared" si="26"/>
        <v>1.25238275902004E-2</v>
      </c>
      <c r="BH149" s="9">
        <f t="shared" si="27"/>
        <v>-1.2628133240774201E-2</v>
      </c>
      <c r="BI149" s="9">
        <f t="shared" si="28"/>
        <v>-1.0430565057380041E-4</v>
      </c>
      <c r="BJ149" s="12">
        <f t="shared" si="29"/>
        <v>2.355094633056355E-3</v>
      </c>
      <c r="BL149" s="9"/>
      <c r="BN149">
        <f t="shared" si="30"/>
        <v>0</v>
      </c>
      <c r="BO149">
        <f t="shared" si="31"/>
        <v>1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6.6225380794649128E-3</v>
      </c>
      <c r="BX149" s="12">
        <f t="shared" si="38"/>
        <v>-1.0430565057380041E-4</v>
      </c>
      <c r="BY149" s="12">
        <f t="shared" si="39"/>
        <v>8.9776327125212687E-3</v>
      </c>
    </row>
    <row r="150" spans="1:77" x14ac:dyDescent="0.3">
      <c r="A150" s="1">
        <v>46240</v>
      </c>
      <c r="B150" s="8">
        <v>69.239999999999995</v>
      </c>
      <c r="C150" s="8">
        <v>164.45</v>
      </c>
      <c r="D150" s="9">
        <v>2.0239995343842199E-3</v>
      </c>
      <c r="E150" s="9">
        <v>1.76501065266131E-3</v>
      </c>
      <c r="F150" s="8">
        <v>0</v>
      </c>
      <c r="G150" s="8">
        <v>0.35819999999999902</v>
      </c>
      <c r="H150" s="8">
        <v>0</v>
      </c>
      <c r="I150" s="8">
        <v>1.2508999999999999</v>
      </c>
      <c r="J150" s="8">
        <v>0.35819999999999902</v>
      </c>
      <c r="K150" s="8">
        <v>1.2508999999999999</v>
      </c>
      <c r="L150" s="8">
        <v>69.598199999999906</v>
      </c>
      <c r="M150" s="8">
        <v>165.70089999999999</v>
      </c>
      <c r="N150" s="10">
        <v>2.3750722125938699</v>
      </c>
      <c r="O150" s="10">
        <v>2.3794589997480098</v>
      </c>
      <c r="P150" s="10">
        <v>2.37713103118277</v>
      </c>
      <c r="Q150" s="10">
        <v>2.3755257551796598</v>
      </c>
      <c r="R150" s="8">
        <v>164.753741142552</v>
      </c>
      <c r="S150" s="8">
        <v>164.59077943051599</v>
      </c>
      <c r="T150" s="8">
        <v>164.44066574856399</v>
      </c>
      <c r="U150" s="9">
        <v>1.8453084870101799E-3</v>
      </c>
      <c r="V150" s="9">
        <v>8.5569599822779899E-4</v>
      </c>
      <c r="W150" s="9">
        <v>-5.6762033162298702E-5</v>
      </c>
      <c r="X150" s="10">
        <v>2.3808216304444598</v>
      </c>
      <c r="Y150" s="10">
        <v>2.3816575271846898</v>
      </c>
      <c r="Z150" s="10">
        <v>2.38289634885271</v>
      </c>
      <c r="AA150" s="10">
        <v>2.3813606148469502</v>
      </c>
      <c r="AB150" s="8">
        <v>165.75907690850499</v>
      </c>
      <c r="AC150" s="8">
        <v>165.84426145069199</v>
      </c>
      <c r="AD150" s="8">
        <v>165.69785653240399</v>
      </c>
      <c r="AE150" s="9">
        <v>3.5103429165606899E-4</v>
      </c>
      <c r="AF150" s="9">
        <v>8.6480803399678597E-4</v>
      </c>
      <c r="AG150" s="9">
        <v>-1.8367405038591699E-5</v>
      </c>
      <c r="AZ150" s="9"/>
      <c r="BB150">
        <f t="shared" si="22"/>
        <v>0</v>
      </c>
      <c r="BC150">
        <f t="shared" si="23"/>
        <v>0</v>
      </c>
      <c r="BD150">
        <f t="shared" si="24"/>
        <v>1</v>
      </c>
      <c r="BE150">
        <f t="shared" ref="BE150:BE156" si="40">IF(F151+H151&gt;0,0,1)</f>
        <v>1</v>
      </c>
      <c r="BF150">
        <f t="shared" si="25"/>
        <v>1</v>
      </c>
      <c r="BG150" s="9">
        <f t="shared" si="26"/>
        <v>2.0239995343842199E-3</v>
      </c>
      <c r="BH150" s="9">
        <f t="shared" si="27"/>
        <v>-1.76501065266131E-3</v>
      </c>
      <c r="BI150" s="9">
        <f t="shared" si="28"/>
        <v>2.5898888172290989E-4</v>
      </c>
      <c r="BJ150" s="12">
        <f t="shared" si="29"/>
        <v>2.6140835147792649E-3</v>
      </c>
      <c r="BL150" s="9"/>
      <c r="BN150">
        <f t="shared" si="30"/>
        <v>0</v>
      </c>
      <c r="BO150">
        <f t="shared" si="31"/>
        <v>1</v>
      </c>
      <c r="BP150">
        <f t="shared" si="32"/>
        <v>0</v>
      </c>
      <c r="BQ150">
        <f t="shared" ref="BQ150:BQ156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6.6225380794649128E-3</v>
      </c>
      <c r="BX150" s="12">
        <f t="shared" si="38"/>
        <v>2.5898888172290989E-4</v>
      </c>
      <c r="BY150" s="12">
        <f t="shared" si="39"/>
        <v>9.2366215942441786E-3</v>
      </c>
    </row>
    <row r="151" spans="1:77" x14ac:dyDescent="0.3">
      <c r="A151" s="1">
        <v>46241</v>
      </c>
      <c r="B151" s="8">
        <v>70</v>
      </c>
      <c r="C151" s="8">
        <v>165.68</v>
      </c>
      <c r="D151" s="9">
        <v>1.09165117413504E-2</v>
      </c>
      <c r="E151" s="9">
        <v>7.4516444522629496E-3</v>
      </c>
      <c r="F151" s="8">
        <v>0</v>
      </c>
      <c r="G151" s="8">
        <v>0.35819999999999902</v>
      </c>
      <c r="H151" s="8">
        <v>0</v>
      </c>
      <c r="I151" s="8">
        <v>1.2508999999999999</v>
      </c>
      <c r="J151" s="8">
        <v>0.35819999999999902</v>
      </c>
      <c r="K151" s="8">
        <v>1.2508999999999999</v>
      </c>
      <c r="L151" s="8">
        <v>70.358199999999997</v>
      </c>
      <c r="M151" s="8">
        <v>166.93090000000001</v>
      </c>
      <c r="N151" s="10">
        <v>2.3668571428571399</v>
      </c>
      <c r="O151" s="10">
        <v>2.3794589997480098</v>
      </c>
      <c r="P151" s="10">
        <v>2.3761760496637798</v>
      </c>
      <c r="Q151" s="10">
        <v>2.3754122859121498</v>
      </c>
      <c r="R151" s="8">
        <v>166.56212998236001</v>
      </c>
      <c r="S151" s="8">
        <v>166.39917218279399</v>
      </c>
      <c r="T151" s="8">
        <v>166.286802862576</v>
      </c>
      <c r="U151" s="9">
        <v>5.3101757760977801E-3</v>
      </c>
      <c r="V151" s="9">
        <v>4.3313364243883204E-3</v>
      </c>
      <c r="W151" s="9">
        <v>3.6558085517445502E-3</v>
      </c>
      <c r="X151" s="10">
        <v>2.37258627992188</v>
      </c>
      <c r="Y151" s="10">
        <v>2.3816575271846898</v>
      </c>
      <c r="Z151" s="10">
        <v>2.38193309521938</v>
      </c>
      <c r="AA151" s="10">
        <v>2.3812388848594601</v>
      </c>
      <c r="AB151" s="8">
        <v>167.569136629166</v>
      </c>
      <c r="AC151" s="8">
        <v>167.65629789184899</v>
      </c>
      <c r="AD151" s="8">
        <v>167.54824641152399</v>
      </c>
      <c r="AE151" s="9">
        <v>3.81606776559805E-3</v>
      </c>
      <c r="AF151" s="9">
        <v>4.33608358582885E-3</v>
      </c>
      <c r="AG151" s="9">
        <v>3.6913937335978199E-3</v>
      </c>
      <c r="AZ151" s="9"/>
      <c r="BB151">
        <f t="shared" ref="BB151:BB167" si="42">IF($AG151&lt;BA$20,1,0)</f>
        <v>0</v>
      </c>
      <c r="BC151">
        <f t="shared" ref="BC151:BC156" si="43">IF($AG151&gt;BA$21,1,0)</f>
        <v>1</v>
      </c>
      <c r="BD151">
        <f t="shared" ref="BD151:BD156" si="44">BF151</f>
        <v>1</v>
      </c>
      <c r="BE151">
        <f t="shared" si="40"/>
        <v>1</v>
      </c>
      <c r="BF151">
        <f t="shared" ref="BF151:BF156" si="45">IF(BB150,1,IF(BC150,0,BD150))*BE150</f>
        <v>1</v>
      </c>
      <c r="BG151" s="9">
        <f t="shared" ref="BG151:BG156" si="46">BF151*D151</f>
        <v>1.09165117413504E-2</v>
      </c>
      <c r="BH151" s="9">
        <f t="shared" ref="BH151:BH156" si="47">-BF151*$E151</f>
        <v>-7.4516444522629496E-3</v>
      </c>
      <c r="BI151" s="9">
        <f t="shared" ref="BI151:BI156" si="48">BG151+BH151</f>
        <v>3.4648672890874501E-3</v>
      </c>
      <c r="BJ151" s="12">
        <f t="shared" ref="BJ151:BJ156" si="49">BJ150+BI151</f>
        <v>6.078950803866715E-3</v>
      </c>
      <c r="BL151" s="9"/>
      <c r="BN151">
        <f t="shared" ref="BN151:BN167" si="50">IF($AG151&gt;BM$20,1,0)</f>
        <v>1</v>
      </c>
      <c r="BO151">
        <f t="shared" ref="BO151:BO156" si="51">IF($AG151&lt;BM$21,1,0)</f>
        <v>0</v>
      </c>
      <c r="BP151">
        <f t="shared" ref="BP151:BP156" si="52">BR151</f>
        <v>0</v>
      </c>
      <c r="BQ151">
        <f t="shared" si="41"/>
        <v>1</v>
      </c>
      <c r="BR151">
        <f t="shared" ref="BR151:BR156" si="53">IF(BN150,1,IF(BO150,0,BP150))*BQ150</f>
        <v>0</v>
      </c>
      <c r="BS151" s="9">
        <f t="shared" ref="BS151:BS156" si="54">-BR151*D151</f>
        <v>0</v>
      </c>
      <c r="BT151" s="9">
        <f t="shared" ref="BT151:BT156" si="55">BR151*$E151</f>
        <v>0</v>
      </c>
      <c r="BU151" s="9">
        <f t="shared" ref="BU151:BU156" si="56">BS151+BT151</f>
        <v>0</v>
      </c>
      <c r="BV151" s="12">
        <f t="shared" ref="BV151:BV156" si="57">BV150+BU151</f>
        <v>6.6225380794649128E-3</v>
      </c>
      <c r="BX151" s="12">
        <f t="shared" ref="BX151:BX156" si="58">BI151+BU151</f>
        <v>3.4648672890874501E-3</v>
      </c>
      <c r="BY151" s="12">
        <f t="shared" ref="BY151:BY156" si="59">BY150+BX151</f>
        <v>1.2701488883331629E-2</v>
      </c>
    </row>
    <row r="152" spans="1:77" x14ac:dyDescent="0.3">
      <c r="A152" s="1">
        <v>46244</v>
      </c>
      <c r="B152" s="8">
        <v>71.14</v>
      </c>
      <c r="C152" s="8">
        <v>168.44</v>
      </c>
      <c r="D152" s="9">
        <v>1.6154524470950098E-2</v>
      </c>
      <c r="E152" s="9">
        <v>1.6521386206398099E-2</v>
      </c>
      <c r="F152" s="8">
        <v>0</v>
      </c>
      <c r="G152" s="8">
        <v>0.35819999999999902</v>
      </c>
      <c r="H152" s="8">
        <v>0</v>
      </c>
      <c r="I152" s="8">
        <v>1.2508999999999999</v>
      </c>
      <c r="J152" s="8">
        <v>0.35819999999999902</v>
      </c>
      <c r="K152" s="8">
        <v>1.2508999999999999</v>
      </c>
      <c r="L152" s="8">
        <v>71.498199999999997</v>
      </c>
      <c r="M152" s="8">
        <v>169.6909</v>
      </c>
      <c r="N152" s="10">
        <v>2.3677256114703402</v>
      </c>
      <c r="O152" s="10">
        <v>2.3794589997480098</v>
      </c>
      <c r="P152" s="10">
        <v>2.3751721265267598</v>
      </c>
      <c r="Q152" s="10">
        <v>2.37511474295626</v>
      </c>
      <c r="R152" s="8">
        <v>169.27471324207301</v>
      </c>
      <c r="S152" s="8">
        <v>169.041164173081</v>
      </c>
      <c r="T152" s="8">
        <v>168.98683001979001</v>
      </c>
      <c r="U152" s="9">
        <v>4.9433140406497499E-3</v>
      </c>
      <c r="V152" s="9">
        <v>3.5626569584217001E-3</v>
      </c>
      <c r="W152" s="9">
        <v>3.24117971575629E-3</v>
      </c>
      <c r="X152" s="10">
        <v>2.37335904959845</v>
      </c>
      <c r="Y152" s="10">
        <v>2.3816575271846898</v>
      </c>
      <c r="Z152" s="10">
        <v>2.38091464236446</v>
      </c>
      <c r="AA152" s="10">
        <v>2.3809299625825902</v>
      </c>
      <c r="AB152" s="8">
        <v>170.28422621015599</v>
      </c>
      <c r="AC152" s="8">
        <v>170.303928828614</v>
      </c>
      <c r="AD152" s="8">
        <v>170.254294037459</v>
      </c>
      <c r="AE152" s="9">
        <v>3.49041307312258E-3</v>
      </c>
      <c r="AF152" s="9">
        <v>3.60611068731537E-3</v>
      </c>
      <c r="AG152" s="9">
        <v>3.3146199043915798E-3</v>
      </c>
      <c r="AZ152" s="9"/>
      <c r="BB152">
        <f t="shared" si="42"/>
        <v>0</v>
      </c>
      <c r="BC152">
        <f t="shared" si="43"/>
        <v>1</v>
      </c>
      <c r="BD152">
        <f t="shared" si="44"/>
        <v>0</v>
      </c>
      <c r="BE152">
        <f t="shared" si="40"/>
        <v>1</v>
      </c>
      <c r="BF152">
        <f t="shared" si="45"/>
        <v>0</v>
      </c>
      <c r="BG152" s="9">
        <f t="shared" si="46"/>
        <v>0</v>
      </c>
      <c r="BH152" s="9">
        <f t="shared" si="47"/>
        <v>0</v>
      </c>
      <c r="BI152" s="9">
        <f t="shared" si="48"/>
        <v>0</v>
      </c>
      <c r="BJ152" s="12">
        <f t="shared" si="49"/>
        <v>6.078950803866715E-3</v>
      </c>
      <c r="BL152" s="9"/>
      <c r="BN152">
        <f t="shared" si="50"/>
        <v>1</v>
      </c>
      <c r="BO152">
        <f t="shared" si="51"/>
        <v>0</v>
      </c>
      <c r="BP152">
        <f t="shared" si="52"/>
        <v>1</v>
      </c>
      <c r="BQ152">
        <f t="shared" si="41"/>
        <v>1</v>
      </c>
      <c r="BR152">
        <f t="shared" si="53"/>
        <v>1</v>
      </c>
      <c r="BS152" s="9">
        <f t="shared" si="54"/>
        <v>-1.6154524470950098E-2</v>
      </c>
      <c r="BT152" s="9">
        <f t="shared" si="55"/>
        <v>1.6521386206398099E-2</v>
      </c>
      <c r="BU152" s="9">
        <f t="shared" si="56"/>
        <v>3.6686173544800069E-4</v>
      </c>
      <c r="BV152" s="12">
        <f t="shared" si="57"/>
        <v>6.9893998149129135E-3</v>
      </c>
      <c r="BX152" s="12">
        <f t="shared" si="58"/>
        <v>3.6686173544800069E-4</v>
      </c>
      <c r="BY152" s="12">
        <f t="shared" si="59"/>
        <v>1.3068350618779629E-2</v>
      </c>
    </row>
    <row r="153" spans="1:77" x14ac:dyDescent="0.3">
      <c r="A153" s="1">
        <v>46245</v>
      </c>
      <c r="B153" s="8">
        <v>70.89</v>
      </c>
      <c r="C153" s="8">
        <v>168.01</v>
      </c>
      <c r="D153" s="9">
        <v>-3.520386653383E-3</v>
      </c>
      <c r="E153" s="9">
        <v>-2.5561018524159701E-3</v>
      </c>
      <c r="F153" s="8">
        <v>0</v>
      </c>
      <c r="G153" s="8">
        <v>0.35819999999999902</v>
      </c>
      <c r="H153" s="8">
        <v>0</v>
      </c>
      <c r="I153" s="8">
        <v>1.2508999999999999</v>
      </c>
      <c r="J153" s="8">
        <v>0.35819999999999902</v>
      </c>
      <c r="K153" s="8">
        <v>1.2508999999999999</v>
      </c>
      <c r="L153" s="8">
        <v>71.248199999999997</v>
      </c>
      <c r="M153" s="8">
        <v>169.26089999999999</v>
      </c>
      <c r="N153" s="10">
        <v>2.3700098744533702</v>
      </c>
      <c r="O153" s="10">
        <v>2.3794589997480098</v>
      </c>
      <c r="P153" s="10">
        <v>2.3742160788319602</v>
      </c>
      <c r="Q153" s="10">
        <v>2.3750281824385899</v>
      </c>
      <c r="R153" s="8">
        <v>168.67984849213599</v>
      </c>
      <c r="S153" s="8">
        <v>168.37595204948201</v>
      </c>
      <c r="T153" s="8">
        <v>168.371884128169</v>
      </c>
      <c r="U153" s="9">
        <v>3.97902923968259E-3</v>
      </c>
      <c r="V153" s="9">
        <v>2.1757876131403698E-3</v>
      </c>
      <c r="W153" s="9">
        <v>2.1516275688819799E-3</v>
      </c>
      <c r="X153" s="10">
        <v>2.3756515954087201</v>
      </c>
      <c r="Y153" s="10">
        <v>2.3816575271846898</v>
      </c>
      <c r="Z153" s="10">
        <v>2.3799586506233501</v>
      </c>
      <c r="AA153" s="10">
        <v>2.38082641724088</v>
      </c>
      <c r="AB153" s="8">
        <v>169.68881182836</v>
      </c>
      <c r="AC153" s="8">
        <v>169.63588262211201</v>
      </c>
      <c r="AD153" s="8">
        <v>169.63697416007699</v>
      </c>
      <c r="AE153" s="9">
        <v>2.5249294557004999E-3</v>
      </c>
      <c r="AF153" s="9">
        <v>2.2129615527246098E-3</v>
      </c>
      <c r="AG153" s="9">
        <v>2.21939612562576E-3</v>
      </c>
      <c r="AZ153" s="9"/>
      <c r="BB153">
        <f t="shared" si="42"/>
        <v>0</v>
      </c>
      <c r="BC153">
        <f t="shared" si="43"/>
        <v>1</v>
      </c>
      <c r="BD153">
        <f t="shared" si="44"/>
        <v>0</v>
      </c>
      <c r="BE153">
        <f t="shared" si="40"/>
        <v>1</v>
      </c>
      <c r="BF153">
        <f t="shared" si="45"/>
        <v>0</v>
      </c>
      <c r="BG153" s="9">
        <f t="shared" si="46"/>
        <v>0</v>
      </c>
      <c r="BH153" s="9">
        <f t="shared" si="47"/>
        <v>0</v>
      </c>
      <c r="BI153" s="9">
        <f t="shared" si="48"/>
        <v>0</v>
      </c>
      <c r="BJ153" s="12">
        <f t="shared" si="49"/>
        <v>6.078950803866715E-3</v>
      </c>
      <c r="BL153" s="9"/>
      <c r="BN153">
        <f t="shared" si="50"/>
        <v>1</v>
      </c>
      <c r="BO153">
        <f t="shared" si="51"/>
        <v>0</v>
      </c>
      <c r="BP153">
        <f t="shared" si="52"/>
        <v>1</v>
      </c>
      <c r="BQ153">
        <f t="shared" si="41"/>
        <v>1</v>
      </c>
      <c r="BR153">
        <f t="shared" si="53"/>
        <v>1</v>
      </c>
      <c r="BS153" s="9">
        <f t="shared" si="54"/>
        <v>3.520386653383E-3</v>
      </c>
      <c r="BT153" s="9">
        <f t="shared" si="55"/>
        <v>-2.5561018524159701E-3</v>
      </c>
      <c r="BU153" s="9">
        <f t="shared" si="56"/>
        <v>9.6428480096702983E-4</v>
      </c>
      <c r="BV153" s="12">
        <f t="shared" si="57"/>
        <v>7.9536846158799433E-3</v>
      </c>
      <c r="BX153" s="12">
        <f t="shared" si="58"/>
        <v>9.6428480096702983E-4</v>
      </c>
      <c r="BY153" s="12">
        <f t="shared" si="59"/>
        <v>1.4032635419746659E-2</v>
      </c>
    </row>
    <row r="154" spans="1:77" x14ac:dyDescent="0.3">
      <c r="A154" s="1">
        <v>46246</v>
      </c>
      <c r="B154" s="8">
        <v>71.17</v>
      </c>
      <c r="C154" s="8">
        <v>168.44</v>
      </c>
      <c r="D154" s="9">
        <v>3.94200144425367E-3</v>
      </c>
      <c r="E154" s="9">
        <v>2.5561018524159402E-3</v>
      </c>
      <c r="F154" s="8">
        <v>0</v>
      </c>
      <c r="G154" s="8">
        <v>0.35819999999999902</v>
      </c>
      <c r="H154" s="8">
        <v>0</v>
      </c>
      <c r="I154" s="8">
        <v>1.2508999999999999</v>
      </c>
      <c r="J154" s="8">
        <v>0.35819999999999902</v>
      </c>
      <c r="K154" s="8">
        <v>1.2508999999999999</v>
      </c>
      <c r="L154" s="8">
        <v>71.528199999999998</v>
      </c>
      <c r="M154" s="8">
        <v>169.6909</v>
      </c>
      <c r="N154" s="10">
        <v>2.3667275537445498</v>
      </c>
      <c r="O154" s="10">
        <v>2.3794589997480098</v>
      </c>
      <c r="P154" s="10">
        <v>2.37296125441538</v>
      </c>
      <c r="Q154" s="10">
        <v>2.3749017551564999</v>
      </c>
      <c r="R154" s="8">
        <v>169.346097012065</v>
      </c>
      <c r="S154" s="8">
        <v>168.97295833047099</v>
      </c>
      <c r="T154" s="8">
        <v>169.03075574415399</v>
      </c>
      <c r="U154" s="9">
        <v>5.3649288315201398E-3</v>
      </c>
      <c r="V154" s="9">
        <v>3.15908894753042E-3</v>
      </c>
      <c r="W154" s="9">
        <v>3.5010817235881799E-3</v>
      </c>
      <c r="X154" s="10">
        <v>2.37236362721276</v>
      </c>
      <c r="Y154" s="10">
        <v>2.3816575271846898</v>
      </c>
      <c r="Z154" s="10">
        <v>2.3786997934756799</v>
      </c>
      <c r="AA154" s="10">
        <v>2.38068237183349</v>
      </c>
      <c r="AB154" s="8">
        <v>170.35567593597199</v>
      </c>
      <c r="AC154" s="8">
        <v>170.23415835351699</v>
      </c>
      <c r="AD154" s="8">
        <v>170.29622813768901</v>
      </c>
      <c r="AE154" s="9">
        <v>3.9099160521524397E-3</v>
      </c>
      <c r="AF154" s="9">
        <v>3.19634462178589E-3</v>
      </c>
      <c r="AG154" s="9">
        <v>3.5608923233805098E-3</v>
      </c>
      <c r="AZ154" s="9"/>
      <c r="BB154">
        <f t="shared" si="42"/>
        <v>0</v>
      </c>
      <c r="BC154">
        <f t="shared" si="43"/>
        <v>1</v>
      </c>
      <c r="BD154">
        <f t="shared" si="44"/>
        <v>0</v>
      </c>
      <c r="BE154">
        <f t="shared" si="40"/>
        <v>1</v>
      </c>
      <c r="BF154">
        <f t="shared" si="45"/>
        <v>0</v>
      </c>
      <c r="BG154" s="9">
        <f t="shared" si="46"/>
        <v>0</v>
      </c>
      <c r="BH154" s="9">
        <f t="shared" si="47"/>
        <v>0</v>
      </c>
      <c r="BI154" s="9">
        <f t="shared" si="48"/>
        <v>0</v>
      </c>
      <c r="BJ154" s="12">
        <f t="shared" si="49"/>
        <v>6.078950803866715E-3</v>
      </c>
      <c r="BL154" s="9"/>
      <c r="BN154">
        <f t="shared" si="50"/>
        <v>1</v>
      </c>
      <c r="BO154">
        <f t="shared" si="51"/>
        <v>0</v>
      </c>
      <c r="BP154">
        <f t="shared" si="52"/>
        <v>1</v>
      </c>
      <c r="BQ154">
        <f t="shared" si="41"/>
        <v>1</v>
      </c>
      <c r="BR154">
        <f t="shared" si="53"/>
        <v>1</v>
      </c>
      <c r="BS154" s="9">
        <f t="shared" si="54"/>
        <v>-3.94200144425367E-3</v>
      </c>
      <c r="BT154" s="9">
        <f t="shared" si="55"/>
        <v>2.5561018524159402E-3</v>
      </c>
      <c r="BU154" s="9">
        <f t="shared" si="56"/>
        <v>-1.3858995918377298E-3</v>
      </c>
      <c r="BV154" s="12">
        <f t="shared" si="57"/>
        <v>6.567785024042214E-3</v>
      </c>
      <c r="BX154" s="12">
        <f t="shared" si="58"/>
        <v>-1.3858995918377298E-3</v>
      </c>
      <c r="BY154" s="12">
        <f t="shared" si="59"/>
        <v>1.264673582790893E-2</v>
      </c>
    </row>
    <row r="155" spans="1:77" x14ac:dyDescent="0.3">
      <c r="A155" s="1">
        <v>46247</v>
      </c>
      <c r="B155" s="8">
        <v>71.11</v>
      </c>
      <c r="C155" s="8">
        <v>168.38</v>
      </c>
      <c r="D155" s="9">
        <v>-8.4340741575315902E-4</v>
      </c>
      <c r="E155" s="9">
        <v>-3.56273384209112E-4</v>
      </c>
      <c r="F155" s="8">
        <v>0</v>
      </c>
      <c r="G155" s="8">
        <v>0.35819999999999902</v>
      </c>
      <c r="H155" s="8">
        <v>0</v>
      </c>
      <c r="I155" s="8">
        <v>1.2508999999999999</v>
      </c>
      <c r="J155" s="8">
        <v>0.35819999999999902</v>
      </c>
      <c r="K155" s="8">
        <v>1.2508999999999999</v>
      </c>
      <c r="L155" s="8">
        <v>71.468199999999996</v>
      </c>
      <c r="M155" s="8">
        <v>169.6309</v>
      </c>
      <c r="N155" s="10">
        <v>2.3678807481366801</v>
      </c>
      <c r="O155" s="10">
        <v>2.3794589997480098</v>
      </c>
      <c r="P155" s="10">
        <v>2.3721439819462802</v>
      </c>
      <c r="Q155" s="10">
        <v>2.37453478258095</v>
      </c>
      <c r="R155" s="8">
        <v>169.20332947208101</v>
      </c>
      <c r="S155" s="8">
        <v>168.741274801477</v>
      </c>
      <c r="T155" s="8">
        <v>168.87926380917901</v>
      </c>
      <c r="U155" s="9">
        <v>4.8777947999761196E-3</v>
      </c>
      <c r="V155" s="9">
        <v>2.1432936262464602E-3</v>
      </c>
      <c r="W155" s="9">
        <v>2.96071436701455E-3</v>
      </c>
      <c r="X155" s="10">
        <v>2.3735157734488901</v>
      </c>
      <c r="Y155" s="10">
        <v>2.3816575271846898</v>
      </c>
      <c r="Z155" s="10">
        <v>2.3778680992118901</v>
      </c>
      <c r="AA155" s="10">
        <v>2.3803050165856798</v>
      </c>
      <c r="AB155" s="8">
        <v>170.21277648434099</v>
      </c>
      <c r="AC155" s="8">
        <v>170.001392580079</v>
      </c>
      <c r="AD155" s="8">
        <v>170.14308388667001</v>
      </c>
      <c r="AE155" s="9">
        <v>3.4243806385889498E-3</v>
      </c>
      <c r="AF155" s="9">
        <v>2.1817285054072199E-3</v>
      </c>
      <c r="AG155" s="9">
        <v>3.01485280752045E-3</v>
      </c>
      <c r="AZ155" s="9"/>
      <c r="BB155">
        <f t="shared" si="42"/>
        <v>0</v>
      </c>
      <c r="BC155">
        <f t="shared" si="43"/>
        <v>1</v>
      </c>
      <c r="BD155">
        <f t="shared" si="44"/>
        <v>0</v>
      </c>
      <c r="BE155">
        <f t="shared" si="40"/>
        <v>1</v>
      </c>
      <c r="BF155">
        <f t="shared" si="45"/>
        <v>0</v>
      </c>
      <c r="BG155" s="9">
        <f t="shared" si="46"/>
        <v>0</v>
      </c>
      <c r="BH155" s="9">
        <f t="shared" si="47"/>
        <v>0</v>
      </c>
      <c r="BI155" s="9">
        <f t="shared" si="48"/>
        <v>0</v>
      </c>
      <c r="BJ155" s="12">
        <f t="shared" si="49"/>
        <v>6.078950803866715E-3</v>
      </c>
      <c r="BL155" s="9"/>
      <c r="BN155">
        <f t="shared" si="50"/>
        <v>1</v>
      </c>
      <c r="BO155">
        <f t="shared" si="51"/>
        <v>0</v>
      </c>
      <c r="BP155">
        <f t="shared" si="52"/>
        <v>1</v>
      </c>
      <c r="BQ155">
        <f t="shared" si="41"/>
        <v>1</v>
      </c>
      <c r="BR155">
        <f t="shared" si="53"/>
        <v>1</v>
      </c>
      <c r="BS155" s="9">
        <f t="shared" si="54"/>
        <v>8.4340741575315902E-4</v>
      </c>
      <c r="BT155" s="9">
        <f t="shared" si="55"/>
        <v>-3.56273384209112E-4</v>
      </c>
      <c r="BU155" s="9">
        <f t="shared" si="56"/>
        <v>4.8713403154404701E-4</v>
      </c>
      <c r="BV155" s="12">
        <f t="shared" si="57"/>
        <v>7.0549190555862611E-3</v>
      </c>
      <c r="BX155" s="12">
        <f t="shared" si="58"/>
        <v>4.8713403154404701E-4</v>
      </c>
      <c r="BY155" s="12">
        <f t="shared" si="59"/>
        <v>1.3133869859452977E-2</v>
      </c>
    </row>
    <row r="156" spans="1:77" x14ac:dyDescent="0.3">
      <c r="A156" s="1">
        <v>46248</v>
      </c>
      <c r="B156" s="8">
        <v>70.650000000000006</v>
      </c>
      <c r="C156" s="8">
        <v>167.37</v>
      </c>
      <c r="D156" s="9">
        <v>-6.4898647648900399E-3</v>
      </c>
      <c r="E156" s="9">
        <v>-6.0163993839712302E-3</v>
      </c>
      <c r="F156" s="8">
        <v>0</v>
      </c>
      <c r="G156" s="8">
        <v>0.35819999999999902</v>
      </c>
      <c r="H156" s="8">
        <v>0</v>
      </c>
      <c r="I156" s="8">
        <v>1.2508999999999999</v>
      </c>
      <c r="J156" s="8">
        <v>0.35819999999999902</v>
      </c>
      <c r="K156" s="8">
        <v>1.2508999999999999</v>
      </c>
      <c r="L156" s="8">
        <v>71.008200000000002</v>
      </c>
      <c r="M156" s="8">
        <v>168.62090000000001</v>
      </c>
      <c r="N156" s="10">
        <v>2.3690021231422498</v>
      </c>
      <c r="O156" s="10">
        <v>2.3794589997480098</v>
      </c>
      <c r="P156" s="10">
        <v>2.3711893508305999</v>
      </c>
      <c r="Q156" s="10">
        <v>2.3741869536348199</v>
      </c>
      <c r="R156" s="8">
        <v>168.10877833219601</v>
      </c>
      <c r="S156" s="8">
        <v>167.59197232450401</v>
      </c>
      <c r="T156" s="8">
        <v>167.760882389344</v>
      </c>
      <c r="U156" s="9">
        <v>4.4043294190573602E-3</v>
      </c>
      <c r="V156" s="9">
        <v>1.32535855014921E-3</v>
      </c>
      <c r="W156" s="9">
        <v>2.3327158858576901E-3</v>
      </c>
      <c r="X156" s="10">
        <v>2.3746679960905901</v>
      </c>
      <c r="Y156" s="10">
        <v>2.3816575271846898</v>
      </c>
      <c r="Z156" s="10">
        <v>2.37689939396056</v>
      </c>
      <c r="AA156" s="10">
        <v>2.37994716984907</v>
      </c>
      <c r="AB156" s="8">
        <v>169.11721402183599</v>
      </c>
      <c r="AC156" s="8">
        <v>168.84813356245701</v>
      </c>
      <c r="AD156" s="8">
        <v>169.02117467871901</v>
      </c>
      <c r="AE156" s="9">
        <v>2.9390486799946301E-3</v>
      </c>
      <c r="AF156" s="9">
        <v>1.34669302484615E-3</v>
      </c>
      <c r="AG156" s="9">
        <v>2.37100110593383E-3</v>
      </c>
      <c r="AZ156" s="9"/>
      <c r="BB156">
        <f t="shared" si="42"/>
        <v>0</v>
      </c>
      <c r="BC156">
        <f t="shared" si="43"/>
        <v>1</v>
      </c>
      <c r="BD156">
        <f t="shared" si="44"/>
        <v>0</v>
      </c>
      <c r="BE156">
        <f t="shared" si="40"/>
        <v>1</v>
      </c>
      <c r="BF156">
        <f t="shared" si="45"/>
        <v>0</v>
      </c>
      <c r="BG156" s="9">
        <f t="shared" si="46"/>
        <v>0</v>
      </c>
      <c r="BH156" s="9">
        <f t="shared" si="47"/>
        <v>0</v>
      </c>
      <c r="BI156" s="9">
        <f t="shared" si="48"/>
        <v>0</v>
      </c>
      <c r="BJ156" s="12">
        <f t="shared" si="49"/>
        <v>6.078950803866715E-3</v>
      </c>
      <c r="BL156" s="9"/>
      <c r="BN156">
        <f t="shared" si="50"/>
        <v>1</v>
      </c>
      <c r="BO156">
        <f t="shared" si="51"/>
        <v>0</v>
      </c>
      <c r="BP156">
        <f t="shared" si="52"/>
        <v>1</v>
      </c>
      <c r="BQ156">
        <f t="shared" si="41"/>
        <v>1</v>
      </c>
      <c r="BR156">
        <f t="shared" si="53"/>
        <v>1</v>
      </c>
      <c r="BS156" s="9">
        <f t="shared" si="54"/>
        <v>6.4898647648900399E-3</v>
      </c>
      <c r="BT156" s="9">
        <f t="shared" si="55"/>
        <v>-6.0163993839712302E-3</v>
      </c>
      <c r="BU156" s="9">
        <f t="shared" si="56"/>
        <v>4.7346538091880969E-4</v>
      </c>
      <c r="BV156" s="12">
        <f t="shared" si="57"/>
        <v>7.5283844365050707E-3</v>
      </c>
      <c r="BX156" s="12">
        <f t="shared" si="58"/>
        <v>4.7346538091880969E-4</v>
      </c>
      <c r="BY156" s="12">
        <f t="shared" si="59"/>
        <v>1.3607335240371787E-2</v>
      </c>
    </row>
    <row r="157" spans="1:77" x14ac:dyDescent="0.3">
      <c r="A157" s="1">
        <v>46251</v>
      </c>
      <c r="B157" s="8">
        <v>70.599999999999994</v>
      </c>
      <c r="C157" s="8">
        <v>167.05</v>
      </c>
      <c r="D157" s="9">
        <v>-7.0796463134023904E-4</v>
      </c>
      <c r="E157" s="9">
        <v>-1.91376172278105E-3</v>
      </c>
      <c r="F157" s="8">
        <v>0</v>
      </c>
      <c r="G157" s="8">
        <v>0.35819999999999902</v>
      </c>
      <c r="H157" s="8">
        <v>0</v>
      </c>
      <c r="I157" s="8">
        <v>1.2508999999999999</v>
      </c>
      <c r="J157" s="8">
        <v>0.35819999999999902</v>
      </c>
      <c r="K157" s="8">
        <v>1.2508999999999999</v>
      </c>
      <c r="L157" s="8">
        <v>70.958199999999906</v>
      </c>
      <c r="M157" s="8">
        <v>168.30090000000001</v>
      </c>
      <c r="N157" s="10">
        <v>2.3661473087818701</v>
      </c>
      <c r="O157" s="10">
        <v>2.3794589997480098</v>
      </c>
      <c r="P157" s="10">
        <v>2.3700549609584902</v>
      </c>
      <c r="Q157" s="10">
        <v>2.3736332950404799</v>
      </c>
      <c r="R157" s="8">
        <v>167.989805382209</v>
      </c>
      <c r="S157" s="8">
        <v>167.40596816863999</v>
      </c>
      <c r="T157" s="8">
        <v>167.617598926618</v>
      </c>
      <c r="U157" s="9">
        <v>5.6101265104982201E-3</v>
      </c>
      <c r="V157" s="9">
        <v>2.1286407595021602E-3</v>
      </c>
      <c r="W157" s="9">
        <v>3.39201926127344E-3</v>
      </c>
      <c r="X157" s="10">
        <v>2.37183158535588</v>
      </c>
      <c r="Y157" s="10">
        <v>2.3816575271846898</v>
      </c>
      <c r="Z157" s="10">
        <v>2.3757513717946099</v>
      </c>
      <c r="AA157" s="10">
        <v>2.3793812215214798</v>
      </c>
      <c r="AB157" s="8">
        <v>168.99813114547601</v>
      </c>
      <c r="AC157" s="8">
        <v>168.660502576532</v>
      </c>
      <c r="AD157" s="8">
        <v>168.876767267584</v>
      </c>
      <c r="AE157" s="9">
        <v>4.13420777509788E-3</v>
      </c>
      <c r="AF157" s="9">
        <v>2.1343851865508901E-3</v>
      </c>
      <c r="AG157" s="9">
        <v>3.4158123945490799E-3</v>
      </c>
      <c r="BB157">
        <f t="shared" si="42"/>
        <v>0</v>
      </c>
      <c r="BC157">
        <f t="shared" ref="BC157:BC167" si="60">IF($AG157&gt;BA$21,1,0)</f>
        <v>1</v>
      </c>
      <c r="BD157">
        <f t="shared" ref="BD157:BD167" si="61">BF157</f>
        <v>0</v>
      </c>
      <c r="BE157">
        <f t="shared" ref="BE157:BE167" si="62">IF(F158+H158&gt;0,0,1)</f>
        <v>1</v>
      </c>
      <c r="BF157">
        <f t="shared" ref="BF157:BF167" si="63">IF(BB156,1,IF(BC156,0,BD156))*BE156</f>
        <v>0</v>
      </c>
      <c r="BG157" s="9">
        <f t="shared" ref="BG157:BG167" si="64">BF157*D157</f>
        <v>0</v>
      </c>
      <c r="BH157" s="9">
        <f t="shared" ref="BH157:BH167" si="65">-BF157*$E157</f>
        <v>0</v>
      </c>
      <c r="BI157" s="9">
        <f t="shared" ref="BI157:BI167" si="66">BG157+BH157</f>
        <v>0</v>
      </c>
      <c r="BJ157" s="12">
        <f t="shared" ref="BJ157:BJ167" si="67">BJ156+BI157</f>
        <v>6.078950803866715E-3</v>
      </c>
      <c r="BL157" s="9"/>
      <c r="BN157">
        <f t="shared" si="50"/>
        <v>1</v>
      </c>
      <c r="BO157">
        <f t="shared" ref="BO157:BO167" si="68">IF($AG157&lt;BM$21,1,0)</f>
        <v>0</v>
      </c>
      <c r="BP157">
        <f t="shared" ref="BP157:BP167" si="69">BR157</f>
        <v>1</v>
      </c>
      <c r="BQ157">
        <f t="shared" ref="BQ157:BQ167" si="70">IF(F158+H158&gt;0,0,1)</f>
        <v>1</v>
      </c>
      <c r="BR157">
        <f t="shared" ref="BR157:BR167" si="71">IF(BN156,1,IF(BO156,0,BP156))*BQ156</f>
        <v>1</v>
      </c>
      <c r="BS157" s="9">
        <f t="shared" ref="BS157:BS167" si="72">-BR157*D157</f>
        <v>7.0796463134023904E-4</v>
      </c>
      <c r="BT157" s="9">
        <f t="shared" ref="BT157:BT167" si="73">BR157*$E157</f>
        <v>-1.91376172278105E-3</v>
      </c>
      <c r="BU157" s="9">
        <f t="shared" ref="BU157:BU167" si="74">BS157+BT157</f>
        <v>-1.2057970914408109E-3</v>
      </c>
      <c r="BV157" s="12">
        <f t="shared" ref="BV157:BV167" si="75">BV156+BU157</f>
        <v>6.3225873450642595E-3</v>
      </c>
      <c r="BX157" s="12">
        <f t="shared" ref="BX157:BX167" si="76">BI157+BU157</f>
        <v>-1.2057970914408109E-3</v>
      </c>
      <c r="BY157" s="12">
        <f t="shared" ref="BY157:BY167" si="77">BY156+BX157</f>
        <v>1.2401538148930975E-2</v>
      </c>
    </row>
    <row r="158" spans="1:77" x14ac:dyDescent="0.3">
      <c r="A158" s="1">
        <v>46252</v>
      </c>
      <c r="B158" s="8">
        <v>71.67</v>
      </c>
      <c r="C158" s="8">
        <v>169.73</v>
      </c>
      <c r="D158" s="9">
        <v>1.5042105506631501E-2</v>
      </c>
      <c r="E158" s="9">
        <v>1.59157703706744E-2</v>
      </c>
      <c r="F158" s="8">
        <v>0</v>
      </c>
      <c r="G158" s="8">
        <v>0.35819999999999902</v>
      </c>
      <c r="H158" s="8">
        <v>0</v>
      </c>
      <c r="I158" s="8">
        <v>1.2508999999999999</v>
      </c>
      <c r="J158" s="8">
        <v>0.35819999999999902</v>
      </c>
      <c r="K158" s="8">
        <v>1.2508999999999999</v>
      </c>
      <c r="L158" s="8">
        <v>72.028199999999998</v>
      </c>
      <c r="M158" s="8">
        <v>170.98089999999999</v>
      </c>
      <c r="N158" s="10">
        <v>2.3682154318403699</v>
      </c>
      <c r="O158" s="10">
        <v>2.3794589997480098</v>
      </c>
      <c r="P158" s="10">
        <v>2.36933254165718</v>
      </c>
      <c r="Q158" s="10">
        <v>2.3731995101210699</v>
      </c>
      <c r="R158" s="8">
        <v>170.53582651193901</v>
      </c>
      <c r="S158" s="8">
        <v>169.861839051895</v>
      </c>
      <c r="T158" s="8">
        <v>170.118298255551</v>
      </c>
      <c r="U158" s="9">
        <v>4.7364616464553502E-3</v>
      </c>
      <c r="V158" s="9">
        <v>7.7645598838302203E-4</v>
      </c>
      <c r="W158" s="9">
        <v>2.2851279615796402E-3</v>
      </c>
      <c r="X158" s="10">
        <v>2.3738049819376301</v>
      </c>
      <c r="Y158" s="10">
        <v>2.3816575271846898</v>
      </c>
      <c r="Z158" s="10">
        <v>2.3750047762745399</v>
      </c>
      <c r="AA158" s="10">
        <v>2.37893220460067</v>
      </c>
      <c r="AB158" s="8">
        <v>171.546504699564</v>
      </c>
      <c r="AC158" s="8">
        <v>171.12109495789599</v>
      </c>
      <c r="AD158" s="8">
        <v>171.382546499993</v>
      </c>
      <c r="AE158" s="9">
        <v>3.3025399187393101E-3</v>
      </c>
      <c r="AF158" s="9">
        <v>8.1960916809202197E-4</v>
      </c>
      <c r="AG158" s="9">
        <v>2.34631756609447E-3</v>
      </c>
      <c r="BB158">
        <f t="shared" si="42"/>
        <v>0</v>
      </c>
      <c r="BC158">
        <f t="shared" si="60"/>
        <v>1</v>
      </c>
      <c r="BD158">
        <f t="shared" si="61"/>
        <v>0</v>
      </c>
      <c r="BE158">
        <f t="shared" si="62"/>
        <v>1</v>
      </c>
      <c r="BF158">
        <f t="shared" si="63"/>
        <v>0</v>
      </c>
      <c r="BG158" s="9">
        <f t="shared" si="64"/>
        <v>0</v>
      </c>
      <c r="BH158" s="9">
        <f t="shared" si="65"/>
        <v>0</v>
      </c>
      <c r="BI158" s="9">
        <f t="shared" si="66"/>
        <v>0</v>
      </c>
      <c r="BJ158" s="12">
        <f t="shared" si="67"/>
        <v>6.078950803866715E-3</v>
      </c>
      <c r="BL158" s="9"/>
      <c r="BN158">
        <f t="shared" si="50"/>
        <v>1</v>
      </c>
      <c r="BO158">
        <f t="shared" si="68"/>
        <v>0</v>
      </c>
      <c r="BP158">
        <f t="shared" si="69"/>
        <v>1</v>
      </c>
      <c r="BQ158">
        <f t="shared" si="70"/>
        <v>1</v>
      </c>
      <c r="BR158">
        <f t="shared" si="71"/>
        <v>1</v>
      </c>
      <c r="BS158" s="9">
        <f t="shared" si="72"/>
        <v>-1.5042105506631501E-2</v>
      </c>
      <c r="BT158" s="9">
        <f t="shared" si="73"/>
        <v>1.59157703706744E-2</v>
      </c>
      <c r="BU158" s="9">
        <f t="shared" si="74"/>
        <v>8.7366486404289942E-4</v>
      </c>
      <c r="BV158" s="12">
        <f t="shared" si="75"/>
        <v>7.1962522091071589E-3</v>
      </c>
      <c r="BX158" s="12">
        <f t="shared" si="76"/>
        <v>8.7366486404289942E-4</v>
      </c>
      <c r="BY158" s="12">
        <f t="shared" si="77"/>
        <v>1.3275203012973875E-2</v>
      </c>
    </row>
    <row r="159" spans="1:77" x14ac:dyDescent="0.3">
      <c r="A159" s="1">
        <v>46253</v>
      </c>
      <c r="B159" s="8">
        <v>74.33</v>
      </c>
      <c r="C159" s="8">
        <v>175.68</v>
      </c>
      <c r="D159" s="9">
        <v>3.6442388731374203E-2</v>
      </c>
      <c r="E159" s="9">
        <v>3.4455219147725799E-2</v>
      </c>
      <c r="F159" s="8">
        <v>0</v>
      </c>
      <c r="G159" s="8">
        <v>0.35819999999999902</v>
      </c>
      <c r="H159" s="8">
        <v>0</v>
      </c>
      <c r="I159" s="8">
        <v>1.2508999999999999</v>
      </c>
      <c r="J159" s="8">
        <v>0.35819999999999902</v>
      </c>
      <c r="K159" s="8">
        <v>1.2508999999999999</v>
      </c>
      <c r="L159" s="8">
        <v>74.688199999999995</v>
      </c>
      <c r="M159" s="8">
        <v>176.93090000000001</v>
      </c>
      <c r="N159" s="10">
        <v>2.3635140589264001</v>
      </c>
      <c r="O159" s="10">
        <v>2.3794589997480098</v>
      </c>
      <c r="P159" s="10">
        <v>2.36811520659468</v>
      </c>
      <c r="Q159" s="10">
        <v>2.37261031437848</v>
      </c>
      <c r="R159" s="8">
        <v>176.86518745126901</v>
      </c>
      <c r="S159" s="8">
        <v>176.11248782137801</v>
      </c>
      <c r="T159" s="8">
        <v>176.399919587299</v>
      </c>
      <c r="U159" s="9">
        <v>6.7236312301037701E-3</v>
      </c>
      <c r="V159" s="9">
        <v>2.4587679057169799E-3</v>
      </c>
      <c r="W159" s="9">
        <v>4.0895293971115699E-3</v>
      </c>
      <c r="X159" s="10">
        <v>2.36892708620638</v>
      </c>
      <c r="Y159" s="10">
        <v>2.3816575271846898</v>
      </c>
      <c r="Z159" s="10">
        <v>2.3737529605625598</v>
      </c>
      <c r="AA159" s="10">
        <v>2.3783172176185401</v>
      </c>
      <c r="AB159" s="8">
        <v>177.881713721875</v>
      </c>
      <c r="AC159" s="8">
        <v>177.38483173134799</v>
      </c>
      <c r="AD159" s="8">
        <v>177.678164283656</v>
      </c>
      <c r="AE159" s="9">
        <v>5.35953887255693E-3</v>
      </c>
      <c r="AF159" s="9">
        <v>2.5623021449484298E-3</v>
      </c>
      <c r="AG159" s="9">
        <v>4.2145870765453999E-3</v>
      </c>
      <c r="BB159">
        <f t="shared" si="42"/>
        <v>0</v>
      </c>
      <c r="BC159">
        <f t="shared" si="60"/>
        <v>1</v>
      </c>
      <c r="BD159">
        <f t="shared" si="61"/>
        <v>0</v>
      </c>
      <c r="BE159">
        <f t="shared" si="62"/>
        <v>1</v>
      </c>
      <c r="BF159">
        <f t="shared" si="63"/>
        <v>0</v>
      </c>
      <c r="BG159" s="9">
        <f t="shared" si="64"/>
        <v>0</v>
      </c>
      <c r="BH159" s="9">
        <f t="shared" si="65"/>
        <v>0</v>
      </c>
      <c r="BI159" s="9">
        <f t="shared" si="66"/>
        <v>0</v>
      </c>
      <c r="BJ159" s="12">
        <f t="shared" si="67"/>
        <v>6.078950803866715E-3</v>
      </c>
      <c r="BL159" s="9"/>
      <c r="BN159">
        <f t="shared" si="50"/>
        <v>1</v>
      </c>
      <c r="BO159">
        <f t="shared" si="68"/>
        <v>0</v>
      </c>
      <c r="BP159">
        <f t="shared" si="69"/>
        <v>1</v>
      </c>
      <c r="BQ159">
        <f t="shared" si="70"/>
        <v>1</v>
      </c>
      <c r="BR159">
        <f t="shared" si="71"/>
        <v>1</v>
      </c>
      <c r="BS159" s="9">
        <f t="shared" si="72"/>
        <v>-3.6442388731374203E-2</v>
      </c>
      <c r="BT159" s="9">
        <f t="shared" si="73"/>
        <v>3.4455219147725799E-2</v>
      </c>
      <c r="BU159" s="9">
        <f t="shared" si="74"/>
        <v>-1.9871695836484043E-3</v>
      </c>
      <c r="BV159" s="12">
        <f t="shared" si="75"/>
        <v>5.2090826254587545E-3</v>
      </c>
      <c r="BX159" s="12">
        <f t="shared" si="76"/>
        <v>-1.9871695836484043E-3</v>
      </c>
      <c r="BY159" s="12">
        <f t="shared" si="77"/>
        <v>1.128803342932547E-2</v>
      </c>
    </row>
    <row r="160" spans="1:77" x14ac:dyDescent="0.3">
      <c r="A160" s="1">
        <v>46254</v>
      </c>
      <c r="B160" s="8">
        <v>72.98</v>
      </c>
      <c r="C160" s="8">
        <v>172.39</v>
      </c>
      <c r="D160" s="9">
        <v>-1.8329207728900399E-2</v>
      </c>
      <c r="E160" s="9">
        <v>-1.8904806414278601E-2</v>
      </c>
      <c r="F160" s="8">
        <v>0</v>
      </c>
      <c r="G160" s="8">
        <v>0.35819999999999902</v>
      </c>
      <c r="H160" s="8">
        <v>0</v>
      </c>
      <c r="I160" s="8">
        <v>1.2508999999999999</v>
      </c>
      <c r="J160" s="8">
        <v>0.35819999999999902</v>
      </c>
      <c r="K160" s="8">
        <v>1.2508999999999999</v>
      </c>
      <c r="L160" s="8">
        <v>73.338200000000001</v>
      </c>
      <c r="M160" s="8">
        <v>173.64089999999999</v>
      </c>
      <c r="N160" s="10">
        <v>2.3621540147985698</v>
      </c>
      <c r="O160" s="10">
        <v>2.3794589997480098</v>
      </c>
      <c r="P160" s="10">
        <v>2.3668233868151498</v>
      </c>
      <c r="Q160" s="10">
        <v>2.3719772089989601</v>
      </c>
      <c r="R160" s="8">
        <v>173.65291780160899</v>
      </c>
      <c r="S160" s="8">
        <v>172.82504777727999</v>
      </c>
      <c r="T160" s="8">
        <v>173.15310074334101</v>
      </c>
      <c r="U160" s="9">
        <v>7.2992299154819099E-3</v>
      </c>
      <c r="V160" s="9">
        <v>2.5204463732991901E-3</v>
      </c>
      <c r="W160" s="9">
        <v>4.4168266260846602E-3</v>
      </c>
      <c r="X160" s="10">
        <v>2.36767332713374</v>
      </c>
      <c r="Y160" s="10">
        <v>2.3816575271846898</v>
      </c>
      <c r="Z160" s="10">
        <v>2.3724381302314899</v>
      </c>
      <c r="AA160" s="10">
        <v>2.3776672395421001</v>
      </c>
      <c r="AB160" s="8">
        <v>174.666476060176</v>
      </c>
      <c r="AC160" s="8">
        <v>174.086769372329</v>
      </c>
      <c r="AD160" s="8">
        <v>174.421503769152</v>
      </c>
      <c r="AE160" s="9">
        <v>5.8889308383198299E-3</v>
      </c>
      <c r="AF160" s="9">
        <v>2.5644759158273901E-3</v>
      </c>
      <c r="AG160" s="9">
        <v>4.4854317470239798E-3</v>
      </c>
      <c r="BB160">
        <f t="shared" si="42"/>
        <v>0</v>
      </c>
      <c r="BC160">
        <f t="shared" si="60"/>
        <v>1</v>
      </c>
      <c r="BD160">
        <f t="shared" si="61"/>
        <v>0</v>
      </c>
      <c r="BE160">
        <f t="shared" si="62"/>
        <v>1</v>
      </c>
      <c r="BF160">
        <f t="shared" si="63"/>
        <v>0</v>
      </c>
      <c r="BG160" s="9">
        <f t="shared" si="64"/>
        <v>0</v>
      </c>
      <c r="BH160" s="9">
        <f t="shared" si="65"/>
        <v>0</v>
      </c>
      <c r="BI160" s="9">
        <f t="shared" si="66"/>
        <v>0</v>
      </c>
      <c r="BJ160" s="12">
        <f t="shared" si="67"/>
        <v>6.078950803866715E-3</v>
      </c>
      <c r="BL160" s="9"/>
      <c r="BN160">
        <f t="shared" si="50"/>
        <v>1</v>
      </c>
      <c r="BO160">
        <f t="shared" si="68"/>
        <v>0</v>
      </c>
      <c r="BP160">
        <f t="shared" si="69"/>
        <v>1</v>
      </c>
      <c r="BQ160">
        <f t="shared" si="70"/>
        <v>1</v>
      </c>
      <c r="BR160">
        <f t="shared" si="71"/>
        <v>1</v>
      </c>
      <c r="BS160" s="9">
        <f t="shared" si="72"/>
        <v>1.8329207728900399E-2</v>
      </c>
      <c r="BT160" s="9">
        <f t="shared" si="73"/>
        <v>-1.8904806414278601E-2</v>
      </c>
      <c r="BU160" s="9">
        <f t="shared" si="74"/>
        <v>-5.7559868537820219E-4</v>
      </c>
      <c r="BV160" s="12">
        <f t="shared" si="75"/>
        <v>4.6334839400805523E-3</v>
      </c>
      <c r="BX160" s="12">
        <f t="shared" si="76"/>
        <v>-5.7559868537820219E-4</v>
      </c>
      <c r="BY160" s="12">
        <f t="shared" si="77"/>
        <v>1.0712434743947268E-2</v>
      </c>
    </row>
    <row r="161" spans="1:77" x14ac:dyDescent="0.3">
      <c r="A161" s="1">
        <v>46255</v>
      </c>
      <c r="B161" s="8">
        <v>73.89</v>
      </c>
      <c r="C161" s="8">
        <v>174.62</v>
      </c>
      <c r="D161" s="9">
        <v>1.2392069792254601E-2</v>
      </c>
      <c r="E161" s="9">
        <v>1.28528324757743E-2</v>
      </c>
      <c r="F161" s="8">
        <v>0</v>
      </c>
      <c r="G161" s="8">
        <v>0.35819999999999902</v>
      </c>
      <c r="H161" s="8">
        <v>0</v>
      </c>
      <c r="I161" s="8">
        <v>1.2508999999999999</v>
      </c>
      <c r="J161" s="8">
        <v>0.35819999999999902</v>
      </c>
      <c r="K161" s="8">
        <v>1.2508999999999999</v>
      </c>
      <c r="L161" s="8">
        <v>74.248199999999997</v>
      </c>
      <c r="M161" s="8">
        <v>175.87090000000001</v>
      </c>
      <c r="N161" s="10">
        <v>2.3632426580051402</v>
      </c>
      <c r="O161" s="10">
        <v>2.3794589997480098</v>
      </c>
      <c r="P161" s="10">
        <v>2.3664619383299499</v>
      </c>
      <c r="Q161" s="10">
        <v>2.37131899399686</v>
      </c>
      <c r="R161" s="8">
        <v>175.81822549137999</v>
      </c>
      <c r="S161" s="8">
        <v>174.88458005177199</v>
      </c>
      <c r="T161" s="8">
        <v>175.26539597293299</v>
      </c>
      <c r="U161" s="9">
        <v>6.8384672319620598E-3</v>
      </c>
      <c r="V161" s="9">
        <v>1.5140293856747899E-3</v>
      </c>
      <c r="W161" s="9">
        <v>3.6891891593909998E-3</v>
      </c>
      <c r="X161" s="10">
        <v>2.3686890725970402</v>
      </c>
      <c r="Y161" s="10">
        <v>2.3816575271846898</v>
      </c>
      <c r="Z161" s="10">
        <v>2.3720484094990102</v>
      </c>
      <c r="AA161" s="10">
        <v>2.3769907523592</v>
      </c>
      <c r="AB161" s="8">
        <v>176.83378440991399</v>
      </c>
      <c r="AC161" s="8">
        <v>176.14926078105401</v>
      </c>
      <c r="AD161" s="8">
        <v>176.53751273496999</v>
      </c>
      <c r="AE161" s="9">
        <v>5.4600170884210597E-3</v>
      </c>
      <c r="AF161" s="9">
        <v>1.58150509593102E-3</v>
      </c>
      <c r="AG161" s="9">
        <v>3.78318738120679E-3</v>
      </c>
      <c r="BB161">
        <f t="shared" si="42"/>
        <v>0</v>
      </c>
      <c r="BC161">
        <f t="shared" si="60"/>
        <v>1</v>
      </c>
      <c r="BD161">
        <f t="shared" si="61"/>
        <v>0</v>
      </c>
      <c r="BE161">
        <f t="shared" si="62"/>
        <v>1</v>
      </c>
      <c r="BF161">
        <f t="shared" si="63"/>
        <v>0</v>
      </c>
      <c r="BG161" s="9">
        <f t="shared" si="64"/>
        <v>0</v>
      </c>
      <c r="BH161" s="9">
        <f t="shared" si="65"/>
        <v>0</v>
      </c>
      <c r="BI161" s="9">
        <f t="shared" si="66"/>
        <v>0</v>
      </c>
      <c r="BJ161" s="12">
        <f t="shared" si="67"/>
        <v>6.078950803866715E-3</v>
      </c>
      <c r="BL161" s="9"/>
      <c r="BN161">
        <f t="shared" si="50"/>
        <v>1</v>
      </c>
      <c r="BO161">
        <f t="shared" si="68"/>
        <v>0</v>
      </c>
      <c r="BP161">
        <f t="shared" si="69"/>
        <v>1</v>
      </c>
      <c r="BQ161">
        <f t="shared" si="70"/>
        <v>1</v>
      </c>
      <c r="BR161">
        <f t="shared" si="71"/>
        <v>1</v>
      </c>
      <c r="BS161" s="9">
        <f t="shared" si="72"/>
        <v>-1.2392069792254601E-2</v>
      </c>
      <c r="BT161" s="9">
        <f t="shared" si="73"/>
        <v>1.28528324757743E-2</v>
      </c>
      <c r="BU161" s="9">
        <f t="shared" si="74"/>
        <v>4.6076268351969915E-4</v>
      </c>
      <c r="BV161" s="12">
        <f t="shared" si="75"/>
        <v>5.0942466236002515E-3</v>
      </c>
      <c r="BX161" s="12">
        <f t="shared" si="76"/>
        <v>4.6076268351969915E-4</v>
      </c>
      <c r="BY161" s="12">
        <f t="shared" si="77"/>
        <v>1.1173197427466967E-2</v>
      </c>
    </row>
    <row r="162" spans="1:77" x14ac:dyDescent="0.3">
      <c r="A162" s="1">
        <v>46258</v>
      </c>
      <c r="B162" s="8">
        <v>73.84</v>
      </c>
      <c r="C162" s="8">
        <v>174.7</v>
      </c>
      <c r="D162" s="9">
        <v>-6.7691060595952298E-4</v>
      </c>
      <c r="E162" s="9">
        <v>4.5803275734918199E-4</v>
      </c>
      <c r="F162" s="8">
        <v>0</v>
      </c>
      <c r="G162" s="8">
        <v>0.35819999999999902</v>
      </c>
      <c r="H162" s="8">
        <v>0</v>
      </c>
      <c r="I162" s="8">
        <v>1.2508999999999999</v>
      </c>
      <c r="J162" s="8">
        <v>0.35819999999999902</v>
      </c>
      <c r="K162" s="8">
        <v>1.2508999999999999</v>
      </c>
      <c r="L162" s="8">
        <v>74.1982</v>
      </c>
      <c r="M162" s="8">
        <v>175.95089999999999</v>
      </c>
      <c r="N162" s="10">
        <v>2.3659263271939301</v>
      </c>
      <c r="O162" s="10">
        <v>2.3794589997480098</v>
      </c>
      <c r="P162" s="10">
        <v>2.3662820099023101</v>
      </c>
      <c r="Q162" s="10">
        <v>2.3707270682145398</v>
      </c>
      <c r="R162" s="8">
        <v>175.69925254139301</v>
      </c>
      <c r="S162" s="8">
        <v>174.73954952628401</v>
      </c>
      <c r="T162" s="8">
        <v>175.098194516728</v>
      </c>
      <c r="U162" s="9">
        <v>5.7035238686536397E-3</v>
      </c>
      <c r="V162" s="9">
        <v>2.2635976097561201E-4</v>
      </c>
      <c r="W162" s="9">
        <v>2.2767109434599E-3</v>
      </c>
      <c r="X162" s="10">
        <v>2.3713634562563501</v>
      </c>
      <c r="Y162" s="10">
        <v>2.3816575271846898</v>
      </c>
      <c r="Z162" s="10">
        <v>2.3718488501647998</v>
      </c>
      <c r="AA162" s="10">
        <v>2.3763817462646299</v>
      </c>
      <c r="AB162" s="8">
        <v>176.714701533555</v>
      </c>
      <c r="AC162" s="8">
        <v>176.00172229768901</v>
      </c>
      <c r="AD162" s="8">
        <v>176.36843524169799</v>
      </c>
      <c r="AE162" s="9">
        <v>4.3315975501116502E-3</v>
      </c>
      <c r="AF162" s="9">
        <v>2.88801928572418E-4</v>
      </c>
      <c r="AG162" s="9">
        <v>2.3702101781298301E-3</v>
      </c>
      <c r="BB162">
        <f t="shared" si="42"/>
        <v>0</v>
      </c>
      <c r="BC162">
        <f t="shared" si="60"/>
        <v>1</v>
      </c>
      <c r="BD162">
        <f t="shared" si="61"/>
        <v>0</v>
      </c>
      <c r="BE162">
        <f t="shared" si="62"/>
        <v>1</v>
      </c>
      <c r="BF162">
        <f t="shared" si="63"/>
        <v>0</v>
      </c>
      <c r="BG162" s="9">
        <f t="shared" si="64"/>
        <v>0</v>
      </c>
      <c r="BH162" s="9">
        <f t="shared" si="65"/>
        <v>0</v>
      </c>
      <c r="BI162" s="9">
        <f t="shared" si="66"/>
        <v>0</v>
      </c>
      <c r="BJ162" s="12">
        <f t="shared" si="67"/>
        <v>6.078950803866715E-3</v>
      </c>
      <c r="BL162" s="9"/>
      <c r="BN162">
        <f t="shared" si="50"/>
        <v>1</v>
      </c>
      <c r="BO162">
        <f t="shared" si="68"/>
        <v>0</v>
      </c>
      <c r="BP162">
        <f t="shared" si="69"/>
        <v>1</v>
      </c>
      <c r="BQ162">
        <f t="shared" si="70"/>
        <v>1</v>
      </c>
      <c r="BR162">
        <f t="shared" si="71"/>
        <v>1</v>
      </c>
      <c r="BS162" s="9">
        <f t="shared" si="72"/>
        <v>6.7691060595952298E-4</v>
      </c>
      <c r="BT162" s="9">
        <f t="shared" si="73"/>
        <v>4.5803275734918199E-4</v>
      </c>
      <c r="BU162" s="9">
        <f t="shared" si="74"/>
        <v>1.134943363308705E-3</v>
      </c>
      <c r="BV162" s="12">
        <f t="shared" si="75"/>
        <v>6.2291899869089569E-3</v>
      </c>
      <c r="BX162" s="12">
        <f t="shared" si="76"/>
        <v>1.134943363308705E-3</v>
      </c>
      <c r="BY162" s="12">
        <f t="shared" si="77"/>
        <v>1.2308140790775673E-2</v>
      </c>
    </row>
    <row r="163" spans="1:77" x14ac:dyDescent="0.3">
      <c r="A163" s="1">
        <v>46259</v>
      </c>
      <c r="B163" s="8">
        <v>74.13</v>
      </c>
      <c r="C163" s="8">
        <v>175.29</v>
      </c>
      <c r="D163" s="9">
        <v>3.9197184740315198E-3</v>
      </c>
      <c r="E163" s="9">
        <v>3.3715280944444101E-3</v>
      </c>
      <c r="F163" s="8">
        <v>0</v>
      </c>
      <c r="G163" s="8">
        <v>0.35819999999999902</v>
      </c>
      <c r="H163" s="8">
        <v>0</v>
      </c>
      <c r="I163" s="8">
        <v>1.2508999999999999</v>
      </c>
      <c r="J163" s="8">
        <v>0.35819999999999902</v>
      </c>
      <c r="K163" s="8">
        <v>1.2508999999999999</v>
      </c>
      <c r="L163" s="8">
        <v>74.488199999999907</v>
      </c>
      <c r="M163" s="8">
        <v>176.54089999999999</v>
      </c>
      <c r="N163" s="10">
        <v>2.3646297045730398</v>
      </c>
      <c r="O163" s="10">
        <v>2.3794589997480098</v>
      </c>
      <c r="P163" s="10">
        <v>2.3657439929142798</v>
      </c>
      <c r="Q163" s="10">
        <v>2.36998003587312</v>
      </c>
      <c r="R163" s="8">
        <v>176.38929565132</v>
      </c>
      <c r="S163" s="8">
        <v>175.412485394058</v>
      </c>
      <c r="T163" s="8">
        <v>175.74199756674301</v>
      </c>
      <c r="U163" s="9">
        <v>6.2517142482405403E-3</v>
      </c>
      <c r="V163" s="9">
        <v>6.9851457654469601E-4</v>
      </c>
      <c r="W163" s="9">
        <v>2.5752513712590801E-3</v>
      </c>
      <c r="X163" s="10">
        <v>2.3700519008379799</v>
      </c>
      <c r="Y163" s="10">
        <v>2.3816575271846898</v>
      </c>
      <c r="Z163" s="10">
        <v>2.3712888807077199</v>
      </c>
      <c r="AA163" s="10">
        <v>2.3756237656655399</v>
      </c>
      <c r="AB163" s="8">
        <v>177.405382216438</v>
      </c>
      <c r="AC163" s="8">
        <v>176.67475152084501</v>
      </c>
      <c r="AD163" s="8">
        <v>177.012398792109</v>
      </c>
      <c r="AE163" s="9">
        <v>4.8848312801434502E-3</v>
      </c>
      <c r="AF163" s="9">
        <v>7.5790258260992197E-4</v>
      </c>
      <c r="AG163" s="9">
        <v>2.6672022195186702E-3</v>
      </c>
      <c r="BB163">
        <f t="shared" si="42"/>
        <v>0</v>
      </c>
      <c r="BC163">
        <f t="shared" si="60"/>
        <v>1</v>
      </c>
      <c r="BD163">
        <f t="shared" si="61"/>
        <v>0</v>
      </c>
      <c r="BE163">
        <f t="shared" si="62"/>
        <v>1</v>
      </c>
      <c r="BF163">
        <f t="shared" si="63"/>
        <v>0</v>
      </c>
      <c r="BG163" s="9">
        <f t="shared" si="64"/>
        <v>0</v>
      </c>
      <c r="BH163" s="9">
        <f t="shared" si="65"/>
        <v>0</v>
      </c>
      <c r="BI163" s="9">
        <f t="shared" si="66"/>
        <v>0</v>
      </c>
      <c r="BJ163" s="12">
        <f t="shared" si="67"/>
        <v>6.078950803866715E-3</v>
      </c>
      <c r="BL163" s="9"/>
      <c r="BN163">
        <f t="shared" si="50"/>
        <v>1</v>
      </c>
      <c r="BO163">
        <f t="shared" si="68"/>
        <v>0</v>
      </c>
      <c r="BP163">
        <f t="shared" si="69"/>
        <v>1</v>
      </c>
      <c r="BQ163">
        <f t="shared" si="70"/>
        <v>1</v>
      </c>
      <c r="BR163">
        <f t="shared" si="71"/>
        <v>1</v>
      </c>
      <c r="BS163" s="9">
        <f t="shared" si="72"/>
        <v>-3.9197184740315198E-3</v>
      </c>
      <c r="BT163" s="9">
        <f t="shared" si="73"/>
        <v>3.3715280944444101E-3</v>
      </c>
      <c r="BU163" s="9">
        <f t="shared" si="74"/>
        <v>-5.4819037958710962E-4</v>
      </c>
      <c r="BV163" s="12">
        <f t="shared" si="75"/>
        <v>5.6809996073218473E-3</v>
      </c>
      <c r="BX163" s="12">
        <f t="shared" si="76"/>
        <v>-5.4819037958710962E-4</v>
      </c>
      <c r="BY163" s="12">
        <f t="shared" si="77"/>
        <v>1.1759950411188564E-2</v>
      </c>
    </row>
    <row r="164" spans="1:77" x14ac:dyDescent="0.3">
      <c r="A164" s="1">
        <v>46260</v>
      </c>
      <c r="B164" s="8">
        <v>73.400000000000006</v>
      </c>
      <c r="C164" s="8">
        <v>173.54</v>
      </c>
      <c r="D164" s="9">
        <v>-9.8963730481583592E-3</v>
      </c>
      <c r="E164" s="9">
        <v>-1.00336248691116E-2</v>
      </c>
      <c r="F164" s="8">
        <v>0</v>
      </c>
      <c r="G164" s="8">
        <v>0.35819999999999902</v>
      </c>
      <c r="H164" s="8">
        <v>0</v>
      </c>
      <c r="I164" s="8">
        <v>1.2508999999999999</v>
      </c>
      <c r="J164" s="8">
        <v>0.35819999999999902</v>
      </c>
      <c r="K164" s="8">
        <v>1.2508999999999999</v>
      </c>
      <c r="L164" s="8">
        <v>73.758200000000002</v>
      </c>
      <c r="M164" s="8">
        <v>174.79089999999999</v>
      </c>
      <c r="N164" s="10">
        <v>2.3643051771117101</v>
      </c>
      <c r="O164" s="10">
        <v>2.3794589997480098</v>
      </c>
      <c r="P164" s="10">
        <v>2.365501755251</v>
      </c>
      <c r="Q164" s="10">
        <v>2.36923150483319</v>
      </c>
      <c r="R164" s="8">
        <v>174.652290581503</v>
      </c>
      <c r="S164" s="8">
        <v>173.64560907990801</v>
      </c>
      <c r="T164" s="8">
        <v>173.95653463308699</v>
      </c>
      <c r="U164" s="9">
        <v>6.3889660691939798E-3</v>
      </c>
      <c r="V164" s="9">
        <v>6.0837246938756E-4</v>
      </c>
      <c r="W164" s="9">
        <v>2.3973466844613499E-3</v>
      </c>
      <c r="X164" s="10">
        <v>2.3697826140008802</v>
      </c>
      <c r="Y164" s="10">
        <v>2.3816575271846898</v>
      </c>
      <c r="Z164" s="10">
        <v>2.3710307793865302</v>
      </c>
      <c r="AA164" s="10">
        <v>2.3748652864311102</v>
      </c>
      <c r="AB164" s="8">
        <v>175.66677222159399</v>
      </c>
      <c r="AC164" s="8">
        <v>174.90199952101599</v>
      </c>
      <c r="AD164" s="8">
        <v>175.22173283271201</v>
      </c>
      <c r="AE164" s="9">
        <v>4.9984583852873098E-3</v>
      </c>
      <c r="AF164" s="9">
        <v>6.3541195664492105E-4</v>
      </c>
      <c r="AG164" s="9">
        <v>2.4618142883293301E-3</v>
      </c>
      <c r="BB164">
        <f t="shared" si="42"/>
        <v>0</v>
      </c>
      <c r="BC164">
        <f t="shared" si="60"/>
        <v>1</v>
      </c>
      <c r="BD164">
        <f t="shared" si="61"/>
        <v>0</v>
      </c>
      <c r="BE164">
        <f t="shared" si="62"/>
        <v>1</v>
      </c>
      <c r="BF164">
        <f t="shared" si="63"/>
        <v>0</v>
      </c>
      <c r="BG164" s="9">
        <f t="shared" si="64"/>
        <v>0</v>
      </c>
      <c r="BH164" s="9">
        <f t="shared" si="65"/>
        <v>0</v>
      </c>
      <c r="BI164" s="9">
        <f t="shared" si="66"/>
        <v>0</v>
      </c>
      <c r="BJ164" s="12">
        <f t="shared" si="67"/>
        <v>6.078950803866715E-3</v>
      </c>
      <c r="BL164" s="9"/>
      <c r="BN164">
        <f t="shared" si="50"/>
        <v>1</v>
      </c>
      <c r="BO164">
        <f t="shared" si="68"/>
        <v>0</v>
      </c>
      <c r="BP164">
        <f t="shared" si="69"/>
        <v>1</v>
      </c>
      <c r="BQ164">
        <f t="shared" si="70"/>
        <v>1</v>
      </c>
      <c r="BR164">
        <f t="shared" si="71"/>
        <v>1</v>
      </c>
      <c r="BS164" s="9">
        <f t="shared" si="72"/>
        <v>9.8963730481583592E-3</v>
      </c>
      <c r="BT164" s="9">
        <f t="shared" si="73"/>
        <v>-1.00336248691116E-2</v>
      </c>
      <c r="BU164" s="9">
        <f t="shared" si="74"/>
        <v>-1.3725182095324084E-4</v>
      </c>
      <c r="BV164" s="12">
        <f t="shared" si="75"/>
        <v>5.5437477863686064E-3</v>
      </c>
      <c r="BX164" s="12">
        <f t="shared" si="76"/>
        <v>-1.3725182095324084E-4</v>
      </c>
      <c r="BY164" s="12">
        <f t="shared" si="77"/>
        <v>1.1622698590235323E-2</v>
      </c>
    </row>
    <row r="165" spans="1:77" x14ac:dyDescent="0.3">
      <c r="A165" s="1">
        <v>46261</v>
      </c>
      <c r="B165" s="8">
        <v>72.63</v>
      </c>
      <c r="C165" s="8">
        <v>171.58</v>
      </c>
      <c r="D165" s="9">
        <v>-1.0545876002393199E-2</v>
      </c>
      <c r="E165" s="9">
        <v>-1.1358490220524301E-2</v>
      </c>
      <c r="F165" s="8">
        <v>0</v>
      </c>
      <c r="G165" s="8">
        <v>0.35819999999999902</v>
      </c>
      <c r="H165" s="8">
        <v>0</v>
      </c>
      <c r="I165" s="8">
        <v>1.2508999999999999</v>
      </c>
      <c r="J165" s="8">
        <v>0.35819999999999902</v>
      </c>
      <c r="K165" s="8">
        <v>1.2508999999999999</v>
      </c>
      <c r="L165" s="8">
        <v>72.988199999999907</v>
      </c>
      <c r="M165" s="8">
        <v>172.83090000000001</v>
      </c>
      <c r="N165" s="10">
        <v>2.36238468952223</v>
      </c>
      <c r="O165" s="10">
        <v>2.3794589997480098</v>
      </c>
      <c r="P165" s="10">
        <v>2.3649521493895498</v>
      </c>
      <c r="Q165" s="10">
        <v>2.3685480656679201</v>
      </c>
      <c r="R165" s="8">
        <v>172.82010715169699</v>
      </c>
      <c r="S165" s="8">
        <v>171.80639248387999</v>
      </c>
      <c r="T165" s="8">
        <v>172.07728419603399</v>
      </c>
      <c r="U165" s="9">
        <v>7.2015802873251098E-3</v>
      </c>
      <c r="V165" s="9">
        <v>1.3185875831855801E-3</v>
      </c>
      <c r="W165" s="9">
        <v>2.8940724727430701E-3</v>
      </c>
      <c r="X165" s="10">
        <v>2.3679293365228902</v>
      </c>
      <c r="Y165" s="10">
        <v>2.3816575271846898</v>
      </c>
      <c r="Z165" s="10">
        <v>2.37047213569394</v>
      </c>
      <c r="AA165" s="10">
        <v>2.37417011745291</v>
      </c>
      <c r="AB165" s="8">
        <v>173.83289592566101</v>
      </c>
      <c r="AC165" s="8">
        <v>173.05726873201999</v>
      </c>
      <c r="AD165" s="8">
        <v>173.33714249909099</v>
      </c>
      <c r="AE165" s="9">
        <v>5.7808096940523898E-3</v>
      </c>
      <c r="AF165" s="9">
        <v>1.3089130233585899E-3</v>
      </c>
      <c r="AG165" s="9">
        <v>2.9248387940835801E-3</v>
      </c>
      <c r="BB165">
        <f t="shared" si="42"/>
        <v>0</v>
      </c>
      <c r="BC165">
        <f t="shared" si="60"/>
        <v>1</v>
      </c>
      <c r="BD165">
        <f t="shared" si="61"/>
        <v>0</v>
      </c>
      <c r="BE165">
        <f t="shared" si="62"/>
        <v>1</v>
      </c>
      <c r="BF165">
        <f t="shared" si="63"/>
        <v>0</v>
      </c>
      <c r="BG165" s="9">
        <f t="shared" si="64"/>
        <v>0</v>
      </c>
      <c r="BH165" s="9">
        <f t="shared" si="65"/>
        <v>0</v>
      </c>
      <c r="BI165" s="9">
        <f t="shared" si="66"/>
        <v>0</v>
      </c>
      <c r="BJ165" s="12">
        <f t="shared" si="67"/>
        <v>6.078950803866715E-3</v>
      </c>
      <c r="BL165" s="9"/>
      <c r="BN165">
        <f t="shared" si="50"/>
        <v>1</v>
      </c>
      <c r="BO165">
        <f t="shared" si="68"/>
        <v>0</v>
      </c>
      <c r="BP165">
        <f t="shared" si="69"/>
        <v>1</v>
      </c>
      <c r="BQ165">
        <f t="shared" si="70"/>
        <v>1</v>
      </c>
      <c r="BR165">
        <f t="shared" si="71"/>
        <v>1</v>
      </c>
      <c r="BS165" s="9">
        <f t="shared" si="72"/>
        <v>1.0545876002393199E-2</v>
      </c>
      <c r="BT165" s="9">
        <f t="shared" si="73"/>
        <v>-1.1358490220524301E-2</v>
      </c>
      <c r="BU165" s="9">
        <f t="shared" si="74"/>
        <v>-8.1261421813110142E-4</v>
      </c>
      <c r="BV165" s="12">
        <f t="shared" si="75"/>
        <v>4.731133568237505E-3</v>
      </c>
      <c r="BX165" s="12">
        <f t="shared" si="76"/>
        <v>-8.1261421813110142E-4</v>
      </c>
      <c r="BY165" s="12">
        <f t="shared" si="77"/>
        <v>1.0810084372104222E-2</v>
      </c>
    </row>
    <row r="166" spans="1:77" x14ac:dyDescent="0.3">
      <c r="A166" s="1">
        <v>46262</v>
      </c>
      <c r="B166" s="8">
        <v>72.31</v>
      </c>
      <c r="C166" s="8">
        <v>171.16</v>
      </c>
      <c r="D166" s="9">
        <v>-4.4156274312162199E-3</v>
      </c>
      <c r="E166" s="9">
        <v>-2.4508385962031501E-3</v>
      </c>
      <c r="F166" s="8">
        <v>0</v>
      </c>
      <c r="G166" s="8">
        <v>0.35819999999999902</v>
      </c>
      <c r="H166" s="8">
        <v>0</v>
      </c>
      <c r="I166" s="8">
        <v>1.2508999999999999</v>
      </c>
      <c r="J166" s="8">
        <v>0.35819999999999902</v>
      </c>
      <c r="K166" s="8">
        <v>1.2508999999999999</v>
      </c>
      <c r="L166" s="8">
        <v>72.668199999999999</v>
      </c>
      <c r="M166" s="8">
        <v>172.4109</v>
      </c>
      <c r="N166" s="10">
        <v>2.36703083944129</v>
      </c>
      <c r="O166" s="10">
        <v>2.3794589997480098</v>
      </c>
      <c r="P166" s="10">
        <v>2.3647550210194601</v>
      </c>
      <c r="Q166" s="10">
        <v>2.36797218592503</v>
      </c>
      <c r="R166" s="8">
        <v>172.058680271778</v>
      </c>
      <c r="S166" s="8">
        <v>171.00968992235801</v>
      </c>
      <c r="T166" s="8">
        <v>171.269710628447</v>
      </c>
      <c r="U166" s="9">
        <v>5.2367914523120604E-3</v>
      </c>
      <c r="V166" s="9">
        <v>-8.78570438800823E-4</v>
      </c>
      <c r="W166" s="9">
        <v>6.4077753066371505E-4</v>
      </c>
      <c r="X166" s="10">
        <v>2.3725770006687901</v>
      </c>
      <c r="Y166" s="10">
        <v>2.3816575271846898</v>
      </c>
      <c r="Z166" s="10">
        <v>2.3702630361517598</v>
      </c>
      <c r="AA166" s="10">
        <v>2.3735812150561602</v>
      </c>
      <c r="AB166" s="8">
        <v>173.07076551696201</v>
      </c>
      <c r="AC166" s="8">
        <v>172.25794325103399</v>
      </c>
      <c r="AD166" s="8">
        <v>172.52666892909099</v>
      </c>
      <c r="AE166" s="9">
        <v>3.8199788019708399E-3</v>
      </c>
      <c r="AF166" s="9">
        <v>-8.8755779352720301E-4</v>
      </c>
      <c r="AG166" s="9">
        <v>6.7124572019342595E-4</v>
      </c>
      <c r="BB166">
        <f t="shared" si="42"/>
        <v>0</v>
      </c>
      <c r="BC166">
        <f t="shared" si="60"/>
        <v>1</v>
      </c>
      <c r="BD166">
        <f t="shared" si="61"/>
        <v>0</v>
      </c>
      <c r="BE166">
        <f t="shared" si="62"/>
        <v>1</v>
      </c>
      <c r="BF166">
        <f t="shared" si="63"/>
        <v>0</v>
      </c>
      <c r="BG166" s="9">
        <f t="shared" si="64"/>
        <v>0</v>
      </c>
      <c r="BH166" s="9">
        <f t="shared" si="65"/>
        <v>0</v>
      </c>
      <c r="BI166" s="9">
        <f t="shared" si="66"/>
        <v>0</v>
      </c>
      <c r="BJ166" s="12">
        <f t="shared" si="67"/>
        <v>6.078950803866715E-3</v>
      </c>
      <c r="BL166" s="9"/>
      <c r="BN166">
        <f t="shared" si="50"/>
        <v>0</v>
      </c>
      <c r="BO166">
        <f t="shared" si="68"/>
        <v>0</v>
      </c>
      <c r="BP166">
        <f t="shared" si="69"/>
        <v>1</v>
      </c>
      <c r="BQ166">
        <f t="shared" si="70"/>
        <v>1</v>
      </c>
      <c r="BR166">
        <f t="shared" si="71"/>
        <v>1</v>
      </c>
      <c r="BS166" s="9">
        <f t="shared" si="72"/>
        <v>4.4156274312162199E-3</v>
      </c>
      <c r="BT166" s="9">
        <f t="shared" si="73"/>
        <v>-2.4508385962031501E-3</v>
      </c>
      <c r="BU166" s="9">
        <f t="shared" si="74"/>
        <v>1.9647888350130698E-3</v>
      </c>
      <c r="BV166" s="12">
        <f t="shared" si="75"/>
        <v>6.6959224032505753E-3</v>
      </c>
      <c r="BX166" s="12">
        <f t="shared" si="76"/>
        <v>1.9647888350130698E-3</v>
      </c>
      <c r="BY166" s="12">
        <f t="shared" si="77"/>
        <v>1.2774873207117291E-2</v>
      </c>
    </row>
    <row r="167" spans="1:77" x14ac:dyDescent="0.3">
      <c r="A167" s="1">
        <v>46265</v>
      </c>
      <c r="B167" s="8">
        <v>72.02</v>
      </c>
      <c r="C167" s="8">
        <v>170.54</v>
      </c>
      <c r="D167" s="9">
        <v>-4.0185739661314397E-3</v>
      </c>
      <c r="E167" s="9">
        <v>-3.6289182347125901E-3</v>
      </c>
      <c r="F167" s="8">
        <v>0</v>
      </c>
      <c r="G167" s="8">
        <v>0.35819999999999902</v>
      </c>
      <c r="H167" s="8">
        <v>0</v>
      </c>
      <c r="I167" s="8">
        <v>1.2508999999999999</v>
      </c>
      <c r="J167" s="8">
        <v>0.35819999999999902</v>
      </c>
      <c r="K167" s="8">
        <v>1.2508999999999999</v>
      </c>
      <c r="L167" s="8">
        <v>72.378199999999893</v>
      </c>
      <c r="M167" s="8">
        <v>171.79089999999999</v>
      </c>
      <c r="N167" s="10">
        <v>2.3679533462926901</v>
      </c>
      <c r="O167" s="10">
        <v>2.3794589997480098</v>
      </c>
      <c r="P167" s="10">
        <v>2.3649356247705402</v>
      </c>
      <c r="Q167" s="10">
        <v>2.3674952928645099</v>
      </c>
      <c r="R167" s="8">
        <v>171.36863716185101</v>
      </c>
      <c r="S167" s="8">
        <v>170.30965661382101</v>
      </c>
      <c r="T167" s="8">
        <v>170.54135683032001</v>
      </c>
      <c r="U167" s="9">
        <v>4.8471357208932E-3</v>
      </c>
      <c r="V167" s="9">
        <v>-1.35158370721184E-3</v>
      </c>
      <c r="W167" s="9">
        <v>7.9560509155290101E-6</v>
      </c>
      <c r="X167" s="10">
        <v>2.3735171640079402</v>
      </c>
      <c r="Y167" s="10">
        <v>2.3816575271846898</v>
      </c>
      <c r="Z167" s="10">
        <v>2.37043159401696</v>
      </c>
      <c r="AA167" s="10">
        <v>2.3730914829057901</v>
      </c>
      <c r="AB167" s="8">
        <v>172.38008483407901</v>
      </c>
      <c r="AC167" s="8">
        <v>171.55537208319899</v>
      </c>
      <c r="AD167" s="8">
        <v>171.795535899577</v>
      </c>
      <c r="AE167" s="9">
        <v>3.4237947740815202E-3</v>
      </c>
      <c r="AF167" s="9">
        <v>-1.3719557944548101E-3</v>
      </c>
      <c r="AG167" s="9">
        <v>2.6985346880277201E-5</v>
      </c>
      <c r="BB167">
        <f t="shared" si="42"/>
        <v>0</v>
      </c>
      <c r="BC167">
        <f t="shared" si="60"/>
        <v>1</v>
      </c>
      <c r="BD167">
        <f t="shared" si="61"/>
        <v>0</v>
      </c>
      <c r="BE167">
        <f t="shared" si="62"/>
        <v>1</v>
      </c>
      <c r="BF167">
        <f t="shared" si="63"/>
        <v>0</v>
      </c>
      <c r="BG167" s="9">
        <f t="shared" si="64"/>
        <v>0</v>
      </c>
      <c r="BH167" s="9">
        <f t="shared" si="65"/>
        <v>0</v>
      </c>
      <c r="BI167" s="9">
        <f t="shared" si="66"/>
        <v>0</v>
      </c>
      <c r="BJ167" s="12">
        <f t="shared" si="67"/>
        <v>6.078950803866715E-3</v>
      </c>
      <c r="BL167" s="9"/>
      <c r="BN167">
        <f t="shared" si="50"/>
        <v>0</v>
      </c>
      <c r="BO167">
        <f t="shared" si="68"/>
        <v>0</v>
      </c>
      <c r="BP167">
        <f t="shared" si="69"/>
        <v>1</v>
      </c>
      <c r="BQ167">
        <f t="shared" si="70"/>
        <v>1</v>
      </c>
      <c r="BR167">
        <f t="shared" si="71"/>
        <v>1</v>
      </c>
      <c r="BS167" s="9">
        <f t="shared" si="72"/>
        <v>4.0185739661314397E-3</v>
      </c>
      <c r="BT167" s="9">
        <f t="shared" si="73"/>
        <v>-3.6289182347125901E-3</v>
      </c>
      <c r="BU167" s="9">
        <f t="shared" si="74"/>
        <v>3.8965573141884957E-4</v>
      </c>
      <c r="BV167" s="12">
        <f t="shared" si="75"/>
        <v>7.0855781346694253E-3</v>
      </c>
      <c r="BX167" s="12">
        <f t="shared" si="76"/>
        <v>3.8965573141884957E-4</v>
      </c>
      <c r="BY167" s="12">
        <f t="shared" si="77"/>
        <v>1.3164528938536141E-2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IYH_XLV_2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2026-09-03T17:29:12Z</dcterms:created>
  <dcterms:modified xsi:type="dcterms:W3CDTF">2026-09-03T20:02:22Z</dcterms:modified>
</cp:coreProperties>
</file>