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cha\git-projects\backtesting\backtests\"/>
    </mc:Choice>
  </mc:AlternateContent>
  <xr:revisionPtr revIDLastSave="0" documentId="13_ncr:9_{6D61CF1E-0604-482E-A806-1C8D79E2F21B}" xr6:coauthVersionLast="47" xr6:coauthVersionMax="47" xr10:uidLastSave="{00000000-0000-0000-0000-000000000000}"/>
  <bookViews>
    <workbookView xWindow="22275" yWindow="1650" windowWidth="33540" windowHeight="12225" xr2:uid="{0CAC8404-6EBC-48DC-9CCE-9F87AE027E09}"/>
  </bookViews>
  <sheets>
    <sheet name="Sheet1" sheetId="1" r:id="rId1"/>
  </sheets>
  <externalReferences>
    <externalReference r:id="rId2"/>
  </externalReferences>
  <calcPr calcId="0"/>
</workbook>
</file>

<file path=xl/calcChain.xml><?xml version="1.0" encoding="utf-8"?>
<calcChain xmlns="http://schemas.openxmlformats.org/spreadsheetml/2006/main">
  <c r="AX176" i="1" l="1"/>
  <c r="AV176" i="1"/>
  <c r="AU176" i="1"/>
  <c r="AM176" i="1"/>
  <c r="AK176" i="1"/>
  <c r="AJ176" i="1"/>
  <c r="AX175" i="1"/>
  <c r="AV175" i="1"/>
  <c r="AU175" i="1"/>
  <c r="AM175" i="1"/>
  <c r="AK175" i="1"/>
  <c r="AJ175" i="1"/>
  <c r="AN176" i="1" s="1"/>
  <c r="AX174" i="1"/>
  <c r="AV174" i="1"/>
  <c r="AU174" i="1"/>
  <c r="AY175" i="1" s="1"/>
  <c r="AM174" i="1"/>
  <c r="AK174" i="1"/>
  <c r="AJ174" i="1"/>
  <c r="AX173" i="1"/>
  <c r="AV173" i="1"/>
  <c r="AU173" i="1"/>
  <c r="AY174" i="1" s="1"/>
  <c r="AM173" i="1"/>
  <c r="AK173" i="1"/>
  <c r="AJ173" i="1"/>
  <c r="AN174" i="1" s="1"/>
  <c r="AX172" i="1"/>
  <c r="AV172" i="1"/>
  <c r="AU172" i="1"/>
  <c r="AM172" i="1"/>
  <c r="AK172" i="1"/>
  <c r="AJ172" i="1"/>
  <c r="AN173" i="1" s="1"/>
  <c r="AX171" i="1"/>
  <c r="AV171" i="1"/>
  <c r="AU171" i="1"/>
  <c r="AM171" i="1"/>
  <c r="AK171" i="1"/>
  <c r="AJ171" i="1"/>
  <c r="AN172" i="1" s="1"/>
  <c r="AX170" i="1"/>
  <c r="AV170" i="1"/>
  <c r="AU170" i="1"/>
  <c r="AY171" i="1" s="1"/>
  <c r="AM170" i="1"/>
  <c r="AK170" i="1"/>
  <c r="AJ170" i="1"/>
  <c r="AN171" i="1" s="1"/>
  <c r="AX169" i="1"/>
  <c r="AV169" i="1"/>
  <c r="AU169" i="1"/>
  <c r="AM169" i="1"/>
  <c r="AK169" i="1"/>
  <c r="AJ169" i="1"/>
  <c r="AN170" i="1" s="1"/>
  <c r="AX168" i="1"/>
  <c r="AV168" i="1"/>
  <c r="AU168" i="1"/>
  <c r="AY169" i="1" s="1"/>
  <c r="AM168" i="1"/>
  <c r="AK168" i="1"/>
  <c r="AJ168" i="1"/>
  <c r="AN169" i="1" s="1"/>
  <c r="AX167" i="1"/>
  <c r="AV167" i="1"/>
  <c r="AU167" i="1"/>
  <c r="AY168" i="1" s="1"/>
  <c r="AM167" i="1"/>
  <c r="AK167" i="1"/>
  <c r="AJ167" i="1"/>
  <c r="AN168" i="1" s="1"/>
  <c r="AX166" i="1"/>
  <c r="AV166" i="1"/>
  <c r="AU166" i="1"/>
  <c r="AY167" i="1" s="1"/>
  <c r="AM166" i="1"/>
  <c r="AK166" i="1"/>
  <c r="AJ166" i="1"/>
  <c r="AN167" i="1" s="1"/>
  <c r="AX165" i="1"/>
  <c r="AV165" i="1"/>
  <c r="AU165" i="1"/>
  <c r="AY166" i="1" s="1"/>
  <c r="AM165" i="1"/>
  <c r="AK165" i="1"/>
  <c r="AJ165" i="1"/>
  <c r="AN166" i="1" s="1"/>
  <c r="AX164" i="1"/>
  <c r="AV164" i="1"/>
  <c r="AU164" i="1"/>
  <c r="AY165" i="1" s="1"/>
  <c r="AM164" i="1"/>
  <c r="AK164" i="1"/>
  <c r="AJ164" i="1"/>
  <c r="AX163" i="1"/>
  <c r="AV163" i="1"/>
  <c r="AU163" i="1"/>
  <c r="AM163" i="1"/>
  <c r="AK163" i="1"/>
  <c r="AJ163" i="1"/>
  <c r="AN164" i="1" s="1"/>
  <c r="AX162" i="1"/>
  <c r="AV162" i="1"/>
  <c r="AU162" i="1"/>
  <c r="AY163" i="1" s="1"/>
  <c r="AM162" i="1"/>
  <c r="AK162" i="1"/>
  <c r="AJ162" i="1"/>
  <c r="AX161" i="1"/>
  <c r="AV161" i="1"/>
  <c r="AU161" i="1"/>
  <c r="AY162" i="1" s="1"/>
  <c r="AM161" i="1"/>
  <c r="AK161" i="1"/>
  <c r="AJ161" i="1"/>
  <c r="AX160" i="1"/>
  <c r="AV160" i="1"/>
  <c r="AU160" i="1"/>
  <c r="AY161" i="1" s="1"/>
  <c r="AM160" i="1"/>
  <c r="AK160" i="1"/>
  <c r="AJ160" i="1"/>
  <c r="AN161" i="1" s="1"/>
  <c r="AX159" i="1"/>
  <c r="AV159" i="1"/>
  <c r="AU159" i="1"/>
  <c r="AY160" i="1" s="1"/>
  <c r="AM159" i="1"/>
  <c r="AK159" i="1"/>
  <c r="AJ159" i="1"/>
  <c r="AN160" i="1" s="1"/>
  <c r="AX158" i="1"/>
  <c r="AV158" i="1"/>
  <c r="AU158" i="1"/>
  <c r="AY159" i="1" s="1"/>
  <c r="AM158" i="1"/>
  <c r="AK158" i="1"/>
  <c r="AJ158" i="1"/>
  <c r="AN159" i="1" s="1"/>
  <c r="AX157" i="1"/>
  <c r="AV157" i="1"/>
  <c r="AU157" i="1"/>
  <c r="AM157" i="1"/>
  <c r="AK157" i="1"/>
  <c r="AJ157" i="1"/>
  <c r="AN158" i="1" s="1"/>
  <c r="AX156" i="1"/>
  <c r="AV156" i="1"/>
  <c r="AU156" i="1"/>
  <c r="AY157" i="1" s="1"/>
  <c r="AM156" i="1"/>
  <c r="AK156" i="1"/>
  <c r="AJ156" i="1"/>
  <c r="AX155" i="1"/>
  <c r="AV155" i="1"/>
  <c r="AU155" i="1"/>
  <c r="AY156" i="1" s="1"/>
  <c r="AM155" i="1"/>
  <c r="AK155" i="1"/>
  <c r="AJ155" i="1"/>
  <c r="AX154" i="1"/>
  <c r="AV154" i="1"/>
  <c r="AU154" i="1"/>
  <c r="AY155" i="1" s="1"/>
  <c r="AM154" i="1"/>
  <c r="AK154" i="1"/>
  <c r="AJ154" i="1"/>
  <c r="AX153" i="1"/>
  <c r="AV153" i="1"/>
  <c r="AU153" i="1"/>
  <c r="AY154" i="1" s="1"/>
  <c r="AM153" i="1"/>
  <c r="AK153" i="1"/>
  <c r="AJ153" i="1"/>
  <c r="AX152" i="1"/>
  <c r="AV152" i="1"/>
  <c r="AU152" i="1"/>
  <c r="AM152" i="1"/>
  <c r="AK152" i="1"/>
  <c r="AJ152" i="1"/>
  <c r="AX151" i="1"/>
  <c r="AV151" i="1"/>
  <c r="AU151" i="1"/>
  <c r="AY152" i="1" s="1"/>
  <c r="AM151" i="1"/>
  <c r="AK151" i="1"/>
  <c r="AJ151" i="1"/>
  <c r="AX150" i="1"/>
  <c r="AV150" i="1"/>
  <c r="AU150" i="1"/>
  <c r="AY151" i="1" s="1"/>
  <c r="AM150" i="1"/>
  <c r="AK150" i="1"/>
  <c r="AJ150" i="1"/>
  <c r="AN151" i="1" s="1"/>
  <c r="AX149" i="1"/>
  <c r="AV149" i="1"/>
  <c r="AU149" i="1"/>
  <c r="AY150" i="1" s="1"/>
  <c r="AM149" i="1"/>
  <c r="AK149" i="1"/>
  <c r="AJ149" i="1"/>
  <c r="AN150" i="1" s="1"/>
  <c r="AX148" i="1"/>
  <c r="AV148" i="1"/>
  <c r="AU148" i="1"/>
  <c r="AY149" i="1" s="1"/>
  <c r="AM148" i="1"/>
  <c r="AK148" i="1"/>
  <c r="AJ148" i="1"/>
  <c r="AN149" i="1" s="1"/>
  <c r="AX147" i="1"/>
  <c r="AV147" i="1"/>
  <c r="AU147" i="1"/>
  <c r="AM147" i="1"/>
  <c r="AK147" i="1"/>
  <c r="AJ147" i="1"/>
  <c r="AN148" i="1" s="1"/>
  <c r="AX146" i="1"/>
  <c r="AV146" i="1"/>
  <c r="AU146" i="1"/>
  <c r="AY147" i="1" s="1"/>
  <c r="AM146" i="1"/>
  <c r="AK146" i="1"/>
  <c r="AJ146" i="1"/>
  <c r="AN147" i="1" s="1"/>
  <c r="AX145" i="1"/>
  <c r="AV145" i="1"/>
  <c r="AU145" i="1"/>
  <c r="AY146" i="1" s="1"/>
  <c r="AM145" i="1"/>
  <c r="AK145" i="1"/>
  <c r="AJ145" i="1"/>
  <c r="AX144" i="1"/>
  <c r="AV144" i="1"/>
  <c r="AU144" i="1"/>
  <c r="AY145" i="1" s="1"/>
  <c r="AM144" i="1"/>
  <c r="AK144" i="1"/>
  <c r="AJ144" i="1"/>
  <c r="AX143" i="1"/>
  <c r="AV143" i="1"/>
  <c r="AU143" i="1"/>
  <c r="AY144" i="1" s="1"/>
  <c r="AM143" i="1"/>
  <c r="AK143" i="1"/>
  <c r="AJ143" i="1"/>
  <c r="AX142" i="1"/>
  <c r="AV142" i="1"/>
  <c r="AU142" i="1"/>
  <c r="AM142" i="1"/>
  <c r="AK142" i="1"/>
  <c r="AJ142" i="1"/>
  <c r="AN143" i="1" s="1"/>
  <c r="AX141" i="1"/>
  <c r="AV141" i="1"/>
  <c r="AU141" i="1"/>
  <c r="AY142" i="1" s="1"/>
  <c r="AM141" i="1"/>
  <c r="AK141" i="1"/>
  <c r="AJ141" i="1"/>
  <c r="AX140" i="1"/>
  <c r="AV140" i="1"/>
  <c r="AU140" i="1"/>
  <c r="AY141" i="1" s="1"/>
  <c r="AM140" i="1"/>
  <c r="AK140" i="1"/>
  <c r="AJ140" i="1"/>
  <c r="AX139" i="1"/>
  <c r="AV139" i="1"/>
  <c r="AU139" i="1"/>
  <c r="AM139" i="1"/>
  <c r="AK139" i="1"/>
  <c r="AJ139" i="1"/>
  <c r="AN140" i="1" s="1"/>
  <c r="AX138" i="1"/>
  <c r="AV138" i="1"/>
  <c r="AU138" i="1"/>
  <c r="AY139" i="1" s="1"/>
  <c r="AM138" i="1"/>
  <c r="AK138" i="1"/>
  <c r="AJ138" i="1"/>
  <c r="AX137" i="1"/>
  <c r="AV137" i="1"/>
  <c r="AU137" i="1"/>
  <c r="AY138" i="1" s="1"/>
  <c r="AM137" i="1"/>
  <c r="AK137" i="1"/>
  <c r="AJ137" i="1"/>
  <c r="AN138" i="1" s="1"/>
  <c r="AX136" i="1"/>
  <c r="AV136" i="1"/>
  <c r="AU136" i="1"/>
  <c r="AM136" i="1"/>
  <c r="AK136" i="1"/>
  <c r="AJ136" i="1"/>
  <c r="AN137" i="1" s="1"/>
  <c r="AX135" i="1"/>
  <c r="AV135" i="1"/>
  <c r="AU135" i="1"/>
  <c r="AY136" i="1" s="1"/>
  <c r="AM135" i="1"/>
  <c r="AK135" i="1"/>
  <c r="AJ135" i="1"/>
  <c r="AN136" i="1" s="1"/>
  <c r="AX134" i="1"/>
  <c r="AV134" i="1"/>
  <c r="AU134" i="1"/>
  <c r="AM134" i="1"/>
  <c r="AK134" i="1"/>
  <c r="AJ134" i="1"/>
  <c r="AN135" i="1" s="1"/>
  <c r="AX133" i="1"/>
  <c r="AV133" i="1"/>
  <c r="AU133" i="1"/>
  <c r="AY134" i="1" s="1"/>
  <c r="AM133" i="1"/>
  <c r="AK133" i="1"/>
  <c r="AJ133" i="1"/>
  <c r="AX132" i="1"/>
  <c r="AV132" i="1"/>
  <c r="AU132" i="1"/>
  <c r="AY133" i="1" s="1"/>
  <c r="AM132" i="1"/>
  <c r="AK132" i="1"/>
  <c r="AJ132" i="1"/>
  <c r="AX131" i="1"/>
  <c r="AV131" i="1"/>
  <c r="AU131" i="1"/>
  <c r="AY132" i="1" s="1"/>
  <c r="AM131" i="1"/>
  <c r="AK131" i="1"/>
  <c r="AJ131" i="1"/>
  <c r="AN132" i="1" s="1"/>
  <c r="AX130" i="1"/>
  <c r="AV130" i="1"/>
  <c r="AU130" i="1"/>
  <c r="AY131" i="1" s="1"/>
  <c r="AM130" i="1"/>
  <c r="AK130" i="1"/>
  <c r="AJ130" i="1"/>
  <c r="AN131" i="1" s="1"/>
  <c r="AX129" i="1"/>
  <c r="AV129" i="1"/>
  <c r="AU129" i="1"/>
  <c r="AY130" i="1" s="1"/>
  <c r="AM129" i="1"/>
  <c r="AK129" i="1"/>
  <c r="AJ129" i="1"/>
  <c r="AN130" i="1" s="1"/>
  <c r="AX128" i="1"/>
  <c r="AV128" i="1"/>
  <c r="AU128" i="1"/>
  <c r="AM128" i="1"/>
  <c r="AK128" i="1"/>
  <c r="AJ128" i="1"/>
  <c r="AN129" i="1" s="1"/>
  <c r="AX127" i="1"/>
  <c r="AV127" i="1"/>
  <c r="AU127" i="1"/>
  <c r="AY128" i="1" s="1"/>
  <c r="AM127" i="1"/>
  <c r="AK127" i="1"/>
  <c r="AJ127" i="1"/>
  <c r="AX126" i="1"/>
  <c r="AV126" i="1"/>
  <c r="AU126" i="1"/>
  <c r="AM126" i="1"/>
  <c r="AK126" i="1"/>
  <c r="AJ126" i="1"/>
  <c r="AN127" i="1" s="1"/>
  <c r="AX125" i="1"/>
  <c r="AV125" i="1"/>
  <c r="AU125" i="1"/>
  <c r="AY126" i="1" s="1"/>
  <c r="AM125" i="1"/>
  <c r="AK125" i="1"/>
  <c r="AJ125" i="1"/>
  <c r="AX124" i="1"/>
  <c r="AV124" i="1"/>
  <c r="AU124" i="1"/>
  <c r="AY125" i="1" s="1"/>
  <c r="AM124" i="1"/>
  <c r="AK124" i="1"/>
  <c r="AJ124" i="1"/>
  <c r="AX123" i="1"/>
  <c r="AV123" i="1"/>
  <c r="AU123" i="1"/>
  <c r="AY124" i="1" s="1"/>
  <c r="AM123" i="1"/>
  <c r="AK123" i="1"/>
  <c r="AJ123" i="1"/>
  <c r="AN124" i="1" s="1"/>
  <c r="AX122" i="1"/>
  <c r="AV122" i="1"/>
  <c r="AU122" i="1"/>
  <c r="AY123" i="1" s="1"/>
  <c r="AM122" i="1"/>
  <c r="AK122" i="1"/>
  <c r="AJ122" i="1"/>
  <c r="AX121" i="1"/>
  <c r="AV121" i="1"/>
  <c r="AU121" i="1"/>
  <c r="AY122" i="1" s="1"/>
  <c r="AM121" i="1"/>
  <c r="AK121" i="1"/>
  <c r="AJ121" i="1"/>
  <c r="AN122" i="1" s="1"/>
  <c r="AX120" i="1"/>
  <c r="AV120" i="1"/>
  <c r="AU120" i="1"/>
  <c r="AM120" i="1"/>
  <c r="AK120" i="1"/>
  <c r="AJ120" i="1"/>
  <c r="AN121" i="1" s="1"/>
  <c r="AX119" i="1"/>
  <c r="AV119" i="1"/>
  <c r="AU119" i="1"/>
  <c r="AY120" i="1" s="1"/>
  <c r="AM119" i="1"/>
  <c r="AK119" i="1"/>
  <c r="AJ119" i="1"/>
  <c r="AX118" i="1"/>
  <c r="AV118" i="1"/>
  <c r="AU118" i="1"/>
  <c r="AM118" i="1"/>
  <c r="AK118" i="1"/>
  <c r="AJ118" i="1"/>
  <c r="AN119" i="1" s="1"/>
  <c r="AX117" i="1"/>
  <c r="AV117" i="1"/>
  <c r="AU117" i="1"/>
  <c r="AY118" i="1" s="1"/>
  <c r="AM117" i="1"/>
  <c r="AK117" i="1"/>
  <c r="AJ117" i="1"/>
  <c r="AX116" i="1"/>
  <c r="AV116" i="1"/>
  <c r="AU116" i="1"/>
  <c r="AY117" i="1" s="1"/>
  <c r="AM116" i="1"/>
  <c r="AK116" i="1"/>
  <c r="AJ116" i="1"/>
  <c r="AX115" i="1"/>
  <c r="AV115" i="1"/>
  <c r="AU115" i="1"/>
  <c r="AM115" i="1"/>
  <c r="AK115" i="1"/>
  <c r="AJ115" i="1"/>
  <c r="AN116" i="1" s="1"/>
  <c r="AX114" i="1"/>
  <c r="AV114" i="1"/>
  <c r="AU114" i="1"/>
  <c r="AY115" i="1" s="1"/>
  <c r="AM114" i="1"/>
  <c r="AK114" i="1"/>
  <c r="AJ114" i="1"/>
  <c r="AN115" i="1" s="1"/>
  <c r="AX113" i="1"/>
  <c r="AV113" i="1"/>
  <c r="AU113" i="1"/>
  <c r="AM113" i="1"/>
  <c r="AK113" i="1"/>
  <c r="AJ113" i="1"/>
  <c r="AN114" i="1" s="1"/>
  <c r="AX112" i="1"/>
  <c r="AV112" i="1"/>
  <c r="AU112" i="1"/>
  <c r="AM112" i="1"/>
  <c r="AK112" i="1"/>
  <c r="AJ112" i="1"/>
  <c r="AN113" i="1" s="1"/>
  <c r="AX111" i="1"/>
  <c r="AV111" i="1"/>
  <c r="AU111" i="1"/>
  <c r="AM111" i="1"/>
  <c r="AK111" i="1"/>
  <c r="AJ111" i="1"/>
  <c r="AN112" i="1" s="1"/>
  <c r="AX110" i="1"/>
  <c r="AV110" i="1"/>
  <c r="AU110" i="1"/>
  <c r="AY111" i="1" s="1"/>
  <c r="AM110" i="1"/>
  <c r="AK110" i="1"/>
  <c r="AJ110" i="1"/>
  <c r="AN111" i="1" s="1"/>
  <c r="AX109" i="1"/>
  <c r="AV109" i="1"/>
  <c r="AU109" i="1"/>
  <c r="AM109" i="1"/>
  <c r="AK109" i="1"/>
  <c r="AJ109" i="1"/>
  <c r="AN110" i="1" s="1"/>
  <c r="AX108" i="1"/>
  <c r="AV108" i="1"/>
  <c r="AU108" i="1"/>
  <c r="AM108" i="1"/>
  <c r="AK108" i="1"/>
  <c r="AJ108" i="1"/>
  <c r="AN109" i="1" s="1"/>
  <c r="AX107" i="1"/>
  <c r="AV107" i="1"/>
  <c r="AU107" i="1"/>
  <c r="AY108" i="1" s="1"/>
  <c r="AM107" i="1"/>
  <c r="AK107" i="1"/>
  <c r="AJ107" i="1"/>
  <c r="AX106" i="1"/>
  <c r="AV106" i="1"/>
  <c r="AU106" i="1"/>
  <c r="AY107" i="1" s="1"/>
  <c r="AM106" i="1"/>
  <c r="AK106" i="1"/>
  <c r="AJ106" i="1"/>
  <c r="AX105" i="1"/>
  <c r="AV105" i="1"/>
  <c r="AU105" i="1"/>
  <c r="AM105" i="1"/>
  <c r="AK105" i="1"/>
  <c r="AJ105" i="1"/>
  <c r="AN106" i="1" s="1"/>
  <c r="AX104" i="1"/>
  <c r="AV104" i="1"/>
  <c r="AU104" i="1"/>
  <c r="AM104" i="1"/>
  <c r="AK104" i="1"/>
  <c r="AJ104" i="1"/>
  <c r="AN105" i="1" s="1"/>
  <c r="AX103" i="1"/>
  <c r="AV103" i="1"/>
  <c r="AU103" i="1"/>
  <c r="AY104" i="1" s="1"/>
  <c r="AM103" i="1"/>
  <c r="AK103" i="1"/>
  <c r="AJ103" i="1"/>
  <c r="AX102" i="1"/>
  <c r="AV102" i="1"/>
  <c r="AU102" i="1"/>
  <c r="AY103" i="1" s="1"/>
  <c r="AM102" i="1"/>
  <c r="AK102" i="1"/>
  <c r="AJ102" i="1"/>
  <c r="AX101" i="1"/>
  <c r="AV101" i="1"/>
  <c r="AU101" i="1"/>
  <c r="AY102" i="1" s="1"/>
  <c r="AM101" i="1"/>
  <c r="AK101" i="1"/>
  <c r="AJ101" i="1"/>
  <c r="AX100" i="1"/>
  <c r="AV100" i="1"/>
  <c r="AU100" i="1"/>
  <c r="AY101" i="1" s="1"/>
  <c r="AM100" i="1"/>
  <c r="AK100" i="1"/>
  <c r="AJ100" i="1"/>
  <c r="AN101" i="1" s="1"/>
  <c r="AX99" i="1"/>
  <c r="AV99" i="1"/>
  <c r="AU99" i="1"/>
  <c r="AM99" i="1"/>
  <c r="AK99" i="1"/>
  <c r="AJ99" i="1"/>
  <c r="AN100" i="1" s="1"/>
  <c r="AX98" i="1"/>
  <c r="AV98" i="1"/>
  <c r="AU98" i="1"/>
  <c r="AY99" i="1" s="1"/>
  <c r="AM98" i="1"/>
  <c r="AK98" i="1"/>
  <c r="AJ98" i="1"/>
  <c r="AN99" i="1" s="1"/>
  <c r="AX97" i="1"/>
  <c r="AV97" i="1"/>
  <c r="AU97" i="1"/>
  <c r="AY98" i="1" s="1"/>
  <c r="AM97" i="1"/>
  <c r="AK97" i="1"/>
  <c r="AJ97" i="1"/>
  <c r="AX96" i="1"/>
  <c r="AV96" i="1"/>
  <c r="AU96" i="1"/>
  <c r="AM96" i="1"/>
  <c r="AK96" i="1"/>
  <c r="AJ96" i="1"/>
  <c r="AN97" i="1" s="1"/>
  <c r="AX95" i="1"/>
  <c r="AV95" i="1"/>
  <c r="AU95" i="1"/>
  <c r="AY96" i="1" s="1"/>
  <c r="AM95" i="1"/>
  <c r="AK95" i="1"/>
  <c r="AJ95" i="1"/>
  <c r="AX94" i="1"/>
  <c r="AV94" i="1"/>
  <c r="AU94" i="1"/>
  <c r="AY95" i="1" s="1"/>
  <c r="AM94" i="1"/>
  <c r="AK94" i="1"/>
  <c r="AJ94" i="1"/>
  <c r="AN95" i="1" s="1"/>
  <c r="AX93" i="1"/>
  <c r="AV93" i="1"/>
  <c r="AU93" i="1"/>
  <c r="AY94" i="1" s="1"/>
  <c r="AM93" i="1"/>
  <c r="AK93" i="1"/>
  <c r="AJ93" i="1"/>
  <c r="AN94" i="1" s="1"/>
  <c r="AX92" i="1"/>
  <c r="AV92" i="1"/>
  <c r="AU92" i="1"/>
  <c r="AM92" i="1"/>
  <c r="AK92" i="1"/>
  <c r="AJ92" i="1"/>
  <c r="AN93" i="1" s="1"/>
  <c r="AX91" i="1"/>
  <c r="AV91" i="1"/>
  <c r="AU91" i="1"/>
  <c r="AY92" i="1" s="1"/>
  <c r="AM91" i="1"/>
  <c r="AK91" i="1"/>
  <c r="AJ91" i="1"/>
  <c r="AX90" i="1"/>
  <c r="AV90" i="1"/>
  <c r="AU90" i="1"/>
  <c r="AY91" i="1" s="1"/>
  <c r="AM90" i="1"/>
  <c r="AK90" i="1"/>
  <c r="AJ90" i="1"/>
  <c r="AN91" i="1" s="1"/>
  <c r="AX89" i="1"/>
  <c r="AV89" i="1"/>
  <c r="AU89" i="1"/>
  <c r="AY90" i="1" s="1"/>
  <c r="AM89" i="1"/>
  <c r="AK89" i="1"/>
  <c r="AJ89" i="1"/>
  <c r="AN90" i="1" s="1"/>
  <c r="AX88" i="1"/>
  <c r="AV88" i="1"/>
  <c r="AU88" i="1"/>
  <c r="AY89" i="1" s="1"/>
  <c r="AM88" i="1"/>
  <c r="AK88" i="1"/>
  <c r="AJ88" i="1"/>
  <c r="AN89" i="1" s="1"/>
  <c r="AX87" i="1"/>
  <c r="AV87" i="1"/>
  <c r="AU87" i="1"/>
  <c r="AM87" i="1"/>
  <c r="AK87" i="1"/>
  <c r="AJ87" i="1"/>
  <c r="AN88" i="1" s="1"/>
  <c r="AX86" i="1"/>
  <c r="AV86" i="1"/>
  <c r="AU86" i="1"/>
  <c r="AY87" i="1" s="1"/>
  <c r="AM86" i="1"/>
  <c r="AK86" i="1"/>
  <c r="AJ86" i="1"/>
  <c r="AX85" i="1"/>
  <c r="AV85" i="1"/>
  <c r="AU85" i="1"/>
  <c r="AY86" i="1" s="1"/>
  <c r="AM85" i="1"/>
  <c r="AK85" i="1"/>
  <c r="AJ85" i="1"/>
  <c r="AN86" i="1" s="1"/>
  <c r="AX84" i="1"/>
  <c r="AV84" i="1"/>
  <c r="AU84" i="1"/>
  <c r="AY85" i="1" s="1"/>
  <c r="AM84" i="1"/>
  <c r="AK84" i="1"/>
  <c r="AJ84" i="1"/>
  <c r="AN85" i="1" s="1"/>
  <c r="AX83" i="1"/>
  <c r="AV83" i="1"/>
  <c r="AU83" i="1"/>
  <c r="AM83" i="1"/>
  <c r="AK83" i="1"/>
  <c r="AJ83" i="1"/>
  <c r="AN84" i="1" s="1"/>
  <c r="AX82" i="1"/>
  <c r="AV82" i="1"/>
  <c r="AU82" i="1"/>
  <c r="AY83" i="1" s="1"/>
  <c r="AM82" i="1"/>
  <c r="AK82" i="1"/>
  <c r="AJ82" i="1"/>
  <c r="AN83" i="1" s="1"/>
  <c r="AX81" i="1"/>
  <c r="AV81" i="1"/>
  <c r="AU81" i="1"/>
  <c r="AY82" i="1" s="1"/>
  <c r="AM81" i="1"/>
  <c r="AK81" i="1"/>
  <c r="AJ81" i="1"/>
  <c r="AX80" i="1"/>
  <c r="AV80" i="1"/>
  <c r="AU80" i="1"/>
  <c r="AY81" i="1" s="1"/>
  <c r="AM80" i="1"/>
  <c r="AK80" i="1"/>
  <c r="AJ80" i="1"/>
  <c r="AN81" i="1" s="1"/>
  <c r="AX79" i="1"/>
  <c r="AV79" i="1"/>
  <c r="AU79" i="1"/>
  <c r="AY80" i="1" s="1"/>
  <c r="AM79" i="1"/>
  <c r="AK79" i="1"/>
  <c r="AJ79" i="1"/>
  <c r="AX78" i="1"/>
  <c r="AV78" i="1"/>
  <c r="AU78" i="1"/>
  <c r="AY79" i="1" s="1"/>
  <c r="AM78" i="1"/>
  <c r="AK78" i="1"/>
  <c r="AJ78" i="1"/>
  <c r="AX77" i="1"/>
  <c r="AV77" i="1"/>
  <c r="AU77" i="1"/>
  <c r="AY78" i="1" s="1"/>
  <c r="AM77" i="1"/>
  <c r="AK77" i="1"/>
  <c r="AJ77" i="1"/>
  <c r="AN78" i="1" s="1"/>
  <c r="AX76" i="1"/>
  <c r="AV76" i="1"/>
  <c r="AU76" i="1"/>
  <c r="AM76" i="1"/>
  <c r="AK76" i="1"/>
  <c r="AJ76" i="1"/>
  <c r="AN77" i="1" s="1"/>
  <c r="AX75" i="1"/>
  <c r="AV75" i="1"/>
  <c r="AU75" i="1"/>
  <c r="AY76" i="1" s="1"/>
  <c r="AM75" i="1"/>
  <c r="AK75" i="1"/>
  <c r="AJ75" i="1"/>
  <c r="AN76" i="1" s="1"/>
  <c r="AX74" i="1"/>
  <c r="AV74" i="1"/>
  <c r="AU74" i="1"/>
  <c r="AM74" i="1"/>
  <c r="AK74" i="1"/>
  <c r="AJ74" i="1"/>
  <c r="AN75" i="1" s="1"/>
  <c r="AX73" i="1"/>
  <c r="AV73" i="1"/>
  <c r="AU73" i="1"/>
  <c r="AM73" i="1"/>
  <c r="AK73" i="1"/>
  <c r="AJ73" i="1"/>
  <c r="AN74" i="1" s="1"/>
  <c r="AX72" i="1"/>
  <c r="AV72" i="1"/>
  <c r="AU72" i="1"/>
  <c r="AY73" i="1" s="1"/>
  <c r="AM72" i="1"/>
  <c r="AK72" i="1"/>
  <c r="AJ72" i="1"/>
  <c r="AN73" i="1" s="1"/>
  <c r="AX71" i="1"/>
  <c r="AV71" i="1"/>
  <c r="AU71" i="1"/>
  <c r="AY72" i="1" s="1"/>
  <c r="AM71" i="1"/>
  <c r="AK71" i="1"/>
  <c r="AJ71" i="1"/>
  <c r="AX70" i="1"/>
  <c r="AV70" i="1"/>
  <c r="AU70" i="1"/>
  <c r="AM70" i="1"/>
  <c r="AK70" i="1"/>
  <c r="AJ70" i="1"/>
  <c r="AN71" i="1" s="1"/>
  <c r="AX69" i="1"/>
  <c r="AV69" i="1"/>
  <c r="AU69" i="1"/>
  <c r="AY70" i="1" s="1"/>
  <c r="AM69" i="1"/>
  <c r="AK69" i="1"/>
  <c r="AJ69" i="1"/>
  <c r="AX68" i="1"/>
  <c r="AV68" i="1"/>
  <c r="AU68" i="1"/>
  <c r="AY69" i="1" s="1"/>
  <c r="AM68" i="1"/>
  <c r="AK68" i="1"/>
  <c r="AJ68" i="1"/>
  <c r="AX67" i="1"/>
  <c r="AV67" i="1"/>
  <c r="AU67" i="1"/>
  <c r="AM67" i="1"/>
  <c r="AK67" i="1"/>
  <c r="AJ67" i="1"/>
  <c r="AN68" i="1" s="1"/>
  <c r="AX66" i="1"/>
  <c r="AV66" i="1"/>
  <c r="AU66" i="1"/>
  <c r="AM66" i="1"/>
  <c r="AK66" i="1"/>
  <c r="AJ66" i="1"/>
  <c r="AN67" i="1" s="1"/>
  <c r="AX65" i="1"/>
  <c r="AV65" i="1"/>
  <c r="AU65" i="1"/>
  <c r="AM65" i="1"/>
  <c r="AK65" i="1"/>
  <c r="AJ65" i="1"/>
  <c r="AN66" i="1" s="1"/>
  <c r="AX64" i="1"/>
  <c r="AV64" i="1"/>
  <c r="AU64" i="1"/>
  <c r="AM64" i="1"/>
  <c r="AK64" i="1"/>
  <c r="AJ64" i="1"/>
  <c r="AN65" i="1" s="1"/>
  <c r="AX63" i="1"/>
  <c r="AV63" i="1"/>
  <c r="AU63" i="1"/>
  <c r="AY64" i="1" s="1"/>
  <c r="AM63" i="1"/>
  <c r="AK63" i="1"/>
  <c r="AJ63" i="1"/>
  <c r="AN64" i="1" s="1"/>
  <c r="AX62" i="1"/>
  <c r="AV62" i="1"/>
  <c r="AU62" i="1"/>
  <c r="AY63" i="1" s="1"/>
  <c r="AM62" i="1"/>
  <c r="AK62" i="1"/>
  <c r="AJ62" i="1"/>
  <c r="AN63" i="1" s="1"/>
  <c r="AX61" i="1"/>
  <c r="AV61" i="1"/>
  <c r="AU61" i="1"/>
  <c r="AY62" i="1" s="1"/>
  <c r="AM61" i="1"/>
  <c r="AK61" i="1"/>
  <c r="AJ61" i="1"/>
  <c r="AN62" i="1" s="1"/>
  <c r="AX60" i="1"/>
  <c r="AV60" i="1"/>
  <c r="AU60" i="1"/>
  <c r="AM60" i="1"/>
  <c r="AK60" i="1"/>
  <c r="AJ60" i="1"/>
  <c r="AN61" i="1" s="1"/>
  <c r="AX59" i="1"/>
  <c r="AV59" i="1"/>
  <c r="AU59" i="1"/>
  <c r="AY60" i="1" s="1"/>
  <c r="AM59" i="1"/>
  <c r="AK59" i="1"/>
  <c r="AJ59" i="1"/>
  <c r="AN60" i="1" s="1"/>
  <c r="AX58" i="1"/>
  <c r="AV58" i="1"/>
  <c r="AU58" i="1"/>
  <c r="AM58" i="1"/>
  <c r="AK58" i="1"/>
  <c r="AJ58" i="1"/>
  <c r="AN59" i="1" s="1"/>
  <c r="AX57" i="1"/>
  <c r="AV57" i="1"/>
  <c r="AU57" i="1"/>
  <c r="AY58" i="1" s="1"/>
  <c r="AM57" i="1"/>
  <c r="AK57" i="1"/>
  <c r="AJ57" i="1"/>
  <c r="AN58" i="1" s="1"/>
  <c r="AX56" i="1"/>
  <c r="AV56" i="1"/>
  <c r="AU56" i="1"/>
  <c r="AY57" i="1" s="1"/>
  <c r="AM56" i="1"/>
  <c r="AK56" i="1"/>
  <c r="AJ56" i="1"/>
  <c r="AN57" i="1" s="1"/>
  <c r="AX55" i="1"/>
  <c r="AV55" i="1"/>
  <c r="AU55" i="1"/>
  <c r="AY56" i="1" s="1"/>
  <c r="AM55" i="1"/>
  <c r="AK55" i="1"/>
  <c r="AJ55" i="1"/>
  <c r="AX54" i="1"/>
  <c r="AV54" i="1"/>
  <c r="AU54" i="1"/>
  <c r="AY55" i="1" s="1"/>
  <c r="AM54" i="1"/>
  <c r="AK54" i="1"/>
  <c r="AJ54" i="1"/>
  <c r="AN55" i="1" s="1"/>
  <c r="AX53" i="1"/>
  <c r="AV53" i="1"/>
  <c r="AU53" i="1"/>
  <c r="AY54" i="1" s="1"/>
  <c r="AM53" i="1"/>
  <c r="AK53" i="1"/>
  <c r="AJ53" i="1"/>
  <c r="AN54" i="1" s="1"/>
  <c r="AX52" i="1"/>
  <c r="AV52" i="1"/>
  <c r="AU52" i="1"/>
  <c r="AM52" i="1"/>
  <c r="AK52" i="1"/>
  <c r="AJ52" i="1"/>
  <c r="AN53" i="1" s="1"/>
  <c r="AX51" i="1"/>
  <c r="AV51" i="1"/>
  <c r="AU51" i="1"/>
  <c r="AY52" i="1" s="1"/>
  <c r="AM51" i="1"/>
  <c r="AK51" i="1"/>
  <c r="AJ51" i="1"/>
  <c r="AN52" i="1" s="1"/>
  <c r="AX50" i="1"/>
  <c r="AV50" i="1"/>
  <c r="AU50" i="1"/>
  <c r="AY51" i="1" s="1"/>
  <c r="AM50" i="1"/>
  <c r="AK50" i="1"/>
  <c r="AJ50" i="1"/>
  <c r="AX49" i="1"/>
  <c r="AV49" i="1"/>
  <c r="AU49" i="1"/>
  <c r="AY50" i="1" s="1"/>
  <c r="AM49" i="1"/>
  <c r="AK49" i="1"/>
  <c r="AJ49" i="1"/>
  <c r="AX48" i="1"/>
  <c r="AV48" i="1"/>
  <c r="AU48" i="1"/>
  <c r="AY49" i="1" s="1"/>
  <c r="AM48" i="1"/>
  <c r="AK48" i="1"/>
  <c r="AJ48" i="1"/>
  <c r="AN49" i="1" s="1"/>
  <c r="AX47" i="1"/>
  <c r="AV47" i="1"/>
  <c r="AU47" i="1"/>
  <c r="AY48" i="1" s="1"/>
  <c r="AM47" i="1"/>
  <c r="AK47" i="1"/>
  <c r="AJ47" i="1"/>
  <c r="AN48" i="1" s="1"/>
  <c r="AX46" i="1"/>
  <c r="AV46" i="1"/>
  <c r="AU46" i="1"/>
  <c r="AY47" i="1" s="1"/>
  <c r="AM46" i="1"/>
  <c r="AK46" i="1"/>
  <c r="AJ46" i="1"/>
  <c r="AX45" i="1"/>
  <c r="AV45" i="1"/>
  <c r="AU45" i="1"/>
  <c r="AY46" i="1" s="1"/>
  <c r="AM45" i="1"/>
  <c r="AK45" i="1"/>
  <c r="AJ45" i="1"/>
  <c r="AN46" i="1" s="1"/>
  <c r="AX44" i="1"/>
  <c r="AV44" i="1"/>
  <c r="AU44" i="1"/>
  <c r="AY45" i="1" s="1"/>
  <c r="AM44" i="1"/>
  <c r="AK44" i="1"/>
  <c r="AJ44" i="1"/>
  <c r="AN45" i="1" s="1"/>
  <c r="AX43" i="1"/>
  <c r="AV43" i="1"/>
  <c r="AU43" i="1"/>
  <c r="AM43" i="1"/>
  <c r="AK43" i="1"/>
  <c r="AJ43" i="1"/>
  <c r="AN44" i="1" s="1"/>
  <c r="AX42" i="1"/>
  <c r="AV42" i="1"/>
  <c r="AU42" i="1"/>
  <c r="AM42" i="1"/>
  <c r="AK42" i="1"/>
  <c r="AJ42" i="1"/>
  <c r="AX41" i="1"/>
  <c r="AV41" i="1"/>
  <c r="AU41" i="1"/>
  <c r="AY42" i="1" s="1"/>
  <c r="AM41" i="1"/>
  <c r="AK41" i="1"/>
  <c r="AJ41" i="1"/>
  <c r="AN42" i="1" s="1"/>
  <c r="AX40" i="1"/>
  <c r="AV40" i="1"/>
  <c r="AU40" i="1"/>
  <c r="AY41" i="1" s="1"/>
  <c r="AM40" i="1"/>
  <c r="AK40" i="1"/>
  <c r="AJ40" i="1"/>
  <c r="AN41" i="1" s="1"/>
  <c r="AX39" i="1"/>
  <c r="AV39" i="1"/>
  <c r="AU39" i="1"/>
  <c r="AY40" i="1" s="1"/>
  <c r="AM39" i="1"/>
  <c r="AK39" i="1"/>
  <c r="AJ39" i="1"/>
  <c r="AX38" i="1"/>
  <c r="AV38" i="1"/>
  <c r="AU38" i="1"/>
  <c r="AY39" i="1" s="1"/>
  <c r="AM38" i="1"/>
  <c r="AK38" i="1"/>
  <c r="AJ38" i="1"/>
  <c r="AN39" i="1" s="1"/>
  <c r="AX37" i="1"/>
  <c r="AV37" i="1"/>
  <c r="AU37" i="1"/>
  <c r="AY38" i="1" s="1"/>
  <c r="AM37" i="1"/>
  <c r="AK37" i="1"/>
  <c r="AJ37" i="1"/>
  <c r="AX36" i="1"/>
  <c r="AV36" i="1"/>
  <c r="AU36" i="1"/>
  <c r="AM36" i="1"/>
  <c r="AK36" i="1"/>
  <c r="AJ36" i="1"/>
  <c r="AX35" i="1"/>
  <c r="AV35" i="1"/>
  <c r="AU35" i="1"/>
  <c r="AM35" i="1"/>
  <c r="AK35" i="1"/>
  <c r="AJ35" i="1"/>
  <c r="AN36" i="1" s="1"/>
  <c r="AX34" i="1"/>
  <c r="AV34" i="1"/>
  <c r="AU34" i="1"/>
  <c r="AY35" i="1" s="1"/>
  <c r="AM34" i="1"/>
  <c r="AK34" i="1"/>
  <c r="AJ34" i="1"/>
  <c r="AN35" i="1" s="1"/>
  <c r="AX33" i="1"/>
  <c r="AV33" i="1"/>
  <c r="AU33" i="1"/>
  <c r="AM33" i="1"/>
  <c r="AK33" i="1"/>
  <c r="AJ33" i="1"/>
  <c r="AN34" i="1" s="1"/>
  <c r="AX32" i="1"/>
  <c r="AV32" i="1"/>
  <c r="AU32" i="1"/>
  <c r="AY33" i="1" s="1"/>
  <c r="AM32" i="1"/>
  <c r="AK32" i="1"/>
  <c r="AJ32" i="1"/>
  <c r="AX31" i="1"/>
  <c r="AV31" i="1"/>
  <c r="AU31" i="1"/>
  <c r="AY32" i="1" s="1"/>
  <c r="AM31" i="1"/>
  <c r="AK31" i="1"/>
  <c r="AJ31" i="1"/>
  <c r="AX30" i="1"/>
  <c r="AV30" i="1"/>
  <c r="AU30" i="1"/>
  <c r="AY31" i="1" s="1"/>
  <c r="AM30" i="1"/>
  <c r="AK30" i="1"/>
  <c r="AJ30" i="1"/>
  <c r="AX29" i="1"/>
  <c r="AV29" i="1"/>
  <c r="AU29" i="1"/>
  <c r="AY30" i="1" s="1"/>
  <c r="AM29" i="1"/>
  <c r="AK29" i="1"/>
  <c r="AJ29" i="1"/>
  <c r="AX28" i="1"/>
  <c r="AV28" i="1"/>
  <c r="AU28" i="1"/>
  <c r="AY29" i="1" s="1"/>
  <c r="AM28" i="1"/>
  <c r="AK28" i="1"/>
  <c r="AJ28" i="1"/>
  <c r="AN29" i="1" s="1"/>
  <c r="AX27" i="1"/>
  <c r="AV27" i="1"/>
  <c r="AU27" i="1"/>
  <c r="AM27" i="1"/>
  <c r="AK27" i="1"/>
  <c r="AJ27" i="1"/>
  <c r="AN28" i="1" s="1"/>
  <c r="AX26" i="1"/>
  <c r="AV26" i="1"/>
  <c r="AU26" i="1"/>
  <c r="AY27" i="1" s="1"/>
  <c r="AM26" i="1"/>
  <c r="AK26" i="1"/>
  <c r="AJ26" i="1"/>
  <c r="AX25" i="1"/>
  <c r="AV25" i="1"/>
  <c r="AU25" i="1"/>
  <c r="AY26" i="1" s="1"/>
  <c r="AM25" i="1"/>
  <c r="AK25" i="1"/>
  <c r="AJ25" i="1"/>
  <c r="AN26" i="1" s="1"/>
  <c r="AX24" i="1"/>
  <c r="AV24" i="1"/>
  <c r="AU24" i="1"/>
  <c r="AY25" i="1" s="1"/>
  <c r="AM24" i="1"/>
  <c r="AK24" i="1"/>
  <c r="AJ24" i="1"/>
  <c r="AX23" i="1"/>
  <c r="AV23" i="1"/>
  <c r="AU23" i="1"/>
  <c r="AY24" i="1" s="1"/>
  <c r="AW24" i="1" s="1"/>
  <c r="AM23" i="1"/>
  <c r="AK23" i="1"/>
  <c r="AJ23" i="1"/>
  <c r="AN24" i="1" s="1"/>
  <c r="AL24" i="1" s="1"/>
  <c r="AX22" i="1"/>
  <c r="AW22" i="1"/>
  <c r="AV22" i="1"/>
  <c r="AU22" i="1"/>
  <c r="AY23" i="1" s="1"/>
  <c r="AM22" i="1"/>
  <c r="AL22" i="1"/>
  <c r="AK22" i="1"/>
  <c r="AJ22" i="1"/>
  <c r="AN23" i="1" s="1"/>
  <c r="AX21" i="1"/>
  <c r="AY22" i="1" s="1"/>
  <c r="AM21" i="1"/>
  <c r="AN22" i="1" s="1"/>
  <c r="BA20" i="1"/>
  <c r="AZ20" i="1"/>
  <c r="AP20" i="1"/>
  <c r="AO20" i="1"/>
  <c r="AT3" i="1"/>
  <c r="AT4" i="1" s="1"/>
  <c r="AT5" i="1" s="1"/>
  <c r="AT6" i="1" s="1"/>
  <c r="AT7" i="1" s="1"/>
  <c r="AT8" i="1" s="1"/>
  <c r="AT9" i="1" s="1"/>
  <c r="AI3" i="1"/>
  <c r="AI4" i="1" s="1"/>
  <c r="AI5" i="1" s="1"/>
  <c r="AI6" i="1" s="1"/>
  <c r="AI7" i="1" s="1"/>
  <c r="AI8" i="1" s="1"/>
  <c r="AI9" i="1" s="1"/>
  <c r="AV1" i="1"/>
  <c r="AW1" i="1" s="1"/>
  <c r="AX1" i="1" s="1"/>
  <c r="AY1" i="1" s="1"/>
  <c r="AZ1" i="1" s="1"/>
  <c r="BA1" i="1" s="1"/>
  <c r="BB1" i="1" s="1"/>
  <c r="AK1" i="1"/>
  <c r="AL1" i="1" s="1"/>
  <c r="AM1" i="1" s="1"/>
  <c r="AN1" i="1" s="1"/>
  <c r="AO1" i="1" s="1"/>
  <c r="AP1" i="1" s="1"/>
  <c r="AQ1" i="1" s="1"/>
  <c r="AN154" i="1" l="1"/>
  <c r="AN153" i="1"/>
  <c r="AN107" i="1"/>
  <c r="AN37" i="1"/>
  <c r="AN25" i="1"/>
  <c r="AN43" i="1"/>
  <c r="AO176" i="1"/>
  <c r="AP176" i="1"/>
  <c r="AL176" i="1"/>
  <c r="AZ175" i="1"/>
  <c r="BA175" i="1"/>
  <c r="AW175" i="1"/>
  <c r="AY176" i="1" s="1"/>
  <c r="AZ174" i="1"/>
  <c r="BA174" i="1"/>
  <c r="AW174" i="1"/>
  <c r="AO174" i="1"/>
  <c r="AP174" i="1"/>
  <c r="AL174" i="1"/>
  <c r="AN175" i="1" s="1"/>
  <c r="AO173" i="1"/>
  <c r="AP173" i="1"/>
  <c r="AL173" i="1"/>
  <c r="AO172" i="1"/>
  <c r="AP172" i="1"/>
  <c r="AL172" i="1"/>
  <c r="AZ171" i="1"/>
  <c r="BA171" i="1"/>
  <c r="AW171" i="1"/>
  <c r="AY172" i="1" s="1"/>
  <c r="AO171" i="1"/>
  <c r="AP171" i="1"/>
  <c r="AL171" i="1"/>
  <c r="AO170" i="1"/>
  <c r="AP170" i="1"/>
  <c r="AL170" i="1"/>
  <c r="AZ169" i="1"/>
  <c r="BA169" i="1"/>
  <c r="AW169" i="1"/>
  <c r="AY170" i="1" s="1"/>
  <c r="AO169" i="1"/>
  <c r="AP169" i="1"/>
  <c r="AL169" i="1"/>
  <c r="AZ168" i="1"/>
  <c r="BA168" i="1"/>
  <c r="AW168" i="1"/>
  <c r="AO168" i="1"/>
  <c r="AP168" i="1"/>
  <c r="AL168" i="1"/>
  <c r="AZ167" i="1"/>
  <c r="BA167" i="1"/>
  <c r="AW167" i="1"/>
  <c r="AO167" i="1"/>
  <c r="AP167" i="1"/>
  <c r="AL167" i="1"/>
  <c r="AZ166" i="1"/>
  <c r="BA166" i="1"/>
  <c r="AW166" i="1"/>
  <c r="AO166" i="1"/>
  <c r="AP166" i="1"/>
  <c r="AL166" i="1"/>
  <c r="AZ165" i="1"/>
  <c r="BA165" i="1"/>
  <c r="AW165" i="1"/>
  <c r="AO164" i="1"/>
  <c r="AP164" i="1"/>
  <c r="AL164" i="1"/>
  <c r="AN165" i="1" s="1"/>
  <c r="AZ163" i="1"/>
  <c r="BA163" i="1"/>
  <c r="AW163" i="1"/>
  <c r="AY164" i="1" s="1"/>
  <c r="AZ162" i="1"/>
  <c r="BA162" i="1"/>
  <c r="AW162" i="1"/>
  <c r="BA161" i="1"/>
  <c r="AZ161" i="1"/>
  <c r="BB161" i="1" s="1"/>
  <c r="AW161" i="1"/>
  <c r="AP161" i="1"/>
  <c r="AO161" i="1"/>
  <c r="AQ161" i="1" s="1"/>
  <c r="BE161" i="1" s="1"/>
  <c r="AL161" i="1"/>
  <c r="AN162" i="1" s="1"/>
  <c r="BA160" i="1"/>
  <c r="AZ160" i="1"/>
  <c r="BB160" i="1" s="1"/>
  <c r="AW160" i="1"/>
  <c r="AP160" i="1"/>
  <c r="AL160" i="1"/>
  <c r="AO160" i="1"/>
  <c r="AQ160" i="1" s="1"/>
  <c r="BE160" i="1" s="1"/>
  <c r="BA159" i="1"/>
  <c r="AZ159" i="1"/>
  <c r="BB159" i="1" s="1"/>
  <c r="AW159" i="1"/>
  <c r="AO159" i="1"/>
  <c r="AP159" i="1"/>
  <c r="AL159" i="1"/>
  <c r="AP158" i="1"/>
  <c r="AL158" i="1"/>
  <c r="AO158" i="1"/>
  <c r="AQ158" i="1" s="1"/>
  <c r="BA157" i="1"/>
  <c r="AW157" i="1"/>
  <c r="AY158" i="1" s="1"/>
  <c r="AZ157" i="1"/>
  <c r="BB157" i="1" s="1"/>
  <c r="AW156" i="1"/>
  <c r="AZ156" i="1"/>
  <c r="BA156" i="1"/>
  <c r="AW155" i="1"/>
  <c r="AZ155" i="1"/>
  <c r="BA155" i="1"/>
  <c r="BA154" i="1"/>
  <c r="AW154" i="1"/>
  <c r="AZ154" i="1"/>
  <c r="BB154" i="1" s="1"/>
  <c r="AL154" i="1"/>
  <c r="AN155" i="1" s="1"/>
  <c r="AO154" i="1"/>
  <c r="AP154" i="1"/>
  <c r="AO153" i="1"/>
  <c r="AL153" i="1"/>
  <c r="AP153" i="1"/>
  <c r="AZ152" i="1"/>
  <c r="AW152" i="1"/>
  <c r="AY153" i="1" s="1"/>
  <c r="BA152" i="1"/>
  <c r="AW151" i="1"/>
  <c r="AZ151" i="1"/>
  <c r="BA151" i="1"/>
  <c r="AP151" i="1"/>
  <c r="AL151" i="1"/>
  <c r="AN152" i="1" s="1"/>
  <c r="AO151" i="1"/>
  <c r="AQ151" i="1" s="1"/>
  <c r="BA150" i="1"/>
  <c r="AW150" i="1"/>
  <c r="AZ150" i="1"/>
  <c r="BB150" i="1" s="1"/>
  <c r="AL150" i="1"/>
  <c r="AO150" i="1"/>
  <c r="AP150" i="1"/>
  <c r="AW149" i="1"/>
  <c r="AZ149" i="1"/>
  <c r="BA149" i="1"/>
  <c r="AP149" i="1"/>
  <c r="AO149" i="1"/>
  <c r="AQ149" i="1" s="1"/>
  <c r="AL149" i="1"/>
  <c r="AP148" i="1"/>
  <c r="AL148" i="1"/>
  <c r="AO148" i="1"/>
  <c r="AQ148" i="1" s="1"/>
  <c r="BA147" i="1"/>
  <c r="AW147" i="1"/>
  <c r="AY148" i="1" s="1"/>
  <c r="AZ147" i="1"/>
  <c r="BB147" i="1" s="1"/>
  <c r="AP147" i="1"/>
  <c r="AO147" i="1"/>
  <c r="AQ147" i="1" s="1"/>
  <c r="BE147" i="1" s="1"/>
  <c r="AL147" i="1"/>
  <c r="AZ146" i="1"/>
  <c r="BA146" i="1"/>
  <c r="AW146" i="1"/>
  <c r="BA145" i="1"/>
  <c r="AZ145" i="1"/>
  <c r="BB145" i="1" s="1"/>
  <c r="AW145" i="1"/>
  <c r="BA144" i="1"/>
  <c r="AW144" i="1"/>
  <c r="AZ144" i="1"/>
  <c r="BB144" i="1" s="1"/>
  <c r="AL143" i="1"/>
  <c r="AN144" i="1" s="1"/>
  <c r="AO143" i="1"/>
  <c r="AP143" i="1"/>
  <c r="AW142" i="1"/>
  <c r="AY143" i="1" s="1"/>
  <c r="BA142" i="1"/>
  <c r="AZ142" i="1"/>
  <c r="BB142" i="1" s="1"/>
  <c r="BA141" i="1"/>
  <c r="AW141" i="1"/>
  <c r="AZ141" i="1"/>
  <c r="BB141" i="1" s="1"/>
  <c r="BA139" i="1"/>
  <c r="AW139" i="1"/>
  <c r="AY140" i="1" s="1"/>
  <c r="AZ140" i="1" s="1"/>
  <c r="AZ139" i="1"/>
  <c r="BB139" i="1" s="1"/>
  <c r="BA140" i="1"/>
  <c r="AW140" i="1"/>
  <c r="AP140" i="1"/>
  <c r="AO140" i="1"/>
  <c r="AQ140" i="1" s="1"/>
  <c r="AL140" i="1"/>
  <c r="AN141" i="1" s="1"/>
  <c r="AZ138" i="1"/>
  <c r="BA138" i="1"/>
  <c r="AW138" i="1"/>
  <c r="AO138" i="1"/>
  <c r="AP138" i="1"/>
  <c r="AL138" i="1"/>
  <c r="AN139" i="1" s="1"/>
  <c r="AO137" i="1"/>
  <c r="AP137" i="1"/>
  <c r="AL137" i="1"/>
  <c r="AZ136" i="1"/>
  <c r="BA136" i="1"/>
  <c r="AW136" i="1"/>
  <c r="AY137" i="1" s="1"/>
  <c r="AO136" i="1"/>
  <c r="AP136" i="1"/>
  <c r="AL136" i="1"/>
  <c r="AO135" i="1"/>
  <c r="AP135" i="1"/>
  <c r="AL135" i="1"/>
  <c r="AZ134" i="1"/>
  <c r="BA134" i="1"/>
  <c r="AW134" i="1"/>
  <c r="AY135" i="1" s="1"/>
  <c r="AZ133" i="1"/>
  <c r="BA133" i="1"/>
  <c r="AW133" i="1"/>
  <c r="AZ132" i="1"/>
  <c r="BA132" i="1"/>
  <c r="AW132" i="1"/>
  <c r="AO132" i="1"/>
  <c r="AP132" i="1"/>
  <c r="AL132" i="1"/>
  <c r="AN133" i="1" s="1"/>
  <c r="AZ131" i="1"/>
  <c r="BA131" i="1"/>
  <c r="AW131" i="1"/>
  <c r="AO131" i="1"/>
  <c r="AP131" i="1"/>
  <c r="AL131" i="1"/>
  <c r="AZ130" i="1"/>
  <c r="BA130" i="1"/>
  <c r="AW130" i="1"/>
  <c r="AO130" i="1"/>
  <c r="AP130" i="1"/>
  <c r="AL130" i="1"/>
  <c r="AO129" i="1"/>
  <c r="AP129" i="1"/>
  <c r="AL129" i="1"/>
  <c r="AZ128" i="1"/>
  <c r="BB128" i="1" s="1"/>
  <c r="BA128" i="1"/>
  <c r="AW128" i="1"/>
  <c r="AY129" i="1" s="1"/>
  <c r="AO127" i="1"/>
  <c r="AP127" i="1"/>
  <c r="AL127" i="1"/>
  <c r="AN128" i="1" s="1"/>
  <c r="AZ126" i="1"/>
  <c r="BB126" i="1" s="1"/>
  <c r="BA126" i="1"/>
  <c r="AW126" i="1"/>
  <c r="AY127" i="1" s="1"/>
  <c r="AZ125" i="1"/>
  <c r="BA125" i="1"/>
  <c r="AW125" i="1"/>
  <c r="AZ124" i="1"/>
  <c r="BA124" i="1"/>
  <c r="AW124" i="1"/>
  <c r="AO124" i="1"/>
  <c r="AP124" i="1"/>
  <c r="AL124" i="1"/>
  <c r="AN125" i="1" s="1"/>
  <c r="AZ123" i="1"/>
  <c r="BA123" i="1"/>
  <c r="AW123" i="1"/>
  <c r="AZ122" i="1"/>
  <c r="BB122" i="1" s="1"/>
  <c r="BA122" i="1"/>
  <c r="AW122" i="1"/>
  <c r="AO122" i="1"/>
  <c r="AP122" i="1"/>
  <c r="AL122" i="1"/>
  <c r="AN123" i="1" s="1"/>
  <c r="AO121" i="1"/>
  <c r="AQ121" i="1" s="1"/>
  <c r="AP121" i="1"/>
  <c r="AL121" i="1"/>
  <c r="AZ120" i="1"/>
  <c r="BA120" i="1"/>
  <c r="AW120" i="1"/>
  <c r="AY121" i="1" s="1"/>
  <c r="AO119" i="1"/>
  <c r="AP119" i="1"/>
  <c r="AL119" i="1"/>
  <c r="AN120" i="1" s="1"/>
  <c r="AZ118" i="1"/>
  <c r="BA118" i="1"/>
  <c r="AW118" i="1"/>
  <c r="AY119" i="1" s="1"/>
  <c r="AZ117" i="1"/>
  <c r="BB117" i="1" s="1"/>
  <c r="BA117" i="1"/>
  <c r="AW117" i="1"/>
  <c r="AO116" i="1"/>
  <c r="AP116" i="1"/>
  <c r="AL116" i="1"/>
  <c r="AN117" i="1" s="1"/>
  <c r="AZ115" i="1"/>
  <c r="BB115" i="1" s="1"/>
  <c r="BA115" i="1"/>
  <c r="AW115" i="1"/>
  <c r="AY116" i="1" s="1"/>
  <c r="AO115" i="1"/>
  <c r="AQ115" i="1" s="1"/>
  <c r="BE115" i="1" s="1"/>
  <c r="AP115" i="1"/>
  <c r="AL115" i="1"/>
  <c r="AP114" i="1"/>
  <c r="AO114" i="1"/>
  <c r="AQ114" i="1" s="1"/>
  <c r="AL114" i="1"/>
  <c r="AO113" i="1"/>
  <c r="AL113" i="1"/>
  <c r="AP113" i="1"/>
  <c r="AP112" i="1"/>
  <c r="AO112" i="1"/>
  <c r="AQ112" i="1" s="1"/>
  <c r="AL112" i="1"/>
  <c r="BA111" i="1"/>
  <c r="AZ111" i="1"/>
  <c r="AW111" i="1"/>
  <c r="AY112" i="1" s="1"/>
  <c r="AO111" i="1"/>
  <c r="AP111" i="1"/>
  <c r="AL111" i="1"/>
  <c r="AL110" i="1"/>
  <c r="AO110" i="1"/>
  <c r="AQ110" i="1" s="1"/>
  <c r="AP110" i="1"/>
  <c r="AO109" i="1"/>
  <c r="AL109" i="1"/>
  <c r="AP109" i="1"/>
  <c r="BA108" i="1"/>
  <c r="AZ108" i="1"/>
  <c r="BB108" i="1" s="1"/>
  <c r="AW108" i="1"/>
  <c r="AY109" i="1" s="1"/>
  <c r="AW107" i="1"/>
  <c r="AZ107" i="1"/>
  <c r="BA107" i="1"/>
  <c r="AP107" i="1"/>
  <c r="AO107" i="1"/>
  <c r="AQ107" i="1" s="1"/>
  <c r="AL107" i="1"/>
  <c r="AN108" i="1" s="1"/>
  <c r="AO106" i="1"/>
  <c r="AP106" i="1"/>
  <c r="AL106" i="1"/>
  <c r="AO105" i="1"/>
  <c r="AP105" i="1"/>
  <c r="AL105" i="1"/>
  <c r="BA104" i="1"/>
  <c r="AZ104" i="1"/>
  <c r="AW104" i="1"/>
  <c r="AY105" i="1" s="1"/>
  <c r="BA103" i="1"/>
  <c r="AW103" i="1"/>
  <c r="AZ103" i="1"/>
  <c r="BB103" i="1" s="1"/>
  <c r="AZ102" i="1"/>
  <c r="AW102" i="1"/>
  <c r="BA102" i="1"/>
  <c r="AW101" i="1"/>
  <c r="BA101" i="1"/>
  <c r="AZ101" i="1"/>
  <c r="BB101" i="1" s="1"/>
  <c r="AP101" i="1"/>
  <c r="AO101" i="1"/>
  <c r="AQ101" i="1" s="1"/>
  <c r="BE101" i="1" s="1"/>
  <c r="AL101" i="1"/>
  <c r="AN102" i="1" s="1"/>
  <c r="AL100" i="1"/>
  <c r="AO100" i="1"/>
  <c r="AP100" i="1"/>
  <c r="AZ99" i="1"/>
  <c r="BA99" i="1"/>
  <c r="AW99" i="1"/>
  <c r="AY100" i="1" s="1"/>
  <c r="AP99" i="1"/>
  <c r="AL99" i="1"/>
  <c r="AO99" i="1"/>
  <c r="AQ99" i="1" s="1"/>
  <c r="AW98" i="1"/>
  <c r="AZ98" i="1"/>
  <c r="BA98" i="1"/>
  <c r="AL97" i="1"/>
  <c r="AN98" i="1" s="1"/>
  <c r="AO97" i="1"/>
  <c r="AP97" i="1"/>
  <c r="BA96" i="1"/>
  <c r="AW96" i="1"/>
  <c r="AY97" i="1" s="1"/>
  <c r="AZ96" i="1"/>
  <c r="BB96" i="1" s="1"/>
  <c r="AZ95" i="1"/>
  <c r="AW95" i="1"/>
  <c r="BA95" i="1"/>
  <c r="AL95" i="1"/>
  <c r="AN96" i="1" s="1"/>
  <c r="AP95" i="1"/>
  <c r="AO95" i="1"/>
  <c r="AQ95" i="1" s="1"/>
  <c r="AZ94" i="1"/>
  <c r="AW94" i="1"/>
  <c r="BA94" i="1"/>
  <c r="AP94" i="1"/>
  <c r="AO94" i="1"/>
  <c r="AQ94" i="1" s="1"/>
  <c r="AL94" i="1"/>
  <c r="AL93" i="1"/>
  <c r="AP93" i="1"/>
  <c r="AO93" i="1"/>
  <c r="AQ93" i="1" s="1"/>
  <c r="AW92" i="1"/>
  <c r="AY93" i="1" s="1"/>
  <c r="BA92" i="1"/>
  <c r="AZ92" i="1"/>
  <c r="BB92" i="1" s="1"/>
  <c r="AW91" i="1"/>
  <c r="AZ91" i="1"/>
  <c r="BA91" i="1"/>
  <c r="AL91" i="1"/>
  <c r="AN92" i="1" s="1"/>
  <c r="AP91" i="1"/>
  <c r="AO91" i="1"/>
  <c r="AQ91" i="1" s="1"/>
  <c r="AW90" i="1"/>
  <c r="AZ90" i="1"/>
  <c r="BA90" i="1"/>
  <c r="AP90" i="1"/>
  <c r="AO90" i="1"/>
  <c r="AQ90" i="1" s="1"/>
  <c r="AL90" i="1"/>
  <c r="AW89" i="1"/>
  <c r="BA89" i="1"/>
  <c r="AZ89" i="1"/>
  <c r="BB89" i="1" s="1"/>
  <c r="AP89" i="1"/>
  <c r="AO89" i="1"/>
  <c r="AQ89" i="1" s="1"/>
  <c r="BE89" i="1" s="1"/>
  <c r="AL89" i="1"/>
  <c r="AO88" i="1"/>
  <c r="AL88" i="1"/>
  <c r="AP88" i="1"/>
  <c r="BA87" i="1"/>
  <c r="AZ87" i="1"/>
  <c r="BB87" i="1" s="1"/>
  <c r="AW87" i="1"/>
  <c r="AY88" i="1" s="1"/>
  <c r="BA86" i="1"/>
  <c r="AZ86" i="1"/>
  <c r="BB86" i="1" s="1"/>
  <c r="AW86" i="1"/>
  <c r="AO86" i="1"/>
  <c r="AP86" i="1"/>
  <c r="AL86" i="1"/>
  <c r="AN87" i="1" s="1"/>
  <c r="AW85" i="1"/>
  <c r="BA85" i="1"/>
  <c r="AZ85" i="1"/>
  <c r="BB85" i="1" s="1"/>
  <c r="AL85" i="1"/>
  <c r="AP85" i="1"/>
  <c r="AO85" i="1"/>
  <c r="AQ85" i="1" s="1"/>
  <c r="BE85" i="1" s="1"/>
  <c r="AO84" i="1"/>
  <c r="AL84" i="1"/>
  <c r="AP84" i="1"/>
  <c r="AZ83" i="1"/>
  <c r="BA83" i="1"/>
  <c r="AW83" i="1"/>
  <c r="AY84" i="1" s="1"/>
  <c r="AL83" i="1"/>
  <c r="AO83" i="1"/>
  <c r="AP83" i="1"/>
  <c r="AW82" i="1"/>
  <c r="AZ82" i="1"/>
  <c r="BA82" i="1"/>
  <c r="AZ81" i="1"/>
  <c r="BA81" i="1"/>
  <c r="AW81" i="1"/>
  <c r="AP81" i="1"/>
  <c r="AO81" i="1"/>
  <c r="AQ81" i="1" s="1"/>
  <c r="AL81" i="1"/>
  <c r="AN82" i="1" s="1"/>
  <c r="AZ80" i="1"/>
  <c r="AW80" i="1"/>
  <c r="BA80" i="1"/>
  <c r="BA79" i="1"/>
  <c r="AZ79" i="1"/>
  <c r="BB79" i="1" s="1"/>
  <c r="AW79" i="1"/>
  <c r="BA78" i="1"/>
  <c r="AW78" i="1"/>
  <c r="AZ78" i="1"/>
  <c r="BB78" i="1" s="1"/>
  <c r="AO78" i="1"/>
  <c r="AL78" i="1"/>
  <c r="AN79" i="1" s="1"/>
  <c r="AP78" i="1"/>
  <c r="AP77" i="1"/>
  <c r="AO77" i="1"/>
  <c r="AQ77" i="1" s="1"/>
  <c r="AL77" i="1"/>
  <c r="AW76" i="1"/>
  <c r="AY77" i="1" s="1"/>
  <c r="BA76" i="1"/>
  <c r="AZ76" i="1"/>
  <c r="BB76" i="1" s="1"/>
  <c r="AL76" i="1"/>
  <c r="AP76" i="1"/>
  <c r="AO76" i="1"/>
  <c r="AQ76" i="1" s="1"/>
  <c r="BE76" i="1" s="1"/>
  <c r="AL75" i="1"/>
  <c r="AP75" i="1"/>
  <c r="AO75" i="1"/>
  <c r="AQ75" i="1" s="1"/>
  <c r="AL74" i="1"/>
  <c r="AO74" i="1"/>
  <c r="AP74" i="1"/>
  <c r="AZ73" i="1"/>
  <c r="AW73" i="1"/>
  <c r="AY74" i="1" s="1"/>
  <c r="BA73" i="1"/>
  <c r="AL73" i="1"/>
  <c r="AO73" i="1"/>
  <c r="AP73" i="1"/>
  <c r="AW72" i="1"/>
  <c r="BA72" i="1"/>
  <c r="AZ72" i="1"/>
  <c r="BB72" i="1" s="1"/>
  <c r="AP71" i="1"/>
  <c r="AO71" i="1"/>
  <c r="AQ71" i="1" s="1"/>
  <c r="AL71" i="1"/>
  <c r="AN72" i="1" s="1"/>
  <c r="AZ70" i="1"/>
  <c r="BA70" i="1"/>
  <c r="AW70" i="1"/>
  <c r="AY71" i="1" s="1"/>
  <c r="AZ69" i="1"/>
  <c r="AW69" i="1"/>
  <c r="BA69" i="1"/>
  <c r="AP68" i="1"/>
  <c r="AO68" i="1"/>
  <c r="AQ68" i="1" s="1"/>
  <c r="AL68" i="1"/>
  <c r="AN69" i="1" s="1"/>
  <c r="AL67" i="1"/>
  <c r="AO67" i="1"/>
  <c r="AP67" i="1"/>
  <c r="AO66" i="1"/>
  <c r="AL66" i="1"/>
  <c r="AP66" i="1"/>
  <c r="AL65" i="1"/>
  <c r="AP65" i="1"/>
  <c r="AO65" i="1"/>
  <c r="AQ65" i="1" s="1"/>
  <c r="AW64" i="1"/>
  <c r="AY65" i="1" s="1"/>
  <c r="AZ64" i="1"/>
  <c r="BA64" i="1"/>
  <c r="AL63" i="1"/>
  <c r="AP63" i="1"/>
  <c r="AO63" i="1"/>
  <c r="AQ63" i="1" s="1"/>
  <c r="AP64" i="1"/>
  <c r="AL64" i="1"/>
  <c r="AO64" i="1"/>
  <c r="AQ64" i="1" s="1"/>
  <c r="AZ62" i="1"/>
  <c r="AW62" i="1"/>
  <c r="BA62" i="1"/>
  <c r="AZ63" i="1"/>
  <c r="BA63" i="1"/>
  <c r="AW63" i="1"/>
  <c r="AO62" i="1"/>
  <c r="AP62" i="1"/>
  <c r="AL62" i="1"/>
  <c r="AO61" i="1"/>
  <c r="AP61" i="1"/>
  <c r="AL61" i="1"/>
  <c r="AZ60" i="1"/>
  <c r="BA60" i="1"/>
  <c r="AW60" i="1"/>
  <c r="AY61" i="1" s="1"/>
  <c r="AO60" i="1"/>
  <c r="AP60" i="1"/>
  <c r="AL60" i="1"/>
  <c r="AO59" i="1"/>
  <c r="AP59" i="1"/>
  <c r="AL59" i="1"/>
  <c r="AZ58" i="1"/>
  <c r="BA58" i="1"/>
  <c r="AW58" i="1"/>
  <c r="AY59" i="1" s="1"/>
  <c r="AO58" i="1"/>
  <c r="AP58" i="1"/>
  <c r="AL58" i="1"/>
  <c r="AZ57" i="1"/>
  <c r="BA57" i="1"/>
  <c r="AW57" i="1"/>
  <c r="AO57" i="1"/>
  <c r="AP57" i="1"/>
  <c r="AL57" i="1"/>
  <c r="AZ56" i="1"/>
  <c r="BA56" i="1"/>
  <c r="AW56" i="1"/>
  <c r="AZ55" i="1"/>
  <c r="BA55" i="1"/>
  <c r="AW55" i="1"/>
  <c r="AO55" i="1"/>
  <c r="AP55" i="1"/>
  <c r="AL55" i="1"/>
  <c r="AN56" i="1" s="1"/>
  <c r="AZ54" i="1"/>
  <c r="BA54" i="1"/>
  <c r="AW54" i="1"/>
  <c r="AO54" i="1"/>
  <c r="AP54" i="1"/>
  <c r="AL54" i="1"/>
  <c r="AO53" i="1"/>
  <c r="AP53" i="1"/>
  <c r="AL53" i="1"/>
  <c r="AZ52" i="1"/>
  <c r="BA52" i="1"/>
  <c r="AW52" i="1"/>
  <c r="AY53" i="1" s="1"/>
  <c r="AO52" i="1"/>
  <c r="AP52" i="1"/>
  <c r="AL52" i="1"/>
  <c r="AZ51" i="1"/>
  <c r="BA51" i="1"/>
  <c r="AW51" i="1"/>
  <c r="AZ50" i="1"/>
  <c r="BA50" i="1"/>
  <c r="AW50" i="1"/>
  <c r="AZ49" i="1"/>
  <c r="BA49" i="1"/>
  <c r="AW49" i="1"/>
  <c r="AO49" i="1"/>
  <c r="AP49" i="1"/>
  <c r="AL49" i="1"/>
  <c r="AN50" i="1" s="1"/>
  <c r="AZ48" i="1"/>
  <c r="BA48" i="1"/>
  <c r="AW48" i="1"/>
  <c r="AO48" i="1"/>
  <c r="AP48" i="1"/>
  <c r="AL48" i="1"/>
  <c r="AZ47" i="1"/>
  <c r="BA47" i="1"/>
  <c r="AW47" i="1"/>
  <c r="AZ46" i="1"/>
  <c r="BA46" i="1"/>
  <c r="AW46" i="1"/>
  <c r="AO46" i="1"/>
  <c r="AP46" i="1"/>
  <c r="AL46" i="1"/>
  <c r="AN47" i="1" s="1"/>
  <c r="AZ45" i="1"/>
  <c r="BA45" i="1"/>
  <c r="AW45" i="1"/>
  <c r="AO45" i="1"/>
  <c r="AP45" i="1"/>
  <c r="AL45" i="1"/>
  <c r="AO44" i="1"/>
  <c r="AP44" i="1"/>
  <c r="AL44" i="1"/>
  <c r="AO43" i="1"/>
  <c r="AP43" i="1"/>
  <c r="AL43" i="1"/>
  <c r="AZ42" i="1"/>
  <c r="BA42" i="1"/>
  <c r="AW42" i="1"/>
  <c r="AY43" i="1" s="1"/>
  <c r="AO42" i="1"/>
  <c r="AP42" i="1"/>
  <c r="AL42" i="1"/>
  <c r="AZ41" i="1"/>
  <c r="BA41" i="1"/>
  <c r="AW41" i="1"/>
  <c r="AO41" i="1"/>
  <c r="AP41" i="1"/>
  <c r="AL41" i="1"/>
  <c r="AZ40" i="1"/>
  <c r="BA40" i="1"/>
  <c r="AW40" i="1"/>
  <c r="AZ39" i="1"/>
  <c r="BA39" i="1"/>
  <c r="AW39" i="1"/>
  <c r="AO39" i="1"/>
  <c r="AP39" i="1"/>
  <c r="AL39" i="1"/>
  <c r="AN40" i="1" s="1"/>
  <c r="AZ38" i="1"/>
  <c r="BA38" i="1"/>
  <c r="AW38" i="1"/>
  <c r="AO37" i="1"/>
  <c r="AP37" i="1"/>
  <c r="AL37" i="1"/>
  <c r="AN38" i="1" s="1"/>
  <c r="AO36" i="1"/>
  <c r="AP36" i="1"/>
  <c r="AL36" i="1"/>
  <c r="AZ35" i="1"/>
  <c r="BA35" i="1"/>
  <c r="AW35" i="1"/>
  <c r="AY36" i="1" s="1"/>
  <c r="AO35" i="1"/>
  <c r="AP35" i="1"/>
  <c r="AL35" i="1"/>
  <c r="AO34" i="1"/>
  <c r="AP34" i="1"/>
  <c r="AL34" i="1"/>
  <c r="AZ33" i="1"/>
  <c r="BA33" i="1"/>
  <c r="AW33" i="1"/>
  <c r="AY34" i="1" s="1"/>
  <c r="AZ32" i="1"/>
  <c r="BA32" i="1"/>
  <c r="AW32" i="1"/>
  <c r="AZ31" i="1"/>
  <c r="BA31" i="1"/>
  <c r="AW31" i="1"/>
  <c r="AZ30" i="1"/>
  <c r="BA30" i="1"/>
  <c r="AW30" i="1"/>
  <c r="AZ29" i="1"/>
  <c r="BA29" i="1"/>
  <c r="AW29" i="1"/>
  <c r="AO29" i="1"/>
  <c r="AP29" i="1"/>
  <c r="AL29" i="1"/>
  <c r="AN30" i="1" s="1"/>
  <c r="AO28" i="1"/>
  <c r="AP28" i="1"/>
  <c r="AL28" i="1"/>
  <c r="AZ27" i="1"/>
  <c r="BA27" i="1"/>
  <c r="AW27" i="1"/>
  <c r="AY28" i="1" s="1"/>
  <c r="AZ26" i="1"/>
  <c r="BA26" i="1"/>
  <c r="AW26" i="1"/>
  <c r="AO26" i="1"/>
  <c r="AP26" i="1"/>
  <c r="AL26" i="1"/>
  <c r="AN27" i="1" s="1"/>
  <c r="AZ24" i="1"/>
  <c r="BA24" i="1"/>
  <c r="AZ25" i="1"/>
  <c r="BA25" i="1"/>
  <c r="AW25" i="1"/>
  <c r="AO24" i="1"/>
  <c r="AP24" i="1"/>
  <c r="AO25" i="1"/>
  <c r="AP25" i="1"/>
  <c r="AL25" i="1"/>
  <c r="AZ23" i="1"/>
  <c r="BA23" i="1"/>
  <c r="AW23" i="1"/>
  <c r="AO23" i="1"/>
  <c r="AP23" i="1"/>
  <c r="AL23" i="1"/>
  <c r="AZ22" i="1"/>
  <c r="BA22" i="1"/>
  <c r="AO22" i="1"/>
  <c r="AP22" i="1"/>
  <c r="AQ124" i="1" l="1"/>
  <c r="BB120" i="1"/>
  <c r="BB104" i="1"/>
  <c r="BB124" i="1"/>
  <c r="BB118" i="1"/>
  <c r="BB125" i="1"/>
  <c r="AQ111" i="1"/>
  <c r="BB111" i="1"/>
  <c r="AW176" i="1"/>
  <c r="BA176" i="1"/>
  <c r="AZ176" i="1"/>
  <c r="AL175" i="1"/>
  <c r="AP175" i="1"/>
  <c r="AO175" i="1"/>
  <c r="AQ175" i="1" s="1"/>
  <c r="AW172" i="1"/>
  <c r="AY173" i="1" s="1"/>
  <c r="BA172" i="1"/>
  <c r="AZ172" i="1"/>
  <c r="BB172" i="1" s="1"/>
  <c r="AW170" i="1"/>
  <c r="BA170" i="1"/>
  <c r="AZ170" i="1"/>
  <c r="BB170" i="1" s="1"/>
  <c r="AL165" i="1"/>
  <c r="AP165" i="1"/>
  <c r="AO165" i="1"/>
  <c r="AQ165" i="1" s="1"/>
  <c r="AW164" i="1"/>
  <c r="BA164" i="1"/>
  <c r="AZ164" i="1"/>
  <c r="BB164" i="1" s="1"/>
  <c r="AL162" i="1"/>
  <c r="AN163" i="1" s="1"/>
  <c r="AP162" i="1"/>
  <c r="AO162" i="1"/>
  <c r="AQ162" i="1" s="1"/>
  <c r="AW158" i="1"/>
  <c r="AZ158" i="1"/>
  <c r="BA158" i="1"/>
  <c r="AL155" i="1"/>
  <c r="AN156" i="1" s="1"/>
  <c r="AO155" i="1"/>
  <c r="AP155" i="1"/>
  <c r="BA153" i="1"/>
  <c r="AZ153" i="1"/>
  <c r="BB153" i="1" s="1"/>
  <c r="AW153" i="1"/>
  <c r="AL152" i="1"/>
  <c r="AO152" i="1"/>
  <c r="AP152" i="1"/>
  <c r="AW148" i="1"/>
  <c r="BA148" i="1"/>
  <c r="AZ148" i="1"/>
  <c r="BB148" i="1" s="1"/>
  <c r="BE148" i="1" s="1"/>
  <c r="AO144" i="1"/>
  <c r="AL144" i="1"/>
  <c r="AN145" i="1" s="1"/>
  <c r="AP144" i="1"/>
  <c r="AZ143" i="1"/>
  <c r="AW143" i="1"/>
  <c r="BA143" i="1"/>
  <c r="AO141" i="1"/>
  <c r="AL141" i="1"/>
  <c r="AN142" i="1" s="1"/>
  <c r="AP141" i="1"/>
  <c r="AP139" i="1"/>
  <c r="AO139" i="1"/>
  <c r="AQ139" i="1" s="1"/>
  <c r="BE139" i="1" s="1"/>
  <c r="AL139" i="1"/>
  <c r="AW137" i="1"/>
  <c r="BA137" i="1"/>
  <c r="AZ137" i="1"/>
  <c r="BB137" i="1" s="1"/>
  <c r="AW135" i="1"/>
  <c r="BA135" i="1"/>
  <c r="AZ135" i="1"/>
  <c r="BB135" i="1" s="1"/>
  <c r="AL133" i="1"/>
  <c r="AN134" i="1" s="1"/>
  <c r="AP133" i="1"/>
  <c r="AO133" i="1"/>
  <c r="AQ133" i="1" s="1"/>
  <c r="AW129" i="1"/>
  <c r="BA129" i="1"/>
  <c r="AZ129" i="1"/>
  <c r="BB129" i="1" s="1"/>
  <c r="AL128" i="1"/>
  <c r="AP128" i="1"/>
  <c r="AO128" i="1"/>
  <c r="AQ128" i="1" s="1"/>
  <c r="BE128" i="1" s="1"/>
  <c r="AW127" i="1"/>
  <c r="BA127" i="1"/>
  <c r="AZ127" i="1"/>
  <c r="BB127" i="1" s="1"/>
  <c r="AL125" i="1"/>
  <c r="AN126" i="1" s="1"/>
  <c r="AP125" i="1"/>
  <c r="AO125" i="1"/>
  <c r="AQ125" i="1" s="1"/>
  <c r="BE125" i="1" s="1"/>
  <c r="AL123" i="1"/>
  <c r="AP123" i="1"/>
  <c r="AO123" i="1"/>
  <c r="AQ123" i="1" s="1"/>
  <c r="AW121" i="1"/>
  <c r="BA121" i="1"/>
  <c r="AZ121" i="1"/>
  <c r="BB121" i="1" s="1"/>
  <c r="BE121" i="1" s="1"/>
  <c r="AL120" i="1"/>
  <c r="AP120" i="1"/>
  <c r="AO120" i="1"/>
  <c r="AW119" i="1"/>
  <c r="BA119" i="1"/>
  <c r="AZ119" i="1"/>
  <c r="BB119" i="1" s="1"/>
  <c r="AL117" i="1"/>
  <c r="AN118" i="1" s="1"/>
  <c r="AP117" i="1"/>
  <c r="AO117" i="1"/>
  <c r="AQ117" i="1" s="1"/>
  <c r="BE117" i="1" s="1"/>
  <c r="AW116" i="1"/>
  <c r="BA116" i="1"/>
  <c r="AZ116" i="1"/>
  <c r="BB116" i="1" s="1"/>
  <c r="BA112" i="1"/>
  <c r="AZ112" i="1"/>
  <c r="BB112" i="1" s="1"/>
  <c r="BE112" i="1" s="1"/>
  <c r="AW112" i="1"/>
  <c r="AY113" i="1" s="1"/>
  <c r="AZ109" i="1"/>
  <c r="BA109" i="1"/>
  <c r="AW109" i="1"/>
  <c r="AY110" i="1" s="1"/>
  <c r="AO108" i="1"/>
  <c r="AL108" i="1"/>
  <c r="AP108" i="1"/>
  <c r="AZ105" i="1"/>
  <c r="BA105" i="1"/>
  <c r="AW105" i="1"/>
  <c r="AY106" i="1" s="1"/>
  <c r="AO102" i="1"/>
  <c r="AP102" i="1"/>
  <c r="AL102" i="1"/>
  <c r="AN103" i="1" s="1"/>
  <c r="AZ100" i="1"/>
  <c r="BA100" i="1"/>
  <c r="AW100" i="1"/>
  <c r="AL98" i="1"/>
  <c r="AO98" i="1"/>
  <c r="AP98" i="1"/>
  <c r="AW97" i="1"/>
  <c r="AZ97" i="1"/>
  <c r="BA97" i="1"/>
  <c r="AL96" i="1"/>
  <c r="AP96" i="1"/>
  <c r="AO96" i="1"/>
  <c r="AQ96" i="1" s="1"/>
  <c r="BE96" i="1" s="1"/>
  <c r="BA93" i="1"/>
  <c r="AZ93" i="1"/>
  <c r="BB93" i="1" s="1"/>
  <c r="BE93" i="1" s="1"/>
  <c r="AW93" i="1"/>
  <c r="AO92" i="1"/>
  <c r="AL92" i="1"/>
  <c r="AP92" i="1"/>
  <c r="BA88" i="1"/>
  <c r="AZ88" i="1"/>
  <c r="BB88" i="1" s="1"/>
  <c r="AW88" i="1"/>
  <c r="AP87" i="1"/>
  <c r="AO87" i="1"/>
  <c r="AQ87" i="1" s="1"/>
  <c r="BE87" i="1" s="1"/>
  <c r="AL87" i="1"/>
  <c r="BA84" i="1"/>
  <c r="AW84" i="1"/>
  <c r="AZ84" i="1"/>
  <c r="BB84" i="1" s="1"/>
  <c r="AO82" i="1"/>
  <c r="AL82" i="1"/>
  <c r="AP82" i="1"/>
  <c r="AO79" i="1"/>
  <c r="AL79" i="1"/>
  <c r="AN80" i="1" s="1"/>
  <c r="AP79" i="1"/>
  <c r="AW77" i="1"/>
  <c r="AZ77" i="1"/>
  <c r="BA77" i="1"/>
  <c r="AZ74" i="1"/>
  <c r="BA74" i="1"/>
  <c r="AW74" i="1"/>
  <c r="AY75" i="1" s="1"/>
  <c r="AP72" i="1"/>
  <c r="AL72" i="1"/>
  <c r="AO72" i="1"/>
  <c r="AQ72" i="1" s="1"/>
  <c r="BE72" i="1" s="1"/>
  <c r="BA71" i="1"/>
  <c r="AW71" i="1"/>
  <c r="AZ71" i="1"/>
  <c r="BB71" i="1" s="1"/>
  <c r="BE71" i="1" s="1"/>
  <c r="AO69" i="1"/>
  <c r="AL69" i="1"/>
  <c r="AN70" i="1" s="1"/>
  <c r="AP69" i="1"/>
  <c r="AZ65" i="1"/>
  <c r="BA65" i="1"/>
  <c r="AW65" i="1"/>
  <c r="AY66" i="1" s="1"/>
  <c r="AW61" i="1"/>
  <c r="BA61" i="1"/>
  <c r="AZ61" i="1"/>
  <c r="BB61" i="1" s="1"/>
  <c r="AW59" i="1"/>
  <c r="BA59" i="1"/>
  <c r="AZ59" i="1"/>
  <c r="BB59" i="1" s="1"/>
  <c r="AL56" i="1"/>
  <c r="AP56" i="1"/>
  <c r="AO56" i="1"/>
  <c r="AQ56" i="1" s="1"/>
  <c r="AW53" i="1"/>
  <c r="BA53" i="1"/>
  <c r="AZ53" i="1"/>
  <c r="BB53" i="1" s="1"/>
  <c r="AL50" i="1"/>
  <c r="AN51" i="1" s="1"/>
  <c r="AP50" i="1"/>
  <c r="AO50" i="1"/>
  <c r="AQ50" i="1" s="1"/>
  <c r="AL47" i="1"/>
  <c r="AP47" i="1"/>
  <c r="AO47" i="1"/>
  <c r="AQ47" i="1" s="1"/>
  <c r="AW43" i="1"/>
  <c r="AY44" i="1" s="1"/>
  <c r="BA43" i="1"/>
  <c r="AZ43" i="1"/>
  <c r="BB43" i="1" s="1"/>
  <c r="AL40" i="1"/>
  <c r="AP40" i="1"/>
  <c r="AO40" i="1"/>
  <c r="AQ40" i="1" s="1"/>
  <c r="AL38" i="1"/>
  <c r="AP38" i="1"/>
  <c r="AO38" i="1"/>
  <c r="AQ38" i="1" s="1"/>
  <c r="AW36" i="1"/>
  <c r="AY37" i="1" s="1"/>
  <c r="BA36" i="1"/>
  <c r="AZ36" i="1"/>
  <c r="BB36" i="1" s="1"/>
  <c r="AW34" i="1"/>
  <c r="BA34" i="1"/>
  <c r="AZ34" i="1"/>
  <c r="BB34" i="1" s="1"/>
  <c r="AL30" i="1"/>
  <c r="AN31" i="1" s="1"/>
  <c r="AP30" i="1"/>
  <c r="AO30" i="1"/>
  <c r="AQ30" i="1" s="1"/>
  <c r="AW28" i="1"/>
  <c r="BA28" i="1"/>
  <c r="AZ28" i="1"/>
  <c r="BB28" i="1" s="1"/>
  <c r="AL27" i="1"/>
  <c r="AP27" i="1"/>
  <c r="AO27" i="1"/>
  <c r="AQ27" i="1" s="1"/>
  <c r="AQ176" i="1"/>
  <c r="BB175" i="1"/>
  <c r="BB174" i="1"/>
  <c r="AQ174" i="1"/>
  <c r="BE174" i="1" s="1"/>
  <c r="AQ173" i="1"/>
  <c r="AQ172" i="1"/>
  <c r="BE172" i="1" s="1"/>
  <c r="BB171" i="1"/>
  <c r="AQ171" i="1"/>
  <c r="BE171" i="1" s="1"/>
  <c r="AQ170" i="1"/>
  <c r="BE170" i="1" s="1"/>
  <c r="BB169" i="1"/>
  <c r="AQ169" i="1"/>
  <c r="BE169" i="1" s="1"/>
  <c r="BB168" i="1"/>
  <c r="AQ168" i="1"/>
  <c r="BE168" i="1" s="1"/>
  <c r="BB167" i="1"/>
  <c r="AQ167" i="1"/>
  <c r="BE167" i="1" s="1"/>
  <c r="BB166" i="1"/>
  <c r="AQ166" i="1"/>
  <c r="BE166" i="1" s="1"/>
  <c r="BB165" i="1"/>
  <c r="AQ164" i="1"/>
  <c r="BE164" i="1" s="1"/>
  <c r="BB163" i="1"/>
  <c r="BB162" i="1"/>
  <c r="AQ159" i="1"/>
  <c r="BE159" i="1" s="1"/>
  <c r="BB156" i="1"/>
  <c r="BB155" i="1"/>
  <c r="AQ154" i="1"/>
  <c r="BE154" i="1" s="1"/>
  <c r="AQ153" i="1"/>
  <c r="BE153" i="1" s="1"/>
  <c r="BB152" i="1"/>
  <c r="BB151" i="1"/>
  <c r="BE151" i="1" s="1"/>
  <c r="AQ150" i="1"/>
  <c r="BE150" i="1" s="1"/>
  <c r="BB149" i="1"/>
  <c r="BE149" i="1" s="1"/>
  <c r="BB146" i="1"/>
  <c r="AQ143" i="1"/>
  <c r="BB140" i="1"/>
  <c r="BE140" i="1" s="1"/>
  <c r="BB138" i="1"/>
  <c r="AQ138" i="1"/>
  <c r="BE138" i="1" s="1"/>
  <c r="AQ137" i="1"/>
  <c r="BE137" i="1" s="1"/>
  <c r="BB136" i="1"/>
  <c r="AQ136" i="1"/>
  <c r="BE136" i="1" s="1"/>
  <c r="AQ135" i="1"/>
  <c r="BE135" i="1" s="1"/>
  <c r="BB134" i="1"/>
  <c r="BB133" i="1"/>
  <c r="BB132" i="1"/>
  <c r="AQ132" i="1"/>
  <c r="BE132" i="1" s="1"/>
  <c r="BB131" i="1"/>
  <c r="BB130" i="1"/>
  <c r="AQ130" i="1"/>
  <c r="BE130" i="1" s="1"/>
  <c r="AQ129" i="1"/>
  <c r="BE129" i="1" s="1"/>
  <c r="BB123" i="1"/>
  <c r="AQ122" i="1"/>
  <c r="BE122" i="1" s="1"/>
  <c r="AQ109" i="1"/>
  <c r="BB107" i="1"/>
  <c r="BE107" i="1" s="1"/>
  <c r="AQ106" i="1"/>
  <c r="AQ105" i="1"/>
  <c r="BB102" i="1"/>
  <c r="AQ100" i="1"/>
  <c r="BB99" i="1"/>
  <c r="BE99" i="1" s="1"/>
  <c r="BB98" i="1"/>
  <c r="AQ97" i="1"/>
  <c r="BB95" i="1"/>
  <c r="BE95" i="1" s="1"/>
  <c r="BB94" i="1"/>
  <c r="BE94" i="1" s="1"/>
  <c r="BB91" i="1"/>
  <c r="BE91" i="1" s="1"/>
  <c r="BB90" i="1"/>
  <c r="BE90" i="1" s="1"/>
  <c r="AQ88" i="1"/>
  <c r="AQ86" i="1"/>
  <c r="BE86" i="1" s="1"/>
  <c r="AQ84" i="1"/>
  <c r="BB83" i="1"/>
  <c r="AQ83" i="1"/>
  <c r="BE83" i="1" s="1"/>
  <c r="BB82" i="1"/>
  <c r="BB81" i="1"/>
  <c r="BE81" i="1" s="1"/>
  <c r="BB80" i="1"/>
  <c r="AQ78" i="1"/>
  <c r="BE78" i="1" s="1"/>
  <c r="AQ74" i="1"/>
  <c r="BB73" i="1"/>
  <c r="AQ73" i="1"/>
  <c r="BE73" i="1" s="1"/>
  <c r="BB70" i="1"/>
  <c r="BB69" i="1"/>
  <c r="AQ67" i="1"/>
  <c r="AQ66" i="1"/>
  <c r="BB64" i="1"/>
  <c r="BE64" i="1" s="1"/>
  <c r="BB62" i="1"/>
  <c r="BB63" i="1"/>
  <c r="BE63" i="1" s="1"/>
  <c r="AQ62" i="1"/>
  <c r="BE62" i="1" s="1"/>
  <c r="AQ61" i="1"/>
  <c r="BB60" i="1"/>
  <c r="AQ60" i="1"/>
  <c r="BE60" i="1" s="1"/>
  <c r="AQ59" i="1"/>
  <c r="BB58" i="1"/>
  <c r="AQ58" i="1"/>
  <c r="BE58" i="1" s="1"/>
  <c r="BB57" i="1"/>
  <c r="AQ57" i="1"/>
  <c r="BE57" i="1" s="1"/>
  <c r="BB56" i="1"/>
  <c r="BB55" i="1"/>
  <c r="AQ55" i="1"/>
  <c r="BE55" i="1" s="1"/>
  <c r="BB54" i="1"/>
  <c r="AQ54" i="1"/>
  <c r="BE54" i="1" s="1"/>
  <c r="AQ53" i="1"/>
  <c r="BB52" i="1"/>
  <c r="AQ52" i="1"/>
  <c r="BE52" i="1" s="1"/>
  <c r="BB51" i="1"/>
  <c r="BB50" i="1"/>
  <c r="BB49" i="1"/>
  <c r="AQ49" i="1"/>
  <c r="BE49" i="1" s="1"/>
  <c r="BB48" i="1"/>
  <c r="AQ48" i="1"/>
  <c r="BE48" i="1" s="1"/>
  <c r="BB47" i="1"/>
  <c r="BB46" i="1"/>
  <c r="AQ46" i="1"/>
  <c r="BE46" i="1" s="1"/>
  <c r="BB45" i="1"/>
  <c r="AQ45" i="1"/>
  <c r="BE45" i="1" s="1"/>
  <c r="AQ44" i="1"/>
  <c r="AQ43" i="1"/>
  <c r="BB42" i="1"/>
  <c r="AQ42" i="1"/>
  <c r="BE42" i="1" s="1"/>
  <c r="BB41" i="1"/>
  <c r="AQ41" i="1"/>
  <c r="BB40" i="1"/>
  <c r="BB39" i="1"/>
  <c r="AQ39" i="1"/>
  <c r="BE39" i="1" s="1"/>
  <c r="BB38" i="1"/>
  <c r="AQ37" i="1"/>
  <c r="AQ36" i="1"/>
  <c r="BB35" i="1"/>
  <c r="AQ35" i="1"/>
  <c r="BE35" i="1" s="1"/>
  <c r="AQ34" i="1"/>
  <c r="BB33" i="1"/>
  <c r="BB32" i="1"/>
  <c r="BB31" i="1"/>
  <c r="BB30" i="1"/>
  <c r="BB29" i="1"/>
  <c r="AQ29" i="1"/>
  <c r="BE29" i="1" s="1"/>
  <c r="AQ28" i="1"/>
  <c r="BB27" i="1"/>
  <c r="BB26" i="1"/>
  <c r="AQ26" i="1"/>
  <c r="BE26" i="1" s="1"/>
  <c r="BB24" i="1"/>
  <c r="BB25" i="1"/>
  <c r="AQ24" i="1"/>
  <c r="BE24" i="1" s="1"/>
  <c r="AQ25" i="1"/>
  <c r="BE25" i="1" s="1"/>
  <c r="BB23" i="1"/>
  <c r="AQ23" i="1"/>
  <c r="BE23" i="1" s="1"/>
  <c r="BB22" i="1"/>
  <c r="AQ22" i="1"/>
  <c r="AQ127" i="1"/>
  <c r="BE127" i="1" s="1"/>
  <c r="AQ116" i="1"/>
  <c r="BE116" i="1" s="1"/>
  <c r="AQ131" i="1"/>
  <c r="AQ113" i="1"/>
  <c r="AQ119" i="1"/>
  <c r="BE119" i="1" s="1"/>
  <c r="BE124" i="1" l="1"/>
  <c r="BE111" i="1"/>
  <c r="BB105" i="1"/>
  <c r="AQ102" i="1"/>
  <c r="BE102" i="1" s="1"/>
  <c r="BB100" i="1"/>
  <c r="AQ98" i="1"/>
  <c r="BE98" i="1" s="1"/>
  <c r="BB97" i="1"/>
  <c r="AQ82" i="1"/>
  <c r="BE82" i="1" s="1"/>
  <c r="AQ79" i="1"/>
  <c r="BE79" i="1" s="1"/>
  <c r="BB74" i="1"/>
  <c r="BE56" i="1"/>
  <c r="BE50" i="1"/>
  <c r="BE47" i="1"/>
  <c r="BE40" i="1"/>
  <c r="BE38" i="1"/>
  <c r="BE30" i="1"/>
  <c r="BE27" i="1"/>
  <c r="BE41" i="1"/>
  <c r="AW173" i="1"/>
  <c r="BA173" i="1"/>
  <c r="AZ173" i="1"/>
  <c r="BB173" i="1" s="1"/>
  <c r="BE173" i="1" s="1"/>
  <c r="AL163" i="1"/>
  <c r="AP163" i="1"/>
  <c r="AO163" i="1"/>
  <c r="AO156" i="1"/>
  <c r="AL156" i="1"/>
  <c r="AN157" i="1" s="1"/>
  <c r="AP156" i="1"/>
  <c r="AL145" i="1"/>
  <c r="AN146" i="1" s="1"/>
  <c r="AP145" i="1"/>
  <c r="AO145" i="1"/>
  <c r="AQ145" i="1" s="1"/>
  <c r="BE145" i="1" s="1"/>
  <c r="AO142" i="1"/>
  <c r="AL142" i="1"/>
  <c r="AP142" i="1"/>
  <c r="AL134" i="1"/>
  <c r="AP134" i="1"/>
  <c r="AO134" i="1"/>
  <c r="AQ134" i="1" s="1"/>
  <c r="BE134" i="1" s="1"/>
  <c r="AL126" i="1"/>
  <c r="AP126" i="1"/>
  <c r="AO126" i="1"/>
  <c r="AL118" i="1"/>
  <c r="AP118" i="1"/>
  <c r="AO118" i="1"/>
  <c r="AQ118" i="1" s="1"/>
  <c r="BE118" i="1" s="1"/>
  <c r="AZ113" i="1"/>
  <c r="AW113" i="1"/>
  <c r="AY114" i="1" s="1"/>
  <c r="BA113" i="1"/>
  <c r="AZ110" i="1"/>
  <c r="AW110" i="1"/>
  <c r="BA110" i="1"/>
  <c r="AZ106" i="1"/>
  <c r="BA106" i="1"/>
  <c r="AW106" i="1"/>
  <c r="AP103" i="1"/>
  <c r="AL103" i="1"/>
  <c r="AN104" i="1" s="1"/>
  <c r="AO103" i="1"/>
  <c r="AQ103" i="1" s="1"/>
  <c r="BE103" i="1" s="1"/>
  <c r="AL80" i="1"/>
  <c r="AO80" i="1"/>
  <c r="AP80" i="1"/>
  <c r="AZ75" i="1"/>
  <c r="BA75" i="1"/>
  <c r="AW75" i="1"/>
  <c r="AP70" i="1"/>
  <c r="AO70" i="1"/>
  <c r="AQ70" i="1" s="1"/>
  <c r="BE70" i="1" s="1"/>
  <c r="AL70" i="1"/>
  <c r="BA66" i="1"/>
  <c r="AZ66" i="1"/>
  <c r="BB66" i="1" s="1"/>
  <c r="BE66" i="1" s="1"/>
  <c r="AW66" i="1"/>
  <c r="AY67" i="1" s="1"/>
  <c r="AL51" i="1"/>
  <c r="AP51" i="1"/>
  <c r="AO51" i="1"/>
  <c r="AQ51" i="1" s="1"/>
  <c r="BE51" i="1" s="1"/>
  <c r="AW44" i="1"/>
  <c r="BA44" i="1"/>
  <c r="AZ44" i="1"/>
  <c r="BB44" i="1" s="1"/>
  <c r="BE44" i="1" s="1"/>
  <c r="AW37" i="1"/>
  <c r="BA37" i="1"/>
  <c r="AZ37" i="1"/>
  <c r="BB37" i="1" s="1"/>
  <c r="BE37" i="1" s="1"/>
  <c r="AL31" i="1"/>
  <c r="AN32" i="1" s="1"/>
  <c r="AP31" i="1"/>
  <c r="AO31" i="1"/>
  <c r="AQ31" i="1" s="1"/>
  <c r="BE31" i="1" s="1"/>
  <c r="BC22" i="1"/>
  <c r="BC23" i="1" s="1"/>
  <c r="BC24" i="1" s="1"/>
  <c r="BC25" i="1" s="1"/>
  <c r="BC26" i="1" s="1"/>
  <c r="BC27" i="1" s="1"/>
  <c r="BC28" i="1" s="1"/>
  <c r="BC29" i="1" s="1"/>
  <c r="BC30" i="1" s="1"/>
  <c r="BC31" i="1" s="1"/>
  <c r="BC32" i="1" s="1"/>
  <c r="BC33" i="1" s="1"/>
  <c r="BC34" i="1" s="1"/>
  <c r="BC35" i="1" s="1"/>
  <c r="BC36" i="1" s="1"/>
  <c r="BC37" i="1" s="1"/>
  <c r="BC38" i="1" s="1"/>
  <c r="BC39" i="1" s="1"/>
  <c r="BC40" i="1" s="1"/>
  <c r="BC41" i="1" s="1"/>
  <c r="BC42" i="1" s="1"/>
  <c r="BC43" i="1" s="1"/>
  <c r="BC44" i="1" s="1"/>
  <c r="BC45" i="1" s="1"/>
  <c r="BC46" i="1" s="1"/>
  <c r="BC47" i="1" s="1"/>
  <c r="BC48" i="1" s="1"/>
  <c r="BC49" i="1" s="1"/>
  <c r="BC50" i="1" s="1"/>
  <c r="BC51" i="1" s="1"/>
  <c r="BC52" i="1" s="1"/>
  <c r="BC53" i="1" s="1"/>
  <c r="BC54" i="1" s="1"/>
  <c r="BC55" i="1" s="1"/>
  <c r="BC56" i="1" s="1"/>
  <c r="BC57" i="1" s="1"/>
  <c r="BC58" i="1" s="1"/>
  <c r="BC59" i="1" s="1"/>
  <c r="BC60" i="1" s="1"/>
  <c r="BC61" i="1" s="1"/>
  <c r="BC62" i="1" s="1"/>
  <c r="BC63" i="1" s="1"/>
  <c r="BC64" i="1" s="1"/>
  <c r="BE22" i="1"/>
  <c r="AR22" i="1"/>
  <c r="AR23" i="1" s="1"/>
  <c r="AR24" i="1" s="1"/>
  <c r="AR25" i="1" s="1"/>
  <c r="AR26" i="1" s="1"/>
  <c r="AR27" i="1" s="1"/>
  <c r="AR28" i="1" s="1"/>
  <c r="AR29" i="1" s="1"/>
  <c r="AR30" i="1" s="1"/>
  <c r="AR31" i="1" s="1"/>
  <c r="BB77" i="1"/>
  <c r="BE77" i="1" s="1"/>
  <c r="BB65" i="1"/>
  <c r="BE65" i="1" s="1"/>
  <c r="BE105" i="1"/>
  <c r="BE100" i="1"/>
  <c r="BE97" i="1"/>
  <c r="BE88" i="1"/>
  <c r="BE84" i="1"/>
  <c r="BE74" i="1"/>
  <c r="BE61" i="1"/>
  <c r="BE59" i="1"/>
  <c r="BE53" i="1"/>
  <c r="BE43" i="1"/>
  <c r="BE36" i="1"/>
  <c r="BE34" i="1"/>
  <c r="BE28" i="1"/>
  <c r="BE131" i="1"/>
  <c r="BB176" i="1"/>
  <c r="BE176" i="1" s="1"/>
  <c r="BE175" i="1"/>
  <c r="BE165" i="1"/>
  <c r="BE162" i="1"/>
  <c r="AQ152" i="1"/>
  <c r="BE152" i="1" s="1"/>
  <c r="AQ144" i="1"/>
  <c r="BE144" i="1" s="1"/>
  <c r="BB143" i="1"/>
  <c r="BE143" i="1" s="1"/>
  <c r="AQ141" i="1"/>
  <c r="BE141" i="1" s="1"/>
  <c r="BE133" i="1"/>
  <c r="AQ108" i="1"/>
  <c r="BE108" i="1" s="1"/>
  <c r="BB158" i="1"/>
  <c r="BE158" i="1" s="1"/>
  <c r="AQ155" i="1"/>
  <c r="BE155" i="1" s="1"/>
  <c r="BE123" i="1"/>
  <c r="AQ120" i="1"/>
  <c r="BE120" i="1" s="1"/>
  <c r="BB109" i="1"/>
  <c r="BE109" i="1" s="1"/>
  <c r="AQ69" i="1"/>
  <c r="BE69" i="1" s="1"/>
  <c r="AQ92" i="1"/>
  <c r="BE92" i="1" s="1"/>
  <c r="BC65" i="1" l="1"/>
  <c r="BC66" i="1" s="1"/>
  <c r="AQ163" i="1"/>
  <c r="BE163" i="1" s="1"/>
  <c r="AQ126" i="1"/>
  <c r="BE126" i="1" s="1"/>
  <c r="AO157" i="1"/>
  <c r="AL157" i="1"/>
  <c r="AP157" i="1"/>
  <c r="AO146" i="1"/>
  <c r="AL146" i="1"/>
  <c r="AP146" i="1"/>
  <c r="AW114" i="1"/>
  <c r="BA114" i="1"/>
  <c r="AZ114" i="1"/>
  <c r="BB114" i="1" s="1"/>
  <c r="BE114" i="1" s="1"/>
  <c r="AP104" i="1"/>
  <c r="AO104" i="1"/>
  <c r="AQ104" i="1" s="1"/>
  <c r="BE104" i="1" s="1"/>
  <c r="AL104" i="1"/>
  <c r="BA67" i="1"/>
  <c r="AZ67" i="1"/>
  <c r="BB67" i="1" s="1"/>
  <c r="AW67" i="1"/>
  <c r="AY68" i="1" s="1"/>
  <c r="AL32" i="1"/>
  <c r="AN33" i="1" s="1"/>
  <c r="AP32" i="1"/>
  <c r="AO32" i="1"/>
  <c r="AQ32" i="1" s="1"/>
  <c r="BF22" i="1"/>
  <c r="BF23" i="1" s="1"/>
  <c r="BF24" i="1" s="1"/>
  <c r="BF25" i="1" s="1"/>
  <c r="BF26" i="1" s="1"/>
  <c r="BF27" i="1" s="1"/>
  <c r="BF28" i="1" s="1"/>
  <c r="BF29" i="1" s="1"/>
  <c r="BF30" i="1" s="1"/>
  <c r="BF31" i="1" s="1"/>
  <c r="AQ156" i="1"/>
  <c r="BE156" i="1" s="1"/>
  <c r="AQ142" i="1"/>
  <c r="BE142" i="1" s="1"/>
  <c r="BB113" i="1"/>
  <c r="BE113" i="1" s="1"/>
  <c r="BB110" i="1"/>
  <c r="BE110" i="1" s="1"/>
  <c r="BB106" i="1"/>
  <c r="BE106" i="1" s="1"/>
  <c r="AQ80" i="1"/>
  <c r="BE80" i="1" s="1"/>
  <c r="BB75" i="1"/>
  <c r="BE75" i="1" s="1"/>
  <c r="BC67" i="1" l="1"/>
  <c r="BB14" i="1"/>
  <c r="BE67" i="1"/>
  <c r="AW68" i="1"/>
  <c r="AZ68" i="1"/>
  <c r="BB68" i="1" s="1"/>
  <c r="BB19" i="1" s="1"/>
  <c r="BA68" i="1"/>
  <c r="AL33" i="1"/>
  <c r="AP33" i="1"/>
  <c r="AO33" i="1"/>
  <c r="AQ33" i="1" s="1"/>
  <c r="AR32" i="1"/>
  <c r="AR33" i="1" s="1"/>
  <c r="AR34" i="1" s="1"/>
  <c r="AR35" i="1" s="1"/>
  <c r="AR36" i="1" s="1"/>
  <c r="AR37" i="1" s="1"/>
  <c r="AR38" i="1" s="1"/>
  <c r="AR39" i="1" s="1"/>
  <c r="AR40" i="1" s="1"/>
  <c r="AR41" i="1" s="1"/>
  <c r="AR42" i="1" s="1"/>
  <c r="AR43" i="1" s="1"/>
  <c r="AR44" i="1" s="1"/>
  <c r="AR45" i="1" s="1"/>
  <c r="AR46" i="1" s="1"/>
  <c r="AR47" i="1" s="1"/>
  <c r="AR48" i="1" s="1"/>
  <c r="AR49" i="1" s="1"/>
  <c r="AR50" i="1" s="1"/>
  <c r="AR51" i="1" s="1"/>
  <c r="AR52" i="1" s="1"/>
  <c r="AR53" i="1" s="1"/>
  <c r="AR54" i="1" s="1"/>
  <c r="AR55" i="1" s="1"/>
  <c r="AR56" i="1" s="1"/>
  <c r="AR57" i="1" s="1"/>
  <c r="AR58" i="1" s="1"/>
  <c r="AR59" i="1" s="1"/>
  <c r="AR60" i="1" s="1"/>
  <c r="AR61" i="1" s="1"/>
  <c r="AR62" i="1" s="1"/>
  <c r="AR63" i="1" s="1"/>
  <c r="AR64" i="1" s="1"/>
  <c r="AR65" i="1" s="1"/>
  <c r="AR66" i="1" s="1"/>
  <c r="AR67" i="1" s="1"/>
  <c r="AR68" i="1" s="1"/>
  <c r="AR69" i="1" s="1"/>
  <c r="AR70" i="1" s="1"/>
  <c r="AR71" i="1" s="1"/>
  <c r="AR72" i="1" s="1"/>
  <c r="AR73" i="1" s="1"/>
  <c r="AR74" i="1" s="1"/>
  <c r="AR75" i="1" s="1"/>
  <c r="AR76" i="1" s="1"/>
  <c r="AR77" i="1" s="1"/>
  <c r="AR78" i="1" s="1"/>
  <c r="AR79" i="1" s="1"/>
  <c r="AR80" i="1" s="1"/>
  <c r="AR81" i="1" s="1"/>
  <c r="AR82" i="1" s="1"/>
  <c r="AR83" i="1" s="1"/>
  <c r="AR84" i="1" s="1"/>
  <c r="AR85" i="1" s="1"/>
  <c r="AR86" i="1" s="1"/>
  <c r="AR87" i="1" s="1"/>
  <c r="AR88" i="1" s="1"/>
  <c r="AR89" i="1" s="1"/>
  <c r="AR90" i="1" s="1"/>
  <c r="AR91" i="1" s="1"/>
  <c r="AR92" i="1" s="1"/>
  <c r="AR93" i="1" s="1"/>
  <c r="AR94" i="1" s="1"/>
  <c r="AR95" i="1" s="1"/>
  <c r="AR96" i="1" s="1"/>
  <c r="AR97" i="1" s="1"/>
  <c r="AR98" i="1" s="1"/>
  <c r="AR99" i="1" s="1"/>
  <c r="AR100" i="1" s="1"/>
  <c r="AR101" i="1" s="1"/>
  <c r="AR102" i="1" s="1"/>
  <c r="AR103" i="1" s="1"/>
  <c r="AR104" i="1" s="1"/>
  <c r="AR105" i="1" s="1"/>
  <c r="AR106" i="1" s="1"/>
  <c r="AR107" i="1" s="1"/>
  <c r="AR108" i="1" s="1"/>
  <c r="AR109" i="1" s="1"/>
  <c r="AR110" i="1" s="1"/>
  <c r="AR111" i="1" s="1"/>
  <c r="AR112" i="1" s="1"/>
  <c r="AR113" i="1" s="1"/>
  <c r="AR114" i="1" s="1"/>
  <c r="AR115" i="1" s="1"/>
  <c r="AR116" i="1" s="1"/>
  <c r="AR117" i="1" s="1"/>
  <c r="AR118" i="1" s="1"/>
  <c r="AR119" i="1" s="1"/>
  <c r="AR120" i="1" s="1"/>
  <c r="AR121" i="1" s="1"/>
  <c r="AR122" i="1" s="1"/>
  <c r="AR123" i="1" s="1"/>
  <c r="AR124" i="1" s="1"/>
  <c r="AR125" i="1" s="1"/>
  <c r="AR126" i="1" s="1"/>
  <c r="AR127" i="1" s="1"/>
  <c r="AR128" i="1" s="1"/>
  <c r="AR129" i="1" s="1"/>
  <c r="AR130" i="1" s="1"/>
  <c r="AR131" i="1" s="1"/>
  <c r="AR132" i="1" s="1"/>
  <c r="AR133" i="1" s="1"/>
  <c r="AR134" i="1" s="1"/>
  <c r="AR135" i="1" s="1"/>
  <c r="AR136" i="1" s="1"/>
  <c r="AR137" i="1" s="1"/>
  <c r="AR138" i="1" s="1"/>
  <c r="AR139" i="1" s="1"/>
  <c r="AR140" i="1" s="1"/>
  <c r="AR141" i="1" s="1"/>
  <c r="AR142" i="1" s="1"/>
  <c r="AR143" i="1" s="1"/>
  <c r="AR144" i="1" s="1"/>
  <c r="AR145" i="1" s="1"/>
  <c r="AR146" i="1" s="1"/>
  <c r="AR147" i="1" s="1"/>
  <c r="AR148" i="1" s="1"/>
  <c r="AR149" i="1" s="1"/>
  <c r="AR150" i="1" s="1"/>
  <c r="AR151" i="1" s="1"/>
  <c r="AR152" i="1" s="1"/>
  <c r="AR153" i="1" s="1"/>
  <c r="AR154" i="1" s="1"/>
  <c r="AR155" i="1" s="1"/>
  <c r="AR156" i="1" s="1"/>
  <c r="AR157" i="1" s="1"/>
  <c r="AR158" i="1" s="1"/>
  <c r="AR159" i="1" s="1"/>
  <c r="AR160" i="1" s="1"/>
  <c r="AR161" i="1" s="1"/>
  <c r="AR162" i="1" s="1"/>
  <c r="AR163" i="1" s="1"/>
  <c r="AR164" i="1" s="1"/>
  <c r="AR165" i="1" s="1"/>
  <c r="AR166" i="1" s="1"/>
  <c r="AR167" i="1" s="1"/>
  <c r="AR168" i="1" s="1"/>
  <c r="AR169" i="1" s="1"/>
  <c r="AR170" i="1" s="1"/>
  <c r="AR171" i="1" s="1"/>
  <c r="AR172" i="1" s="1"/>
  <c r="AR173" i="1" s="1"/>
  <c r="AR174" i="1" s="1"/>
  <c r="AR175" i="1" s="1"/>
  <c r="AR176" i="1" s="1"/>
  <c r="AR19" i="1" s="1"/>
  <c r="BE32" i="1"/>
  <c r="AQ157" i="1"/>
  <c r="BE157" i="1" s="1"/>
  <c r="AQ146" i="1"/>
  <c r="BE146" i="1" s="1"/>
  <c r="BF32" i="1" l="1"/>
  <c r="BC68" i="1"/>
  <c r="BC69" i="1" s="1"/>
  <c r="BC70" i="1" s="1"/>
  <c r="BC71" i="1" s="1"/>
  <c r="BC72" i="1" s="1"/>
  <c r="BC73" i="1" s="1"/>
  <c r="BC74" i="1" s="1"/>
  <c r="BC75" i="1" s="1"/>
  <c r="BC76" i="1" s="1"/>
  <c r="BC77" i="1" s="1"/>
  <c r="BC78" i="1" s="1"/>
  <c r="BC79" i="1" s="1"/>
  <c r="BC80" i="1" s="1"/>
  <c r="BC81" i="1" s="1"/>
  <c r="BC82" i="1" s="1"/>
  <c r="BC83" i="1" s="1"/>
  <c r="BC84" i="1" s="1"/>
  <c r="BC85" i="1" s="1"/>
  <c r="BC86" i="1" s="1"/>
  <c r="BC87" i="1" s="1"/>
  <c r="BC88" i="1" s="1"/>
  <c r="BC89" i="1" s="1"/>
  <c r="BC90" i="1" s="1"/>
  <c r="BC91" i="1" s="1"/>
  <c r="BC92" i="1" s="1"/>
  <c r="BC93" i="1" s="1"/>
  <c r="BC94" i="1" s="1"/>
  <c r="BC95" i="1" s="1"/>
  <c r="BC96" i="1" s="1"/>
  <c r="BC97" i="1" s="1"/>
  <c r="BC98" i="1" s="1"/>
  <c r="BC99" i="1" s="1"/>
  <c r="BC100" i="1" s="1"/>
  <c r="BC101" i="1" s="1"/>
  <c r="BC102" i="1" s="1"/>
  <c r="BC103" i="1" s="1"/>
  <c r="BC104" i="1" s="1"/>
  <c r="BC105" i="1" s="1"/>
  <c r="BC106" i="1" s="1"/>
  <c r="BC107" i="1" s="1"/>
  <c r="BC108" i="1" s="1"/>
  <c r="BC109" i="1" s="1"/>
  <c r="BC110" i="1" s="1"/>
  <c r="BC111" i="1" s="1"/>
  <c r="BC112" i="1" s="1"/>
  <c r="BC113" i="1" s="1"/>
  <c r="BC114" i="1" s="1"/>
  <c r="BC115" i="1" s="1"/>
  <c r="BC116" i="1" s="1"/>
  <c r="BC117" i="1" s="1"/>
  <c r="BC118" i="1" s="1"/>
  <c r="BC119" i="1" s="1"/>
  <c r="BC120" i="1" s="1"/>
  <c r="BC121" i="1" s="1"/>
  <c r="BC122" i="1" s="1"/>
  <c r="BC123" i="1" s="1"/>
  <c r="BC124" i="1" s="1"/>
  <c r="BC125" i="1" s="1"/>
  <c r="BC126" i="1" s="1"/>
  <c r="BC127" i="1" s="1"/>
  <c r="BC128" i="1" s="1"/>
  <c r="BC129" i="1" s="1"/>
  <c r="BC130" i="1" s="1"/>
  <c r="BC131" i="1" s="1"/>
  <c r="BC132" i="1" s="1"/>
  <c r="BC133" i="1" s="1"/>
  <c r="BC134" i="1" s="1"/>
  <c r="BC135" i="1" s="1"/>
  <c r="BC136" i="1" s="1"/>
  <c r="BC137" i="1" s="1"/>
  <c r="BC138" i="1" s="1"/>
  <c r="BC139" i="1" s="1"/>
  <c r="BC140" i="1" s="1"/>
  <c r="BC141" i="1" s="1"/>
  <c r="BC142" i="1" s="1"/>
  <c r="BC143" i="1" s="1"/>
  <c r="BC144" i="1" s="1"/>
  <c r="BC145" i="1" s="1"/>
  <c r="BC146" i="1" s="1"/>
  <c r="BC147" i="1" s="1"/>
  <c r="BC148" i="1" s="1"/>
  <c r="BC149" i="1" s="1"/>
  <c r="BC150" i="1" s="1"/>
  <c r="BC151" i="1" s="1"/>
  <c r="BC152" i="1" s="1"/>
  <c r="BC153" i="1" s="1"/>
  <c r="BC154" i="1" s="1"/>
  <c r="BC155" i="1" s="1"/>
  <c r="BC156" i="1" s="1"/>
  <c r="BC157" i="1" s="1"/>
  <c r="BC158" i="1" s="1"/>
  <c r="BC159" i="1" s="1"/>
  <c r="BC160" i="1" s="1"/>
  <c r="BC161" i="1" s="1"/>
  <c r="BC162" i="1" s="1"/>
  <c r="BC163" i="1" s="1"/>
  <c r="BC164" i="1" s="1"/>
  <c r="BC165" i="1" s="1"/>
  <c r="BC166" i="1" s="1"/>
  <c r="BC167" i="1" s="1"/>
  <c r="BC168" i="1" s="1"/>
  <c r="BC169" i="1" s="1"/>
  <c r="BC170" i="1" s="1"/>
  <c r="BC171" i="1" s="1"/>
  <c r="BC172" i="1" s="1"/>
  <c r="BC173" i="1" s="1"/>
  <c r="BC174" i="1" s="1"/>
  <c r="BC175" i="1" s="1"/>
  <c r="BC176" i="1" s="1"/>
  <c r="BC19" i="1" s="1"/>
  <c r="BE68" i="1"/>
  <c r="BB15" i="1"/>
  <c r="BB16" i="1" s="1"/>
  <c r="AT1" i="1" s="1"/>
  <c r="BE33" i="1"/>
  <c r="AQ14" i="1"/>
  <c r="AQ15" i="1"/>
  <c r="AQ19" i="1"/>
  <c r="BF33" i="1" l="1"/>
  <c r="BF34" i="1" s="1"/>
  <c r="BF35" i="1" s="1"/>
  <c r="BF36" i="1" s="1"/>
  <c r="BF37" i="1" s="1"/>
  <c r="BF38" i="1" s="1"/>
  <c r="BF39" i="1" s="1"/>
  <c r="BF40" i="1" s="1"/>
  <c r="BF41" i="1" s="1"/>
  <c r="BF42" i="1" s="1"/>
  <c r="BF43" i="1" s="1"/>
  <c r="BF44" i="1" s="1"/>
  <c r="BF45" i="1" s="1"/>
  <c r="BF46" i="1" s="1"/>
  <c r="BF47" i="1" s="1"/>
  <c r="BF48" i="1" s="1"/>
  <c r="BF49" i="1" s="1"/>
  <c r="BF50" i="1" s="1"/>
  <c r="BF51" i="1" s="1"/>
  <c r="BF52" i="1" s="1"/>
  <c r="BF53" i="1" s="1"/>
  <c r="BF54" i="1" s="1"/>
  <c r="BF55" i="1" s="1"/>
  <c r="BF56" i="1" s="1"/>
  <c r="BF57" i="1" s="1"/>
  <c r="BF58" i="1" s="1"/>
  <c r="BF59" i="1" s="1"/>
  <c r="BF60" i="1" s="1"/>
  <c r="BF61" i="1" s="1"/>
  <c r="BF62" i="1" s="1"/>
  <c r="BF63" i="1" s="1"/>
  <c r="BF64" i="1" s="1"/>
  <c r="BF65" i="1" s="1"/>
  <c r="BF66" i="1" s="1"/>
  <c r="BF67" i="1" s="1"/>
  <c r="BF68" i="1" s="1"/>
  <c r="BF69" i="1" s="1"/>
  <c r="BF70" i="1" s="1"/>
  <c r="BF71" i="1" s="1"/>
  <c r="BF72" i="1" s="1"/>
  <c r="BF73" i="1" s="1"/>
  <c r="BF74" i="1" s="1"/>
  <c r="BF75" i="1" s="1"/>
  <c r="BF76" i="1" s="1"/>
  <c r="BF77" i="1" s="1"/>
  <c r="BF78" i="1" s="1"/>
  <c r="BF79" i="1" s="1"/>
  <c r="BF80" i="1" s="1"/>
  <c r="BF81" i="1" s="1"/>
  <c r="BF82" i="1" s="1"/>
  <c r="BF83" i="1" s="1"/>
  <c r="BF84" i="1" s="1"/>
  <c r="BF85" i="1" s="1"/>
  <c r="BF86" i="1" s="1"/>
  <c r="BF87" i="1" s="1"/>
  <c r="BF88" i="1" s="1"/>
  <c r="BF89" i="1" s="1"/>
  <c r="BF90" i="1" s="1"/>
  <c r="BF91" i="1" s="1"/>
  <c r="BF92" i="1" s="1"/>
  <c r="BF93" i="1" s="1"/>
  <c r="BF94" i="1" s="1"/>
  <c r="BF95" i="1" s="1"/>
  <c r="BF96" i="1" s="1"/>
  <c r="BF97" i="1" s="1"/>
  <c r="BF98" i="1" s="1"/>
  <c r="BF99" i="1" s="1"/>
  <c r="BF100" i="1" s="1"/>
  <c r="BF101" i="1" s="1"/>
  <c r="BF102" i="1" s="1"/>
  <c r="BF103" i="1" s="1"/>
  <c r="BF104" i="1" s="1"/>
  <c r="BF105" i="1" s="1"/>
  <c r="BF106" i="1" s="1"/>
  <c r="BF107" i="1" s="1"/>
  <c r="BF108" i="1" s="1"/>
  <c r="BF109" i="1" s="1"/>
  <c r="BF110" i="1" s="1"/>
  <c r="BF111" i="1" s="1"/>
  <c r="BF112" i="1" s="1"/>
  <c r="BF113" i="1" s="1"/>
  <c r="BF114" i="1" s="1"/>
  <c r="BF115" i="1" s="1"/>
  <c r="BF116" i="1" s="1"/>
  <c r="BF117" i="1" s="1"/>
  <c r="BF118" i="1" s="1"/>
  <c r="BF119" i="1" s="1"/>
  <c r="BF120" i="1" s="1"/>
  <c r="BF121" i="1" s="1"/>
  <c r="BF122" i="1" s="1"/>
  <c r="BF123" i="1" s="1"/>
  <c r="BF124" i="1" s="1"/>
  <c r="BF125" i="1" s="1"/>
  <c r="BF126" i="1" s="1"/>
  <c r="BF127" i="1" s="1"/>
  <c r="BF128" i="1" s="1"/>
  <c r="BF129" i="1" s="1"/>
  <c r="BF130" i="1" s="1"/>
  <c r="BF131" i="1" s="1"/>
  <c r="BF132" i="1" s="1"/>
  <c r="BF133" i="1" s="1"/>
  <c r="BF134" i="1" s="1"/>
  <c r="BF135" i="1" s="1"/>
  <c r="BF136" i="1" s="1"/>
  <c r="BF137" i="1" s="1"/>
  <c r="BF138" i="1" s="1"/>
  <c r="BF139" i="1" s="1"/>
  <c r="BF140" i="1" s="1"/>
  <c r="BF141" i="1" s="1"/>
  <c r="BF142" i="1" s="1"/>
  <c r="BF143" i="1" s="1"/>
  <c r="BF144" i="1" s="1"/>
  <c r="BF145" i="1" s="1"/>
  <c r="BF146" i="1" s="1"/>
  <c r="BF147" i="1" s="1"/>
  <c r="BF148" i="1" s="1"/>
  <c r="BF149" i="1" s="1"/>
  <c r="BF150" i="1" s="1"/>
  <c r="BF151" i="1" s="1"/>
  <c r="BF152" i="1" s="1"/>
  <c r="BF153" i="1" s="1"/>
  <c r="BF154" i="1" s="1"/>
  <c r="BF155" i="1" s="1"/>
  <c r="BF156" i="1" s="1"/>
  <c r="BF157" i="1" s="1"/>
  <c r="BF158" i="1" s="1"/>
  <c r="BF159" i="1" s="1"/>
  <c r="BF160" i="1" s="1"/>
  <c r="BF161" i="1" s="1"/>
  <c r="BF162" i="1" s="1"/>
  <c r="BF163" i="1" s="1"/>
  <c r="BF164" i="1" s="1"/>
  <c r="BF165" i="1" s="1"/>
  <c r="BF166" i="1" s="1"/>
  <c r="BF167" i="1" s="1"/>
  <c r="BF168" i="1" s="1"/>
  <c r="BF169" i="1" s="1"/>
  <c r="BF170" i="1" s="1"/>
  <c r="BF171" i="1" s="1"/>
  <c r="BF172" i="1" s="1"/>
  <c r="BF173" i="1" s="1"/>
  <c r="BF174" i="1" s="1"/>
  <c r="BF175" i="1" s="1"/>
  <c r="BF176" i="1" s="1"/>
  <c r="BF18" i="1" s="1"/>
  <c r="BE18" i="1"/>
  <c r="BE15" i="1"/>
  <c r="BE14" i="1"/>
  <c r="BE16" i="1" s="1"/>
  <c r="AQ16" i="1"/>
  <c r="AI1" i="1" s="1"/>
</calcChain>
</file>

<file path=xl/sharedStrings.xml><?xml version="1.0" encoding="utf-8"?>
<sst xmlns="http://schemas.openxmlformats.org/spreadsheetml/2006/main" count="74" uniqueCount="53">
  <si>
    <t>date</t>
  </si>
  <si>
    <t>BSCU</t>
  </si>
  <si>
    <t>IBDV</t>
  </si>
  <si>
    <t>BSCU log rtn</t>
  </si>
  <si>
    <t>IBDV log rtn</t>
  </si>
  <si>
    <t>BSCU div</t>
  </si>
  <si>
    <t>BSCU div cumsum</t>
  </si>
  <si>
    <t>IBDV div</t>
  </si>
  <si>
    <t>IBDV div cumsum</t>
  </si>
  <si>
    <t>BSCU div adjustment</t>
  </si>
  <si>
    <t>IBDV div adjustment</t>
  </si>
  <si>
    <t>BSCU*</t>
  </si>
  <si>
    <t>IBDV*</t>
  </si>
  <si>
    <t>IBDV/BSCU</t>
  </si>
  <si>
    <t>IBDV/BSCU avg</t>
  </si>
  <si>
    <t>IBDV/BSCU 10 dma</t>
  </si>
  <si>
    <t>IBDV/BSCU 20 dma</t>
  </si>
  <si>
    <t>BSCU x avg</t>
  </si>
  <si>
    <t>BSCU x 10 dma</t>
  </si>
  <si>
    <t>BSCU x 20 dma</t>
  </si>
  <si>
    <t>log diff BSCU x avg / IBDV</t>
  </si>
  <si>
    <t>log diff BSCU x 10 dma / IBDV</t>
  </si>
  <si>
    <t>log diff BSCU x 20 dma / IBDV</t>
  </si>
  <si>
    <t>IBDV*/BSCU*</t>
  </si>
  <si>
    <t>IBDV*/BSCU* avg</t>
  </si>
  <si>
    <t>IBDV*/BSCU* 10 dma</t>
  </si>
  <si>
    <t>IBDV*/BSCU* 20 dma</t>
  </si>
  <si>
    <t>BSCU* x avg</t>
  </si>
  <si>
    <t>BSCU* x 10 dma</t>
  </si>
  <si>
    <t>BSCU* x 20 dma</t>
  </si>
  <si>
    <t>log diff BSCU* x avg / IBDV*</t>
  </si>
  <si>
    <t>log diff BSCU* x 10 dma / IBDV*</t>
  </si>
  <si>
    <t>log diff BSCU* x 20 dma / IBDV*</t>
  </si>
  <si>
    <t>enter</t>
  </si>
  <si>
    <t>exit</t>
  </si>
  <si>
    <t>row</t>
  </si>
  <si>
    <t>col</t>
  </si>
  <si>
    <t>AI21</t>
  </si>
  <si>
    <t>AI22</t>
  </si>
  <si>
    <t>AT21</t>
  </si>
  <si>
    <t>AT22</t>
  </si>
  <si>
    <t>avg</t>
  </si>
  <si>
    <t>st dev</t>
  </si>
  <si>
    <t>sharpe</t>
  </si>
  <si>
    <t>grand</t>
  </si>
  <si>
    <t>signal</t>
  </si>
  <si>
    <t>under</t>
  </si>
  <si>
    <t>over</t>
  </si>
  <si>
    <t>yday</t>
  </si>
  <si>
    <t>ex-date</t>
  </si>
  <si>
    <t>position</t>
  </si>
  <si>
    <t>sum</t>
  </si>
  <si>
    <t>cumsum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</si>
</sst>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000%"/>
    <numFmt numFmtId="165" formatCode="_(* #,##0.0000_);_(* \(#,##0.0000\);_(* &quot;-&quot;??_);_(@_)"/>
    <numFmt numFmtId="166" formatCode="_(&quot;$&quot;* #,##0.0000_);_(&quot;$&quot;* \(#,##0.0000\);_(&quot;$&quot;* &quot;-&quot;??_);_(@_)"/>
  </numFmts>
  <fonts count="2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11"/>
      <color rgb="FF0070C0"/>
      <name val="Aptos Narrow"/>
      <family val="2"/>
      <scheme val="minor"/>
    </font>
    <font>
      <b/>
      <sz val="11"/>
      <color rgb="FFC0000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5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5">
    <xf numFmtId="0" fontId="0" fillId="0" borderId="0" xfId="0"/>
    <xf numFmtId="14" fontId="0" fillId="0" borderId="0" xfId="0" applyNumberFormat="1"/>
    <xf numFmtId="164" fontId="18" fillId="33" borderId="0" xfId="3" applyNumberFormat="1" applyFont="1" applyFill="1" applyAlignment="1">
      <alignment horizontal="right"/>
    </xf>
    <xf numFmtId="43" fontId="16" fillId="0" borderId="0" xfId="1" applyFont="1"/>
    <xf numFmtId="10" fontId="16" fillId="0" borderId="0" xfId="3" applyNumberFormat="1" applyFont="1"/>
    <xf numFmtId="0" fontId="19" fillId="0" borderId="0" xfId="0" applyFont="1" applyAlignment="1">
      <alignment horizontal="left"/>
    </xf>
    <xf numFmtId="10" fontId="16" fillId="0" borderId="0" xfId="3" applyNumberFormat="1" applyFont="1" applyBorder="1"/>
    <xf numFmtId="0" fontId="18" fillId="0" borderId="0" xfId="0" applyFont="1" applyAlignment="1">
      <alignment horizontal="right"/>
    </xf>
    <xf numFmtId="0" fontId="18" fillId="0" borderId="0" xfId="0" applyFont="1" applyAlignment="1">
      <alignment horizontal="center"/>
    </xf>
    <xf numFmtId="164" fontId="0" fillId="33" borderId="0" xfId="3" applyNumberFormat="1" applyFont="1" applyFill="1"/>
    <xf numFmtId="43" fontId="0" fillId="0" borderId="0" xfId="1" applyFont="1"/>
    <xf numFmtId="43" fontId="0" fillId="0" borderId="0" xfId="1" applyFont="1" applyBorder="1"/>
    <xf numFmtId="44" fontId="0" fillId="0" borderId="0" xfId="2" applyFont="1"/>
    <xf numFmtId="0" fontId="19" fillId="0" borderId="0" xfId="0" applyFont="1" applyAlignment="1">
      <alignment horizontal="center"/>
    </xf>
    <xf numFmtId="44" fontId="20" fillId="0" borderId="0" xfId="2" applyFont="1"/>
    <xf numFmtId="164" fontId="0" fillId="0" borderId="0" xfId="3" applyNumberFormat="1" applyFont="1"/>
    <xf numFmtId="164" fontId="0" fillId="0" borderId="0" xfId="3" applyNumberFormat="1" applyFont="1" applyAlignment="1">
      <alignment horizontal="center"/>
    </xf>
    <xf numFmtId="10" fontId="16" fillId="0" borderId="10" xfId="3" applyNumberFormat="1" applyFont="1" applyBorder="1"/>
    <xf numFmtId="0" fontId="16" fillId="0" borderId="11" xfId="0" applyFont="1" applyBorder="1" applyAlignment="1">
      <alignment horizontal="center"/>
    </xf>
    <xf numFmtId="0" fontId="16" fillId="0" borderId="12" xfId="0" applyFont="1" applyBorder="1" applyAlignment="1">
      <alignment horizontal="center"/>
    </xf>
    <xf numFmtId="10" fontId="16" fillId="0" borderId="0" xfId="0" applyNumberFormat="1" applyFont="1"/>
    <xf numFmtId="164" fontId="16" fillId="0" borderId="0" xfId="3" applyNumberFormat="1" applyFont="1"/>
    <xf numFmtId="164" fontId="16" fillId="33" borderId="0" xfId="3" applyNumberFormat="1" applyFont="1" applyFill="1"/>
    <xf numFmtId="165" fontId="16" fillId="0" borderId="0" xfId="1" applyNumberFormat="1" applyFont="1"/>
    <xf numFmtId="10" fontId="18" fillId="0" borderId="0" xfId="0" applyNumberFormat="1" applyFont="1" applyAlignment="1">
      <alignment horizontal="right"/>
    </xf>
    <xf numFmtId="44" fontId="18" fillId="0" borderId="0" xfId="2" applyFont="1" applyAlignment="1">
      <alignment horizontal="right"/>
    </xf>
    <xf numFmtId="10" fontId="18" fillId="34" borderId="0" xfId="2" applyNumberFormat="1" applyFont="1" applyFill="1" applyAlignment="1">
      <alignment horizontal="right"/>
    </xf>
    <xf numFmtId="0" fontId="21" fillId="0" borderId="0" xfId="0" applyFont="1"/>
    <xf numFmtId="10" fontId="0" fillId="0" borderId="0" xfId="3" applyNumberFormat="1" applyFont="1"/>
    <xf numFmtId="10" fontId="0" fillId="0" borderId="0" xfId="0" applyNumberFormat="1"/>
    <xf numFmtId="166" fontId="18" fillId="0" borderId="0" xfId="2" applyNumberFormat="1" applyFont="1" applyAlignment="1">
      <alignment horizontal="right"/>
    </xf>
    <xf numFmtId="164" fontId="18" fillId="0" borderId="0" xfId="3" applyNumberFormat="1" applyFont="1" applyAlignment="1">
      <alignment horizontal="right"/>
    </xf>
    <xf numFmtId="165" fontId="18" fillId="0" borderId="0" xfId="1" applyNumberFormat="1" applyFont="1" applyAlignment="1">
      <alignment horizontal="right"/>
    </xf>
    <xf numFmtId="166" fontId="0" fillId="0" borderId="0" xfId="2" applyNumberFormat="1" applyFont="1"/>
    <xf numFmtId="165" fontId="0" fillId="0" borderId="0" xfId="1" applyNumberFormat="1" applyFont="1"/>
  </cellXfs>
  <cellStyles count="45">
    <cellStyle name="20% - Accent1" xfId="22" builtinId="30" customBuiltin="1"/>
    <cellStyle name="20% - Accent2" xfId="26" builtinId="34" customBuiltin="1"/>
    <cellStyle name="20% - Accent3" xfId="30" builtinId="38" customBuiltin="1"/>
    <cellStyle name="20% - Accent4" xfId="34" builtinId="42" customBuiltin="1"/>
    <cellStyle name="20% - Accent5" xfId="38" builtinId="46" customBuiltin="1"/>
    <cellStyle name="20% - Accent6" xfId="42" builtinId="50" customBuiltin="1"/>
    <cellStyle name="40% - Accent1" xfId="23" builtinId="31" customBuiltin="1"/>
    <cellStyle name="40% - Accent2" xfId="27" builtinId="35" customBuiltin="1"/>
    <cellStyle name="40% - Accent3" xfId="31" builtinId="39" customBuiltin="1"/>
    <cellStyle name="40% - Accent4" xfId="35" builtinId="43" customBuiltin="1"/>
    <cellStyle name="40% - Accent5" xfId="39" builtinId="47" customBuiltin="1"/>
    <cellStyle name="40% - Accent6" xfId="43" builtinId="51" customBuiltin="1"/>
    <cellStyle name="60% - Accent1" xfId="24" builtinId="32" customBuiltin="1"/>
    <cellStyle name="60% - Accent2" xfId="28" builtinId="36" customBuiltin="1"/>
    <cellStyle name="60% - Accent3" xfId="32" builtinId="40" customBuiltin="1"/>
    <cellStyle name="60% - Accent4" xfId="36" builtinId="44" customBuiltin="1"/>
    <cellStyle name="60% - Accent5" xfId="40" builtinId="48" customBuiltin="1"/>
    <cellStyle name="60% - Accent6" xfId="44" builtinId="52" customBuiltin="1"/>
    <cellStyle name="Accent1" xfId="21" builtinId="29" customBuiltin="1"/>
    <cellStyle name="Accent2" xfId="25" builtinId="33" customBuiltin="1"/>
    <cellStyle name="Accent3" xfId="29" builtinId="37" customBuiltin="1"/>
    <cellStyle name="Accent4" xfId="33" builtinId="41" customBuiltin="1"/>
    <cellStyle name="Accent5" xfId="37" builtinId="45" customBuiltin="1"/>
    <cellStyle name="Accent6" xfId="41" builtinId="49" customBuiltin="1"/>
    <cellStyle name="Bad" xfId="10" builtinId="27" customBuiltin="1"/>
    <cellStyle name="Calculation" xfId="14" builtinId="22" customBuiltin="1"/>
    <cellStyle name="Check Cell" xfId="16" builtinId="23" customBuiltin="1"/>
    <cellStyle name="Comma" xfId="1" builtinId="3"/>
    <cellStyle name="Currency" xfId="2" builtinId="4"/>
    <cellStyle name="Explanatory Text" xfId="19" builtinId="53" customBuiltin="1"/>
    <cellStyle name="Good" xfId="9" builtinId="26" customBuiltin="1"/>
    <cellStyle name="Heading 1" xfId="5" builtinId="16" customBuiltin="1"/>
    <cellStyle name="Heading 2" xfId="6" builtinId="17" customBuiltin="1"/>
    <cellStyle name="Heading 3" xfId="7" builtinId="18" customBuiltin="1"/>
    <cellStyle name="Heading 4" xfId="8" builtinId="19" customBuiltin="1"/>
    <cellStyle name="Input" xfId="12" builtinId="20" customBuiltin="1"/>
    <cellStyle name="Linked Cell" xfId="15" builtinId="24" customBuiltin="1"/>
    <cellStyle name="Neutral" xfId="11" builtinId="28" customBuiltin="1"/>
    <cellStyle name="Normal" xfId="0" builtinId="0"/>
    <cellStyle name="Note" xfId="18" builtinId="10" customBuiltin="1"/>
    <cellStyle name="Output" xfId="13" builtinId="21" customBuiltin="1"/>
    <cellStyle name="Percent" xfId="3" builtinId="5"/>
    <cellStyle name="Title" xfId="4" builtinId="15" customBuiltin="1"/>
    <cellStyle name="Total" xfId="20" builtinId="25" customBuiltin="1"/>
    <cellStyle name="Warning Text" xfId="17" builtinId="11" customBuiltin="1"/>
  </cellStyles>
  <dxfs count="5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Sheet1!$O$1</c:f>
              <c:strCache>
                <c:ptCount val="1"/>
                <c:pt idx="0">
                  <c:v> IBDV/BSCU avg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Sheet1!$O$2:$O$176</c:f>
              <c:numCache>
                <c:formatCode>_(* #,##0.0000_);_(* \(#,##0.0000\);_(* "-"??_);_(@_)</c:formatCode>
                <c:ptCount val="175"/>
                <c:pt idx="0">
                  <c:v>1.3062602516891499</c:v>
                </c:pt>
                <c:pt idx="1">
                  <c:v>1.3062602516891499</c:v>
                </c:pt>
                <c:pt idx="2">
                  <c:v>1.3062602516891499</c:v>
                </c:pt>
                <c:pt idx="3">
                  <c:v>1.3062602516891499</c:v>
                </c:pt>
                <c:pt idx="4">
                  <c:v>1.3062602516891499</c:v>
                </c:pt>
                <c:pt idx="5">
                  <c:v>1.3062602516891499</c:v>
                </c:pt>
                <c:pt idx="6">
                  <c:v>1.3062602516891499</c:v>
                </c:pt>
                <c:pt idx="7">
                  <c:v>1.3062602516891499</c:v>
                </c:pt>
                <c:pt idx="8">
                  <c:v>1.3062602516891499</c:v>
                </c:pt>
                <c:pt idx="9">
                  <c:v>1.3062602516891499</c:v>
                </c:pt>
                <c:pt idx="10">
                  <c:v>1.3062602516891499</c:v>
                </c:pt>
                <c:pt idx="11">
                  <c:v>1.3062602516891499</c:v>
                </c:pt>
                <c:pt idx="12">
                  <c:v>1.3062602516891499</c:v>
                </c:pt>
                <c:pt idx="13">
                  <c:v>1.3062602516891499</c:v>
                </c:pt>
                <c:pt idx="14">
                  <c:v>1.3062602516891499</c:v>
                </c:pt>
                <c:pt idx="15">
                  <c:v>1.3062602516891499</c:v>
                </c:pt>
                <c:pt idx="16">
                  <c:v>1.3062602516891499</c:v>
                </c:pt>
                <c:pt idx="17">
                  <c:v>1.3062602516891499</c:v>
                </c:pt>
                <c:pt idx="18">
                  <c:v>1.3062602516891499</c:v>
                </c:pt>
                <c:pt idx="19">
                  <c:v>1.3062602516891499</c:v>
                </c:pt>
                <c:pt idx="20">
                  <c:v>1.3062602516891499</c:v>
                </c:pt>
                <c:pt idx="21">
                  <c:v>1.3062602516891499</c:v>
                </c:pt>
                <c:pt idx="22">
                  <c:v>1.3062602516891499</c:v>
                </c:pt>
                <c:pt idx="23">
                  <c:v>1.3062602516891499</c:v>
                </c:pt>
                <c:pt idx="24">
                  <c:v>1.3062602516891499</c:v>
                </c:pt>
                <c:pt idx="25">
                  <c:v>1.3062602516891499</c:v>
                </c:pt>
                <c:pt idx="26">
                  <c:v>1.3062602516891499</c:v>
                </c:pt>
                <c:pt idx="27">
                  <c:v>1.3062602516891499</c:v>
                </c:pt>
                <c:pt idx="28">
                  <c:v>1.3062602516891499</c:v>
                </c:pt>
                <c:pt idx="29">
                  <c:v>1.3062602516891499</c:v>
                </c:pt>
                <c:pt idx="30">
                  <c:v>1.3062602516891499</c:v>
                </c:pt>
                <c:pt idx="31">
                  <c:v>1.3062602516891499</c:v>
                </c:pt>
                <c:pt idx="32">
                  <c:v>1.3062602516891499</c:v>
                </c:pt>
                <c:pt idx="33">
                  <c:v>1.3062602516891499</c:v>
                </c:pt>
                <c:pt idx="34">
                  <c:v>1.3062602516891499</c:v>
                </c:pt>
                <c:pt idx="35">
                  <c:v>1.3062602516891499</c:v>
                </c:pt>
                <c:pt idx="36">
                  <c:v>1.3062602516891499</c:v>
                </c:pt>
                <c:pt idx="37">
                  <c:v>1.3062602516891499</c:v>
                </c:pt>
                <c:pt idx="38">
                  <c:v>1.3062602516891499</c:v>
                </c:pt>
                <c:pt idx="39">
                  <c:v>1.3062602516891499</c:v>
                </c:pt>
                <c:pt idx="40">
                  <c:v>1.3062602516891499</c:v>
                </c:pt>
                <c:pt idx="41">
                  <c:v>1.3062602516891499</c:v>
                </c:pt>
                <c:pt idx="42">
                  <c:v>1.3062602516891499</c:v>
                </c:pt>
                <c:pt idx="43">
                  <c:v>1.3062602516891499</c:v>
                </c:pt>
                <c:pt idx="44">
                  <c:v>1.3062602516891499</c:v>
                </c:pt>
                <c:pt idx="45">
                  <c:v>1.3062602516891499</c:v>
                </c:pt>
                <c:pt idx="46">
                  <c:v>1.3062602516891499</c:v>
                </c:pt>
                <c:pt idx="47">
                  <c:v>1.3062602516891499</c:v>
                </c:pt>
                <c:pt idx="48">
                  <c:v>1.3062602516891499</c:v>
                </c:pt>
                <c:pt idx="49">
                  <c:v>1.3062602516891499</c:v>
                </c:pt>
                <c:pt idx="50">
                  <c:v>1.3062602516891499</c:v>
                </c:pt>
                <c:pt idx="51">
                  <c:v>1.3062602516891499</c:v>
                </c:pt>
                <c:pt idx="52">
                  <c:v>1.3062602516891499</c:v>
                </c:pt>
                <c:pt idx="53">
                  <c:v>1.3062602516891499</c:v>
                </c:pt>
                <c:pt idx="54">
                  <c:v>1.3062602516891499</c:v>
                </c:pt>
                <c:pt idx="55">
                  <c:v>1.3062602516891499</c:v>
                </c:pt>
                <c:pt idx="56">
                  <c:v>1.3062602516891499</c:v>
                </c:pt>
                <c:pt idx="57">
                  <c:v>1.3062602516891499</c:v>
                </c:pt>
                <c:pt idx="58">
                  <c:v>1.3062602516891499</c:v>
                </c:pt>
                <c:pt idx="59">
                  <c:v>1.3062602516891499</c:v>
                </c:pt>
                <c:pt idx="60">
                  <c:v>1.3062602516891499</c:v>
                </c:pt>
                <c:pt idx="61">
                  <c:v>1.3062602516891499</c:v>
                </c:pt>
                <c:pt idx="62">
                  <c:v>1.3062602516891499</c:v>
                </c:pt>
                <c:pt idx="63">
                  <c:v>1.3062602516891499</c:v>
                </c:pt>
                <c:pt idx="64">
                  <c:v>1.3062602516891499</c:v>
                </c:pt>
                <c:pt idx="65">
                  <c:v>1.3062602516891499</c:v>
                </c:pt>
                <c:pt idx="66">
                  <c:v>1.3062602516891499</c:v>
                </c:pt>
                <c:pt idx="67">
                  <c:v>1.3062602516891499</c:v>
                </c:pt>
                <c:pt idx="68">
                  <c:v>1.3062602516891499</c:v>
                </c:pt>
                <c:pt idx="69">
                  <c:v>1.3062602516891499</c:v>
                </c:pt>
                <c:pt idx="70">
                  <c:v>1.3062602516891499</c:v>
                </c:pt>
                <c:pt idx="71">
                  <c:v>1.3062602516891499</c:v>
                </c:pt>
                <c:pt idx="72">
                  <c:v>1.3062602516891499</c:v>
                </c:pt>
                <c:pt idx="73">
                  <c:v>1.3062602516891499</c:v>
                </c:pt>
                <c:pt idx="74">
                  <c:v>1.3062602516891499</c:v>
                </c:pt>
                <c:pt idx="75">
                  <c:v>1.3062602516891499</c:v>
                </c:pt>
                <c:pt idx="76">
                  <c:v>1.3062602516891499</c:v>
                </c:pt>
                <c:pt idx="77">
                  <c:v>1.3062602516891499</c:v>
                </c:pt>
                <c:pt idx="78">
                  <c:v>1.3062602516891499</c:v>
                </c:pt>
                <c:pt idx="79">
                  <c:v>1.3062602516891499</c:v>
                </c:pt>
                <c:pt idx="80">
                  <c:v>1.3062602516891499</c:v>
                </c:pt>
                <c:pt idx="81">
                  <c:v>1.3062602516891499</c:v>
                </c:pt>
                <c:pt idx="82">
                  <c:v>1.3062602516891499</c:v>
                </c:pt>
                <c:pt idx="83">
                  <c:v>1.3062602516891499</c:v>
                </c:pt>
                <c:pt idx="84">
                  <c:v>1.3062602516891499</c:v>
                </c:pt>
                <c:pt idx="85">
                  <c:v>1.3062602516891499</c:v>
                </c:pt>
                <c:pt idx="86">
                  <c:v>1.3062602516891499</c:v>
                </c:pt>
                <c:pt idx="87">
                  <c:v>1.3062602516891499</c:v>
                </c:pt>
                <c:pt idx="88">
                  <c:v>1.3062602516891499</c:v>
                </c:pt>
                <c:pt idx="89">
                  <c:v>1.3062602516891499</c:v>
                </c:pt>
                <c:pt idx="90">
                  <c:v>1.3062602516891499</c:v>
                </c:pt>
                <c:pt idx="91">
                  <c:v>1.3062602516891499</c:v>
                </c:pt>
                <c:pt idx="92">
                  <c:v>1.3062602516891499</c:v>
                </c:pt>
                <c:pt idx="93">
                  <c:v>1.3062602516891499</c:v>
                </c:pt>
                <c:pt idx="94">
                  <c:v>1.3062602516891499</c:v>
                </c:pt>
                <c:pt idx="95">
                  <c:v>1.3062602516891499</c:v>
                </c:pt>
                <c:pt idx="96">
                  <c:v>1.3062602516891499</c:v>
                </c:pt>
                <c:pt idx="97">
                  <c:v>1.3062602516891499</c:v>
                </c:pt>
                <c:pt idx="98">
                  <c:v>1.3062602516891499</c:v>
                </c:pt>
                <c:pt idx="99">
                  <c:v>1.3062602516891499</c:v>
                </c:pt>
                <c:pt idx="100">
                  <c:v>1.3062602516891499</c:v>
                </c:pt>
                <c:pt idx="101">
                  <c:v>1.3062602516891499</c:v>
                </c:pt>
                <c:pt idx="102">
                  <c:v>1.3062602516891499</c:v>
                </c:pt>
                <c:pt idx="103">
                  <c:v>1.3062602516891499</c:v>
                </c:pt>
                <c:pt idx="104">
                  <c:v>1.3062602516891499</c:v>
                </c:pt>
                <c:pt idx="105">
                  <c:v>1.3062602516891499</c:v>
                </c:pt>
                <c:pt idx="106">
                  <c:v>1.3062602516891499</c:v>
                </c:pt>
                <c:pt idx="107">
                  <c:v>1.3062602516891499</c:v>
                </c:pt>
                <c:pt idx="108">
                  <c:v>1.3062602516891499</c:v>
                </c:pt>
                <c:pt idx="109">
                  <c:v>1.3062602516891499</c:v>
                </c:pt>
                <c:pt idx="110">
                  <c:v>1.3062602516891499</c:v>
                </c:pt>
                <c:pt idx="111">
                  <c:v>1.3062602516891499</c:v>
                </c:pt>
                <c:pt idx="112">
                  <c:v>1.3062602516891499</c:v>
                </c:pt>
                <c:pt idx="113">
                  <c:v>1.3062602516891499</c:v>
                </c:pt>
                <c:pt idx="114">
                  <c:v>1.3062602516891499</c:v>
                </c:pt>
                <c:pt idx="115">
                  <c:v>1.3062602516891499</c:v>
                </c:pt>
                <c:pt idx="116">
                  <c:v>1.3062602516891499</c:v>
                </c:pt>
                <c:pt idx="117">
                  <c:v>1.3062602516891499</c:v>
                </c:pt>
                <c:pt idx="118">
                  <c:v>1.3062602516891499</c:v>
                </c:pt>
                <c:pt idx="119">
                  <c:v>1.3062602516891499</c:v>
                </c:pt>
                <c:pt idx="120">
                  <c:v>1.3062602516891499</c:v>
                </c:pt>
                <c:pt idx="121">
                  <c:v>1.3062602516891499</c:v>
                </c:pt>
                <c:pt idx="122">
                  <c:v>1.3062602516891499</c:v>
                </c:pt>
                <c:pt idx="123">
                  <c:v>1.3062602516891499</c:v>
                </c:pt>
                <c:pt idx="124">
                  <c:v>1.3062602516891499</c:v>
                </c:pt>
                <c:pt idx="125">
                  <c:v>1.3062602516891499</c:v>
                </c:pt>
                <c:pt idx="126">
                  <c:v>1.3062602516891499</c:v>
                </c:pt>
                <c:pt idx="127">
                  <c:v>1.3062602516891499</c:v>
                </c:pt>
                <c:pt idx="128">
                  <c:v>1.3062602516891499</c:v>
                </c:pt>
                <c:pt idx="129">
                  <c:v>1.3062602516891499</c:v>
                </c:pt>
                <c:pt idx="130">
                  <c:v>1.3062602516891499</c:v>
                </c:pt>
                <c:pt idx="131">
                  <c:v>1.3062602516891499</c:v>
                </c:pt>
                <c:pt idx="132">
                  <c:v>1.3062602516891499</c:v>
                </c:pt>
                <c:pt idx="133">
                  <c:v>1.3062602516891499</c:v>
                </c:pt>
                <c:pt idx="134">
                  <c:v>1.3062602516891499</c:v>
                </c:pt>
                <c:pt idx="135">
                  <c:v>1.3062602516891499</c:v>
                </c:pt>
                <c:pt idx="136">
                  <c:v>1.3062602516891499</c:v>
                </c:pt>
                <c:pt idx="137">
                  <c:v>1.3062602516891499</c:v>
                </c:pt>
                <c:pt idx="138">
                  <c:v>1.3062602516891499</c:v>
                </c:pt>
                <c:pt idx="139">
                  <c:v>1.3062602516891499</c:v>
                </c:pt>
                <c:pt idx="140">
                  <c:v>1.3062602516891499</c:v>
                </c:pt>
                <c:pt idx="141">
                  <c:v>1.3062602516891499</c:v>
                </c:pt>
                <c:pt idx="142">
                  <c:v>1.3062602516891499</c:v>
                </c:pt>
                <c:pt idx="143">
                  <c:v>1.3062602516891499</c:v>
                </c:pt>
                <c:pt idx="144">
                  <c:v>1.3062602516891499</c:v>
                </c:pt>
                <c:pt idx="145">
                  <c:v>1.3062602516891499</c:v>
                </c:pt>
                <c:pt idx="146">
                  <c:v>1.3062602516891499</c:v>
                </c:pt>
                <c:pt idx="147">
                  <c:v>1.3062602516891499</c:v>
                </c:pt>
                <c:pt idx="148">
                  <c:v>1.3062602516891499</c:v>
                </c:pt>
                <c:pt idx="149">
                  <c:v>1.3062602516891499</c:v>
                </c:pt>
                <c:pt idx="150">
                  <c:v>1.3062602516891499</c:v>
                </c:pt>
                <c:pt idx="151">
                  <c:v>1.3062602516891499</c:v>
                </c:pt>
                <c:pt idx="152">
                  <c:v>1.3062602516891499</c:v>
                </c:pt>
                <c:pt idx="153">
                  <c:v>1.3062602516891499</c:v>
                </c:pt>
                <c:pt idx="154">
                  <c:v>1.3062602516891499</c:v>
                </c:pt>
                <c:pt idx="155">
                  <c:v>1.3062602516891499</c:v>
                </c:pt>
                <c:pt idx="156">
                  <c:v>1.3062602516891499</c:v>
                </c:pt>
                <c:pt idx="157">
                  <c:v>1.3062602516891499</c:v>
                </c:pt>
                <c:pt idx="158">
                  <c:v>1.3062602516891499</c:v>
                </c:pt>
                <c:pt idx="159">
                  <c:v>1.3062602516891499</c:v>
                </c:pt>
                <c:pt idx="160">
                  <c:v>1.3062602516891499</c:v>
                </c:pt>
                <c:pt idx="161">
                  <c:v>1.3062602516891499</c:v>
                </c:pt>
                <c:pt idx="162">
                  <c:v>1.3062602516891499</c:v>
                </c:pt>
                <c:pt idx="163">
                  <c:v>1.3062602516891499</c:v>
                </c:pt>
                <c:pt idx="164">
                  <c:v>1.3062602516891499</c:v>
                </c:pt>
                <c:pt idx="165">
                  <c:v>1.3062602516891499</c:v>
                </c:pt>
                <c:pt idx="166">
                  <c:v>1.3062602516891499</c:v>
                </c:pt>
                <c:pt idx="167">
                  <c:v>1.3062602516891499</c:v>
                </c:pt>
                <c:pt idx="168">
                  <c:v>1.3062602516891499</c:v>
                </c:pt>
                <c:pt idx="169">
                  <c:v>1.3062602516891499</c:v>
                </c:pt>
                <c:pt idx="170">
                  <c:v>1.3062602516891499</c:v>
                </c:pt>
                <c:pt idx="171">
                  <c:v>1.3062602516891499</c:v>
                </c:pt>
                <c:pt idx="172">
                  <c:v>1.3062602516891499</c:v>
                </c:pt>
                <c:pt idx="173">
                  <c:v>1.3062602516891499</c:v>
                </c:pt>
                <c:pt idx="174">
                  <c:v>1.3062602516891499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95E-4CC3-9638-E4933F432A47}"/>
            </c:ext>
          </c:extLst>
        </c:ser>
        <c:ser>
          <c:idx val="1"/>
          <c:order val="1"/>
          <c:tx>
            <c:strRef>
              <c:f>Sheet1!$P$1</c:f>
              <c:strCache>
                <c:ptCount val="1"/>
                <c:pt idx="0">
                  <c:v> IBDV/BSCU 10 dma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Sheet1!$P$2:$P$176</c:f>
              <c:numCache>
                <c:formatCode>_(* #,##0.0000_);_(* \(#,##0.0000\);_(* "-"??_);_(@_)</c:formatCode>
                <c:ptCount val="175"/>
                <c:pt idx="9">
                  <c:v>1.30445316908283</c:v>
                </c:pt>
                <c:pt idx="10">
                  <c:v>1.30445316908283</c:v>
                </c:pt>
                <c:pt idx="11">
                  <c:v>1.3049078985745199</c:v>
                </c:pt>
                <c:pt idx="12">
                  <c:v>1.30528996016654</c:v>
                </c:pt>
                <c:pt idx="13">
                  <c:v>1.305790085513</c:v>
                </c:pt>
                <c:pt idx="14">
                  <c:v>1.3062772351321099</c:v>
                </c:pt>
                <c:pt idx="15">
                  <c:v>1.3068416611909299</c:v>
                </c:pt>
                <c:pt idx="16">
                  <c:v>1.3074289633565701</c:v>
                </c:pt>
                <c:pt idx="17">
                  <c:v>1.30795171720763</c:v>
                </c:pt>
                <c:pt idx="18">
                  <c:v>1.30847393446787</c:v>
                </c:pt>
                <c:pt idx="19">
                  <c:v>1.3088465576597399</c:v>
                </c:pt>
                <c:pt idx="20">
                  <c:v>1.3088234065973099</c:v>
                </c:pt>
                <c:pt idx="21">
                  <c:v>1.30835840763685</c:v>
                </c:pt>
                <c:pt idx="22">
                  <c:v>1.3079482805638301</c:v>
                </c:pt>
                <c:pt idx="23">
                  <c:v>1.30748921632843</c:v>
                </c:pt>
                <c:pt idx="24">
                  <c:v>1.30708422222985</c:v>
                </c:pt>
                <c:pt idx="25">
                  <c:v>1.3064480099629101</c:v>
                </c:pt>
                <c:pt idx="26">
                  <c:v>1.30582988423636</c:v>
                </c:pt>
                <c:pt idx="27">
                  <c:v>1.3054071885465</c:v>
                </c:pt>
                <c:pt idx="28">
                  <c:v>1.30496692119402</c:v>
                </c:pt>
                <c:pt idx="29">
                  <c:v>1.3046093943795101</c:v>
                </c:pt>
                <c:pt idx="30">
                  <c:v>1.3047474846179401</c:v>
                </c:pt>
                <c:pt idx="31">
                  <c:v>1.30469130441271</c:v>
                </c:pt>
                <c:pt idx="32">
                  <c:v>1.30463467198292</c:v>
                </c:pt>
                <c:pt idx="33">
                  <c:v>1.3045503855337099</c:v>
                </c:pt>
                <c:pt idx="34">
                  <c:v>1.30489523109154</c:v>
                </c:pt>
                <c:pt idx="35">
                  <c:v>1.3055661785991599</c:v>
                </c:pt>
                <c:pt idx="36">
                  <c:v>1.3060785978517799</c:v>
                </c:pt>
                <c:pt idx="37">
                  <c:v>1.3065547436557901</c:v>
                </c:pt>
                <c:pt idx="38">
                  <c:v>1.3069894419167201</c:v>
                </c:pt>
                <c:pt idx="39">
                  <c:v>1.30692043320333</c:v>
                </c:pt>
                <c:pt idx="40">
                  <c:v>1.30675162260744</c:v>
                </c:pt>
                <c:pt idx="41">
                  <c:v>1.30677701117037</c:v>
                </c:pt>
                <c:pt idx="42">
                  <c:v>1.30677958080754</c:v>
                </c:pt>
                <c:pt idx="43">
                  <c:v>1.30689476216171</c:v>
                </c:pt>
                <c:pt idx="44">
                  <c:v>1.3065679647760899</c:v>
                </c:pt>
                <c:pt idx="45">
                  <c:v>1.3059636596380899</c:v>
                </c:pt>
                <c:pt idx="46">
                  <c:v>1.30548989498144</c:v>
                </c:pt>
                <c:pt idx="47">
                  <c:v>1.3050197369377401</c:v>
                </c:pt>
                <c:pt idx="48">
                  <c:v>1.30462249352154</c:v>
                </c:pt>
                <c:pt idx="49">
                  <c:v>1.3046690445279401</c:v>
                </c:pt>
                <c:pt idx="50">
                  <c:v>1.3047074294179699</c:v>
                </c:pt>
                <c:pt idx="51">
                  <c:v>1.30473560692499</c:v>
                </c:pt>
                <c:pt idx="52">
                  <c:v>1.3047511748221601</c:v>
                </c:pt>
                <c:pt idx="53">
                  <c:v>1.3047751058158099</c:v>
                </c:pt>
                <c:pt idx="54">
                  <c:v>1.30501643462214</c:v>
                </c:pt>
                <c:pt idx="55">
                  <c:v>1.30553374544557</c:v>
                </c:pt>
                <c:pt idx="56">
                  <c:v>1.3059458623079001</c:v>
                </c:pt>
                <c:pt idx="57">
                  <c:v>1.3063606419359799</c:v>
                </c:pt>
                <c:pt idx="58">
                  <c:v>1.30672032333942</c:v>
                </c:pt>
                <c:pt idx="59">
                  <c:v>1.30718017496206</c:v>
                </c:pt>
                <c:pt idx="60">
                  <c:v>1.3076793618776601</c:v>
                </c:pt>
                <c:pt idx="61">
                  <c:v>1.3076741549337301</c:v>
                </c:pt>
                <c:pt idx="62">
                  <c:v>1.3076092944922</c:v>
                </c:pt>
                <c:pt idx="63">
                  <c:v>1.30747660518252</c:v>
                </c:pt>
                <c:pt idx="64">
                  <c:v>1.30704964922158</c:v>
                </c:pt>
                <c:pt idx="65">
                  <c:v>1.30647535333804</c:v>
                </c:pt>
                <c:pt idx="66">
                  <c:v>1.3060762440540401</c:v>
                </c:pt>
                <c:pt idx="67">
                  <c:v>1.30568471133987</c:v>
                </c:pt>
                <c:pt idx="68">
                  <c:v>1.3051615962875101</c:v>
                </c:pt>
                <c:pt idx="69">
                  <c:v>1.3046938482544399</c:v>
                </c:pt>
                <c:pt idx="70">
                  <c:v>1.30419466133884</c:v>
                </c:pt>
                <c:pt idx="71">
                  <c:v>1.3041507734161599</c:v>
                </c:pt>
                <c:pt idx="72">
                  <c:v>1.30411244696896</c:v>
                </c:pt>
                <c:pt idx="73">
                  <c:v>1.3046406896467899</c:v>
                </c:pt>
                <c:pt idx="74">
                  <c:v>1.3050399920150599</c:v>
                </c:pt>
                <c:pt idx="75">
                  <c:v>1.3055532600214399</c:v>
                </c:pt>
                <c:pt idx="76">
                  <c:v>1.3060621441721201</c:v>
                </c:pt>
                <c:pt idx="77">
                  <c:v>1.3064795562174301</c:v>
                </c:pt>
                <c:pt idx="78">
                  <c:v>1.3070059780530201</c:v>
                </c:pt>
                <c:pt idx="79">
                  <c:v>1.3075463793845401</c:v>
                </c:pt>
                <c:pt idx="80">
                  <c:v>1.3080227172613701</c:v>
                </c:pt>
                <c:pt idx="81">
                  <c:v>1.3084850152259</c:v>
                </c:pt>
                <c:pt idx="82">
                  <c:v>1.3085596692997501</c:v>
                </c:pt>
                <c:pt idx="83">
                  <c:v>1.30808597383354</c:v>
                </c:pt>
                <c:pt idx="84">
                  <c:v>1.3077775449793301</c:v>
                </c:pt>
                <c:pt idx="85">
                  <c:v>1.30724087234964</c:v>
                </c:pt>
                <c:pt idx="86">
                  <c:v>1.30668018505093</c:v>
                </c:pt>
                <c:pt idx="87">
                  <c:v>1.3061616576772099</c:v>
                </c:pt>
                <c:pt idx="88">
                  <c:v>1.3056791237643099</c:v>
                </c:pt>
                <c:pt idx="89">
                  <c:v>1.30513634144994</c:v>
                </c:pt>
                <c:pt idx="90">
                  <c:v>1.3045611043643</c:v>
                </c:pt>
                <c:pt idx="91">
                  <c:v>1.3041374686709499</c:v>
                </c:pt>
                <c:pt idx="92">
                  <c:v>1.3041034717331901</c:v>
                </c:pt>
                <c:pt idx="93">
                  <c:v>1.3046438755363301</c:v>
                </c:pt>
                <c:pt idx="94">
                  <c:v>1.30507787410498</c:v>
                </c:pt>
                <c:pt idx="95">
                  <c:v>1.3057085749711901</c:v>
                </c:pt>
                <c:pt idx="96">
                  <c:v>1.3063872617840799</c:v>
                </c:pt>
                <c:pt idx="97">
                  <c:v>1.3068426765427099</c:v>
                </c:pt>
                <c:pt idx="98">
                  <c:v>1.3073492201454899</c:v>
                </c:pt>
                <c:pt idx="99">
                  <c:v>1.3078980336150801</c:v>
                </c:pt>
                <c:pt idx="100">
                  <c:v>1.30854745606349</c:v>
                </c:pt>
                <c:pt idx="101">
                  <c:v>1.30918345026214</c:v>
                </c:pt>
                <c:pt idx="102">
                  <c:v>1.3092069770883099</c:v>
                </c:pt>
                <c:pt idx="103">
                  <c:v>1.30864309506176</c:v>
                </c:pt>
                <c:pt idx="104">
                  <c:v>1.3081804674472299</c:v>
                </c:pt>
                <c:pt idx="105">
                  <c:v>1.30769014473587</c:v>
                </c:pt>
                <c:pt idx="106">
                  <c:v>1.3069904420578</c:v>
                </c:pt>
                <c:pt idx="107">
                  <c:v>1.3065088044900599</c:v>
                </c:pt>
                <c:pt idx="108">
                  <c:v>1.3060466235591299</c:v>
                </c:pt>
                <c:pt idx="109">
                  <c:v>1.3054038151498599</c:v>
                </c:pt>
                <c:pt idx="110">
                  <c:v>1.30479070763141</c:v>
                </c:pt>
                <c:pt idx="111">
                  <c:v>1.3041312352093499</c:v>
                </c:pt>
                <c:pt idx="112">
                  <c:v>1.3041364796694399</c:v>
                </c:pt>
                <c:pt idx="113">
                  <c:v>1.3040819093221201</c:v>
                </c:pt>
                <c:pt idx="114">
                  <c:v>1.30411848645298</c:v>
                </c:pt>
                <c:pt idx="115">
                  <c:v>1.30417851046258</c:v>
                </c:pt>
                <c:pt idx="116">
                  <c:v>1.3046371040387901</c:v>
                </c:pt>
                <c:pt idx="117">
                  <c:v>1.3052162521659301</c:v>
                </c:pt>
                <c:pt idx="118">
                  <c:v>1.3056369252428499</c:v>
                </c:pt>
                <c:pt idx="119">
                  <c:v>1.3062010491984299</c:v>
                </c:pt>
                <c:pt idx="120">
                  <c:v>1.3068141567168901</c:v>
                </c:pt>
                <c:pt idx="121">
                  <c:v>1.30735372506221</c:v>
                </c:pt>
                <c:pt idx="122">
                  <c:v>1.30794417877018</c:v>
                </c:pt>
                <c:pt idx="123">
                  <c:v>1.30809013722168</c:v>
                </c:pt>
                <c:pt idx="124">
                  <c:v>1.30799353608123</c:v>
                </c:pt>
                <c:pt idx="125">
                  <c:v>1.30799353608123</c:v>
                </c:pt>
                <c:pt idx="126">
                  <c:v>1.3075166492610599</c:v>
                </c:pt>
                <c:pt idx="127">
                  <c:v>1.30695581641793</c:v>
                </c:pt>
                <c:pt idx="128">
                  <c:v>1.30651164003175</c:v>
                </c:pt>
                <c:pt idx="129">
                  <c:v>1.3060023958478</c:v>
                </c:pt>
                <c:pt idx="130">
                  <c:v>1.3055436020583799</c:v>
                </c:pt>
                <c:pt idx="131">
                  <c:v>1.3051086516462</c:v>
                </c:pt>
                <c:pt idx="132">
                  <c:v>1.30444759395389</c:v>
                </c:pt>
                <c:pt idx="133">
                  <c:v>1.3043874616628499</c:v>
                </c:pt>
                <c:pt idx="134">
                  <c:v>1.3044422520696899</c:v>
                </c:pt>
                <c:pt idx="135">
                  <c:v>1.30484529115715</c:v>
                </c:pt>
                <c:pt idx="136">
                  <c:v>1.3054529490156199</c:v>
                </c:pt>
                <c:pt idx="137">
                  <c:v>1.3059403531777301</c:v>
                </c:pt>
                <c:pt idx="138">
                  <c:v>1.30647931061822</c:v>
                </c:pt>
                <c:pt idx="139">
                  <c:v>1.3070649054246299</c:v>
                </c:pt>
                <c:pt idx="140">
                  <c:v>1.3074604011675599</c:v>
                </c:pt>
                <c:pt idx="141">
                  <c:v>1.3079528358586601</c:v>
                </c:pt>
                <c:pt idx="142">
                  <c:v>1.30863458119666</c:v>
                </c:pt>
                <c:pt idx="143">
                  <c:v>1.3092003780077499</c:v>
                </c:pt>
                <c:pt idx="144">
                  <c:v>1.30974313571106</c:v>
                </c:pt>
                <c:pt idx="145">
                  <c:v>1.3091990002817999</c:v>
                </c:pt>
                <c:pt idx="146">
                  <c:v>1.3086830294427001</c:v>
                </c:pt>
                <c:pt idx="147">
                  <c:v>1.3082139626445199</c:v>
                </c:pt>
                <c:pt idx="148">
                  <c:v>1.3076829307187301</c:v>
                </c:pt>
                <c:pt idx="149">
                  <c:v>1.30721276443389</c:v>
                </c:pt>
                <c:pt idx="150">
                  <c:v>1.30671479807135</c:v>
                </c:pt>
                <c:pt idx="151">
                  <c:v>1.30617523419931</c:v>
                </c:pt>
                <c:pt idx="152">
                  <c:v>1.3057004867245601</c:v>
                </c:pt>
                <c:pt idx="153">
                  <c:v>1.30526832930893</c:v>
                </c:pt>
                <c:pt idx="154">
                  <c:v>1.3048357476077901</c:v>
                </c:pt>
                <c:pt idx="155">
                  <c:v>1.30484103826944</c:v>
                </c:pt>
                <c:pt idx="156">
                  <c:v>1.30484103826944</c:v>
                </c:pt>
                <c:pt idx="157">
                  <c:v>1.3049013155449101</c:v>
                </c:pt>
                <c:pt idx="158">
                  <c:v>1.30492490857785</c:v>
                </c:pt>
                <c:pt idx="159">
                  <c:v>1.3049013884754599</c:v>
                </c:pt>
                <c:pt idx="160">
                  <c:v>1.30552056695921</c:v>
                </c:pt>
                <c:pt idx="161">
                  <c:v>1.3059435276842799</c:v>
                </c:pt>
                <c:pt idx="162">
                  <c:v>1.3065017735815101</c:v>
                </c:pt>
                <c:pt idx="163">
                  <c:v>1.3069339309971499</c:v>
                </c:pt>
                <c:pt idx="164">
                  <c:v>1.30740409728199</c:v>
                </c:pt>
                <c:pt idx="165">
                  <c:v>1.3079949636271799</c:v>
                </c:pt>
                <c:pt idx="166">
                  <c:v>1.3080111989974399</c:v>
                </c:pt>
                <c:pt idx="167">
                  <c:v>1.30790603438918</c:v>
                </c:pt>
                <c:pt idx="168">
                  <c:v>1.3079274465505499</c:v>
                </c:pt>
                <c:pt idx="169">
                  <c:v>1.3078512754427101</c:v>
                </c:pt>
                <c:pt idx="170">
                  <c:v>1.30727689946408</c:v>
                </c:pt>
                <c:pt idx="171">
                  <c:v>1.3068937671422101</c:v>
                </c:pt>
                <c:pt idx="172">
                  <c:v>1.30631852138098</c:v>
                </c:pt>
                <c:pt idx="173">
                  <c:v>1.30574194197425</c:v>
                </c:pt>
                <c:pt idx="174">
                  <c:v>1.3052493663032001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95E-4CC3-9638-E4933F432A47}"/>
            </c:ext>
          </c:extLst>
        </c:ser>
        <c:ser>
          <c:idx val="2"/>
          <c:order val="2"/>
          <c:tx>
            <c:strRef>
              <c:f>Sheet1!$Q$1</c:f>
              <c:strCache>
                <c:ptCount val="1"/>
                <c:pt idx="0">
                  <c:v> IBDV/BSCU 20 dma 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Sheet1!$Q$2:$Q$176</c:f>
              <c:numCache>
                <c:formatCode>_(* #,##0.0000_);_(* \(#,##0.0000\);_(* "-"??_);_(@_)</c:formatCode>
                <c:ptCount val="175"/>
                <c:pt idx="19">
                  <c:v>1.30664986337128</c:v>
                </c:pt>
                <c:pt idx="20">
                  <c:v>1.30663828784007</c:v>
                </c:pt>
                <c:pt idx="21">
                  <c:v>1.3066331531056801</c:v>
                </c:pt>
                <c:pt idx="22">
                  <c:v>1.30661912036519</c:v>
                </c:pt>
                <c:pt idx="23">
                  <c:v>1.3066396509207101</c:v>
                </c:pt>
                <c:pt idx="24">
                  <c:v>1.3066807286809801</c:v>
                </c:pt>
                <c:pt idx="25">
                  <c:v>1.30664483557692</c:v>
                </c:pt>
                <c:pt idx="26">
                  <c:v>1.30662942379646</c:v>
                </c:pt>
                <c:pt idx="27">
                  <c:v>1.30667945287706</c:v>
                </c:pt>
                <c:pt idx="28">
                  <c:v>1.3067204278309501</c:v>
                </c:pt>
                <c:pt idx="29">
                  <c:v>1.30672797601963</c:v>
                </c:pt>
                <c:pt idx="30">
                  <c:v>1.30678544560762</c:v>
                </c:pt>
                <c:pt idx="31">
                  <c:v>1.30652485602478</c:v>
                </c:pt>
                <c:pt idx="32">
                  <c:v>1.3062914762733799</c:v>
                </c:pt>
                <c:pt idx="33">
                  <c:v>1.30601980093107</c:v>
                </c:pt>
                <c:pt idx="34">
                  <c:v>1.3059897266606999</c:v>
                </c:pt>
                <c:pt idx="35">
                  <c:v>1.30600709428103</c:v>
                </c:pt>
                <c:pt idx="36">
                  <c:v>1.3059542410440701</c:v>
                </c:pt>
                <c:pt idx="37">
                  <c:v>1.3059809661011399</c:v>
                </c:pt>
                <c:pt idx="38">
                  <c:v>1.3059781815553699</c:v>
                </c:pt>
                <c:pt idx="39">
                  <c:v>1.30576491379142</c:v>
                </c:pt>
                <c:pt idx="40">
                  <c:v>1.30574955361269</c:v>
                </c:pt>
                <c:pt idx="41">
                  <c:v>1.30573415779154</c:v>
                </c:pt>
                <c:pt idx="42">
                  <c:v>1.30570712639523</c:v>
                </c:pt>
                <c:pt idx="43">
                  <c:v>1.3057225738477101</c:v>
                </c:pt>
                <c:pt idx="44">
                  <c:v>1.30573159793382</c:v>
                </c:pt>
                <c:pt idx="45">
                  <c:v>1.30576491911862</c:v>
                </c:pt>
                <c:pt idx="46">
                  <c:v>1.3057842464166101</c:v>
                </c:pt>
                <c:pt idx="47">
                  <c:v>1.3057872402967701</c:v>
                </c:pt>
                <c:pt idx="48">
                  <c:v>1.30580596771913</c:v>
                </c:pt>
                <c:pt idx="49">
                  <c:v>1.3057947388656399</c:v>
                </c:pt>
                <c:pt idx="50">
                  <c:v>1.3057295260127</c:v>
                </c:pt>
                <c:pt idx="51">
                  <c:v>1.30575630904768</c:v>
                </c:pt>
                <c:pt idx="52">
                  <c:v>1.3057653778148499</c:v>
                </c:pt>
                <c:pt idx="53">
                  <c:v>1.30583493398876</c:v>
                </c:pt>
                <c:pt idx="54">
                  <c:v>1.30579219969912</c:v>
                </c:pt>
                <c:pt idx="55">
                  <c:v>1.30574870254183</c:v>
                </c:pt>
                <c:pt idx="56">
                  <c:v>1.3057178786446699</c:v>
                </c:pt>
                <c:pt idx="57">
                  <c:v>1.30569018943686</c:v>
                </c:pt>
                <c:pt idx="58">
                  <c:v>1.3056714084304799</c:v>
                </c:pt>
                <c:pt idx="59">
                  <c:v>1.3059246097449999</c:v>
                </c:pt>
                <c:pt idx="60">
                  <c:v>1.30619339564781</c:v>
                </c:pt>
                <c:pt idx="61">
                  <c:v>1.30620488092936</c:v>
                </c:pt>
                <c:pt idx="62">
                  <c:v>1.30618023465718</c:v>
                </c:pt>
                <c:pt idx="63">
                  <c:v>1.3061258554991599</c:v>
                </c:pt>
                <c:pt idx="64">
                  <c:v>1.30603304192186</c:v>
                </c:pt>
                <c:pt idx="65">
                  <c:v>1.30600454939181</c:v>
                </c:pt>
                <c:pt idx="66">
                  <c:v>1.3060110531809701</c:v>
                </c:pt>
                <c:pt idx="67">
                  <c:v>1.3060226766379199</c:v>
                </c:pt>
                <c:pt idx="68">
                  <c:v>1.3059409598134599</c:v>
                </c:pt>
                <c:pt idx="69">
                  <c:v>1.30593701160825</c:v>
                </c:pt>
                <c:pt idx="70">
                  <c:v>1.30593701160825</c:v>
                </c:pt>
                <c:pt idx="71">
                  <c:v>1.30591246417495</c:v>
                </c:pt>
                <c:pt idx="72">
                  <c:v>1.3058608707305801</c:v>
                </c:pt>
                <c:pt idx="73">
                  <c:v>1.3060586474146501</c:v>
                </c:pt>
                <c:pt idx="74">
                  <c:v>1.3060448206183199</c:v>
                </c:pt>
                <c:pt idx="75">
                  <c:v>1.3060143066797401</c:v>
                </c:pt>
                <c:pt idx="76">
                  <c:v>1.30606919411308</c:v>
                </c:pt>
                <c:pt idx="77">
                  <c:v>1.3060821337786499</c:v>
                </c:pt>
                <c:pt idx="78">
                  <c:v>1.30608378717026</c:v>
                </c:pt>
                <c:pt idx="79">
                  <c:v>1.30612011381949</c:v>
                </c:pt>
                <c:pt idx="80">
                  <c:v>1.3061086893001099</c:v>
                </c:pt>
                <c:pt idx="81">
                  <c:v>1.3063178943210301</c:v>
                </c:pt>
                <c:pt idx="82">
                  <c:v>1.3063360581343599</c:v>
                </c:pt>
                <c:pt idx="83">
                  <c:v>1.3063633317401699</c:v>
                </c:pt>
                <c:pt idx="84">
                  <c:v>1.3064087684971999</c:v>
                </c:pt>
                <c:pt idx="85">
                  <c:v>1.30639706618554</c:v>
                </c:pt>
                <c:pt idx="86">
                  <c:v>1.3063711646115199</c:v>
                </c:pt>
                <c:pt idx="87">
                  <c:v>1.3063206069473201</c:v>
                </c:pt>
                <c:pt idx="88">
                  <c:v>1.3063425509086599</c:v>
                </c:pt>
                <c:pt idx="89">
                  <c:v>1.30634136041724</c:v>
                </c:pt>
                <c:pt idx="90">
                  <c:v>1.3062919108128399</c:v>
                </c:pt>
                <c:pt idx="91">
                  <c:v>1.30631124194843</c:v>
                </c:pt>
                <c:pt idx="92">
                  <c:v>1.30633157051647</c:v>
                </c:pt>
                <c:pt idx="93">
                  <c:v>1.30636492468494</c:v>
                </c:pt>
                <c:pt idx="94">
                  <c:v>1.3064277095421599</c:v>
                </c:pt>
                <c:pt idx="95">
                  <c:v>1.30647472366041</c:v>
                </c:pt>
                <c:pt idx="96">
                  <c:v>1.3065337234175001</c:v>
                </c:pt>
                <c:pt idx="97">
                  <c:v>1.3065021671099599</c:v>
                </c:pt>
                <c:pt idx="98">
                  <c:v>1.3065141719549</c:v>
                </c:pt>
                <c:pt idx="99">
                  <c:v>1.3065171875325099</c:v>
                </c:pt>
                <c:pt idx="100">
                  <c:v>1.3065542802138901</c:v>
                </c:pt>
                <c:pt idx="101">
                  <c:v>1.3066604594665501</c:v>
                </c:pt>
                <c:pt idx="102">
                  <c:v>1.3066552244107501</c:v>
                </c:pt>
                <c:pt idx="103">
                  <c:v>1.3066434852990401</c:v>
                </c:pt>
                <c:pt idx="104">
                  <c:v>1.30662917077611</c:v>
                </c:pt>
                <c:pt idx="105">
                  <c:v>1.3066993598535299</c:v>
                </c:pt>
                <c:pt idx="106">
                  <c:v>1.3066888519209401</c:v>
                </c:pt>
                <c:pt idx="107">
                  <c:v>1.30667574051639</c:v>
                </c:pt>
                <c:pt idx="108">
                  <c:v>1.30669792185231</c:v>
                </c:pt>
                <c:pt idx="109">
                  <c:v>1.30665092438247</c:v>
                </c:pt>
                <c:pt idx="110">
                  <c:v>1.30666908184745</c:v>
                </c:pt>
                <c:pt idx="111">
                  <c:v>1.30665734273574</c:v>
                </c:pt>
                <c:pt idx="112">
                  <c:v>1.30667172837887</c:v>
                </c:pt>
                <c:pt idx="113">
                  <c:v>1.3063625021919401</c:v>
                </c:pt>
                <c:pt idx="114">
                  <c:v>1.3061494769501001</c:v>
                </c:pt>
                <c:pt idx="115">
                  <c:v>1.3059343275992199</c:v>
                </c:pt>
                <c:pt idx="116">
                  <c:v>1.3058137730482899</c:v>
                </c:pt>
                <c:pt idx="117">
                  <c:v>1.3058625283279901</c:v>
                </c:pt>
                <c:pt idx="118">
                  <c:v>1.30584177440099</c:v>
                </c:pt>
                <c:pt idx="119">
                  <c:v>1.3058024321741499</c:v>
                </c:pt>
                <c:pt idx="120">
                  <c:v>1.3058024321741499</c:v>
                </c:pt>
                <c:pt idx="121">
                  <c:v>1.30574248013578</c:v>
                </c:pt>
                <c:pt idx="122">
                  <c:v>1.3060403292198099</c:v>
                </c:pt>
                <c:pt idx="123">
                  <c:v>1.3060860232719</c:v>
                </c:pt>
                <c:pt idx="124">
                  <c:v>1.3060560112671</c:v>
                </c:pt>
                <c:pt idx="125">
                  <c:v>1.3060860232719</c:v>
                </c:pt>
                <c:pt idx="126">
                  <c:v>1.30607687664992</c:v>
                </c:pt>
                <c:pt idx="127">
                  <c:v>1.30608603429193</c:v>
                </c:pt>
                <c:pt idx="128">
                  <c:v>1.3060742826373</c:v>
                </c:pt>
                <c:pt idx="129">
                  <c:v>1.30610172252312</c:v>
                </c:pt>
                <c:pt idx="130">
                  <c:v>1.3061788793876401</c:v>
                </c:pt>
                <c:pt idx="131">
                  <c:v>1.3062311883542099</c:v>
                </c:pt>
                <c:pt idx="132">
                  <c:v>1.30619588636204</c:v>
                </c:pt>
                <c:pt idx="133">
                  <c:v>1.3062387994422699</c:v>
                </c:pt>
                <c:pt idx="134">
                  <c:v>1.3062178940754601</c:v>
                </c:pt>
                <c:pt idx="135">
                  <c:v>1.30641941361919</c:v>
                </c:pt>
                <c:pt idx="136">
                  <c:v>1.3064847991383399</c:v>
                </c:pt>
                <c:pt idx="137">
                  <c:v>1.3064480847978299</c:v>
                </c:pt>
                <c:pt idx="138">
                  <c:v>1.30649547532498</c:v>
                </c:pt>
                <c:pt idx="139">
                  <c:v>1.30653365063622</c:v>
                </c:pt>
                <c:pt idx="140">
                  <c:v>1.30650200161297</c:v>
                </c:pt>
                <c:pt idx="141">
                  <c:v>1.3065307437524301</c:v>
                </c:pt>
                <c:pt idx="142">
                  <c:v>1.3065410875752701</c:v>
                </c:pt>
                <c:pt idx="143">
                  <c:v>1.3067939198353</c:v>
                </c:pt>
                <c:pt idx="144">
                  <c:v>1.30709269389038</c:v>
                </c:pt>
                <c:pt idx="145">
                  <c:v>1.3070221457194799</c:v>
                </c:pt>
                <c:pt idx="146">
                  <c:v>1.3070679892291599</c:v>
                </c:pt>
                <c:pt idx="147">
                  <c:v>1.30707715791112</c:v>
                </c:pt>
                <c:pt idx="148">
                  <c:v>1.30708112066848</c:v>
                </c:pt>
                <c:pt idx="149">
                  <c:v>1.3071388349292601</c:v>
                </c:pt>
                <c:pt idx="150">
                  <c:v>1.30708759961946</c:v>
                </c:pt>
                <c:pt idx="151">
                  <c:v>1.3070640350289899</c:v>
                </c:pt>
                <c:pt idx="152">
                  <c:v>1.3071675339606099</c:v>
                </c:pt>
                <c:pt idx="153">
                  <c:v>1.30723435365834</c:v>
                </c:pt>
                <c:pt idx="154">
                  <c:v>1.3072894416594301</c:v>
                </c:pt>
                <c:pt idx="155">
                  <c:v>1.3070200192756201</c:v>
                </c:pt>
                <c:pt idx="156">
                  <c:v>1.3067620338560699</c:v>
                </c:pt>
                <c:pt idx="157">
                  <c:v>1.30655763909471</c:v>
                </c:pt>
                <c:pt idx="158">
                  <c:v>1.30630391964829</c:v>
                </c:pt>
                <c:pt idx="159">
                  <c:v>1.3060570764546799</c:v>
                </c:pt>
                <c:pt idx="160">
                  <c:v>1.30611768251528</c:v>
                </c:pt>
                <c:pt idx="161">
                  <c:v>1.3060593809418</c:v>
                </c:pt>
                <c:pt idx="162">
                  <c:v>1.3061011301530401</c:v>
                </c:pt>
                <c:pt idx="163">
                  <c:v>1.3061011301530401</c:v>
                </c:pt>
                <c:pt idx="164">
                  <c:v>1.3061199224448901</c:v>
                </c:pt>
                <c:pt idx="165">
                  <c:v>1.30641800094831</c:v>
                </c:pt>
                <c:pt idx="166">
                  <c:v>1.30642611863344</c:v>
                </c:pt>
                <c:pt idx="167">
                  <c:v>1.30640367496704</c:v>
                </c:pt>
                <c:pt idx="168">
                  <c:v>1.3064261775642001</c:v>
                </c:pt>
                <c:pt idx="169">
                  <c:v>1.30637633195909</c:v>
                </c:pt>
                <c:pt idx="170">
                  <c:v>1.30639873321164</c:v>
                </c:pt>
                <c:pt idx="171">
                  <c:v>1.30641864741325</c:v>
                </c:pt>
                <c:pt idx="172">
                  <c:v>1.30641014748125</c:v>
                </c:pt>
                <c:pt idx="173">
                  <c:v>1.3063379364857</c:v>
                </c:pt>
                <c:pt idx="174">
                  <c:v>1.30632673179259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95E-4CC3-9638-E4933F432A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86993888"/>
        <c:axId val="254732912"/>
      </c:lineChart>
      <c:catAx>
        <c:axId val="16869938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4732912"/>
        <c:crosses val="autoZero"/>
        <c:auto val="1"/>
        <c:lblAlgn val="ctr"/>
        <c:lblOffset val="100"/>
        <c:noMultiLvlLbl val="0"/>
      </c:catAx>
      <c:valAx>
        <c:axId val="254732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00_);_(* \(#,##0.00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699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1"/>
          <c:order val="0"/>
          <c:tx>
            <c:strRef>
              <c:f>Sheet1!$AF$1</c:f>
              <c:strCache>
                <c:ptCount val="1"/>
                <c:pt idx="0">
                  <c:v>log diff BSCU* x 10 dma / IBDV*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Sheet1!$AF$2:$AF$176</c:f>
              <c:numCache>
                <c:formatCode>0.0000%</c:formatCode>
                <c:ptCount val="175"/>
                <c:pt idx="10">
                  <c:v>6.1059344790262895E-5</c:v>
                </c:pt>
                <c:pt idx="11">
                  <c:v>2.39621345542435E-4</c:v>
                </c:pt>
                <c:pt idx="12">
                  <c:v>1.7815550395826601E-4</c:v>
                </c:pt>
                <c:pt idx="13">
                  <c:v>1.01304839874784E-4</c:v>
                </c:pt>
                <c:pt idx="14">
                  <c:v>-2.0006892985891699E-4</c:v>
                </c:pt>
                <c:pt idx="15">
                  <c:v>-6.4884202258439199E-4</c:v>
                </c:pt>
                <c:pt idx="16">
                  <c:v>-9.0010503985634197E-4</c:v>
                </c:pt>
                <c:pt idx="17">
                  <c:v>8.4992039158308895E-5</c:v>
                </c:pt>
                <c:pt idx="18">
                  <c:v>-6.0396432989470303E-5</c:v>
                </c:pt>
                <c:pt idx="19">
                  <c:v>6.9755674527164995E-4</c:v>
                </c:pt>
                <c:pt idx="20">
                  <c:v>2.3984673669542899E-4</c:v>
                </c:pt>
                <c:pt idx="21">
                  <c:v>8.8628091147247606E-5</c:v>
                </c:pt>
                <c:pt idx="22">
                  <c:v>-3.4554003830345299E-4</c:v>
                </c:pt>
                <c:pt idx="23">
                  <c:v>8.75182632249191E-5</c:v>
                </c:pt>
                <c:pt idx="24">
                  <c:v>-6.16251566218383E-4</c:v>
                </c:pt>
                <c:pt idx="25">
                  <c:v>7.5988829319511403E-4</c:v>
                </c:pt>
                <c:pt idx="26">
                  <c:v>1.9570330470273099E-4</c:v>
                </c:pt>
                <c:pt idx="27">
                  <c:v>-4.9202623215110304E-4</c:v>
                </c:pt>
                <c:pt idx="28">
                  <c:v>-4.8098213489168498E-4</c:v>
                </c:pt>
                <c:pt idx="29">
                  <c:v>-3.4678392486674198E-4</c:v>
                </c:pt>
                <c:pt idx="30">
                  <c:v>-6.9721879630605505E-4</c:v>
                </c:pt>
                <c:pt idx="31">
                  <c:v>7.54267216910337E-4</c:v>
                </c:pt>
                <c:pt idx="32">
                  <c:v>2.62446951320427E-4</c:v>
                </c:pt>
                <c:pt idx="33">
                  <c:v>8.0439804444901902E-4</c:v>
                </c:pt>
                <c:pt idx="34">
                  <c:v>3.6259109723512099E-4</c:v>
                </c:pt>
                <c:pt idx="35">
                  <c:v>-9.0527967932048305E-4</c:v>
                </c:pt>
                <c:pt idx="36">
                  <c:v>3.1155184669857701E-6</c:v>
                </c:pt>
                <c:pt idx="37">
                  <c:v>-2.8048104712221901E-4</c:v>
                </c:pt>
                <c:pt idx="38">
                  <c:v>-7.0828036594117597E-6</c:v>
                </c:pt>
                <c:pt idx="39">
                  <c:v>2.4111536111716701E-4</c:v>
                </c:pt>
                <c:pt idx="40">
                  <c:v>5.0474445414538103E-4</c:v>
                </c:pt>
                <c:pt idx="41">
                  <c:v>2.4326440654496201E-4</c:v>
                </c:pt>
                <c:pt idx="42">
                  <c:v>-6.9500901052352403E-6</c:v>
                </c:pt>
                <c:pt idx="43">
                  <c:v>-2.7525242177564498E-4</c:v>
                </c:pt>
                <c:pt idx="44">
                  <c:v>-8.0842134146279102E-4</c:v>
                </c:pt>
                <c:pt idx="45">
                  <c:v>2.4629173375458898E-4</c:v>
                </c:pt>
                <c:pt idx="46">
                  <c:v>-8.3771593116419702E-5</c:v>
                </c:pt>
                <c:pt idx="47">
                  <c:v>-4.1558763103405002E-4</c:v>
                </c:pt>
                <c:pt idx="48">
                  <c:v>-6.8501415169679701E-4</c:v>
                </c:pt>
                <c:pt idx="49">
                  <c:v>-6.76919904097512E-5</c:v>
                </c:pt>
                <c:pt idx="50">
                  <c:v>3.4256552818729601E-4</c:v>
                </c:pt>
                <c:pt idx="51">
                  <c:v>3.1267716900591102E-4</c:v>
                </c:pt>
                <c:pt idx="52">
                  <c:v>1.56800310115905E-4</c:v>
                </c:pt>
                <c:pt idx="53">
                  <c:v>-1.69343050646582E-4</c:v>
                </c:pt>
                <c:pt idx="54">
                  <c:v>1.28082942037785E-3</c:v>
                </c:pt>
                <c:pt idx="55">
                  <c:v>-5.3219961810588699E-5</c:v>
                </c:pt>
                <c:pt idx="56">
                  <c:v>5.2188445780307195E-4</c:v>
                </c:pt>
                <c:pt idx="57">
                  <c:v>1.2771440571822E-4</c:v>
                </c:pt>
                <c:pt idx="58">
                  <c:v>2.08749660629891E-4</c:v>
                </c:pt>
                <c:pt idx="59">
                  <c:v>-1.08944196608586E-4</c:v>
                </c:pt>
                <c:pt idx="60">
                  <c:v>-7.1662972822931605E-5</c:v>
                </c:pt>
                <c:pt idx="61">
                  <c:v>-9.1102534195253505E-6</c:v>
                </c:pt>
                <c:pt idx="62">
                  <c:v>2.64324188592168E-4</c:v>
                </c:pt>
                <c:pt idx="63">
                  <c:v>3.9457302035802999E-4</c:v>
                </c:pt>
                <c:pt idx="64">
                  <c:v>2.5540278774999702E-4</c:v>
                </c:pt>
                <c:pt idx="65">
                  <c:v>2.6356536976710599E-4</c:v>
                </c:pt>
                <c:pt idx="66">
                  <c:v>-5.6443558318325696E-4</c:v>
                </c:pt>
                <c:pt idx="67">
                  <c:v>-9.0826670297463805E-4</c:v>
                </c:pt>
                <c:pt idx="68">
                  <c:v>3.0785685630484698E-4</c:v>
                </c:pt>
                <c:pt idx="69">
                  <c:v>-3.4182196903012201E-4</c:v>
                </c:pt>
                <c:pt idx="70">
                  <c:v>-1.05978913029055E-5</c:v>
                </c:pt>
                <c:pt idx="71">
                  <c:v>2.9573846182003299E-4</c:v>
                </c:pt>
                <c:pt idx="72">
                  <c:v>4.96098468039473E-4</c:v>
                </c:pt>
                <c:pt idx="73">
                  <c:v>2.53967826519097E-5</c:v>
                </c:pt>
                <c:pt idx="74">
                  <c:v>9.9901834128149607E-4</c:v>
                </c:pt>
                <c:pt idx="75">
                  <c:v>3.2262420804427901E-5</c:v>
                </c:pt>
                <c:pt idx="76">
                  <c:v>-6.7210259292193599E-4</c:v>
                </c:pt>
                <c:pt idx="77">
                  <c:v>-3.8052719867957699E-4</c:v>
                </c:pt>
                <c:pt idx="78">
                  <c:v>-1.19230439033023E-4</c:v>
                </c:pt>
                <c:pt idx="79">
                  <c:v>-8.1435565925754895E-4</c:v>
                </c:pt>
                <c:pt idx="80">
                  <c:v>3.0501317984850499E-5</c:v>
                </c:pt>
                <c:pt idx="81">
                  <c:v>4.34063955727852E-4</c:v>
                </c:pt>
                <c:pt idx="82">
                  <c:v>-1.9026840321153301E-4</c:v>
                </c:pt>
                <c:pt idx="83">
                  <c:v>-8.5719849823650101E-5</c:v>
                </c:pt>
                <c:pt idx="84">
                  <c:v>-3.8274393789147797E-4</c:v>
                </c:pt>
                <c:pt idx="85">
                  <c:v>5.8403894281089104E-4</c:v>
                </c:pt>
                <c:pt idx="86">
                  <c:v>5.63154668310927E-6</c:v>
                </c:pt>
                <c:pt idx="87">
                  <c:v>-8.0705096660717998E-5</c:v>
                </c:pt>
                <c:pt idx="88">
                  <c:v>-5.7651379726963599E-5</c:v>
                </c:pt>
                <c:pt idx="89">
                  <c:v>-3.21393370142231E-4</c:v>
                </c:pt>
                <c:pt idx="90">
                  <c:v>6.8650449166534797E-4</c:v>
                </c:pt>
                <c:pt idx="91">
                  <c:v>-9.7844561982636798E-5</c:v>
                </c:pt>
                <c:pt idx="92">
                  <c:v>1.7559357945353199E-4</c:v>
                </c:pt>
                <c:pt idx="93">
                  <c:v>-2.9186726933271403E-4</c:v>
                </c:pt>
                <c:pt idx="94">
                  <c:v>2.2454398794564899E-4</c:v>
                </c:pt>
                <c:pt idx="95">
                  <c:v>-5.0473828849461895E-4</c:v>
                </c:pt>
                <c:pt idx="96">
                  <c:v>-1.3198081600941599E-3</c:v>
                </c:pt>
                <c:pt idx="97">
                  <c:v>4.4266498184572902E-4</c:v>
                </c:pt>
                <c:pt idx="98">
                  <c:v>4.7819651642536702E-5</c:v>
                </c:pt>
                <c:pt idx="99">
                  <c:v>-5.4302535932448004E-4</c:v>
                </c:pt>
                <c:pt idx="100">
                  <c:v>-2.37175038549603E-4</c:v>
                </c:pt>
                <c:pt idx="101">
                  <c:v>-7.5710777844201595E-4</c:v>
                </c:pt>
                <c:pt idx="102">
                  <c:v>4.50093256267323E-4</c:v>
                </c:pt>
                <c:pt idx="103">
                  <c:v>5.9481519215456998E-4</c:v>
                </c:pt>
                <c:pt idx="104">
                  <c:v>2.6966365853480401E-4</c:v>
                </c:pt>
                <c:pt idx="105">
                  <c:v>-1.5549517119171701E-4</c:v>
                </c:pt>
                <c:pt idx="106">
                  <c:v>5.1697662676922402E-4</c:v>
                </c:pt>
                <c:pt idx="107">
                  <c:v>3.6395081534532298E-4</c:v>
                </c:pt>
                <c:pt idx="108">
                  <c:v>-1.1723585374896899E-4</c:v>
                </c:pt>
                <c:pt idx="109">
                  <c:v>6.7414427040218502E-4</c:v>
                </c:pt>
                <c:pt idx="110">
                  <c:v>6.1982545614187195E-4</c:v>
                </c:pt>
                <c:pt idx="111">
                  <c:v>2.5620328815817499E-4</c:v>
                </c:pt>
                <c:pt idx="112">
                  <c:v>-4.5212303017682601E-5</c:v>
                </c:pt>
                <c:pt idx="113">
                  <c:v>5.4629683899249304E-4</c:v>
                </c:pt>
                <c:pt idx="114">
                  <c:v>-4.5574066725983901E-4</c:v>
                </c:pt>
                <c:pt idx="115">
                  <c:v>-1.05580918382858E-3</c:v>
                </c:pt>
                <c:pt idx="116">
                  <c:v>4.5476229261220302E-4</c:v>
                </c:pt>
                <c:pt idx="117">
                  <c:v>-4.8352529773331598E-4</c:v>
                </c:pt>
                <c:pt idx="118">
                  <c:v>2.5893190499082301E-4</c:v>
                </c:pt>
                <c:pt idx="119">
                  <c:v>-1.16563070630457E-4</c:v>
                </c:pt>
                <c:pt idx="120">
                  <c:v>-3.83545399932777E-4</c:v>
                </c:pt>
                <c:pt idx="121">
                  <c:v>-2.6666239088820501E-5</c:v>
                </c:pt>
                <c:pt idx="122">
                  <c:v>-5.4691246849461396E-4</c:v>
                </c:pt>
                <c:pt idx="123">
                  <c:v>-2.11344762368515E-4</c:v>
                </c:pt>
                <c:pt idx="124">
                  <c:v>7.4719522011726098E-4</c:v>
                </c:pt>
                <c:pt idx="125">
                  <c:v>-6.8763289884105799E-4</c:v>
                </c:pt>
                <c:pt idx="126">
                  <c:v>5.5220305673112503E-4</c:v>
                </c:pt>
                <c:pt idx="127">
                  <c:v>2.86054625563367E-4</c:v>
                </c:pt>
                <c:pt idx="128">
                  <c:v>5.4766101282036398E-5</c:v>
                </c:pt>
                <c:pt idx="129">
                  <c:v>2.6313905143295199E-4</c:v>
                </c:pt>
                <c:pt idx="130">
                  <c:v>-4.4277460212812199E-4</c:v>
                </c:pt>
                <c:pt idx="131">
                  <c:v>-3.2303411276092298E-4</c:v>
                </c:pt>
                <c:pt idx="132">
                  <c:v>8.5217571008571597E-4</c:v>
                </c:pt>
                <c:pt idx="133">
                  <c:v>1.3354621244317699E-4</c:v>
                </c:pt>
                <c:pt idx="134">
                  <c:v>8.8470389071148995E-5</c:v>
                </c:pt>
                <c:pt idx="135">
                  <c:v>-5.2263029718840999E-5</c:v>
                </c:pt>
                <c:pt idx="136">
                  <c:v>-4.0316397827612097E-4</c:v>
                </c:pt>
                <c:pt idx="137">
                  <c:v>3.0307107050005498E-4</c:v>
                </c:pt>
                <c:pt idx="138">
                  <c:v>-2.6174556587770903E-4</c:v>
                </c:pt>
                <c:pt idx="139">
                  <c:v>-4.1442066571560897E-4</c:v>
                </c:pt>
                <c:pt idx="140">
                  <c:v>3.7359096030074602E-4</c:v>
                </c:pt>
                <c:pt idx="141">
                  <c:v>-3.3770325437193499E-4</c:v>
                </c:pt>
                <c:pt idx="142">
                  <c:v>-6.2271115770092E-4</c:v>
                </c:pt>
                <c:pt idx="143">
                  <c:v>-2.1494996728033301E-4</c:v>
                </c:pt>
                <c:pt idx="144">
                  <c:v>7.3526184929739298E-6</c:v>
                </c:pt>
                <c:pt idx="145">
                  <c:v>4.8325266890287199E-4</c:v>
                </c:pt>
                <c:pt idx="146">
                  <c:v>-4.2005665332726198E-5</c:v>
                </c:pt>
                <c:pt idx="147">
                  <c:v>2.18805039027488E-4</c:v>
                </c:pt>
                <c:pt idx="148">
                  <c:v>1.4291984713265399E-4</c:v>
                </c:pt>
                <c:pt idx="149">
                  <c:v>-5.0708894277845203E-4</c:v>
                </c:pt>
                <c:pt idx="150">
                  <c:v>4.5541623425138402E-4</c:v>
                </c:pt>
                <c:pt idx="151">
                  <c:v>1.4181778075062599E-4</c:v>
                </c:pt>
                <c:pt idx="152">
                  <c:v>-6.5348278058465804E-4</c:v>
                </c:pt>
                <c:pt idx="153">
                  <c:v>-6.7334914832069704E-4</c:v>
                </c:pt>
                <c:pt idx="154">
                  <c:v>-4.4895824004960802E-4</c:v>
                </c:pt>
                <c:pt idx="155">
                  <c:v>5.0146135641686003E-4</c:v>
                </c:pt>
                <c:pt idx="156">
                  <c:v>5.4766095468116902E-5</c:v>
                </c:pt>
                <c:pt idx="157">
                  <c:v>-1.21059635475353E-4</c:v>
                </c:pt>
                <c:pt idx="158">
                  <c:v>9.97656308774997E-5</c:v>
                </c:pt>
                <c:pt idx="159">
                  <c:v>-1.57407393957666E-4</c:v>
                </c:pt>
                <c:pt idx="160">
                  <c:v>-1.7649248520492701E-4</c:v>
                </c:pt>
                <c:pt idx="161">
                  <c:v>1.03511212196205E-3</c:v>
                </c:pt>
                <c:pt idx="162">
                  <c:v>-7.9339026172826595E-4</c:v>
                </c:pt>
                <c:pt idx="163">
                  <c:v>1.3789874092597499E-4</c:v>
                </c:pt>
                <c:pt idx="164">
                  <c:v>-2.3111254271176501E-5</c:v>
                </c:pt>
                <c:pt idx="165">
                  <c:v>-5.8128002733634001E-5</c:v>
                </c:pt>
                <c:pt idx="166">
                  <c:v>6.69090893109925E-5</c:v>
                </c:pt>
                <c:pt idx="167">
                  <c:v>7.9763841297507204E-4</c:v>
                </c:pt>
                <c:pt idx="168">
                  <c:v>-5.6169998004626298E-5</c:v>
                </c:pt>
                <c:pt idx="169">
                  <c:v>4.0257272335270398E-4</c:v>
                </c:pt>
                <c:pt idx="170">
                  <c:v>1.99323741852818E-4</c:v>
                </c:pt>
                <c:pt idx="171">
                  <c:v>-1.2827858166140601E-4</c:v>
                </c:pt>
                <c:pt idx="172">
                  <c:v>-3.7694868446853599E-4</c:v>
                </c:pt>
                <c:pt idx="173">
                  <c:v>4.7965239182712902E-4</c:v>
                </c:pt>
                <c:pt idx="174">
                  <c:v>-3.07231848006107E-4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35A-4530-8363-A5E46D4ED71A}"/>
            </c:ext>
          </c:extLst>
        </c:ser>
        <c:ser>
          <c:idx val="2"/>
          <c:order val="1"/>
          <c:tx>
            <c:strRef>
              <c:f>Sheet1!$AG$1</c:f>
              <c:strCache>
                <c:ptCount val="1"/>
                <c:pt idx="0">
                  <c:v>log diff BSCU* x 20 dma / IBDV*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Sheet1!$AG$2:$AG$176</c:f>
              <c:numCache>
                <c:formatCode>0.0000%</c:formatCode>
                <c:ptCount val="175"/>
                <c:pt idx="20">
                  <c:v>2.1866550887908399E-4</c:v>
                </c:pt>
                <c:pt idx="21">
                  <c:v>7.4266842370512398E-5</c:v>
                </c:pt>
                <c:pt idx="22">
                  <c:v>-3.7977646040416099E-4</c:v>
                </c:pt>
                <c:pt idx="23">
                  <c:v>-1.47479132650965E-5</c:v>
                </c:pt>
                <c:pt idx="24">
                  <c:v>-7.2259979411781999E-4</c:v>
                </c:pt>
                <c:pt idx="25">
                  <c:v>6.2399962036136295E-4</c:v>
                </c:pt>
                <c:pt idx="26">
                  <c:v>1.48092590893381E-4</c:v>
                </c:pt>
                <c:pt idx="27">
                  <c:v>-4.4932571359959601E-4</c:v>
                </c:pt>
                <c:pt idx="28">
                  <c:v>-4.4717861061760699E-4</c:v>
                </c:pt>
                <c:pt idx="29">
                  <c:v>-3.1496498918864998E-4</c:v>
                </c:pt>
                <c:pt idx="30">
                  <c:v>-7.5573753586753896E-4</c:v>
                </c:pt>
                <c:pt idx="31">
                  <c:v>6.3622211785765005E-4</c:v>
                </c:pt>
                <c:pt idx="32">
                  <c:v>1.74848461641603E-4</c:v>
                </c:pt>
                <c:pt idx="33">
                  <c:v>7.6804403311103297E-4</c:v>
                </c:pt>
                <c:pt idx="34">
                  <c:v>3.6934467934961201E-4</c:v>
                </c:pt>
                <c:pt idx="35">
                  <c:v>-8.1744265732876297E-4</c:v>
                </c:pt>
                <c:pt idx="36">
                  <c:v>-4.0370947027699697E-5</c:v>
                </c:pt>
                <c:pt idx="37">
                  <c:v>-3.87985596689535E-4</c:v>
                </c:pt>
                <c:pt idx="38">
                  <c:v>-9.0177100281739605E-5</c:v>
                </c:pt>
                <c:pt idx="39">
                  <c:v>1.9106082238266699E-4</c:v>
                </c:pt>
                <c:pt idx="40">
                  <c:v>5.2810473302770705E-4</c:v>
                </c:pt>
                <c:pt idx="41">
                  <c:v>3.8179105500311201E-4</c:v>
                </c:pt>
                <c:pt idx="42">
                  <c:v>9.8412803318912603E-5</c:v>
                </c:pt>
                <c:pt idx="43">
                  <c:v>-1.9446444739553299E-4</c:v>
                </c:pt>
                <c:pt idx="44">
                  <c:v>-8.0572416619816402E-4</c:v>
                </c:pt>
                <c:pt idx="45">
                  <c:v>1.4107719811128801E-4</c:v>
                </c:pt>
                <c:pt idx="46">
                  <c:v>-6.7440697949656706E-5</c:v>
                </c:pt>
                <c:pt idx="47">
                  <c:v>-3.8799197628443098E-4</c:v>
                </c:pt>
                <c:pt idx="48">
                  <c:v>-6.61242060145386E-4</c:v>
                </c:pt>
                <c:pt idx="49">
                  <c:v>-9.0837869752925305E-5</c:v>
                </c:pt>
                <c:pt idx="50">
                  <c:v>2.7727874746251901E-4</c:v>
                </c:pt>
                <c:pt idx="51">
                  <c:v>1.7032238881270299E-4</c:v>
                </c:pt>
                <c:pt idx="52">
                  <c:v>1.5378269077830402E-5</c:v>
                </c:pt>
                <c:pt idx="53">
                  <c:v>-3.1378497689925702E-4</c:v>
                </c:pt>
                <c:pt idx="54">
                  <c:v>1.17312597722475E-3</c:v>
                </c:pt>
                <c:pt idx="55">
                  <c:v>-8.9693817338526595E-6</c:v>
                </c:pt>
                <c:pt idx="56">
                  <c:v>5.0851485103109505E-4</c:v>
                </c:pt>
                <c:pt idx="57">
                  <c:v>1.4599624620347901E-4</c:v>
                </c:pt>
                <c:pt idx="58">
                  <c:v>2.60028749868346E-4</c:v>
                </c:pt>
                <c:pt idx="59">
                  <c:v>2.37052989155815E-5</c:v>
                </c:pt>
                <c:pt idx="60">
                  <c:v>8.9947560060030197E-5</c:v>
                </c:pt>
                <c:pt idx="61">
                  <c:v>1.62580651371927E-4</c:v>
                </c:pt>
                <c:pt idx="62">
                  <c:v>4.4785667754096003E-4</c:v>
                </c:pt>
                <c:pt idx="63">
                  <c:v>6.0779343770373299E-4</c:v>
                </c:pt>
                <c:pt idx="64">
                  <c:v>5.27310839137946E-4</c:v>
                </c:pt>
                <c:pt idx="65">
                  <c:v>4.1770846382555802E-4</c:v>
                </c:pt>
                <c:pt idx="66">
                  <c:v>-3.6848031449008E-4</c:v>
                </c:pt>
                <c:pt idx="67">
                  <c:v>-7.7599055851469896E-4</c:v>
                </c:pt>
                <c:pt idx="68">
                  <c:v>3.7253654255432902E-4</c:v>
                </c:pt>
                <c:pt idx="69">
                  <c:v>-3.1555586400301998E-4</c:v>
                </c:pt>
                <c:pt idx="70">
                  <c:v>-4.55567417471299E-6</c:v>
                </c:pt>
                <c:pt idx="71">
                  <c:v>3.0999019787089302E-4</c:v>
                </c:pt>
                <c:pt idx="72">
                  <c:v>5.2593800539634699E-4</c:v>
                </c:pt>
                <c:pt idx="73">
                  <c:v>4.6076138756797702E-5</c:v>
                </c:pt>
                <c:pt idx="74">
                  <c:v>9.5378797218110601E-4</c:v>
                </c:pt>
                <c:pt idx="75">
                  <c:v>4.3739540082367001E-5</c:v>
                </c:pt>
                <c:pt idx="76">
                  <c:v>-7.0229589170899096E-4</c:v>
                </c:pt>
                <c:pt idx="77">
                  <c:v>-3.8439981171977598E-4</c:v>
                </c:pt>
                <c:pt idx="78">
                  <c:v>-5.8493177705875003E-5</c:v>
                </c:pt>
                <c:pt idx="79">
                  <c:v>-7.8032077783961296E-4</c:v>
                </c:pt>
                <c:pt idx="80">
                  <c:v>5.3320153469604901E-5</c:v>
                </c:pt>
                <c:pt idx="81">
                  <c:v>4.5756203965278101E-4</c:v>
                </c:pt>
                <c:pt idx="82">
                  <c:v>-1.7417321347069201E-4</c:v>
                </c:pt>
                <c:pt idx="83">
                  <c:v>-1.16895327826755E-4</c:v>
                </c:pt>
                <c:pt idx="84">
                  <c:v>-4.0620544406561802E-4</c:v>
                </c:pt>
                <c:pt idx="85">
                  <c:v>4.56543023277717E-4</c:v>
                </c:pt>
                <c:pt idx="86">
                  <c:v>-9.6619182635207106E-5</c:v>
                </c:pt>
                <c:pt idx="87">
                  <c:v>-1.50883855813877E-4</c:v>
                </c:pt>
                <c:pt idx="88">
                  <c:v>-1.45871433201411E-4</c:v>
                </c:pt>
                <c:pt idx="89">
                  <c:v>-4.0007755276057601E-4</c:v>
                </c:pt>
                <c:pt idx="90">
                  <c:v>6.4484118780772895E-4</c:v>
                </c:pt>
                <c:pt idx="91">
                  <c:v>-1.15222370212742E-4</c:v>
                </c:pt>
                <c:pt idx="92">
                  <c:v>1.20626987831483E-4</c:v>
                </c:pt>
                <c:pt idx="93">
                  <c:v>-3.01336190008693E-4</c:v>
                </c:pt>
                <c:pt idx="94">
                  <c:v>2.1249227987200599E-4</c:v>
                </c:pt>
                <c:pt idx="95">
                  <c:v>-4.16218611920267E-4</c:v>
                </c:pt>
                <c:pt idx="96">
                  <c:v>-1.2917116213091099E-3</c:v>
                </c:pt>
                <c:pt idx="97">
                  <c:v>3.8359389242145802E-4</c:v>
                </c:pt>
                <c:pt idx="98">
                  <c:v>1.0303541216720201E-6</c:v>
                </c:pt>
                <c:pt idx="99">
                  <c:v>-5.8347703568706701E-4</c:v>
                </c:pt>
                <c:pt idx="100">
                  <c:v>-3.0954534016760599E-4</c:v>
                </c:pt>
                <c:pt idx="101">
                  <c:v>-9.1149443809055201E-4</c:v>
                </c:pt>
                <c:pt idx="102">
                  <c:v>2.7562316826023199E-4</c:v>
                </c:pt>
                <c:pt idx="103">
                  <c:v>4.0383056023587499E-4</c:v>
                </c:pt>
                <c:pt idx="104">
                  <c:v>1.1515471496721501E-4</c:v>
                </c:pt>
                <c:pt idx="105">
                  <c:v>-3.5234932958563299E-4</c:v>
                </c:pt>
                <c:pt idx="106">
                  <c:v>3.6347681884962998E-4</c:v>
                </c:pt>
                <c:pt idx="107">
                  <c:v>3.50454062184446E-4</c:v>
                </c:pt>
                <c:pt idx="108">
                  <c:v>-1.56271866173843E-4</c:v>
                </c:pt>
                <c:pt idx="109">
                  <c:v>6.22358096868761E-4</c:v>
                </c:pt>
                <c:pt idx="110">
                  <c:v>6.3884696890903004E-4</c:v>
                </c:pt>
                <c:pt idx="111">
                  <c:v>3.73380489155775E-4</c:v>
                </c:pt>
                <c:pt idx="112">
                  <c:v>1.8280734358815001E-4</c:v>
                </c:pt>
                <c:pt idx="113">
                  <c:v>7.7607264792792599E-4</c:v>
                </c:pt>
                <c:pt idx="114">
                  <c:v>-2.3064931113848201E-4</c:v>
                </c:pt>
                <c:pt idx="115">
                  <c:v>-8.3129512842003905E-4</c:v>
                </c:pt>
                <c:pt idx="116">
                  <c:v>6.5891242790589799E-4</c:v>
                </c:pt>
                <c:pt idx="117">
                  <c:v>-3.38600763866164E-4</c:v>
                </c:pt>
                <c:pt idx="118">
                  <c:v>3.8124924793059598E-4</c:v>
                </c:pt>
                <c:pt idx="119">
                  <c:v>4.8958676964468899E-5</c:v>
                </c:pt>
                <c:pt idx="120">
                  <c:v>-2.9669130687290699E-4</c:v>
                </c:pt>
                <c:pt idx="121">
                  <c:v>-2.60428617885097E-5</c:v>
                </c:pt>
                <c:pt idx="122">
                  <c:v>-6.2277497014774598E-4</c:v>
                </c:pt>
                <c:pt idx="123">
                  <c:v>-3.1791617764433301E-4</c:v>
                </c:pt>
                <c:pt idx="124">
                  <c:v>5.7156697066788398E-4</c:v>
                </c:pt>
                <c:pt idx="125">
                  <c:v>-8.0693109607501696E-4</c:v>
                </c:pt>
                <c:pt idx="126">
                  <c:v>4.61970061423005E-4</c:v>
                </c:pt>
                <c:pt idx="127">
                  <c:v>1.7437696985416899E-4</c:v>
                </c:pt>
                <c:pt idx="128">
                  <c:v>-1.7178631862966E-6</c:v>
                </c:pt>
                <c:pt idx="129">
                  <c:v>1.59763687279946E-4</c:v>
                </c:pt>
                <c:pt idx="130">
                  <c:v>-5.1452572284607504E-4</c:v>
                </c:pt>
                <c:pt idx="131">
                  <c:v>-3.6344668615600302E-4</c:v>
                </c:pt>
                <c:pt idx="132">
                  <c:v>8.0698076204093101E-4</c:v>
                </c:pt>
                <c:pt idx="133">
                  <c:v>1.8645547011814399E-4</c:v>
                </c:pt>
                <c:pt idx="134">
                  <c:v>2.1244797918843099E-4</c:v>
                </c:pt>
                <c:pt idx="135">
                  <c:v>8.6053760051384508E-6</c:v>
                </c:pt>
                <c:pt idx="136">
                  <c:v>-3.1090347430607701E-4</c:v>
                </c:pt>
                <c:pt idx="137">
                  <c:v>3.6093625402852702E-4</c:v>
                </c:pt>
                <c:pt idx="138">
                  <c:v>-2.2455671807967899E-4</c:v>
                </c:pt>
                <c:pt idx="139">
                  <c:v>-3.7348678360742501E-4</c:v>
                </c:pt>
                <c:pt idx="140">
                  <c:v>3.7609115835608497E-4</c:v>
                </c:pt>
                <c:pt idx="141">
                  <c:v>-2.8398991985997401E-4</c:v>
                </c:pt>
                <c:pt idx="142">
                  <c:v>-5.4549483683561599E-4</c:v>
                </c:pt>
                <c:pt idx="143">
                  <c:v>-2.6917748929632302E-4</c:v>
                </c:pt>
                <c:pt idx="144">
                  <c:v>-9.2256201524607405E-5</c:v>
                </c:pt>
                <c:pt idx="145">
                  <c:v>3.9016101298656103E-4</c:v>
                </c:pt>
                <c:pt idx="146">
                  <c:v>-1.5550700685095699E-4</c:v>
                </c:pt>
                <c:pt idx="147">
                  <c:v>1.5054942498151901E-4</c:v>
                </c:pt>
                <c:pt idx="148">
                  <c:v>5.6994608255469501E-5</c:v>
                </c:pt>
                <c:pt idx="149">
                  <c:v>-5.6926741148720698E-4</c:v>
                </c:pt>
                <c:pt idx="150">
                  <c:v>4.1216837225889502E-4</c:v>
                </c:pt>
                <c:pt idx="151">
                  <c:v>5.7267540220460697E-5</c:v>
                </c:pt>
                <c:pt idx="152">
                  <c:v>-7.2715229823669804E-4</c:v>
                </c:pt>
                <c:pt idx="153">
                  <c:v>-6.8991581671606396E-4</c:v>
                </c:pt>
                <c:pt idx="154">
                  <c:v>-4.6726454688257802E-4</c:v>
                </c:pt>
                <c:pt idx="155">
                  <c:v>4.7251972916801402E-4</c:v>
                </c:pt>
                <c:pt idx="156">
                  <c:v>6.38138566429492E-6</c:v>
                </c:pt>
                <c:pt idx="157">
                  <c:v>-1.76151912142735E-4</c:v>
                </c:pt>
                <c:pt idx="158">
                  <c:v>3.32096245910593E-5</c:v>
                </c:pt>
                <c:pt idx="159">
                  <c:v>-2.4441383368201E-4</c:v>
                </c:pt>
                <c:pt idx="160">
                  <c:v>-2.43859492492214E-4</c:v>
                </c:pt>
                <c:pt idx="161">
                  <c:v>9.2965894681751196E-4</c:v>
                </c:pt>
                <c:pt idx="162">
                  <c:v>-8.80270003276388E-4</c:v>
                </c:pt>
                <c:pt idx="163">
                  <c:v>4.4236898533562599E-5</c:v>
                </c:pt>
                <c:pt idx="164">
                  <c:v>-6.0988043850922703E-5</c:v>
                </c:pt>
                <c:pt idx="165">
                  <c:v>-5.3846552045413803E-5</c:v>
                </c:pt>
                <c:pt idx="166">
                  <c:v>4.5628912857794798E-5</c:v>
                </c:pt>
                <c:pt idx="167">
                  <c:v>7.7483750664450305E-4</c:v>
                </c:pt>
                <c:pt idx="168">
                  <c:v>-1.28295262483328E-5</c:v>
                </c:pt>
                <c:pt idx="169">
                  <c:v>4.5126234983312099E-4</c:v>
                </c:pt>
                <c:pt idx="170">
                  <c:v>2.7209604654453601E-4</c:v>
                </c:pt>
                <c:pt idx="171">
                  <c:v>8.8935068903885593E-6</c:v>
                </c:pt>
                <c:pt idx="172">
                  <c:v>-3.1831786047324098E-4</c:v>
                </c:pt>
                <c:pt idx="173">
                  <c:v>5.80682954367145E-4</c:v>
                </c:pt>
                <c:pt idx="174">
                  <c:v>-2.1021853952767701E-4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35A-4530-8363-A5E46D4ED7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79644688"/>
        <c:axId val="205301072"/>
      </c:lineChart>
      <c:catAx>
        <c:axId val="167964468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301072"/>
        <c:crosses val="autoZero"/>
        <c:auto val="1"/>
        <c:lblAlgn val="ctr"/>
        <c:lblOffset val="100"/>
        <c:noMultiLvlLbl val="0"/>
      </c:catAx>
      <c:valAx>
        <c:axId val="205301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96446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Sheet1!$Y$1</c:f>
              <c:strCache>
                <c:ptCount val="1"/>
                <c:pt idx="0">
                  <c:v> IBDV*/BSCU* avg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Sheet1!$Y$2:$Y$176</c:f>
              <c:numCache>
                <c:formatCode>_(* #,##0.0000_);_(* \(#,##0.0000\);_(* "-"??_);_(@_)</c:formatCode>
                <c:ptCount val="175"/>
                <c:pt idx="0">
                  <c:v>1.3045124660331</c:v>
                </c:pt>
                <c:pt idx="1">
                  <c:v>1.3045124660331</c:v>
                </c:pt>
                <c:pt idx="2">
                  <c:v>1.3045124660331</c:v>
                </c:pt>
                <c:pt idx="3">
                  <c:v>1.3045124660331</c:v>
                </c:pt>
                <c:pt idx="4">
                  <c:v>1.3045124660331</c:v>
                </c:pt>
                <c:pt idx="5">
                  <c:v>1.3045124660331</c:v>
                </c:pt>
                <c:pt idx="6">
                  <c:v>1.3045124660331</c:v>
                </c:pt>
                <c:pt idx="7">
                  <c:v>1.3045124660331</c:v>
                </c:pt>
                <c:pt idx="8">
                  <c:v>1.3045124660331</c:v>
                </c:pt>
                <c:pt idx="9">
                  <c:v>1.3045124660331</c:v>
                </c:pt>
                <c:pt idx="10">
                  <c:v>1.3045124660331</c:v>
                </c:pt>
                <c:pt idx="11">
                  <c:v>1.3045124660331</c:v>
                </c:pt>
                <c:pt idx="12">
                  <c:v>1.3045124660331</c:v>
                </c:pt>
                <c:pt idx="13">
                  <c:v>1.3045124660331</c:v>
                </c:pt>
                <c:pt idx="14">
                  <c:v>1.3045124660331</c:v>
                </c:pt>
                <c:pt idx="15">
                  <c:v>1.3045124660331</c:v>
                </c:pt>
                <c:pt idx="16">
                  <c:v>1.3045124660331</c:v>
                </c:pt>
                <c:pt idx="17">
                  <c:v>1.3045124660331</c:v>
                </c:pt>
                <c:pt idx="18">
                  <c:v>1.3045124660331</c:v>
                </c:pt>
                <c:pt idx="19">
                  <c:v>1.3045124660331</c:v>
                </c:pt>
                <c:pt idx="20">
                  <c:v>1.3045124660331</c:v>
                </c:pt>
                <c:pt idx="21">
                  <c:v>1.3045124660331</c:v>
                </c:pt>
                <c:pt idx="22">
                  <c:v>1.3045124660331</c:v>
                </c:pt>
                <c:pt idx="23">
                  <c:v>1.3045124660331</c:v>
                </c:pt>
                <c:pt idx="24">
                  <c:v>1.3045124660331</c:v>
                </c:pt>
                <c:pt idx="25">
                  <c:v>1.3045124660331</c:v>
                </c:pt>
                <c:pt idx="26">
                  <c:v>1.3045124660331</c:v>
                </c:pt>
                <c:pt idx="27">
                  <c:v>1.3045124660331</c:v>
                </c:pt>
                <c:pt idx="28">
                  <c:v>1.3045124660331</c:v>
                </c:pt>
                <c:pt idx="29">
                  <c:v>1.3045124660331</c:v>
                </c:pt>
                <c:pt idx="30">
                  <c:v>1.3045124660331</c:v>
                </c:pt>
                <c:pt idx="31">
                  <c:v>1.3045124660331</c:v>
                </c:pt>
                <c:pt idx="32">
                  <c:v>1.3045124660331</c:v>
                </c:pt>
                <c:pt idx="33">
                  <c:v>1.3045124660331</c:v>
                </c:pt>
                <c:pt idx="34">
                  <c:v>1.3045124660331</c:v>
                </c:pt>
                <c:pt idx="35">
                  <c:v>1.3045124660331</c:v>
                </c:pt>
                <c:pt idx="36">
                  <c:v>1.3045124660331</c:v>
                </c:pt>
                <c:pt idx="37">
                  <c:v>1.3045124660331</c:v>
                </c:pt>
                <c:pt idx="38">
                  <c:v>1.3045124660331</c:v>
                </c:pt>
                <c:pt idx="39">
                  <c:v>1.3045124660331</c:v>
                </c:pt>
                <c:pt idx="40">
                  <c:v>1.3045124660331</c:v>
                </c:pt>
                <c:pt idx="41">
                  <c:v>1.3045124660331</c:v>
                </c:pt>
                <c:pt idx="42">
                  <c:v>1.3045124660331</c:v>
                </c:pt>
                <c:pt idx="43">
                  <c:v>1.3045124660331</c:v>
                </c:pt>
                <c:pt idx="44">
                  <c:v>1.3045124660331</c:v>
                </c:pt>
                <c:pt idx="45">
                  <c:v>1.3045124660331</c:v>
                </c:pt>
                <c:pt idx="46">
                  <c:v>1.3045124660331</c:v>
                </c:pt>
                <c:pt idx="47">
                  <c:v>1.3045124660331</c:v>
                </c:pt>
                <c:pt idx="48">
                  <c:v>1.3045124660331</c:v>
                </c:pt>
                <c:pt idx="49">
                  <c:v>1.3045124660331</c:v>
                </c:pt>
                <c:pt idx="50">
                  <c:v>1.3045124660331</c:v>
                </c:pt>
                <c:pt idx="51">
                  <c:v>1.3045124660331</c:v>
                </c:pt>
                <c:pt idx="52">
                  <c:v>1.3045124660331</c:v>
                </c:pt>
                <c:pt idx="53">
                  <c:v>1.3045124660331</c:v>
                </c:pt>
                <c:pt idx="54">
                  <c:v>1.3045124660331</c:v>
                </c:pt>
                <c:pt idx="55">
                  <c:v>1.3045124660331</c:v>
                </c:pt>
                <c:pt idx="56">
                  <c:v>1.3045124660331</c:v>
                </c:pt>
                <c:pt idx="57">
                  <c:v>1.3045124660331</c:v>
                </c:pt>
                <c:pt idx="58">
                  <c:v>1.3045124660331</c:v>
                </c:pt>
                <c:pt idx="59">
                  <c:v>1.3045124660331</c:v>
                </c:pt>
                <c:pt idx="60">
                  <c:v>1.3045124660331</c:v>
                </c:pt>
                <c:pt idx="61">
                  <c:v>1.3045124660331</c:v>
                </c:pt>
                <c:pt idx="62">
                  <c:v>1.3045124660331</c:v>
                </c:pt>
                <c:pt idx="63">
                  <c:v>1.3045124660331</c:v>
                </c:pt>
                <c:pt idx="64">
                  <c:v>1.3045124660331</c:v>
                </c:pt>
                <c:pt idx="65">
                  <c:v>1.3045124660331</c:v>
                </c:pt>
                <c:pt idx="66">
                  <c:v>1.3045124660331</c:v>
                </c:pt>
                <c:pt idx="67">
                  <c:v>1.3045124660331</c:v>
                </c:pt>
                <c:pt idx="68">
                  <c:v>1.3045124660331</c:v>
                </c:pt>
                <c:pt idx="69">
                  <c:v>1.3045124660331</c:v>
                </c:pt>
                <c:pt idx="70">
                  <c:v>1.3045124660331</c:v>
                </c:pt>
                <c:pt idx="71">
                  <c:v>1.3045124660331</c:v>
                </c:pt>
                <c:pt idx="72">
                  <c:v>1.3045124660331</c:v>
                </c:pt>
                <c:pt idx="73">
                  <c:v>1.3045124660331</c:v>
                </c:pt>
                <c:pt idx="74">
                  <c:v>1.3045124660331</c:v>
                </c:pt>
                <c:pt idx="75">
                  <c:v>1.3045124660331</c:v>
                </c:pt>
                <c:pt idx="76">
                  <c:v>1.3045124660331</c:v>
                </c:pt>
                <c:pt idx="77">
                  <c:v>1.3045124660331</c:v>
                </c:pt>
                <c:pt idx="78">
                  <c:v>1.3045124660331</c:v>
                </c:pt>
                <c:pt idx="79">
                  <c:v>1.3045124660331</c:v>
                </c:pt>
                <c:pt idx="80">
                  <c:v>1.3045124660331</c:v>
                </c:pt>
                <c:pt idx="81">
                  <c:v>1.3045124660331</c:v>
                </c:pt>
                <c:pt idx="82">
                  <c:v>1.3045124660331</c:v>
                </c:pt>
                <c:pt idx="83">
                  <c:v>1.3045124660331</c:v>
                </c:pt>
                <c:pt idx="84">
                  <c:v>1.3045124660331</c:v>
                </c:pt>
                <c:pt idx="85">
                  <c:v>1.3045124660331</c:v>
                </c:pt>
                <c:pt idx="86">
                  <c:v>1.3045124660331</c:v>
                </c:pt>
                <c:pt idx="87">
                  <c:v>1.3045124660331</c:v>
                </c:pt>
                <c:pt idx="88">
                  <c:v>1.3045124660331</c:v>
                </c:pt>
                <c:pt idx="89">
                  <c:v>1.3045124660331</c:v>
                </c:pt>
                <c:pt idx="90">
                  <c:v>1.3045124660331</c:v>
                </c:pt>
                <c:pt idx="91">
                  <c:v>1.3045124660331</c:v>
                </c:pt>
                <c:pt idx="92">
                  <c:v>1.3045124660331</c:v>
                </c:pt>
                <c:pt idx="93">
                  <c:v>1.3045124660331</c:v>
                </c:pt>
                <c:pt idx="94">
                  <c:v>1.3045124660331</c:v>
                </c:pt>
                <c:pt idx="95">
                  <c:v>1.3045124660331</c:v>
                </c:pt>
                <c:pt idx="96">
                  <c:v>1.3045124660331</c:v>
                </c:pt>
                <c:pt idx="97">
                  <c:v>1.3045124660331</c:v>
                </c:pt>
                <c:pt idx="98">
                  <c:v>1.3045124660331</c:v>
                </c:pt>
                <c:pt idx="99">
                  <c:v>1.3045124660331</c:v>
                </c:pt>
                <c:pt idx="100">
                  <c:v>1.3045124660331</c:v>
                </c:pt>
                <c:pt idx="101">
                  <c:v>1.3045124660331</c:v>
                </c:pt>
                <c:pt idx="102">
                  <c:v>1.3045124660331</c:v>
                </c:pt>
                <c:pt idx="103">
                  <c:v>1.3045124660331</c:v>
                </c:pt>
                <c:pt idx="104">
                  <c:v>1.3045124660331</c:v>
                </c:pt>
                <c:pt idx="105">
                  <c:v>1.3045124660331</c:v>
                </c:pt>
                <c:pt idx="106">
                  <c:v>1.3045124660331</c:v>
                </c:pt>
                <c:pt idx="107">
                  <c:v>1.3045124660331</c:v>
                </c:pt>
                <c:pt idx="108">
                  <c:v>1.3045124660331</c:v>
                </c:pt>
                <c:pt idx="109">
                  <c:v>1.3045124660331</c:v>
                </c:pt>
                <c:pt idx="110">
                  <c:v>1.3045124660331</c:v>
                </c:pt>
                <c:pt idx="111">
                  <c:v>1.3045124660331</c:v>
                </c:pt>
                <c:pt idx="112">
                  <c:v>1.3045124660331</c:v>
                </c:pt>
                <c:pt idx="113">
                  <c:v>1.3045124660331</c:v>
                </c:pt>
                <c:pt idx="114">
                  <c:v>1.3045124660331</c:v>
                </c:pt>
                <c:pt idx="115">
                  <c:v>1.3045124660331</c:v>
                </c:pt>
                <c:pt idx="116">
                  <c:v>1.3045124660331</c:v>
                </c:pt>
                <c:pt idx="117">
                  <c:v>1.3045124660331</c:v>
                </c:pt>
                <c:pt idx="118">
                  <c:v>1.3045124660331</c:v>
                </c:pt>
                <c:pt idx="119">
                  <c:v>1.3045124660331</c:v>
                </c:pt>
                <c:pt idx="120">
                  <c:v>1.3045124660331</c:v>
                </c:pt>
                <c:pt idx="121">
                  <c:v>1.3045124660331</c:v>
                </c:pt>
                <c:pt idx="122">
                  <c:v>1.3045124660331</c:v>
                </c:pt>
                <c:pt idx="123">
                  <c:v>1.3045124660331</c:v>
                </c:pt>
                <c:pt idx="124">
                  <c:v>1.3045124660331</c:v>
                </c:pt>
                <c:pt idx="125">
                  <c:v>1.3045124660331</c:v>
                </c:pt>
                <c:pt idx="126">
                  <c:v>1.3045124660331</c:v>
                </c:pt>
                <c:pt idx="127">
                  <c:v>1.3045124660331</c:v>
                </c:pt>
                <c:pt idx="128">
                  <c:v>1.3045124660331</c:v>
                </c:pt>
                <c:pt idx="129">
                  <c:v>1.3045124660331</c:v>
                </c:pt>
                <c:pt idx="130">
                  <c:v>1.3045124660331</c:v>
                </c:pt>
                <c:pt idx="131">
                  <c:v>1.3045124660331</c:v>
                </c:pt>
                <c:pt idx="132">
                  <c:v>1.3045124660331</c:v>
                </c:pt>
                <c:pt idx="133">
                  <c:v>1.3045124660331</c:v>
                </c:pt>
                <c:pt idx="134">
                  <c:v>1.3045124660331</c:v>
                </c:pt>
                <c:pt idx="135">
                  <c:v>1.3045124660331</c:v>
                </c:pt>
                <c:pt idx="136">
                  <c:v>1.3045124660331</c:v>
                </c:pt>
                <c:pt idx="137">
                  <c:v>1.3045124660331</c:v>
                </c:pt>
                <c:pt idx="138">
                  <c:v>1.3045124660331</c:v>
                </c:pt>
                <c:pt idx="139">
                  <c:v>1.3045124660331</c:v>
                </c:pt>
                <c:pt idx="140">
                  <c:v>1.3045124660331</c:v>
                </c:pt>
                <c:pt idx="141">
                  <c:v>1.3045124660331</c:v>
                </c:pt>
                <c:pt idx="142">
                  <c:v>1.3045124660331</c:v>
                </c:pt>
                <c:pt idx="143">
                  <c:v>1.3045124660331</c:v>
                </c:pt>
                <c:pt idx="144">
                  <c:v>1.3045124660331</c:v>
                </c:pt>
                <c:pt idx="145">
                  <c:v>1.3045124660331</c:v>
                </c:pt>
                <c:pt idx="146">
                  <c:v>1.3045124660331</c:v>
                </c:pt>
                <c:pt idx="147">
                  <c:v>1.3045124660331</c:v>
                </c:pt>
                <c:pt idx="148">
                  <c:v>1.3045124660331</c:v>
                </c:pt>
                <c:pt idx="149">
                  <c:v>1.3045124660331</c:v>
                </c:pt>
                <c:pt idx="150">
                  <c:v>1.3045124660331</c:v>
                </c:pt>
                <c:pt idx="151">
                  <c:v>1.3045124660331</c:v>
                </c:pt>
                <c:pt idx="152">
                  <c:v>1.3045124660331</c:v>
                </c:pt>
                <c:pt idx="153">
                  <c:v>1.3045124660331</c:v>
                </c:pt>
                <c:pt idx="154">
                  <c:v>1.3045124660331</c:v>
                </c:pt>
                <c:pt idx="155">
                  <c:v>1.3045124660331</c:v>
                </c:pt>
                <c:pt idx="156">
                  <c:v>1.3045124660331</c:v>
                </c:pt>
                <c:pt idx="157">
                  <c:v>1.3045124660331</c:v>
                </c:pt>
                <c:pt idx="158">
                  <c:v>1.3045124660331</c:v>
                </c:pt>
                <c:pt idx="159">
                  <c:v>1.3045124660331</c:v>
                </c:pt>
                <c:pt idx="160">
                  <c:v>1.3045124660331</c:v>
                </c:pt>
                <c:pt idx="161">
                  <c:v>1.3045124660331</c:v>
                </c:pt>
                <c:pt idx="162">
                  <c:v>1.3045124660331</c:v>
                </c:pt>
                <c:pt idx="163">
                  <c:v>1.3045124660331</c:v>
                </c:pt>
                <c:pt idx="164">
                  <c:v>1.3045124660331</c:v>
                </c:pt>
                <c:pt idx="165">
                  <c:v>1.3045124660331</c:v>
                </c:pt>
                <c:pt idx="166">
                  <c:v>1.3045124660331</c:v>
                </c:pt>
                <c:pt idx="167">
                  <c:v>1.3045124660331</c:v>
                </c:pt>
                <c:pt idx="168">
                  <c:v>1.3045124660331</c:v>
                </c:pt>
                <c:pt idx="169">
                  <c:v>1.3045124660331</c:v>
                </c:pt>
                <c:pt idx="170">
                  <c:v>1.3045124660331</c:v>
                </c:pt>
                <c:pt idx="171">
                  <c:v>1.3045124660331</c:v>
                </c:pt>
                <c:pt idx="172">
                  <c:v>1.3045124660331</c:v>
                </c:pt>
                <c:pt idx="173">
                  <c:v>1.3045124660331</c:v>
                </c:pt>
                <c:pt idx="174">
                  <c:v>1.3045124660331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353-4F47-A42E-A5AA13BEFDB5}"/>
            </c:ext>
          </c:extLst>
        </c:ser>
        <c:ser>
          <c:idx val="1"/>
          <c:order val="1"/>
          <c:tx>
            <c:strRef>
              <c:f>Sheet1!$Z$1</c:f>
              <c:strCache>
                <c:ptCount val="1"/>
                <c:pt idx="0">
                  <c:v> IBDV*/BSCU* 10 dma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Sheet1!$Z$2:$Z$176</c:f>
              <c:numCache>
                <c:formatCode>_(* #,##0.0000_);_(* \(#,##0.0000\);_(* "-"??_);_(@_)</c:formatCode>
                <c:ptCount val="175"/>
                <c:pt idx="9">
                  <c:v>1.30445316908283</c:v>
                </c:pt>
                <c:pt idx="10">
                  <c:v>1.30445316908283</c:v>
                </c:pt>
                <c:pt idx="11">
                  <c:v>1.30442475437733</c:v>
                </c:pt>
                <c:pt idx="12">
                  <c:v>1.30432451232059</c:v>
                </c:pt>
                <c:pt idx="13">
                  <c:v>1.30434233401828</c:v>
                </c:pt>
                <c:pt idx="14">
                  <c:v>1.30434731400546</c:v>
                </c:pt>
                <c:pt idx="15">
                  <c:v>1.3044293521572601</c:v>
                </c:pt>
                <c:pt idx="16">
                  <c:v>1.3045344007111701</c:v>
                </c:pt>
                <c:pt idx="17">
                  <c:v>1.3045753369845099</c:v>
                </c:pt>
                <c:pt idx="18">
                  <c:v>1.3046162217887101</c:v>
                </c:pt>
                <c:pt idx="19">
                  <c:v>1.3045084306780901</c:v>
                </c:pt>
                <c:pt idx="20">
                  <c:v>1.3044906370429099</c:v>
                </c:pt>
                <c:pt idx="21">
                  <c:v>1.3045140766374099</c:v>
                </c:pt>
                <c:pt idx="22">
                  <c:v>1.3045913298115199</c:v>
                </c:pt>
                <c:pt idx="23">
                  <c:v>1.3046198072727999</c:v>
                </c:pt>
                <c:pt idx="24">
                  <c:v>1.3047018783276501</c:v>
                </c:pt>
                <c:pt idx="25">
                  <c:v>1.30455357065358</c:v>
                </c:pt>
                <c:pt idx="26">
                  <c:v>1.3044229992557801</c:v>
                </c:pt>
                <c:pt idx="27">
                  <c:v>1.3044871429682801</c:v>
                </c:pt>
                <c:pt idx="28">
                  <c:v>1.30453320275179</c:v>
                </c:pt>
                <c:pt idx="29">
                  <c:v>1.3046611204590901</c:v>
                </c:pt>
                <c:pt idx="30">
                  <c:v>1.30479866903798</c:v>
                </c:pt>
                <c:pt idx="31">
                  <c:v>1.30474265359752</c:v>
                </c:pt>
                <c:pt idx="32">
                  <c:v>1.3046861892402799</c:v>
                </c:pt>
                <c:pt idx="33">
                  <c:v>1.30460218573732</c:v>
                </c:pt>
                <c:pt idx="34">
                  <c:v>1.30447270626733</c:v>
                </c:pt>
                <c:pt idx="35">
                  <c:v>1.3046670389027299</c:v>
                </c:pt>
                <c:pt idx="36">
                  <c:v>1.30470350730331</c:v>
                </c:pt>
                <c:pt idx="37">
                  <c:v>1.3047039608758499</c:v>
                </c:pt>
                <c:pt idx="38">
                  <c:v>1.30466380817331</c:v>
                </c:pt>
                <c:pt idx="39">
                  <c:v>1.30460016809964</c:v>
                </c:pt>
                <c:pt idx="40">
                  <c:v>1.30443724536571</c:v>
                </c:pt>
                <c:pt idx="41">
                  <c:v>1.30446775412176</c:v>
                </c:pt>
                <c:pt idx="42">
                  <c:v>1.30447540887431</c:v>
                </c:pt>
                <c:pt idx="43">
                  <c:v>1.3045951482842999</c:v>
                </c:pt>
                <c:pt idx="44">
                  <c:v>1.3047472485759399</c:v>
                </c:pt>
                <c:pt idx="45">
                  <c:v>1.30462442718528</c:v>
                </c:pt>
                <c:pt idx="46">
                  <c:v>1.30463150198879</c:v>
                </c:pt>
                <c:pt idx="47">
                  <c:v>1.30464193200367</c:v>
                </c:pt>
                <c:pt idx="48">
                  <c:v>1.3047242054524</c:v>
                </c:pt>
                <c:pt idx="49">
                  <c:v>1.3047705310734701</c:v>
                </c:pt>
                <c:pt idx="50">
                  <c:v>1.3048087104395001</c:v>
                </c:pt>
                <c:pt idx="51">
                  <c:v>1.30483679339109</c:v>
                </c:pt>
                <c:pt idx="52">
                  <c:v>1.30485233242062</c:v>
                </c:pt>
                <c:pt idx="53">
                  <c:v>1.30487621247018</c:v>
                </c:pt>
                <c:pt idx="54">
                  <c:v>1.3046317845947699</c:v>
                </c:pt>
                <c:pt idx="55">
                  <c:v>1.3046593125160399</c:v>
                </c:pt>
                <c:pt idx="56">
                  <c:v>1.30458380116685</c:v>
                </c:pt>
                <c:pt idx="57">
                  <c:v>1.3045081405946399</c:v>
                </c:pt>
                <c:pt idx="58">
                  <c:v>1.3043781322972501</c:v>
                </c:pt>
                <c:pt idx="59">
                  <c:v>1.3043489039618299</c:v>
                </c:pt>
                <c:pt idx="60">
                  <c:v>1.30436077822328</c:v>
                </c:pt>
                <c:pt idx="61">
                  <c:v>1.3043579653244699</c:v>
                </c:pt>
                <c:pt idx="62">
                  <c:v>1.3042960680153299</c:v>
                </c:pt>
                <c:pt idx="63">
                  <c:v>1.30416688908419</c:v>
                </c:pt>
                <c:pt idx="64">
                  <c:v>1.30422967760882</c:v>
                </c:pt>
                <c:pt idx="65">
                  <c:v>1.3041481530319901</c:v>
                </c:pt>
                <c:pt idx="66">
                  <c:v>1.3042387390019099</c:v>
                </c:pt>
                <c:pt idx="67">
                  <c:v>1.3043394066107099</c:v>
                </c:pt>
                <c:pt idx="68">
                  <c:v>1.3043096131308201</c:v>
                </c:pt>
                <c:pt idx="69">
                  <c:v>1.3043331417861099</c:v>
                </c:pt>
                <c:pt idx="70">
                  <c:v>1.30432360020701</c:v>
                </c:pt>
                <c:pt idx="71">
                  <c:v>1.30428012593205</c:v>
                </c:pt>
                <c:pt idx="72">
                  <c:v>1.30424212568286</c:v>
                </c:pt>
                <c:pt idx="73">
                  <c:v>1.30428487298837</c:v>
                </c:pt>
                <c:pt idx="74">
                  <c:v>1.30419974052506</c:v>
                </c:pt>
                <c:pt idx="75">
                  <c:v>1.3042269096685699</c:v>
                </c:pt>
                <c:pt idx="76">
                  <c:v>1.3042488406844801</c:v>
                </c:pt>
                <c:pt idx="77">
                  <c:v>1.3041809770378201</c:v>
                </c:pt>
                <c:pt idx="78">
                  <c:v>1.3042208336171901</c:v>
                </c:pt>
                <c:pt idx="79">
                  <c:v>1.3042736170967799</c:v>
                </c:pt>
                <c:pt idx="80">
                  <c:v>1.3042623041566701</c:v>
                </c:pt>
                <c:pt idx="81">
                  <c:v>1.3042381416734601</c:v>
                </c:pt>
                <c:pt idx="82">
                  <c:v>1.30432345022925</c:v>
                </c:pt>
                <c:pt idx="83">
                  <c:v>1.3043460761174499</c:v>
                </c:pt>
                <c:pt idx="84">
                  <c:v>1.30453236442724</c:v>
                </c:pt>
                <c:pt idx="85">
                  <c:v>1.3044936668879299</c:v>
                </c:pt>
                <c:pt idx="86">
                  <c:v>1.30443192108747</c:v>
                </c:pt>
                <c:pt idx="87">
                  <c:v>1.30441111732323</c:v>
                </c:pt>
                <c:pt idx="88">
                  <c:v>1.3044261009445199</c:v>
                </c:pt>
                <c:pt idx="89">
                  <c:v>1.3043823045852301</c:v>
                </c:pt>
                <c:pt idx="90">
                  <c:v>1.30430763577873</c:v>
                </c:pt>
                <c:pt idx="91">
                  <c:v>1.3043815325466099</c:v>
                </c:pt>
                <c:pt idx="92">
                  <c:v>1.3043481516506701</c:v>
                </c:pt>
                <c:pt idx="93">
                  <c:v>1.3043775158820801</c:v>
                </c:pt>
                <c:pt idx="94">
                  <c:v>1.3043014415232601</c:v>
                </c:pt>
                <c:pt idx="95">
                  <c:v>1.30442036646336</c:v>
                </c:pt>
                <c:pt idx="96">
                  <c:v>1.3045860431729901</c:v>
                </c:pt>
                <c:pt idx="97">
                  <c:v>1.30453319085052</c:v>
                </c:pt>
                <c:pt idx="98">
                  <c:v>1.30453163979329</c:v>
                </c:pt>
                <c:pt idx="99">
                  <c:v>1.30457112216394</c:v>
                </c:pt>
                <c:pt idx="100">
                  <c:v>1.30471046446307</c:v>
                </c:pt>
                <c:pt idx="101">
                  <c:v>1.30483680281357</c:v>
                </c:pt>
                <c:pt idx="102">
                  <c:v>1.30484651532213</c:v>
                </c:pt>
                <c:pt idx="103">
                  <c:v>1.30478068530518</c:v>
                </c:pt>
                <c:pt idx="104">
                  <c:v>1.3048151075226599</c:v>
                </c:pt>
                <c:pt idx="105">
                  <c:v>1.3048209152402099</c:v>
                </c:pt>
                <c:pt idx="106">
                  <c:v>1.3046212592375399</c:v>
                </c:pt>
                <c:pt idx="107">
                  <c:v>1.30463504436214</c:v>
                </c:pt>
                <c:pt idx="108">
                  <c:v>1.30466676369334</c:v>
                </c:pt>
                <c:pt idx="109">
                  <c:v>1.3045214937474401</c:v>
                </c:pt>
                <c:pt idx="110">
                  <c:v>1.3044047535562699</c:v>
                </c:pt>
                <c:pt idx="111">
                  <c:v>1.30424194942023</c:v>
                </c:pt>
                <c:pt idx="112">
                  <c:v>1.3042470776020101</c:v>
                </c:pt>
                <c:pt idx="113">
                  <c:v>1.30419349385745</c:v>
                </c:pt>
                <c:pt idx="114">
                  <c:v>1.3042294061097199</c:v>
                </c:pt>
                <c:pt idx="115">
                  <c:v>1.30428831960351</c:v>
                </c:pt>
                <c:pt idx="116">
                  <c:v>1.3042431981679601</c:v>
                </c:pt>
                <c:pt idx="117">
                  <c:v>1.3043159439255401</c:v>
                </c:pt>
                <c:pt idx="118">
                  <c:v>1.30423496945582</c:v>
                </c:pt>
                <c:pt idx="119">
                  <c:v>1.3042949172038001</c:v>
                </c:pt>
                <c:pt idx="120">
                  <c:v>1.3044031272851599</c:v>
                </c:pt>
                <c:pt idx="121">
                  <c:v>1.3044398580549901</c:v>
                </c:pt>
                <c:pt idx="122">
                  <c:v>1.3045251129615301</c:v>
                </c:pt>
                <c:pt idx="123">
                  <c:v>1.30465172101326</c:v>
                </c:pt>
                <c:pt idx="124">
                  <c:v>1.3045406462387901</c:v>
                </c:pt>
                <c:pt idx="125">
                  <c:v>1.3045237311498299</c:v>
                </c:pt>
                <c:pt idx="126">
                  <c:v>1.3045345566206901</c:v>
                </c:pt>
                <c:pt idx="127">
                  <c:v>1.30446330228145</c:v>
                </c:pt>
                <c:pt idx="128">
                  <c:v>1.30450466280487</c:v>
                </c:pt>
                <c:pt idx="129">
                  <c:v>1.3044821065944101</c:v>
                </c:pt>
                <c:pt idx="130">
                  <c:v>1.30450856225073</c:v>
                </c:pt>
                <c:pt idx="131">
                  <c:v>1.30455777423202</c:v>
                </c:pt>
                <c:pt idx="132">
                  <c:v>1.3043870810056299</c:v>
                </c:pt>
                <c:pt idx="133">
                  <c:v>1.3043282860090799</c:v>
                </c:pt>
                <c:pt idx="134">
                  <c:v>1.3043818501186599</c:v>
                </c:pt>
                <c:pt idx="135">
                  <c:v>1.3042830524239499</c:v>
                </c:pt>
                <c:pt idx="136">
                  <c:v>1.3043835954607499</c:v>
                </c:pt>
                <c:pt idx="137">
                  <c:v>1.3043662847190001</c:v>
                </c:pt>
                <c:pt idx="138">
                  <c:v>1.30439787248174</c:v>
                </c:pt>
                <c:pt idx="139">
                  <c:v>1.30447558369162</c:v>
                </c:pt>
                <c:pt idx="140">
                  <c:v>1.3043684345313</c:v>
                </c:pt>
                <c:pt idx="141">
                  <c:v>1.30435633126078</c:v>
                </c:pt>
                <c:pt idx="142">
                  <c:v>1.30452855987197</c:v>
                </c:pt>
                <c:pt idx="143">
                  <c:v>1.3045881700419499</c:v>
                </c:pt>
                <c:pt idx="144">
                  <c:v>1.30462473816751</c:v>
                </c:pt>
                <c:pt idx="145">
                  <c:v>1.30457917859205</c:v>
                </c:pt>
                <c:pt idx="146">
                  <c:v>1.3045616766997601</c:v>
                </c:pt>
                <c:pt idx="147">
                  <c:v>1.3045904695827699</c:v>
                </c:pt>
                <c:pt idx="148">
                  <c:v>1.30456009853674</c:v>
                </c:pt>
                <c:pt idx="149">
                  <c:v>1.3045884225716899</c:v>
                </c:pt>
                <c:pt idx="150">
                  <c:v>1.30458903183826</c:v>
                </c:pt>
                <c:pt idx="151">
                  <c:v>1.3045485351035799</c:v>
                </c:pt>
                <c:pt idx="152">
                  <c:v>1.30457178433023</c:v>
                </c:pt>
                <c:pt idx="153">
                  <c:v>1.30463593573623</c:v>
                </c:pt>
                <c:pt idx="154">
                  <c:v>1.3047002573717199</c:v>
                </c:pt>
                <c:pt idx="155">
                  <c:v>1.3047054311250099</c:v>
                </c:pt>
                <c:pt idx="156">
                  <c:v>1.3047054311250099</c:v>
                </c:pt>
                <c:pt idx="157">
                  <c:v>1.3047641435842601</c:v>
                </c:pt>
                <c:pt idx="158">
                  <c:v>1.3047871384266501</c:v>
                </c:pt>
                <c:pt idx="159">
                  <c:v>1.3047642127708601</c:v>
                </c:pt>
                <c:pt idx="160">
                  <c:v>1.30486422147877</c:v>
                </c:pt>
                <c:pt idx="161">
                  <c:v>1.3047752423269701</c:v>
                </c:pt>
                <c:pt idx="162">
                  <c:v>1.3048161958618101</c:v>
                </c:pt>
                <c:pt idx="163">
                  <c:v>1.3047347721932601</c:v>
                </c:pt>
                <c:pt idx="164">
                  <c:v>1.30468908542384</c:v>
                </c:pt>
                <c:pt idx="165">
                  <c:v>1.30476096162114</c:v>
                </c:pt>
                <c:pt idx="166">
                  <c:v>1.3047649300926001</c:v>
                </c:pt>
                <c:pt idx="167">
                  <c:v>1.30465105274937</c:v>
                </c:pt>
                <c:pt idx="168">
                  <c:v>1.3046600885088899</c:v>
                </c:pt>
                <c:pt idx="169">
                  <c:v>1.30457433210034</c:v>
                </c:pt>
                <c:pt idx="170">
                  <c:v>1.3045063132207899</c:v>
                </c:pt>
                <c:pt idx="171">
                  <c:v>1.30462225568644</c:v>
                </c:pt>
                <c:pt idx="172">
                  <c:v>1.3045525831828799</c:v>
                </c:pt>
                <c:pt idx="173">
                  <c:v>1.3044816557530801</c:v>
                </c:pt>
                <c:pt idx="174">
                  <c:v>1.30449341265671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353-4F47-A42E-A5AA13BEFDB5}"/>
            </c:ext>
          </c:extLst>
        </c:ser>
        <c:ser>
          <c:idx val="2"/>
          <c:order val="2"/>
          <c:tx>
            <c:strRef>
              <c:f>Sheet1!$AA$1</c:f>
              <c:strCache>
                <c:ptCount val="1"/>
                <c:pt idx="0">
                  <c:v> IBDV*/BSCU* 20 dma 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Sheet1!$AA$2:$AA$176</c:f>
              <c:numCache>
                <c:formatCode>_(* #,##0.0000_);_(* \(#,##0.0000\);_(* "-"??_);_(@_)</c:formatCode>
                <c:ptCount val="175"/>
                <c:pt idx="19">
                  <c:v>1.30448079988046</c:v>
                </c:pt>
                <c:pt idx="20">
                  <c:v>1.30447190306287</c:v>
                </c:pt>
                <c:pt idx="21">
                  <c:v>1.3044694155073699</c:v>
                </c:pt>
                <c:pt idx="22">
                  <c:v>1.3044579210660601</c:v>
                </c:pt>
                <c:pt idx="23">
                  <c:v>1.3044810706455401</c:v>
                </c:pt>
                <c:pt idx="24">
                  <c:v>1.3045245961665599</c:v>
                </c:pt>
                <c:pt idx="25">
                  <c:v>1.3044914614054199</c:v>
                </c:pt>
                <c:pt idx="26">
                  <c:v>1.3044786999834701</c:v>
                </c:pt>
                <c:pt idx="27">
                  <c:v>1.30453123997639</c:v>
                </c:pt>
                <c:pt idx="28">
                  <c:v>1.30457471227025</c:v>
                </c:pt>
                <c:pt idx="29">
                  <c:v>1.30458477556859</c:v>
                </c:pt>
                <c:pt idx="30">
                  <c:v>1.3046446530404501</c:v>
                </c:pt>
                <c:pt idx="31">
                  <c:v>1.3046283651174599</c:v>
                </c:pt>
                <c:pt idx="32">
                  <c:v>1.3046387595258999</c:v>
                </c:pt>
                <c:pt idx="33">
                  <c:v>1.3046109965050601</c:v>
                </c:pt>
                <c:pt idx="34">
                  <c:v>1.3045872922974899</c:v>
                </c:pt>
                <c:pt idx="35">
                  <c:v>1.3046103047781601</c:v>
                </c:pt>
                <c:pt idx="36">
                  <c:v>1.3045632532795399</c:v>
                </c:pt>
                <c:pt idx="37">
                  <c:v>1.30459555192206</c:v>
                </c:pt>
                <c:pt idx="38">
                  <c:v>1.30459850546255</c:v>
                </c:pt>
                <c:pt idx="39">
                  <c:v>1.30463064427936</c:v>
                </c:pt>
                <c:pt idx="40">
                  <c:v>1.3046179572018399</c:v>
                </c:pt>
                <c:pt idx="41">
                  <c:v>1.3046052038596401</c:v>
                </c:pt>
                <c:pt idx="42">
                  <c:v>1.3045807990573</c:v>
                </c:pt>
                <c:pt idx="43">
                  <c:v>1.3045986670108101</c:v>
                </c:pt>
                <c:pt idx="44">
                  <c:v>1.30460997742163</c:v>
                </c:pt>
                <c:pt idx="45">
                  <c:v>1.30464573304401</c:v>
                </c:pt>
                <c:pt idx="46">
                  <c:v>1.3046675046460501</c:v>
                </c:pt>
                <c:pt idx="47">
                  <c:v>1.30467294643976</c:v>
                </c:pt>
                <c:pt idx="48">
                  <c:v>1.3046940068128501</c:v>
                </c:pt>
                <c:pt idx="49">
                  <c:v>1.30468534958656</c:v>
                </c:pt>
                <c:pt idx="50">
                  <c:v>1.3046229779026</c:v>
                </c:pt>
                <c:pt idx="51">
                  <c:v>1.3046522737564299</c:v>
                </c:pt>
                <c:pt idx="52">
                  <c:v>1.30466387064747</c:v>
                </c:pt>
                <c:pt idx="53">
                  <c:v>1.3047356803772401</c:v>
                </c:pt>
                <c:pt idx="54">
                  <c:v>1.30468951658535</c:v>
                </c:pt>
                <c:pt idx="55">
                  <c:v>1.3046418698506601</c:v>
                </c:pt>
                <c:pt idx="56">
                  <c:v>1.30460765157782</c:v>
                </c:pt>
                <c:pt idx="57">
                  <c:v>1.3045750362991599</c:v>
                </c:pt>
                <c:pt idx="58">
                  <c:v>1.3045511688748199</c:v>
                </c:pt>
                <c:pt idx="59">
                  <c:v>1.30455971751765</c:v>
                </c:pt>
                <c:pt idx="60">
                  <c:v>1.30458474433139</c:v>
                </c:pt>
                <c:pt idx="61">
                  <c:v>1.3045973793577801</c:v>
                </c:pt>
                <c:pt idx="62">
                  <c:v>1.3045742002179701</c:v>
                </c:pt>
                <c:pt idx="63">
                  <c:v>1.3045215507771799</c:v>
                </c:pt>
                <c:pt idx="64">
                  <c:v>1.3044307311018</c:v>
                </c:pt>
                <c:pt idx="65">
                  <c:v>1.3044037327740201</c:v>
                </c:pt>
                <c:pt idx="66">
                  <c:v>1.30441127008438</c:v>
                </c:pt>
                <c:pt idx="67">
                  <c:v>1.30442377360267</c:v>
                </c:pt>
                <c:pt idx="68">
                  <c:v>1.30434387271403</c:v>
                </c:pt>
                <c:pt idx="69">
                  <c:v>1.30434102287397</c:v>
                </c:pt>
                <c:pt idx="70">
                  <c:v>1.3043421892151501</c:v>
                </c:pt>
                <c:pt idx="71">
                  <c:v>1.3043190456282601</c:v>
                </c:pt>
                <c:pt idx="72">
                  <c:v>1.30426909684909</c:v>
                </c:pt>
                <c:pt idx="73">
                  <c:v>1.3042258810362799</c:v>
                </c:pt>
                <c:pt idx="74">
                  <c:v>1.30421470906694</c:v>
                </c:pt>
                <c:pt idx="75">
                  <c:v>1.30418753135028</c:v>
                </c:pt>
                <c:pt idx="76">
                  <c:v>1.3042437898432</c:v>
                </c:pt>
                <c:pt idx="77">
                  <c:v>1.30426019182427</c:v>
                </c:pt>
                <c:pt idx="78">
                  <c:v>1.304265223374</c:v>
                </c:pt>
                <c:pt idx="79">
                  <c:v>1.30430337944145</c:v>
                </c:pt>
                <c:pt idx="80">
                  <c:v>1.30429295218184</c:v>
                </c:pt>
                <c:pt idx="81">
                  <c:v>1.30425913380275</c:v>
                </c:pt>
                <c:pt idx="82">
                  <c:v>1.3042827879560499</c:v>
                </c:pt>
                <c:pt idx="83">
                  <c:v>1.30431547455291</c:v>
                </c:pt>
                <c:pt idx="84">
                  <c:v>1.30436605247615</c:v>
                </c:pt>
                <c:pt idx="85">
                  <c:v>1.3043602882782499</c:v>
                </c:pt>
                <c:pt idx="86">
                  <c:v>1.3043403808859799</c:v>
                </c:pt>
                <c:pt idx="87">
                  <c:v>1.30429604718053</c:v>
                </c:pt>
                <c:pt idx="88">
                  <c:v>1.3043234672808599</c:v>
                </c:pt>
                <c:pt idx="89">
                  <c:v>1.3043279608410101</c:v>
                </c:pt>
                <c:pt idx="90">
                  <c:v>1.3042849699676999</c:v>
                </c:pt>
                <c:pt idx="91">
                  <c:v>1.3043098371100299</c:v>
                </c:pt>
                <c:pt idx="92">
                  <c:v>1.3043358009399599</c:v>
                </c:pt>
                <c:pt idx="93">
                  <c:v>1.30436179599976</c:v>
                </c:pt>
                <c:pt idx="94">
                  <c:v>1.3044169029752499</c:v>
                </c:pt>
                <c:pt idx="95">
                  <c:v>1.3044570166756499</c:v>
                </c:pt>
                <c:pt idx="96">
                  <c:v>1.30450898213023</c:v>
                </c:pt>
                <c:pt idx="97">
                  <c:v>1.30447215408687</c:v>
                </c:pt>
                <c:pt idx="98">
                  <c:v>1.3044788703689001</c:v>
                </c:pt>
                <c:pt idx="99">
                  <c:v>1.30447671337459</c:v>
                </c:pt>
                <c:pt idx="100">
                  <c:v>1.3045090501209</c:v>
                </c:pt>
                <c:pt idx="101">
                  <c:v>1.3046091676800899</c:v>
                </c:pt>
                <c:pt idx="102">
                  <c:v>1.3045973334864001</c:v>
                </c:pt>
                <c:pt idx="103">
                  <c:v>1.30457910059363</c:v>
                </c:pt>
                <c:pt idx="104">
                  <c:v>1.30455827452296</c:v>
                </c:pt>
                <c:pt idx="105">
                  <c:v>1.30462064085178</c:v>
                </c:pt>
                <c:pt idx="106">
                  <c:v>1.3046036512052599</c:v>
                </c:pt>
                <c:pt idx="107">
                  <c:v>1.30458411760633</c:v>
                </c:pt>
                <c:pt idx="108">
                  <c:v>1.3045992017433099</c:v>
                </c:pt>
                <c:pt idx="109">
                  <c:v>1.30454630795569</c:v>
                </c:pt>
                <c:pt idx="110">
                  <c:v>1.30455760900967</c:v>
                </c:pt>
                <c:pt idx="111">
                  <c:v>1.3045393761169</c:v>
                </c:pt>
                <c:pt idx="112">
                  <c:v>1.3045467964620701</c:v>
                </c:pt>
                <c:pt idx="113">
                  <c:v>1.3044870895813101</c:v>
                </c:pt>
                <c:pt idx="114">
                  <c:v>1.3045222568161901</c:v>
                </c:pt>
                <c:pt idx="115">
                  <c:v>1.3045546174218601</c:v>
                </c:pt>
                <c:pt idx="116">
                  <c:v>1.3044322287027501</c:v>
                </c:pt>
                <c:pt idx="117">
                  <c:v>1.3044754941438399</c:v>
                </c:pt>
                <c:pt idx="118">
                  <c:v>1.30445086657458</c:v>
                </c:pt>
                <c:pt idx="119">
                  <c:v>1.3044082054756201</c:v>
                </c:pt>
                <c:pt idx="120">
                  <c:v>1.30440394042071</c:v>
                </c:pt>
                <c:pt idx="121">
                  <c:v>1.3043409037376099</c:v>
                </c:pt>
                <c:pt idx="122">
                  <c:v>1.3043860952817701</c:v>
                </c:pt>
                <c:pt idx="123">
                  <c:v>1.30442260743535</c:v>
                </c:pt>
                <c:pt idx="124">
                  <c:v>1.30438502617426</c:v>
                </c:pt>
                <c:pt idx="125">
                  <c:v>1.3044060253766701</c:v>
                </c:pt>
                <c:pt idx="126">
                  <c:v>1.30438887739432</c:v>
                </c:pt>
                <c:pt idx="127">
                  <c:v>1.3043896231034999</c:v>
                </c:pt>
                <c:pt idx="128">
                  <c:v>1.3043698161303401</c:v>
                </c:pt>
                <c:pt idx="129">
                  <c:v>1.3043885118991101</c:v>
                </c:pt>
                <c:pt idx="130">
                  <c:v>1.30445584476795</c:v>
                </c:pt>
                <c:pt idx="131">
                  <c:v>1.3044988161435001</c:v>
                </c:pt>
                <c:pt idx="132">
                  <c:v>1.3044560969835799</c:v>
                </c:pt>
                <c:pt idx="133">
                  <c:v>1.3044900035111699</c:v>
                </c:pt>
                <c:pt idx="134">
                  <c:v>1.3044612481787301</c:v>
                </c:pt>
                <c:pt idx="135">
                  <c:v>1.30440339178689</c:v>
                </c:pt>
                <c:pt idx="136">
                  <c:v>1.30445907604072</c:v>
                </c:pt>
                <c:pt idx="137">
                  <c:v>1.3044147935002199</c:v>
                </c:pt>
                <c:pt idx="138">
                  <c:v>1.30445126764331</c:v>
                </c:pt>
                <c:pt idx="139">
                  <c:v>1.30447884514301</c:v>
                </c:pt>
                <c:pt idx="140">
                  <c:v>1.30443849839101</c:v>
                </c:pt>
                <c:pt idx="141">
                  <c:v>1.3044570527463999</c:v>
                </c:pt>
                <c:pt idx="142">
                  <c:v>1.3044578204388</c:v>
                </c:pt>
                <c:pt idx="143">
                  <c:v>1.3044582280255199</c:v>
                </c:pt>
                <c:pt idx="144">
                  <c:v>1.3045032941430901</c:v>
                </c:pt>
                <c:pt idx="145">
                  <c:v>1.3044311155079999</c:v>
                </c:pt>
                <c:pt idx="146">
                  <c:v>1.3044726360802601</c:v>
                </c:pt>
                <c:pt idx="147">
                  <c:v>1.3044783771508801</c:v>
                </c:pt>
                <c:pt idx="148">
                  <c:v>1.30447898550924</c:v>
                </c:pt>
                <c:pt idx="149">
                  <c:v>1.3045320031316601</c:v>
                </c:pt>
                <c:pt idx="150">
                  <c:v>1.30447873318478</c:v>
                </c:pt>
                <c:pt idx="151">
                  <c:v>1.3044524331821801</c:v>
                </c:pt>
                <c:pt idx="152">
                  <c:v>1.3045501721010999</c:v>
                </c:pt>
                <c:pt idx="153">
                  <c:v>1.3046120528890901</c:v>
                </c:pt>
                <c:pt idx="154">
                  <c:v>1.30466249776962</c:v>
                </c:pt>
                <c:pt idx="155">
                  <c:v>1.3046423048585301</c:v>
                </c:pt>
                <c:pt idx="156">
                  <c:v>1.3046335539123901</c:v>
                </c:pt>
                <c:pt idx="157">
                  <c:v>1.30467730658351</c:v>
                </c:pt>
                <c:pt idx="158">
                  <c:v>1.3046736184817</c:v>
                </c:pt>
                <c:pt idx="159">
                  <c:v>1.3046763176712799</c:v>
                </c:pt>
                <c:pt idx="160">
                  <c:v>1.30472662665851</c:v>
                </c:pt>
                <c:pt idx="161">
                  <c:v>1.3046618887152699</c:v>
                </c:pt>
                <c:pt idx="162">
                  <c:v>1.3046939900960199</c:v>
                </c:pt>
                <c:pt idx="163">
                  <c:v>1.30468535396475</c:v>
                </c:pt>
                <c:pt idx="164">
                  <c:v>1.3046946713977801</c:v>
                </c:pt>
                <c:pt idx="165">
                  <c:v>1.3047331963730799</c:v>
                </c:pt>
                <c:pt idx="166">
                  <c:v>1.3047351806088101</c:v>
                </c:pt>
                <c:pt idx="167">
                  <c:v>1.3047075981668199</c:v>
                </c:pt>
                <c:pt idx="168">
                  <c:v>1.30472361346777</c:v>
                </c:pt>
                <c:pt idx="169">
                  <c:v>1.3046692724355999</c:v>
                </c:pt>
                <c:pt idx="170">
                  <c:v>1.30468526734978</c:v>
                </c:pt>
                <c:pt idx="171">
                  <c:v>1.3046987490066999</c:v>
                </c:pt>
                <c:pt idx="172">
                  <c:v>1.3046843895223399</c:v>
                </c:pt>
                <c:pt idx="173">
                  <c:v>1.3046082139731701</c:v>
                </c:pt>
                <c:pt idx="174">
                  <c:v>1.30459124904028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353-4F47-A42E-A5AA13BEF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79547712"/>
        <c:axId val="205325072"/>
      </c:lineChart>
      <c:catAx>
        <c:axId val="167954771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325072"/>
        <c:crosses val="autoZero"/>
        <c:auto val="1"/>
        <c:lblAlgn val="ctr"/>
        <c:lblOffset val="100"/>
        <c:noMultiLvlLbl val="0"/>
      </c:catAx>
      <c:valAx>
        <c:axId val="205325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00_);_(* \(#,##0.00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95477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Sheet1!$U$1</c:f>
              <c:strCache>
                <c:ptCount val="1"/>
                <c:pt idx="0">
                  <c:v>log diff BSCU x avg / IBDV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Sheet1!$U$2:$U$176</c:f>
              <c:numCache>
                <c:formatCode>0.0000%</c:formatCode>
                <c:ptCount val="175"/>
                <c:pt idx="1">
                  <c:v>1.4061238403746399E-3</c:v>
                </c:pt>
                <c:pt idx="2">
                  <c:v>8.1597923782374202E-4</c:v>
                </c:pt>
                <c:pt idx="3">
                  <c:v>1.7209566751529299E-3</c:v>
                </c:pt>
                <c:pt idx="4">
                  <c:v>1.3074339684027701E-3</c:v>
                </c:pt>
                <c:pt idx="5">
                  <c:v>1.44541879270266E-3</c:v>
                </c:pt>
                <c:pt idx="6">
                  <c:v>1.3074339684027701E-3</c:v>
                </c:pt>
                <c:pt idx="7">
                  <c:v>1.7209566751529299E-3</c:v>
                </c:pt>
                <c:pt idx="8">
                  <c:v>1.54373859289331E-3</c:v>
                </c:pt>
                <c:pt idx="9">
                  <c:v>1.1304635962882401E-3</c:v>
                </c:pt>
                <c:pt idx="10">
                  <c:v>1.44541879270266E-3</c:v>
                </c:pt>
                <c:pt idx="11">
                  <c:v>-2.0738677282669802E-3</c:v>
                </c:pt>
                <c:pt idx="12">
                  <c:v>-2.10698281166546E-3</c:v>
                </c:pt>
                <c:pt idx="13">
                  <c:v>-2.10698281166546E-3</c:v>
                </c:pt>
                <c:pt idx="14">
                  <c:v>-2.4198359908785901E-3</c:v>
                </c:pt>
                <c:pt idx="15">
                  <c:v>-2.87242708255998E-3</c:v>
                </c:pt>
                <c:pt idx="16">
                  <c:v>-3.1844026030529199E-3</c:v>
                </c:pt>
                <c:pt idx="17">
                  <c:v>-2.2798344726259702E-3</c:v>
                </c:pt>
                <c:pt idx="18">
                  <c:v>-2.4522472506603101E-3</c:v>
                </c:pt>
                <c:pt idx="19">
                  <c:v>-1.72128821914317E-3</c:v>
                </c:pt>
                <c:pt idx="20">
                  <c:v>1.62292252758419E-3</c:v>
                </c:pt>
                <c:pt idx="21">
                  <c:v>1.48485488872702E-3</c:v>
                </c:pt>
                <c:pt idx="22">
                  <c:v>1.0310314182653199E-3</c:v>
                </c:pt>
                <c:pt idx="23">
                  <c:v>1.4061238403746399E-3</c:v>
                </c:pt>
                <c:pt idx="24">
                  <c:v>6.7787250460692899E-4</c:v>
                </c:pt>
                <c:pt idx="25">
                  <c:v>1.99592037767236E-3</c:v>
                </c:pt>
                <c:pt idx="26">
                  <c:v>1.54373859289331E-3</c:v>
                </c:pt>
                <c:pt idx="27">
                  <c:v>9.5394205559550102E-4</c:v>
                </c:pt>
                <c:pt idx="28">
                  <c:v>9.1560388738855898E-4</c:v>
                </c:pt>
                <c:pt idx="29">
                  <c:v>1.0147701221622999E-3</c:v>
                </c:pt>
                <c:pt idx="30">
                  <c:v>5.6462381701438496E-4</c:v>
                </c:pt>
                <c:pt idx="31">
                  <c:v>1.9156710839958E-3</c:v>
                </c:pt>
                <c:pt idx="32">
                  <c:v>1.4651191502645E-3</c:v>
                </c:pt>
                <c:pt idx="33">
                  <c:v>2.0524906796334699E-3</c:v>
                </c:pt>
                <c:pt idx="34">
                  <c:v>-1.9603796727628402E-3</c:v>
                </c:pt>
                <c:pt idx="35">
                  <c:v>-3.1375428457776E-3</c:v>
                </c:pt>
                <c:pt idx="36">
                  <c:v>-2.3774200820786602E-3</c:v>
                </c:pt>
                <c:pt idx="37">
                  <c:v>-2.6880036159099398E-3</c:v>
                </c:pt>
                <c:pt idx="38">
                  <c:v>-2.4097169079124901E-3</c:v>
                </c:pt>
                <c:pt idx="39">
                  <c:v>1.54373859289331E-3</c:v>
                </c:pt>
                <c:pt idx="40">
                  <c:v>1.85851018602225E-3</c:v>
                </c:pt>
                <c:pt idx="41">
                  <c:v>1.7209566751529299E-3</c:v>
                </c:pt>
                <c:pt idx="42">
                  <c:v>1.44541879270266E-3</c:v>
                </c:pt>
                <c:pt idx="43">
                  <c:v>1.1693049194428701E-3</c:v>
                </c:pt>
                <c:pt idx="44">
                  <c:v>5.3962162932187695E-4</c:v>
                </c:pt>
                <c:pt idx="45">
                  <c:v>1.48485488872702E-3</c:v>
                </c:pt>
                <c:pt idx="46">
                  <c:v>1.2474073009320599E-3</c:v>
                </c:pt>
                <c:pt idx="47">
                  <c:v>9.0806040595329499E-4</c:v>
                </c:pt>
                <c:pt idx="48">
                  <c:v>6.2864900529868305E-4</c:v>
                </c:pt>
                <c:pt idx="49">
                  <c:v>1.1868831646074001E-3</c:v>
                </c:pt>
                <c:pt idx="50">
                  <c:v>1.56415356480452E-3</c:v>
                </c:pt>
                <c:pt idx="51">
                  <c:v>1.5048971888148399E-3</c:v>
                </c:pt>
                <c:pt idx="52">
                  <c:v>1.3260743875588301E-3</c:v>
                </c:pt>
                <c:pt idx="53">
                  <c:v>9.85905052199619E-4</c:v>
                </c:pt>
                <c:pt idx="54">
                  <c:v>-1.3071480048383901E-3</c:v>
                </c:pt>
                <c:pt idx="55">
                  <c:v>-2.4734286801957502E-3</c:v>
                </c:pt>
                <c:pt idx="56">
                  <c:v>-1.90648874798145E-3</c:v>
                </c:pt>
                <c:pt idx="57">
                  <c:v>-2.2651059801113002E-3</c:v>
                </c:pt>
                <c:pt idx="58">
                  <c:v>-2.12281402257049E-3</c:v>
                </c:pt>
                <c:pt idx="59">
                  <c:v>-2.3314684853203999E-3</c:v>
                </c:pt>
                <c:pt idx="60">
                  <c:v>-2.2560189949457502E-3</c:v>
                </c:pt>
                <c:pt idx="61">
                  <c:v>1.5448194770780401E-3</c:v>
                </c:pt>
                <c:pt idx="62">
                  <c:v>1.8233922776414199E-3</c:v>
                </c:pt>
                <c:pt idx="63">
                  <c:v>2.0032196684653201E-3</c:v>
                </c:pt>
                <c:pt idx="64">
                  <c:v>1.9624583956081398E-3</c:v>
                </c:pt>
                <c:pt idx="65">
                  <c:v>1.92184443794815E-3</c:v>
                </c:pt>
                <c:pt idx="66">
                  <c:v>1.14770921266859E-3</c:v>
                </c:pt>
                <c:pt idx="67">
                  <c:v>7.2994918361621395E-4</c:v>
                </c:pt>
                <c:pt idx="68">
                  <c:v>1.8813769982753601E-3</c:v>
                </c:pt>
                <c:pt idx="69">
                  <c:v>1.2474073009320599E-3</c:v>
                </c:pt>
                <c:pt idx="70">
                  <c:v>1.56415356480452E-3</c:v>
                </c:pt>
                <c:pt idx="71">
                  <c:v>1.8813769982753601E-3</c:v>
                </c:pt>
                <c:pt idx="72">
                  <c:v>2.1173768744773601E-3</c:v>
                </c:pt>
                <c:pt idx="73">
                  <c:v>-2.0406332741862401E-3</c:v>
                </c:pt>
                <c:pt idx="74">
                  <c:v>-1.0957017114091199E-3</c:v>
                </c:pt>
                <c:pt idx="75">
                  <c:v>-2.0072788027926001E-3</c:v>
                </c:pt>
                <c:pt idx="76">
                  <c:v>-2.7449116927385402E-3</c:v>
                </c:pt>
                <c:pt idx="77">
                  <c:v>-2.4627559229421698E-3</c:v>
                </c:pt>
                <c:pt idx="78">
                  <c:v>-2.1480749098768698E-3</c:v>
                </c:pt>
                <c:pt idx="79">
                  <c:v>-2.8862124851973701E-3</c:v>
                </c:pt>
                <c:pt idx="80">
                  <c:v>-2.0814784424127799E-3</c:v>
                </c:pt>
                <c:pt idx="81">
                  <c:v>-1.65811165276872E-3</c:v>
                </c:pt>
                <c:pt idx="82">
                  <c:v>1.5448194770780401E-3</c:v>
                </c:pt>
                <c:pt idx="83">
                  <c:v>1.5848868011652799E-3</c:v>
                </c:pt>
                <c:pt idx="84">
                  <c:v>1.2656576955293801E-3</c:v>
                </c:pt>
                <c:pt idx="85">
                  <c:v>2.1013779699953598E-3</c:v>
                </c:pt>
                <c:pt idx="86">
                  <c:v>1.5448194770780401E-3</c:v>
                </c:pt>
                <c:pt idx="87">
                  <c:v>1.5048971888148399E-3</c:v>
                </c:pt>
                <c:pt idx="88">
                  <c:v>1.5448194770780401E-3</c:v>
                </c:pt>
                <c:pt idx="89">
                  <c:v>1.2656576955293801E-3</c:v>
                </c:pt>
                <c:pt idx="90">
                  <c:v>2.3227435832973999E-3</c:v>
                </c:pt>
                <c:pt idx="91">
                  <c:v>1.5848868011652799E-3</c:v>
                </c:pt>
                <c:pt idx="92">
                  <c:v>1.80551741952236E-3</c:v>
                </c:pt>
                <c:pt idx="93">
                  <c:v>-2.55014422467201E-3</c:v>
                </c:pt>
                <c:pt idx="94">
                  <c:v>-2.05547996968331E-3</c:v>
                </c:pt>
                <c:pt idx="95">
                  <c:v>-2.72540518271499E-3</c:v>
                </c:pt>
                <c:pt idx="96">
                  <c:v>-3.64536844906978E-3</c:v>
                </c:pt>
                <c:pt idx="97">
                  <c:v>-1.98067318458966E-3</c:v>
                </c:pt>
                <c:pt idx="98">
                  <c:v>-2.3314684853203999E-3</c:v>
                </c:pt>
                <c:pt idx="99">
                  <c:v>-2.9322495187106201E-3</c:v>
                </c:pt>
                <c:pt idx="100">
                  <c:v>-2.6480587829579901E-3</c:v>
                </c:pt>
                <c:pt idx="101">
                  <c:v>-3.2798009345214201E-3</c:v>
                </c:pt>
                <c:pt idx="102">
                  <c:v>1.6250999529098299E-3</c:v>
                </c:pt>
                <c:pt idx="103">
                  <c:v>1.7649242791779899E-3</c:v>
                </c:pt>
                <c:pt idx="104">
                  <c:v>1.4851273536285699E-3</c:v>
                </c:pt>
                <c:pt idx="105">
                  <c:v>1.0250399289035801E-3</c:v>
                </c:pt>
                <c:pt idx="106">
                  <c:v>1.7059669356290299E-3</c:v>
                </c:pt>
                <c:pt idx="107">
                  <c:v>1.7059669356290299E-3</c:v>
                </c:pt>
                <c:pt idx="108">
                  <c:v>1.20473638613222E-3</c:v>
                </c:pt>
                <c:pt idx="109">
                  <c:v>1.9864015166609298E-3</c:v>
                </c:pt>
                <c:pt idx="110">
                  <c:v>2.0441290595236599E-3</c:v>
                </c:pt>
                <c:pt idx="111">
                  <c:v>1.7649242791779899E-3</c:v>
                </c:pt>
                <c:pt idx="112">
                  <c:v>1.5848868011652799E-3</c:v>
                </c:pt>
                <c:pt idx="113">
                  <c:v>2.1835099857581402E-3</c:v>
                </c:pt>
                <c:pt idx="114">
                  <c:v>1.20473638613222E-3</c:v>
                </c:pt>
                <c:pt idx="115">
                  <c:v>5.6516408727376195E-4</c:v>
                </c:pt>
                <c:pt idx="116">
                  <c:v>-1.8045948045772001E-3</c:v>
                </c:pt>
                <c:pt idx="117">
                  <c:v>-2.72540518271499E-3</c:v>
                </c:pt>
                <c:pt idx="118">
                  <c:v>-2.0143972284817199E-3</c:v>
                </c:pt>
                <c:pt idx="119">
                  <c:v>-2.3314684853203999E-3</c:v>
                </c:pt>
                <c:pt idx="120">
                  <c:v>-2.6480587829579901E-3</c:v>
                </c:pt>
                <c:pt idx="121">
                  <c:v>-2.3644690628332999E-3</c:v>
                </c:pt>
                <c:pt idx="122">
                  <c:v>-2.9322495187106201E-3</c:v>
                </c:pt>
                <c:pt idx="123">
                  <c:v>1.06431754169254E-3</c:v>
                </c:pt>
                <c:pt idx="124">
                  <c:v>1.94542655623216E-3</c:v>
                </c:pt>
                <c:pt idx="125">
                  <c:v>5.6516408727376195E-4</c:v>
                </c:pt>
                <c:pt idx="126">
                  <c:v>1.84625876230462E-3</c:v>
                </c:pt>
                <c:pt idx="127">
                  <c:v>1.56552579726903E-3</c:v>
                </c:pt>
                <c:pt idx="128">
                  <c:v>1.38489773912701E-3</c:v>
                </c:pt>
                <c:pt idx="129">
                  <c:v>1.56552579726903E-3</c:v>
                </c:pt>
                <c:pt idx="130">
                  <c:v>8.6107201622281199E-4</c:v>
                </c:pt>
                <c:pt idx="131">
                  <c:v>9.6293463712463195E-4</c:v>
                </c:pt>
                <c:pt idx="132">
                  <c:v>2.1263954375497101E-3</c:v>
                </c:pt>
                <c:pt idx="133">
                  <c:v>1.5252532493234001E-3</c:v>
                </c:pt>
                <c:pt idx="134">
                  <c:v>1.5252532493234001E-3</c:v>
                </c:pt>
                <c:pt idx="135">
                  <c:v>-2.5172670940290499E-3</c:v>
                </c:pt>
                <c:pt idx="136">
                  <c:v>-2.8034010021785998E-3</c:v>
                </c:pt>
                <c:pt idx="137">
                  <c:v>-2.1646489003142198E-3</c:v>
                </c:pt>
                <c:pt idx="138">
                  <c:v>-2.7382659086022899E-3</c:v>
                </c:pt>
                <c:pt idx="139">
                  <c:v>-2.91443516212004E-3</c:v>
                </c:pt>
                <c:pt idx="140">
                  <c:v>-2.1646489003142198E-3</c:v>
                </c:pt>
                <c:pt idx="141">
                  <c:v>-2.8034010021785998E-3</c:v>
                </c:pt>
                <c:pt idx="142">
                  <c:v>-3.0901464212570802E-3</c:v>
                </c:pt>
                <c:pt idx="143">
                  <c:v>-2.8034010021785998E-3</c:v>
                </c:pt>
                <c:pt idx="144">
                  <c:v>-2.6275047289894102E-3</c:v>
                </c:pt>
                <c:pt idx="145">
                  <c:v>1.6465140777504399E-3</c:v>
                </c:pt>
                <c:pt idx="146">
                  <c:v>1.1433041106795501E-3</c:v>
                </c:pt>
                <c:pt idx="147">
                  <c:v>1.4249351073426001E-3</c:v>
                </c:pt>
                <c:pt idx="148">
                  <c:v>1.3241421796262899E-3</c:v>
                </c:pt>
                <c:pt idx="149">
                  <c:v>6.8087635677433899E-4</c:v>
                </c:pt>
                <c:pt idx="150">
                  <c:v>1.6465140777504399E-3</c:v>
                </c:pt>
                <c:pt idx="151">
                  <c:v>1.3241421796262899E-3</c:v>
                </c:pt>
                <c:pt idx="152">
                  <c:v>5.3962162932143297E-4</c:v>
                </c:pt>
                <c:pt idx="153">
                  <c:v>5.0114751277875996E-4</c:v>
                </c:pt>
                <c:pt idx="154">
                  <c:v>6.8087635677433899E-4</c:v>
                </c:pt>
                <c:pt idx="155">
                  <c:v>1.6059458029471199E-3</c:v>
                </c:pt>
                <c:pt idx="156">
                  <c:v>1.1433041106795501E-3</c:v>
                </c:pt>
                <c:pt idx="157">
                  <c:v>9.6293463712463195E-4</c:v>
                </c:pt>
                <c:pt idx="158">
                  <c:v>1.1433041106795501E-3</c:v>
                </c:pt>
                <c:pt idx="159">
                  <c:v>8.6107201622281199E-4</c:v>
                </c:pt>
                <c:pt idx="160">
                  <c:v>-3.0901464212570802E-3</c:v>
                </c:pt>
                <c:pt idx="161">
                  <c:v>-1.91285486650234E-3</c:v>
                </c:pt>
                <c:pt idx="162">
                  <c:v>-3.7271885967422999E-3</c:v>
                </c:pt>
                <c:pt idx="163">
                  <c:v>-2.8034010021785998E-3</c:v>
                </c:pt>
                <c:pt idx="164">
                  <c:v>-2.91443516212004E-3</c:v>
                </c:pt>
                <c:pt idx="165">
                  <c:v>-2.91443516212004E-3</c:v>
                </c:pt>
                <c:pt idx="166">
                  <c:v>1.0188807298456299E-3</c:v>
                </c:pt>
                <c:pt idx="167">
                  <c:v>1.7691167206252E-3</c:v>
                </c:pt>
                <c:pt idx="168">
                  <c:v>9.792104915301819E-4</c:v>
                </c:pt>
                <c:pt idx="169">
                  <c:v>1.44486824150448E-3</c:v>
                </c:pt>
                <c:pt idx="170">
                  <c:v>1.3030248920986201E-3</c:v>
                </c:pt>
                <c:pt idx="171">
                  <c:v>1.0188807298456299E-3</c:v>
                </c:pt>
                <c:pt idx="172">
                  <c:v>6.6984183186781304E-4</c:v>
                </c:pt>
                <c:pt idx="173">
                  <c:v>1.60792820460133E-3</c:v>
                </c:pt>
                <c:pt idx="174">
                  <c:v>8.5256170385166396E-4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B1E-49E4-80F4-E5A4F5E7977C}"/>
            </c:ext>
          </c:extLst>
        </c:ser>
        <c:ser>
          <c:idx val="1"/>
          <c:order val="1"/>
          <c:tx>
            <c:strRef>
              <c:f>Sheet1!$V$1</c:f>
              <c:strCache>
                <c:ptCount val="1"/>
                <c:pt idx="0">
                  <c:v>log diff BSCU x 10 dma / IBDV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Sheet1!$V$2:$V$176</c:f>
              <c:numCache>
                <c:formatCode>0.0000%</c:formatCode>
                <c:ptCount val="175"/>
                <c:pt idx="10">
                  <c:v>6.1059344790262895E-5</c:v>
                </c:pt>
                <c:pt idx="11">
                  <c:v>-3.4582271761793202E-3</c:v>
                </c:pt>
                <c:pt idx="12">
                  <c:v>-3.1428052158323002E-3</c:v>
                </c:pt>
                <c:pt idx="13">
                  <c:v>-2.8500599026946198E-3</c:v>
                </c:pt>
                <c:pt idx="14">
                  <c:v>-2.77983378612173E-3</c:v>
                </c:pt>
                <c:pt idx="15">
                  <c:v>-2.8594255902923398E-3</c:v>
                </c:pt>
                <c:pt idx="16">
                  <c:v>-2.7394069383103602E-3</c:v>
                </c:pt>
                <c:pt idx="17">
                  <c:v>-1.3855340037073E-3</c:v>
                </c:pt>
                <c:pt idx="18">
                  <c:v>-1.15819323006403E-3</c:v>
                </c:pt>
                <c:pt idx="19">
                  <c:v>-2.8050474871565001E-5</c:v>
                </c:pt>
                <c:pt idx="20">
                  <c:v>3.6008966619958901E-3</c:v>
                </c:pt>
                <c:pt idx="21">
                  <c:v>3.44514072572337E-3</c:v>
                </c:pt>
                <c:pt idx="22">
                  <c:v>2.63597399036666E-3</c:v>
                </c:pt>
                <c:pt idx="23">
                  <c:v>2.6975503570140702E-3</c:v>
                </c:pt>
                <c:pt idx="24">
                  <c:v>1.61825699431215E-3</c:v>
                </c:pt>
                <c:pt idx="25">
                  <c:v>2.62650740990802E-3</c:v>
                </c:pt>
                <c:pt idx="26">
                  <c:v>1.68746552700026E-3</c:v>
                </c:pt>
                <c:pt idx="27">
                  <c:v>6.2442244923413396E-4</c:v>
                </c:pt>
                <c:pt idx="28">
                  <c:v>2.62332984786628E-4</c:v>
                </c:pt>
                <c:pt idx="29">
                  <c:v>2.4177948250294501E-5</c:v>
                </c:pt>
                <c:pt idx="30">
                  <c:v>-6.9997974688026997E-4</c:v>
                </c:pt>
                <c:pt idx="31">
                  <c:v>7.5690987510061702E-4</c:v>
                </c:pt>
                <c:pt idx="32">
                  <c:v>2.6329871693297699E-4</c:v>
                </c:pt>
                <c:pt idx="33">
                  <c:v>8.0726253848011195E-4</c:v>
                </c:pt>
                <c:pt idx="34">
                  <c:v>-3.2702153042887599E-3</c:v>
                </c:pt>
                <c:pt idx="35">
                  <c:v>-4.1830728656873702E-3</c:v>
                </c:pt>
                <c:pt idx="36">
                  <c:v>-2.9089049451472399E-3</c:v>
                </c:pt>
                <c:pt idx="37">
                  <c:v>-2.82707733346821E-3</c:v>
                </c:pt>
                <c:pt idx="38">
                  <c:v>-2.18429569101182E-3</c:v>
                </c:pt>
                <c:pt idx="39">
                  <c:v>2.1018102140517299E-3</c:v>
                </c:pt>
                <c:pt idx="40">
                  <c:v>2.3637806650587201E-3</c:v>
                </c:pt>
                <c:pt idx="41">
                  <c:v>2.0970521142240398E-3</c:v>
                </c:pt>
                <c:pt idx="42">
                  <c:v>1.84094280248911E-3</c:v>
                </c:pt>
                <c:pt idx="43">
                  <c:v>1.5667953202957801E-3</c:v>
                </c:pt>
                <c:pt idx="44">
                  <c:v>1.0252495248523001E-3</c:v>
                </c:pt>
                <c:pt idx="45">
                  <c:v>1.7203951254929201E-3</c:v>
                </c:pt>
                <c:pt idx="46">
                  <c:v>1.02032718651335E-3</c:v>
                </c:pt>
                <c:pt idx="47">
                  <c:v>3.1814430618420898E-4</c:v>
                </c:pt>
                <c:pt idx="48">
                  <c:v>-3.2147112745949802E-4</c:v>
                </c:pt>
                <c:pt idx="49">
                  <c:v>-6.7679787650360896E-5</c:v>
                </c:pt>
                <c:pt idx="50">
                  <c:v>3.4527156711062801E-4</c:v>
                </c:pt>
                <c:pt idx="51">
                  <c:v>3.1543592853545098E-4</c:v>
                </c:pt>
                <c:pt idx="52">
                  <c:v>1.5820969530706201E-4</c:v>
                </c:pt>
                <c:pt idx="53">
                  <c:v>-1.7002787072987701E-4</c:v>
                </c:pt>
                <c:pt idx="54">
                  <c:v>-2.44473967263012E-3</c:v>
                </c:pt>
                <c:pt idx="55">
                  <c:v>-3.4260792879171201E-3</c:v>
                </c:pt>
                <c:pt idx="56">
                  <c:v>-2.4628161329977201E-3</c:v>
                </c:pt>
                <c:pt idx="57">
                  <c:v>-2.5058139250774001E-3</c:v>
                </c:pt>
                <c:pt idx="58">
                  <c:v>-2.0459638013015898E-3</c:v>
                </c:pt>
                <c:pt idx="59">
                  <c:v>-1.97932529725134E-3</c:v>
                </c:pt>
                <c:pt idx="60">
                  <c:v>-1.5520249023109501E-3</c:v>
                </c:pt>
                <c:pt idx="61">
                  <c:v>2.63062139887312E-3</c:v>
                </c:pt>
                <c:pt idx="62">
                  <c:v>2.9052123714426599E-3</c:v>
                </c:pt>
                <c:pt idx="63">
                  <c:v>3.0354386824580498E-3</c:v>
                </c:pt>
                <c:pt idx="64">
                  <c:v>2.8931975233665299E-3</c:v>
                </c:pt>
                <c:pt idx="65">
                  <c:v>2.5259806379179799E-3</c:v>
                </c:pt>
                <c:pt idx="66">
                  <c:v>1.3123654824910901E-3</c:v>
                </c:pt>
                <c:pt idx="67">
                  <c:v>5.8907327753454305E-4</c:v>
                </c:pt>
                <c:pt idx="68">
                  <c:v>1.4406783107141601E-3</c:v>
                </c:pt>
                <c:pt idx="69">
                  <c:v>4.0598409899867999E-4</c:v>
                </c:pt>
                <c:pt idx="70">
                  <c:v>3.6428289478989702E-4</c:v>
                </c:pt>
                <c:pt idx="71">
                  <c:v>2.9882464611764999E-4</c:v>
                </c:pt>
                <c:pt idx="72">
                  <c:v>5.0117259715483896E-4</c:v>
                </c:pt>
                <c:pt idx="73">
                  <c:v>-3.6862260326239399E-3</c:v>
                </c:pt>
                <c:pt idx="74">
                  <c:v>-2.3363173352688501E-3</c:v>
                </c:pt>
                <c:pt idx="75">
                  <c:v>-2.9418781586866001E-3</c:v>
                </c:pt>
                <c:pt idx="76">
                  <c:v>-3.2862916050520499E-3</c:v>
                </c:pt>
                <c:pt idx="77">
                  <c:v>-2.6144274912946199E-3</c:v>
                </c:pt>
                <c:pt idx="78">
                  <c:v>-1.9802016848898801E-3</c:v>
                </c:pt>
                <c:pt idx="79">
                  <c:v>-2.3154888630706801E-3</c:v>
                </c:pt>
                <c:pt idx="80">
                  <c:v>-1.09737519322564E-3</c:v>
                </c:pt>
                <c:pt idx="81">
                  <c:v>-3.0977571501814499E-4</c:v>
                </c:pt>
                <c:pt idx="82">
                  <c:v>3.2465256446159701E-3</c:v>
                </c:pt>
                <c:pt idx="83">
                  <c:v>3.3436451652645001E-3</c:v>
                </c:pt>
                <c:pt idx="84">
                  <c:v>2.66235291773679E-3</c:v>
                </c:pt>
                <c:pt idx="85">
                  <c:v>3.2622590119742601E-3</c:v>
                </c:pt>
                <c:pt idx="86">
                  <c:v>2.29524632594417E-3</c:v>
                </c:pt>
                <c:pt idx="87">
                  <c:v>1.8263230885324699E-3</c:v>
                </c:pt>
                <c:pt idx="88">
                  <c:v>1.46933855140199E-3</c:v>
                </c:pt>
                <c:pt idx="89">
                  <c:v>8.2067957705653E-4</c:v>
                </c:pt>
                <c:pt idx="90">
                  <c:v>1.4619702242786099E-3</c:v>
                </c:pt>
                <c:pt idx="91">
                  <c:v>2.8326763001906E-4</c:v>
                </c:pt>
                <c:pt idx="92">
                  <c:v>1.79111244273764E-4</c:v>
                </c:pt>
                <c:pt idx="93">
                  <c:v>-4.2026192628373902E-3</c:v>
                </c:pt>
                <c:pt idx="94">
                  <c:v>-3.2936536295019099E-3</c:v>
                </c:pt>
                <c:pt idx="95">
                  <c:v>-3.6309774280607701E-3</c:v>
                </c:pt>
                <c:pt idx="96">
                  <c:v>-4.0677905856081201E-3</c:v>
                </c:pt>
                <c:pt idx="97">
                  <c:v>-1.8834460658303E-3</c:v>
                </c:pt>
                <c:pt idx="98">
                  <c:v>-1.88569587000213E-3</c:v>
                </c:pt>
                <c:pt idx="99">
                  <c:v>-2.09894329519818E-3</c:v>
                </c:pt>
                <c:pt idx="100">
                  <c:v>-1.3950496217127099E-3</c:v>
                </c:pt>
                <c:pt idx="101">
                  <c:v>-1.53037595700699E-3</c:v>
                </c:pt>
                <c:pt idx="102">
                  <c:v>3.8604375271925201E-3</c:v>
                </c:pt>
                <c:pt idx="103">
                  <c:v>4.0182323027270102E-3</c:v>
                </c:pt>
                <c:pt idx="104">
                  <c:v>3.30763757002664E-3</c:v>
                </c:pt>
                <c:pt idx="105">
                  <c:v>2.4939706178351102E-3</c:v>
                </c:pt>
                <c:pt idx="106">
                  <c:v>2.8000146201625801E-3</c:v>
                </c:pt>
                <c:pt idx="107">
                  <c:v>2.2648037815530698E-3</c:v>
                </c:pt>
                <c:pt idx="108">
                  <c:v>1.3949964484056699E-3</c:v>
                </c:pt>
                <c:pt idx="109">
                  <c:v>1.8228463597125199E-3</c:v>
                </c:pt>
                <c:pt idx="110">
                  <c:v>1.38827398163885E-3</c:v>
                </c:pt>
                <c:pt idx="111">
                  <c:v>6.39290014814376E-4</c:v>
                </c:pt>
                <c:pt idx="112">
                  <c:v>-4.6299143591038601E-5</c:v>
                </c:pt>
                <c:pt idx="113">
                  <c:v>5.5634545342071197E-4</c:v>
                </c:pt>
                <c:pt idx="114">
                  <c:v>-4.6427306804976598E-4</c:v>
                </c:pt>
                <c:pt idx="115">
                  <c:v>-1.0757975750945101E-3</c:v>
                </c:pt>
                <c:pt idx="116">
                  <c:v>-3.3995310260655398E-3</c:v>
                </c:pt>
                <c:pt idx="117">
                  <c:v>-3.9687691594031604E-3</c:v>
                </c:pt>
                <c:pt idx="118">
                  <c:v>-2.8139445935815798E-3</c:v>
                </c:pt>
                <c:pt idx="119">
                  <c:v>-2.8087663388787999E-3</c:v>
                </c:pt>
                <c:pt idx="120">
                  <c:v>-2.6933819352691702E-3</c:v>
                </c:pt>
                <c:pt idx="121">
                  <c:v>-1.9405201433097001E-3</c:v>
                </c:pt>
                <c:pt idx="122">
                  <c:v>-2.09549746076051E-3</c:v>
                </c:pt>
                <c:pt idx="123">
                  <c:v>2.3526080015474301E-3</c:v>
                </c:pt>
                <c:pt idx="124">
                  <c:v>3.3453045826268399E-3</c:v>
                </c:pt>
                <c:pt idx="125">
                  <c:v>1.89119039287978E-3</c:v>
                </c:pt>
                <c:pt idx="126">
                  <c:v>3.17228506791069E-3</c:v>
                </c:pt>
                <c:pt idx="127">
                  <c:v>2.5268914503387501E-3</c:v>
                </c:pt>
                <c:pt idx="128">
                  <c:v>1.9172415844771701E-3</c:v>
                </c:pt>
                <c:pt idx="129">
                  <c:v>1.75795617679861E-3</c:v>
                </c:pt>
                <c:pt idx="130">
                  <c:v>6.6365247847065397E-4</c:v>
                </c:pt>
                <c:pt idx="131">
                  <c:v>4.1415709571699901E-4</c:v>
                </c:pt>
                <c:pt idx="132">
                  <c:v>1.2444058296242201E-3</c:v>
                </c:pt>
                <c:pt idx="133">
                  <c:v>1.3661987193530099E-4</c:v>
                </c:pt>
                <c:pt idx="134">
                  <c:v>9.0520912231609906E-5</c:v>
                </c:pt>
                <c:pt idx="135">
                  <c:v>-3.9099956111231403E-3</c:v>
                </c:pt>
                <c:pt idx="136">
                  <c:v>-3.88720297592358E-3</c:v>
                </c:pt>
                <c:pt idx="137">
                  <c:v>-2.7828658615166599E-3</c:v>
                </c:pt>
                <c:pt idx="138">
                  <c:v>-2.9831923605937202E-3</c:v>
                </c:pt>
                <c:pt idx="139">
                  <c:v>-2.7467499226527699E-3</c:v>
                </c:pt>
                <c:pt idx="140">
                  <c:v>-1.5488405239854001E-3</c:v>
                </c:pt>
                <c:pt idx="141">
                  <c:v>-1.88505530104569E-3</c:v>
                </c:pt>
                <c:pt idx="142">
                  <c:v>-1.79523713166191E-3</c:v>
                </c:pt>
                <c:pt idx="143">
                  <c:v>-9.8739667942791191E-4</c:v>
                </c:pt>
                <c:pt idx="144">
                  <c:v>-3.7923723554769798E-4</c:v>
                </c:pt>
                <c:pt idx="145">
                  <c:v>4.3092675715491399E-3</c:v>
                </c:pt>
                <c:pt idx="146">
                  <c:v>3.3905192620201801E-3</c:v>
                </c:pt>
                <c:pt idx="147">
                  <c:v>3.2779607268999299E-3</c:v>
                </c:pt>
                <c:pt idx="148">
                  <c:v>2.8186769570735298E-3</c:v>
                </c:pt>
                <c:pt idx="149">
                  <c:v>1.7694074156266099E-3</c:v>
                </c:pt>
                <c:pt idx="150">
                  <c:v>2.37543898422063E-3</c:v>
                </c:pt>
                <c:pt idx="151">
                  <c:v>1.6720570109097601E-3</c:v>
                </c:pt>
                <c:pt idx="152">
                  <c:v>4.74534862337012E-4</c:v>
                </c:pt>
                <c:pt idx="153">
                  <c:v>7.2530830360235796E-5</c:v>
                </c:pt>
                <c:pt idx="154">
                  <c:v>-7.8772559296201296E-5</c:v>
                </c:pt>
                <c:pt idx="155">
                  <c:v>5.1482987073281101E-4</c:v>
                </c:pt>
                <c:pt idx="156">
                  <c:v>5.6242827441099899E-5</c:v>
                </c:pt>
                <c:pt idx="157">
                  <c:v>-1.2412664611375401E-4</c:v>
                </c:pt>
                <c:pt idx="158">
                  <c:v>1.02436870611758E-4</c:v>
                </c:pt>
                <c:pt idx="159">
                  <c:v>-1.61715067605538E-4</c:v>
                </c:pt>
                <c:pt idx="160">
                  <c:v>-4.1309577716210398E-3</c:v>
                </c:pt>
                <c:pt idx="161">
                  <c:v>-2.4792766308670599E-3</c:v>
                </c:pt>
                <c:pt idx="162">
                  <c:v>-3.9696842312080599E-3</c:v>
                </c:pt>
                <c:pt idx="163">
                  <c:v>-2.6185224018955302E-3</c:v>
                </c:pt>
                <c:pt idx="164">
                  <c:v>-2.3988367979499302E-3</c:v>
                </c:pt>
                <c:pt idx="165">
                  <c:v>-2.0391539376437302E-3</c:v>
                </c:pt>
                <c:pt idx="166">
                  <c:v>2.3459984362371902E-3</c:v>
                </c:pt>
                <c:pt idx="167">
                  <c:v>3.1086467603607701E-3</c:v>
                </c:pt>
                <c:pt idx="168">
                  <c:v>2.2383369107105699E-3</c:v>
                </c:pt>
                <c:pt idx="169">
                  <c:v>2.7203658567345802E-3</c:v>
                </c:pt>
                <c:pt idx="170">
                  <c:v>2.5202827890979298E-3</c:v>
                </c:pt>
                <c:pt idx="171">
                  <c:v>1.7968668593052099E-3</c:v>
                </c:pt>
                <c:pt idx="172">
                  <c:v>1.1547083654969001E-3</c:v>
                </c:pt>
                <c:pt idx="173">
                  <c:v>1.6525352361238799E-3</c:v>
                </c:pt>
                <c:pt idx="174">
                  <c:v>4.5569395009368397E-4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B1E-49E4-80F4-E5A4F5E7977C}"/>
            </c:ext>
          </c:extLst>
        </c:ser>
        <c:ser>
          <c:idx val="2"/>
          <c:order val="2"/>
          <c:tx>
            <c:strRef>
              <c:f>Sheet1!$W$1</c:f>
              <c:strCache>
                <c:ptCount val="1"/>
                <c:pt idx="0">
                  <c:v>log diff BSCU x 20 dma / IBDV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Sheet1!$W$2:$W$176</c:f>
              <c:numCache>
                <c:formatCode>0.0000%</c:formatCode>
                <c:ptCount val="175"/>
                <c:pt idx="20">
                  <c:v>1.92114303105822E-3</c:v>
                </c:pt>
                <c:pt idx="21">
                  <c:v>1.7742164141275E-3</c:v>
                </c:pt>
                <c:pt idx="22">
                  <c:v>1.31646320693667E-3</c:v>
                </c:pt>
                <c:pt idx="23">
                  <c:v>1.6808159537067299E-3</c:v>
                </c:pt>
                <c:pt idx="24">
                  <c:v>9.6827722608391095E-4</c:v>
                </c:pt>
                <c:pt idx="25">
                  <c:v>2.3177623164107402E-3</c:v>
                </c:pt>
                <c:pt idx="26">
                  <c:v>1.8381112376739601E-3</c:v>
                </c:pt>
                <c:pt idx="27">
                  <c:v>1.23651970380965E-3</c:v>
                </c:pt>
                <c:pt idx="28">
                  <c:v>1.2364694556056201E-3</c:v>
                </c:pt>
                <c:pt idx="29">
                  <c:v>1.3669932749507099E-3</c:v>
                </c:pt>
                <c:pt idx="30">
                  <c:v>9.2262339046349695E-4</c:v>
                </c:pt>
                <c:pt idx="31">
                  <c:v>2.3176494543627E-3</c:v>
                </c:pt>
                <c:pt idx="32">
                  <c:v>1.6676649591473899E-3</c:v>
                </c:pt>
                <c:pt idx="33">
                  <c:v>2.0763941942676199E-3</c:v>
                </c:pt>
                <c:pt idx="34">
                  <c:v>-2.1444723074826402E-3</c:v>
                </c:pt>
                <c:pt idx="35">
                  <c:v>-3.3446631686092302E-3</c:v>
                </c:pt>
                <c:pt idx="36">
                  <c:v>-2.57124205768947E-3</c:v>
                </c:pt>
                <c:pt idx="37">
                  <c:v>-2.9222957441652499E-3</c:v>
                </c:pt>
                <c:pt idx="38">
                  <c:v>-2.62354523828616E-3</c:v>
                </c:pt>
                <c:pt idx="39">
                  <c:v>1.3277781114302901E-3</c:v>
                </c:pt>
                <c:pt idx="40">
                  <c:v>1.4792352003081401E-3</c:v>
                </c:pt>
                <c:pt idx="41">
                  <c:v>1.32991826332818E-3</c:v>
                </c:pt>
                <c:pt idx="42">
                  <c:v>1.0425895195546901E-3</c:v>
                </c:pt>
                <c:pt idx="43">
                  <c:v>7.4577336478073104E-4</c:v>
                </c:pt>
                <c:pt idx="44">
                  <c:v>1.2792072242936601E-4</c:v>
                </c:pt>
                <c:pt idx="45">
                  <c:v>1.0800651397666599E-3</c:v>
                </c:pt>
                <c:pt idx="46">
                  <c:v>8.6813639496984398E-4</c:v>
                </c:pt>
                <c:pt idx="47">
                  <c:v>5.4359090464596203E-4</c:v>
                </c:pt>
                <c:pt idx="48">
                  <c:v>2.66472284543097E-4</c:v>
                </c:pt>
                <c:pt idx="49">
                  <c:v>8.3904820451360495E-4</c:v>
                </c:pt>
                <c:pt idx="50">
                  <c:v>1.2077193931501499E-3</c:v>
                </c:pt>
                <c:pt idx="51">
                  <c:v>1.09852064915188E-3</c:v>
                </c:pt>
                <c:pt idx="52">
                  <c:v>9.4020956932413396E-4</c:v>
                </c:pt>
                <c:pt idx="53">
                  <c:v>6.0698543163402604E-4</c:v>
                </c:pt>
                <c:pt idx="54">
                  <c:v>-1.6328005357864499E-3</c:v>
                </c:pt>
                <c:pt idx="55">
                  <c:v>-2.8318073909984298E-3</c:v>
                </c:pt>
                <c:pt idx="56">
                  <c:v>-2.2981789472282599E-3</c:v>
                </c:pt>
                <c:pt idx="57">
                  <c:v>-2.68040275918694E-3</c:v>
                </c:pt>
                <c:pt idx="58">
                  <c:v>-2.5593171448074102E-3</c:v>
                </c:pt>
                <c:pt idx="59">
                  <c:v>-2.7823556793716599E-3</c:v>
                </c:pt>
                <c:pt idx="60">
                  <c:v>-2.5130007659890301E-3</c:v>
                </c:pt>
                <c:pt idx="61">
                  <c:v>1.4936369105146799E-3</c:v>
                </c:pt>
                <c:pt idx="62">
                  <c:v>1.78100261348726E-3</c:v>
                </c:pt>
                <c:pt idx="63">
                  <c:v>1.94196121499009E-3</c:v>
                </c:pt>
                <c:pt idx="64">
                  <c:v>1.8595668745310201E-3</c:v>
                </c:pt>
                <c:pt idx="65">
                  <c:v>1.74789018218729E-3</c:v>
                </c:pt>
                <c:pt idx="66">
                  <c:v>9.5193863224903703E-4</c:v>
                </c:pt>
                <c:pt idx="67">
                  <c:v>5.3915850389682604E-4</c:v>
                </c:pt>
                <c:pt idx="68">
                  <c:v>1.69948624723803E-3</c:v>
                </c:pt>
                <c:pt idx="69">
                  <c:v>1.0029453690802101E-3</c:v>
                </c:pt>
                <c:pt idx="70">
                  <c:v>1.3166683636758401E-3</c:v>
                </c:pt>
                <c:pt idx="71">
                  <c:v>1.6338917971464701E-3</c:v>
                </c:pt>
                <c:pt idx="72">
                  <c:v>1.85109469937925E-3</c:v>
                </c:pt>
                <c:pt idx="73">
                  <c:v>-2.34642381219035E-3</c:v>
                </c:pt>
                <c:pt idx="74">
                  <c:v>-1.2500506118936E-3</c:v>
                </c:pt>
                <c:pt idx="75">
                  <c:v>-2.1722144173949502E-3</c:v>
                </c:pt>
                <c:pt idx="76">
                  <c:v>-2.9332112030990799E-3</c:v>
                </c:pt>
                <c:pt idx="77">
                  <c:v>-2.6090296455910001E-3</c:v>
                </c:pt>
                <c:pt idx="78">
                  <c:v>-2.2844413461932298E-3</c:v>
                </c:pt>
                <c:pt idx="79">
                  <c:v>-3.0213130052897698E-3</c:v>
                </c:pt>
                <c:pt idx="80">
                  <c:v>-2.1887659351849001E-3</c:v>
                </c:pt>
                <c:pt idx="81">
                  <c:v>-1.7741460970854799E-3</c:v>
                </c:pt>
                <c:pt idx="82">
                  <c:v>1.5889464877697601E-3</c:v>
                </c:pt>
                <c:pt idx="83">
                  <c:v>1.642918304117E-3</c:v>
                </c:pt>
                <c:pt idx="84">
                  <c:v>1.3445669205135399E-3</c:v>
                </c:pt>
                <c:pt idx="85">
                  <c:v>2.21506769269968E-3</c:v>
                </c:pt>
                <c:pt idx="86">
                  <c:v>1.6495515409283899E-3</c:v>
                </c:pt>
                <c:pt idx="87">
                  <c:v>1.5898023321490101E-3</c:v>
                </c:pt>
                <c:pt idx="88">
                  <c:v>1.59102302938864E-3</c:v>
                </c:pt>
                <c:pt idx="89">
                  <c:v>1.3286594036038301E-3</c:v>
                </c:pt>
                <c:pt idx="90">
                  <c:v>2.3848339745337101E-3</c:v>
                </c:pt>
                <c:pt idx="91">
                  <c:v>1.6091229669704301E-3</c:v>
                </c:pt>
                <c:pt idx="92">
                  <c:v>1.8445519564988899E-3</c:v>
                </c:pt>
                <c:pt idx="93">
                  <c:v>-2.4955479982445802E-3</c:v>
                </c:pt>
                <c:pt idx="94">
                  <c:v>-1.9753513719867701E-3</c:v>
                </c:pt>
                <c:pt idx="95">
                  <c:v>-2.5972170058446999E-3</c:v>
                </c:pt>
                <c:pt idx="96">
                  <c:v>-3.4811941460730399E-3</c:v>
                </c:pt>
                <c:pt idx="97">
                  <c:v>-1.7713403922142801E-3</c:v>
                </c:pt>
                <c:pt idx="98">
                  <c:v>-2.14628867734299E-3</c:v>
                </c:pt>
                <c:pt idx="99">
                  <c:v>-2.7378812148473801E-3</c:v>
                </c:pt>
                <c:pt idx="100">
                  <c:v>-2.4513823723806599E-3</c:v>
                </c:pt>
                <c:pt idx="101">
                  <c:v>-3.0547344229889398E-3</c:v>
                </c:pt>
                <c:pt idx="102">
                  <c:v>1.9314297843668201E-3</c:v>
                </c:pt>
                <c:pt idx="103">
                  <c:v>2.06724766332341E-3</c:v>
                </c:pt>
                <c:pt idx="104">
                  <c:v>1.7784666046850299E-3</c:v>
                </c:pt>
                <c:pt idx="105">
                  <c:v>1.3074239335538599E-3</c:v>
                </c:pt>
                <c:pt idx="106">
                  <c:v>2.0420671696889199E-3</c:v>
                </c:pt>
                <c:pt idx="107">
                  <c:v>2.0340255534131999E-3</c:v>
                </c:pt>
                <c:pt idx="108">
                  <c:v>1.52276088576122E-3</c:v>
                </c:pt>
                <c:pt idx="109">
                  <c:v>2.32140126651415E-3</c:v>
                </c:pt>
                <c:pt idx="110">
                  <c:v>2.34316157147005E-3</c:v>
                </c:pt>
                <c:pt idx="111">
                  <c:v>2.0778528811029001E-3</c:v>
                </c:pt>
                <c:pt idx="112">
                  <c:v>1.88883136527982E-3</c:v>
                </c:pt>
                <c:pt idx="113">
                  <c:v>2.4984639885901301E-3</c:v>
                </c:pt>
                <c:pt idx="114">
                  <c:v>1.2830106051676001E-3</c:v>
                </c:pt>
                <c:pt idx="115">
                  <c:v>4.8035752887276697E-4</c:v>
                </c:pt>
                <c:pt idx="116">
                  <c:v>-2.0541352440208698E-3</c:v>
                </c:pt>
                <c:pt idx="117">
                  <c:v>-3.0672627571766901E-3</c:v>
                </c:pt>
                <c:pt idx="118">
                  <c:v>-2.3189184150571602E-3</c:v>
                </c:pt>
                <c:pt idx="119">
                  <c:v>-2.6518826862637701E-3</c:v>
                </c:pt>
                <c:pt idx="120">
                  <c:v>-2.99860130440243E-3</c:v>
                </c:pt>
                <c:pt idx="121">
                  <c:v>-2.7150115842778798E-3</c:v>
                </c:pt>
                <c:pt idx="122">
                  <c:v>-3.32870512255891E-3</c:v>
                </c:pt>
                <c:pt idx="123">
                  <c:v>8.9594298980137297E-4</c:v>
                </c:pt>
                <c:pt idx="124">
                  <c:v>1.8120381006726601E-3</c:v>
                </c:pt>
                <c:pt idx="125">
                  <c:v>4.0879678568945101E-4</c:v>
                </c:pt>
                <c:pt idx="126">
                  <c:v>1.7128703067447501E-3</c:v>
                </c:pt>
                <c:pt idx="127">
                  <c:v>1.4251342394289599E-3</c:v>
                </c:pt>
                <c:pt idx="128">
                  <c:v>1.2515177210101599E-3</c:v>
                </c:pt>
                <c:pt idx="129">
                  <c:v>1.42314812724186E-3</c:v>
                </c:pt>
                <c:pt idx="130">
                  <c:v>7.3970356285481102E-4</c:v>
                </c:pt>
                <c:pt idx="131">
                  <c:v>9.0063860077375501E-4</c:v>
                </c:pt>
                <c:pt idx="132">
                  <c:v>2.1041459216308402E-3</c:v>
                </c:pt>
                <c:pt idx="133">
                  <c:v>1.4759775304430899E-3</c:v>
                </c:pt>
                <c:pt idx="134">
                  <c:v>1.50883047062771E-3</c:v>
                </c:pt>
                <c:pt idx="135">
                  <c:v>-2.5496942465844299E-3</c:v>
                </c:pt>
                <c:pt idx="136">
                  <c:v>-2.68156292738181E-3</c:v>
                </c:pt>
                <c:pt idx="137">
                  <c:v>-1.9927626692586402E-3</c:v>
                </c:pt>
                <c:pt idx="138">
                  <c:v>-2.5944816932853901E-3</c:v>
                </c:pt>
                <c:pt idx="139">
                  <c:v>-2.7343772760814E-3</c:v>
                </c:pt>
                <c:pt idx="140">
                  <c:v>-1.9553718135733702E-3</c:v>
                </c:pt>
                <c:pt idx="141">
                  <c:v>-2.6183478660141602E-3</c:v>
                </c:pt>
                <c:pt idx="142">
                  <c:v>-2.883094219438E-3</c:v>
                </c:pt>
                <c:pt idx="143">
                  <c:v>-2.5884318171978502E-3</c:v>
                </c:pt>
                <c:pt idx="144">
                  <c:v>-2.21904159080368E-3</c:v>
                </c:pt>
                <c:pt idx="145">
                  <c:v>2.2835824314863698E-3</c:v>
                </c:pt>
                <c:pt idx="146">
                  <c:v>1.7263976582221801E-3</c:v>
                </c:pt>
                <c:pt idx="147">
                  <c:v>2.0431028163124601E-3</c:v>
                </c:pt>
                <c:pt idx="148">
                  <c:v>1.9493245579774001E-3</c:v>
                </c:pt>
                <c:pt idx="149">
                  <c:v>1.30909050055815E-3</c:v>
                </c:pt>
                <c:pt idx="150">
                  <c:v>2.3188823185686701E-3</c:v>
                </c:pt>
                <c:pt idx="151">
                  <c:v>1.9573131197561599E-3</c:v>
                </c:pt>
                <c:pt idx="152">
                  <c:v>1.15476408926802E-3</c:v>
                </c:pt>
                <c:pt idx="153">
                  <c:v>1.1954711232447699E-3</c:v>
                </c:pt>
                <c:pt idx="154">
                  <c:v>1.42631659017446E-3</c:v>
                </c:pt>
                <c:pt idx="155">
                  <c:v>2.3935260246637099E-3</c:v>
                </c:pt>
                <c:pt idx="156">
                  <c:v>1.7247707190048999E-3</c:v>
                </c:pt>
                <c:pt idx="157">
                  <c:v>1.3469973187696801E-3</c:v>
                </c:pt>
                <c:pt idx="158">
                  <c:v>1.3709414120777199E-3</c:v>
                </c:pt>
                <c:pt idx="159">
                  <c:v>8.9450121166852897E-4</c:v>
                </c:pt>
                <c:pt idx="160">
                  <c:v>-3.2456981474528199E-3</c:v>
                </c:pt>
                <c:pt idx="161">
                  <c:v>-2.0220038316201699E-3</c:v>
                </c:pt>
                <c:pt idx="162">
                  <c:v>-3.88097586322937E-3</c:v>
                </c:pt>
                <c:pt idx="163">
                  <c:v>-2.9252229961894E-3</c:v>
                </c:pt>
                <c:pt idx="164">
                  <c:v>-3.0362571561309E-3</c:v>
                </c:pt>
                <c:pt idx="165">
                  <c:v>-3.0218691763447001E-3</c:v>
                </c:pt>
                <c:pt idx="166">
                  <c:v>1.13963747376967E-3</c:v>
                </c:pt>
                <c:pt idx="167">
                  <c:v>1.89608714187417E-3</c:v>
                </c:pt>
                <c:pt idx="168">
                  <c:v>1.0890013272946599E-3</c:v>
                </c:pt>
                <c:pt idx="169">
                  <c:v>1.57188377112999E-3</c:v>
                </c:pt>
                <c:pt idx="170">
                  <c:v>1.3918855248714901E-3</c:v>
                </c:pt>
                <c:pt idx="171">
                  <c:v>1.1248888414490601E-3</c:v>
                </c:pt>
                <c:pt idx="172">
                  <c:v>7.9109341341361203E-4</c:v>
                </c:pt>
                <c:pt idx="173">
                  <c:v>1.72267348001843E-3</c:v>
                </c:pt>
                <c:pt idx="174">
                  <c:v>9.1203108335622296E-4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B1E-49E4-80F4-E5A4F5E797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69287584"/>
        <c:axId val="205412432"/>
      </c:lineChart>
      <c:catAx>
        <c:axId val="166928758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412432"/>
        <c:crosses val="autoZero"/>
        <c:auto val="1"/>
        <c:lblAlgn val="ctr"/>
        <c:lblOffset val="100"/>
        <c:noMultiLvlLbl val="0"/>
      </c:catAx>
      <c:valAx>
        <c:axId val="205412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92875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Sheet1!$AR$22:$AR$176</c:f>
              <c:numCache>
                <c:formatCode>0.00%</c:formatCode>
                <c:ptCount val="15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1.6646952644800981E-3</c:v>
                </c:pt>
                <c:pt idx="78">
                  <c:v>1.6646952644800981E-3</c:v>
                </c:pt>
                <c:pt idx="79">
                  <c:v>1.6646952644800981E-3</c:v>
                </c:pt>
                <c:pt idx="80">
                  <c:v>1.6646952644800981E-3</c:v>
                </c:pt>
                <c:pt idx="81">
                  <c:v>1.6646952644800981E-3</c:v>
                </c:pt>
                <c:pt idx="82">
                  <c:v>1.6646952644800981E-3</c:v>
                </c:pt>
                <c:pt idx="83">
                  <c:v>1.6646952644800981E-3</c:v>
                </c:pt>
                <c:pt idx="84">
                  <c:v>1.6646952644800981E-3</c:v>
                </c:pt>
                <c:pt idx="85">
                  <c:v>1.6646952644800981E-3</c:v>
                </c:pt>
                <c:pt idx="86">
                  <c:v>1.6646952644800981E-3</c:v>
                </c:pt>
                <c:pt idx="87">
                  <c:v>1.6646952644800981E-3</c:v>
                </c:pt>
                <c:pt idx="88">
                  <c:v>1.6646952644800981E-3</c:v>
                </c:pt>
                <c:pt idx="89">
                  <c:v>1.6646952644800981E-3</c:v>
                </c:pt>
                <c:pt idx="90">
                  <c:v>1.6646952644800981E-3</c:v>
                </c:pt>
                <c:pt idx="91">
                  <c:v>1.6646952644800981E-3</c:v>
                </c:pt>
                <c:pt idx="92">
                  <c:v>1.6646952644800981E-3</c:v>
                </c:pt>
                <c:pt idx="93">
                  <c:v>1.6646952644800981E-3</c:v>
                </c:pt>
                <c:pt idx="94">
                  <c:v>1.6646952644800981E-3</c:v>
                </c:pt>
                <c:pt idx="95">
                  <c:v>1.6646952644800981E-3</c:v>
                </c:pt>
                <c:pt idx="96">
                  <c:v>1.6646952644800981E-3</c:v>
                </c:pt>
                <c:pt idx="97">
                  <c:v>1.6646952644800981E-3</c:v>
                </c:pt>
                <c:pt idx="98">
                  <c:v>1.6646952644800981E-3</c:v>
                </c:pt>
                <c:pt idx="99">
                  <c:v>1.6646952644800981E-3</c:v>
                </c:pt>
                <c:pt idx="100">
                  <c:v>1.6646952644800981E-3</c:v>
                </c:pt>
                <c:pt idx="101">
                  <c:v>1.6646952644800981E-3</c:v>
                </c:pt>
                <c:pt idx="102">
                  <c:v>1.6646952644800981E-3</c:v>
                </c:pt>
                <c:pt idx="103">
                  <c:v>1.6646952644800981E-3</c:v>
                </c:pt>
                <c:pt idx="104">
                  <c:v>1.6646952644800981E-3</c:v>
                </c:pt>
                <c:pt idx="105">
                  <c:v>1.6646952644800981E-3</c:v>
                </c:pt>
                <c:pt idx="106">
                  <c:v>1.6646952644800981E-3</c:v>
                </c:pt>
                <c:pt idx="107">
                  <c:v>1.6646952644800981E-3</c:v>
                </c:pt>
                <c:pt idx="108">
                  <c:v>1.6646952644800981E-3</c:v>
                </c:pt>
                <c:pt idx="109">
                  <c:v>1.6646952644800981E-3</c:v>
                </c:pt>
                <c:pt idx="110">
                  <c:v>1.6646952644800981E-3</c:v>
                </c:pt>
                <c:pt idx="111">
                  <c:v>1.6646952644800981E-3</c:v>
                </c:pt>
                <c:pt idx="112">
                  <c:v>1.6646952644800981E-3</c:v>
                </c:pt>
                <c:pt idx="113">
                  <c:v>1.6646952644800981E-3</c:v>
                </c:pt>
                <c:pt idx="114">
                  <c:v>1.6646952644800981E-3</c:v>
                </c:pt>
                <c:pt idx="115">
                  <c:v>1.6646952644800981E-3</c:v>
                </c:pt>
                <c:pt idx="116">
                  <c:v>1.6646952644800981E-3</c:v>
                </c:pt>
                <c:pt idx="117">
                  <c:v>1.6646952644800981E-3</c:v>
                </c:pt>
                <c:pt idx="118">
                  <c:v>1.6646952644800981E-3</c:v>
                </c:pt>
                <c:pt idx="119">
                  <c:v>1.6646952644800981E-3</c:v>
                </c:pt>
                <c:pt idx="120">
                  <c:v>1.6646952644800981E-3</c:v>
                </c:pt>
                <c:pt idx="121">
                  <c:v>1.6646952644800981E-3</c:v>
                </c:pt>
                <c:pt idx="122">
                  <c:v>1.6646952644800981E-3</c:v>
                </c:pt>
                <c:pt idx="123">
                  <c:v>1.6646952644800981E-3</c:v>
                </c:pt>
                <c:pt idx="124">
                  <c:v>1.6646952644800981E-3</c:v>
                </c:pt>
                <c:pt idx="125">
                  <c:v>1.6646952644800981E-3</c:v>
                </c:pt>
                <c:pt idx="126">
                  <c:v>1.6646952644800981E-3</c:v>
                </c:pt>
                <c:pt idx="127">
                  <c:v>1.6646952644800981E-3</c:v>
                </c:pt>
                <c:pt idx="128">
                  <c:v>1.6646952644800981E-3</c:v>
                </c:pt>
                <c:pt idx="129">
                  <c:v>1.6646952644800981E-3</c:v>
                </c:pt>
                <c:pt idx="130">
                  <c:v>1.6646952644800981E-3</c:v>
                </c:pt>
                <c:pt idx="131">
                  <c:v>1.6646952644800981E-3</c:v>
                </c:pt>
                <c:pt idx="132">
                  <c:v>1.6646952644800981E-3</c:v>
                </c:pt>
                <c:pt idx="133">
                  <c:v>1.6646952644800981E-3</c:v>
                </c:pt>
                <c:pt idx="134">
                  <c:v>1.6646952644800981E-3</c:v>
                </c:pt>
                <c:pt idx="135">
                  <c:v>1.6646952644800981E-3</c:v>
                </c:pt>
                <c:pt idx="136">
                  <c:v>1.6646952644800981E-3</c:v>
                </c:pt>
                <c:pt idx="137">
                  <c:v>1.6646952644800981E-3</c:v>
                </c:pt>
                <c:pt idx="138">
                  <c:v>1.6646952644800981E-3</c:v>
                </c:pt>
                <c:pt idx="139">
                  <c:v>1.6646952644800981E-3</c:v>
                </c:pt>
                <c:pt idx="140">
                  <c:v>1.6646952644800981E-3</c:v>
                </c:pt>
                <c:pt idx="141">
                  <c:v>1.6646952644800981E-3</c:v>
                </c:pt>
                <c:pt idx="142">
                  <c:v>1.6646952644800981E-3</c:v>
                </c:pt>
                <c:pt idx="143">
                  <c:v>1.6646952644800981E-3</c:v>
                </c:pt>
                <c:pt idx="144">
                  <c:v>1.6646952644800981E-3</c:v>
                </c:pt>
                <c:pt idx="145">
                  <c:v>1.6646952644800981E-3</c:v>
                </c:pt>
                <c:pt idx="146">
                  <c:v>1.6646952644800981E-3</c:v>
                </c:pt>
                <c:pt idx="147">
                  <c:v>1.6646952644800981E-3</c:v>
                </c:pt>
                <c:pt idx="148">
                  <c:v>1.6646952644800981E-3</c:v>
                </c:pt>
                <c:pt idx="149">
                  <c:v>1.6646952644800981E-3</c:v>
                </c:pt>
                <c:pt idx="150">
                  <c:v>1.6646952644800981E-3</c:v>
                </c:pt>
                <c:pt idx="151">
                  <c:v>1.6646952644800981E-3</c:v>
                </c:pt>
                <c:pt idx="152">
                  <c:v>1.6646952644800981E-3</c:v>
                </c:pt>
                <c:pt idx="153">
                  <c:v>1.6646952644800981E-3</c:v>
                </c:pt>
                <c:pt idx="154">
                  <c:v>1.6646952644800981E-3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617-48D7-9BCB-2E32BC45B1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88199296"/>
        <c:axId val="1284373136"/>
      </c:lineChart>
      <c:catAx>
        <c:axId val="128819929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4373136"/>
        <c:crosses val="autoZero"/>
        <c:auto val="1"/>
        <c:lblAlgn val="ctr"/>
        <c:lblOffset val="100"/>
        <c:noMultiLvlLbl val="0"/>
      </c:catAx>
      <c:valAx>
        <c:axId val="1284373136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crossAx val="1288199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Sheet1!$BC$22:$BC$176</c:f>
              <c:numCache>
                <c:formatCode>0.00%</c:formatCode>
                <c:ptCount val="15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1.1662806753571799E-3</c:v>
                </c:pt>
                <c:pt idx="36">
                  <c:v>1.1662806753571799E-3</c:v>
                </c:pt>
                <c:pt idx="37">
                  <c:v>1.1662806753571799E-3</c:v>
                </c:pt>
                <c:pt idx="38">
                  <c:v>1.1662806753571799E-3</c:v>
                </c:pt>
                <c:pt idx="39">
                  <c:v>1.1662806753571799E-3</c:v>
                </c:pt>
                <c:pt idx="40">
                  <c:v>1.1662806753571799E-3</c:v>
                </c:pt>
                <c:pt idx="41">
                  <c:v>1.1662806753571799E-3</c:v>
                </c:pt>
                <c:pt idx="42">
                  <c:v>1.1662806753571799E-3</c:v>
                </c:pt>
                <c:pt idx="43">
                  <c:v>1.1662806753571799E-3</c:v>
                </c:pt>
                <c:pt idx="44">
                  <c:v>1.1662806753571799E-3</c:v>
                </c:pt>
                <c:pt idx="45">
                  <c:v>1.1662806753571799E-3</c:v>
                </c:pt>
                <c:pt idx="46">
                  <c:v>1.1662806753571799E-3</c:v>
                </c:pt>
                <c:pt idx="47">
                  <c:v>1.1662806753571799E-3</c:v>
                </c:pt>
                <c:pt idx="48">
                  <c:v>1.1662806753571799E-3</c:v>
                </c:pt>
                <c:pt idx="49">
                  <c:v>1.1662806753571799E-3</c:v>
                </c:pt>
                <c:pt idx="50">
                  <c:v>1.1662806753571799E-3</c:v>
                </c:pt>
                <c:pt idx="51">
                  <c:v>1.1662806753571799E-3</c:v>
                </c:pt>
                <c:pt idx="52">
                  <c:v>1.1662806753571799E-3</c:v>
                </c:pt>
                <c:pt idx="53">
                  <c:v>1.1662806753571799E-3</c:v>
                </c:pt>
                <c:pt idx="54">
                  <c:v>1.1662806753571799E-3</c:v>
                </c:pt>
                <c:pt idx="55">
                  <c:v>1.1662806753571799E-3</c:v>
                </c:pt>
                <c:pt idx="56">
                  <c:v>1.1662806753571799E-3</c:v>
                </c:pt>
                <c:pt idx="57">
                  <c:v>1.1662806753571799E-3</c:v>
                </c:pt>
                <c:pt idx="58">
                  <c:v>1.1662806753571799E-3</c:v>
                </c:pt>
                <c:pt idx="59">
                  <c:v>1.1662806753571799E-3</c:v>
                </c:pt>
                <c:pt idx="60">
                  <c:v>1.1662806753571799E-3</c:v>
                </c:pt>
                <c:pt idx="61">
                  <c:v>1.1662806753571799E-3</c:v>
                </c:pt>
                <c:pt idx="62">
                  <c:v>1.1662806753571799E-3</c:v>
                </c:pt>
                <c:pt idx="63">
                  <c:v>1.1662806753571799E-3</c:v>
                </c:pt>
                <c:pt idx="64">
                  <c:v>1.1662806753571799E-3</c:v>
                </c:pt>
                <c:pt idx="65">
                  <c:v>1.1662806753571799E-3</c:v>
                </c:pt>
                <c:pt idx="66">
                  <c:v>1.1662806753571799E-3</c:v>
                </c:pt>
                <c:pt idx="67">
                  <c:v>1.1662806753571799E-3</c:v>
                </c:pt>
                <c:pt idx="68">
                  <c:v>1.1662806753571799E-3</c:v>
                </c:pt>
                <c:pt idx="69">
                  <c:v>1.1662806753571799E-3</c:v>
                </c:pt>
                <c:pt idx="70">
                  <c:v>1.1662806753571799E-3</c:v>
                </c:pt>
                <c:pt idx="71">
                  <c:v>1.1662806753571799E-3</c:v>
                </c:pt>
                <c:pt idx="72">
                  <c:v>1.1662806753571799E-3</c:v>
                </c:pt>
                <c:pt idx="73">
                  <c:v>1.1662806753571799E-3</c:v>
                </c:pt>
                <c:pt idx="74">
                  <c:v>1.1662806753571799E-3</c:v>
                </c:pt>
                <c:pt idx="75">
                  <c:v>1.1662806753571799E-3</c:v>
                </c:pt>
                <c:pt idx="76">
                  <c:v>1.1662806753571799E-3</c:v>
                </c:pt>
                <c:pt idx="77">
                  <c:v>1.1662806753571799E-3</c:v>
                </c:pt>
                <c:pt idx="78">
                  <c:v>1.1662806753571799E-3</c:v>
                </c:pt>
                <c:pt idx="79">
                  <c:v>1.1662806753571799E-3</c:v>
                </c:pt>
                <c:pt idx="80">
                  <c:v>1.1662806753571799E-3</c:v>
                </c:pt>
                <c:pt idx="81">
                  <c:v>1.1662806753571799E-3</c:v>
                </c:pt>
                <c:pt idx="82">
                  <c:v>1.1662806753571799E-3</c:v>
                </c:pt>
                <c:pt idx="83">
                  <c:v>1.1662806753571799E-3</c:v>
                </c:pt>
                <c:pt idx="84">
                  <c:v>1.1662806753571799E-3</c:v>
                </c:pt>
                <c:pt idx="85">
                  <c:v>1.1662806753571799E-3</c:v>
                </c:pt>
                <c:pt idx="86">
                  <c:v>1.1662806753571799E-3</c:v>
                </c:pt>
                <c:pt idx="87">
                  <c:v>1.1662806753571799E-3</c:v>
                </c:pt>
                <c:pt idx="88">
                  <c:v>1.1662806753571799E-3</c:v>
                </c:pt>
                <c:pt idx="89">
                  <c:v>1.1662806753571799E-3</c:v>
                </c:pt>
                <c:pt idx="90">
                  <c:v>1.1662806753571799E-3</c:v>
                </c:pt>
                <c:pt idx="91">
                  <c:v>1.1662806753571799E-3</c:v>
                </c:pt>
                <c:pt idx="92">
                  <c:v>1.1662806753571799E-3</c:v>
                </c:pt>
                <c:pt idx="93">
                  <c:v>1.1662806753571799E-3</c:v>
                </c:pt>
                <c:pt idx="94">
                  <c:v>1.1662806753571799E-3</c:v>
                </c:pt>
                <c:pt idx="95">
                  <c:v>1.1662806753571799E-3</c:v>
                </c:pt>
                <c:pt idx="96">
                  <c:v>1.1662806753571799E-3</c:v>
                </c:pt>
                <c:pt idx="97">
                  <c:v>1.1662806753571799E-3</c:v>
                </c:pt>
                <c:pt idx="98">
                  <c:v>1.1662806753571799E-3</c:v>
                </c:pt>
                <c:pt idx="99">
                  <c:v>1.1662806753571799E-3</c:v>
                </c:pt>
                <c:pt idx="100">
                  <c:v>1.1662806753571799E-3</c:v>
                </c:pt>
                <c:pt idx="101">
                  <c:v>1.1662806753571799E-3</c:v>
                </c:pt>
                <c:pt idx="102">
                  <c:v>1.1662806753571799E-3</c:v>
                </c:pt>
                <c:pt idx="103">
                  <c:v>1.1662806753571799E-3</c:v>
                </c:pt>
                <c:pt idx="104">
                  <c:v>1.1662806753571799E-3</c:v>
                </c:pt>
                <c:pt idx="105">
                  <c:v>1.1662806753571799E-3</c:v>
                </c:pt>
                <c:pt idx="106">
                  <c:v>1.1662806753571799E-3</c:v>
                </c:pt>
                <c:pt idx="107">
                  <c:v>1.1662806753571799E-3</c:v>
                </c:pt>
                <c:pt idx="108">
                  <c:v>1.1662806753571799E-3</c:v>
                </c:pt>
                <c:pt idx="109">
                  <c:v>1.1662806753571799E-3</c:v>
                </c:pt>
                <c:pt idx="110">
                  <c:v>1.1662806753571799E-3</c:v>
                </c:pt>
                <c:pt idx="111">
                  <c:v>1.1662806753571799E-3</c:v>
                </c:pt>
                <c:pt idx="112">
                  <c:v>1.1662806753571799E-3</c:v>
                </c:pt>
                <c:pt idx="113">
                  <c:v>1.1662806753571799E-3</c:v>
                </c:pt>
                <c:pt idx="114">
                  <c:v>1.1662806753571799E-3</c:v>
                </c:pt>
                <c:pt idx="115">
                  <c:v>1.1662806753571799E-3</c:v>
                </c:pt>
                <c:pt idx="116">
                  <c:v>1.1662806753571799E-3</c:v>
                </c:pt>
                <c:pt idx="117">
                  <c:v>1.1662806753571799E-3</c:v>
                </c:pt>
                <c:pt idx="118">
                  <c:v>1.1662806753571799E-3</c:v>
                </c:pt>
                <c:pt idx="119">
                  <c:v>1.1662806753571799E-3</c:v>
                </c:pt>
                <c:pt idx="120">
                  <c:v>1.1662806753571799E-3</c:v>
                </c:pt>
                <c:pt idx="121">
                  <c:v>1.1662806753571799E-3</c:v>
                </c:pt>
                <c:pt idx="122">
                  <c:v>1.1662806753571799E-3</c:v>
                </c:pt>
                <c:pt idx="123">
                  <c:v>1.1662806753571799E-3</c:v>
                </c:pt>
                <c:pt idx="124">
                  <c:v>1.1662806753571799E-3</c:v>
                </c:pt>
                <c:pt idx="125">
                  <c:v>1.1662806753571799E-3</c:v>
                </c:pt>
                <c:pt idx="126">
                  <c:v>1.1662806753571799E-3</c:v>
                </c:pt>
                <c:pt idx="127">
                  <c:v>1.1662806753571799E-3</c:v>
                </c:pt>
                <c:pt idx="128">
                  <c:v>1.1662806753571799E-3</c:v>
                </c:pt>
                <c:pt idx="129">
                  <c:v>1.1662806753571799E-3</c:v>
                </c:pt>
                <c:pt idx="130">
                  <c:v>1.1662806753571799E-3</c:v>
                </c:pt>
                <c:pt idx="131">
                  <c:v>1.1662806753571799E-3</c:v>
                </c:pt>
                <c:pt idx="132">
                  <c:v>1.1662806753571799E-3</c:v>
                </c:pt>
                <c:pt idx="133">
                  <c:v>1.1662806753571799E-3</c:v>
                </c:pt>
                <c:pt idx="134">
                  <c:v>1.1662806753571799E-3</c:v>
                </c:pt>
                <c:pt idx="135">
                  <c:v>1.1662806753571799E-3</c:v>
                </c:pt>
                <c:pt idx="136">
                  <c:v>1.1662806753571799E-3</c:v>
                </c:pt>
                <c:pt idx="137">
                  <c:v>1.1662806753571799E-3</c:v>
                </c:pt>
                <c:pt idx="138">
                  <c:v>1.1662806753571799E-3</c:v>
                </c:pt>
                <c:pt idx="139">
                  <c:v>1.1662806753571799E-3</c:v>
                </c:pt>
                <c:pt idx="140">
                  <c:v>1.1662806753571799E-3</c:v>
                </c:pt>
                <c:pt idx="141">
                  <c:v>1.1662806753571799E-3</c:v>
                </c:pt>
                <c:pt idx="142">
                  <c:v>1.1662806753571799E-3</c:v>
                </c:pt>
                <c:pt idx="143">
                  <c:v>1.1662806753571799E-3</c:v>
                </c:pt>
                <c:pt idx="144">
                  <c:v>1.1662806753571799E-3</c:v>
                </c:pt>
                <c:pt idx="145">
                  <c:v>1.1662806753571799E-3</c:v>
                </c:pt>
                <c:pt idx="146">
                  <c:v>1.1662806753571799E-3</c:v>
                </c:pt>
                <c:pt idx="147">
                  <c:v>1.1662806753571799E-3</c:v>
                </c:pt>
                <c:pt idx="148">
                  <c:v>1.1662806753571799E-3</c:v>
                </c:pt>
                <c:pt idx="149">
                  <c:v>1.1662806753571799E-3</c:v>
                </c:pt>
                <c:pt idx="150">
                  <c:v>1.1662806753571799E-3</c:v>
                </c:pt>
                <c:pt idx="151">
                  <c:v>1.1662806753571799E-3</c:v>
                </c:pt>
                <c:pt idx="152">
                  <c:v>1.1662806753571799E-3</c:v>
                </c:pt>
                <c:pt idx="153">
                  <c:v>1.1662806753571799E-3</c:v>
                </c:pt>
                <c:pt idx="154">
                  <c:v>1.1662806753571799E-3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4D5-4F0F-8665-8D9236E222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88199296"/>
        <c:axId val="1284373136"/>
      </c:lineChart>
      <c:catAx>
        <c:axId val="128819929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4373136"/>
        <c:crosses val="autoZero"/>
        <c:auto val="1"/>
        <c:lblAlgn val="ctr"/>
        <c:lblOffset val="100"/>
        <c:noMultiLvlLbl val="0"/>
      </c:catAx>
      <c:valAx>
        <c:axId val="1284373136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crossAx val="1288199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Sheet1!$BF$22:$BF$176</c:f>
              <c:numCache>
                <c:formatCode>0.00%</c:formatCode>
                <c:ptCount val="15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1.1662806753571799E-3</c:v>
                </c:pt>
                <c:pt idx="36">
                  <c:v>1.1662806753571799E-3</c:v>
                </c:pt>
                <c:pt idx="37">
                  <c:v>1.1662806753571799E-3</c:v>
                </c:pt>
                <c:pt idx="38">
                  <c:v>1.1662806753571799E-3</c:v>
                </c:pt>
                <c:pt idx="39">
                  <c:v>1.1662806753571799E-3</c:v>
                </c:pt>
                <c:pt idx="40">
                  <c:v>1.1662806753571799E-3</c:v>
                </c:pt>
                <c:pt idx="41">
                  <c:v>1.1662806753571799E-3</c:v>
                </c:pt>
                <c:pt idx="42">
                  <c:v>1.1662806753571799E-3</c:v>
                </c:pt>
                <c:pt idx="43">
                  <c:v>1.1662806753571799E-3</c:v>
                </c:pt>
                <c:pt idx="44">
                  <c:v>1.1662806753571799E-3</c:v>
                </c:pt>
                <c:pt idx="45">
                  <c:v>1.1662806753571799E-3</c:v>
                </c:pt>
                <c:pt idx="46">
                  <c:v>1.1662806753571799E-3</c:v>
                </c:pt>
                <c:pt idx="47">
                  <c:v>1.1662806753571799E-3</c:v>
                </c:pt>
                <c:pt idx="48">
                  <c:v>1.1662806753571799E-3</c:v>
                </c:pt>
                <c:pt idx="49">
                  <c:v>1.1662806753571799E-3</c:v>
                </c:pt>
                <c:pt idx="50">
                  <c:v>1.1662806753571799E-3</c:v>
                </c:pt>
                <c:pt idx="51">
                  <c:v>1.1662806753571799E-3</c:v>
                </c:pt>
                <c:pt idx="52">
                  <c:v>1.1662806753571799E-3</c:v>
                </c:pt>
                <c:pt idx="53">
                  <c:v>1.1662806753571799E-3</c:v>
                </c:pt>
                <c:pt idx="54">
                  <c:v>1.1662806753571799E-3</c:v>
                </c:pt>
                <c:pt idx="55">
                  <c:v>1.1662806753571799E-3</c:v>
                </c:pt>
                <c:pt idx="56">
                  <c:v>1.1662806753571799E-3</c:v>
                </c:pt>
                <c:pt idx="57">
                  <c:v>1.1662806753571799E-3</c:v>
                </c:pt>
                <c:pt idx="58">
                  <c:v>1.1662806753571799E-3</c:v>
                </c:pt>
                <c:pt idx="59">
                  <c:v>1.1662806753571799E-3</c:v>
                </c:pt>
                <c:pt idx="60">
                  <c:v>1.1662806753571799E-3</c:v>
                </c:pt>
                <c:pt idx="61">
                  <c:v>1.1662806753571799E-3</c:v>
                </c:pt>
                <c:pt idx="62">
                  <c:v>1.1662806753571799E-3</c:v>
                </c:pt>
                <c:pt idx="63">
                  <c:v>1.1662806753571799E-3</c:v>
                </c:pt>
                <c:pt idx="64">
                  <c:v>1.1662806753571799E-3</c:v>
                </c:pt>
                <c:pt idx="65">
                  <c:v>1.1662806753571799E-3</c:v>
                </c:pt>
                <c:pt idx="66">
                  <c:v>1.1662806753571799E-3</c:v>
                </c:pt>
                <c:pt idx="67">
                  <c:v>1.1662806753571799E-3</c:v>
                </c:pt>
                <c:pt idx="68">
                  <c:v>1.1662806753571799E-3</c:v>
                </c:pt>
                <c:pt idx="69">
                  <c:v>1.1662806753571799E-3</c:v>
                </c:pt>
                <c:pt idx="70">
                  <c:v>1.1662806753571799E-3</c:v>
                </c:pt>
                <c:pt idx="71">
                  <c:v>1.1662806753571799E-3</c:v>
                </c:pt>
                <c:pt idx="72">
                  <c:v>1.1662806753571799E-3</c:v>
                </c:pt>
                <c:pt idx="73">
                  <c:v>1.1662806753571799E-3</c:v>
                </c:pt>
                <c:pt idx="74">
                  <c:v>1.1662806753571799E-3</c:v>
                </c:pt>
                <c:pt idx="75">
                  <c:v>1.1662806753571799E-3</c:v>
                </c:pt>
                <c:pt idx="76">
                  <c:v>1.1662806753571799E-3</c:v>
                </c:pt>
                <c:pt idx="77">
                  <c:v>2.8309759398372778E-3</c:v>
                </c:pt>
                <c:pt idx="78">
                  <c:v>2.8309759398372778E-3</c:v>
                </c:pt>
                <c:pt idx="79">
                  <c:v>2.8309759398372778E-3</c:v>
                </c:pt>
                <c:pt idx="80">
                  <c:v>2.8309759398372778E-3</c:v>
                </c:pt>
                <c:pt idx="81">
                  <c:v>2.8309759398372778E-3</c:v>
                </c:pt>
                <c:pt idx="82">
                  <c:v>2.8309759398372778E-3</c:v>
                </c:pt>
                <c:pt idx="83">
                  <c:v>2.8309759398372778E-3</c:v>
                </c:pt>
                <c:pt idx="84">
                  <c:v>2.8309759398372778E-3</c:v>
                </c:pt>
                <c:pt idx="85">
                  <c:v>2.8309759398372778E-3</c:v>
                </c:pt>
                <c:pt idx="86">
                  <c:v>2.8309759398372778E-3</c:v>
                </c:pt>
                <c:pt idx="87">
                  <c:v>2.8309759398372778E-3</c:v>
                </c:pt>
                <c:pt idx="88">
                  <c:v>2.8309759398372778E-3</c:v>
                </c:pt>
                <c:pt idx="89">
                  <c:v>2.8309759398372778E-3</c:v>
                </c:pt>
                <c:pt idx="90">
                  <c:v>2.8309759398372778E-3</c:v>
                </c:pt>
                <c:pt idx="91">
                  <c:v>2.8309759398372778E-3</c:v>
                </c:pt>
                <c:pt idx="92">
                  <c:v>2.8309759398372778E-3</c:v>
                </c:pt>
                <c:pt idx="93">
                  <c:v>2.8309759398372778E-3</c:v>
                </c:pt>
                <c:pt idx="94">
                  <c:v>2.8309759398372778E-3</c:v>
                </c:pt>
                <c:pt idx="95">
                  <c:v>2.8309759398372778E-3</c:v>
                </c:pt>
                <c:pt idx="96">
                  <c:v>2.8309759398372778E-3</c:v>
                </c:pt>
                <c:pt idx="97">
                  <c:v>2.8309759398372778E-3</c:v>
                </c:pt>
                <c:pt idx="98">
                  <c:v>2.8309759398372778E-3</c:v>
                </c:pt>
                <c:pt idx="99">
                  <c:v>2.8309759398372778E-3</c:v>
                </c:pt>
                <c:pt idx="100">
                  <c:v>2.8309759398372778E-3</c:v>
                </c:pt>
                <c:pt idx="101">
                  <c:v>2.8309759398372778E-3</c:v>
                </c:pt>
                <c:pt idx="102">
                  <c:v>2.8309759398372778E-3</c:v>
                </c:pt>
                <c:pt idx="103">
                  <c:v>2.8309759398372778E-3</c:v>
                </c:pt>
                <c:pt idx="104">
                  <c:v>2.8309759398372778E-3</c:v>
                </c:pt>
                <c:pt idx="105">
                  <c:v>2.8309759398372778E-3</c:v>
                </c:pt>
                <c:pt idx="106">
                  <c:v>2.8309759398372778E-3</c:v>
                </c:pt>
                <c:pt idx="107">
                  <c:v>2.8309759398372778E-3</c:v>
                </c:pt>
                <c:pt idx="108">
                  <c:v>2.8309759398372778E-3</c:v>
                </c:pt>
                <c:pt idx="109">
                  <c:v>2.8309759398372778E-3</c:v>
                </c:pt>
                <c:pt idx="110">
                  <c:v>2.8309759398372778E-3</c:v>
                </c:pt>
                <c:pt idx="111">
                  <c:v>2.8309759398372778E-3</c:v>
                </c:pt>
                <c:pt idx="112">
                  <c:v>2.8309759398372778E-3</c:v>
                </c:pt>
                <c:pt idx="113">
                  <c:v>2.8309759398372778E-3</c:v>
                </c:pt>
                <c:pt idx="114">
                  <c:v>2.8309759398372778E-3</c:v>
                </c:pt>
                <c:pt idx="115">
                  <c:v>2.8309759398372778E-3</c:v>
                </c:pt>
                <c:pt idx="116">
                  <c:v>2.8309759398372778E-3</c:v>
                </c:pt>
                <c:pt idx="117">
                  <c:v>2.8309759398372778E-3</c:v>
                </c:pt>
                <c:pt idx="118">
                  <c:v>2.8309759398372778E-3</c:v>
                </c:pt>
                <c:pt idx="119">
                  <c:v>2.8309759398372778E-3</c:v>
                </c:pt>
                <c:pt idx="120">
                  <c:v>2.8309759398372778E-3</c:v>
                </c:pt>
                <c:pt idx="121">
                  <c:v>2.8309759398372778E-3</c:v>
                </c:pt>
                <c:pt idx="122">
                  <c:v>2.8309759398372778E-3</c:v>
                </c:pt>
                <c:pt idx="123">
                  <c:v>2.8309759398372778E-3</c:v>
                </c:pt>
                <c:pt idx="124">
                  <c:v>2.8309759398372778E-3</c:v>
                </c:pt>
                <c:pt idx="125">
                  <c:v>2.8309759398372778E-3</c:v>
                </c:pt>
                <c:pt idx="126">
                  <c:v>2.8309759398372778E-3</c:v>
                </c:pt>
                <c:pt idx="127">
                  <c:v>2.8309759398372778E-3</c:v>
                </c:pt>
                <c:pt idx="128">
                  <c:v>2.8309759398372778E-3</c:v>
                </c:pt>
                <c:pt idx="129">
                  <c:v>2.8309759398372778E-3</c:v>
                </c:pt>
                <c:pt idx="130">
                  <c:v>2.8309759398372778E-3</c:v>
                </c:pt>
                <c:pt idx="131">
                  <c:v>2.8309759398372778E-3</c:v>
                </c:pt>
                <c:pt idx="132">
                  <c:v>2.8309759398372778E-3</c:v>
                </c:pt>
                <c:pt idx="133">
                  <c:v>2.8309759398372778E-3</c:v>
                </c:pt>
                <c:pt idx="134">
                  <c:v>2.8309759398372778E-3</c:v>
                </c:pt>
                <c:pt idx="135">
                  <c:v>2.8309759398372778E-3</c:v>
                </c:pt>
                <c:pt idx="136">
                  <c:v>2.8309759398372778E-3</c:v>
                </c:pt>
                <c:pt idx="137">
                  <c:v>2.8309759398372778E-3</c:v>
                </c:pt>
                <c:pt idx="138">
                  <c:v>2.8309759398372778E-3</c:v>
                </c:pt>
                <c:pt idx="139">
                  <c:v>2.8309759398372778E-3</c:v>
                </c:pt>
                <c:pt idx="140">
                  <c:v>2.8309759398372778E-3</c:v>
                </c:pt>
                <c:pt idx="141">
                  <c:v>2.8309759398372778E-3</c:v>
                </c:pt>
                <c:pt idx="142">
                  <c:v>2.8309759398372778E-3</c:v>
                </c:pt>
                <c:pt idx="143">
                  <c:v>2.8309759398372778E-3</c:v>
                </c:pt>
                <c:pt idx="144">
                  <c:v>2.8309759398372778E-3</c:v>
                </c:pt>
                <c:pt idx="145">
                  <c:v>2.8309759398372778E-3</c:v>
                </c:pt>
                <c:pt idx="146">
                  <c:v>2.8309759398372778E-3</c:v>
                </c:pt>
                <c:pt idx="147">
                  <c:v>2.8309759398372778E-3</c:v>
                </c:pt>
                <c:pt idx="148">
                  <c:v>2.8309759398372778E-3</c:v>
                </c:pt>
                <c:pt idx="149">
                  <c:v>2.8309759398372778E-3</c:v>
                </c:pt>
                <c:pt idx="150">
                  <c:v>2.8309759398372778E-3</c:v>
                </c:pt>
                <c:pt idx="151">
                  <c:v>2.8309759398372778E-3</c:v>
                </c:pt>
                <c:pt idx="152">
                  <c:v>2.8309759398372778E-3</c:v>
                </c:pt>
                <c:pt idx="153">
                  <c:v>2.8309759398372778E-3</c:v>
                </c:pt>
                <c:pt idx="154">
                  <c:v>2.8309759398372778E-3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DB1-415E-9EF8-6918CE0512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88199296"/>
        <c:axId val="1284373136"/>
      </c:lineChart>
      <c:catAx>
        <c:axId val="128819929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4373136"/>
        <c:crosses val="autoZero"/>
        <c:auto val="1"/>
        <c:lblAlgn val="ctr"/>
        <c:lblOffset val="100"/>
        <c:noMultiLvlLbl val="0"/>
      </c:catAx>
      <c:valAx>
        <c:axId val="1284373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8199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60</xdr:col>
      <xdr:colOff>9524</xdr:colOff>
      <xdr:row>1</xdr:row>
      <xdr:rowOff>0</xdr:rowOff>
    </xdr:from>
    <xdr:to>
      <xdr:col>67</xdr:col>
      <xdr:colOff>342899</xdr:colOff>
      <xdr:row>15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8BB1B67-9721-4BCB-B0B1-14C4C0317A1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68</xdr:col>
      <xdr:colOff>0</xdr:colOff>
      <xdr:row>18</xdr:row>
      <xdr:rowOff>0</xdr:rowOff>
    </xdr:from>
    <xdr:to>
      <xdr:col>75</xdr:col>
      <xdr:colOff>304800</xdr:colOff>
      <xdr:row>32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15F5274-1B88-40CE-B537-FB8039B75ED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68</xdr:col>
      <xdr:colOff>0</xdr:colOff>
      <xdr:row>1</xdr:row>
      <xdr:rowOff>0</xdr:rowOff>
    </xdr:from>
    <xdr:to>
      <xdr:col>75</xdr:col>
      <xdr:colOff>304800</xdr:colOff>
      <xdr:row>15</xdr:row>
      <xdr:rowOff>38100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97C9616-F929-483F-BF15-FB6BC4144B1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60</xdr:col>
      <xdr:colOff>9524</xdr:colOff>
      <xdr:row>18</xdr:row>
      <xdr:rowOff>114300</xdr:rowOff>
    </xdr:from>
    <xdr:to>
      <xdr:col>67</xdr:col>
      <xdr:colOff>342899</xdr:colOff>
      <xdr:row>33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83BB0A9-78E5-4C60-BCCD-A692675748A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76</xdr:col>
      <xdr:colOff>0</xdr:colOff>
      <xdr:row>1</xdr:row>
      <xdr:rowOff>0</xdr:rowOff>
    </xdr:from>
    <xdr:to>
      <xdr:col>85</xdr:col>
      <xdr:colOff>304800</xdr:colOff>
      <xdr:row>15</xdr:row>
      <xdr:rowOff>38100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B98E1CA9-F2C2-4901-B6FF-57884230394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75</xdr:col>
      <xdr:colOff>609599</xdr:colOff>
      <xdr:row>18</xdr:row>
      <xdr:rowOff>0</xdr:rowOff>
    </xdr:from>
    <xdr:to>
      <xdr:col>85</xdr:col>
      <xdr:colOff>304799</xdr:colOff>
      <xdr:row>32</xdr:row>
      <xdr:rowOff>76200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A21EE805-CBD8-4256-A46C-F3FC7C2F28A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76</xdr:col>
      <xdr:colOff>0</xdr:colOff>
      <xdr:row>35</xdr:row>
      <xdr:rowOff>0</xdr:rowOff>
    </xdr:from>
    <xdr:to>
      <xdr:col>85</xdr:col>
      <xdr:colOff>304800</xdr:colOff>
      <xdr:row>49</xdr:row>
      <xdr:rowOff>76200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186BFE17-837A-4FAC-B0A1-911020FFAEB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icha\git-projects\backtesting\backtests\BSCV_IBDW_2.xlsx" TargetMode="External"/><Relationship Id="rId1" Type="http://schemas.openxmlformats.org/officeDocument/2006/relationships/externalLinkPath" Target="BSCV_IBDW_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1">
          <cell r="O1" t="str">
            <v>IBDW/BSCV avg</v>
          </cell>
          <cell r="P1" t="str">
            <v>IBDW/BSCV 10 dma</v>
          </cell>
          <cell r="Q1" t="str">
            <v>IBDW/BSCV 20 dma</v>
          </cell>
          <cell r="U1" t="str">
            <v>log diff BSCV x avg / IBDW</v>
          </cell>
          <cell r="V1" t="str">
            <v>log diff BSCV x 10 dma / IBDW</v>
          </cell>
          <cell r="W1" t="str">
            <v>log diff BSCV x 20 dma / IBDW</v>
          </cell>
          <cell r="Y1" t="str">
            <v>IBDW*/BSCV* avg</v>
          </cell>
          <cell r="Z1" t="str">
            <v>IBDW*/BSCV* 10 dma</v>
          </cell>
          <cell r="AA1" t="str">
            <v>IBDW*/BSCV* 20 dma</v>
          </cell>
          <cell r="AF1" t="str">
            <v>log diff BSCV* x 10 dma / IBDW*</v>
          </cell>
          <cell r="AG1" t="str">
            <v>log diff BSCV* x 20 dma / IBDW*</v>
          </cell>
        </row>
        <row r="2">
          <cell r="O2">
            <v>1.26844555541175</v>
          </cell>
          <cell r="Y2">
            <v>1.2671331732903199</v>
          </cell>
        </row>
        <row r="3">
          <cell r="O3">
            <v>1.26844555541175</v>
          </cell>
          <cell r="U3">
            <v>7.4218112217024198E-4</v>
          </cell>
          <cell r="Y3">
            <v>1.2671331732903199</v>
          </cell>
        </row>
        <row r="4">
          <cell r="O4">
            <v>1.26844555541175</v>
          </cell>
          <cell r="U4">
            <v>9.9451200889407202E-4</v>
          </cell>
          <cell r="Y4">
            <v>1.2671331732903199</v>
          </cell>
        </row>
        <row r="5">
          <cell r="O5">
            <v>1.26844555541175</v>
          </cell>
          <cell r="U5">
            <v>1.9383535136004799E-3</v>
          </cell>
          <cell r="Y5">
            <v>1.2671331732903199</v>
          </cell>
        </row>
        <row r="6">
          <cell r="O6">
            <v>1.26844555541175</v>
          </cell>
          <cell r="U6">
            <v>9.6201086958503399E-4</v>
          </cell>
          <cell r="Y6">
            <v>1.2671331732903199</v>
          </cell>
        </row>
        <row r="7">
          <cell r="O7">
            <v>1.26844555541175</v>
          </cell>
          <cell r="U7">
            <v>9.6201086958503399E-4</v>
          </cell>
          <cell r="Y7">
            <v>1.2671331732903199</v>
          </cell>
        </row>
        <row r="8">
          <cell r="O8">
            <v>1.26844555541175</v>
          </cell>
          <cell r="U8">
            <v>1.43493591978028E-3</v>
          </cell>
          <cell r="Y8">
            <v>1.2671331732903199</v>
          </cell>
        </row>
        <row r="9">
          <cell r="O9">
            <v>1.26844555541175</v>
          </cell>
          <cell r="U9">
            <v>7.4218112217024198E-4</v>
          </cell>
          <cell r="Y9">
            <v>1.2671331732903199</v>
          </cell>
        </row>
        <row r="10">
          <cell r="O10">
            <v>1.26844555541175</v>
          </cell>
          <cell r="U10">
            <v>1.59206207149055E-3</v>
          </cell>
          <cell r="Y10">
            <v>1.2671331732903199</v>
          </cell>
        </row>
        <row r="11">
          <cell r="O11">
            <v>1.26844555541175</v>
          </cell>
          <cell r="P11">
            <v>1.26684634316047</v>
          </cell>
          <cell r="U11">
            <v>1.21443614865667E-3</v>
          </cell>
          <cell r="Y11">
            <v>1.2671331732903199</v>
          </cell>
          <cell r="Z11">
            <v>1.26684634316047</v>
          </cell>
        </row>
        <row r="12">
          <cell r="O12">
            <v>1.26844555541175</v>
          </cell>
          <cell r="P12">
            <v>1.2669821051894401</v>
          </cell>
          <cell r="U12">
            <v>9.6201086958503399E-4</v>
          </cell>
          <cell r="V12">
            <v>-2.9954995052137198E-4</v>
          </cell>
          <cell r="Y12">
            <v>1.2671331732903199</v>
          </cell>
          <cell r="Z12">
            <v>1.2669821051894401</v>
          </cell>
          <cell r="AF12">
            <v>-2.9954995052137198E-4</v>
          </cell>
        </row>
        <row r="13">
          <cell r="O13">
            <v>1.26844555541175</v>
          </cell>
          <cell r="P13">
            <v>1.2672798491274899</v>
          </cell>
          <cell r="U13">
            <v>-1.6041204400573401E-3</v>
          </cell>
          <cell r="V13">
            <v>-2.7585216541644699E-3</v>
          </cell>
          <cell r="Y13">
            <v>1.2671331732903199</v>
          </cell>
          <cell r="Z13">
            <v>1.26680398292861</v>
          </cell>
          <cell r="AF13">
            <v>9.9406712324002795E-4</v>
          </cell>
        </row>
        <row r="14">
          <cell r="O14">
            <v>1.26844555541175</v>
          </cell>
          <cell r="P14">
            <v>1.2678013071540299</v>
          </cell>
          <cell r="U14">
            <v>-3.11213509713411E-3</v>
          </cell>
          <cell r="V14">
            <v>-4.0315614390398699E-3</v>
          </cell>
          <cell r="Y14">
            <v>1.2671331732903199</v>
          </cell>
          <cell r="Z14">
            <v>1.2668497131305601</v>
          </cell>
          <cell r="AF14">
            <v>-6.6130213392497496E-4</v>
          </cell>
        </row>
        <row r="15">
          <cell r="O15">
            <v>1.26844555541175</v>
          </cell>
          <cell r="P15">
            <v>1.26836584460403</v>
          </cell>
          <cell r="U15">
            <v>-2.5109929089077998E-3</v>
          </cell>
          <cell r="V15">
            <v>-3.0190256884347899E-3</v>
          </cell>
          <cell r="Y15">
            <v>1.2671331732903199</v>
          </cell>
          <cell r="Z15">
            <v>1.2669390933047699</v>
          </cell>
          <cell r="AF15">
            <v>-2.6308612180776299E-5</v>
          </cell>
        </row>
        <row r="16">
          <cell r="O16">
            <v>1.26844555541175</v>
          </cell>
          <cell r="P16">
            <v>1.2688668139200701</v>
          </cell>
          <cell r="U16">
            <v>-2.9834710655830899E-3</v>
          </cell>
          <cell r="V16">
            <v>-3.0463143717502799E-3</v>
          </cell>
          <cell r="Y16">
            <v>1.2671331732903199</v>
          </cell>
          <cell r="Z16">
            <v>1.2669646807905499</v>
          </cell>
          <cell r="AF16">
            <v>-4.2823615783076601E-4</v>
          </cell>
        </row>
        <row r="17">
          <cell r="O17">
            <v>1.26844555541175</v>
          </cell>
          <cell r="P17">
            <v>1.269351432751</v>
          </cell>
          <cell r="U17">
            <v>-2.8549450586793299E-3</v>
          </cell>
          <cell r="V17">
            <v>-2.5228940922527201E-3</v>
          </cell>
          <cell r="Y17">
            <v>1.2671331732903199</v>
          </cell>
          <cell r="Z17">
            <v>1.2669742632980701</v>
          </cell>
          <cell r="AF17">
            <v>-2.8175825052382402E-4</v>
          </cell>
        </row>
        <row r="18">
          <cell r="O18">
            <v>1.26844555541175</v>
          </cell>
          <cell r="P18">
            <v>1.2698796368427001</v>
          </cell>
          <cell r="U18">
            <v>-2.7265568533829301E-3</v>
          </cell>
          <cell r="V18">
            <v>-2.0126483871462202E-3</v>
          </cell>
          <cell r="Y18">
            <v>1.2671331732903199</v>
          </cell>
          <cell r="Z18">
            <v>1.2670277760867199</v>
          </cell>
          <cell r="AF18">
            <v>-1.4804822531367401E-4</v>
          </cell>
        </row>
        <row r="19">
          <cell r="O19">
            <v>1.26844555541175</v>
          </cell>
          <cell r="P19">
            <v>1.27041284185582</v>
          </cell>
          <cell r="U19">
            <v>-3.4557260920696198E-3</v>
          </cell>
          <cell r="V19">
            <v>-2.3257829406510598E-3</v>
          </cell>
          <cell r="Y19">
            <v>1.2671331732903199</v>
          </cell>
          <cell r="Z19">
            <v>1.2670853747151001</v>
          </cell>
          <cell r="AF19">
            <v>-8.3049596610648897E-4</v>
          </cell>
        </row>
        <row r="20">
          <cell r="O20">
            <v>1.26844555541175</v>
          </cell>
          <cell r="P20">
            <v>1.27088464713634</v>
          </cell>
          <cell r="U20">
            <v>-2.12649682937687E-3</v>
          </cell>
          <cell r="V20">
            <v>-5.7675554414383598E-4</v>
          </cell>
          <cell r="Y20">
            <v>1.2671331732903199</v>
          </cell>
          <cell r="Z20">
            <v>1.2670830569759299</v>
          </cell>
          <cell r="AF20">
            <v>5.3746737131909995E-4</v>
          </cell>
        </row>
        <row r="21">
          <cell r="O21">
            <v>1.26844555541175</v>
          </cell>
          <cell r="P21">
            <v>1.27133604390618</v>
          </cell>
          <cell r="Q21">
            <v>1.26909119353332</v>
          </cell>
          <cell r="U21">
            <v>-2.3422168239650601E-3</v>
          </cell>
          <cell r="V21">
            <v>-4.2116498734202402E-4</v>
          </cell>
          <cell r="Y21">
            <v>1.2671331732903199</v>
          </cell>
          <cell r="Z21">
            <v>1.2670607945949499</v>
          </cell>
          <cell r="AA21">
            <v>1.26695356887771</v>
          </cell>
          <cell r="AF21">
            <v>3.15448568590095E-4</v>
          </cell>
        </row>
        <row r="22">
          <cell r="O22">
            <v>1.26844555541175</v>
          </cell>
          <cell r="P22">
            <v>1.27118814059289</v>
          </cell>
          <cell r="Q22">
            <v>1.2690851228911699</v>
          </cell>
          <cell r="U22">
            <v>2.12983496881011E-3</v>
          </cell>
          <cell r="V22">
            <v>4.4060068594632398E-3</v>
          </cell>
          <cell r="W22">
            <v>2.6387049473593298E-3</v>
          </cell>
          <cell r="Y22">
            <v>1.2671331732903199</v>
          </cell>
          <cell r="Z22">
            <v>1.2669289842357101</v>
          </cell>
          <cell r="AA22">
            <v>1.26695554471257</v>
          </cell>
          <cell r="AF22">
            <v>9.1040569215012604E-4</v>
          </cell>
          <cell r="AG22">
            <v>8.2577656072155303E-4</v>
          </cell>
          <cell r="AR22">
            <v>0</v>
          </cell>
          <cell r="BC22">
            <v>0</v>
          </cell>
          <cell r="BF22">
            <v>0</v>
          </cell>
        </row>
        <row r="23">
          <cell r="O23">
            <v>1.26844555541175</v>
          </cell>
          <cell r="P23">
            <v>1.2707305840763099</v>
          </cell>
          <cell r="Q23">
            <v>1.2690052166018999</v>
          </cell>
          <cell r="U23">
            <v>2.0038209361417001E-3</v>
          </cell>
          <cell r="V23">
            <v>4.1636491441236099E-3</v>
          </cell>
          <cell r="W23">
            <v>2.5079074470335402E-3</v>
          </cell>
          <cell r="Y23">
            <v>1.2671331732903199</v>
          </cell>
          <cell r="Z23">
            <v>1.2669633369639099</v>
          </cell>
          <cell r="AA23">
            <v>1.2668836599462601</v>
          </cell>
          <cell r="AF23">
            <v>6.8076802388790803E-4</v>
          </cell>
          <cell r="AG23">
            <v>7.0173226007260098E-4</v>
          </cell>
          <cell r="AR23">
            <v>0</v>
          </cell>
          <cell r="BC23">
            <v>0</v>
          </cell>
          <cell r="BF23">
            <v>0</v>
          </cell>
        </row>
        <row r="24">
          <cell r="O24">
            <v>1.26844555541175</v>
          </cell>
          <cell r="P24">
            <v>1.2700812924895599</v>
          </cell>
          <cell r="Q24">
            <v>1.2689412998217999</v>
          </cell>
          <cell r="U24">
            <v>2.0038209361417001E-3</v>
          </cell>
          <cell r="V24">
            <v>3.8036403703703599E-3</v>
          </cell>
          <cell r="W24">
            <v>2.4449417692173499E-3</v>
          </cell>
          <cell r="Y24">
            <v>1.2671331732903199</v>
          </cell>
          <cell r="Z24">
            <v>1.2668058162476701</v>
          </cell>
          <cell r="AA24">
            <v>1.26682776468912</v>
          </cell>
          <cell r="AF24">
            <v>7.0788261586960603E-4</v>
          </cell>
          <cell r="AG24">
            <v>6.4499245890568498E-4</v>
          </cell>
          <cell r="AR24">
            <v>0</v>
          </cell>
          <cell r="BC24">
            <v>0</v>
          </cell>
          <cell r="BF24">
            <v>0</v>
          </cell>
        </row>
        <row r="25">
          <cell r="O25">
            <v>1.26844555541175</v>
          </cell>
          <cell r="P25">
            <v>1.2695326634869899</v>
          </cell>
          <cell r="Q25">
            <v>1.2689492540455101</v>
          </cell>
          <cell r="U25">
            <v>1.8127011979099199E-3</v>
          </cell>
          <cell r="V25">
            <v>3.1014307660441002E-3</v>
          </cell>
          <cell r="W25">
            <v>2.2034531365260198E-3</v>
          </cell>
          <cell r="Y25">
            <v>1.2671331732903199</v>
          </cell>
          <cell r="Z25">
            <v>1.26674824022963</v>
          </cell>
          <cell r="AA25">
            <v>1.2668436667672001</v>
          </cell>
          <cell r="AF25">
            <v>3.9361354062503802E-4</v>
          </cell>
          <cell r="AG25">
            <v>4.1093920413769701E-4</v>
          </cell>
          <cell r="AR25">
            <v>0</v>
          </cell>
          <cell r="BC25">
            <v>0</v>
          </cell>
          <cell r="BF25">
            <v>0</v>
          </cell>
        </row>
        <row r="26">
          <cell r="O26">
            <v>1.26844555541175</v>
          </cell>
          <cell r="P26">
            <v>1.2689239383305599</v>
          </cell>
          <cell r="Q26">
            <v>1.2688953761253099</v>
          </cell>
          <cell r="U26">
            <v>1.8127011979099199E-3</v>
          </cell>
          <cell r="V26">
            <v>2.6693737521661502E-3</v>
          </cell>
          <cell r="W26">
            <v>2.2097215106277302E-3</v>
          </cell>
          <cell r="Y26">
            <v>1.2671331732903199</v>
          </cell>
          <cell r="Z26">
            <v>1.26663079261221</v>
          </cell>
          <cell r="AA26">
            <v>1.2667977367013801</v>
          </cell>
          <cell r="AF26">
            <v>3.4816274954440501E-4</v>
          </cell>
          <cell r="AG26">
            <v>4.2349180104269102E-4</v>
          </cell>
          <cell r="AR26">
            <v>0</v>
          </cell>
          <cell r="BC26">
            <v>0</v>
          </cell>
          <cell r="BF26">
            <v>0</v>
          </cell>
        </row>
        <row r="27">
          <cell r="O27">
            <v>1.26844555541175</v>
          </cell>
          <cell r="P27">
            <v>1.26831565521182</v>
          </cell>
          <cell r="Q27">
            <v>1.26883354398141</v>
          </cell>
          <cell r="U27">
            <v>1.9383535136004799E-3</v>
          </cell>
          <cell r="V27">
            <v>2.31542348756881E-3</v>
          </cell>
          <cell r="W27">
            <v>2.2929142371371099E-3</v>
          </cell>
          <cell r="Y27">
            <v>1.2671331732903199</v>
          </cell>
          <cell r="Z27">
            <v>1.2665134911843201</v>
          </cell>
          <cell r="AA27">
            <v>1.2667438772411901</v>
          </cell>
          <cell r="AF27">
            <v>3.8068695790659203E-4</v>
          </cell>
          <cell r="AG27">
            <v>5.1247997079567197E-4</v>
          </cell>
          <cell r="AR27">
            <v>0</v>
          </cell>
          <cell r="BC27">
            <v>0</v>
          </cell>
          <cell r="BF27">
            <v>0</v>
          </cell>
        </row>
        <row r="28">
          <cell r="O28">
            <v>1.26844555541175</v>
          </cell>
          <cell r="P28">
            <v>1.26775164453292</v>
          </cell>
          <cell r="Q28">
            <v>1.2688156406878099</v>
          </cell>
          <cell r="U28">
            <v>1.71766838261248E-3</v>
          </cell>
          <cell r="V28">
            <v>1.61525417073917E-3</v>
          </cell>
          <cell r="W28">
            <v>2.0234988076309902E-3</v>
          </cell>
          <cell r="Y28">
            <v>1.2671331732903199</v>
          </cell>
          <cell r="Z28">
            <v>1.2664399944843101</v>
          </cell>
          <cell r="AA28">
            <v>1.2667338852855099</v>
          </cell>
          <cell r="AF28">
            <v>6.8385115150423705E-5</v>
          </cell>
          <cell r="AG28">
            <v>2.50274298916683E-4</v>
          </cell>
          <cell r="AR28">
            <v>0</v>
          </cell>
          <cell r="BC28">
            <v>0</v>
          </cell>
          <cell r="BF28">
            <v>0</v>
          </cell>
        </row>
        <row r="29">
          <cell r="O29">
            <v>1.26844555541175</v>
          </cell>
          <cell r="P29">
            <v>1.26706691477523</v>
          </cell>
          <cell r="Q29">
            <v>1.2687398783155299</v>
          </cell>
          <cell r="U29">
            <v>1.9383535136004799E-3</v>
          </cell>
          <cell r="V29">
            <v>1.3911477236378601E-3</v>
          </cell>
          <cell r="W29">
            <v>2.2300737978587599E-3</v>
          </cell>
          <cell r="Y29">
            <v>1.2671331732903199</v>
          </cell>
          <cell r="Z29">
            <v>1.2662468164788001</v>
          </cell>
          <cell r="AA29">
            <v>1.26666609559695</v>
          </cell>
          <cell r="AF29">
            <v>2.3004124422512401E-4</v>
          </cell>
          <cell r="AG29">
            <v>4.6207490355660902E-4</v>
          </cell>
          <cell r="AR29">
            <v>0</v>
          </cell>
          <cell r="BC29">
            <v>0</v>
          </cell>
          <cell r="BF29">
            <v>0</v>
          </cell>
        </row>
        <row r="30">
          <cell r="O30">
            <v>1.26844555541175</v>
          </cell>
          <cell r="P30">
            <v>1.2665474480066901</v>
          </cell>
          <cell r="Q30">
            <v>1.26871604757152</v>
          </cell>
          <cell r="U30">
            <v>1.9684788080809698E-3</v>
          </cell>
          <cell r="V30">
            <v>8.8101362019764101E-4</v>
          </cell>
          <cell r="W30">
            <v>2.20048621375142E-3</v>
          </cell>
          <cell r="Y30">
            <v>1.2671331732903199</v>
          </cell>
          <cell r="Z30">
            <v>1.26621739434575</v>
          </cell>
          <cell r="AA30">
            <v>1.2666502256608401</v>
          </cell>
          <cell r="AF30">
            <v>1.07802456849821E-4</v>
          </cell>
          <cell r="AG30">
            <v>4.38867232098005E-4</v>
          </cell>
          <cell r="AR30">
            <v>0</v>
          </cell>
          <cell r="BC30">
            <v>0</v>
          </cell>
          <cell r="BF30">
            <v>0</v>
          </cell>
        </row>
        <row r="31">
          <cell r="O31">
            <v>1.26844555541175</v>
          </cell>
          <cell r="P31">
            <v>1.26605624990176</v>
          </cell>
          <cell r="Q31">
            <v>1.2686961469039699</v>
          </cell>
          <cell r="U31">
            <v>1.5286472032641401E-3</v>
          </cell>
          <cell r="V31">
            <v>3.1122155086357301E-5</v>
          </cell>
          <cell r="W31">
            <v>1.74187143026515E-3</v>
          </cell>
          <cell r="Y31">
            <v>1.2671331732903199</v>
          </cell>
          <cell r="Z31">
            <v>1.2662155332574001</v>
          </cell>
          <cell r="AA31">
            <v>1.2666381639261799</v>
          </cell>
          <cell r="AF31">
            <v>-3.5328547827187301E-4</v>
          </cell>
          <cell r="AG31">
            <v>-1.15137126385222E-5</v>
          </cell>
          <cell r="AR31">
            <v>0</v>
          </cell>
          <cell r="BC31">
            <v>0</v>
          </cell>
          <cell r="BF31">
            <v>0</v>
          </cell>
        </row>
        <row r="32">
          <cell r="O32">
            <v>1.26844555541175</v>
          </cell>
          <cell r="P32">
            <v>1.26620775531497</v>
          </cell>
          <cell r="Q32">
            <v>1.26869794795393</v>
          </cell>
          <cell r="U32">
            <v>9.3358619195334897E-4</v>
          </cell>
          <cell r="V32">
            <v>-9.5183855919825497E-4</v>
          </cell>
          <cell r="W32">
            <v>1.1311246209680401E-3</v>
          </cell>
          <cell r="Y32">
            <v>1.2671331732903199</v>
          </cell>
          <cell r="Z32">
            <v>1.26636635386121</v>
          </cell>
          <cell r="AA32">
            <v>1.26664766904846</v>
          </cell>
          <cell r="AF32">
            <v>-9.4761454582299297E-4</v>
          </cell>
          <cell r="AG32">
            <v>-6.1389556855617397E-4</v>
          </cell>
          <cell r="AR32">
            <v>0</v>
          </cell>
          <cell r="BC32">
            <v>0</v>
          </cell>
          <cell r="BF32">
            <v>0</v>
          </cell>
        </row>
        <row r="33">
          <cell r="O33">
            <v>1.26844555541175</v>
          </cell>
          <cell r="P33">
            <v>1.2662837857271301</v>
          </cell>
          <cell r="Q33">
            <v>1.26850718490172</v>
          </cell>
          <cell r="U33">
            <v>1.4034006238977199E-3</v>
          </cell>
          <cell r="V33">
            <v>-3.6236408148331597E-4</v>
          </cell>
          <cell r="W33">
            <v>1.60235865892671E-3</v>
          </cell>
          <cell r="Y33">
            <v>1.2671331732903199</v>
          </cell>
          <cell r="Z33">
            <v>1.2664419696775699</v>
          </cell>
          <cell r="AA33">
            <v>1.2667026533207399</v>
          </cell>
          <cell r="AF33">
            <v>-3.6049205682578699E-4</v>
          </cell>
          <cell r="AG33">
            <v>-1.3837312194111799E-4</v>
          </cell>
          <cell r="AR33">
            <v>0</v>
          </cell>
          <cell r="BC33">
            <v>0</v>
          </cell>
          <cell r="BF33">
            <v>0</v>
          </cell>
        </row>
        <row r="34">
          <cell r="O34">
            <v>1.26844555541175</v>
          </cell>
          <cell r="P34">
            <v>1.2662844641662601</v>
          </cell>
          <cell r="Q34">
            <v>1.2681828783279101</v>
          </cell>
          <cell r="U34">
            <v>1.9984616352087198E-3</v>
          </cell>
          <cell r="V34">
            <v>2.9274089124277001E-4</v>
          </cell>
          <cell r="W34">
            <v>2.0470470810462198E-3</v>
          </cell>
          <cell r="Y34">
            <v>1.2671331732903199</v>
          </cell>
          <cell r="Z34">
            <v>1.26644250298045</v>
          </cell>
          <cell r="AA34">
            <v>1.2666241596140599</v>
          </cell>
          <cell r="AF34">
            <v>2.9207627934048802E-4</v>
          </cell>
          <cell r="AG34">
            <v>4.9789448784545297E-4</v>
          </cell>
          <cell r="AR34">
            <v>0</v>
          </cell>
          <cell r="BC34">
            <v>0</v>
          </cell>
          <cell r="BF34">
            <v>0</v>
          </cell>
        </row>
        <row r="35">
          <cell r="O35">
            <v>1.26844555541175</v>
          </cell>
          <cell r="P35">
            <v>1.26632043472378</v>
          </cell>
          <cell r="Q35">
            <v>1.2679265491053799</v>
          </cell>
          <cell r="U35">
            <v>1.5286472032641401E-3</v>
          </cell>
          <cell r="V35">
            <v>-1.7653776905290401E-4</v>
          </cell>
          <cell r="W35">
            <v>1.3215399412886801E-3</v>
          </cell>
          <cell r="Y35">
            <v>1.2671331732903199</v>
          </cell>
          <cell r="Z35">
            <v>1.2664782556949701</v>
          </cell>
          <cell r="AA35">
            <v>1.2666132479623</v>
          </cell>
          <cell r="AF35">
            <v>-1.75520879457233E-4</v>
          </cell>
          <cell r="AG35">
            <v>-3.2092649474729799E-5</v>
          </cell>
          <cell r="AR35">
            <v>0</v>
          </cell>
          <cell r="BC35">
            <v>0</v>
          </cell>
          <cell r="BF35">
            <v>0</v>
          </cell>
        </row>
        <row r="36">
          <cell r="O36">
            <v>1.26844555541175</v>
          </cell>
          <cell r="P36">
            <v>1.26688081076954</v>
          </cell>
          <cell r="Q36">
            <v>1.2679023745500499</v>
          </cell>
          <cell r="U36">
            <v>-2.6033661464189201E-3</v>
          </cell>
          <cell r="V36">
            <v>-4.2801451423206301E-3</v>
          </cell>
          <cell r="W36">
            <v>-3.0126170703613201E-3</v>
          </cell>
          <cell r="Y36">
            <v>1.2671331732903199</v>
          </cell>
          <cell r="Z36">
            <v>1.2665690354002701</v>
          </cell>
          <cell r="AA36">
            <v>1.2665999140062401</v>
          </cell>
          <cell r="AF36">
            <v>-5.8162036811180799E-4</v>
          </cell>
          <cell r="AG36">
            <v>-4.7503735106663099E-4</v>
          </cell>
          <cell r="AR36">
            <v>0</v>
          </cell>
          <cell r="BC36">
            <v>0</v>
          </cell>
          <cell r="BF36">
            <v>0</v>
          </cell>
        </row>
        <row r="37">
          <cell r="O37">
            <v>1.26844555541175</v>
          </cell>
          <cell r="P37">
            <v>1.2674895239125701</v>
          </cell>
          <cell r="Q37">
            <v>1.2679025895622</v>
          </cell>
          <cell r="U37">
            <v>-2.8583255555786002E-3</v>
          </cell>
          <cell r="V37">
            <v>-4.0926793348516101E-3</v>
          </cell>
          <cell r="W37">
            <v>-3.2866428724520301E-3</v>
          </cell>
          <cell r="Y37">
            <v>1.2671331732903199</v>
          </cell>
          <cell r="Z37">
            <v>1.2667073259357</v>
          </cell>
          <cell r="AA37">
            <v>1.2666104085600101</v>
          </cell>
          <cell r="AF37">
            <v>-7.5968929244152295E-4</v>
          </cell>
          <cell r="AG37">
            <v>-7.35309863680532E-4</v>
          </cell>
          <cell r="AR37">
            <v>0</v>
          </cell>
          <cell r="BC37">
            <v>0</v>
          </cell>
          <cell r="BF37">
            <v>0</v>
          </cell>
        </row>
        <row r="38">
          <cell r="O38">
            <v>1.26844555541175</v>
          </cell>
          <cell r="P38">
            <v>1.2679671358528699</v>
          </cell>
          <cell r="Q38">
            <v>1.2678593901929001</v>
          </cell>
          <cell r="U38">
            <v>-2.0470419461844202E-3</v>
          </cell>
          <cell r="V38">
            <v>-2.8010293429960799E-3</v>
          </cell>
          <cell r="W38">
            <v>-2.4751896820757202E-3</v>
          </cell>
          <cell r="Y38">
            <v>1.2671331732903199</v>
          </cell>
          <cell r="Z38">
            <v>1.26671512998683</v>
          </cell>
          <cell r="AA38">
            <v>1.2665775622355699</v>
          </cell>
          <cell r="AF38">
            <v>1.5979865095467201E-4</v>
          </cell>
          <cell r="AG38">
            <v>8.3284462137157302E-5</v>
          </cell>
          <cell r="AR38">
            <v>0</v>
          </cell>
          <cell r="BC38">
            <v>0</v>
          </cell>
          <cell r="BF38">
            <v>0</v>
          </cell>
        </row>
        <row r="39">
          <cell r="O39">
            <v>1.26844555541175</v>
          </cell>
          <cell r="P39">
            <v>1.2685596250023301</v>
          </cell>
          <cell r="Q39">
            <v>1.2678132698887801</v>
          </cell>
          <cell r="U39">
            <v>-2.73077796001347E-3</v>
          </cell>
          <cell r="V39">
            <v>-3.1080190660862398E-3</v>
          </cell>
          <cell r="W39">
            <v>-3.19299779703173E-3</v>
          </cell>
          <cell r="Y39">
            <v>1.2671331732903199</v>
          </cell>
          <cell r="Z39">
            <v>1.2668375851340199</v>
          </cell>
          <cell r="AA39">
            <v>1.26654220080641</v>
          </cell>
          <cell r="AF39">
            <v>-5.1941050292845104E-4</v>
          </cell>
          <cell r="AG39">
            <v>-6.2801836479805205E-4</v>
          </cell>
          <cell r="AR39">
            <v>0</v>
          </cell>
          <cell r="BC39">
            <v>0</v>
          </cell>
          <cell r="BF39">
            <v>0</v>
          </cell>
        </row>
        <row r="40">
          <cell r="O40">
            <v>1.26844555541175</v>
          </cell>
          <cell r="P40">
            <v>1.2690639786529401</v>
          </cell>
          <cell r="Q40">
            <v>1.26780571332981</v>
          </cell>
          <cell r="U40">
            <v>-2.0075960960297201E-3</v>
          </cell>
          <cell r="V40">
            <v>-1.9176714939535199E-3</v>
          </cell>
          <cell r="W40">
            <v>-2.50619310810366E-3</v>
          </cell>
          <cell r="Y40">
            <v>1.2671331732903199</v>
          </cell>
          <cell r="Z40">
            <v>1.26687314246798</v>
          </cell>
          <cell r="AA40">
            <v>1.2665452684068701</v>
          </cell>
          <cell r="AF40">
            <v>2.9344488879614E-4</v>
          </cell>
          <cell r="AG40">
            <v>6.0251010333049001E-5</v>
          </cell>
          <cell r="AR40">
            <v>0</v>
          </cell>
          <cell r="BC40">
            <v>0</v>
          </cell>
          <cell r="BF40">
            <v>0</v>
          </cell>
        </row>
        <row r="41">
          <cell r="O41">
            <v>1.26844555541175</v>
          </cell>
          <cell r="P41">
            <v>1.26919141823737</v>
          </cell>
          <cell r="Q41">
            <v>1.26762383406957</v>
          </cell>
          <cell r="U41">
            <v>5.2292511026977003E-4</v>
          </cell>
          <cell r="V41">
            <v>1.0103504737045601E-3</v>
          </cell>
          <cell r="W41">
            <v>1.8367771334200699E-5</v>
          </cell>
          <cell r="Y41">
            <v>1.2671331732903199</v>
          </cell>
          <cell r="Z41">
            <v>1.2670097661916</v>
          </cell>
          <cell r="AA41">
            <v>1.2666126497245001</v>
          </cell>
          <cell r="AF41">
            <v>-9.1356860364132499E-4</v>
          </cell>
          <cell r="AG41">
            <v>-1.1724078554091199E-3</v>
          </cell>
          <cell r="AR41">
            <v>0</v>
          </cell>
          <cell r="BC41">
            <v>0</v>
          </cell>
          <cell r="BF41">
            <v>0</v>
          </cell>
        </row>
        <row r="42">
          <cell r="O42">
            <v>1.26844555541175</v>
          </cell>
          <cell r="P42">
            <v>1.2691239247127599</v>
          </cell>
          <cell r="Q42">
            <v>1.2676658400138601</v>
          </cell>
          <cell r="U42">
            <v>1.46632140665314E-3</v>
          </cell>
          <cell r="V42">
            <v>2.0541618699162398E-3</v>
          </cell>
          <cell r="W42">
            <v>8.1829389261640895E-4</v>
          </cell>
          <cell r="Y42">
            <v>1.2671331732903199</v>
          </cell>
          <cell r="Z42">
            <v>1.26695260986346</v>
          </cell>
          <cell r="AA42">
            <v>1.26665948186233</v>
          </cell>
          <cell r="AF42">
            <v>1.3050732402145E-4</v>
          </cell>
          <cell r="AG42">
            <v>-1.82969907515196E-4</v>
          </cell>
          <cell r="AR42">
            <v>9.4339629638337205E-4</v>
          </cell>
          <cell r="BC42">
            <v>0</v>
          </cell>
          <cell r="BF42">
            <v>9.4339629638337205E-4</v>
          </cell>
        </row>
        <row r="43">
          <cell r="O43">
            <v>1.26844555541175</v>
          </cell>
          <cell r="P43">
            <v>1.26926755128368</v>
          </cell>
          <cell r="Q43">
            <v>1.2677756685054</v>
          </cell>
          <cell r="U43">
            <v>2.7014901522275802E-4</v>
          </cell>
          <cell r="V43">
            <v>8.04809699378118E-4</v>
          </cell>
          <cell r="W43">
            <v>-3.44741500914451E-4</v>
          </cell>
          <cell r="Y43">
            <v>1.2671331732903199</v>
          </cell>
          <cell r="Z43">
            <v>1.2671052624197501</v>
          </cell>
          <cell r="AA43">
            <v>1.26677361604866</v>
          </cell>
          <cell r="AF43">
            <v>-1.10193338761896E-3</v>
          </cell>
          <cell r="AG43">
            <v>-1.3333247702167299E-3</v>
          </cell>
          <cell r="AR43">
            <v>9.4339629638337205E-4</v>
          </cell>
          <cell r="BC43">
            <v>0</v>
          </cell>
          <cell r="BF43">
            <v>9.4339629638337205E-4</v>
          </cell>
        </row>
        <row r="44">
          <cell r="O44">
            <v>1.26844555541175</v>
          </cell>
          <cell r="P44">
            <v>1.26947479774112</v>
          </cell>
          <cell r="Q44">
            <v>1.2678796309536899</v>
          </cell>
          <cell r="U44">
            <v>3.6267012644198698E-4</v>
          </cell>
          <cell r="V44">
            <v>1.0104942626706799E-3</v>
          </cell>
          <cell r="W44">
            <v>-1.6558578089857E-4</v>
          </cell>
          <cell r="Y44">
            <v>1.2671331732903199</v>
          </cell>
          <cell r="Z44">
            <v>1.2673213963644701</v>
          </cell>
          <cell r="AA44">
            <v>1.2668819496724599</v>
          </cell>
          <cell r="AF44">
            <v>-8.8998217276576002E-4</v>
          </cell>
          <cell r="AG44">
            <v>-1.15175188544062E-3</v>
          </cell>
          <cell r="AR44">
            <v>1.035917407602492E-3</v>
          </cell>
          <cell r="BC44">
            <v>0</v>
          </cell>
          <cell r="BF44">
            <v>1.035917407602492E-3</v>
          </cell>
        </row>
        <row r="45">
          <cell r="O45">
            <v>1.26844555541175</v>
          </cell>
          <cell r="P45">
            <v>1.2695346789214299</v>
          </cell>
          <cell r="Q45">
            <v>1.26792755682261</v>
          </cell>
          <cell r="U45">
            <v>1.05595356659575E-3</v>
          </cell>
          <cell r="V45">
            <v>1.86704472988931E-3</v>
          </cell>
          <cell r="W45">
            <v>6.0969811757387597E-4</v>
          </cell>
          <cell r="Y45">
            <v>1.2671331732903199</v>
          </cell>
          <cell r="Z45">
            <v>1.26739106664926</v>
          </cell>
          <cell r="AA45">
            <v>1.26693466117211</v>
          </cell>
          <cell r="AF45">
            <v>-3.1653722693179697E-5</v>
          </cell>
          <cell r="AG45">
            <v>-3.7846622067170399E-4</v>
          </cell>
          <cell r="AR45">
            <v>1.7292008477561621E-3</v>
          </cell>
          <cell r="BC45">
            <v>0</v>
          </cell>
          <cell r="BF45">
            <v>1.7292008477561621E-3</v>
          </cell>
        </row>
        <row r="46">
          <cell r="O46">
            <v>1.26844555541175</v>
          </cell>
          <cell r="P46">
            <v>1.2690660571661401</v>
          </cell>
          <cell r="Q46">
            <v>1.2679734339678399</v>
          </cell>
          <cell r="U46">
            <v>1.08829112073904E-3</v>
          </cell>
          <cell r="V46">
            <v>1.94655121417961E-3</v>
          </cell>
          <cell r="W46">
            <v>6.7983497219146799E-4</v>
          </cell>
          <cell r="Y46">
            <v>1.2671331732903199</v>
          </cell>
          <cell r="Z46">
            <v>1.26740158227916</v>
          </cell>
          <cell r="AA46">
            <v>1.26698530883972</v>
          </cell>
          <cell r="AF46">
            <v>5.5888692956399203E-5</v>
          </cell>
          <cell r="AG46">
            <v>-3.0429032986407098E-4</v>
          </cell>
          <cell r="AR46">
            <v>1.761538401899552E-3</v>
          </cell>
          <cell r="BC46">
            <v>0</v>
          </cell>
          <cell r="BF46">
            <v>1.761538401899552E-3</v>
          </cell>
        </row>
        <row r="47">
          <cell r="O47">
            <v>1.26844555541175</v>
          </cell>
          <cell r="P47">
            <v>1.26856910420834</v>
          </cell>
          <cell r="Q47">
            <v>1.2680293140604599</v>
          </cell>
          <cell r="U47">
            <v>1.05595356659575E-3</v>
          </cell>
          <cell r="V47">
            <v>1.5450167603754199E-3</v>
          </cell>
          <cell r="W47">
            <v>6.8367954456090101E-4</v>
          </cell>
          <cell r="Y47">
            <v>1.2671331732903199</v>
          </cell>
          <cell r="Z47">
            <v>1.2673845735317799</v>
          </cell>
          <cell r="AA47">
            <v>1.2670459497337401</v>
          </cell>
          <cell r="AF47">
            <v>3.16162404548287E-5</v>
          </cell>
          <cell r="AG47">
            <v>-2.9688407230142301E-4</v>
          </cell>
          <cell r="AR47">
            <v>1.7292008477562723E-3</v>
          </cell>
          <cell r="BC47">
            <v>0</v>
          </cell>
          <cell r="BF47">
            <v>1.7292008477562723E-3</v>
          </cell>
        </row>
        <row r="48">
          <cell r="O48">
            <v>1.26844555541175</v>
          </cell>
          <cell r="P48">
            <v>1.26822773690382</v>
          </cell>
          <cell r="Q48">
            <v>1.2680974363783499</v>
          </cell>
          <cell r="U48">
            <v>6.4229317587284303E-4</v>
          </cell>
          <cell r="V48">
            <v>7.3969016663696702E-4</v>
          </cell>
          <cell r="W48">
            <v>3.14088579768587E-4</v>
          </cell>
          <cell r="Y48">
            <v>1.2671331732903199</v>
          </cell>
          <cell r="Z48">
            <v>1.2675223744394799</v>
          </cell>
          <cell r="AA48">
            <v>1.26711875221315</v>
          </cell>
          <cell r="AF48">
            <v>-3.9314158084692103E-4</v>
          </cell>
          <cell r="AG48">
            <v>-6.60360427010196E-4</v>
          </cell>
          <cell r="AR48">
            <v>1.3155404570335523E-3</v>
          </cell>
          <cell r="BC48">
            <v>0</v>
          </cell>
          <cell r="BF48">
            <v>1.3155404570335523E-3</v>
          </cell>
        </row>
        <row r="49">
          <cell r="O49">
            <v>1.26844555541175</v>
          </cell>
          <cell r="P49">
            <v>1.2677029903325601</v>
          </cell>
          <cell r="Q49">
            <v>1.2681313076674501</v>
          </cell>
          <cell r="U49">
            <v>1.40340062389794E-3</v>
          </cell>
          <cell r="V49">
            <v>1.2316650605259799E-3</v>
          </cell>
          <cell r="W49">
            <v>1.1289175682416301E-3</v>
          </cell>
          <cell r="Y49">
            <v>1.2671331732903199</v>
          </cell>
          <cell r="Z49">
            <v>1.2674777583263599</v>
          </cell>
          <cell r="AA49">
            <v>1.26715767173019</v>
          </cell>
          <cell r="AF49">
            <v>4.6975847037877198E-4</v>
          </cell>
          <cell r="AG49">
            <v>1.5127375434550701E-4</v>
          </cell>
          <cell r="AR49">
            <v>2.0766479050585524E-3</v>
          </cell>
          <cell r="BC49">
            <v>0</v>
          </cell>
          <cell r="BF49">
            <v>2.0766479050585524E-3</v>
          </cell>
        </row>
        <row r="50">
          <cell r="O50">
            <v>1.26844555541175</v>
          </cell>
          <cell r="P50">
            <v>1.26730255549213</v>
          </cell>
          <cell r="Q50">
            <v>1.2681832670725299</v>
          </cell>
          <cell r="U50">
            <v>1.1479401550159301E-3</v>
          </cell>
          <cell r="V50">
            <v>5.6235529117862901E-4</v>
          </cell>
          <cell r="W50">
            <v>9.0016706326406998E-4</v>
          </cell>
          <cell r="Y50">
            <v>1.2671331732903199</v>
          </cell>
          <cell r="Z50">
            <v>1.2675560286471499</v>
          </cell>
          <cell r="AA50">
            <v>1.2672145855575601</v>
          </cell>
          <cell r="AF50">
            <v>1.8081830463468799E-4</v>
          </cell>
          <cell r="AG50">
            <v>-7.1751823655641695E-5</v>
          </cell>
          <cell r="AR50">
            <v>2.0766479050585524E-3</v>
          </cell>
          <cell r="BC50">
            <v>0</v>
          </cell>
          <cell r="BF50">
            <v>2.0766479050585524E-3</v>
          </cell>
        </row>
        <row r="51">
          <cell r="O51">
            <v>1.26844555541175</v>
          </cell>
          <cell r="P51">
            <v>1.2672192280685399</v>
          </cell>
          <cell r="Q51">
            <v>1.26820532315295</v>
          </cell>
          <cell r="U51">
            <v>1.1804103230517E-3</v>
          </cell>
          <cell r="V51">
            <v>2.7890122431644499E-4</v>
          </cell>
          <cell r="W51">
            <v>9.73609597749595E-4</v>
          </cell>
          <cell r="Y51">
            <v>1.2671331732903199</v>
          </cell>
          <cell r="Z51">
            <v>1.26747363838484</v>
          </cell>
          <cell r="AA51">
            <v>1.2672417022882201</v>
          </cell>
          <cell r="AF51">
            <v>2.7527971721365399E-4</v>
          </cell>
          <cell r="AG51">
            <v>5.8722294209131497E-6</v>
          </cell>
          <cell r="AR51">
            <v>2.0766479050585524E-3</v>
          </cell>
          <cell r="BC51">
            <v>0</v>
          </cell>
          <cell r="BF51">
            <v>2.0766479050585524E-3</v>
          </cell>
        </row>
        <row r="52">
          <cell r="O52">
            <v>1.26844555541175</v>
          </cell>
          <cell r="P52">
            <v>1.2672191559661701</v>
          </cell>
          <cell r="Q52">
            <v>1.26817154033947</v>
          </cell>
          <cell r="U52">
            <v>1.4668906718539299E-3</v>
          </cell>
          <cell r="V52">
            <v>4.9962761183268997E-4</v>
          </cell>
          <cell r="W52">
            <v>1.2774816668156099E-3</v>
          </cell>
          <cell r="Y52">
            <v>1.2671331732903199</v>
          </cell>
          <cell r="Z52">
            <v>1.2674737980027599</v>
          </cell>
          <cell r="AA52">
            <v>1.2672132039331101</v>
          </cell>
          <cell r="AF52">
            <v>4.9529607651415503E-4</v>
          </cell>
          <cell r="AG52">
            <v>3.1228846729918202E-4</v>
          </cell>
          <cell r="AR52">
            <v>2.0766479050585524E-3</v>
          </cell>
          <cell r="BC52">
            <v>0</v>
          </cell>
          <cell r="BF52">
            <v>2.0766479050585524E-3</v>
          </cell>
        </row>
        <row r="53">
          <cell r="O53">
            <v>1.26844555541175</v>
          </cell>
          <cell r="P53">
            <v>1.2671361354558599</v>
          </cell>
          <cell r="Q53">
            <v>1.2682018433697699</v>
          </cell>
          <cell r="U53">
            <v>9.2504615412089802E-4</v>
          </cell>
          <cell r="V53">
            <v>-4.2273804003419302E-5</v>
          </cell>
          <cell r="W53">
            <v>7.0899851034128103E-4</v>
          </cell>
          <cell r="Y53">
            <v>1.2671331732903199</v>
          </cell>
          <cell r="Z53">
            <v>1.2673917108599799</v>
          </cell>
          <cell r="AA53">
            <v>1.2672484866398599</v>
          </cell>
          <cell r="AF53">
            <v>-4.3240432383845097E-5</v>
          </cell>
          <cell r="AG53">
            <v>-2.4886272055478698E-4</v>
          </cell>
          <cell r="AR53">
            <v>2.0766479050585524E-3</v>
          </cell>
          <cell r="BC53">
            <v>0</v>
          </cell>
          <cell r="BF53">
            <v>2.0766479050585524E-3</v>
          </cell>
        </row>
        <row r="54">
          <cell r="O54">
            <v>1.26844555541175</v>
          </cell>
          <cell r="P54">
            <v>1.26707683625276</v>
          </cell>
          <cell r="Q54">
            <v>1.2682758169969399</v>
          </cell>
          <cell r="U54">
            <v>8.3044415291435398E-4</v>
          </cell>
          <cell r="V54">
            <v>-2.02391883890885E-4</v>
          </cell>
          <cell r="W54">
            <v>6.3829127991175299E-4</v>
          </cell>
          <cell r="Y54">
            <v>1.2671331732903199</v>
          </cell>
          <cell r="Z54">
            <v>1.26733307831787</v>
          </cell>
          <cell r="AA54">
            <v>1.2673272373411699</v>
          </cell>
          <cell r="AF54">
            <v>-2.0151896283176999E-4</v>
          </cell>
          <cell r="AG54">
            <v>-3.1453241571486798E-4</v>
          </cell>
          <cell r="AR54">
            <v>2.0766479050585524E-3</v>
          </cell>
          <cell r="BC54">
            <v>0</v>
          </cell>
          <cell r="BF54">
            <v>2.0766479050585524E-3</v>
          </cell>
        </row>
        <row r="55">
          <cell r="O55">
            <v>1.26844555541175</v>
          </cell>
          <cell r="P55">
            <v>1.26704093882436</v>
          </cell>
          <cell r="Q55">
            <v>1.2682878088728999</v>
          </cell>
          <cell r="U55">
            <v>1.33929600513812E-3</v>
          </cell>
          <cell r="V55">
            <v>2.5966105776113301E-4</v>
          </cell>
          <cell r="W55">
            <v>1.2054709686831399E-3</v>
          </cell>
          <cell r="Y55">
            <v>1.2671331732903199</v>
          </cell>
          <cell r="Z55">
            <v>1.2672978205409</v>
          </cell>
          <cell r="AA55">
            <v>1.26734444359508</v>
          </cell>
          <cell r="AF55">
            <v>2.5580103103615601E-4</v>
          </cell>
          <cell r="AG55">
            <v>2.5119214781228099E-4</v>
          </cell>
          <cell r="AR55">
            <v>2.0766479050585524E-3</v>
          </cell>
          <cell r="BC55">
            <v>0</v>
          </cell>
          <cell r="BF55">
            <v>2.0766479050585524E-3</v>
          </cell>
        </row>
        <row r="56">
          <cell r="O56">
            <v>1.26844555541175</v>
          </cell>
          <cell r="P56">
            <v>1.2674354482221299</v>
          </cell>
          <cell r="Q56">
            <v>1.26825075269413</v>
          </cell>
          <cell r="U56">
            <v>-2.0204383766989102E-3</v>
          </cell>
          <cell r="V56">
            <v>-3.1284046263971199E-3</v>
          </cell>
          <cell r="W56">
            <v>-2.1448081991512799E-3</v>
          </cell>
          <cell r="Y56">
            <v>1.2671331732903199</v>
          </cell>
          <cell r="Z56">
            <v>1.26721304188814</v>
          </cell>
          <cell r="AA56">
            <v>1.26730731208365</v>
          </cell>
          <cell r="AF56">
            <v>6.5149655364616602E-4</v>
          </cell>
          <cell r="AG56">
            <v>6.8828521991580796E-4</v>
          </cell>
          <cell r="AR56">
            <v>2.0766479050585524E-3</v>
          </cell>
          <cell r="BC56">
            <v>0</v>
          </cell>
          <cell r="BF56">
            <v>2.0766479050585524E-3</v>
          </cell>
        </row>
        <row r="57">
          <cell r="O57">
            <v>1.26844555541175</v>
          </cell>
          <cell r="P57">
            <v>1.2679697242416399</v>
          </cell>
          <cell r="Q57">
            <v>1.26826941422499</v>
          </cell>
          <cell r="U57">
            <v>-3.15168520170872E-3</v>
          </cell>
          <cell r="V57">
            <v>-3.9483371278866298E-3</v>
          </cell>
          <cell r="W57">
            <v>-3.3052729350006899E-3</v>
          </cell>
          <cell r="Y57">
            <v>1.2671331732903199</v>
          </cell>
          <cell r="Z57">
            <v>1.26726500575326</v>
          </cell>
          <cell r="AA57">
            <v>1.2673247896425199</v>
          </cell>
          <cell r="AF57">
            <v>-5.2708827922825499E-4</v>
          </cell>
          <cell r="AG57">
            <v>-4.5269929639205601E-4</v>
          </cell>
          <cell r="AR57">
            <v>2.0766479050585524E-3</v>
          </cell>
          <cell r="BC57">
            <v>0</v>
          </cell>
          <cell r="BF57">
            <v>2.0766479050585524E-3</v>
          </cell>
        </row>
        <row r="58">
          <cell r="O58">
            <v>1.26844555541175</v>
          </cell>
          <cell r="P58">
            <v>1.26838516359906</v>
          </cell>
          <cell r="Q58">
            <v>1.2683064502514401</v>
          </cell>
          <cell r="U58">
            <v>-2.6296372989816599E-3</v>
          </cell>
          <cell r="V58">
            <v>-3.0048370381713799E-3</v>
          </cell>
          <cell r="W58">
            <v>-2.7685107547359899E-3</v>
          </cell>
          <cell r="Y58">
            <v>1.2671331732903199</v>
          </cell>
          <cell r="Z58">
            <v>1.26720026551314</v>
          </cell>
          <cell r="AA58">
            <v>1.2673613199763101</v>
          </cell>
          <cell r="AF58">
            <v>2.3259092625628202E-5</v>
          </cell>
          <cell r="AG58">
            <v>7.0433502763893297E-5</v>
          </cell>
          <cell r="AR58">
            <v>2.0766479050585524E-3</v>
          </cell>
          <cell r="BC58">
            <v>0</v>
          </cell>
          <cell r="BF58">
            <v>2.0766479050585524E-3</v>
          </cell>
        </row>
        <row r="59">
          <cell r="O59">
            <v>1.26844555541175</v>
          </cell>
          <cell r="P59">
            <v>1.2688631047755301</v>
          </cell>
          <cell r="Q59">
            <v>1.2682830475540401</v>
          </cell>
          <cell r="U59">
            <v>-2.3627184526181901E-3</v>
          </cell>
          <cell r="V59">
            <v>-2.41033046886629E-3</v>
          </cell>
          <cell r="W59">
            <v>-2.4723903165963998E-3</v>
          </cell>
          <cell r="Y59">
            <v>1.2671331732903199</v>
          </cell>
          <cell r="Z59">
            <v>1.26719507163833</v>
          </cell>
          <cell r="AA59">
            <v>1.2673364149823501</v>
          </cell>
          <cell r="AF59">
            <v>2.56598017346521E-4</v>
          </cell>
          <cell r="AG59">
            <v>3.83684661684147E-4</v>
          </cell>
          <cell r="AR59">
            <v>2.0766479050585524E-3</v>
          </cell>
          <cell r="BC59">
            <v>0</v>
          </cell>
          <cell r="BF59">
            <v>2.0766479050585524E-3</v>
          </cell>
        </row>
        <row r="60">
          <cell r="O60">
            <v>1.26844555541175</v>
          </cell>
          <cell r="P60">
            <v>1.2693699580022599</v>
          </cell>
          <cell r="Q60">
            <v>1.2683362567471901</v>
          </cell>
          <cell r="U60">
            <v>-2.8445300735988701E-3</v>
          </cell>
          <cell r="V60">
            <v>-2.5154023059787201E-3</v>
          </cell>
          <cell r="W60">
            <v>-2.9726540343113302E-3</v>
          </cell>
          <cell r="Y60">
            <v>1.2671331732903199</v>
          </cell>
          <cell r="Z60">
            <v>1.26721830768736</v>
          </cell>
          <cell r="AA60">
            <v>1.2673871681672599</v>
          </cell>
          <cell r="AF60">
            <v>-2.25578903131354E-4</v>
          </cell>
          <cell r="AG60">
            <v>-1.14044803117265E-4</v>
          </cell>
          <cell r="AR60">
            <v>2.0766479050585524E-3</v>
          </cell>
          <cell r="BC60">
            <v>0</v>
          </cell>
          <cell r="BF60">
            <v>2.0766479050585524E-3</v>
          </cell>
        </row>
        <row r="61">
          <cell r="O61">
            <v>1.26844555541175</v>
          </cell>
          <cell r="P61">
            <v>1.2698423199152999</v>
          </cell>
          <cell r="Q61">
            <v>1.26853077399192</v>
          </cell>
          <cell r="U61">
            <v>-2.54099815982912E-3</v>
          </cell>
          <cell r="V61">
            <v>-1.8124955350319501E-3</v>
          </cell>
          <cell r="W61">
            <v>-2.6271692795576201E-3</v>
          </cell>
          <cell r="Y61">
            <v>1.2671331732903199</v>
          </cell>
          <cell r="Z61">
            <v>1.26720917702286</v>
          </cell>
          <cell r="AA61">
            <v>1.2673414077038501</v>
          </cell>
          <cell r="AF61">
            <v>8.0865522774405802E-5</v>
          </cell>
          <cell r="AG61">
            <v>2.1410951814416801E-4</v>
          </cell>
          <cell r="AR61">
            <v>2.0766479050585524E-3</v>
          </cell>
          <cell r="BC61">
            <v>0</v>
          </cell>
          <cell r="BF61">
            <v>2.0766479050585524E-3</v>
          </cell>
        </row>
        <row r="62">
          <cell r="O62">
            <v>1.26844555541175</v>
          </cell>
          <cell r="P62">
            <v>1.2703404386869801</v>
          </cell>
          <cell r="Q62">
            <v>1.26877979732658</v>
          </cell>
          <cell r="U62">
            <v>-2.4581625208563401E-3</v>
          </cell>
          <cell r="V62">
            <v>-1.3576059936764001E-3</v>
          </cell>
          <cell r="W62">
            <v>-2.3909813026415502E-3</v>
          </cell>
          <cell r="Y62">
            <v>1.2671331732903199</v>
          </cell>
          <cell r="Z62">
            <v>1.2672279334713801</v>
          </cell>
          <cell r="AA62">
            <v>1.26735086573707</v>
          </cell>
          <cell r="AF62">
            <v>1.3857664667083199E-4</v>
          </cell>
          <cell r="AG62">
            <v>2.4291915370656101E-4</v>
          </cell>
          <cell r="AR62">
            <v>2.0766479050585524E-3</v>
          </cell>
          <cell r="BC62">
            <v>0</v>
          </cell>
          <cell r="BF62">
            <v>2.0766479050585524E-3</v>
          </cell>
        </row>
        <row r="63">
          <cell r="O63">
            <v>1.26844555541175</v>
          </cell>
          <cell r="P63">
            <v>1.2703446361905699</v>
          </cell>
          <cell r="Q63">
            <v>1.26874038582322</v>
          </cell>
          <cell r="U63">
            <v>8.9192436442562801E-4</v>
          </cell>
          <cell r="V63">
            <v>2.3846721828667001E-3</v>
          </cell>
          <cell r="W63">
            <v>1.15539478607635E-3</v>
          </cell>
          <cell r="Y63">
            <v>1.2671331732903199</v>
          </cell>
          <cell r="Z63">
            <v>1.2672598162133899</v>
          </cell>
          <cell r="AA63">
            <v>1.2673257635366799</v>
          </cell>
          <cell r="AF63">
            <v>-4.8874228521653899E-4</v>
          </cell>
          <cell r="AG63">
            <v>-3.9173818668467502E-4</v>
          </cell>
          <cell r="AR63">
            <v>2.0766479050585524E-3</v>
          </cell>
          <cell r="BC63">
            <v>0</v>
          </cell>
          <cell r="BF63">
            <v>2.0766479050585524E-3</v>
          </cell>
        </row>
        <row r="64">
          <cell r="O64">
            <v>1.26844555541175</v>
          </cell>
          <cell r="P64">
            <v>1.2702114348486599</v>
          </cell>
          <cell r="Q64">
            <v>1.2686441355507101</v>
          </cell>
          <cell r="U64">
            <v>1.8819840261885901E-3</v>
          </cell>
          <cell r="V64">
            <v>3.3780360743682299E-3</v>
          </cell>
          <cell r="W64">
            <v>2.1143914410309802E-3</v>
          </cell>
          <cell r="Y64">
            <v>1.2671331732903199</v>
          </cell>
          <cell r="Z64">
            <v>1.26715571219788</v>
          </cell>
          <cell r="AA64">
            <v>1.26724439525788</v>
          </cell>
          <cell r="AF64">
            <v>5.1598335945448898E-4</v>
          </cell>
          <cell r="AG64">
            <v>5.6802131298495299E-4</v>
          </cell>
          <cell r="AR64">
            <v>2.0766479050585524E-3</v>
          </cell>
          <cell r="BC64">
            <v>0</v>
          </cell>
          <cell r="BF64">
            <v>2.0766479050585524E-3</v>
          </cell>
        </row>
        <row r="65">
          <cell r="O65">
            <v>1.26844555541175</v>
          </cell>
          <cell r="P65">
            <v>1.27019117137918</v>
          </cell>
          <cell r="Q65">
            <v>1.26861605510177</v>
          </cell>
          <cell r="U65">
            <v>1.4992733050506299E-3</v>
          </cell>
          <cell r="V65">
            <v>2.8904653632829398E-3</v>
          </cell>
          <cell r="W65">
            <v>1.6558149835457401E-3</v>
          </cell>
          <cell r="Y65">
            <v>1.2671331732903199</v>
          </cell>
          <cell r="Z65">
            <v>1.2671634461880099</v>
          </cell>
          <cell r="AA65">
            <v>1.2672306333644601</v>
          </cell>
          <cell r="AF65">
            <v>5.4799523681951802E-5</v>
          </cell>
          <cell r="AG65">
            <v>1.2478299611967799E-4</v>
          </cell>
          <cell r="AR65">
            <v>2.0766479050585524E-3</v>
          </cell>
          <cell r="BC65">
            <v>0</v>
          </cell>
          <cell r="BF65">
            <v>2.0766479050585524E-3</v>
          </cell>
        </row>
        <row r="66">
          <cell r="O66">
            <v>1.26844555541175</v>
          </cell>
          <cell r="P66">
            <v>1.26974058999456</v>
          </cell>
          <cell r="Q66">
            <v>1.2685880191083401</v>
          </cell>
          <cell r="U66">
            <v>1.53092317962259E-3</v>
          </cell>
          <cell r="V66">
            <v>2.9061622787242601E-3</v>
          </cell>
          <cell r="W66">
            <v>1.6653303927268101E-3</v>
          </cell>
          <cell r="Y66">
            <v>1.2671331732903199</v>
          </cell>
          <cell r="Z66">
            <v>1.2672207354177301</v>
          </cell>
          <cell r="AA66">
            <v>1.26721688865294</v>
          </cell>
          <cell r="AF66">
            <v>9.3208279158561995E-5</v>
          </cell>
          <cell r="AG66">
            <v>1.46228586459302E-4</v>
          </cell>
          <cell r="AR66">
            <v>2.0766479050585524E-3</v>
          </cell>
          <cell r="BC66">
            <v>0</v>
          </cell>
          <cell r="BF66">
            <v>2.0766479050585524E-3</v>
          </cell>
        </row>
        <row r="67">
          <cell r="O67">
            <v>1.26844555541175</v>
          </cell>
          <cell r="P67">
            <v>1.2691421553811</v>
          </cell>
          <cell r="Q67">
            <v>1.2685559398113699</v>
          </cell>
          <cell r="U67">
            <v>1.5624210583585301E-3</v>
          </cell>
          <cell r="V67">
            <v>2.5828621300452098E-3</v>
          </cell>
          <cell r="W67">
            <v>1.67472835942665E-3</v>
          </cell>
          <cell r="Y67">
            <v>1.2671331732903199</v>
          </cell>
          <cell r="Z67">
            <v>1.26713308073066</v>
          </cell>
          <cell r="AA67">
            <v>1.26719904324196</v>
          </cell>
          <cell r="AF67">
            <v>1.7056983446785099E-4</v>
          </cell>
          <cell r="AG67">
            <v>1.67534238121883E-4</v>
          </cell>
          <cell r="AR67">
            <v>2.0766479050585524E-3</v>
          </cell>
          <cell r="BC67">
            <v>0</v>
          </cell>
          <cell r="BF67">
            <v>2.0766479050585524E-3</v>
          </cell>
        </row>
        <row r="68">
          <cell r="O68">
            <v>1.26844555541175</v>
          </cell>
          <cell r="P68">
            <v>1.26873097731747</v>
          </cell>
          <cell r="Q68">
            <v>1.26855807045826</v>
          </cell>
          <cell r="U68">
            <v>6.0867754304901002E-4</v>
          </cell>
          <cell r="V68">
            <v>1.1577028901347799E-3</v>
          </cell>
          <cell r="W68">
            <v>6.9569712099450804E-4</v>
          </cell>
          <cell r="Y68">
            <v>1.2671331732903199</v>
          </cell>
          <cell r="Z68">
            <v>1.26722948509964</v>
          </cell>
          <cell r="AA68">
            <v>1.2672148753063901</v>
          </cell>
          <cell r="AF68">
            <v>-8.41304735091527E-4</v>
          </cell>
          <cell r="AG68">
            <v>-7.8924959149793397E-4</v>
          </cell>
          <cell r="AR68">
            <v>2.0766479050585524E-3</v>
          </cell>
          <cell r="BC68">
            <v>0</v>
          </cell>
          <cell r="BF68">
            <v>2.0766479050585524E-3</v>
          </cell>
        </row>
        <row r="69">
          <cell r="O69">
            <v>1.26844555541175</v>
          </cell>
          <cell r="P69">
            <v>1.2683861274900601</v>
          </cell>
          <cell r="Q69">
            <v>1.2686246161327901</v>
          </cell>
          <cell r="U69">
            <v>3.5323106821946899E-4</v>
          </cell>
          <cell r="V69">
            <v>5.7822282833845402E-4</v>
          </cell>
          <cell r="W69">
            <v>4.4193022925727201E-4</v>
          </cell>
          <cell r="Y69">
            <v>1.2671331732903199</v>
          </cell>
          <cell r="Z69">
            <v>1.26739401531117</v>
          </cell>
          <cell r="AA69">
            <v>1.26729454347475</v>
          </cell>
          <cell r="AF69">
            <v>-1.01821024382568E-3</v>
          </cell>
          <cell r="AG69">
            <v>-1.0297392349334299E-3</v>
          </cell>
          <cell r="AR69">
            <v>2.0766479050585524E-3</v>
          </cell>
          <cell r="BC69">
            <v>0</v>
          </cell>
          <cell r="BF69">
            <v>2.0766479050585524E-3</v>
          </cell>
        </row>
        <row r="70">
          <cell r="O70">
            <v>1.26844555541175</v>
          </cell>
          <cell r="P70">
            <v>1.26791530850465</v>
          </cell>
          <cell r="Q70">
            <v>1.2686426332534499</v>
          </cell>
          <cell r="U70">
            <v>8.6357240317659503E-4</v>
          </cell>
          <cell r="V70">
            <v>8.1672032220616697E-4</v>
          </cell>
          <cell r="W70">
            <v>1.00472791660721E-3</v>
          </cell>
          <cell r="Y70">
            <v>1.2671331732903199</v>
          </cell>
          <cell r="Z70">
            <v>1.2674338663145901</v>
          </cell>
          <cell r="AA70">
            <v>1.2673260870009799</v>
          </cell>
          <cell r="AF70">
            <v>-3.8295756939803698E-4</v>
          </cell>
          <cell r="AG70">
            <v>-4.6144597865490202E-4</v>
          </cell>
          <cell r="AR70">
            <v>2.5869892400157825E-3</v>
          </cell>
          <cell r="BC70">
            <v>0</v>
          </cell>
          <cell r="BF70">
            <v>2.5869892400157825E-3</v>
          </cell>
        </row>
        <row r="71">
          <cell r="O71">
            <v>1.26844555541175</v>
          </cell>
          <cell r="P71">
            <v>1.2674187116504401</v>
          </cell>
          <cell r="Q71">
            <v>1.2686305157828699</v>
          </cell>
          <cell r="U71">
            <v>1.3717144438225701E-3</v>
          </cell>
          <cell r="V71">
            <v>9.5359813996784195E-4</v>
          </cell>
          <cell r="W71">
            <v>1.5270719461557101E-3</v>
          </cell>
          <cell r="Y71">
            <v>1.2671331732903199</v>
          </cell>
          <cell r="Z71">
            <v>1.26744643629725</v>
          </cell>
          <cell r="AA71">
            <v>1.26732780666006</v>
          </cell>
          <cell r="AF71">
            <v>1.5175823179640799E-4</v>
          </cell>
          <cell r="AG71">
            <v>6.6717189910930398E-5</v>
          </cell>
          <cell r="AR71">
            <v>3.0951312806617127E-3</v>
          </cell>
          <cell r="BC71">
            <v>0</v>
          </cell>
          <cell r="BF71">
            <v>3.0951312806617127E-3</v>
          </cell>
        </row>
        <row r="72">
          <cell r="O72">
            <v>1.26844555541175</v>
          </cell>
          <cell r="P72">
            <v>1.2668724436466301</v>
          </cell>
          <cell r="Q72">
            <v>1.2686064411668101</v>
          </cell>
          <cell r="U72">
            <v>1.8471125987230099E-3</v>
          </cell>
          <cell r="V72">
            <v>1.03725551703341E-3</v>
          </cell>
          <cell r="W72">
            <v>1.9929185314185101E-3</v>
          </cell>
          <cell r="Y72">
            <v>1.2671331732903199</v>
          </cell>
          <cell r="Z72">
            <v>1.2674076965980801</v>
          </cell>
          <cell r="AA72">
            <v>1.26731781503473</v>
          </cell>
          <cell r="AF72">
            <v>6.3158679917197703E-4</v>
          </cell>
          <cell r="AG72">
            <v>5.3798506117885402E-4</v>
          </cell>
          <cell r="AR72">
            <v>3.0951312806617127E-3</v>
          </cell>
          <cell r="BC72">
            <v>0</v>
          </cell>
          <cell r="BF72">
            <v>3.0951312806617127E-3</v>
          </cell>
        </row>
        <row r="73">
          <cell r="O73">
            <v>1.26844555541175</v>
          </cell>
          <cell r="P73">
            <v>1.2668156867531299</v>
          </cell>
          <cell r="Q73">
            <v>1.2685801614718499</v>
          </cell>
          <cell r="U73">
            <v>1.33987629405824E-3</v>
          </cell>
          <cell r="V73">
            <v>9.8917986197597397E-5</v>
          </cell>
          <cell r="W73">
            <v>1.4667051927059499E-3</v>
          </cell>
          <cell r="Y73">
            <v>1.2671331732903199</v>
          </cell>
          <cell r="Z73">
            <v>1.26735122277071</v>
          </cell>
          <cell r="AA73">
            <v>1.2673055194920499</v>
          </cell>
          <cell r="AF73">
            <v>9.8633071272913897E-5</v>
          </cell>
          <cell r="AG73">
            <v>2.7712916033739302E-5</v>
          </cell>
          <cell r="AR73">
            <v>3.0951312806617127E-3</v>
          </cell>
          <cell r="BC73">
            <v>0</v>
          </cell>
          <cell r="BF73">
            <v>3.0951312806617127E-3</v>
          </cell>
        </row>
        <row r="74">
          <cell r="O74">
            <v>1.26844555541175</v>
          </cell>
          <cell r="P74">
            <v>1.2668322223009101</v>
          </cell>
          <cell r="Q74">
            <v>1.2685218285747899</v>
          </cell>
          <cell r="U74">
            <v>1.7513862650930601E-3</v>
          </cell>
          <cell r="V74">
            <v>4.6562615796250702E-4</v>
          </cell>
          <cell r="W74">
            <v>1.8574995451638801E-3</v>
          </cell>
          <cell r="Y74">
            <v>1.2671331732903199</v>
          </cell>
          <cell r="Z74">
            <v>1.2673671208786901</v>
          </cell>
          <cell r="AA74">
            <v>1.2672614165382801</v>
          </cell>
          <cell r="AF74">
            <v>4.6260054953697199E-4</v>
          </cell>
          <cell r="AG74">
            <v>4.2653785284067801E-4</v>
          </cell>
          <cell r="AR74">
            <v>3.0951312806617127E-3</v>
          </cell>
          <cell r="BC74">
            <v>0</v>
          </cell>
          <cell r="BF74">
            <v>3.0951312806617127E-3</v>
          </cell>
        </row>
        <row r="75">
          <cell r="O75">
            <v>1.26844555541175</v>
          </cell>
          <cell r="P75">
            <v>1.26733521250384</v>
          </cell>
          <cell r="Q75">
            <v>1.2687631919415101</v>
          </cell>
          <cell r="U75">
            <v>-2.4642176894979898E-3</v>
          </cell>
          <cell r="V75">
            <v>-3.7369250376189998E-3</v>
          </cell>
          <cell r="W75">
            <v>-2.4040882896985802E-3</v>
          </cell>
          <cell r="Y75">
            <v>1.2671331732903199</v>
          </cell>
          <cell r="Z75">
            <v>1.26738659103413</v>
          </cell>
          <cell r="AA75">
            <v>1.2672750186110699</v>
          </cell>
          <cell r="AF75">
            <v>6.7973738385706495E-5</v>
          </cell>
          <cell r="AG75">
            <v>-1.54344130693893E-5</v>
          </cell>
          <cell r="AR75">
            <v>3.0951312806617127E-3</v>
          </cell>
          <cell r="BC75">
            <v>0</v>
          </cell>
          <cell r="BF75">
            <v>3.0951312806617127E-3</v>
          </cell>
        </row>
        <row r="76">
          <cell r="O76">
            <v>1.26844555541175</v>
          </cell>
          <cell r="P76">
            <v>1.2678033417321399</v>
          </cell>
          <cell r="Q76">
            <v>1.2687719658633501</v>
          </cell>
          <cell r="U76">
            <v>-2.1584909424628598E-3</v>
          </cell>
          <cell r="V76">
            <v>-3.03423145830667E-3</v>
          </cell>
          <cell r="W76">
            <v>-1.90810828731426E-3</v>
          </cell>
          <cell r="Y76">
            <v>1.2671331732903199</v>
          </cell>
          <cell r="Z76">
            <v>1.2673705840482099</v>
          </cell>
          <cell r="AA76">
            <v>1.2672956597329701</v>
          </cell>
          <cell r="AF76">
            <v>3.9563184924758298E-4</v>
          </cell>
          <cell r="AG76">
            <v>3.0759451700211599E-4</v>
          </cell>
          <cell r="AR76">
            <v>3.0951312806617127E-3</v>
          </cell>
          <cell r="BC76">
            <v>0</v>
          </cell>
          <cell r="BF76">
            <v>3.0951312806617127E-3</v>
          </cell>
        </row>
        <row r="77">
          <cell r="O77">
            <v>1.26844555541175</v>
          </cell>
          <cell r="P77">
            <v>1.2683800465424</v>
          </cell>
          <cell r="Q77">
            <v>1.2687611009617501</v>
          </cell>
          <cell r="U77">
            <v>-2.9808991935473899E-3</v>
          </cell>
          <cell r="V77">
            <v>-3.4873271660245302E-3</v>
          </cell>
          <cell r="W77">
            <v>-2.7236012278364099E-3</v>
          </cell>
          <cell r="Y77">
            <v>1.2671331732903199</v>
          </cell>
          <cell r="Z77">
            <v>1.2674619355305301</v>
          </cell>
          <cell r="AA77">
            <v>1.2672975081305999</v>
          </cell>
          <cell r="AF77">
            <v>-4.3193108757081099E-4</v>
          </cell>
          <cell r="AG77">
            <v>-4.9105075703099999E-4</v>
          </cell>
          <cell r="AR77">
            <v>3.0951312806617127E-3</v>
          </cell>
          <cell r="BC77">
            <v>0</v>
          </cell>
          <cell r="BF77">
            <v>3.0951312806617127E-3</v>
          </cell>
        </row>
        <row r="78">
          <cell r="O78">
            <v>1.26844555541175</v>
          </cell>
          <cell r="P78">
            <v>1.26888540221392</v>
          </cell>
          <cell r="Q78">
            <v>1.26880818976569</v>
          </cell>
          <cell r="U78">
            <v>-3.3698781287598602E-3</v>
          </cell>
          <cell r="V78">
            <v>-3.4215244613400001E-3</v>
          </cell>
          <cell r="W78">
            <v>-3.1211435206991698E-3</v>
          </cell>
          <cell r="Y78">
            <v>1.2671331732903199</v>
          </cell>
          <cell r="Z78">
            <v>1.26748177542038</v>
          </cell>
          <cell r="AA78">
            <v>1.26735563026001</v>
          </cell>
          <cell r="AF78">
            <v>-7.3824090899804505E-4</v>
          </cell>
          <cell r="AG78">
            <v>-8.6797897986485401E-4</v>
          </cell>
          <cell r="AR78">
            <v>3.0951312806617127E-3</v>
          </cell>
          <cell r="BC78">
            <v>0</v>
          </cell>
          <cell r="BF78">
            <v>3.0951312806617127E-3</v>
          </cell>
        </row>
        <row r="79">
          <cell r="O79">
            <v>1.26844555541175</v>
          </cell>
          <cell r="P79">
            <v>1.26938588632894</v>
          </cell>
          <cell r="Q79">
            <v>1.2688860069095</v>
          </cell>
          <cell r="U79">
            <v>-3.5860429336483099E-3</v>
          </cell>
          <cell r="V79">
            <v>-3.23934255130415E-3</v>
          </cell>
          <cell r="W79">
            <v>-3.3001950107932501E-3</v>
          </cell>
          <cell r="Y79">
            <v>1.2671331732903199</v>
          </cell>
          <cell r="Z79">
            <v>1.26749714896115</v>
          </cell>
          <cell r="AA79">
            <v>1.2674455821361601</v>
          </cell>
          <cell r="AF79">
            <v>-9.4032729962765702E-4</v>
          </cell>
          <cell r="AG79">
            <v>-1.03985649246081E-3</v>
          </cell>
          <cell r="AR79">
            <v>3.0951312806617127E-3</v>
          </cell>
          <cell r="BC79">
            <v>0</v>
          </cell>
          <cell r="BF79">
            <v>3.0951312806617127E-3</v>
          </cell>
        </row>
        <row r="80">
          <cell r="O80">
            <v>1.26844555541175</v>
          </cell>
          <cell r="P80">
            <v>1.2698464619680701</v>
          </cell>
          <cell r="Q80">
            <v>1.26888088523636</v>
          </cell>
          <cell r="U80">
            <v>-2.7640011032580699E-3</v>
          </cell>
          <cell r="V80">
            <v>-2.0229503425548199E-3</v>
          </cell>
          <cell r="W80">
            <v>-2.4168241645325401E-3</v>
          </cell>
          <cell r="Y80">
            <v>1.2671331732903199</v>
          </cell>
          <cell r="Z80">
            <v>1.2674733194416501</v>
          </cell>
          <cell r="AA80">
            <v>1.2674535928781201</v>
          </cell>
          <cell r="AF80">
            <v>-1.1362080977783899E-4</v>
          </cell>
          <cell r="AG80">
            <v>-1.5430561449621401E-4</v>
          </cell>
          <cell r="AR80">
            <v>3.9171731110519475E-3</v>
          </cell>
          <cell r="BC80">
            <v>0</v>
          </cell>
          <cell r="BF80">
            <v>3.9171731110519475E-3</v>
          </cell>
        </row>
        <row r="81">
          <cell r="O81">
            <v>1.26844555541175</v>
          </cell>
          <cell r="P81">
            <v>1.27040440506313</v>
          </cell>
          <cell r="Q81">
            <v>1.26891155835678</v>
          </cell>
          <cell r="U81">
            <v>-3.0232877085154398E-3</v>
          </cell>
          <cell r="V81">
            <v>-1.9194693227930801E-3</v>
          </cell>
          <cell r="W81">
            <v>-2.6801471319596801E-3</v>
          </cell>
          <cell r="Y81">
            <v>1.2671331732903199</v>
          </cell>
          <cell r="Z81">
            <v>1.2675452591249301</v>
          </cell>
          <cell r="AA81">
            <v>1.26749584771109</v>
          </cell>
          <cell r="AF81">
            <v>-3.8464005349212398E-4</v>
          </cell>
          <cell r="AG81">
            <v>-4.0020386594984402E-4</v>
          </cell>
          <cell r="AR81">
            <v>3.9171731110519475E-3</v>
          </cell>
          <cell r="BC81">
            <v>0</v>
          </cell>
          <cell r="BF81">
            <v>3.9171731110519475E-3</v>
          </cell>
        </row>
        <row r="82">
          <cell r="O82">
            <v>1.26844555541175</v>
          </cell>
          <cell r="P82">
            <v>1.27106112360307</v>
          </cell>
          <cell r="Q82">
            <v>1.2689667836248499</v>
          </cell>
          <cell r="U82">
            <v>-3.3264027032373E-3</v>
          </cell>
          <cell r="V82">
            <v>-1.78330242510383E-3</v>
          </cell>
          <cell r="W82">
            <v>-2.9590890541328599E-3</v>
          </cell>
          <cell r="Y82">
            <v>1.2671331732903199</v>
          </cell>
          <cell r="Z82">
            <v>1.2677131707393099</v>
          </cell>
          <cell r="AA82">
            <v>1.2675604336686901</v>
          </cell>
          <cell r="AF82">
            <v>-6.1520777498858296E-4</v>
          </cell>
          <cell r="AG82">
            <v>-6.5419050683873702E-4</v>
          </cell>
          <cell r="AR82">
            <v>3.9171731110519475E-3</v>
          </cell>
          <cell r="BC82">
            <v>0</v>
          </cell>
          <cell r="BF82">
            <v>3.9171731110519475E-3</v>
          </cell>
        </row>
        <row r="83">
          <cell r="O83">
            <v>1.26844555541175</v>
          </cell>
          <cell r="P83">
            <v>1.2715101966734801</v>
          </cell>
          <cell r="Q83">
            <v>1.2691629417132999</v>
          </cell>
          <cell r="U83">
            <v>-2.1989431986928899E-3</v>
          </cell>
          <cell r="V83">
            <v>-1.3903988141440799E-4</v>
          </cell>
          <cell r="W83">
            <v>-1.7881087336687901E-3</v>
          </cell>
          <cell r="Y83">
            <v>1.2671331732903199</v>
          </cell>
          <cell r="Z83">
            <v>1.2676774655966601</v>
          </cell>
          <cell r="AA83">
            <v>1.26751434418368</v>
          </cell>
          <cell r="AF83">
            <v>6.2141220098848498E-4</v>
          </cell>
          <cell r="AG83">
            <v>5.0092258555962596E-4</v>
          </cell>
          <cell r="AR83">
            <v>3.9171731110519475E-3</v>
          </cell>
          <cell r="BC83">
            <v>0</v>
          </cell>
          <cell r="BF83">
            <v>3.9171731110519475E-3</v>
          </cell>
        </row>
        <row r="84">
          <cell r="O84">
            <v>1.26844555541175</v>
          </cell>
          <cell r="P84">
            <v>1.27152595003419</v>
          </cell>
          <cell r="Q84">
            <v>1.26917908616755</v>
          </cell>
          <cell r="U84">
            <v>1.6269820803443899E-3</v>
          </cell>
          <cell r="V84">
            <v>4.0401286451168597E-3</v>
          </cell>
          <cell r="W84">
            <v>2.19238554701139E-3</v>
          </cell>
          <cell r="Y84">
            <v>1.2671331732903199</v>
          </cell>
          <cell r="Z84">
            <v>1.26770967245712</v>
          </cell>
          <cell r="AA84">
            <v>1.2675383966678999</v>
          </cell>
          <cell r="AF84">
            <v>4.6577580842461499E-4</v>
          </cell>
          <cell r="AG84">
            <v>3.3709015034439699E-4</v>
          </cell>
          <cell r="AR84">
            <v>3.9171731110519475E-3</v>
          </cell>
          <cell r="BC84">
            <v>0</v>
          </cell>
          <cell r="BF84">
            <v>3.9171731110519475E-3</v>
          </cell>
        </row>
        <row r="85">
          <cell r="O85">
            <v>1.26844555541175</v>
          </cell>
          <cell r="P85">
            <v>1.27114871643109</v>
          </cell>
          <cell r="Q85">
            <v>1.26924196446746</v>
          </cell>
          <cell r="U85">
            <v>5.0685546442442195E-4</v>
          </cell>
          <cell r="V85">
            <v>2.93239144075691E-3</v>
          </cell>
          <cell r="W85">
            <v>1.08497940301676E-3</v>
          </cell>
          <cell r="Y85">
            <v>1.2671331732903199</v>
          </cell>
          <cell r="Z85">
            <v>1.2678303041888199</v>
          </cell>
          <cell r="AA85">
            <v>1.26760844761147</v>
          </cell>
          <cell r="AF85">
            <v>-6.1321815306332797E-4</v>
          </cell>
          <cell r="AG85">
            <v>-7.4833375895809202E-4</v>
          </cell>
          <cell r="AR85">
            <v>3.9171731110519475E-3</v>
          </cell>
          <cell r="BC85">
            <v>0</v>
          </cell>
          <cell r="BF85">
            <v>3.9171731110519475E-3</v>
          </cell>
        </row>
        <row r="86">
          <cell r="O86">
            <v>1.26844555541175</v>
          </cell>
          <cell r="P86">
            <v>1.27070078925272</v>
          </cell>
          <cell r="Q86">
            <v>1.26925206549243</v>
          </cell>
          <cell r="U86">
            <v>1.37142569224147E-3</v>
          </cell>
          <cell r="V86">
            <v>3.5002397868130601E-3</v>
          </cell>
          <cell r="W86">
            <v>1.9990908997317299E-3</v>
          </cell>
          <cell r="Y86">
            <v>1.2671331732903199</v>
          </cell>
          <cell r="Z86">
            <v>1.2678824593770199</v>
          </cell>
          <cell r="AA86">
            <v>1.2676265217126199</v>
          </cell>
          <cell r="AF86">
            <v>3.3407573372484301E-4</v>
          </cell>
          <cell r="AG86">
            <v>1.5907124761464699E-4</v>
          </cell>
          <cell r="AR86">
            <v>3.9171731110519475E-3</v>
          </cell>
          <cell r="BC86">
            <v>0</v>
          </cell>
          <cell r="BF86">
            <v>3.9171731110519475E-3</v>
          </cell>
        </row>
        <row r="87">
          <cell r="O87">
            <v>1.26844555541175</v>
          </cell>
          <cell r="P87">
            <v>1.2700514086416399</v>
          </cell>
          <cell r="Q87">
            <v>1.2692157275920199</v>
          </cell>
          <cell r="U87">
            <v>2.13643334041794E-3</v>
          </cell>
          <cell r="V87">
            <v>3.9128054969417101E-3</v>
          </cell>
          <cell r="W87">
            <v>2.7720568293533102E-3</v>
          </cell>
          <cell r="Y87">
            <v>1.2671331732903199</v>
          </cell>
          <cell r="Z87">
            <v>1.26773565637851</v>
          </cell>
          <cell r="AA87">
            <v>1.2675987959545201</v>
          </cell>
          <cell r="AF87">
            <v>1.13037294369922E-3</v>
          </cell>
          <cell r="AG87">
            <v>9.2849027068711597E-4</v>
          </cell>
          <cell r="AR87">
            <v>3.9171731110519475E-3</v>
          </cell>
          <cell r="BC87">
            <v>0</v>
          </cell>
          <cell r="BF87">
            <v>3.9171731110519475E-3</v>
          </cell>
        </row>
        <row r="88">
          <cell r="O88">
            <v>1.26844555541175</v>
          </cell>
          <cell r="P88">
            <v>1.26941703088348</v>
          </cell>
          <cell r="Q88">
            <v>1.2691512165487</v>
          </cell>
          <cell r="U88">
            <v>1.6269820803443899E-3</v>
          </cell>
          <cell r="V88">
            <v>2.89218228884297E-3</v>
          </cell>
          <cell r="W88">
            <v>2.2339757788896399E-3</v>
          </cell>
          <cell r="Y88">
            <v>1.2671331732903199</v>
          </cell>
          <cell r="Z88">
            <v>1.2676045740123401</v>
          </cell>
          <cell r="AA88">
            <v>1.2675431747163599</v>
          </cell>
          <cell r="AF88">
            <v>5.1167821490716899E-4</v>
          </cell>
          <cell r="AG88">
            <v>4.03715792832282E-4</v>
          </cell>
          <cell r="AR88">
            <v>3.9171731110519475E-3</v>
          </cell>
          <cell r="BC88">
            <v>0</v>
          </cell>
          <cell r="BF88">
            <v>3.9171731110519475E-3</v>
          </cell>
        </row>
        <row r="89">
          <cell r="O89">
            <v>1.26844555541175</v>
          </cell>
          <cell r="P89">
            <v>1.2686906386316601</v>
          </cell>
          <cell r="Q89">
            <v>1.2690382624803</v>
          </cell>
          <cell r="U89">
            <v>2.13643334041794E-3</v>
          </cell>
          <cell r="V89">
            <v>2.90201893549079E-3</v>
          </cell>
          <cell r="W89">
            <v>2.6925982622289998E-3</v>
          </cell>
          <cell r="Y89">
            <v>1.2671331732903199</v>
          </cell>
          <cell r="Z89">
            <v>1.26738216455067</v>
          </cell>
          <cell r="AA89">
            <v>1.2674396567559101</v>
          </cell>
          <cell r="AF89">
            <v>9.11176109219552E-4</v>
          </cell>
          <cell r="AG89">
            <v>8.62737673215114E-4</v>
          </cell>
          <cell r="AR89">
            <v>3.9171731110519475E-3</v>
          </cell>
          <cell r="BC89">
            <v>0</v>
          </cell>
          <cell r="BF89">
            <v>3.9171731110519475E-3</v>
          </cell>
        </row>
        <row r="90">
          <cell r="O90">
            <v>1.26844555541175</v>
          </cell>
          <cell r="P90">
            <v>1.2681940287512099</v>
          </cell>
          <cell r="Q90">
            <v>1.26902024535964</v>
          </cell>
          <cell r="U90">
            <v>1.1479401550159301E-3</v>
          </cell>
          <cell r="V90">
            <v>1.34113689490111E-3</v>
          </cell>
          <cell r="W90">
            <v>1.6151014233131301E-3</v>
          </cell>
          <cell r="Y90">
            <v>1.2671331732903199</v>
          </cell>
          <cell r="Z90">
            <v>1.26738653536028</v>
          </cell>
          <cell r="AA90">
            <v>1.2674299274009599</v>
          </cell>
          <cell r="AF90">
            <v>-2.38821882817698E-4</v>
          </cell>
          <cell r="AG90">
            <v>-1.93459952629766E-4</v>
          </cell>
          <cell r="AR90">
            <v>3.9171731110519475E-3</v>
          </cell>
          <cell r="BC90">
            <v>0</v>
          </cell>
          <cell r="BF90">
            <v>3.9171731110519475E-3</v>
          </cell>
        </row>
        <row r="91">
          <cell r="O91">
            <v>1.26844555541175</v>
          </cell>
          <cell r="P91">
            <v>1.2675307548871599</v>
          </cell>
          <cell r="Q91">
            <v>1.2689675799751501</v>
          </cell>
          <cell r="U91">
            <v>2.2035927126861999E-3</v>
          </cell>
          <cell r="V91">
            <v>2.00527785318544E-3</v>
          </cell>
          <cell r="W91">
            <v>2.6565564196555599E-3</v>
          </cell>
          <cell r="Y91">
            <v>1.2671331732903199</v>
          </cell>
          <cell r="Z91">
            <v>1.2672273760166901</v>
          </cell>
          <cell r="AA91">
            <v>1.26738631757081</v>
          </cell>
          <cell r="AF91">
            <v>8.0291447274543704E-4</v>
          </cell>
          <cell r="AG91">
            <v>8.3715130316522996E-4</v>
          </cell>
          <cell r="AR91">
            <v>3.9171731110519475E-3</v>
          </cell>
          <cell r="BC91">
            <v>0</v>
          </cell>
          <cell r="BF91">
            <v>3.9171731110519475E-3</v>
          </cell>
        </row>
        <row r="92">
          <cell r="O92">
            <v>1.26844555541175</v>
          </cell>
          <cell r="P92">
            <v>1.2670112810948699</v>
          </cell>
          <cell r="Q92">
            <v>1.2690362023489701</v>
          </cell>
          <cell r="U92">
            <v>7.6370765469858405E-4</v>
          </cell>
          <cell r="V92">
            <v>4.2249366179045299E-5</v>
          </cell>
          <cell r="W92">
            <v>1.17516967755617E-3</v>
          </cell>
          <cell r="Y92">
            <v>1.2671331732903199</v>
          </cell>
          <cell r="Z92">
            <v>1.26721142086195</v>
          </cell>
          <cell r="AA92">
            <v>1.2674622958006301</v>
          </cell>
          <cell r="AF92">
            <v>-7.4022068770486504E-4</v>
          </cell>
          <cell r="AG92">
            <v>-6.14803899550141E-4</v>
          </cell>
          <cell r="AR92">
            <v>3.9171731110519475E-3</v>
          </cell>
          <cell r="BC92">
            <v>0</v>
          </cell>
          <cell r="BF92">
            <v>3.9171731110519475E-3</v>
          </cell>
        </row>
        <row r="93">
          <cell r="O93">
            <v>1.26844555541175</v>
          </cell>
          <cell r="P93">
            <v>1.26652983045353</v>
          </cell>
          <cell r="Q93">
            <v>1.2690200135634999</v>
          </cell>
          <cell r="U93">
            <v>1.5955051293392801E-3</v>
          </cell>
          <cell r="V93">
            <v>4.6413152500535999E-4</v>
          </cell>
          <cell r="W93">
            <v>2.0610430163200601E-3</v>
          </cell>
          <cell r="Y93">
            <v>1.2671331732903199</v>
          </cell>
          <cell r="Z93">
            <v>1.2672316667085299</v>
          </cell>
          <cell r="AA93">
            <v>1.2674545661526</v>
          </cell>
          <cell r="AF93">
            <v>6.5752337246747594E-5</v>
          </cell>
          <cell r="AG93">
            <v>2.6370676258357902E-4</v>
          </cell>
          <cell r="AR93">
            <v>3.9171731110519475E-3</v>
          </cell>
          <cell r="BC93">
            <v>0</v>
          </cell>
          <cell r="BF93">
            <v>3.9171731110519475E-3</v>
          </cell>
        </row>
        <row r="94">
          <cell r="O94">
            <v>1.26844555541175</v>
          </cell>
          <cell r="P94">
            <v>1.2665866550379199</v>
          </cell>
          <cell r="Q94">
            <v>1.2690563025360599</v>
          </cell>
          <cell r="U94">
            <v>1.17836726979063E-3</v>
          </cell>
          <cell r="V94">
            <v>-3.3306777893384E-4</v>
          </cell>
          <cell r="W94">
            <v>1.6311483191841099E-3</v>
          </cell>
          <cell r="Y94">
            <v>1.2671331732903199</v>
          </cell>
          <cell r="Z94">
            <v>1.26728810234864</v>
          </cell>
          <cell r="AA94">
            <v>1.2674988874028801</v>
          </cell>
          <cell r="AF94">
            <v>-3.31249415598495E-4</v>
          </cell>
          <cell r="AG94">
            <v>-1.55370096298071E-4</v>
          </cell>
          <cell r="AR94">
            <v>3.9171731110519475E-3</v>
          </cell>
          <cell r="BC94">
            <v>0</v>
          </cell>
          <cell r="BF94">
            <v>3.9171731110519475E-3</v>
          </cell>
        </row>
        <row r="95">
          <cell r="O95">
            <v>1.26844555541175</v>
          </cell>
          <cell r="P95">
            <v>1.2669229394794499</v>
          </cell>
          <cell r="Q95">
            <v>1.26903582795527</v>
          </cell>
          <cell r="U95">
            <v>-2.14213089043739E-3</v>
          </cell>
          <cell r="V95">
            <v>-3.60870058477842E-3</v>
          </cell>
          <cell r="W95">
            <v>-1.66075418981786E-3</v>
          </cell>
          <cell r="Y95">
            <v>1.2671331732903199</v>
          </cell>
          <cell r="Z95">
            <v>1.26711459769774</v>
          </cell>
          <cell r="AA95">
            <v>1.26747245094328</v>
          </cell>
          <cell r="AF95">
            <v>4.2292572287330299E-4</v>
          </cell>
          <cell r="AG95">
            <v>5.8923954378191205E-4</v>
          </cell>
          <cell r="AR95">
            <v>3.9171731110519475E-3</v>
          </cell>
          <cell r="BC95">
            <v>0</v>
          </cell>
          <cell r="BF95">
            <v>3.9171731110519475E-3</v>
          </cell>
        </row>
        <row r="96">
          <cell r="O96">
            <v>1.26844555541175</v>
          </cell>
          <cell r="P96">
            <v>1.26731249319272</v>
          </cell>
          <cell r="Q96">
            <v>1.2690066412227201</v>
          </cell>
          <cell r="U96">
            <v>-1.6991808836996801E-3</v>
          </cell>
          <cell r="V96">
            <v>-2.9002813299856202E-3</v>
          </cell>
          <cell r="W96">
            <v>-1.2339380188411901E-3</v>
          </cell>
          <cell r="Y96">
            <v>1.2671331732903199</v>
          </cell>
          <cell r="Z96">
            <v>1.26699285430937</v>
          </cell>
          <cell r="AA96">
            <v>1.2674376568432</v>
          </cell>
          <cell r="AF96">
            <v>7.3043585468017601E-4</v>
          </cell>
          <cell r="AG96">
            <v>1.0128118323447699E-3</v>
          </cell>
          <cell r="AR96">
            <v>3.9171731110519475E-3</v>
          </cell>
          <cell r="BC96">
            <v>0</v>
          </cell>
          <cell r="BF96">
            <v>3.9171731110519475E-3</v>
          </cell>
        </row>
        <row r="97">
          <cell r="O97">
            <v>1.26844555541175</v>
          </cell>
          <cell r="P97">
            <v>1.2678500264227199</v>
          </cell>
          <cell r="Q97">
            <v>1.2689507175321799</v>
          </cell>
          <cell r="U97">
            <v>-2.1013697680359301E-3</v>
          </cell>
          <cell r="V97">
            <v>-2.99503728104092E-3</v>
          </cell>
          <cell r="W97">
            <v>-1.6591263075615701E-3</v>
          </cell>
          <cell r="Y97">
            <v>1.2671331732903199</v>
          </cell>
          <cell r="Z97">
            <v>1.26701904697802</v>
          </cell>
          <cell r="AA97">
            <v>1.26737735167826</v>
          </cell>
          <cell r="AF97">
            <v>2.21682145658517E-4</v>
          </cell>
          <cell r="AG97">
            <v>5.7269002410352098E-4</v>
          </cell>
          <cell r="AR97">
            <v>3.9171731110519475E-3</v>
          </cell>
          <cell r="BC97">
            <v>4.0218888433612987E-4</v>
          </cell>
          <cell r="BF97">
            <v>4.3193619953880774E-3</v>
          </cell>
        </row>
        <row r="98">
          <cell r="O98">
            <v>1.26844555541175</v>
          </cell>
          <cell r="P98">
            <v>1.2683842595274999</v>
          </cell>
          <cell r="Q98">
            <v>1.2689006452054901</v>
          </cell>
          <cell r="U98">
            <v>-2.5827175510964801E-3</v>
          </cell>
          <cell r="V98">
            <v>-3.0523229111652202E-3</v>
          </cell>
          <cell r="W98">
            <v>-2.1845439331335901E-3</v>
          </cell>
          <cell r="Y98">
            <v>1.2671331732903199</v>
          </cell>
          <cell r="Z98">
            <v>1.2670415720903101</v>
          </cell>
          <cell r="AA98">
            <v>1.2673230730513301</v>
          </cell>
          <cell r="AF98">
            <v>-2.3150384286935901E-4</v>
          </cell>
          <cell r="AG98">
            <v>5.1249638648313301E-5</v>
          </cell>
          <cell r="AR98">
            <v>3.9171731110519475E-3</v>
          </cell>
          <cell r="BC98">
            <v>8.8353666739659185E-4</v>
          </cell>
          <cell r="BF98">
            <v>4.8007097784485394E-3</v>
          </cell>
        </row>
        <row r="99">
          <cell r="O99">
            <v>1.26844555541175</v>
          </cell>
          <cell r="P99">
            <v>1.2689829922679099</v>
          </cell>
          <cell r="Q99">
            <v>1.26883681544978</v>
          </cell>
          <cell r="U99">
            <v>-2.5827175510964801E-3</v>
          </cell>
          <cell r="V99">
            <v>-2.6310423412771199E-3</v>
          </cell>
          <cell r="W99">
            <v>-2.2240043423882401E-3</v>
          </cell>
          <cell r="Y99">
            <v>1.2671331732903199</v>
          </cell>
          <cell r="Z99">
            <v>1.2671278032556399</v>
          </cell>
          <cell r="AA99">
            <v>1.2672549839031599</v>
          </cell>
          <cell r="AF99">
            <v>-2.1372596327071201E-4</v>
          </cell>
          <cell r="AG99">
            <v>8.42120305320559E-6</v>
          </cell>
          <cell r="AR99">
            <v>3.9171731110519475E-3</v>
          </cell>
          <cell r="BC99">
            <v>8.8353666739659185E-4</v>
          </cell>
          <cell r="BF99">
            <v>4.8007097784485394E-3</v>
          </cell>
        </row>
        <row r="100">
          <cell r="O100">
            <v>1.26844555541175</v>
          </cell>
          <cell r="P100">
            <v>1.2693736519763501</v>
          </cell>
          <cell r="Q100">
            <v>1.2687838403637799</v>
          </cell>
          <cell r="U100">
            <v>-1.93068382901395E-3</v>
          </cell>
          <cell r="V100">
            <v>-1.50707634286125E-3</v>
          </cell>
          <cell r="W100">
            <v>-1.6222750798561801E-3</v>
          </cell>
          <cell r="Y100">
            <v>1.2671331732903199</v>
          </cell>
          <cell r="Z100">
            <v>1.2670105503932201</v>
          </cell>
          <cell r="AA100">
            <v>1.26719854287675</v>
          </cell>
          <cell r="AF100">
            <v>4.8582479209128898E-4</v>
          </cell>
          <cell r="AG100">
            <v>5.8618898984735997E-4</v>
          </cell>
          <cell r="AR100">
            <v>3.9171731110519475E-3</v>
          </cell>
          <cell r="BC100">
            <v>8.8353666739659185E-4</v>
          </cell>
          <cell r="BF100">
            <v>4.8007097784485394E-3</v>
          </cell>
        </row>
        <row r="101">
          <cell r="O101">
            <v>1.26844555541175</v>
          </cell>
          <cell r="P101">
            <v>1.270081029705</v>
          </cell>
          <cell r="Q101">
            <v>1.2688058922960801</v>
          </cell>
          <cell r="U101">
            <v>-3.36987812875975E-3</v>
          </cell>
          <cell r="V101">
            <v>-2.6384654235005901E-3</v>
          </cell>
          <cell r="W101">
            <v>-3.10322115671641E-3</v>
          </cell>
          <cell r="Y101">
            <v>1.2671331732903199</v>
          </cell>
          <cell r="Z101">
            <v>1.26720442779677</v>
          </cell>
          <cell r="AA101">
            <v>1.2672159019067299</v>
          </cell>
          <cell r="AF101">
            <v>-1.02359088554602E-3</v>
          </cell>
          <cell r="AG101">
            <v>-8.7522705529086598E-4</v>
          </cell>
          <cell r="AR101">
            <v>3.9171731110519475E-3</v>
          </cell>
          <cell r="BC101">
            <v>8.8353666739659185E-4</v>
          </cell>
          <cell r="BF101">
            <v>4.8007097784485394E-3</v>
          </cell>
        </row>
        <row r="102">
          <cell r="O102">
            <v>1.26844555541175</v>
          </cell>
          <cell r="P102">
            <v>1.27057279745726</v>
          </cell>
          <cell r="Q102">
            <v>1.2687920392760701</v>
          </cell>
          <cell r="U102">
            <v>-3.1086792243101399E-3</v>
          </cell>
          <cell r="V102">
            <v>-1.8201565599302301E-3</v>
          </cell>
          <cell r="W102">
            <v>-2.8246420335361899E-3</v>
          </cell>
          <cell r="Y102">
            <v>1.2671331732903199</v>
          </cell>
          <cell r="Z102">
            <v>1.26718658136153</v>
          </cell>
          <cell r="AA102">
            <v>1.26719900111174</v>
          </cell>
          <cell r="AF102">
            <v>-6.1759358644697404E-4</v>
          </cell>
          <cell r="AG102">
            <v>-6.0853896372010702E-4</v>
          </cell>
          <cell r="AR102">
            <v>3.9171731110519475E-3</v>
          </cell>
          <cell r="BC102">
            <v>8.8353666739659185E-4</v>
          </cell>
          <cell r="BF102">
            <v>4.8007097784485394E-3</v>
          </cell>
        </row>
        <row r="103">
          <cell r="O103">
            <v>1.26844555541175</v>
          </cell>
          <cell r="P103">
            <v>1.2711976558478699</v>
          </cell>
          <cell r="Q103">
            <v>1.2688637431506999</v>
          </cell>
          <cell r="U103">
            <v>-3.3264027032373E-3</v>
          </cell>
          <cell r="V103">
            <v>-1.65076098064957E-3</v>
          </cell>
          <cell r="W103">
            <v>-3.0532837275530902E-3</v>
          </cell>
          <cell r="Y103">
            <v>1.2671331732903199</v>
          </cell>
          <cell r="Z103">
            <v>1.26730020955789</v>
          </cell>
          <cell r="AA103">
            <v>1.2672659381332101</v>
          </cell>
          <cell r="AF103">
            <v>-8.50185762113619E-4</v>
          </cell>
          <cell r="AG103">
            <v>-8.4038476711598403E-4</v>
          </cell>
          <cell r="AR103">
            <v>3.9171731110519475E-3</v>
          </cell>
          <cell r="BC103">
            <v>8.8353666739659185E-4</v>
          </cell>
          <cell r="BF103">
            <v>4.8007097784485394E-3</v>
          </cell>
        </row>
        <row r="104">
          <cell r="O104">
            <v>1.26844555541175</v>
          </cell>
          <cell r="P104">
            <v>1.27110016890654</v>
          </cell>
          <cell r="Q104">
            <v>1.2688434119722301</v>
          </cell>
          <cell r="U104">
            <v>1.9481240300325501E-3</v>
          </cell>
          <cell r="V104">
            <v>4.1154375339030698E-3</v>
          </cell>
          <cell r="W104">
            <v>2.2777549055158202E-3</v>
          </cell>
          <cell r="Y104">
            <v>1.2671331732903199</v>
          </cell>
          <cell r="Z104">
            <v>1.26720056315756</v>
          </cell>
          <cell r="AA104">
            <v>1.2672443327531</v>
          </cell>
          <cell r="AF104">
            <v>5.0921782083055095E-4</v>
          </cell>
          <cell r="AG104">
            <v>4.8217459316737598E-4</v>
          </cell>
          <cell r="AR104">
            <v>3.9171731110519475E-3</v>
          </cell>
          <cell r="BC104">
            <v>8.8353666739659185E-4</v>
          </cell>
          <cell r="BF104">
            <v>4.8007097784485394E-3</v>
          </cell>
        </row>
        <row r="105">
          <cell r="O105">
            <v>1.26844555541175</v>
          </cell>
          <cell r="P105">
            <v>1.2706746465369001</v>
          </cell>
          <cell r="Q105">
            <v>1.2687987930081699</v>
          </cell>
          <cell r="U105">
            <v>1.2109819202062401E-3</v>
          </cell>
          <cell r="V105">
            <v>3.3016034327437902E-3</v>
          </cell>
          <cell r="W105">
            <v>1.52458952963088E-3</v>
          </cell>
          <cell r="Y105">
            <v>1.2671331732903199</v>
          </cell>
          <cell r="Z105">
            <v>1.2672825150242799</v>
          </cell>
          <cell r="AA105">
            <v>1.26719855636101</v>
          </cell>
          <cell r="AF105">
            <v>-2.9288819469835303E-4</v>
          </cell>
          <cell r="AG105">
            <v>-2.58348406033829E-4</v>
          </cell>
          <cell r="AR105">
            <v>3.9171731110519475E-3</v>
          </cell>
          <cell r="BC105">
            <v>8.8353666739659185E-4</v>
          </cell>
          <cell r="BF105">
            <v>4.8007097784485394E-3</v>
          </cell>
        </row>
        <row r="106">
          <cell r="O106">
            <v>1.26844555541175</v>
          </cell>
          <cell r="P106">
            <v>1.2702607173976099</v>
          </cell>
          <cell r="Q106">
            <v>1.26878660529517</v>
          </cell>
          <cell r="U106">
            <v>1.5638756302600401E-3</v>
          </cell>
          <cell r="V106">
            <v>3.3196741120272602E-3</v>
          </cell>
          <cell r="W106">
            <v>1.84231755401136E-3</v>
          </cell>
          <cell r="Y106">
            <v>1.2671331732903199</v>
          </cell>
          <cell r="Z106">
            <v>1.2673769365624801</v>
          </cell>
          <cell r="AA106">
            <v>1.2671848954359199</v>
          </cell>
          <cell r="AF106">
            <v>1.17510249411283E-4</v>
          </cell>
          <cell r="AG106">
            <v>5.1257110455325998E-5</v>
          </cell>
          <cell r="AR106">
            <v>3.9171731110519475E-3</v>
          </cell>
          <cell r="BC106">
            <v>8.8353666739659185E-4</v>
          </cell>
          <cell r="BF106">
            <v>4.8007097784485394E-3</v>
          </cell>
        </row>
        <row r="107">
          <cell r="O107">
            <v>1.26844555541175</v>
          </cell>
          <cell r="P107">
            <v>1.2698403763362001</v>
          </cell>
          <cell r="Q107">
            <v>1.26884520137946</v>
          </cell>
          <cell r="U107">
            <v>1.2109819202062401E-3</v>
          </cell>
          <cell r="V107">
            <v>2.6409719230739599E-3</v>
          </cell>
          <cell r="W107">
            <v>1.47981808801703E-3</v>
          </cell>
          <cell r="Y107">
            <v>1.2671331732903199</v>
          </cell>
          <cell r="Z107">
            <v>1.26746291154809</v>
          </cell>
          <cell r="AA107">
            <v>1.2672409792630499</v>
          </cell>
          <cell r="AF107">
            <v>-1.5371438350241301E-4</v>
          </cell>
          <cell r="AG107">
            <v>-3.0525231364625399E-4</v>
          </cell>
          <cell r="AR107">
            <v>3.9171731110519475E-3</v>
          </cell>
          <cell r="BC107">
            <v>8.8353666739659185E-4</v>
          </cell>
          <cell r="BF107">
            <v>4.8007097784485394E-3</v>
          </cell>
        </row>
        <row r="108">
          <cell r="O108">
            <v>1.26844555541175</v>
          </cell>
          <cell r="P108">
            <v>1.2692895807425699</v>
          </cell>
          <cell r="Q108">
            <v>1.26883692013504</v>
          </cell>
          <cell r="U108">
            <v>1.7577763625331701E-3</v>
          </cell>
          <cell r="V108">
            <v>2.8568023212714E-3</v>
          </cell>
          <cell r="W108">
            <v>2.0727942373632898E-3</v>
          </cell>
          <cell r="Y108">
            <v>1.2671331732903199</v>
          </cell>
          <cell r="Z108">
            <v>1.26742118479289</v>
          </cell>
          <cell r="AA108">
            <v>1.2672313784416001</v>
          </cell>
          <cell r="AF108">
            <v>4.4806486549451397E-4</v>
          </cell>
          <cell r="AG108">
            <v>2.7294990519834302E-4</v>
          </cell>
          <cell r="AR108">
            <v>3.9171731110519475E-3</v>
          </cell>
          <cell r="BC108">
            <v>8.8353666739659185E-4</v>
          </cell>
          <cell r="BF108">
            <v>4.8007097784485394E-3</v>
          </cell>
        </row>
        <row r="109">
          <cell r="O109">
            <v>1.26844555541175</v>
          </cell>
          <cell r="P109">
            <v>1.2687999846593401</v>
          </cell>
          <cell r="Q109">
            <v>1.26889148846362</v>
          </cell>
          <cell r="U109">
            <v>1.2745678486615699E-3</v>
          </cell>
          <cell r="V109">
            <v>1.9397478746706099E-3</v>
          </cell>
          <cell r="W109">
            <v>1.5830591027147999E-3</v>
          </cell>
          <cell r="Y109">
            <v>1.2671331732903199</v>
          </cell>
          <cell r="Z109">
            <v>1.26743949653438</v>
          </cell>
          <cell r="AA109">
            <v>1.26728364989501</v>
          </cell>
          <cell r="AF109">
            <v>-5.8647554976964899E-5</v>
          </cell>
          <cell r="AG109">
            <v>-2.0841668262641501E-4</v>
          </cell>
          <cell r="AR109">
            <v>3.9171731110519475E-3</v>
          </cell>
          <cell r="BC109">
            <v>8.8353666739659185E-4</v>
          </cell>
          <cell r="BF109">
            <v>4.8007097784485394E-3</v>
          </cell>
        </row>
        <row r="110">
          <cell r="O110">
            <v>1.26844555541175</v>
          </cell>
          <cell r="P110">
            <v>1.26832812244251</v>
          </cell>
          <cell r="Q110">
            <v>1.26885088720943</v>
          </cell>
          <cell r="U110">
            <v>1.7890543116701699E-3</v>
          </cell>
          <cell r="V110">
            <v>2.0684354313065998E-3</v>
          </cell>
          <cell r="W110">
            <v>2.1405512147202399E-3</v>
          </cell>
          <cell r="Y110">
            <v>1.2671331732903199</v>
          </cell>
          <cell r="Z110">
            <v>1.2674737270707499</v>
          </cell>
          <cell r="AA110">
            <v>1.2672421387319901</v>
          </cell>
          <cell r="AF110">
            <v>4.6154114604384601E-4</v>
          </cell>
          <cell r="AG110">
            <v>3.3857178760797002E-4</v>
          </cell>
          <cell r="AR110">
            <v>3.9171731110519475E-3</v>
          </cell>
          <cell r="BC110">
            <v>8.8353666739659185E-4</v>
          </cell>
          <cell r="BF110">
            <v>4.8007097784485394E-3</v>
          </cell>
        </row>
        <row r="111">
          <cell r="O111">
            <v>1.26844555541175</v>
          </cell>
          <cell r="P111">
            <v>1.2677057619179499</v>
          </cell>
          <cell r="Q111">
            <v>1.2688933958114701</v>
          </cell>
          <cell r="U111">
            <v>1.5320924714468101E-3</v>
          </cell>
          <cell r="V111">
            <v>1.4395079651075E-3</v>
          </cell>
          <cell r="W111">
            <v>1.8515914423300501E-3</v>
          </cell>
          <cell r="Y111">
            <v>1.2671331732903199</v>
          </cell>
          <cell r="Z111">
            <v>1.2673603858664799</v>
          </cell>
          <cell r="AA111">
            <v>1.26728240683163</v>
          </cell>
          <cell r="AF111">
            <v>2.3594932735801599E-4</v>
          </cell>
          <cell r="AG111">
            <v>5.3216151987169303E-5</v>
          </cell>
          <cell r="AR111">
            <v>3.9171731110519475E-3</v>
          </cell>
          <cell r="BC111">
            <v>8.8353666739659185E-4</v>
          </cell>
          <cell r="BF111">
            <v>4.8007097784485394E-3</v>
          </cell>
        </row>
        <row r="112">
          <cell r="O112">
            <v>1.26844555541175</v>
          </cell>
          <cell r="P112">
            <v>1.2670477823167601</v>
          </cell>
          <cell r="Q112">
            <v>1.2688102898870099</v>
          </cell>
          <cell r="U112">
            <v>2.0759279106191499E-3</v>
          </cell>
          <cell r="V112">
            <v>1.4925293493945301E-3</v>
          </cell>
          <cell r="W112">
            <v>2.4289279732671101E-3</v>
          </cell>
          <cell r="Y112">
            <v>1.2671331732903199</v>
          </cell>
          <cell r="Z112">
            <v>1.2672112473582899</v>
          </cell>
          <cell r="AA112">
            <v>1.2671989143599101</v>
          </cell>
          <cell r="AF112">
            <v>6.8234662132393503E-4</v>
          </cell>
          <cell r="AG112">
            <v>6.2081603002673397E-4</v>
          </cell>
          <cell r="AR112">
            <v>3.9171731110519475E-3</v>
          </cell>
          <cell r="BC112">
            <v>8.8353666739659185E-4</v>
          </cell>
          <cell r="BF112">
            <v>4.8007097784485394E-3</v>
          </cell>
        </row>
        <row r="113">
          <cell r="O113">
            <v>1.26844555541175</v>
          </cell>
          <cell r="P113">
            <v>1.26637827531737</v>
          </cell>
          <cell r="Q113">
            <v>1.26878796558262</v>
          </cell>
          <cell r="U113">
            <v>1.9481240300325501E-3</v>
          </cell>
          <cell r="V113">
            <v>8.4555892698581401E-4</v>
          </cell>
          <cell r="W113">
            <v>2.23562714363849E-3</v>
          </cell>
          <cell r="Y113">
            <v>1.2671331732903199</v>
          </cell>
          <cell r="Z113">
            <v>1.2670503132117099</v>
          </cell>
          <cell r="AA113">
            <v>1.2671752613848</v>
          </cell>
          <cell r="AF113">
            <v>4.3901715206648298E-4</v>
          </cell>
          <cell r="AG113">
            <v>4.292847113079E-4</v>
          </cell>
          <cell r="AR113">
            <v>3.9171731110519475E-3</v>
          </cell>
          <cell r="BC113">
            <v>8.8353666739659185E-4</v>
          </cell>
          <cell r="BF113">
            <v>4.8007097784485394E-3</v>
          </cell>
        </row>
        <row r="114">
          <cell r="O114">
            <v>1.26844555541175</v>
          </cell>
          <cell r="P114">
            <v>1.26642292392616</v>
          </cell>
          <cell r="Q114">
            <v>1.26876154641635</v>
          </cell>
          <cell r="U114">
            <v>1.5955051293392801E-3</v>
          </cell>
          <cell r="V114">
            <v>-3.5598798007727702E-5</v>
          </cell>
          <cell r="W114">
            <v>1.86541341338958E-3</v>
          </cell>
          <cell r="Y114">
            <v>1.2671331732903199</v>
          </cell>
          <cell r="Z114">
            <v>1.26709407937507</v>
          </cell>
          <cell r="AA114">
            <v>1.26714732126632</v>
          </cell>
          <cell r="AF114">
            <v>-3.3455418934455598E-5</v>
          </cell>
          <cell r="AG114">
            <v>6.5153145704638599E-5</v>
          </cell>
          <cell r="AR114">
            <v>3.9171731110519475E-3</v>
          </cell>
          <cell r="BC114">
            <v>8.8353666739659185E-4</v>
          </cell>
          <cell r="BF114">
            <v>4.8007097784485394E-3</v>
          </cell>
        </row>
        <row r="115">
          <cell r="O115">
            <v>1.26844555541175</v>
          </cell>
          <cell r="P115">
            <v>1.26635802169625</v>
          </cell>
          <cell r="Q115">
            <v>1.2685163341165799</v>
          </cell>
          <cell r="U115">
            <v>1.7234006266285901E-3</v>
          </cell>
          <cell r="V115">
            <v>1.2755300664786699E-4</v>
          </cell>
          <cell r="W115">
            <v>1.97248632877829E-3</v>
          </cell>
          <cell r="Y115">
            <v>1.2671331732903199</v>
          </cell>
          <cell r="Z115">
            <v>1.2670302425422499</v>
          </cell>
          <cell r="AA115">
            <v>1.26715637878326</v>
          </cell>
          <cell r="AF115">
            <v>1.2681954275489999E-4</v>
          </cell>
          <cell r="AG115">
            <v>1.6883755353952099E-4</v>
          </cell>
          <cell r="AR115">
            <v>3.9171731110519475E-3</v>
          </cell>
          <cell r="BC115">
            <v>8.8353666739659185E-4</v>
          </cell>
          <cell r="BF115">
            <v>4.8007097784485394E-3</v>
          </cell>
        </row>
        <row r="116">
          <cell r="O116">
            <v>1.26844555541175</v>
          </cell>
          <cell r="P116">
            <v>1.2663457669768801</v>
          </cell>
          <cell r="Q116">
            <v>1.26830324218724</v>
          </cell>
          <cell r="U116">
            <v>1.66064362348364E-3</v>
          </cell>
          <cell r="V116">
            <v>1.35462260367376E-5</v>
          </cell>
          <cell r="W116">
            <v>1.7164416274910799E-3</v>
          </cell>
          <cell r="Y116">
            <v>1.2671331732903199</v>
          </cell>
          <cell r="Z116">
            <v>1.2670183403833799</v>
          </cell>
          <cell r="AA116">
            <v>1.26719763847293</v>
          </cell>
          <cell r="AF116">
            <v>1.23589302380037E-5</v>
          </cell>
          <cell r="AG116">
            <v>1.1190664314854401E-4</v>
          </cell>
          <cell r="AR116">
            <v>3.9171731110519475E-3</v>
          </cell>
          <cell r="BC116">
            <v>8.8353666739659185E-4</v>
          </cell>
          <cell r="BF116">
            <v>4.8007097784485394E-3</v>
          </cell>
        </row>
        <row r="117">
          <cell r="O117">
            <v>1.26844555541175</v>
          </cell>
          <cell r="P117">
            <v>1.2663457669768801</v>
          </cell>
          <cell r="Q117">
            <v>1.2680930716565399</v>
          </cell>
          <cell r="U117">
            <v>1.2109819202062401E-3</v>
          </cell>
          <cell r="V117">
            <v>-4.4579266051468502E-4</v>
          </cell>
          <cell r="W117">
            <v>1.0987806452560499E-3</v>
          </cell>
          <cell r="Y117">
            <v>1.2671331732903199</v>
          </cell>
          <cell r="Z117">
            <v>1.2670183403833799</v>
          </cell>
          <cell r="AA117">
            <v>1.2672406259657401</v>
          </cell>
          <cell r="AF117">
            <v>-4.3669800862829899E-4</v>
          </cell>
          <cell r="AG117">
            <v>-2.9519618609887802E-4</v>
          </cell>
          <cell r="AR117">
            <v>3.9171731110519475E-3</v>
          </cell>
          <cell r="BC117">
            <v>8.8353666739659185E-4</v>
          </cell>
          <cell r="BF117">
            <v>4.8007097784485394E-3</v>
          </cell>
        </row>
        <row r="118">
          <cell r="O118">
            <v>1.26844555541175</v>
          </cell>
          <cell r="P118">
            <v>1.2669298623041201</v>
          </cell>
          <cell r="Q118">
            <v>1.2681097215233399</v>
          </cell>
          <cell r="U118">
            <v>-2.8445300735988701E-3</v>
          </cell>
          <cell r="V118">
            <v>-4.5013046543197202E-3</v>
          </cell>
          <cell r="W118">
            <v>-3.1224550803138299E-3</v>
          </cell>
          <cell r="Y118">
            <v>1.2671331732903199</v>
          </cell>
          <cell r="Z118">
            <v>1.2671029503051801</v>
          </cell>
          <cell r="AA118">
            <v>1.26726206754904</v>
          </cell>
          <cell r="AF118">
            <v>-5.7038310166175198E-4</v>
          </cell>
          <cell r="AG118">
            <v>-3.9495858043289201E-4</v>
          </cell>
          <cell r="AR118">
            <v>3.9171731110519475E-3</v>
          </cell>
          <cell r="BC118">
            <v>8.8353666739659185E-4</v>
          </cell>
          <cell r="BF118">
            <v>4.8007097784485394E-3</v>
          </cell>
        </row>
        <row r="119">
          <cell r="O119">
            <v>1.26844555541175</v>
          </cell>
          <cell r="P119">
            <v>1.2674194583873499</v>
          </cell>
          <cell r="Q119">
            <v>1.2681097215233399</v>
          </cell>
          <cell r="U119">
            <v>-2.5827175510964801E-3</v>
          </cell>
          <cell r="V119">
            <v>-3.7783537299498401E-3</v>
          </cell>
          <cell r="W119">
            <v>-2.8475127979624799E-3</v>
          </cell>
          <cell r="Y119">
            <v>1.2671331732903199</v>
          </cell>
          <cell r="Z119">
            <v>1.26709549542032</v>
          </cell>
          <cell r="AA119">
            <v>1.26726749597735</v>
          </cell>
          <cell r="AF119">
            <v>-2.5094967278564099E-4</v>
          </cell>
          <cell r="AG119">
            <v>-1.2538193258749799E-4</v>
          </cell>
          <cell r="AR119">
            <v>3.9171731110519475E-3</v>
          </cell>
          <cell r="BC119">
            <v>8.8353666739659185E-4</v>
          </cell>
          <cell r="BF119">
            <v>4.8007097784485394E-3</v>
          </cell>
        </row>
        <row r="120">
          <cell r="O120">
            <v>1.26844555541175</v>
          </cell>
          <cell r="P120">
            <v>1.2678303077914901</v>
          </cell>
          <cell r="Q120">
            <v>1.2680792151169999</v>
          </cell>
          <cell r="U120">
            <v>-1.45049174295618E-3</v>
          </cell>
          <cell r="V120">
            <v>-2.2597596454837802E-3</v>
          </cell>
          <cell r="W120">
            <v>-1.7152869898224899E-3</v>
          </cell>
          <cell r="Y120">
            <v>1.2671331732903199</v>
          </cell>
          <cell r="Z120">
            <v>1.2670127651649401</v>
          </cell>
          <cell r="AA120">
            <v>1.26724324611785</v>
          </cell>
          <cell r="AF120">
            <v>8.4334007484494604E-4</v>
          </cell>
          <cell r="AG120">
            <v>9.7907481992789806E-4</v>
          </cell>
          <cell r="AR120">
            <v>3.9171731110519475E-3</v>
          </cell>
          <cell r="BC120">
            <v>8.8353666739659185E-4</v>
          </cell>
          <cell r="BF120">
            <v>4.8007097784485394E-3</v>
          </cell>
        </row>
        <row r="121">
          <cell r="O121">
            <v>1.26844555541175</v>
          </cell>
          <cell r="P121">
            <v>1.2682366138038299</v>
          </cell>
          <cell r="Q121">
            <v>1.2679711878608899</v>
          </cell>
          <cell r="U121">
            <v>-1.6708644546826999E-3</v>
          </cell>
          <cell r="V121">
            <v>-2.1560227462238202E-3</v>
          </cell>
          <cell r="W121">
            <v>-1.95971658935086E-3</v>
          </cell>
          <cell r="Y121">
            <v>1.2671331732903199</v>
          </cell>
          <cell r="Z121">
            <v>1.26692590057831</v>
          </cell>
          <cell r="AA121">
            <v>1.2671431432224001</v>
          </cell>
          <cell r="AF121">
            <v>5.5793078022818305E-4</v>
          </cell>
          <cell r="AG121">
            <v>7.3982317982400705E-4</v>
          </cell>
          <cell r="AR121">
            <v>3.9171731110519475E-3</v>
          </cell>
          <cell r="BC121">
            <v>8.8353666739659185E-4</v>
          </cell>
          <cell r="BF121">
            <v>4.8007097784485394E-3</v>
          </cell>
        </row>
        <row r="122">
          <cell r="O122">
            <v>1.26844555541175</v>
          </cell>
          <cell r="P122">
            <v>1.2687397066270301</v>
          </cell>
          <cell r="Q122">
            <v>1.2678937444719001</v>
          </cell>
          <cell r="U122">
            <v>-1.890652277133E-3</v>
          </cell>
          <cell r="V122">
            <v>-2.0553884123326099E-3</v>
          </cell>
          <cell r="W122">
            <v>-2.2646977155669902E-3</v>
          </cell>
          <cell r="Y122">
            <v>1.2671331732903199</v>
          </cell>
          <cell r="Z122">
            <v>1.2669347201182199</v>
          </cell>
          <cell r="AA122">
            <v>1.2670729837382599</v>
          </cell>
          <cell r="AF122">
            <v>2.6982598840621301E-4</v>
          </cell>
          <cell r="AG122">
            <v>4.4128354608422802E-4</v>
          </cell>
          <cell r="AR122">
            <v>3.9171731110519475E-3</v>
          </cell>
          <cell r="BC122">
            <v>8.8353666739659185E-4</v>
          </cell>
          <cell r="BF122">
            <v>4.8007097784485394E-3</v>
          </cell>
        </row>
        <row r="123">
          <cell r="O123">
            <v>1.26844555541175</v>
          </cell>
          <cell r="P123">
            <v>1.26928748508108</v>
          </cell>
          <cell r="Q123">
            <v>1.26783288019923</v>
          </cell>
          <cell r="U123">
            <v>-2.3694648311695199E-3</v>
          </cell>
          <cell r="V123">
            <v>-2.1375927475680199E-3</v>
          </cell>
          <cell r="W123">
            <v>-2.8045887505830001E-3</v>
          </cell>
          <cell r="Y123">
            <v>1.2671331732903199</v>
          </cell>
          <cell r="Z123">
            <v>1.2669871137523301</v>
          </cell>
          <cell r="AA123">
            <v>1.2670187134820201</v>
          </cell>
          <cell r="AF123">
            <v>-1.9277604629069499E-4</v>
          </cell>
          <cell r="AG123">
            <v>-8.3649606019197998E-5</v>
          </cell>
          <cell r="AR123">
            <v>3.9171731110519475E-3</v>
          </cell>
          <cell r="BC123">
            <v>8.8353666739659185E-4</v>
          </cell>
          <cell r="BF123">
            <v>4.8007097784485394E-3</v>
          </cell>
        </row>
        <row r="124">
          <cell r="O124">
            <v>1.26844555541175</v>
          </cell>
          <cell r="P124">
            <v>1.269795850962</v>
          </cell>
          <cell r="Q124">
            <v>1.2681093874440801</v>
          </cell>
          <cell r="U124">
            <v>-2.4106454412995098E-3</v>
          </cell>
          <cell r="V124">
            <v>-1.7471164673835799E-3</v>
          </cell>
          <cell r="W124">
            <v>-2.8937747506407501E-3</v>
          </cell>
          <cell r="Y124">
            <v>1.2671331732903199</v>
          </cell>
          <cell r="Z124">
            <v>1.26699983875352</v>
          </cell>
          <cell r="AA124">
            <v>1.2670469590643001</v>
          </cell>
          <cell r="AF124">
            <v>-1.8375758083966101E-4</v>
          </cell>
          <cell r="AG124">
            <v>-1.58817046488982E-4</v>
          </cell>
          <cell r="AR124">
            <v>3.9171731110519475E-3</v>
          </cell>
          <cell r="BC124">
            <v>8.8353666739659185E-4</v>
          </cell>
          <cell r="BF124">
            <v>4.8007097784485394E-3</v>
          </cell>
        </row>
        <row r="125">
          <cell r="O125">
            <v>1.26844555541175</v>
          </cell>
          <cell r="P125">
            <v>1.2697875377622001</v>
          </cell>
          <cell r="Q125">
            <v>1.2680727797292299</v>
          </cell>
          <cell r="U125">
            <v>1.7890543116701699E-3</v>
          </cell>
          <cell r="V125">
            <v>2.8530158988047498E-3</v>
          </cell>
          <cell r="W125">
            <v>1.5239956181137501E-3</v>
          </cell>
          <cell r="Y125">
            <v>1.2671331732903199</v>
          </cell>
          <cell r="Z125">
            <v>1.2669883585400801</v>
          </cell>
          <cell r="AA125">
            <v>1.26700930054116</v>
          </cell>
          <cell r="AF125">
            <v>1.4305967107759401E-4</v>
          </cell>
          <cell r="AG125">
            <v>1.8024944265012299E-4</v>
          </cell>
          <cell r="AR125">
            <v>3.9171731110519475E-3</v>
          </cell>
          <cell r="BC125">
            <v>8.8353666739659185E-4</v>
          </cell>
          <cell r="BF125">
            <v>4.8007097784485394E-3</v>
          </cell>
        </row>
        <row r="126">
          <cell r="O126">
            <v>1.26844555541175</v>
          </cell>
          <cell r="P126">
            <v>1.26972261616136</v>
          </cell>
          <cell r="Q126">
            <v>1.26803419156912</v>
          </cell>
          <cell r="U126">
            <v>2.1734459021068302E-3</v>
          </cell>
          <cell r="V126">
            <v>3.2308605888009502E-3</v>
          </cell>
          <cell r="W126">
            <v>1.8795188446534201E-3</v>
          </cell>
          <cell r="Y126">
            <v>1.2671331732903199</v>
          </cell>
          <cell r="Z126">
            <v>1.2669210853755599</v>
          </cell>
          <cell r="AA126">
            <v>1.2669697128794699</v>
          </cell>
          <cell r="AF126">
            <v>5.1040065451200996E-4</v>
          </cell>
          <cell r="AG126">
            <v>5.2692947884469001E-4</v>
          </cell>
          <cell r="AR126">
            <v>3.9171731110519475E-3</v>
          </cell>
          <cell r="BC126">
            <v>8.8353666739659185E-4</v>
          </cell>
          <cell r="BF126">
            <v>4.8007097784485394E-3</v>
          </cell>
        </row>
        <row r="127">
          <cell r="O127">
            <v>1.26844555541175</v>
          </cell>
          <cell r="P127">
            <v>1.26972261616136</v>
          </cell>
          <cell r="Q127">
            <v>1.26803419156912</v>
          </cell>
          <cell r="U127">
            <v>1.2109819202062401E-3</v>
          </cell>
          <cell r="V127">
            <v>2.2172673757357001E-3</v>
          </cell>
          <cell r="W127">
            <v>8.8662384344308795E-4</v>
          </cell>
          <cell r="Y127">
            <v>1.2671331732903199</v>
          </cell>
          <cell r="Z127">
            <v>1.2669172119564001</v>
          </cell>
          <cell r="AA127">
            <v>1.2669677761698901</v>
          </cell>
          <cell r="AF127">
            <v>-4.8290165625857698E-4</v>
          </cell>
          <cell r="AG127">
            <v>-4.44519967549797E-4</v>
          </cell>
          <cell r="AR127">
            <v>3.9171731110519475E-3</v>
          </cell>
          <cell r="BC127">
            <v>8.8353666739659185E-4</v>
          </cell>
          <cell r="BF127">
            <v>4.8007097784485394E-3</v>
          </cell>
        </row>
        <row r="128">
          <cell r="O128">
            <v>1.26844555541175</v>
          </cell>
          <cell r="P128">
            <v>1.2691059758622101</v>
          </cell>
          <cell r="Q128">
            <v>1.26801791908316</v>
          </cell>
          <cell r="U128">
            <v>2.0148344552361999E-3</v>
          </cell>
          <cell r="V128">
            <v>3.0211199107658599E-3</v>
          </cell>
          <cell r="W128">
            <v>1.6904763784732399E-3</v>
          </cell>
          <cell r="Y128">
            <v>1.2671331732903199</v>
          </cell>
          <cell r="Z128">
            <v>1.26679708917745</v>
          </cell>
          <cell r="AA128">
            <v>1.2669500197413099</v>
          </cell>
          <cell r="AF128">
            <v>2.9778073135584702E-4</v>
          </cell>
          <cell r="AG128">
            <v>3.3769115644300502E-4</v>
          </cell>
          <cell r="AR128">
            <v>3.9171731110519475E-3</v>
          </cell>
          <cell r="BC128">
            <v>8.8353666739659185E-4</v>
          </cell>
          <cell r="BF128">
            <v>4.8007097784485394E-3</v>
          </cell>
        </row>
        <row r="129">
          <cell r="O129">
            <v>1.26844555541175</v>
          </cell>
          <cell r="P129">
            <v>1.2686327196360101</v>
          </cell>
          <cell r="Q129">
            <v>1.2680260890116799</v>
          </cell>
          <cell r="U129">
            <v>1.1455939130500901E-3</v>
          </cell>
          <cell r="V129">
            <v>1.6661117880390501E-3</v>
          </cell>
          <cell r="W129">
            <v>8.0840290916472295E-4</v>
          </cell>
          <cell r="Y129">
            <v>1.2671331732903199</v>
          </cell>
          <cell r="Z129">
            <v>1.26681668938099</v>
          </cell>
          <cell r="AA129">
            <v>1.26695609240066</v>
          </cell>
          <cell r="AF129">
            <v>-6.4699938108342295E-4</v>
          </cell>
          <cell r="AG129">
            <v>-5.2628444192151405E-4</v>
          </cell>
          <cell r="AR129">
            <v>3.9171731110519475E-3</v>
          </cell>
          <cell r="BC129">
            <v>8.8353666739659185E-4</v>
          </cell>
          <cell r="BF129">
            <v>4.8007097784485394E-3</v>
          </cell>
        </row>
        <row r="130">
          <cell r="O130">
            <v>1.26844555541175</v>
          </cell>
          <cell r="P130">
            <v>1.26825441036221</v>
          </cell>
          <cell r="Q130">
            <v>1.2680423590768499</v>
          </cell>
          <cell r="U130">
            <v>1.5320924714468101E-3</v>
          </cell>
          <cell r="V130">
            <v>1.6796355933429701E-3</v>
          </cell>
          <cell r="W130">
            <v>1.20134451704393E-3</v>
          </cell>
          <cell r="Y130">
            <v>1.2671331732903199</v>
          </cell>
          <cell r="Z130">
            <v>1.26692769136309</v>
          </cell>
          <cell r="AA130">
            <v>1.2669702282640101</v>
          </cell>
          <cell r="AF130">
            <v>-2.5310949676162999E-4</v>
          </cell>
          <cell r="AG130">
            <v>-1.4307356867175101E-4</v>
          </cell>
          <cell r="AR130">
            <v>3.9171731110519475E-3</v>
          </cell>
          <cell r="BC130">
            <v>8.8353666739659185E-4</v>
          </cell>
          <cell r="BF130">
            <v>4.8007097784485394E-3</v>
          </cell>
        </row>
        <row r="131">
          <cell r="O131">
            <v>1.26844555541175</v>
          </cell>
          <cell r="P131">
            <v>1.2677583251169999</v>
          </cell>
          <cell r="Q131">
            <v>1.2679974694604199</v>
          </cell>
          <cell r="U131">
            <v>2.2412184797565601E-3</v>
          </cell>
          <cell r="V131">
            <v>2.0905147682564302E-3</v>
          </cell>
          <cell r="W131">
            <v>1.9233014607192599E-3</v>
          </cell>
          <cell r="Y131">
            <v>1.2671331732903199</v>
          </cell>
          <cell r="Z131">
            <v>1.26692316042773</v>
          </cell>
          <cell r="AA131">
            <v>1.2669245305030199</v>
          </cell>
          <cell r="AF131">
            <v>5.2656471348488303E-4</v>
          </cell>
          <cell r="AG131">
            <v>5.6013899491181803E-4</v>
          </cell>
          <cell r="AR131">
            <v>3.9171731110519475E-3</v>
          </cell>
          <cell r="BC131">
            <v>8.8353666739659185E-4</v>
          </cell>
          <cell r="BF131">
            <v>4.8007097784485394E-3</v>
          </cell>
        </row>
        <row r="132">
          <cell r="O132">
            <v>1.26844555541175</v>
          </cell>
          <cell r="P132">
            <v>1.2674100483016499</v>
          </cell>
          <cell r="Q132">
            <v>1.26807487746434</v>
          </cell>
          <cell r="U132">
            <v>8.5362133026066901E-4</v>
          </cell>
          <cell r="V132">
            <v>3.1168515797740901E-4</v>
          </cell>
          <cell r="W132">
            <v>5.0030296150268205E-4</v>
          </cell>
          <cell r="Y132">
            <v>1.2671331732903199</v>
          </cell>
          <cell r="Z132">
            <v>1.2670628261563399</v>
          </cell>
          <cell r="AA132">
            <v>1.26699877313728</v>
          </cell>
          <cell r="AF132">
            <v>-8.34425379397515E-4</v>
          </cell>
          <cell r="AG132">
            <v>-8.3334396057772897E-4</v>
          </cell>
          <cell r="AR132">
            <v>3.9171731110519475E-3</v>
          </cell>
          <cell r="BC132">
            <v>8.8353666739659185E-4</v>
          </cell>
          <cell r="BF132">
            <v>4.8007097784485394E-3</v>
          </cell>
        </row>
        <row r="133">
          <cell r="O133">
            <v>1.26844555541175</v>
          </cell>
          <cell r="P133">
            <v>1.2669189944546699</v>
          </cell>
          <cell r="Q133">
            <v>1.26810323976788</v>
          </cell>
          <cell r="U133">
            <v>1.5001545304121401E-3</v>
          </cell>
          <cell r="V133">
            <v>6.8346199780694699E-4</v>
          </cell>
          <cell r="W133">
            <v>1.2078817418734399E-3</v>
          </cell>
          <cell r="Y133">
            <v>1.2671331732903199</v>
          </cell>
          <cell r="Z133">
            <v>1.26706277039383</v>
          </cell>
          <cell r="AA133">
            <v>1.2670249420730799</v>
          </cell>
          <cell r="AF133">
            <v>-9.12261577747433E-5</v>
          </cell>
          <cell r="AG133">
            <v>-1.4177979789915601E-4</v>
          </cell>
          <cell r="AR133">
            <v>3.9171731110519475E-3</v>
          </cell>
          <cell r="BC133">
            <v>8.8353666739659185E-4</v>
          </cell>
          <cell r="BF133">
            <v>4.8007097784485394E-3</v>
          </cell>
        </row>
        <row r="134">
          <cell r="O134">
            <v>1.26844555541175</v>
          </cell>
          <cell r="P134">
            <v>1.2664023795513699</v>
          </cell>
          <cell r="Q134">
            <v>1.2680991152566901</v>
          </cell>
          <cell r="U134">
            <v>1.66064362348364E-3</v>
          </cell>
          <cell r="V134">
            <v>4.5642930910419098E-4</v>
          </cell>
          <cell r="W134">
            <v>1.3907370113123299E-3</v>
          </cell>
          <cell r="Y134">
            <v>1.2671331732903199</v>
          </cell>
          <cell r="Z134">
            <v>1.2670385639367401</v>
          </cell>
          <cell r="AA134">
            <v>1.26701920134513</v>
          </cell>
          <cell r="AF134">
            <v>6.6992873787998498E-5</v>
          </cell>
          <cell r="AG134">
            <v>3.7137300466471203E-5</v>
          </cell>
          <cell r="AR134">
            <v>3.9171731110519475E-3</v>
          </cell>
          <cell r="BC134">
            <v>8.8353666739659185E-4</v>
          </cell>
          <cell r="BF134">
            <v>4.8007097784485394E-3</v>
          </cell>
        </row>
        <row r="135">
          <cell r="O135">
            <v>1.26844555541175</v>
          </cell>
          <cell r="P135">
            <v>1.26649604437609</v>
          </cell>
          <cell r="Q135">
            <v>1.2681417910691399</v>
          </cell>
          <cell r="U135">
            <v>1.04958341504077E-3</v>
          </cell>
          <cell r="V135">
            <v>-5.6248670142041303E-4</v>
          </cell>
          <cell r="W135">
            <v>7.7642429332034897E-4</v>
          </cell>
          <cell r="Y135">
            <v>1.2671331732903199</v>
          </cell>
          <cell r="Z135">
            <v>1.2671301786237801</v>
          </cell>
          <cell r="AA135">
            <v>1.26705926858193</v>
          </cell>
          <cell r="AF135">
            <v>-5.4930205200494396E-4</v>
          </cell>
          <cell r="AG135">
            <v>-5.6458393853231102E-4</v>
          </cell>
          <cell r="AR135">
            <v>3.9171731110519475E-3</v>
          </cell>
          <cell r="BC135">
            <v>8.8353666739659185E-4</v>
          </cell>
          <cell r="BF135">
            <v>4.8007097784485394E-3</v>
          </cell>
        </row>
        <row r="136">
          <cell r="O136">
            <v>1.26844555541175</v>
          </cell>
          <cell r="P136">
            <v>1.26657724598105</v>
          </cell>
          <cell r="Q136">
            <v>1.2681499310712001</v>
          </cell>
          <cell r="U136">
            <v>1.5320924714468101E-3</v>
          </cell>
          <cell r="V136">
            <v>-6.0190339037973004E-6</v>
          </cell>
          <cell r="W136">
            <v>1.29258615640899E-3</v>
          </cell>
          <cell r="Y136">
            <v>1.2671331732903199</v>
          </cell>
          <cell r="Z136">
            <v>1.2672097307680501</v>
          </cell>
          <cell r="AA136">
            <v>1.26706540807181</v>
          </cell>
          <cell r="AF136">
            <v>-5.6779121867370799E-6</v>
          </cell>
          <cell r="AG136">
            <v>-6.1640612171203296E-5</v>
          </cell>
          <cell r="AR136">
            <v>3.9171731110519475E-3</v>
          </cell>
          <cell r="BC136">
            <v>8.8353666739659185E-4</v>
          </cell>
          <cell r="BF136">
            <v>4.8007097784485394E-3</v>
          </cell>
        </row>
        <row r="137">
          <cell r="O137">
            <v>1.26844555541175</v>
          </cell>
          <cell r="P137">
            <v>1.26699130534716</v>
          </cell>
          <cell r="Q137">
            <v>1.26835696075426</v>
          </cell>
          <cell r="U137">
            <v>-2.05194972115375E-3</v>
          </cell>
          <cell r="V137">
            <v>-3.5259481151326101E-3</v>
          </cell>
          <cell r="W137">
            <v>-2.2850372145789399E-3</v>
          </cell>
          <cell r="Y137">
            <v>1.2671331732903199</v>
          </cell>
          <cell r="Z137">
            <v>1.2671201528434399</v>
          </cell>
          <cell r="AA137">
            <v>1.2670186823999201</v>
          </cell>
          <cell r="AF137">
            <v>4.5186518269888502E-4</v>
          </cell>
          <cell r="AG137">
            <v>3.3796855467073801E-4</v>
          </cell>
          <cell r="AR137">
            <v>3.9171731110519475E-3</v>
          </cell>
          <cell r="BC137">
            <v>8.8353666739659185E-4</v>
          </cell>
          <cell r="BF137">
            <v>4.8007097784485394E-3</v>
          </cell>
        </row>
        <row r="138">
          <cell r="O138">
            <v>1.26844555541175</v>
          </cell>
          <cell r="P138">
            <v>1.2676188120618399</v>
          </cell>
          <cell r="Q138">
            <v>1.2683623939620301</v>
          </cell>
          <cell r="U138">
            <v>-2.9299502698324599E-3</v>
          </cell>
          <cell r="V138">
            <v>-4.0770900362191199E-3</v>
          </cell>
          <cell r="W138">
            <v>-2.9997977703498401E-3</v>
          </cell>
          <cell r="Y138">
            <v>1.2671331732903199</v>
          </cell>
          <cell r="Z138">
            <v>1.26723775293149</v>
          </cell>
          <cell r="AA138">
            <v>1.26701742105447</v>
          </cell>
          <cell r="AF138">
            <v>-4.7013108435137001E-4</v>
          </cell>
          <cell r="AG138">
            <v>-5.5021386605401098E-4</v>
          </cell>
          <cell r="AR138">
            <v>3.9171731110519475E-3</v>
          </cell>
          <cell r="BC138">
            <v>8.8353666739659185E-4</v>
          </cell>
          <cell r="BF138">
            <v>4.8007097784485394E-3</v>
          </cell>
        </row>
        <row r="139">
          <cell r="O139">
            <v>1.26844555541175</v>
          </cell>
          <cell r="P139">
            <v>1.26818660473101</v>
          </cell>
          <cell r="Q139">
            <v>1.2684096621835099</v>
          </cell>
          <cell r="U139">
            <v>-3.3258126474474E-3</v>
          </cell>
          <cell r="V139">
            <v>-3.9778019185419504E-3</v>
          </cell>
          <cell r="W139">
            <v>-3.3913764988840801E-3</v>
          </cell>
          <cell r="Y139">
            <v>1.2671331732903199</v>
          </cell>
          <cell r="Z139">
            <v>1.2672958786653601</v>
          </cell>
          <cell r="AA139">
            <v>1.2670562840231701</v>
          </cell>
          <cell r="AF139">
            <v>-7.5764150478968095E-4</v>
          </cell>
          <cell r="AG139">
            <v>-9.31524450627658E-4</v>
          </cell>
          <cell r="AR139">
            <v>3.9171731110519475E-3</v>
          </cell>
          <cell r="BC139">
            <v>8.8353666739659185E-4</v>
          </cell>
          <cell r="BF139">
            <v>4.8007097784485394E-3</v>
          </cell>
        </row>
        <row r="140">
          <cell r="O140">
            <v>1.26844555541175</v>
          </cell>
          <cell r="P140">
            <v>1.2686685000347599</v>
          </cell>
          <cell r="Q140">
            <v>1.2684614551984901</v>
          </cell>
          <cell r="U140">
            <v>-2.2656133463919799E-3</v>
          </cell>
          <cell r="V140">
            <v>-2.46978223277191E-3</v>
          </cell>
          <cell r="W140">
            <v>-2.2939107659668998E-3</v>
          </cell>
          <cell r="Y140">
            <v>1.2671331732903199</v>
          </cell>
          <cell r="Z140">
            <v>1.26726991061948</v>
          </cell>
          <cell r="AA140">
            <v>1.26709880099128</v>
          </cell>
          <cell r="AF140">
            <v>3.3003724333189401E-4</v>
          </cell>
          <cell r="AG140">
            <v>1.4095961913818499E-4</v>
          </cell>
          <cell r="AR140">
            <v>3.9171731110519475E-3</v>
          </cell>
          <cell r="BC140">
            <v>8.8353666739659185E-4</v>
          </cell>
          <cell r="BF140">
            <v>4.8007097784485394E-3</v>
          </cell>
        </row>
        <row r="141">
          <cell r="O141">
            <v>1.26844555541175</v>
          </cell>
          <cell r="P141">
            <v>1.2692066779515601</v>
          </cell>
          <cell r="Q141">
            <v>1.26848250153428</v>
          </cell>
          <cell r="U141">
            <v>-2.0021001132315098E-3</v>
          </cell>
          <cell r="V141">
            <v>-1.8263534824496401E-3</v>
          </cell>
          <cell r="W141">
            <v>-1.9895653323622601E-3</v>
          </cell>
          <cell r="Y141">
            <v>1.2671331732903199</v>
          </cell>
          <cell r="Z141">
            <v>1.2672995383494501</v>
          </cell>
          <cell r="AA141">
            <v>1.2671113493885899</v>
          </cell>
          <cell r="AF141">
            <v>5.6269492786950495E-4</v>
          </cell>
          <cell r="AG141">
            <v>4.2766356666940303E-4</v>
          </cell>
          <cell r="AR141">
            <v>3.9171731110519475E-3</v>
          </cell>
          <cell r="BC141">
            <v>8.8353666739659185E-4</v>
          </cell>
          <cell r="BF141">
            <v>4.8007097784485394E-3</v>
          </cell>
        </row>
        <row r="142">
          <cell r="O142">
            <v>1.26844555541175</v>
          </cell>
          <cell r="P142">
            <v>1.26967578217558</v>
          </cell>
          <cell r="Q142">
            <v>1.2685429152386201</v>
          </cell>
          <cell r="U142">
            <v>-2.84096415310092E-3</v>
          </cell>
          <cell r="V142">
            <v>-2.2411005842330601E-3</v>
          </cell>
          <cell r="W142">
            <v>-2.81183749148638E-3</v>
          </cell>
          <cell r="Y142">
            <v>1.2671331732903199</v>
          </cell>
          <cell r="Z142">
            <v>1.2672612441370801</v>
          </cell>
          <cell r="AA142">
            <v>1.2671620351467101</v>
          </cell>
          <cell r="AF142">
            <v>-2.3533416444354601E-4</v>
          </cell>
          <cell r="AG142">
            <v>-3.8384122943137098E-4</v>
          </cell>
          <cell r="AR142">
            <v>3.9171731110519475E-3</v>
          </cell>
          <cell r="BC142">
            <v>8.8353666739659185E-4</v>
          </cell>
          <cell r="BF142">
            <v>4.8007097784485394E-3</v>
          </cell>
        </row>
        <row r="143">
          <cell r="O143">
            <v>1.26844555541175</v>
          </cell>
          <cell r="P143">
            <v>1.2700982934878</v>
          </cell>
          <cell r="Q143">
            <v>1.2685086439712301</v>
          </cell>
          <cell r="U143">
            <v>-1.8302319431670201E-3</v>
          </cell>
          <cell r="V143">
            <v>-8.6083237826236399E-4</v>
          </cell>
          <cell r="W143">
            <v>-1.7534796614476001E-3</v>
          </cell>
          <cell r="Y143">
            <v>1.2671331732903199</v>
          </cell>
          <cell r="Z143">
            <v>1.26717917146281</v>
          </cell>
          <cell r="AA143">
            <v>1.26712097092832</v>
          </cell>
          <cell r="AF143">
            <v>7.1324870706493697E-4</v>
          </cell>
          <cell r="AG143">
            <v>6.3495950318190797E-4</v>
          </cell>
          <cell r="AR143">
            <v>3.9171731110519475E-3</v>
          </cell>
          <cell r="BC143">
            <v>8.8353666739659185E-4</v>
          </cell>
          <cell r="BF143">
            <v>4.8007097784485394E-3</v>
          </cell>
        </row>
        <row r="144">
          <cell r="O144">
            <v>1.26844555541175</v>
          </cell>
          <cell r="P144">
            <v>1.27051288203642</v>
          </cell>
          <cell r="Q144">
            <v>1.2684576307938999</v>
          </cell>
          <cell r="U144">
            <v>-1.6079183741858399E-3</v>
          </cell>
          <cell r="V144">
            <v>-3.05803139676116E-4</v>
          </cell>
          <cell r="W144">
            <v>-1.5581827033503499E-3</v>
          </cell>
          <cell r="Y144">
            <v>1.2671331732903199</v>
          </cell>
          <cell r="Z144">
            <v>1.2670891290723401</v>
          </cell>
          <cell r="AA144">
            <v>1.2670638465045401</v>
          </cell>
          <cell r="AF144">
            <v>8.6979452471681797E-4</v>
          </cell>
          <cell r="AG144">
            <v>8.2386426292482503E-4</v>
          </cell>
          <cell r="AR144">
            <v>3.9171731110519475E-3</v>
          </cell>
          <cell r="BC144">
            <v>8.8353666739659185E-4</v>
          </cell>
          <cell r="BF144">
            <v>4.8007097784485394E-3</v>
          </cell>
        </row>
        <row r="145">
          <cell r="O145">
            <v>1.26844555541175</v>
          </cell>
          <cell r="P145">
            <v>1.2708949866529899</v>
          </cell>
          <cell r="Q145">
            <v>1.2686955155145401</v>
          </cell>
          <cell r="U145">
            <v>-1.9614271917020101E-3</v>
          </cell>
          <cell r="V145">
            <v>-3.3294280925042798E-4</v>
          </cell>
          <cell r="W145">
            <v>-1.9519074100985999E-3</v>
          </cell>
          <cell r="Y145">
            <v>1.2671331732903199</v>
          </cell>
          <cell r="Z145">
            <v>1.2669673880635499</v>
          </cell>
          <cell r="AA145">
            <v>1.2670487833436701</v>
          </cell>
          <cell r="AF145">
            <v>4.5137014793573602E-4</v>
          </cell>
          <cell r="AG145">
            <v>4.31416681792431E-4</v>
          </cell>
          <cell r="AR145">
            <v>3.9171731110519475E-3</v>
          </cell>
          <cell r="BC145">
            <v>8.8353666739659185E-4</v>
          </cell>
          <cell r="BF145">
            <v>4.8007097784485394E-3</v>
          </cell>
        </row>
        <row r="146">
          <cell r="O146">
            <v>1.26844555541175</v>
          </cell>
          <cell r="P146">
            <v>1.27145004865251</v>
          </cell>
          <cell r="Q146">
            <v>1.2690136473167799</v>
          </cell>
          <cell r="U146">
            <v>-2.84096415310092E-3</v>
          </cell>
          <cell r="V146">
            <v>-9.1177666497517301E-4</v>
          </cell>
          <cell r="W146">
            <v>-2.6439233921773599E-3</v>
          </cell>
          <cell r="Y146">
            <v>1.2671331732903199</v>
          </cell>
          <cell r="Z146">
            <v>1.26701343196605</v>
          </cell>
          <cell r="AA146">
            <v>1.2671115813670499</v>
          </cell>
          <cell r="AF146">
            <v>-4.9746147577205103E-4</v>
          </cell>
          <cell r="AG146">
            <v>-4.3321935998466999E-4</v>
          </cell>
          <cell r="AR146">
            <v>3.9171731110519475E-3</v>
          </cell>
          <cell r="BC146">
            <v>8.8353666739659185E-4</v>
          </cell>
          <cell r="BF146">
            <v>4.8007097784485394E-3</v>
          </cell>
        </row>
        <row r="147">
          <cell r="O147">
            <v>1.26844555541175</v>
          </cell>
          <cell r="P147">
            <v>1.27092956262348</v>
          </cell>
          <cell r="Q147">
            <v>1.26896043398532</v>
          </cell>
          <cell r="U147">
            <v>2.0513837990088399E-3</v>
          </cell>
          <cell r="V147">
            <v>4.4172248495987498E-3</v>
          </cell>
          <cell r="W147">
            <v>2.4991481720522402E-3</v>
          </cell>
          <cell r="Y147">
            <v>1.2671331732903199</v>
          </cell>
          <cell r="Z147">
            <v>1.26699773722096</v>
          </cell>
          <cell r="AA147">
            <v>1.2670589450322001</v>
          </cell>
          <cell r="AF147">
            <v>4.2086329579015799E-4</v>
          </cell>
          <cell r="AG147">
            <v>4.9832545770962604E-4</v>
          </cell>
          <cell r="AR147">
            <v>3.9171731110519475E-3</v>
          </cell>
          <cell r="BC147">
            <v>8.8353666739659185E-4</v>
          </cell>
          <cell r="BF147">
            <v>4.8007097784485394E-3</v>
          </cell>
        </row>
        <row r="148">
          <cell r="O148">
            <v>1.26844555541175</v>
          </cell>
          <cell r="P148">
            <v>1.2702609438366199</v>
          </cell>
          <cell r="Q148">
            <v>1.26893987794923</v>
          </cell>
          <cell r="U148">
            <v>2.3396547076884999E-3</v>
          </cell>
          <cell r="V148">
            <v>4.2960478269057096E-3</v>
          </cell>
          <cell r="W148">
            <v>2.74548537316705E-3</v>
          </cell>
          <cell r="Y148">
            <v>1.2671331732903199</v>
          </cell>
          <cell r="Z148">
            <v>1.26683842391067</v>
          </cell>
          <cell r="AA148">
            <v>1.2670380884210799</v>
          </cell>
          <cell r="AF148">
            <v>6.9074080952175097E-4</v>
          </cell>
          <cell r="AG148">
            <v>7.3904897222526098E-4</v>
          </cell>
          <cell r="AR148">
            <v>3.9171731110519475E-3</v>
          </cell>
          <cell r="BC148">
            <v>8.8353666739659185E-4</v>
          </cell>
          <cell r="BF148">
            <v>4.8007097784485394E-3</v>
          </cell>
        </row>
        <row r="149">
          <cell r="O149">
            <v>1.26844555541175</v>
          </cell>
          <cell r="P149">
            <v>1.2695256875194101</v>
          </cell>
          <cell r="Q149">
            <v>1.2688561461252099</v>
          </cell>
          <cell r="U149">
            <v>2.4682088170473598E-3</v>
          </cell>
          <cell r="V149">
            <v>3.8983770817361098E-3</v>
          </cell>
          <cell r="W149">
            <v>2.85784023624708E-3</v>
          </cell>
          <cell r="Y149">
            <v>1.2671331732903199</v>
          </cell>
          <cell r="Z149">
            <v>1.26661501466879</v>
          </cell>
          <cell r="AA149">
            <v>1.2669554466670701</v>
          </cell>
          <cell r="AF149">
            <v>6.9037178517867496E-4</v>
          </cell>
          <cell r="AG149">
            <v>8.4796787153268601E-4</v>
          </cell>
          <cell r="AR149">
            <v>3.9171731110519475E-3</v>
          </cell>
          <cell r="BC149">
            <v>8.8353666739659185E-4</v>
          </cell>
          <cell r="BF149">
            <v>4.8007097784485394E-3</v>
          </cell>
        </row>
        <row r="150">
          <cell r="O150">
            <v>1.26844555541175</v>
          </cell>
          <cell r="P150">
            <v>1.2690068243611601</v>
          </cell>
          <cell r="Q150">
            <v>1.26883766219796</v>
          </cell>
          <cell r="U150">
            <v>1.82402412353918E-3</v>
          </cell>
          <cell r="V150">
            <v>2.67520175281615E-3</v>
          </cell>
          <cell r="W150">
            <v>2.1476677145145099E-3</v>
          </cell>
          <cell r="Y150">
            <v>1.2671331732903199</v>
          </cell>
          <cell r="Z150">
            <v>1.26660321700574</v>
          </cell>
          <cell r="AA150">
            <v>1.26693656381261</v>
          </cell>
          <cell r="AF150">
            <v>-1.1423619132691701E-4</v>
          </cell>
          <cell r="AG150">
            <v>1.54500759570831E-4</v>
          </cell>
          <cell r="AR150">
            <v>3.9171731110519475E-3</v>
          </cell>
          <cell r="BC150">
            <v>8.8353666739659185E-4</v>
          </cell>
          <cell r="BF150">
            <v>4.8007097784485394E-3</v>
          </cell>
        </row>
        <row r="151">
          <cell r="O151">
            <v>1.26844555541175</v>
          </cell>
          <cell r="P151">
            <v>1.2685951754934801</v>
          </cell>
          <cell r="Q151">
            <v>1.26890092672252</v>
          </cell>
          <cell r="U151">
            <v>1.2419670938032101E-3</v>
          </cell>
          <cell r="V151">
            <v>1.68435487064099E-3</v>
          </cell>
          <cell r="W151">
            <v>1.55104318480041E-3</v>
          </cell>
          <cell r="Y151">
            <v>1.2671331732903199</v>
          </cell>
          <cell r="Z151">
            <v>1.2666951321828599</v>
          </cell>
          <cell r="AA151">
            <v>1.2669973352661501</v>
          </cell>
          <cell r="AF151">
            <v>-6.8897577405233697E-4</v>
          </cell>
          <cell r="AG151">
            <v>-4.2582868529167698E-4</v>
          </cell>
          <cell r="AR151">
            <v>3.9171731110519475E-3</v>
          </cell>
          <cell r="BC151">
            <v>8.8353666739659185E-4</v>
          </cell>
          <cell r="BF151">
            <v>4.8007097784485394E-3</v>
          </cell>
        </row>
        <row r="152">
          <cell r="O152">
            <v>1.26844555541175</v>
          </cell>
          <cell r="P152">
            <v>1.26809743905348</v>
          </cell>
          <cell r="Q152">
            <v>1.26888661061453</v>
          </cell>
          <cell r="U152">
            <v>1.0795664241766601E-3</v>
          </cell>
          <cell r="V152">
            <v>1.1975149301465099E-3</v>
          </cell>
          <cell r="W152">
            <v>1.43850149186112E-3</v>
          </cell>
          <cell r="Y152">
            <v>1.2671331732903199</v>
          </cell>
          <cell r="Z152">
            <v>1.2667031769786501</v>
          </cell>
          <cell r="AA152">
            <v>1.2669822105578601</v>
          </cell>
          <cell r="AF152">
            <v>-7.7583528171361999E-4</v>
          </cell>
          <cell r="AG152">
            <v>-5.3728771636236895E-4</v>
          </cell>
          <cell r="AR152">
            <v>3.9171731110519475E-3</v>
          </cell>
          <cell r="BC152">
            <v>8.8353666739659185E-4</v>
          </cell>
          <cell r="BF152">
            <v>4.8007097784485394E-3</v>
          </cell>
        </row>
        <row r="153">
          <cell r="O153">
            <v>1.26844555541175</v>
          </cell>
          <cell r="P153">
            <v>1.26763391487023</v>
          </cell>
          <cell r="Q153">
            <v>1.2688661041790099</v>
          </cell>
          <cell r="U153">
            <v>1.82402412353918E-3</v>
          </cell>
          <cell r="V153">
            <v>1.54954317745191E-3</v>
          </cell>
          <cell r="W153">
            <v>2.17167683777619E-3</v>
          </cell>
          <cell r="Y153">
            <v>1.2671331732903199</v>
          </cell>
          <cell r="Z153">
            <v>1.26674337920359</v>
          </cell>
          <cell r="AA153">
            <v>1.2669612753332</v>
          </cell>
          <cell r="AF153">
            <v>-4.4633951712176397E-5</v>
          </cell>
          <cell r="AG153">
            <v>1.7562510784760899E-4</v>
          </cell>
          <cell r="AR153">
            <v>3.9171731110519475E-3</v>
          </cell>
          <cell r="BC153">
            <v>8.8353666739659185E-4</v>
          </cell>
          <cell r="BF153">
            <v>4.8007097784485394E-3</v>
          </cell>
        </row>
        <row r="154">
          <cell r="O154">
            <v>1.26844555541175</v>
          </cell>
          <cell r="P154">
            <v>1.26722735130255</v>
          </cell>
          <cell r="Q154">
            <v>1.26887011666948</v>
          </cell>
          <cell r="U154">
            <v>1.5972742189214401E-3</v>
          </cell>
          <cell r="V154">
            <v>9.5719919071761699E-4</v>
          </cell>
          <cell r="W154">
            <v>1.9287658348769599E-3</v>
          </cell>
          <cell r="Y154">
            <v>1.2671331732903199</v>
          </cell>
          <cell r="Z154">
            <v>1.26683947867405</v>
          </cell>
          <cell r="AA154">
            <v>1.2669643038731899</v>
          </cell>
          <cell r="AF154">
            <v>-2.32917178523768E-4</v>
          </cell>
          <cell r="AG154">
            <v>-6.0919128352291703E-5</v>
          </cell>
          <cell r="AR154">
            <v>3.9171731110519475E-3</v>
          </cell>
          <cell r="BC154">
            <v>8.8353666739659185E-4</v>
          </cell>
          <cell r="BF154">
            <v>4.8007097784485394E-3</v>
          </cell>
        </row>
        <row r="155">
          <cell r="O155">
            <v>1.26844555541175</v>
          </cell>
          <cell r="P155">
            <v>1.26678816700814</v>
          </cell>
          <cell r="Q155">
            <v>1.2688415768305701</v>
          </cell>
          <cell r="U155">
            <v>1.5001545304121401E-3</v>
          </cell>
          <cell r="V155">
            <v>5.3930173295117702E-4</v>
          </cell>
          <cell r="W155">
            <v>1.83480840605243E-3</v>
          </cell>
          <cell r="Y155">
            <v>1.2671331732903199</v>
          </cell>
          <cell r="Z155">
            <v>1.26690345447526</v>
          </cell>
          <cell r="AA155">
            <v>1.2669354212694</v>
          </cell>
          <cell r="AF155">
            <v>-2.5068010284529601E-4</v>
          </cell>
          <cell r="AG155">
            <v>-1.5215218990581299E-4</v>
          </cell>
          <cell r="AR155">
            <v>3.9171731110519475E-3</v>
          </cell>
          <cell r="BC155">
            <v>8.8353666739659185E-4</v>
          </cell>
          <cell r="BF155">
            <v>4.8007097784485394E-3</v>
          </cell>
        </row>
        <row r="156">
          <cell r="O156">
            <v>1.26844555541175</v>
          </cell>
          <cell r="P156">
            <v>1.2662085051316201</v>
          </cell>
          <cell r="Q156">
            <v>1.2688292768920699</v>
          </cell>
          <cell r="U156">
            <v>1.72634588748277E-3</v>
          </cell>
          <cell r="V156">
            <v>4.1886198564884902E-4</v>
          </cell>
          <cell r="W156">
            <v>2.03850718526813E-3</v>
          </cell>
          <cell r="Y156">
            <v>1.2671331732903199</v>
          </cell>
          <cell r="Z156">
            <v>1.26683157197876</v>
          </cell>
          <cell r="AA156">
            <v>1.2669225019724</v>
          </cell>
          <cell r="AF156">
            <v>1.93127213771361E-5</v>
          </cell>
          <cell r="AG156">
            <v>4.4544628939989999E-5</v>
          </cell>
          <cell r="AR156">
            <v>3.9171731110519475E-3</v>
          </cell>
          <cell r="BC156">
            <v>8.8353666739659185E-4</v>
          </cell>
          <cell r="BF156">
            <v>4.8007097784485394E-3</v>
          </cell>
        </row>
        <row r="157">
          <cell r="O157">
            <v>1.26844555541175</v>
          </cell>
          <cell r="P157">
            <v>1.2662046141177801</v>
          </cell>
          <cell r="Q157">
            <v>1.2685670883706299</v>
          </cell>
          <cell r="U157">
            <v>2.0821227132679599E-3</v>
          </cell>
          <cell r="V157">
            <v>3.1695018277090597E-4</v>
          </cell>
          <cell r="W157">
            <v>2.38459013094873E-3</v>
          </cell>
          <cell r="Y157">
            <v>1.2671331732903199</v>
          </cell>
          <cell r="Z157">
            <v>1.2668276328819299</v>
          </cell>
          <cell r="AA157">
            <v>1.2669126850514401</v>
          </cell>
          <cell r="AF157">
            <v>3.0842180653329601E-4</v>
          </cell>
          <cell r="AG157">
            <v>3.8019672314032601E-4</v>
          </cell>
          <cell r="AR157">
            <v>3.9171731110519475E-3</v>
          </cell>
          <cell r="BC157">
            <v>8.8353666739659185E-4</v>
          </cell>
          <cell r="BF157">
            <v>4.8007097784485394E-3</v>
          </cell>
        </row>
        <row r="158">
          <cell r="O158">
            <v>1.26844555541175</v>
          </cell>
          <cell r="P158">
            <v>1.2663763858560799</v>
          </cell>
          <cell r="Q158">
            <v>1.26831866484635</v>
          </cell>
          <cell r="U158">
            <v>9.8321217936196193E-4</v>
          </cell>
          <cell r="V158">
            <v>-7.8503332039580698E-4</v>
          </cell>
          <cell r="W158">
            <v>1.0790201046946099E-3</v>
          </cell>
          <cell r="Y158">
            <v>1.2671331732903199</v>
          </cell>
          <cell r="Z158">
            <v>1.2669949482907401</v>
          </cell>
          <cell r="AA158">
            <v>1.26691668610071</v>
          </cell>
          <cell r="AF158">
            <v>-7.6413207559165701E-4</v>
          </cell>
          <cell r="AG158">
            <v>-6.9699641141574497E-4</v>
          </cell>
          <cell r="AR158">
            <v>3.9171731110519475E-3</v>
          </cell>
          <cell r="BC158">
            <v>8.8353666739659185E-4</v>
          </cell>
          <cell r="BF158">
            <v>4.8007097784485394E-3</v>
          </cell>
        </row>
        <row r="159">
          <cell r="O159">
            <v>1.26844555541175</v>
          </cell>
          <cell r="P159">
            <v>1.2665929893686501</v>
          </cell>
          <cell r="Q159">
            <v>1.26805933844403</v>
          </cell>
          <cell r="U159">
            <v>7.5782280935239197E-4</v>
          </cell>
          <cell r="V159">
            <v>-8.7477313877375098E-4</v>
          </cell>
          <cell r="W159">
            <v>6.5778153275311004E-4</v>
          </cell>
          <cell r="Y159">
            <v>1.2671331732903199</v>
          </cell>
          <cell r="Z159">
            <v>1.26720587125705</v>
          </cell>
          <cell r="AA159">
            <v>1.2669104429629201</v>
          </cell>
          <cell r="AF159">
            <v>-8.5079969194152096E-4</v>
          </cell>
          <cell r="AG159">
            <v>-9.1257153038821299E-4</v>
          </cell>
          <cell r="AR159">
            <v>3.9171731110519475E-3</v>
          </cell>
          <cell r="BC159">
            <v>8.8353666739659185E-4</v>
          </cell>
          <cell r="BF159">
            <v>4.8007097784485394E-3</v>
          </cell>
        </row>
        <row r="160">
          <cell r="O160">
            <v>1.26844555541175</v>
          </cell>
          <cell r="P160">
            <v>1.26665445218365</v>
          </cell>
          <cell r="Q160">
            <v>1.2678306382724001</v>
          </cell>
          <cell r="U160">
            <v>1.3387050167069699E-3</v>
          </cell>
          <cell r="V160">
            <v>-1.2286358681947899E-4</v>
          </cell>
          <cell r="W160">
            <v>1.03417812882549E-3</v>
          </cell>
          <cell r="Y160">
            <v>1.2671331732903199</v>
          </cell>
          <cell r="Z160">
            <v>1.26726569736649</v>
          </cell>
          <cell r="AA160">
            <v>1.2669344571861101</v>
          </cell>
          <cell r="AF160">
            <v>-1.20025420846922E-4</v>
          </cell>
          <cell r="AG160">
            <v>-3.5318622235623397E-4</v>
          </cell>
          <cell r="AR160">
            <v>3.9171731110519475E-3</v>
          </cell>
          <cell r="BC160">
            <v>8.8353666739659185E-4</v>
          </cell>
          <cell r="BF160">
            <v>4.8007097784485394E-3</v>
          </cell>
        </row>
        <row r="161">
          <cell r="O161">
            <v>1.26844555541175</v>
          </cell>
          <cell r="P161">
            <v>1.2665807345129001</v>
          </cell>
          <cell r="Q161">
            <v>1.2675879550031901</v>
          </cell>
          <cell r="U161">
            <v>1.82402412353918E-3</v>
          </cell>
          <cell r="V161">
            <v>4.1098044024036199E-4</v>
          </cell>
          <cell r="W161">
            <v>1.3391264984846201E-3</v>
          </cell>
          <cell r="Y161">
            <v>1.2671331732903199</v>
          </cell>
          <cell r="Z161">
            <v>1.26719405132466</v>
          </cell>
          <cell r="AA161">
            <v>1.2669445917537601</v>
          </cell>
          <cell r="AF161">
            <v>3.9934971578131298E-4</v>
          </cell>
          <cell r="AG161">
            <v>1.3793375646059501E-4</v>
          </cell>
          <cell r="AR161">
            <v>3.9171731110519475E-3</v>
          </cell>
          <cell r="BC161">
            <v>8.8353666739659185E-4</v>
          </cell>
          <cell r="BF161">
            <v>4.8007097784485394E-3</v>
          </cell>
        </row>
        <row r="162">
          <cell r="O162">
            <v>1.26844555541175</v>
          </cell>
          <cell r="P162">
            <v>1.2670167806382699</v>
          </cell>
          <cell r="Q162">
            <v>1.26755710984588</v>
          </cell>
          <cell r="U162">
            <v>-2.35588046665469E-3</v>
          </cell>
          <cell r="V162">
            <v>-3.8271245658924799E-3</v>
          </cell>
          <cell r="W162">
            <v>-3.0322125716797598E-3</v>
          </cell>
          <cell r="Y162">
            <v>1.2671331732903199</v>
          </cell>
          <cell r="Z162">
            <v>1.2671074553419299</v>
          </cell>
          <cell r="AA162">
            <v>1.2669053161602899</v>
          </cell>
          <cell r="AF162">
            <v>3.0130222332150998E-4</v>
          </cell>
          <cell r="AG162">
            <v>1.04423041206142E-4</v>
          </cell>
          <cell r="AR162">
            <v>3.9171731110519475E-3</v>
          </cell>
          <cell r="BC162">
            <v>8.8353666739659185E-4</v>
          </cell>
          <cell r="BF162">
            <v>4.8007097784485394E-3</v>
          </cell>
        </row>
        <row r="163">
          <cell r="O163">
            <v>1.26844555541175</v>
          </cell>
          <cell r="P163">
            <v>1.2676481541923299</v>
          </cell>
          <cell r="Q163">
            <v>1.2676410345312801</v>
          </cell>
          <cell r="U163">
            <v>-3.15020894965889E-3</v>
          </cell>
          <cell r="V163">
            <v>-4.2772419995321604E-3</v>
          </cell>
          <cell r="W163">
            <v>-3.8508750920055201E-3</v>
          </cell>
          <cell r="Y163">
            <v>1.2671331732903199</v>
          </cell>
          <cell r="Z163">
            <v>1.26721204048395</v>
          </cell>
          <cell r="AA163">
            <v>1.26697770984377</v>
          </cell>
          <cell r="AF163">
            <v>-5.5079783677903604E-4</v>
          </cell>
          <cell r="AG163">
            <v>-7.1033861284973995E-4</v>
          </cell>
          <cell r="AR163">
            <v>3.9171731110519475E-3</v>
          </cell>
          <cell r="BC163">
            <v>8.8353666739659185E-4</v>
          </cell>
          <cell r="BF163">
            <v>4.8007097784485394E-3</v>
          </cell>
        </row>
        <row r="164">
          <cell r="O164">
            <v>1.26844555541175</v>
          </cell>
          <cell r="P164">
            <v>1.26820604246734</v>
          </cell>
          <cell r="Q164">
            <v>1.26771669688495</v>
          </cell>
          <cell r="U164">
            <v>-2.7982862298022498E-3</v>
          </cell>
          <cell r="V164">
            <v>-3.4271283287237099E-3</v>
          </cell>
          <cell r="W164">
            <v>-3.4327447775927E-3</v>
          </cell>
          <cell r="Y164">
            <v>1.2671331732903199</v>
          </cell>
          <cell r="Z164">
            <v>1.2672450702626099</v>
          </cell>
          <cell r="AA164">
            <v>1.2670422744683301</v>
          </cell>
          <cell r="AF164">
            <v>-1.2366318227126499E-4</v>
          </cell>
          <cell r="AG164">
            <v>-3.0859853750037601E-4</v>
          </cell>
          <cell r="AR164">
            <v>3.9171731110519475E-3</v>
          </cell>
          <cell r="BC164">
            <v>8.8353666739659185E-4</v>
          </cell>
          <cell r="BF164">
            <v>4.8007097784485394E-3</v>
          </cell>
        </row>
        <row r="165">
          <cell r="O165">
            <v>1.26844555541175</v>
          </cell>
          <cell r="P165">
            <v>1.26884676317337</v>
          </cell>
          <cell r="Q165">
            <v>1.2678174650907601</v>
          </cell>
          <cell r="U165">
            <v>-3.5459034768644702E-3</v>
          </cell>
          <cell r="V165">
            <v>-3.73474529126576E-3</v>
          </cell>
          <cell r="W165">
            <v>-4.1206762826776801E-3</v>
          </cell>
          <cell r="Y165">
            <v>1.2671331732903199</v>
          </cell>
          <cell r="Z165">
            <v>1.2673579052396899</v>
          </cell>
          <cell r="AA165">
            <v>1.26713067985747</v>
          </cell>
          <cell r="AF165">
            <v>-8.2063260137586204E-4</v>
          </cell>
          <cell r="AG165">
            <v>-9.8067427552654208E-4</v>
          </cell>
          <cell r="AR165">
            <v>3.9171731110519475E-3</v>
          </cell>
          <cell r="BC165">
            <v>8.8353666739659185E-4</v>
          </cell>
          <cell r="BF165">
            <v>4.8007097784485394E-3</v>
          </cell>
        </row>
        <row r="166">
          <cell r="O166">
            <v>1.26844555541175</v>
          </cell>
          <cell r="P166">
            <v>1.2693532583541201</v>
          </cell>
          <cell r="Q166">
            <v>1.26778088174287</v>
          </cell>
          <cell r="U166">
            <v>-2.2656133463919799E-3</v>
          </cell>
          <cell r="V166">
            <v>-1.9493645941133699E-3</v>
          </cell>
          <cell r="W166">
            <v>-2.7609013577393499E-3</v>
          </cell>
          <cell r="Y166">
            <v>1.2671331732903199</v>
          </cell>
          <cell r="Z166">
            <v>1.2673392811579001</v>
          </cell>
          <cell r="AA166">
            <v>1.26708542656833</v>
          </cell>
          <cell r="AF166">
            <v>5.2497665295574798E-4</v>
          </cell>
          <cell r="AG166">
            <v>3.4566996034792098E-4</v>
          </cell>
          <cell r="AR166">
            <v>3.9171731110519475E-3</v>
          </cell>
          <cell r="BC166">
            <v>8.8353666739659185E-4</v>
          </cell>
          <cell r="BF166">
            <v>4.8007097784485394E-3</v>
          </cell>
        </row>
        <row r="167">
          <cell r="O167">
            <v>1.26844555541175</v>
          </cell>
          <cell r="P167">
            <v>1.26996660073241</v>
          </cell>
          <cell r="Q167">
            <v>1.2680856074250999</v>
          </cell>
          <cell r="U167">
            <v>-2.7516400874296001E-3</v>
          </cell>
          <cell r="V167">
            <v>-2.0362934049820299E-3</v>
          </cell>
          <cell r="W167">
            <v>-3.27578388970595E-3</v>
          </cell>
          <cell r="Y167">
            <v>1.2671331732903199</v>
          </cell>
          <cell r="Z167">
            <v>1.26742437226337</v>
          </cell>
          <cell r="AA167">
            <v>1.2671260025726501</v>
          </cell>
          <cell r="AF167">
            <v>3.7446364032229803E-5</v>
          </cell>
          <cell r="AG167">
            <v>-1.62878853474758E-4</v>
          </cell>
          <cell r="AR167">
            <v>3.9171731110519475E-3</v>
          </cell>
          <cell r="BC167">
            <v>8.8353666739659185E-4</v>
          </cell>
          <cell r="BF167">
            <v>4.8007097784485394E-3</v>
          </cell>
        </row>
        <row r="168">
          <cell r="O168">
            <v>1.26844555541175</v>
          </cell>
          <cell r="P168">
            <v>1.26976466679442</v>
          </cell>
          <cell r="Q168">
            <v>1.2680705263252501</v>
          </cell>
          <cell r="U168">
            <v>2.57802879341139E-3</v>
          </cell>
          <cell r="V168">
            <v>3.7764515940770199E-3</v>
          </cell>
          <cell r="W168">
            <v>2.2942175835625198E-3</v>
          </cell>
          <cell r="Y168">
            <v>1.2671331732903199</v>
          </cell>
          <cell r="Z168">
            <v>1.2672167226983899</v>
          </cell>
          <cell r="AA168">
            <v>1.2671058354945599</v>
          </cell>
          <cell r="AF168">
            <v>1.3460283206786199E-3</v>
          </cell>
          <cell r="AG168">
            <v>1.11058640951235E-3</v>
          </cell>
          <cell r="AR168">
            <v>3.9171731110519475E-3</v>
          </cell>
          <cell r="BC168">
            <v>8.8353666739659185E-4</v>
          </cell>
          <cell r="BF168">
            <v>4.8007097784485394E-3</v>
          </cell>
        </row>
        <row r="169">
          <cell r="O169">
            <v>1.26844555541175</v>
          </cell>
          <cell r="P169">
            <v>1.26972004192461</v>
          </cell>
          <cell r="Q169">
            <v>1.2681565156466299</v>
          </cell>
          <cell r="U169">
            <v>1.10995904112033E-3</v>
          </cell>
          <cell r="V169">
            <v>2.1493619163308001E-3</v>
          </cell>
          <cell r="W169">
            <v>8.1425495161081395E-4</v>
          </cell>
          <cell r="Y169">
            <v>1.2671331732903199</v>
          </cell>
          <cell r="Z169">
            <v>1.2671614943748399</v>
          </cell>
          <cell r="AA169">
            <v>1.26718368281595</v>
          </cell>
          <cell r="AF169">
            <v>-2.4015104286426701E-4</v>
          </cell>
          <cell r="AG169">
            <v>-3.2765940168541703E-4</v>
          </cell>
          <cell r="AR169">
            <v>3.9171731110519475E-3</v>
          </cell>
          <cell r="BC169">
            <v>2.3516064196877516E-3</v>
          </cell>
          <cell r="BF169">
            <v>6.2687795307396991E-3</v>
          </cell>
        </row>
        <row r="170">
          <cell r="O170">
            <v>1.26844555541175</v>
          </cell>
          <cell r="P170">
            <v>1.26977785348327</v>
          </cell>
          <cell r="Q170">
            <v>1.2682161528334599</v>
          </cell>
          <cell r="U170">
            <v>8.8243160977045704E-4</v>
          </cell>
          <cell r="V170">
            <v>1.8866896623609001E-3</v>
          </cell>
          <cell r="W170">
            <v>6.54536371747465E-4</v>
          </cell>
          <cell r="Y170">
            <v>1.2671331732903199</v>
          </cell>
          <cell r="Z170">
            <v>1.26720569293778</v>
          </cell>
          <cell r="AA170">
            <v>1.26723569515213</v>
          </cell>
          <cell r="AF170">
            <v>-5.0373039744961996E-4</v>
          </cell>
          <cell r="AG170">
            <v>-4.8622020088563299E-4</v>
          </cell>
          <cell r="AR170">
            <v>3.9171731110519475E-3</v>
          </cell>
          <cell r="BC170">
            <v>2.3516064196877516E-3</v>
          </cell>
          <cell r="BF170">
            <v>6.2687795307396991E-3</v>
          </cell>
        </row>
        <row r="171">
          <cell r="O171">
            <v>1.26844555541175</v>
          </cell>
          <cell r="P171">
            <v>1.2699302538460999</v>
          </cell>
          <cell r="Q171">
            <v>1.2682554941794999</v>
          </cell>
          <cell r="U171">
            <v>6.21081006450512E-4</v>
          </cell>
          <cell r="V171">
            <v>1.6708689716866201E-3</v>
          </cell>
          <cell r="W171">
            <v>4.4021133969370598E-4</v>
          </cell>
          <cell r="Y171">
            <v>1.2671331732903199</v>
          </cell>
          <cell r="Z171">
            <v>1.26734188131151</v>
          </cell>
          <cell r="AA171">
            <v>1.2672679663180899</v>
          </cell>
          <cell r="AF171">
            <v>-7.22515827303951E-4</v>
          </cell>
          <cell r="AG171">
            <v>-6.9884022407697805E-4</v>
          </cell>
          <cell r="AR171">
            <v>3.9171731110519475E-3</v>
          </cell>
          <cell r="BC171">
            <v>2.3516064196877516E-3</v>
          </cell>
          <cell r="BF171">
            <v>6.2687795307396991E-3</v>
          </cell>
        </row>
        <row r="172">
          <cell r="O172">
            <v>1.26844555541175</v>
          </cell>
          <cell r="P172">
            <v>1.26949035680089</v>
          </cell>
          <cell r="Q172">
            <v>1.2682535687195799</v>
          </cell>
          <cell r="U172">
            <v>1.10995904112033E-3</v>
          </cell>
          <cell r="V172">
            <v>2.2797610840209199E-3</v>
          </cell>
          <cell r="W172">
            <v>9.6010990328901597E-4</v>
          </cell>
          <cell r="Y172">
            <v>1.2671331732903199</v>
          </cell>
          <cell r="Z172">
            <v>1.2674127595322</v>
          </cell>
          <cell r="AA172">
            <v>1.26726010743707</v>
          </cell>
          <cell r="AF172">
            <v>-1.41389378385529E-4</v>
          </cell>
          <cell r="AG172">
            <v>-1.9971393158269601E-4</v>
          </cell>
          <cell r="AR172">
            <v>3.9171731110519475E-3</v>
          </cell>
          <cell r="BC172">
            <v>2.3516064196877516E-3</v>
          </cell>
          <cell r="BF172">
            <v>6.2687795307396991E-3</v>
          </cell>
        </row>
        <row r="173">
          <cell r="O173">
            <v>1.26844555541175</v>
          </cell>
          <cell r="P173">
            <v>1.2689205223184301</v>
          </cell>
          <cell r="Q173">
            <v>1.2682843382553799</v>
          </cell>
          <cell r="U173">
            <v>1.3381030300909601E-3</v>
          </cell>
          <cell r="V173">
            <v>2.1614504149757401E-3</v>
          </cell>
          <cell r="W173">
            <v>1.1867356955015101E-3</v>
          </cell>
          <cell r="Y173">
            <v>1.2671331732903199</v>
          </cell>
          <cell r="Z173">
            <v>1.26735635593864</v>
          </cell>
          <cell r="AA173">
            <v>1.2672841982112999</v>
          </cell>
          <cell r="AF173">
            <v>1.3510942271547201E-4</v>
          </cell>
          <cell r="AG173">
            <v>1.4658300751404599E-5</v>
          </cell>
          <cell r="AR173">
            <v>3.9171731110519475E-3</v>
          </cell>
          <cell r="BC173">
            <v>2.3516064196877516E-3</v>
          </cell>
          <cell r="BF173">
            <v>6.2687795307396991E-3</v>
          </cell>
        </row>
        <row r="174">
          <cell r="O174">
            <v>1.26844555541175</v>
          </cell>
          <cell r="P174">
            <v>1.2685162749730201</v>
          </cell>
          <cell r="Q174">
            <v>1.26836115872018</v>
          </cell>
          <cell r="U174">
            <v>3.8481964900999299E-4</v>
          </cell>
          <cell r="V174">
            <v>7.5919756506409803E-4</v>
          </cell>
          <cell r="W174">
            <v>2.5771336387094598E-4</v>
          </cell>
          <cell r="Y174">
            <v>1.2671331732903199</v>
          </cell>
          <cell r="Z174">
            <v>1.2674610295698501</v>
          </cell>
          <cell r="AA174">
            <v>1.26735304991623</v>
          </cell>
          <cell r="AF174">
            <v>-8.3535755187484097E-4</v>
          </cell>
          <cell r="AG174">
            <v>-8.9229479865617404E-4</v>
          </cell>
          <cell r="AR174">
            <v>3.9171731110519475E-3</v>
          </cell>
          <cell r="BC174">
            <v>2.3516064196877516E-3</v>
          </cell>
          <cell r="BF174">
            <v>6.2687795307396991E-3</v>
          </cell>
        </row>
        <row r="175">
          <cell r="O175">
            <v>1.26844555541175</v>
          </cell>
          <cell r="P175">
            <v>1.2679711425022899</v>
          </cell>
          <cell r="Q175">
            <v>1.26840895283783</v>
          </cell>
          <cell r="U175">
            <v>7.4572220492703995E-4</v>
          </cell>
          <cell r="V175">
            <v>8.0147358473744198E-4</v>
          </cell>
          <cell r="W175">
            <v>6.7918446586040396E-4</v>
          </cell>
          <cell r="Y175">
            <v>1.2671331732903199</v>
          </cell>
          <cell r="Z175">
            <v>1.2674297295950501</v>
          </cell>
          <cell r="AA175">
            <v>1.26739381741737</v>
          </cell>
          <cell r="AF175">
            <v>-4.0341061884325999E-4</v>
          </cell>
          <cell r="AG175">
            <v>-4.8860791560421403E-4</v>
          </cell>
          <cell r="AR175">
            <v>3.9171731110519475E-3</v>
          </cell>
          <cell r="BC175">
            <v>2.3516064196877516E-3</v>
          </cell>
          <cell r="BF175">
            <v>6.2687795307396991E-3</v>
          </cell>
        </row>
        <row r="176">
          <cell r="O176">
            <v>1.26844555541175</v>
          </cell>
          <cell r="P176">
            <v>1.2674805314822699</v>
          </cell>
          <cell r="Q176">
            <v>1.26841689491819</v>
          </cell>
          <cell r="U176">
            <v>1.6009119814427901E-3</v>
          </cell>
          <cell r="V176">
            <v>1.22683077042672E-3</v>
          </cell>
          <cell r="W176">
            <v>1.5720553215053099E-3</v>
          </cell>
          <cell r="Y176">
            <v>1.2671331732903199</v>
          </cell>
          <cell r="Z176">
            <v>1.26745274226323</v>
          </cell>
          <cell r="AA176">
            <v>1.26739601171056</v>
          </cell>
          <cell r="AF176">
            <v>3.9998884074556301E-4</v>
          </cell>
          <cell r="AG176">
            <v>3.7165378939629898E-4</v>
          </cell>
          <cell r="AR176">
            <v>3.9171731110519475E-3</v>
          </cell>
          <cell r="BC176">
            <v>2.3516064196877516E-3</v>
          </cell>
          <cell r="BF176">
            <v>6.2687795307396991E-3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EC66F-147B-47F6-840F-AECD85B06418}">
  <dimension ref="A1:DZ183"/>
  <sheetViews>
    <sheetView tabSelected="1" topLeftCell="AK1" workbookViewId="0">
      <selection activeCell="BF9" sqref="BF9"/>
    </sheetView>
  </sheetViews>
  <sheetFormatPr defaultRowHeight="15" x14ac:dyDescent="0.25"/>
  <cols>
    <col min="1" max="1" width="9.42578125" bestFit="1" customWidth="1"/>
    <col min="2" max="3" width="11" style="33" bestFit="1" customWidth="1"/>
    <col min="4" max="4" width="11.28515625" style="15" bestFit="1" customWidth="1"/>
    <col min="5" max="5" width="12" style="15" bestFit="1" customWidth="1"/>
    <col min="6" max="6" width="9.7109375" style="33" bestFit="1" customWidth="1"/>
    <col min="7" max="7" width="18.140625" style="33" bestFit="1" customWidth="1"/>
    <col min="8" max="8" width="10.42578125" style="33" bestFit="1" customWidth="1"/>
    <col min="9" max="9" width="18.85546875" style="33" bestFit="1" customWidth="1"/>
    <col min="10" max="10" width="20.7109375" style="33" bestFit="1" customWidth="1"/>
    <col min="11" max="11" width="21.5703125" style="33" bestFit="1" customWidth="1"/>
    <col min="12" max="13" width="11" style="33" bestFit="1" customWidth="1"/>
    <col min="14" max="14" width="12.140625" style="34" bestFit="1" customWidth="1"/>
    <col min="15" max="15" width="15.7109375" style="34" bestFit="1" customWidth="1"/>
    <col min="16" max="17" width="19.140625" style="34" bestFit="1" customWidth="1"/>
    <col min="18" max="18" width="11.42578125" style="33" bestFit="1" customWidth="1"/>
    <col min="19" max="20" width="14.85546875" style="33" bestFit="1" customWidth="1"/>
    <col min="21" max="21" width="23.5703125" style="15" bestFit="1" customWidth="1"/>
    <col min="22" max="23" width="27" style="15" bestFit="1" customWidth="1"/>
    <col min="24" max="24" width="14.28515625" style="34" bestFit="1" customWidth="1"/>
    <col min="25" max="25" width="17.85546875" style="34" bestFit="1" customWidth="1"/>
    <col min="26" max="27" width="21.140625" style="34" bestFit="1" customWidth="1"/>
    <col min="28" max="28" width="12.42578125" style="33" bestFit="1" customWidth="1"/>
    <col min="29" max="30" width="15.85546875" style="33" bestFit="1" customWidth="1"/>
    <col min="31" max="31" width="25.7109375" style="15" bestFit="1" customWidth="1"/>
    <col min="32" max="33" width="29" style="15" bestFit="1" customWidth="1"/>
    <col min="34" max="34" width="1.7109375" style="9" customWidth="1"/>
    <col min="35" max="35" width="7.7109375" style="15" bestFit="1" customWidth="1"/>
    <col min="36" max="36" width="6.7109375" style="15" bestFit="1" customWidth="1"/>
    <col min="37" max="38" width="6.85546875" style="15" bestFit="1" customWidth="1"/>
    <col min="39" max="39" width="7.85546875" style="15" bestFit="1" customWidth="1"/>
    <col min="40" max="40" width="8.42578125" style="15" bestFit="1" customWidth="1"/>
    <col min="41" max="41" width="11.28515625" style="15" bestFit="1" customWidth="1"/>
    <col min="42" max="42" width="12" style="15" bestFit="1" customWidth="1"/>
    <col min="43" max="43" width="12.7109375" style="15" bestFit="1" customWidth="1"/>
    <col min="44" max="44" width="8.7109375" style="15" bestFit="1" customWidth="1"/>
    <col min="45" max="45" width="1.7109375" style="9" customWidth="1"/>
    <col min="46" max="46" width="7.7109375" style="15" bestFit="1" customWidth="1"/>
    <col min="47" max="47" width="6.140625" style="15" bestFit="1" customWidth="1"/>
    <col min="48" max="48" width="6.28515625" style="15" bestFit="1" customWidth="1"/>
    <col min="49" max="49" width="6.140625" style="15" bestFit="1" customWidth="1"/>
    <col min="50" max="50" width="7.85546875" style="15" bestFit="1" customWidth="1"/>
    <col min="51" max="51" width="8.42578125" style="15" bestFit="1" customWidth="1"/>
    <col min="52" max="52" width="11.28515625" style="15" bestFit="1" customWidth="1"/>
    <col min="53" max="54" width="12" style="15" bestFit="1" customWidth="1"/>
    <col min="55" max="55" width="8.7109375" style="15" bestFit="1" customWidth="1"/>
    <col min="56" max="56" width="1.7109375" style="9" customWidth="1"/>
    <col min="57" max="57" width="12.7109375" bestFit="1" customWidth="1"/>
    <col min="58" max="58" width="8.7109375" bestFit="1" customWidth="1"/>
    <col min="59" max="59" width="1.7109375" style="9" customWidth="1"/>
    <col min="60" max="60" width="6.85546875" customWidth="1"/>
    <col min="61" max="61" width="8.7109375" bestFit="1" customWidth="1"/>
    <col min="78" max="78" width="7.28515625" style="12" bestFit="1" customWidth="1"/>
    <col min="79" max="79" width="6.7109375" style="12" bestFit="1" customWidth="1"/>
    <col min="80" max="80" width="5.7109375" bestFit="1" customWidth="1"/>
    <col min="81" max="81" width="4.5703125" bestFit="1" customWidth="1"/>
    <col min="82" max="82" width="4.85546875" bestFit="1" customWidth="1"/>
    <col min="83" max="83" width="7.28515625" bestFit="1" customWidth="1"/>
    <col min="84" max="84" width="7.7109375" bestFit="1" customWidth="1"/>
    <col min="85" max="85" width="10.7109375" bestFit="1" customWidth="1"/>
    <col min="86" max="86" width="9.28515625" bestFit="1" customWidth="1"/>
    <col min="87" max="87" width="6.7109375" bestFit="1" customWidth="1"/>
    <col min="88" max="88" width="7.42578125" bestFit="1" customWidth="1"/>
    <col min="90" max="90" width="7.28515625" style="12" bestFit="1" customWidth="1"/>
    <col min="91" max="91" width="6.140625" style="12" bestFit="1" customWidth="1"/>
    <col min="92" max="92" width="4.5703125" bestFit="1" customWidth="1"/>
    <col min="93" max="93" width="5.7109375" bestFit="1" customWidth="1"/>
    <col min="94" max="94" width="4.85546875" bestFit="1" customWidth="1"/>
    <col min="95" max="95" width="7.28515625" bestFit="1" customWidth="1"/>
    <col min="96" max="96" width="7.7109375" bestFit="1" customWidth="1"/>
    <col min="97" max="97" width="10.7109375" bestFit="1" customWidth="1"/>
    <col min="98" max="98" width="9.28515625" bestFit="1" customWidth="1"/>
    <col min="99" max="99" width="6.7109375" bestFit="1" customWidth="1"/>
    <col min="100" max="100" width="7.42578125" bestFit="1" customWidth="1"/>
    <col min="102" max="102" width="6.7109375" bestFit="1" customWidth="1"/>
    <col min="103" max="103" width="7.42578125" bestFit="1" customWidth="1"/>
    <col min="116" max="116" width="7.5703125" bestFit="1" customWidth="1"/>
    <col min="117" max="124" width="7.42578125" bestFit="1" customWidth="1"/>
    <col min="125" max="125" width="5.42578125" bestFit="1" customWidth="1"/>
    <col min="126" max="126" width="4.28515625" bestFit="1" customWidth="1"/>
    <col min="127" max="127" width="5.85546875" bestFit="1" customWidth="1"/>
  </cols>
  <sheetData>
    <row r="1" spans="1:130" s="7" customFormat="1" x14ac:dyDescent="0.25">
      <c r="A1" s="7" t="s">
        <v>0</v>
      </c>
      <c r="B1" s="30" t="s">
        <v>1</v>
      </c>
      <c r="C1" s="30" t="s">
        <v>2</v>
      </c>
      <c r="D1" s="31" t="s">
        <v>3</v>
      </c>
      <c r="E1" s="31" t="s">
        <v>4</v>
      </c>
      <c r="F1" s="30" t="s">
        <v>5</v>
      </c>
      <c r="G1" s="30" t="s">
        <v>6</v>
      </c>
      <c r="H1" s="30" t="s">
        <v>7</v>
      </c>
      <c r="I1" s="30" t="s">
        <v>8</v>
      </c>
      <c r="J1" s="30" t="s">
        <v>9</v>
      </c>
      <c r="K1" s="30" t="s">
        <v>10</v>
      </c>
      <c r="L1" s="30" t="s">
        <v>11</v>
      </c>
      <c r="M1" s="30" t="s">
        <v>12</v>
      </c>
      <c r="N1" s="32" t="s">
        <v>13</v>
      </c>
      <c r="O1" s="32" t="s">
        <v>14</v>
      </c>
      <c r="P1" s="32" t="s">
        <v>15</v>
      </c>
      <c r="Q1" s="32" t="s">
        <v>16</v>
      </c>
      <c r="R1" s="30" t="s">
        <v>17</v>
      </c>
      <c r="S1" s="30" t="s">
        <v>18</v>
      </c>
      <c r="T1" s="30" t="s">
        <v>19</v>
      </c>
      <c r="U1" s="31" t="s">
        <v>20</v>
      </c>
      <c r="V1" s="31" t="s">
        <v>21</v>
      </c>
      <c r="W1" s="31" t="s">
        <v>22</v>
      </c>
      <c r="X1" s="32" t="s">
        <v>23</v>
      </c>
      <c r="Y1" s="32" t="s">
        <v>24</v>
      </c>
      <c r="Z1" s="32" t="s">
        <v>25</v>
      </c>
      <c r="AA1" s="32" t="s">
        <v>26</v>
      </c>
      <c r="AB1" s="30" t="s">
        <v>27</v>
      </c>
      <c r="AC1" s="30" t="s">
        <v>28</v>
      </c>
      <c r="AD1" s="30" t="s">
        <v>29</v>
      </c>
      <c r="AE1" s="31" t="s">
        <v>30</v>
      </c>
      <c r="AF1" s="31" t="s">
        <v>31</v>
      </c>
      <c r="AG1" s="31" t="s">
        <v>32</v>
      </c>
      <c r="AH1" s="2"/>
      <c r="AI1" s="3">
        <f>AQ16</f>
        <v>1.2750711555097245</v>
      </c>
      <c r="AJ1" s="4">
        <v>0</v>
      </c>
      <c r="AK1" s="4">
        <f t="shared" ref="AK1:AQ1" si="0">AJ1-$AK12</f>
        <v>-2.0000000000000001E-4</v>
      </c>
      <c r="AL1" s="4">
        <f t="shared" si="0"/>
        <v>-4.0000000000000002E-4</v>
      </c>
      <c r="AM1" s="4">
        <f t="shared" si="0"/>
        <v>-6.0000000000000006E-4</v>
      </c>
      <c r="AN1" s="4">
        <f t="shared" si="0"/>
        <v>-8.0000000000000004E-4</v>
      </c>
      <c r="AO1" s="4">
        <f t="shared" si="0"/>
        <v>-1E-3</v>
      </c>
      <c r="AP1" s="4">
        <f t="shared" si="0"/>
        <v>-1.2000000000000001E-3</v>
      </c>
      <c r="AQ1" s="4">
        <f t="shared" si="0"/>
        <v>-1.4000000000000002E-3</v>
      </c>
      <c r="AR1" s="5" t="s">
        <v>33</v>
      </c>
      <c r="AS1" s="2"/>
      <c r="AT1" s="3">
        <f>BB16</f>
        <v>1.2750711555097243</v>
      </c>
      <c r="AU1" s="4">
        <v>0</v>
      </c>
      <c r="AV1" s="6">
        <f>AU1+$AV12</f>
        <v>2.0000000000000001E-4</v>
      </c>
      <c r="AW1" s="6">
        <f t="shared" ref="AW1:BB1" si="1">AV1+$AV12</f>
        <v>4.0000000000000002E-4</v>
      </c>
      <c r="AX1" s="6">
        <f t="shared" si="1"/>
        <v>6.0000000000000006E-4</v>
      </c>
      <c r="AY1" s="6">
        <f t="shared" si="1"/>
        <v>8.0000000000000004E-4</v>
      </c>
      <c r="AZ1" s="6">
        <f t="shared" si="1"/>
        <v>1E-3</v>
      </c>
      <c r="BA1" s="6">
        <f t="shared" si="1"/>
        <v>1.2000000000000001E-3</v>
      </c>
      <c r="BB1" s="6">
        <f t="shared" si="1"/>
        <v>1.4000000000000002E-3</v>
      </c>
      <c r="BC1" s="5" t="s">
        <v>33</v>
      </c>
      <c r="BD1" s="2"/>
      <c r="BG1" s="2"/>
      <c r="BI1" s="8"/>
      <c r="BJ1" s="8"/>
      <c r="BK1" s="8"/>
      <c r="BL1" s="8"/>
      <c r="BM1" s="8"/>
      <c r="BN1" s="8"/>
      <c r="BO1" s="8"/>
      <c r="BP1" s="8"/>
      <c r="BQ1" s="8"/>
      <c r="BR1" s="8"/>
      <c r="BS1" s="8"/>
      <c r="BT1" s="8"/>
      <c r="BU1" s="8"/>
      <c r="BV1" s="8"/>
      <c r="BW1" s="8"/>
      <c r="BX1" s="8"/>
      <c r="BZ1" s="8"/>
      <c r="CA1" s="8"/>
      <c r="CB1" s="8"/>
      <c r="CC1" s="8"/>
      <c r="CD1" s="8"/>
      <c r="CE1" s="8"/>
      <c r="CF1" s="8"/>
      <c r="CK1" s="8"/>
      <c r="CL1" s="8"/>
      <c r="CM1" s="8"/>
      <c r="CN1" s="8"/>
      <c r="CO1" s="8"/>
      <c r="CP1" s="8"/>
      <c r="CQ1" s="8"/>
      <c r="CR1" s="8"/>
      <c r="CZ1" s="8"/>
      <c r="DA1" s="8"/>
      <c r="DB1" s="8"/>
      <c r="DC1" s="8"/>
      <c r="DD1" s="8"/>
      <c r="DE1" s="8"/>
      <c r="DF1" s="8"/>
      <c r="DG1" s="8"/>
      <c r="DH1" s="8"/>
      <c r="DI1" s="8"/>
      <c r="DJ1" s="8"/>
      <c r="DK1" s="8"/>
      <c r="DL1" s="8"/>
      <c r="DM1" s="8"/>
      <c r="DN1" s="8"/>
      <c r="DO1" s="8"/>
      <c r="DP1" s="8"/>
      <c r="DQ1" s="8"/>
      <c r="DR1" s="8"/>
      <c r="DS1" s="8"/>
      <c r="DT1" s="8"/>
      <c r="DU1" s="8"/>
      <c r="DV1" s="8"/>
      <c r="DW1" s="8"/>
      <c r="DX1" s="8"/>
      <c r="DY1" s="8"/>
      <c r="DZ1" s="8"/>
    </row>
    <row r="2" spans="1:130" x14ac:dyDescent="0.25">
      <c r="A2" s="1">
        <v>46024</v>
      </c>
      <c r="B2" s="33">
        <v>16.920000000000002</v>
      </c>
      <c r="C2" s="33">
        <v>22.07</v>
      </c>
      <c r="F2" s="33">
        <v>0</v>
      </c>
      <c r="G2" s="33">
        <v>0</v>
      </c>
      <c r="H2" s="33">
        <v>0</v>
      </c>
      <c r="I2" s="33">
        <v>0</v>
      </c>
      <c r="J2" s="33">
        <v>0</v>
      </c>
      <c r="K2" s="33">
        <v>0</v>
      </c>
      <c r="L2" s="33">
        <v>16.920000000000002</v>
      </c>
      <c r="M2" s="33">
        <v>22.07</v>
      </c>
      <c r="N2" s="34">
        <v>1.3043735224586199</v>
      </c>
      <c r="O2" s="34">
        <v>1.3062602516891499</v>
      </c>
      <c r="X2" s="34">
        <v>1.3043735224586199</v>
      </c>
      <c r="Y2" s="34">
        <v>1.3045124660331</v>
      </c>
      <c r="AI2" s="4">
        <v>0</v>
      </c>
      <c r="AJ2" s="10">
        <v>4.9726253941699152</v>
      </c>
      <c r="AK2" s="10">
        <v>5.5499373561338494</v>
      </c>
      <c r="AL2" s="10">
        <v>4.6789532362431077</v>
      </c>
      <c r="AM2" s="10">
        <v>3.308870615782729</v>
      </c>
      <c r="AN2" s="10">
        <v>1.9308233468844676</v>
      </c>
      <c r="AO2" s="10">
        <v>1.2750711555097243</v>
      </c>
      <c r="AP2" s="10" t="e">
        <v>#DIV/0!</v>
      </c>
      <c r="AQ2" s="10" t="e">
        <v>#DIV/0!</v>
      </c>
      <c r="AR2"/>
      <c r="AT2" s="4">
        <v>0</v>
      </c>
      <c r="AU2" s="10">
        <v>6.0644983507490791</v>
      </c>
      <c r="AV2" s="11">
        <v>5.7806652793741193</v>
      </c>
      <c r="AW2" s="11">
        <v>4.1744531311271995</v>
      </c>
      <c r="AX2" s="11">
        <v>3.3591708175098658</v>
      </c>
      <c r="AY2" s="11">
        <v>1.2750711555097243</v>
      </c>
      <c r="AZ2" s="11">
        <v>1.2750711555097243</v>
      </c>
      <c r="BA2" s="11" t="e">
        <v>#DIV/0!</v>
      </c>
      <c r="BB2" s="11" t="e">
        <v>#DIV/0!</v>
      </c>
      <c r="BC2"/>
    </row>
    <row r="3" spans="1:130" x14ac:dyDescent="0.25">
      <c r="A3" s="1">
        <v>46027</v>
      </c>
      <c r="B3" s="33">
        <v>16.95</v>
      </c>
      <c r="C3" s="33">
        <v>22.11</v>
      </c>
      <c r="D3" s="15">
        <v>1.7714796483817899E-3</v>
      </c>
      <c r="E3" s="15">
        <v>1.8107746007097799E-3</v>
      </c>
      <c r="F3" s="33">
        <v>0</v>
      </c>
      <c r="G3" s="33">
        <v>0</v>
      </c>
      <c r="H3" s="33">
        <v>0</v>
      </c>
      <c r="I3" s="33">
        <v>0</v>
      </c>
      <c r="J3" s="33">
        <v>0</v>
      </c>
      <c r="K3" s="33">
        <v>0</v>
      </c>
      <c r="L3" s="33">
        <v>16.95</v>
      </c>
      <c r="M3" s="33">
        <v>22.11</v>
      </c>
      <c r="N3" s="34">
        <v>1.3044247787610601</v>
      </c>
      <c r="O3" s="34">
        <v>1.3062602516891499</v>
      </c>
      <c r="R3" s="33">
        <v>22.141111266131102</v>
      </c>
      <c r="U3" s="15">
        <v>1.4061238403746399E-3</v>
      </c>
      <c r="X3" s="34">
        <v>1.3044247787610601</v>
      </c>
      <c r="Y3" s="34">
        <v>1.3045124660331</v>
      </c>
      <c r="AB3" s="33">
        <v>22.111486299261099</v>
      </c>
      <c r="AE3" s="15">
        <v>6.7220683249214703E-5</v>
      </c>
      <c r="AI3" s="4">
        <f t="shared" ref="AI3:AI9" si="2">AI2-AK$12</f>
        <v>-2.0000000000000001E-4</v>
      </c>
      <c r="AJ3" s="10">
        <v>4.9726253941699152</v>
      </c>
      <c r="AK3" s="10">
        <v>6.0316130915469648</v>
      </c>
      <c r="AL3" s="10">
        <v>4.9905736436251305</v>
      </c>
      <c r="AM3" s="10">
        <v>3.308870615782729</v>
      </c>
      <c r="AN3" s="10">
        <v>1.9308233468844676</v>
      </c>
      <c r="AO3" s="11">
        <v>1.2750711555097243</v>
      </c>
      <c r="AP3" s="10" t="e">
        <v>#DIV/0!</v>
      </c>
      <c r="AQ3" s="10" t="e">
        <v>#DIV/0!</v>
      </c>
      <c r="AR3"/>
      <c r="AT3" s="4">
        <f>AT2+AV$12</f>
        <v>2.0000000000000001E-4</v>
      </c>
      <c r="AU3" s="10">
        <v>6.0644983507490791</v>
      </c>
      <c r="AV3" s="11">
        <v>6.1517170629025344</v>
      </c>
      <c r="AW3" s="11">
        <v>3.8684684629709261</v>
      </c>
      <c r="AX3" s="11">
        <v>3.0442726066153996</v>
      </c>
      <c r="AY3" s="11">
        <v>1.2750711555097243</v>
      </c>
      <c r="AZ3" s="11">
        <v>1.2750711555097243</v>
      </c>
      <c r="BA3" s="11" t="e">
        <v>#DIV/0!</v>
      </c>
      <c r="BB3" s="11" t="e">
        <v>#DIV/0!</v>
      </c>
      <c r="BC3"/>
    </row>
    <row r="4" spans="1:130" x14ac:dyDescent="0.25">
      <c r="A4" s="1">
        <v>46028</v>
      </c>
      <c r="B4" s="33">
        <v>16.940000000000001</v>
      </c>
      <c r="C4" s="33">
        <v>22.11</v>
      </c>
      <c r="D4" s="15">
        <v>-5.9014460255080604E-4</v>
      </c>
      <c r="E4" s="15">
        <v>0</v>
      </c>
      <c r="F4" s="33">
        <v>0</v>
      </c>
      <c r="G4" s="33">
        <v>0</v>
      </c>
      <c r="H4" s="33">
        <v>0</v>
      </c>
      <c r="I4" s="33">
        <v>0</v>
      </c>
      <c r="J4" s="33">
        <v>0</v>
      </c>
      <c r="K4" s="33">
        <v>0</v>
      </c>
      <c r="L4" s="33">
        <v>16.940000000000001</v>
      </c>
      <c r="M4" s="33">
        <v>22.11</v>
      </c>
      <c r="N4" s="34">
        <v>1.3051948051947999</v>
      </c>
      <c r="O4" s="34">
        <v>1.3062602516891499</v>
      </c>
      <c r="R4" s="33">
        <v>22.128048663614202</v>
      </c>
      <c r="U4" s="15">
        <v>8.1597923782374202E-4</v>
      </c>
      <c r="X4" s="34">
        <v>1.3051948051947999</v>
      </c>
      <c r="Y4" s="34">
        <v>1.3045124660331</v>
      </c>
      <c r="AB4" s="33">
        <v>22.098441174600701</v>
      </c>
      <c r="AE4" s="15">
        <v>-5.2292391930162702E-4</v>
      </c>
      <c r="AG4"/>
      <c r="AI4" s="4">
        <f t="shared" si="2"/>
        <v>-4.0000000000000002E-4</v>
      </c>
      <c r="AJ4" s="10">
        <v>4.9726253941699152</v>
      </c>
      <c r="AK4" s="11">
        <v>6.0316130915469648</v>
      </c>
      <c r="AL4" s="11">
        <v>4.8548834221129722</v>
      </c>
      <c r="AM4" s="11">
        <v>2.9982522769160713</v>
      </c>
      <c r="AN4" s="10">
        <v>1.9308233468844676</v>
      </c>
      <c r="AO4" s="11">
        <v>1.2750711555097243</v>
      </c>
      <c r="AP4" s="11" t="e">
        <v>#DIV/0!</v>
      </c>
      <c r="AQ4" s="11" t="e">
        <v>#DIV/0!</v>
      </c>
      <c r="AR4"/>
      <c r="AT4" s="4">
        <f t="shared" ref="AT4:AT9" si="3">AT3+AV$12</f>
        <v>4.0000000000000002E-4</v>
      </c>
      <c r="AU4" s="10">
        <v>6.0644983507490791</v>
      </c>
      <c r="AV4" s="11">
        <v>6.1517170629025344</v>
      </c>
      <c r="AW4" s="11">
        <v>3.7774223583440243</v>
      </c>
      <c r="AX4" s="11">
        <v>2.6627809813420398</v>
      </c>
      <c r="AY4" s="11">
        <v>1.2750711555097243</v>
      </c>
      <c r="AZ4" s="11">
        <v>1.2750711555097243</v>
      </c>
      <c r="BA4" s="11" t="e">
        <v>#DIV/0!</v>
      </c>
      <c r="BB4" s="11" t="e">
        <v>#DIV/0!</v>
      </c>
      <c r="BC4"/>
      <c r="BE4" s="8"/>
      <c r="BF4" s="8"/>
    </row>
    <row r="5" spans="1:130" x14ac:dyDescent="0.25">
      <c r="A5" s="1">
        <v>46029</v>
      </c>
      <c r="B5" s="33">
        <v>16.940000000000001</v>
      </c>
      <c r="C5" s="33">
        <v>22.09</v>
      </c>
      <c r="D5" s="15">
        <v>0</v>
      </c>
      <c r="E5" s="15">
        <v>-9.0497743732911699E-4</v>
      </c>
      <c r="F5" s="33">
        <v>0</v>
      </c>
      <c r="G5" s="33">
        <v>0</v>
      </c>
      <c r="H5" s="33">
        <v>0</v>
      </c>
      <c r="I5" s="33">
        <v>0</v>
      </c>
      <c r="J5" s="33">
        <v>0</v>
      </c>
      <c r="K5" s="33">
        <v>0</v>
      </c>
      <c r="L5" s="33">
        <v>16.940000000000001</v>
      </c>
      <c r="M5" s="33">
        <v>22.09</v>
      </c>
      <c r="N5" s="34">
        <v>1.3040141676505299</v>
      </c>
      <c r="O5" s="34">
        <v>1.3062602516891499</v>
      </c>
      <c r="R5" s="33">
        <v>22.128048663614202</v>
      </c>
      <c r="U5" s="15">
        <v>1.7209566751529299E-3</v>
      </c>
      <c r="X5" s="34">
        <v>1.3040141676505299</v>
      </c>
      <c r="Y5" s="34">
        <v>1.3045124660331</v>
      </c>
      <c r="AB5" s="33">
        <v>22.098441174600701</v>
      </c>
      <c r="AE5" s="15">
        <v>3.8205351802749198E-4</v>
      </c>
      <c r="AG5" s="29"/>
      <c r="AI5" s="4">
        <f t="shared" si="2"/>
        <v>-6.0000000000000006E-4</v>
      </c>
      <c r="AJ5" s="10">
        <v>4.9726253941699152</v>
      </c>
      <c r="AK5" s="11">
        <v>6.0316130915469648</v>
      </c>
      <c r="AL5" s="11">
        <v>4.8548834221129722</v>
      </c>
      <c r="AM5" s="11">
        <v>3.1942535487532417</v>
      </c>
      <c r="AN5" s="11">
        <v>1.9308233468844676</v>
      </c>
      <c r="AO5" s="11">
        <v>1.2750711555097243</v>
      </c>
      <c r="AP5" s="10" t="e">
        <v>#DIV/0!</v>
      </c>
      <c r="AQ5" s="11" t="e">
        <v>#DIV/0!</v>
      </c>
      <c r="AR5"/>
      <c r="AT5" s="4">
        <f t="shared" si="3"/>
        <v>6.0000000000000006E-4</v>
      </c>
      <c r="AU5" s="10">
        <v>6.0644983507490791</v>
      </c>
      <c r="AV5" s="11">
        <v>6.1517170629025344</v>
      </c>
      <c r="AW5" s="11">
        <v>3.7774223583440243</v>
      </c>
      <c r="AX5" s="11">
        <v>2.33133009002148</v>
      </c>
      <c r="AY5" s="11">
        <v>1.2750711555097243</v>
      </c>
      <c r="AZ5" s="11">
        <v>1.2750711555097243</v>
      </c>
      <c r="BA5" s="11" t="e">
        <v>#DIV/0!</v>
      </c>
      <c r="BB5" s="11" t="e">
        <v>#DIV/0!</v>
      </c>
      <c r="BC5"/>
    </row>
    <row r="6" spans="1:130" x14ac:dyDescent="0.25">
      <c r="A6" s="1">
        <v>46030</v>
      </c>
      <c r="B6" s="33">
        <v>16.91</v>
      </c>
      <c r="C6" s="33">
        <v>22.06</v>
      </c>
      <c r="D6" s="15">
        <v>-1.7725263134194299E-3</v>
      </c>
      <c r="E6" s="15">
        <v>-1.3590036066694301E-3</v>
      </c>
      <c r="F6" s="33">
        <v>0</v>
      </c>
      <c r="G6" s="33">
        <v>0</v>
      </c>
      <c r="H6" s="33">
        <v>0</v>
      </c>
      <c r="I6" s="33">
        <v>0</v>
      </c>
      <c r="J6" s="33">
        <v>0</v>
      </c>
      <c r="K6" s="33">
        <v>0</v>
      </c>
      <c r="L6" s="33">
        <v>16.91</v>
      </c>
      <c r="M6" s="33">
        <v>22.06</v>
      </c>
      <c r="N6" s="34">
        <v>1.3045535186280299</v>
      </c>
      <c r="O6" s="34">
        <v>1.3062602516891499</v>
      </c>
      <c r="R6" s="33">
        <v>22.088860856063501</v>
      </c>
      <c r="U6" s="15">
        <v>1.3074339684027701E-3</v>
      </c>
      <c r="X6" s="34">
        <v>1.3045535186280299</v>
      </c>
      <c r="Y6" s="34">
        <v>1.3045124660331</v>
      </c>
      <c r="AB6" s="33">
        <v>22.0593058006197</v>
      </c>
      <c r="AE6" s="15">
        <v>-3.1469188722570103E-5</v>
      </c>
      <c r="AG6" s="29"/>
      <c r="AI6" s="4">
        <f t="shared" si="2"/>
        <v>-8.0000000000000004E-4</v>
      </c>
      <c r="AJ6" s="10">
        <v>4.9726253941699152</v>
      </c>
      <c r="AK6" s="11">
        <v>6.0316130915469648</v>
      </c>
      <c r="AL6" s="11">
        <v>4.8548834221129722</v>
      </c>
      <c r="AM6" s="11">
        <v>3.1942535487532417</v>
      </c>
      <c r="AN6" s="11">
        <v>1.9308233468844676</v>
      </c>
      <c r="AO6" s="11">
        <v>1.2750711555097243</v>
      </c>
      <c r="AP6" s="11" t="e">
        <v>#DIV/0!</v>
      </c>
      <c r="AQ6" s="11" t="e">
        <v>#DIV/0!</v>
      </c>
      <c r="AR6"/>
      <c r="AT6" s="4">
        <f t="shared" si="3"/>
        <v>8.0000000000000004E-4</v>
      </c>
      <c r="AU6" s="10">
        <v>6.0644983507490791</v>
      </c>
      <c r="AV6" s="11">
        <v>6.1517170629025344</v>
      </c>
      <c r="AW6" s="11">
        <v>3.7774223583440243</v>
      </c>
      <c r="AX6" s="11">
        <v>2.33133009002148</v>
      </c>
      <c r="AY6" s="11">
        <v>1.2750711555097243</v>
      </c>
      <c r="AZ6" s="11">
        <v>1.2750711555097243</v>
      </c>
      <c r="BA6" s="11" t="e">
        <v>#DIV/0!</v>
      </c>
      <c r="BB6" s="11" t="e">
        <v>#DIV/0!</v>
      </c>
      <c r="BC6"/>
    </row>
    <row r="7" spans="1:130" x14ac:dyDescent="0.25">
      <c r="A7" s="1">
        <v>46031</v>
      </c>
      <c r="B7" s="33">
        <v>16.920000000000002</v>
      </c>
      <c r="C7" s="33">
        <v>22.07</v>
      </c>
      <c r="D7" s="15">
        <v>5.9119126758839602E-4</v>
      </c>
      <c r="E7" s="15">
        <v>4.5320644328870099E-4</v>
      </c>
      <c r="F7" s="33">
        <v>0</v>
      </c>
      <c r="G7" s="33">
        <v>0</v>
      </c>
      <c r="H7" s="33">
        <v>0</v>
      </c>
      <c r="I7" s="33">
        <v>0</v>
      </c>
      <c r="J7" s="33">
        <v>0</v>
      </c>
      <c r="K7" s="33">
        <v>0</v>
      </c>
      <c r="L7" s="33">
        <v>16.920000000000002</v>
      </c>
      <c r="M7" s="33">
        <v>22.07</v>
      </c>
      <c r="N7" s="34">
        <v>1.3043735224586199</v>
      </c>
      <c r="O7" s="34">
        <v>1.3062602516891499</v>
      </c>
      <c r="R7" s="33">
        <v>22.101923458580401</v>
      </c>
      <c r="U7" s="15">
        <v>1.44541879270266E-3</v>
      </c>
      <c r="X7" s="34">
        <v>1.3043735224586199</v>
      </c>
      <c r="Y7" s="34">
        <v>1.3045124660331</v>
      </c>
      <c r="AB7" s="33">
        <v>22.072350925280102</v>
      </c>
      <c r="AE7" s="15">
        <v>1.06515635577188E-4</v>
      </c>
      <c r="AG7"/>
      <c r="AI7" s="4">
        <f t="shared" si="2"/>
        <v>-1E-3</v>
      </c>
      <c r="AJ7" s="10">
        <v>4.9726253941699152</v>
      </c>
      <c r="AK7" s="11">
        <v>6.0316130915469648</v>
      </c>
      <c r="AL7" s="11">
        <v>4.8548834221129722</v>
      </c>
      <c r="AM7" s="11">
        <v>3.1942535487532417</v>
      </c>
      <c r="AN7" s="11">
        <v>1.9308233468844676</v>
      </c>
      <c r="AO7" s="11">
        <v>1.2750711555097243</v>
      </c>
      <c r="AP7" s="11" t="e">
        <v>#DIV/0!</v>
      </c>
      <c r="AQ7" s="11" t="e">
        <v>#DIV/0!</v>
      </c>
      <c r="AR7"/>
      <c r="AT7" s="4">
        <f t="shared" si="3"/>
        <v>1E-3</v>
      </c>
      <c r="AU7" s="10">
        <v>6.0644983507490791</v>
      </c>
      <c r="AV7" s="11">
        <v>6.1517170629025344</v>
      </c>
      <c r="AW7" s="11">
        <v>3.7774223583440243</v>
      </c>
      <c r="AX7" s="11">
        <v>2.33133009002148</v>
      </c>
      <c r="AY7" s="11">
        <v>1.2750711555097243</v>
      </c>
      <c r="AZ7" s="11">
        <v>1.2750711555097243</v>
      </c>
      <c r="BA7" s="11" t="e">
        <v>#DIV/0!</v>
      </c>
      <c r="BB7" s="11" t="e">
        <v>#DIV/0!</v>
      </c>
      <c r="BC7"/>
    </row>
    <row r="8" spans="1:130" x14ac:dyDescent="0.25">
      <c r="A8" s="1">
        <v>46034</v>
      </c>
      <c r="B8" s="33">
        <v>16.91</v>
      </c>
      <c r="C8" s="33">
        <v>22.06</v>
      </c>
      <c r="D8" s="15">
        <v>-5.9119126758842898E-4</v>
      </c>
      <c r="E8" s="15">
        <v>-4.53206443288647E-4</v>
      </c>
      <c r="F8" s="33">
        <v>0</v>
      </c>
      <c r="G8" s="33">
        <v>0</v>
      </c>
      <c r="H8" s="33">
        <v>0</v>
      </c>
      <c r="I8" s="33">
        <v>0</v>
      </c>
      <c r="J8" s="33">
        <v>0</v>
      </c>
      <c r="K8" s="33">
        <v>0</v>
      </c>
      <c r="L8" s="33">
        <v>16.91</v>
      </c>
      <c r="M8" s="33">
        <v>22.06</v>
      </c>
      <c r="N8" s="34">
        <v>1.3045535186280299</v>
      </c>
      <c r="O8" s="34">
        <v>1.3062602516891499</v>
      </c>
      <c r="R8" s="33">
        <v>22.088860856063501</v>
      </c>
      <c r="U8" s="15">
        <v>1.3074339684027701E-3</v>
      </c>
      <c r="X8" s="34">
        <v>1.3045535186280299</v>
      </c>
      <c r="Y8" s="34">
        <v>1.3045124660331</v>
      </c>
      <c r="AB8" s="33">
        <v>22.0593058006197</v>
      </c>
      <c r="AE8" s="15">
        <v>-3.1469188722570103E-5</v>
      </c>
      <c r="AG8"/>
      <c r="AI8" s="4">
        <f t="shared" si="2"/>
        <v>-1.2000000000000001E-3</v>
      </c>
      <c r="AJ8" s="10">
        <v>4.9726253941699152</v>
      </c>
      <c r="AK8" s="11">
        <v>6.0316130915469648</v>
      </c>
      <c r="AL8" s="11">
        <v>4.8548834221129722</v>
      </c>
      <c r="AM8" s="11">
        <v>3.1942535487532417</v>
      </c>
      <c r="AN8" s="11">
        <v>1.9308233468844676</v>
      </c>
      <c r="AO8" s="11">
        <v>1.2750711555097243</v>
      </c>
      <c r="AP8" s="11" t="e">
        <v>#DIV/0!</v>
      </c>
      <c r="AQ8" s="11" t="e">
        <v>#DIV/0!</v>
      </c>
      <c r="AR8"/>
      <c r="AT8" s="4">
        <f t="shared" si="3"/>
        <v>1.2000000000000001E-3</v>
      </c>
      <c r="AU8" s="10">
        <v>6.0644983507490791</v>
      </c>
      <c r="AV8" s="11">
        <v>6.1517170629025344</v>
      </c>
      <c r="AW8" s="11">
        <v>3.7774223583440243</v>
      </c>
      <c r="AX8" s="11">
        <v>2.33133009002148</v>
      </c>
      <c r="AY8" s="11">
        <v>1.2750711555097243</v>
      </c>
      <c r="AZ8" s="11">
        <v>1.2750711555097243</v>
      </c>
      <c r="BA8" s="11" t="e">
        <v>#DIV/0!</v>
      </c>
      <c r="BB8" s="11" t="e">
        <v>#DIV/0!</v>
      </c>
      <c r="BC8"/>
    </row>
    <row r="9" spans="1:130" x14ac:dyDescent="0.25">
      <c r="A9" s="1">
        <v>46035</v>
      </c>
      <c r="B9" s="33">
        <v>16.940000000000001</v>
      </c>
      <c r="C9" s="33">
        <v>22.09</v>
      </c>
      <c r="D9" s="15">
        <v>1.7725263134195E-3</v>
      </c>
      <c r="E9" s="15">
        <v>1.3590036066694099E-3</v>
      </c>
      <c r="F9" s="33">
        <v>0</v>
      </c>
      <c r="G9" s="33">
        <v>0</v>
      </c>
      <c r="H9" s="33">
        <v>0</v>
      </c>
      <c r="I9" s="33">
        <v>0</v>
      </c>
      <c r="J9" s="33">
        <v>0</v>
      </c>
      <c r="K9" s="33">
        <v>0</v>
      </c>
      <c r="L9" s="33">
        <v>16.940000000000001</v>
      </c>
      <c r="M9" s="33">
        <v>22.09</v>
      </c>
      <c r="N9" s="34">
        <v>1.3040141676505299</v>
      </c>
      <c r="O9" s="34">
        <v>1.3062602516891499</v>
      </c>
      <c r="R9" s="33">
        <v>22.128048663614202</v>
      </c>
      <c r="U9" s="15">
        <v>1.7209566751529299E-3</v>
      </c>
      <c r="X9" s="34">
        <v>1.3040141676505299</v>
      </c>
      <c r="Y9" s="34">
        <v>1.3045124660331</v>
      </c>
      <c r="AB9" s="33">
        <v>22.098441174600701</v>
      </c>
      <c r="AE9" s="15">
        <v>3.8205351802749198E-4</v>
      </c>
      <c r="AF9"/>
      <c r="AI9" s="4">
        <f t="shared" si="2"/>
        <v>-1.4000000000000002E-3</v>
      </c>
      <c r="AJ9" s="10">
        <v>4.9726253941699152</v>
      </c>
      <c r="AK9" s="11">
        <v>6.0316130915469648</v>
      </c>
      <c r="AL9" s="11">
        <v>4.8548834221129722</v>
      </c>
      <c r="AM9" s="11">
        <v>3.1942535487532417</v>
      </c>
      <c r="AN9" s="11">
        <v>1.9308233468844676</v>
      </c>
      <c r="AO9" s="11">
        <v>1.2750711555097243</v>
      </c>
      <c r="AP9" s="11" t="e">
        <v>#DIV/0!</v>
      </c>
      <c r="AQ9" s="11" t="e">
        <v>#DIV/0!</v>
      </c>
      <c r="AR9"/>
      <c r="AT9" s="4">
        <f t="shared" si="3"/>
        <v>1.4000000000000002E-3</v>
      </c>
      <c r="AU9" s="10">
        <v>6.0644983507490791</v>
      </c>
      <c r="AV9" s="10">
        <v>6.1517170629025344</v>
      </c>
      <c r="AW9" s="10">
        <v>3.7774223583440243</v>
      </c>
      <c r="AX9" s="10">
        <v>2.33133009002148</v>
      </c>
      <c r="AY9" s="10">
        <v>1.2750711555097243</v>
      </c>
      <c r="AZ9" s="10">
        <v>1.2750711555097243</v>
      </c>
      <c r="BA9" s="10" t="e">
        <v>#DIV/0!</v>
      </c>
      <c r="BB9" s="10" t="e">
        <v>#DIV/0!</v>
      </c>
      <c r="BC9"/>
    </row>
    <row r="10" spans="1:130" x14ac:dyDescent="0.25">
      <c r="A10" s="1">
        <v>46036</v>
      </c>
      <c r="B10" s="33">
        <v>16.96</v>
      </c>
      <c r="C10" s="33">
        <v>22.12</v>
      </c>
      <c r="D10" s="15">
        <v>1.17994113984854E-3</v>
      </c>
      <c r="E10" s="15">
        <v>1.35715922210828E-3</v>
      </c>
      <c r="F10" s="33">
        <v>0</v>
      </c>
      <c r="G10" s="33">
        <v>0</v>
      </c>
      <c r="H10" s="33">
        <v>0</v>
      </c>
      <c r="I10" s="33">
        <v>0</v>
      </c>
      <c r="J10" s="33">
        <v>0</v>
      </c>
      <c r="K10" s="33">
        <v>0</v>
      </c>
      <c r="L10" s="33">
        <v>16.96</v>
      </c>
      <c r="M10" s="33">
        <v>22.12</v>
      </c>
      <c r="N10" s="34">
        <v>1.30424528301886</v>
      </c>
      <c r="O10" s="34">
        <v>1.3062602516891499</v>
      </c>
      <c r="R10" s="33">
        <v>22.154173868648002</v>
      </c>
      <c r="U10" s="15">
        <v>1.54373859289331E-3</v>
      </c>
      <c r="X10" s="34">
        <v>1.30424528301886</v>
      </c>
      <c r="Y10" s="34">
        <v>1.3045124660331</v>
      </c>
      <c r="AB10" s="33">
        <v>22.1245314239214</v>
      </c>
      <c r="AE10" s="15">
        <v>2.0483543576765899E-4</v>
      </c>
      <c r="AF10"/>
      <c r="AI10" s="13" t="s">
        <v>34</v>
      </c>
      <c r="AJ10"/>
      <c r="AK10"/>
      <c r="AL10"/>
      <c r="AM10"/>
      <c r="AN10"/>
      <c r="AO10"/>
      <c r="AP10"/>
      <c r="AQ10"/>
      <c r="AR10"/>
      <c r="AT10" s="13" t="s">
        <v>34</v>
      </c>
      <c r="AU10"/>
      <c r="AV10"/>
      <c r="AW10"/>
      <c r="AX10"/>
      <c r="AY10"/>
      <c r="AZ10"/>
      <c r="BA10"/>
      <c r="BB10"/>
      <c r="BC10"/>
      <c r="BZ10" s="14"/>
      <c r="CL10" s="14"/>
    </row>
    <row r="11" spans="1:130" x14ac:dyDescent="0.25">
      <c r="A11" s="1">
        <v>46037</v>
      </c>
      <c r="B11" s="33">
        <v>16.93</v>
      </c>
      <c r="C11" s="33">
        <v>22.09</v>
      </c>
      <c r="D11" s="15">
        <v>-1.7704342187131101E-3</v>
      </c>
      <c r="E11" s="15">
        <v>-1.3571592221083299E-3</v>
      </c>
      <c r="F11" s="33">
        <v>0</v>
      </c>
      <c r="G11" s="33">
        <v>0</v>
      </c>
      <c r="H11" s="33">
        <v>0</v>
      </c>
      <c r="I11" s="33">
        <v>0</v>
      </c>
      <c r="J11" s="33">
        <v>0</v>
      </c>
      <c r="K11" s="33">
        <v>0</v>
      </c>
      <c r="L11" s="33">
        <v>16.93</v>
      </c>
      <c r="M11" s="33">
        <v>22.09</v>
      </c>
      <c r="N11" s="34">
        <v>1.3047844063792</v>
      </c>
      <c r="O11" s="34">
        <v>1.3062602516891499</v>
      </c>
      <c r="P11" s="34">
        <v>1.30445316908283</v>
      </c>
      <c r="R11" s="33">
        <v>22.114986061097301</v>
      </c>
      <c r="U11" s="15">
        <v>1.1304635962882401E-3</v>
      </c>
      <c r="X11" s="34">
        <v>1.3047844063792</v>
      </c>
      <c r="Y11" s="34">
        <v>1.3045124660331</v>
      </c>
      <c r="Z11" s="34">
        <v>1.30445316908283</v>
      </c>
      <c r="AB11" s="33">
        <v>22.0853960499404</v>
      </c>
      <c r="AE11" s="15">
        <v>-2.0843956083707599E-4</v>
      </c>
      <c r="AL11" s="16" t="s">
        <v>35</v>
      </c>
      <c r="AM11" s="16" t="s">
        <v>36</v>
      </c>
      <c r="AW11" s="16" t="s">
        <v>35</v>
      </c>
      <c r="AX11" s="16" t="s">
        <v>36</v>
      </c>
    </row>
    <row r="12" spans="1:130" x14ac:dyDescent="0.25">
      <c r="A12" s="1">
        <v>46038</v>
      </c>
      <c r="B12" s="33">
        <v>16.920000000000002</v>
      </c>
      <c r="C12" s="33">
        <v>22.07</v>
      </c>
      <c r="D12" s="15">
        <v>-5.9084196696665805E-4</v>
      </c>
      <c r="E12" s="15">
        <v>-9.05797163380798E-4</v>
      </c>
      <c r="F12" s="33">
        <v>0</v>
      </c>
      <c r="G12" s="33">
        <v>0</v>
      </c>
      <c r="H12" s="33">
        <v>0</v>
      </c>
      <c r="I12" s="33">
        <v>0</v>
      </c>
      <c r="J12" s="33">
        <v>0</v>
      </c>
      <c r="K12" s="33">
        <v>0</v>
      </c>
      <c r="L12" s="33">
        <v>16.920000000000002</v>
      </c>
      <c r="M12" s="33">
        <v>22.07</v>
      </c>
      <c r="N12" s="34">
        <v>1.3043735224586199</v>
      </c>
      <c r="O12" s="34">
        <v>1.3062602516891499</v>
      </c>
      <c r="P12" s="34">
        <v>1.30445316908283</v>
      </c>
      <c r="R12" s="33">
        <v>22.101923458580401</v>
      </c>
      <c r="S12" s="33">
        <v>22.0713476208815</v>
      </c>
      <c r="U12" s="15">
        <v>1.44541879270266E-3</v>
      </c>
      <c r="V12" s="15">
        <v>6.1059344790262895E-5</v>
      </c>
      <c r="X12" s="34">
        <v>1.3043735224586199</v>
      </c>
      <c r="Y12" s="34">
        <v>1.3045124660331</v>
      </c>
      <c r="Z12" s="34">
        <v>1.30445316908283</v>
      </c>
      <c r="AB12" s="33">
        <v>22.072350925280102</v>
      </c>
      <c r="AC12" s="33">
        <v>22.0713476208815</v>
      </c>
      <c r="AE12" s="15">
        <v>1.06515635577188E-4</v>
      </c>
      <c r="AF12" s="15">
        <v>6.1059344790262895E-5</v>
      </c>
      <c r="AK12" s="17">
        <v>2.0000000000000001E-4</v>
      </c>
      <c r="AL12" s="18" t="s">
        <v>37</v>
      </c>
      <c r="AM12" s="19" t="s">
        <v>38</v>
      </c>
      <c r="AV12" s="17">
        <v>2.0000000000000001E-4</v>
      </c>
      <c r="AW12" s="18" t="s">
        <v>39</v>
      </c>
      <c r="AX12" s="19" t="s">
        <v>40</v>
      </c>
    </row>
    <row r="13" spans="1:130" x14ac:dyDescent="0.25">
      <c r="A13" s="1">
        <v>46042</v>
      </c>
      <c r="B13" s="33">
        <v>16.829999999999998</v>
      </c>
      <c r="C13" s="33">
        <v>22.03</v>
      </c>
      <c r="D13" s="15">
        <v>-5.33334597536272E-3</v>
      </c>
      <c r="E13" s="15">
        <v>-1.81405945439327E-3</v>
      </c>
      <c r="F13" s="33">
        <v>6.2350000000000003E-2</v>
      </c>
      <c r="G13" s="33">
        <v>6.2350000000000003E-2</v>
      </c>
      <c r="H13" s="33">
        <v>0</v>
      </c>
      <c r="I13" s="33">
        <v>0</v>
      </c>
      <c r="J13" s="33">
        <v>6.2350000000000003E-2</v>
      </c>
      <c r="K13" s="33">
        <v>0</v>
      </c>
      <c r="L13" s="33">
        <v>16.892349999999901</v>
      </c>
      <c r="M13" s="33">
        <v>22.03</v>
      </c>
      <c r="N13" s="34">
        <v>1.30897207367795</v>
      </c>
      <c r="O13" s="34">
        <v>1.3062602516891499</v>
      </c>
      <c r="P13" s="34">
        <v>1.3049078985745199</v>
      </c>
      <c r="R13" s="33">
        <v>21.9843600359284</v>
      </c>
      <c r="S13" s="33">
        <v>21.953946835663999</v>
      </c>
      <c r="U13" s="15">
        <v>-2.0738677282669802E-3</v>
      </c>
      <c r="V13" s="15">
        <v>-3.4582271761793202E-3</v>
      </c>
      <c r="X13" s="34">
        <v>1.30414063170606</v>
      </c>
      <c r="Y13" s="34">
        <v>1.3045124660331</v>
      </c>
      <c r="Z13" s="34">
        <v>1.30442475437733</v>
      </c>
      <c r="AB13" s="33">
        <v>22.0362811555942</v>
      </c>
      <c r="AC13" s="33">
        <v>22.035279490756299</v>
      </c>
      <c r="AE13" s="15">
        <v>2.8507763632926598E-4</v>
      </c>
      <c r="AF13" s="15">
        <v>2.39621345542435E-4</v>
      </c>
    </row>
    <row r="14" spans="1:130" x14ac:dyDescent="0.25">
      <c r="A14" s="1">
        <v>46043</v>
      </c>
      <c r="B14" s="33">
        <v>16.86</v>
      </c>
      <c r="C14" s="33">
        <v>22.07</v>
      </c>
      <c r="D14" s="15">
        <v>1.7809443709949099E-3</v>
      </c>
      <c r="E14" s="15">
        <v>1.81405945439327E-3</v>
      </c>
      <c r="F14" s="33">
        <v>0</v>
      </c>
      <c r="G14" s="33">
        <v>6.2350000000000003E-2</v>
      </c>
      <c r="H14" s="33">
        <v>0</v>
      </c>
      <c r="I14" s="33">
        <v>0</v>
      </c>
      <c r="J14" s="33">
        <v>6.2350000000000003E-2</v>
      </c>
      <c r="K14" s="33">
        <v>0</v>
      </c>
      <c r="L14" s="33">
        <v>16.922349999999899</v>
      </c>
      <c r="M14" s="33">
        <v>22.07</v>
      </c>
      <c r="N14" s="34">
        <v>1.30901542111506</v>
      </c>
      <c r="O14" s="34">
        <v>1.3062602516891499</v>
      </c>
      <c r="P14" s="34">
        <v>1.30528996016654</v>
      </c>
      <c r="R14" s="33">
        <v>22.023547843479101</v>
      </c>
      <c r="S14" s="33">
        <v>22.000747169966399</v>
      </c>
      <c r="U14" s="15">
        <v>-2.10698281166546E-3</v>
      </c>
      <c r="V14" s="15">
        <v>-3.1428052158323002E-3</v>
      </c>
      <c r="X14" s="34">
        <v>1.3041923846274299</v>
      </c>
      <c r="Y14" s="34">
        <v>1.3045124660331</v>
      </c>
      <c r="Z14" s="34">
        <v>1.30432451232059</v>
      </c>
      <c r="AB14" s="33">
        <v>22.0754165295752</v>
      </c>
      <c r="AC14" s="33">
        <v>22.073932242237198</v>
      </c>
      <c r="AE14" s="15">
        <v>2.4539488029711701E-4</v>
      </c>
      <c r="AF14" s="15">
        <v>1.7815550395826601E-4</v>
      </c>
      <c r="AQ14" s="20">
        <f>AVERAGE(AQ22:AQ176)</f>
        <v>1.0739969448258698E-5</v>
      </c>
      <c r="AR14" s="21" t="s">
        <v>41</v>
      </c>
      <c r="BB14" s="20">
        <f>AVERAGE(BB22:BB176)</f>
        <v>7.5243914539172898E-6</v>
      </c>
      <c r="BC14" s="21" t="s">
        <v>41</v>
      </c>
      <c r="BD14" s="22"/>
      <c r="BE14" s="20">
        <f>AVERAGE(BE22:BE176)</f>
        <v>1.8264360902175986E-5</v>
      </c>
      <c r="BF14" s="21" t="s">
        <v>41</v>
      </c>
    </row>
    <row r="15" spans="1:130" x14ac:dyDescent="0.25">
      <c r="A15" s="1">
        <v>46044</v>
      </c>
      <c r="B15" s="33">
        <v>16.86</v>
      </c>
      <c r="C15" s="33">
        <v>22.07</v>
      </c>
      <c r="D15" s="15">
        <v>0</v>
      </c>
      <c r="E15" s="15">
        <v>0</v>
      </c>
      <c r="F15" s="33">
        <v>0</v>
      </c>
      <c r="G15" s="33">
        <v>6.2350000000000003E-2</v>
      </c>
      <c r="H15" s="33">
        <v>0</v>
      </c>
      <c r="I15" s="33">
        <v>0</v>
      </c>
      <c r="J15" s="33">
        <v>6.2350000000000003E-2</v>
      </c>
      <c r="K15" s="33">
        <v>0</v>
      </c>
      <c r="L15" s="33">
        <v>16.922349999999899</v>
      </c>
      <c r="M15" s="33">
        <v>22.07</v>
      </c>
      <c r="N15" s="34">
        <v>1.30901542111506</v>
      </c>
      <c r="O15" s="34">
        <v>1.3062602516891499</v>
      </c>
      <c r="P15" s="34">
        <v>1.305790085513</v>
      </c>
      <c r="R15" s="33">
        <v>22.023547843479101</v>
      </c>
      <c r="S15" s="33">
        <v>22.0071887284079</v>
      </c>
      <c r="U15" s="15">
        <v>-2.10698281166546E-3</v>
      </c>
      <c r="V15" s="15">
        <v>-2.8500599026946198E-3</v>
      </c>
      <c r="X15" s="34">
        <v>1.3041923846274299</v>
      </c>
      <c r="Y15" s="34">
        <v>1.3045124660331</v>
      </c>
      <c r="Z15" s="34">
        <v>1.30434233401828</v>
      </c>
      <c r="AB15" s="33">
        <v>22.0754165295752</v>
      </c>
      <c r="AC15" s="33">
        <v>22.0722359110684</v>
      </c>
      <c r="AE15" s="15">
        <v>2.4539488029711701E-4</v>
      </c>
      <c r="AF15" s="15">
        <v>1.01304839874784E-4</v>
      </c>
      <c r="AQ15" s="20">
        <f>STDEV(AQ22:AQ176)</f>
        <v>1.3371154131628721E-4</v>
      </c>
      <c r="AR15" s="21" t="s">
        <v>42</v>
      </c>
      <c r="BB15" s="20">
        <f>STDEV(BB22:BB176)</f>
        <v>9.3677918137234715E-5</v>
      </c>
      <c r="BC15" s="21" t="s">
        <v>42</v>
      </c>
      <c r="BD15" s="22"/>
      <c r="BE15" s="20">
        <f>STDEV(BE22:BE176)</f>
        <v>1.6276257449425143E-4</v>
      </c>
      <c r="BF15" s="21" t="s">
        <v>42</v>
      </c>
    </row>
    <row r="16" spans="1:130" x14ac:dyDescent="0.25">
      <c r="A16" s="1">
        <v>46045</v>
      </c>
      <c r="B16" s="33">
        <v>16.87</v>
      </c>
      <c r="C16" s="33">
        <v>22.09</v>
      </c>
      <c r="D16" s="15">
        <v>5.9294398416769901E-4</v>
      </c>
      <c r="E16" s="15">
        <v>9.0579716338082901E-4</v>
      </c>
      <c r="F16" s="33">
        <v>0</v>
      </c>
      <c r="G16" s="33">
        <v>6.2350000000000003E-2</v>
      </c>
      <c r="H16" s="33">
        <v>0</v>
      </c>
      <c r="I16" s="33">
        <v>0</v>
      </c>
      <c r="J16" s="33">
        <v>6.2350000000000003E-2</v>
      </c>
      <c r="K16" s="33">
        <v>0</v>
      </c>
      <c r="L16" s="33">
        <v>16.93235</v>
      </c>
      <c r="M16" s="33">
        <v>22.09</v>
      </c>
      <c r="N16" s="34">
        <v>1.3094250148191999</v>
      </c>
      <c r="O16" s="34">
        <v>1.3062602516891499</v>
      </c>
      <c r="P16" s="34">
        <v>1.3062772351321099</v>
      </c>
      <c r="R16" s="33">
        <v>22.036610445995901</v>
      </c>
      <c r="S16" s="33">
        <v>22.028678742604299</v>
      </c>
      <c r="U16" s="15">
        <v>-2.4198359908785901E-3</v>
      </c>
      <c r="V16" s="15">
        <v>-2.77983378612173E-3</v>
      </c>
      <c r="X16" s="34">
        <v>1.3046033184997901</v>
      </c>
      <c r="Y16" s="34">
        <v>1.3045124660331</v>
      </c>
      <c r="Z16" s="34">
        <v>1.30434731400546</v>
      </c>
      <c r="AB16" s="33">
        <v>22.088461654235601</v>
      </c>
      <c r="AC16" s="33">
        <v>22.0855809194145</v>
      </c>
      <c r="AE16" s="15">
        <v>-6.9642341874271997E-5</v>
      </c>
      <c r="AF16" s="15">
        <v>-2.0006892985891699E-4</v>
      </c>
      <c r="AQ16" s="23">
        <f>SQRT(252)*AQ14/AQ15</f>
        <v>1.2750711555097245</v>
      </c>
      <c r="AR16" s="21" t="s">
        <v>43</v>
      </c>
      <c r="BB16" s="23">
        <f>SQRT(252)*BB14/BB15</f>
        <v>1.2750711555097243</v>
      </c>
      <c r="BC16" s="21" t="s">
        <v>43</v>
      </c>
      <c r="BD16" s="22"/>
      <c r="BE16" s="23">
        <f>SQRT(252)*BE14/BE15</f>
        <v>1.7813538629322556</v>
      </c>
      <c r="BF16" s="21" t="s">
        <v>43</v>
      </c>
    </row>
    <row r="17" spans="1:124" x14ac:dyDescent="0.25">
      <c r="A17" s="1">
        <v>46048</v>
      </c>
      <c r="B17" s="33">
        <v>16.87</v>
      </c>
      <c r="C17" s="33">
        <v>22.1</v>
      </c>
      <c r="D17" s="15">
        <v>0</v>
      </c>
      <c r="E17" s="15">
        <v>4.5259109168133902E-4</v>
      </c>
      <c r="F17" s="33">
        <v>0</v>
      </c>
      <c r="G17" s="33">
        <v>6.2350000000000003E-2</v>
      </c>
      <c r="H17" s="33">
        <v>0</v>
      </c>
      <c r="I17" s="33">
        <v>0</v>
      </c>
      <c r="J17" s="33">
        <v>6.2350000000000003E-2</v>
      </c>
      <c r="K17" s="33">
        <v>0</v>
      </c>
      <c r="L17" s="33">
        <v>16.93235</v>
      </c>
      <c r="M17" s="33">
        <v>22.1</v>
      </c>
      <c r="N17" s="34">
        <v>1.31001778304682</v>
      </c>
      <c r="O17" s="34">
        <v>1.3062602516891499</v>
      </c>
      <c r="P17" s="34">
        <v>1.3068416611909299</v>
      </c>
      <c r="R17" s="33">
        <v>22.036610445995901</v>
      </c>
      <c r="S17" s="33">
        <v>22.036896956678799</v>
      </c>
      <c r="U17" s="15">
        <v>-2.87242708255998E-3</v>
      </c>
      <c r="V17" s="15">
        <v>-2.8594255902923398E-3</v>
      </c>
      <c r="X17" s="34">
        <v>1.3051939039767</v>
      </c>
      <c r="Y17" s="34">
        <v>1.3045124660331</v>
      </c>
      <c r="Z17" s="34">
        <v>1.3044293521572601</v>
      </c>
      <c r="AB17" s="33">
        <v>22.088461654235601</v>
      </c>
      <c r="AC17" s="33">
        <v>22.085665242300301</v>
      </c>
      <c r="AE17" s="15">
        <v>-5.2223343355573503E-4</v>
      </c>
      <c r="AF17" s="15">
        <v>-6.4884202258439199E-4</v>
      </c>
    </row>
    <row r="18" spans="1:124" x14ac:dyDescent="0.25">
      <c r="A18" s="1">
        <v>46049</v>
      </c>
      <c r="B18" s="33">
        <v>16.88</v>
      </c>
      <c r="C18" s="33">
        <v>22.12</v>
      </c>
      <c r="D18" s="15">
        <v>5.9259260993389904E-4</v>
      </c>
      <c r="E18" s="15">
        <v>9.0456813042691397E-4</v>
      </c>
      <c r="F18" s="33">
        <v>0</v>
      </c>
      <c r="G18" s="33">
        <v>6.2350000000000003E-2</v>
      </c>
      <c r="H18" s="33">
        <v>0</v>
      </c>
      <c r="I18" s="33">
        <v>0</v>
      </c>
      <c r="J18" s="33">
        <v>6.2350000000000003E-2</v>
      </c>
      <c r="K18" s="33">
        <v>0</v>
      </c>
      <c r="L18" s="33">
        <v>16.942349999999902</v>
      </c>
      <c r="M18" s="33">
        <v>22.12</v>
      </c>
      <c r="N18" s="34">
        <v>1.31042654028436</v>
      </c>
      <c r="O18" s="34">
        <v>1.3062602516891499</v>
      </c>
      <c r="P18" s="34">
        <v>1.3074289633565701</v>
      </c>
      <c r="R18" s="33">
        <v>22.049673048512801</v>
      </c>
      <c r="S18" s="33">
        <v>22.059487240903</v>
      </c>
      <c r="U18" s="15">
        <v>-3.1844026030529199E-3</v>
      </c>
      <c r="V18" s="15">
        <v>-2.7394069383103602E-3</v>
      </c>
      <c r="X18" s="34">
        <v>1.30560400416707</v>
      </c>
      <c r="Y18" s="34">
        <v>1.3045124660331</v>
      </c>
      <c r="Z18" s="34">
        <v>1.3045344007111701</v>
      </c>
      <c r="AB18" s="33">
        <v>22.101506778895899</v>
      </c>
      <c r="AC18" s="33">
        <v>22.1000986345217</v>
      </c>
      <c r="AE18" s="15">
        <v>-8.3639041403961803E-4</v>
      </c>
      <c r="AF18" s="15">
        <v>-9.0010503985634197E-4</v>
      </c>
      <c r="BE18" s="24">
        <f>SUM(BE22:BE176)</f>
        <v>2.8309759398372778E-3</v>
      </c>
      <c r="BF18" s="20">
        <f>BF176</f>
        <v>2.8309759398372778E-3</v>
      </c>
    </row>
    <row r="19" spans="1:124" x14ac:dyDescent="0.25">
      <c r="A19" s="1">
        <v>46050</v>
      </c>
      <c r="B19" s="33">
        <v>16.88</v>
      </c>
      <c r="C19" s="33">
        <v>22.1</v>
      </c>
      <c r="D19" s="15">
        <v>0</v>
      </c>
      <c r="E19" s="15">
        <v>-9.0456813042693804E-4</v>
      </c>
      <c r="F19" s="33">
        <v>0</v>
      </c>
      <c r="G19" s="33">
        <v>6.2350000000000003E-2</v>
      </c>
      <c r="H19" s="33">
        <v>0</v>
      </c>
      <c r="I19" s="33">
        <v>0</v>
      </c>
      <c r="J19" s="33">
        <v>6.2350000000000003E-2</v>
      </c>
      <c r="K19" s="33">
        <v>0</v>
      </c>
      <c r="L19" s="33">
        <v>16.942349999999902</v>
      </c>
      <c r="M19" s="33">
        <v>22.1</v>
      </c>
      <c r="N19" s="34">
        <v>1.3092417061611299</v>
      </c>
      <c r="O19" s="34">
        <v>1.3062602516891499</v>
      </c>
      <c r="P19" s="34">
        <v>1.30795171720763</v>
      </c>
      <c r="R19" s="33">
        <v>22.049673048512801</v>
      </c>
      <c r="S19" s="33">
        <v>22.069400901458899</v>
      </c>
      <c r="U19" s="15">
        <v>-2.2798344726259702E-3</v>
      </c>
      <c r="V19" s="15">
        <v>-1.3855340037073E-3</v>
      </c>
      <c r="X19" s="34">
        <v>1.30442353038391</v>
      </c>
      <c r="Y19" s="34">
        <v>1.3045124660331</v>
      </c>
      <c r="Z19" s="34">
        <v>1.3045753369845099</v>
      </c>
      <c r="AB19" s="33">
        <v>22.101506778895899</v>
      </c>
      <c r="AC19" s="33">
        <v>22.1018784038889</v>
      </c>
      <c r="AE19" s="15">
        <v>6.8177716387331097E-5</v>
      </c>
      <c r="AF19" s="15">
        <v>8.4992039158308895E-5</v>
      </c>
      <c r="AI19" s="12"/>
      <c r="AJ19"/>
      <c r="AK19"/>
      <c r="AL19"/>
      <c r="AM19"/>
      <c r="AN19"/>
      <c r="AO19"/>
      <c r="AP19"/>
      <c r="AQ19" s="24">
        <f>SUM(AQ22:AQ176)</f>
        <v>1.6646952644800981E-3</v>
      </c>
      <c r="AR19" s="24">
        <f>AR176</f>
        <v>1.6646952644800981E-3</v>
      </c>
      <c r="AU19"/>
      <c r="AV19"/>
      <c r="AW19"/>
      <c r="AX19"/>
      <c r="AY19"/>
      <c r="AZ19"/>
      <c r="BA19"/>
      <c r="BB19" s="24">
        <f>SUM(BB22:BB176)</f>
        <v>1.1662806753571799E-3</v>
      </c>
      <c r="BC19" s="24">
        <f>BC176</f>
        <v>1.1662806753571799E-3</v>
      </c>
      <c r="BE19" s="7" t="s">
        <v>44</v>
      </c>
      <c r="BF19" s="7" t="s">
        <v>44</v>
      </c>
      <c r="BH19" s="7"/>
    </row>
    <row r="20" spans="1:124" x14ac:dyDescent="0.25">
      <c r="A20" s="1">
        <v>46051</v>
      </c>
      <c r="B20" s="33">
        <v>16.899999999999999</v>
      </c>
      <c r="C20" s="33">
        <v>22.13</v>
      </c>
      <c r="D20" s="15">
        <v>1.18413276121677E-3</v>
      </c>
      <c r="E20" s="15">
        <v>1.35654553925115E-3</v>
      </c>
      <c r="F20" s="33">
        <v>0</v>
      </c>
      <c r="G20" s="33">
        <v>6.2350000000000003E-2</v>
      </c>
      <c r="H20" s="33">
        <v>0</v>
      </c>
      <c r="I20" s="33">
        <v>0</v>
      </c>
      <c r="J20" s="33">
        <v>6.2350000000000003E-2</v>
      </c>
      <c r="K20" s="33">
        <v>0</v>
      </c>
      <c r="L20" s="33">
        <v>16.962349999999901</v>
      </c>
      <c r="M20" s="33">
        <v>22.13</v>
      </c>
      <c r="N20" s="34">
        <v>1.3094674556213</v>
      </c>
      <c r="O20" s="34">
        <v>1.3062602516891499</v>
      </c>
      <c r="P20" s="34">
        <v>1.30847393446787</v>
      </c>
      <c r="R20" s="33">
        <v>22.075798253546601</v>
      </c>
      <c r="S20" s="33">
        <v>22.104384020808901</v>
      </c>
      <c r="U20" s="15">
        <v>-2.4522472506603101E-3</v>
      </c>
      <c r="V20" s="15">
        <v>-1.15819323006403E-3</v>
      </c>
      <c r="X20" s="34">
        <v>1.3046541310608399</v>
      </c>
      <c r="Y20" s="34">
        <v>1.3045124660331</v>
      </c>
      <c r="Z20" s="34">
        <v>1.3046162217887101</v>
      </c>
      <c r="AB20" s="33">
        <v>22.127597028216599</v>
      </c>
      <c r="AC20" s="33">
        <v>22.128663467299202</v>
      </c>
      <c r="AE20" s="15">
        <v>-1.0859025103502599E-4</v>
      </c>
      <c r="AF20" s="15">
        <v>-6.0396432989470303E-5</v>
      </c>
      <c r="AI20" s="25" t="s">
        <v>45</v>
      </c>
      <c r="AJ20" s="7" t="s">
        <v>46</v>
      </c>
      <c r="AK20" s="7" t="s">
        <v>47</v>
      </c>
      <c r="AL20" s="7" t="s">
        <v>48</v>
      </c>
      <c r="AM20" s="7" t="s">
        <v>49</v>
      </c>
      <c r="AN20" s="7" t="s">
        <v>50</v>
      </c>
      <c r="AO20" s="7" t="str">
        <f>D1</f>
        <v>BSCU log rtn</v>
      </c>
      <c r="AP20" s="7" t="str">
        <f>E1</f>
        <v>IBDV log rtn</v>
      </c>
      <c r="AQ20" s="7" t="s">
        <v>51</v>
      </c>
      <c r="AR20" s="7" t="s">
        <v>52</v>
      </c>
      <c r="AT20" s="25" t="s">
        <v>45</v>
      </c>
      <c r="AU20" s="7" t="s">
        <v>47</v>
      </c>
      <c r="AV20" s="7" t="s">
        <v>46</v>
      </c>
      <c r="AW20" s="7" t="s">
        <v>48</v>
      </c>
      <c r="AX20" s="7" t="s">
        <v>49</v>
      </c>
      <c r="AY20" s="7" t="s">
        <v>50</v>
      </c>
      <c r="AZ20" s="24" t="str">
        <f>D1</f>
        <v>BSCU log rtn</v>
      </c>
      <c r="BA20" s="24" t="str">
        <f>E1</f>
        <v>IBDV log rtn</v>
      </c>
      <c r="BB20" s="7" t="s">
        <v>51</v>
      </c>
      <c r="BC20" s="7" t="s">
        <v>52</v>
      </c>
      <c r="BE20" s="7" t="s">
        <v>51</v>
      </c>
      <c r="BF20" s="7" t="s">
        <v>52</v>
      </c>
      <c r="BH20" s="7"/>
    </row>
    <row r="21" spans="1:124" x14ac:dyDescent="0.25">
      <c r="A21" s="1">
        <v>46052</v>
      </c>
      <c r="B21" s="33">
        <v>16.920000000000002</v>
      </c>
      <c r="C21" s="33">
        <v>22.14</v>
      </c>
      <c r="D21" s="15">
        <v>1.1827322490496101E-3</v>
      </c>
      <c r="E21" s="15">
        <v>4.5177321753255299E-4</v>
      </c>
      <c r="F21" s="33">
        <v>0</v>
      </c>
      <c r="G21" s="33">
        <v>6.2350000000000003E-2</v>
      </c>
      <c r="H21" s="33">
        <v>0</v>
      </c>
      <c r="I21" s="33">
        <v>0</v>
      </c>
      <c r="J21" s="33">
        <v>6.2350000000000003E-2</v>
      </c>
      <c r="K21" s="33">
        <v>0</v>
      </c>
      <c r="L21" s="33">
        <v>16.98235</v>
      </c>
      <c r="M21" s="33">
        <v>22.14</v>
      </c>
      <c r="N21" s="34">
        <v>1.30851063829787</v>
      </c>
      <c r="O21" s="34">
        <v>1.3062602516891499</v>
      </c>
      <c r="P21" s="34">
        <v>1.3088465576597399</v>
      </c>
      <c r="Q21" s="34">
        <v>1.30664986337128</v>
      </c>
      <c r="R21" s="33">
        <v>22.101923458580401</v>
      </c>
      <c r="S21" s="33">
        <v>22.1393789711964</v>
      </c>
      <c r="U21" s="15">
        <v>-1.72128821914317E-3</v>
      </c>
      <c r="V21" s="15">
        <v>-2.8050474871565001E-5</v>
      </c>
      <c r="X21" s="34">
        <v>1.30370649527303</v>
      </c>
      <c r="Y21" s="34">
        <v>1.3045124660331</v>
      </c>
      <c r="Z21" s="34">
        <v>1.3045084306780901</v>
      </c>
      <c r="AA21" s="34">
        <v>1.30448079988046</v>
      </c>
      <c r="AB21" s="33">
        <v>22.153687277537198</v>
      </c>
      <c r="AC21" s="33">
        <v>22.155449294093501</v>
      </c>
      <c r="AE21" s="15">
        <v>6.1802386814945704E-4</v>
      </c>
      <c r="AF21" s="15">
        <v>6.9755674527164995E-4</v>
      </c>
      <c r="AI21" s="26">
        <v>-1E-3</v>
      </c>
      <c r="AJ21"/>
      <c r="AK21"/>
      <c r="AL21"/>
      <c r="AM21">
        <f t="shared" ref="AM21:AM84" si="4">IF(F22+H22&gt;0,0,1)</f>
        <v>0</v>
      </c>
      <c r="AN21" s="27">
        <v>0</v>
      </c>
      <c r="AO21"/>
      <c r="AP21"/>
      <c r="AQ21"/>
      <c r="AR21"/>
      <c r="AT21" s="26">
        <v>1E-3</v>
      </c>
      <c r="AU21"/>
      <c r="AV21"/>
      <c r="AW21"/>
      <c r="AX21">
        <f t="shared" ref="AX21:AX84" si="5">IF(F22+H22&gt;0,0,1)</f>
        <v>0</v>
      </c>
      <c r="AY21" s="27">
        <v>0</v>
      </c>
      <c r="AZ21"/>
      <c r="BA21"/>
      <c r="BB21"/>
      <c r="BC21"/>
    </row>
    <row r="22" spans="1:124" x14ac:dyDescent="0.25">
      <c r="A22" s="1">
        <v>46055</v>
      </c>
      <c r="B22" s="33">
        <v>16.899999999999999</v>
      </c>
      <c r="C22" s="33">
        <v>22.04</v>
      </c>
      <c r="D22" s="15">
        <v>-1.1827322490496001E-3</v>
      </c>
      <c r="E22" s="15">
        <v>-4.5269429957771803E-3</v>
      </c>
      <c r="F22" s="33">
        <v>0</v>
      </c>
      <c r="G22" s="33">
        <v>6.2350000000000003E-2</v>
      </c>
      <c r="H22" s="33">
        <v>8.2222000000000003E-2</v>
      </c>
      <c r="I22" s="33">
        <v>8.2222000000000003E-2</v>
      </c>
      <c r="J22" s="33">
        <v>6.2350000000000003E-2</v>
      </c>
      <c r="K22" s="33">
        <v>8.2222000000000003E-2</v>
      </c>
      <c r="L22" s="33">
        <v>16.962349999999901</v>
      </c>
      <c r="M22" s="33">
        <v>22.122222000000001</v>
      </c>
      <c r="N22" s="34">
        <v>1.3041420118343101</v>
      </c>
      <c r="O22" s="34">
        <v>1.3062602516891499</v>
      </c>
      <c r="P22" s="34">
        <v>1.3088234065973099</v>
      </c>
      <c r="Q22" s="34">
        <v>1.30663828784007</v>
      </c>
      <c r="R22" s="33">
        <v>22.075798253546601</v>
      </c>
      <c r="S22" s="33">
        <v>22.119506824449601</v>
      </c>
      <c r="T22" s="33">
        <v>22.082382690974701</v>
      </c>
      <c r="U22" s="15">
        <v>1.62292252758419E-3</v>
      </c>
      <c r="V22" s="15">
        <v>3.6008966619958901E-3</v>
      </c>
      <c r="W22" s="15">
        <v>1.92114303105822E-3</v>
      </c>
      <c r="X22" s="34">
        <v>1.3041955861068699</v>
      </c>
      <c r="Y22" s="34">
        <v>1.3045124660331</v>
      </c>
      <c r="Z22" s="34">
        <v>1.3044906370429099</v>
      </c>
      <c r="AA22" s="34">
        <v>1.30447190306287</v>
      </c>
      <c r="AB22" s="33">
        <v>22.127597028216599</v>
      </c>
      <c r="AC22" s="33">
        <v>22.1275285791125</v>
      </c>
      <c r="AD22" s="33">
        <v>22.127059895852302</v>
      </c>
      <c r="AE22" s="15">
        <v>2.4294012319545701E-4</v>
      </c>
      <c r="AF22" s="15">
        <v>2.3984673669542899E-4</v>
      </c>
      <c r="AG22" s="15">
        <v>2.1866550887908399E-4</v>
      </c>
      <c r="AI22" s="26">
        <v>-2.0000000000000001E-4</v>
      </c>
      <c r="AJ22">
        <f t="shared" ref="AJ22:AJ85" si="6">IF($AG22&lt;AI$21,1,0)</f>
        <v>0</v>
      </c>
      <c r="AK22">
        <f t="shared" ref="AK22:AK85" si="7">IF($AG22&gt;AI$22,1,0)</f>
        <v>1</v>
      </c>
      <c r="AL22">
        <f>AN21</f>
        <v>0</v>
      </c>
      <c r="AM22">
        <f t="shared" si="4"/>
        <v>1</v>
      </c>
      <c r="AN22">
        <f>IF(AJ21,1,IF(AK21,0,AL21))*AM21</f>
        <v>0</v>
      </c>
      <c r="AO22" s="28">
        <f t="shared" ref="AO22:AO85" si="8">AN22*D22</f>
        <v>0</v>
      </c>
      <c r="AP22" s="28">
        <f t="shared" ref="AP22:AP85" si="9">-AN22*$E22</f>
        <v>0</v>
      </c>
      <c r="AQ22" s="28">
        <f>AO22+AP22</f>
        <v>0</v>
      </c>
      <c r="AR22" s="29">
        <f>AR21+AQ22</f>
        <v>0</v>
      </c>
      <c r="AT22" s="26">
        <v>2.0000000000000001E-4</v>
      </c>
      <c r="AU22">
        <f t="shared" ref="AU22:AU85" si="10">IF($AG22&gt;AT$21,1,0)</f>
        <v>0</v>
      </c>
      <c r="AV22">
        <f t="shared" ref="AV22:AV85" si="11">IF($AG22&lt;AT$22,1,0)</f>
        <v>0</v>
      </c>
      <c r="AW22">
        <f>AY21</f>
        <v>0</v>
      </c>
      <c r="AX22">
        <f t="shared" si="5"/>
        <v>1</v>
      </c>
      <c r="AY22">
        <f>IF(AU21,1,IF(AV21,0,AW21))*AX21</f>
        <v>0</v>
      </c>
      <c r="AZ22" s="28">
        <f t="shared" ref="AZ22:AZ85" si="12">-AY22*D22</f>
        <v>0</v>
      </c>
      <c r="BA22" s="28">
        <f t="shared" ref="BA22:BA85" si="13">AY22*$E22</f>
        <v>0</v>
      </c>
      <c r="BB22" s="28">
        <f>AZ22+BA22</f>
        <v>0</v>
      </c>
      <c r="BC22" s="29">
        <f>BC21+BB22</f>
        <v>0</v>
      </c>
      <c r="BE22" s="29">
        <f>AQ22+BB22</f>
        <v>0</v>
      </c>
      <c r="BF22" s="29">
        <f>BF21+BE22</f>
        <v>0</v>
      </c>
      <c r="BH22" s="29"/>
    </row>
    <row r="23" spans="1:124" x14ac:dyDescent="0.25">
      <c r="A23" s="1">
        <v>46056</v>
      </c>
      <c r="B23" s="33">
        <v>16.89</v>
      </c>
      <c r="C23" s="33">
        <v>22.03</v>
      </c>
      <c r="D23" s="15">
        <v>-5.9189110931895199E-4</v>
      </c>
      <c r="E23" s="15">
        <v>-4.5382347046184598E-4</v>
      </c>
      <c r="F23" s="33">
        <v>0</v>
      </c>
      <c r="G23" s="33">
        <v>6.2350000000000003E-2</v>
      </c>
      <c r="H23" s="33">
        <v>0</v>
      </c>
      <c r="I23" s="33">
        <v>8.2222000000000003E-2</v>
      </c>
      <c r="J23" s="33">
        <v>6.2350000000000003E-2</v>
      </c>
      <c r="K23" s="33">
        <v>8.2222000000000003E-2</v>
      </c>
      <c r="L23" s="33">
        <v>16.952349999999999</v>
      </c>
      <c r="M23" s="33">
        <v>22.112221999999999</v>
      </c>
      <c r="N23" s="34">
        <v>1.30432208407341</v>
      </c>
      <c r="O23" s="34">
        <v>1.3062602516891499</v>
      </c>
      <c r="P23" s="34">
        <v>1.30835840763685</v>
      </c>
      <c r="Q23" s="34">
        <v>1.3066331531056801</v>
      </c>
      <c r="R23" s="33">
        <v>22.062735651029701</v>
      </c>
      <c r="S23" s="33">
        <v>22.1060273374285</v>
      </c>
      <c r="T23" s="33">
        <v>22.069120681618799</v>
      </c>
      <c r="U23" s="15">
        <v>1.48485488872702E-3</v>
      </c>
      <c r="V23" s="15">
        <v>3.44514072572337E-3</v>
      </c>
      <c r="W23" s="15">
        <v>1.7742164141275E-3</v>
      </c>
      <c r="X23" s="34">
        <v>1.30437502765103</v>
      </c>
      <c r="Y23" s="34">
        <v>1.3045124660331</v>
      </c>
      <c r="Z23" s="34">
        <v>1.3045140766374099</v>
      </c>
      <c r="AA23" s="34">
        <v>1.3044694155073699</v>
      </c>
      <c r="AB23" s="33">
        <v>22.114551903556201</v>
      </c>
      <c r="AC23" s="33">
        <v>22.114181850874498</v>
      </c>
      <c r="AD23" s="33">
        <v>22.113864265887901</v>
      </c>
      <c r="AE23" s="15">
        <v>1.0536167813256E-4</v>
      </c>
      <c r="AF23" s="15">
        <v>8.8628091147247606E-5</v>
      </c>
      <c r="AG23" s="15">
        <v>7.4266842370512398E-5</v>
      </c>
      <c r="AI23" s="12"/>
      <c r="AJ23">
        <f t="shared" si="6"/>
        <v>0</v>
      </c>
      <c r="AK23">
        <f t="shared" si="7"/>
        <v>1</v>
      </c>
      <c r="AL23">
        <f t="shared" ref="AL23:AL86" si="14">AN23</f>
        <v>0</v>
      </c>
      <c r="AM23">
        <f t="shared" si="4"/>
        <v>1</v>
      </c>
      <c r="AN23">
        <f t="shared" ref="AN23:AN86" si="15">IF(AJ22,1,IF(AK22,0,AL22))*AM22</f>
        <v>0</v>
      </c>
      <c r="AO23" s="28">
        <f t="shared" si="8"/>
        <v>0</v>
      </c>
      <c r="AP23" s="28">
        <f t="shared" si="9"/>
        <v>0</v>
      </c>
      <c r="AQ23" s="28">
        <f t="shared" ref="AQ23:AQ86" si="16">AO23+AP23</f>
        <v>0</v>
      </c>
      <c r="AR23" s="29">
        <f t="shared" ref="AR23:AR86" si="17">AR22+AQ23</f>
        <v>0</v>
      </c>
      <c r="AT23" s="12"/>
      <c r="AU23">
        <f t="shared" si="10"/>
        <v>0</v>
      </c>
      <c r="AV23">
        <f t="shared" si="11"/>
        <v>1</v>
      </c>
      <c r="AW23">
        <f t="shared" ref="AW23:AW86" si="18">AY23</f>
        <v>0</v>
      </c>
      <c r="AX23">
        <f t="shared" si="5"/>
        <v>1</v>
      </c>
      <c r="AY23">
        <f t="shared" ref="AY23:AY86" si="19">IF(AU22,1,IF(AV22,0,AW22))*AX22</f>
        <v>0</v>
      </c>
      <c r="AZ23" s="28">
        <f t="shared" si="12"/>
        <v>0</v>
      </c>
      <c r="BA23" s="28">
        <f t="shared" si="13"/>
        <v>0</v>
      </c>
      <c r="BB23" s="28">
        <f t="shared" ref="BB23:BB86" si="20">AZ23+BA23</f>
        <v>0</v>
      </c>
      <c r="BC23" s="29">
        <f t="shared" ref="BC23:BC86" si="21">BC22+BB23</f>
        <v>0</v>
      </c>
      <c r="BE23" s="29">
        <f t="shared" ref="BE23:BE86" si="22">AQ23+BB23</f>
        <v>0</v>
      </c>
      <c r="BF23" s="29">
        <f t="shared" ref="BF23:BF86" si="23">BF22+BE23</f>
        <v>0</v>
      </c>
      <c r="BH23" s="29"/>
    </row>
    <row r="24" spans="1:124" x14ac:dyDescent="0.25">
      <c r="A24" s="1">
        <v>46057</v>
      </c>
      <c r="B24" s="33">
        <v>16.89</v>
      </c>
      <c r="C24" s="33">
        <v>22.04</v>
      </c>
      <c r="D24" s="15">
        <v>0</v>
      </c>
      <c r="E24" s="15">
        <v>4.5382347046187102E-4</v>
      </c>
      <c r="F24" s="33">
        <v>0</v>
      </c>
      <c r="G24" s="33">
        <v>6.2350000000000003E-2</v>
      </c>
      <c r="H24" s="33">
        <v>0</v>
      </c>
      <c r="I24" s="33">
        <v>8.2222000000000003E-2</v>
      </c>
      <c r="J24" s="33">
        <v>6.2350000000000003E-2</v>
      </c>
      <c r="K24" s="33">
        <v>8.2222000000000003E-2</v>
      </c>
      <c r="L24" s="33">
        <v>16.952349999999999</v>
      </c>
      <c r="M24" s="33">
        <v>22.122222000000001</v>
      </c>
      <c r="N24" s="34">
        <v>1.30491415038484</v>
      </c>
      <c r="O24" s="34">
        <v>1.3062602516891499</v>
      </c>
      <c r="P24" s="34">
        <v>1.3079482805638301</v>
      </c>
      <c r="Q24" s="34">
        <v>1.30661912036519</v>
      </c>
      <c r="R24" s="33">
        <v>22.062735651029701</v>
      </c>
      <c r="S24" s="33">
        <v>22.098173504986502</v>
      </c>
      <c r="T24" s="33">
        <v>22.069033955955099</v>
      </c>
      <c r="U24" s="15">
        <v>1.0310314182653199E-3</v>
      </c>
      <c r="V24" s="15">
        <v>2.63597399036666E-3</v>
      </c>
      <c r="W24" s="15">
        <v>1.31646320693667E-3</v>
      </c>
      <c r="X24" s="34">
        <v>1.30496491636852</v>
      </c>
      <c r="Y24" s="34">
        <v>1.3045124660331</v>
      </c>
      <c r="Z24" s="34">
        <v>1.3045913298115199</v>
      </c>
      <c r="AA24" s="34">
        <v>1.3044579210660601</v>
      </c>
      <c r="AB24" s="33">
        <v>22.114551903556201</v>
      </c>
      <c r="AC24" s="33">
        <v>22.114579207084201</v>
      </c>
      <c r="AD24" s="33">
        <v>22.113822095976399</v>
      </c>
      <c r="AE24" s="15">
        <v>-3.4677467833901901E-4</v>
      </c>
      <c r="AF24" s="15">
        <v>-3.4554003830345299E-4</v>
      </c>
      <c r="AG24" s="15">
        <v>-3.7977646040416099E-4</v>
      </c>
      <c r="AI24" s="12"/>
      <c r="AJ24">
        <f t="shared" si="6"/>
        <v>0</v>
      </c>
      <c r="AK24">
        <f t="shared" si="7"/>
        <v>0</v>
      </c>
      <c r="AL24">
        <f t="shared" si="14"/>
        <v>0</v>
      </c>
      <c r="AM24">
        <f t="shared" si="4"/>
        <v>1</v>
      </c>
      <c r="AN24">
        <f t="shared" si="15"/>
        <v>0</v>
      </c>
      <c r="AO24" s="28">
        <f t="shared" si="8"/>
        <v>0</v>
      </c>
      <c r="AP24" s="28">
        <f t="shared" si="9"/>
        <v>0</v>
      </c>
      <c r="AQ24" s="28">
        <f t="shared" si="16"/>
        <v>0</v>
      </c>
      <c r="AR24" s="29">
        <f t="shared" si="17"/>
        <v>0</v>
      </c>
      <c r="AT24" s="12"/>
      <c r="AU24">
        <f t="shared" si="10"/>
        <v>0</v>
      </c>
      <c r="AV24">
        <f t="shared" si="11"/>
        <v>1</v>
      </c>
      <c r="AW24">
        <f t="shared" si="18"/>
        <v>0</v>
      </c>
      <c r="AX24">
        <f t="shared" si="5"/>
        <v>1</v>
      </c>
      <c r="AY24">
        <f t="shared" si="19"/>
        <v>0</v>
      </c>
      <c r="AZ24" s="28">
        <f t="shared" si="12"/>
        <v>0</v>
      </c>
      <c r="BA24" s="28">
        <f t="shared" si="13"/>
        <v>0</v>
      </c>
      <c r="BB24" s="28">
        <f t="shared" si="20"/>
        <v>0</v>
      </c>
      <c r="BC24" s="29">
        <f t="shared" si="21"/>
        <v>0</v>
      </c>
      <c r="BE24" s="29">
        <f t="shared" si="22"/>
        <v>0</v>
      </c>
      <c r="BF24" s="29">
        <f t="shared" si="23"/>
        <v>0</v>
      </c>
      <c r="BH24" s="29"/>
    </row>
    <row r="25" spans="1:124" x14ac:dyDescent="0.25">
      <c r="A25" s="1">
        <v>46058</v>
      </c>
      <c r="B25" s="33">
        <v>16.95</v>
      </c>
      <c r="C25" s="33">
        <v>22.11</v>
      </c>
      <c r="D25" s="15">
        <v>3.54610300675049E-3</v>
      </c>
      <c r="E25" s="15">
        <v>3.1710105846412301E-3</v>
      </c>
      <c r="F25" s="33">
        <v>0</v>
      </c>
      <c r="G25" s="33">
        <v>6.2350000000000003E-2</v>
      </c>
      <c r="H25" s="33">
        <v>0</v>
      </c>
      <c r="I25" s="33">
        <v>8.2222000000000003E-2</v>
      </c>
      <c r="J25" s="33">
        <v>6.2350000000000003E-2</v>
      </c>
      <c r="K25" s="33">
        <v>8.2222000000000003E-2</v>
      </c>
      <c r="L25" s="33">
        <v>17.012349999999898</v>
      </c>
      <c r="M25" s="33">
        <v>22.192222000000001</v>
      </c>
      <c r="N25" s="34">
        <v>1.3044247787610601</v>
      </c>
      <c r="O25" s="34">
        <v>1.3062602516891499</v>
      </c>
      <c r="P25" s="34">
        <v>1.30748921632843</v>
      </c>
      <c r="Q25" s="34">
        <v>1.3066396509207101</v>
      </c>
      <c r="R25" s="33">
        <v>22.141111266131102</v>
      </c>
      <c r="S25" s="33">
        <v>22.169723355557</v>
      </c>
      <c r="T25" s="33">
        <v>22.147194090189899</v>
      </c>
      <c r="U25" s="15">
        <v>1.4061238403746399E-3</v>
      </c>
      <c r="V25" s="15">
        <v>2.6975503570140702E-3</v>
      </c>
      <c r="W25" s="15">
        <v>1.6808159537067299E-3</v>
      </c>
      <c r="X25" s="34">
        <v>1.30447715924019</v>
      </c>
      <c r="Y25" s="34">
        <v>1.3045124660331</v>
      </c>
      <c r="Z25" s="34">
        <v>1.3046198072727999</v>
      </c>
      <c r="AA25" s="34">
        <v>1.3044810706455401</v>
      </c>
      <c r="AB25" s="33">
        <v>22.192822651518199</v>
      </c>
      <c r="AC25" s="33">
        <v>22.194164309719</v>
      </c>
      <c r="AD25" s="33">
        <v>22.1918947134481</v>
      </c>
      <c r="AE25" s="15">
        <v>2.7065491226629099E-5</v>
      </c>
      <c r="AF25" s="15">
        <v>8.75182632249191E-5</v>
      </c>
      <c r="AG25" s="15">
        <v>-1.47479132650965E-5</v>
      </c>
      <c r="AI25" s="12"/>
      <c r="AJ25">
        <f t="shared" si="6"/>
        <v>0</v>
      </c>
      <c r="AK25">
        <f t="shared" si="7"/>
        <v>1</v>
      </c>
      <c r="AL25">
        <f t="shared" si="14"/>
        <v>0</v>
      </c>
      <c r="AM25">
        <f t="shared" si="4"/>
        <v>1</v>
      </c>
      <c r="AN25">
        <f t="shared" si="15"/>
        <v>0</v>
      </c>
      <c r="AO25" s="28">
        <f t="shared" si="8"/>
        <v>0</v>
      </c>
      <c r="AP25" s="28">
        <f t="shared" si="9"/>
        <v>0</v>
      </c>
      <c r="AQ25" s="28">
        <f t="shared" si="16"/>
        <v>0</v>
      </c>
      <c r="AR25" s="29">
        <f t="shared" si="17"/>
        <v>0</v>
      </c>
      <c r="AT25" s="12"/>
      <c r="AU25">
        <f t="shared" si="10"/>
        <v>0</v>
      </c>
      <c r="AV25">
        <f t="shared" si="11"/>
        <v>1</v>
      </c>
      <c r="AW25">
        <f t="shared" si="18"/>
        <v>0</v>
      </c>
      <c r="AX25">
        <f t="shared" si="5"/>
        <v>1</v>
      </c>
      <c r="AY25">
        <f t="shared" si="19"/>
        <v>0</v>
      </c>
      <c r="AZ25" s="28">
        <f t="shared" si="12"/>
        <v>0</v>
      </c>
      <c r="BA25" s="28">
        <f t="shared" si="13"/>
        <v>0</v>
      </c>
      <c r="BB25" s="28">
        <f t="shared" si="20"/>
        <v>0</v>
      </c>
      <c r="BC25" s="29">
        <f t="shared" si="21"/>
        <v>0</v>
      </c>
      <c r="BE25" s="29">
        <f t="shared" si="22"/>
        <v>0</v>
      </c>
      <c r="BF25" s="29">
        <f t="shared" si="23"/>
        <v>0</v>
      </c>
      <c r="BH25" s="29"/>
      <c r="DL25" s="4"/>
      <c r="DM25" s="4"/>
      <c r="DN25" s="4"/>
      <c r="DO25" s="4"/>
      <c r="DP25" s="4"/>
      <c r="DR25" s="4"/>
      <c r="DS25" s="4"/>
      <c r="DT25" s="4"/>
    </row>
    <row r="26" spans="1:124" x14ac:dyDescent="0.25">
      <c r="A26" s="1">
        <v>46059</v>
      </c>
      <c r="B26" s="33">
        <v>16.93</v>
      </c>
      <c r="C26" s="33">
        <v>22.1</v>
      </c>
      <c r="D26" s="15">
        <v>-1.1806376814152901E-3</v>
      </c>
      <c r="E26" s="15">
        <v>-4.5238634564768098E-4</v>
      </c>
      <c r="F26" s="33">
        <v>0</v>
      </c>
      <c r="G26" s="33">
        <v>6.2350000000000003E-2</v>
      </c>
      <c r="H26" s="33">
        <v>0</v>
      </c>
      <c r="I26" s="33">
        <v>8.2222000000000003E-2</v>
      </c>
      <c r="J26" s="33">
        <v>6.2350000000000003E-2</v>
      </c>
      <c r="K26" s="33">
        <v>8.2222000000000003E-2</v>
      </c>
      <c r="L26" s="33">
        <v>16.992349999999998</v>
      </c>
      <c r="M26" s="33">
        <v>22.182221999999999</v>
      </c>
      <c r="N26" s="34">
        <v>1.30537507383343</v>
      </c>
      <c r="O26" s="34">
        <v>1.3062602516891499</v>
      </c>
      <c r="P26" s="34">
        <v>1.30708422222985</v>
      </c>
      <c r="Q26" s="34">
        <v>1.3066807286809801</v>
      </c>
      <c r="R26" s="33">
        <v>22.114986061097301</v>
      </c>
      <c r="S26" s="33">
        <v>22.1357924324404</v>
      </c>
      <c r="T26" s="33">
        <v>22.121409290087701</v>
      </c>
      <c r="U26" s="15">
        <v>6.7787250460692899E-4</v>
      </c>
      <c r="V26" s="15">
        <v>1.61825699431215E-3</v>
      </c>
      <c r="W26" s="15">
        <v>9.6827722608391095E-4</v>
      </c>
      <c r="X26" s="34">
        <v>1.3054240290483601</v>
      </c>
      <c r="Y26" s="34">
        <v>1.3045124660331</v>
      </c>
      <c r="Z26" s="34">
        <v>1.3047018783276501</v>
      </c>
      <c r="AA26" s="34">
        <v>1.3045245961665599</v>
      </c>
      <c r="AB26" s="33">
        <v>22.166732402197599</v>
      </c>
      <c r="AC26" s="33">
        <v>22.168556382111898</v>
      </c>
      <c r="AD26" s="33">
        <v>22.166198920783799</v>
      </c>
      <c r="AE26" s="15">
        <v>-6.9853274518108597E-4</v>
      </c>
      <c r="AF26" s="15">
        <v>-6.16251566218383E-4</v>
      </c>
      <c r="AG26" s="15">
        <v>-7.2259979411781999E-4</v>
      </c>
      <c r="AI26" s="12"/>
      <c r="AJ26">
        <f t="shared" si="6"/>
        <v>0</v>
      </c>
      <c r="AK26">
        <f t="shared" si="7"/>
        <v>0</v>
      </c>
      <c r="AL26">
        <f t="shared" si="14"/>
        <v>0</v>
      </c>
      <c r="AM26">
        <f t="shared" si="4"/>
        <v>1</v>
      </c>
      <c r="AN26">
        <f t="shared" si="15"/>
        <v>0</v>
      </c>
      <c r="AO26" s="28">
        <f t="shared" si="8"/>
        <v>0</v>
      </c>
      <c r="AP26" s="28">
        <f t="shared" si="9"/>
        <v>0</v>
      </c>
      <c r="AQ26" s="28">
        <f t="shared" si="16"/>
        <v>0</v>
      </c>
      <c r="AR26" s="29">
        <f t="shared" si="17"/>
        <v>0</v>
      </c>
      <c r="AT26" s="12"/>
      <c r="AU26">
        <f t="shared" si="10"/>
        <v>0</v>
      </c>
      <c r="AV26">
        <f t="shared" si="11"/>
        <v>1</v>
      </c>
      <c r="AW26">
        <f t="shared" si="18"/>
        <v>0</v>
      </c>
      <c r="AX26">
        <f t="shared" si="5"/>
        <v>1</v>
      </c>
      <c r="AY26">
        <f t="shared" si="19"/>
        <v>0</v>
      </c>
      <c r="AZ26" s="28">
        <f t="shared" si="12"/>
        <v>0</v>
      </c>
      <c r="BA26" s="28">
        <f t="shared" si="13"/>
        <v>0</v>
      </c>
      <c r="BB26" s="28">
        <f t="shared" si="20"/>
        <v>0</v>
      </c>
      <c r="BC26" s="29">
        <f t="shared" si="21"/>
        <v>0</v>
      </c>
      <c r="BE26" s="29">
        <f t="shared" si="22"/>
        <v>0</v>
      </c>
      <c r="BF26" s="29">
        <f t="shared" si="23"/>
        <v>0</v>
      </c>
      <c r="BH26" s="29"/>
      <c r="DL26" s="4"/>
      <c r="DM26" s="10"/>
      <c r="DN26" s="10"/>
      <c r="DO26" s="10"/>
      <c r="DP26" s="10"/>
      <c r="DR26" s="10"/>
      <c r="DS26" s="10"/>
      <c r="DT26" s="10"/>
    </row>
    <row r="27" spans="1:124" x14ac:dyDescent="0.25">
      <c r="A27" s="1">
        <v>46062</v>
      </c>
      <c r="B27" s="33">
        <v>16.96</v>
      </c>
      <c r="C27" s="33">
        <v>22.11</v>
      </c>
      <c r="D27" s="15">
        <v>1.7704342187131899E-3</v>
      </c>
      <c r="E27" s="15">
        <v>4.5238634564779298E-4</v>
      </c>
      <c r="F27" s="33">
        <v>0</v>
      </c>
      <c r="G27" s="33">
        <v>6.2350000000000003E-2</v>
      </c>
      <c r="H27" s="33">
        <v>0</v>
      </c>
      <c r="I27" s="33">
        <v>8.2222000000000003E-2</v>
      </c>
      <c r="J27" s="33">
        <v>6.2350000000000003E-2</v>
      </c>
      <c r="K27" s="33">
        <v>8.2222000000000003E-2</v>
      </c>
      <c r="L27" s="33">
        <v>17.022349999999999</v>
      </c>
      <c r="M27" s="33">
        <v>22.192222000000001</v>
      </c>
      <c r="N27" s="34">
        <v>1.3036556603773499</v>
      </c>
      <c r="O27" s="34">
        <v>1.3062602516891499</v>
      </c>
      <c r="P27" s="34">
        <v>1.3064480099629101</v>
      </c>
      <c r="Q27" s="34">
        <v>1.30664483557692</v>
      </c>
      <c r="R27" s="33">
        <v>22.154173868648002</v>
      </c>
      <c r="S27" s="33">
        <v>22.168148409018301</v>
      </c>
      <c r="T27" s="33">
        <v>22.161305158429499</v>
      </c>
      <c r="U27" s="15">
        <v>1.99592037767236E-3</v>
      </c>
      <c r="V27" s="15">
        <v>2.62650740990802E-3</v>
      </c>
      <c r="W27" s="15">
        <v>2.3177623164107402E-3</v>
      </c>
      <c r="X27" s="34">
        <v>1.3037108272359501</v>
      </c>
      <c r="Y27" s="34">
        <v>1.3045124660331</v>
      </c>
      <c r="Z27" s="34">
        <v>1.30455357065358</v>
      </c>
      <c r="AA27" s="34">
        <v>1.3044914614054199</v>
      </c>
      <c r="AB27" s="33">
        <v>22.2058677761786</v>
      </c>
      <c r="AC27" s="33">
        <v>22.209092018550798</v>
      </c>
      <c r="AD27" s="33">
        <v>22.206074259555798</v>
      </c>
      <c r="AE27" s="15">
        <v>6.1470106831491497E-4</v>
      </c>
      <c r="AF27" s="15">
        <v>7.5988829319511403E-4</v>
      </c>
      <c r="AG27" s="15">
        <v>6.2399962036136295E-4</v>
      </c>
      <c r="AI27" s="12"/>
      <c r="AJ27">
        <f t="shared" si="6"/>
        <v>0</v>
      </c>
      <c r="AK27">
        <f t="shared" si="7"/>
        <v>1</v>
      </c>
      <c r="AL27">
        <f t="shared" si="14"/>
        <v>0</v>
      </c>
      <c r="AM27">
        <f t="shared" si="4"/>
        <v>1</v>
      </c>
      <c r="AN27">
        <f t="shared" si="15"/>
        <v>0</v>
      </c>
      <c r="AO27" s="28">
        <f t="shared" si="8"/>
        <v>0</v>
      </c>
      <c r="AP27" s="28">
        <f t="shared" si="9"/>
        <v>0</v>
      </c>
      <c r="AQ27" s="28">
        <f t="shared" si="16"/>
        <v>0</v>
      </c>
      <c r="AR27" s="29">
        <f t="shared" si="17"/>
        <v>0</v>
      </c>
      <c r="AT27" s="12"/>
      <c r="AU27">
        <f t="shared" si="10"/>
        <v>0</v>
      </c>
      <c r="AV27">
        <f t="shared" si="11"/>
        <v>0</v>
      </c>
      <c r="AW27">
        <f t="shared" si="18"/>
        <v>0</v>
      </c>
      <c r="AX27">
        <f t="shared" si="5"/>
        <v>1</v>
      </c>
      <c r="AY27">
        <f t="shared" si="19"/>
        <v>0</v>
      </c>
      <c r="AZ27" s="28">
        <f t="shared" si="12"/>
        <v>0</v>
      </c>
      <c r="BA27" s="28">
        <f t="shared" si="13"/>
        <v>0</v>
      </c>
      <c r="BB27" s="28">
        <f t="shared" si="20"/>
        <v>0</v>
      </c>
      <c r="BC27" s="29">
        <f t="shared" si="21"/>
        <v>0</v>
      </c>
      <c r="BE27" s="29">
        <f t="shared" si="22"/>
        <v>0</v>
      </c>
      <c r="BF27" s="29">
        <f t="shared" si="23"/>
        <v>0</v>
      </c>
      <c r="BH27" s="29"/>
      <c r="DL27" s="4"/>
      <c r="DM27" s="10"/>
      <c r="DN27" s="10"/>
      <c r="DO27" s="10"/>
      <c r="DP27" s="10"/>
      <c r="DR27" s="10"/>
      <c r="DS27" s="10"/>
      <c r="DT27" s="10"/>
    </row>
    <row r="28" spans="1:124" x14ac:dyDescent="0.25">
      <c r="A28" s="1">
        <v>46063</v>
      </c>
      <c r="B28" s="33">
        <v>16.96</v>
      </c>
      <c r="C28" s="33">
        <v>22.12</v>
      </c>
      <c r="D28" s="15">
        <v>0</v>
      </c>
      <c r="E28" s="15">
        <v>4.5218178477923098E-4</v>
      </c>
      <c r="F28" s="33">
        <v>0</v>
      </c>
      <c r="G28" s="33">
        <v>6.2350000000000003E-2</v>
      </c>
      <c r="H28" s="33">
        <v>0</v>
      </c>
      <c r="I28" s="33">
        <v>8.2222000000000003E-2</v>
      </c>
      <c r="J28" s="33">
        <v>6.2350000000000003E-2</v>
      </c>
      <c r="K28" s="33">
        <v>8.2222000000000003E-2</v>
      </c>
      <c r="L28" s="33">
        <v>17.022349999999999</v>
      </c>
      <c r="M28" s="33">
        <v>22.202221999999999</v>
      </c>
      <c r="N28" s="34">
        <v>1.30424528301886</v>
      </c>
      <c r="O28" s="34">
        <v>1.3062602516891499</v>
      </c>
      <c r="P28" s="34">
        <v>1.30582988423636</v>
      </c>
      <c r="Q28" s="34">
        <v>1.30662942379646</v>
      </c>
      <c r="R28" s="33">
        <v>22.154173868648002</v>
      </c>
      <c r="S28" s="33">
        <v>22.157358248970901</v>
      </c>
      <c r="T28" s="33">
        <v>22.160696411384599</v>
      </c>
      <c r="U28" s="15">
        <v>1.54373859289331E-3</v>
      </c>
      <c r="V28" s="15">
        <v>1.68746552700026E-3</v>
      </c>
      <c r="W28" s="15">
        <v>1.8381112376739601E-3</v>
      </c>
      <c r="X28" s="34">
        <v>1.3042982901890701</v>
      </c>
      <c r="Y28" s="34">
        <v>1.3045124660331</v>
      </c>
      <c r="Z28" s="34">
        <v>1.3044229992557801</v>
      </c>
      <c r="AA28" s="34">
        <v>1.3044786999834701</v>
      </c>
      <c r="AB28" s="33">
        <v>22.2058677761786</v>
      </c>
      <c r="AC28" s="33">
        <v>22.206567473414999</v>
      </c>
      <c r="AD28" s="33">
        <v>22.2055102280546</v>
      </c>
      <c r="AE28" s="15">
        <v>1.64194236012581E-4</v>
      </c>
      <c r="AF28" s="15">
        <v>1.9570330470273099E-4</v>
      </c>
      <c r="AG28" s="15">
        <v>1.48092590893381E-4</v>
      </c>
      <c r="AI28" s="12"/>
      <c r="AJ28">
        <f t="shared" si="6"/>
        <v>0</v>
      </c>
      <c r="AK28">
        <f t="shared" si="7"/>
        <v>1</v>
      </c>
      <c r="AL28">
        <f t="shared" si="14"/>
        <v>0</v>
      </c>
      <c r="AM28">
        <f t="shared" si="4"/>
        <v>1</v>
      </c>
      <c r="AN28">
        <f t="shared" si="15"/>
        <v>0</v>
      </c>
      <c r="AO28" s="28">
        <f t="shared" si="8"/>
        <v>0</v>
      </c>
      <c r="AP28" s="28">
        <f t="shared" si="9"/>
        <v>0</v>
      </c>
      <c r="AQ28" s="28">
        <f t="shared" si="16"/>
        <v>0</v>
      </c>
      <c r="AR28" s="29">
        <f t="shared" si="17"/>
        <v>0</v>
      </c>
      <c r="AT28" s="12"/>
      <c r="AU28">
        <f t="shared" si="10"/>
        <v>0</v>
      </c>
      <c r="AV28">
        <f t="shared" si="11"/>
        <v>1</v>
      </c>
      <c r="AW28">
        <f t="shared" si="18"/>
        <v>0</v>
      </c>
      <c r="AX28">
        <f t="shared" si="5"/>
        <v>1</v>
      </c>
      <c r="AY28">
        <f t="shared" si="19"/>
        <v>0</v>
      </c>
      <c r="AZ28" s="28">
        <f t="shared" si="12"/>
        <v>0</v>
      </c>
      <c r="BA28" s="28">
        <f t="shared" si="13"/>
        <v>0</v>
      </c>
      <c r="BB28" s="28">
        <f t="shared" si="20"/>
        <v>0</v>
      </c>
      <c r="BC28" s="29">
        <f t="shared" si="21"/>
        <v>0</v>
      </c>
      <c r="BE28" s="29">
        <f t="shared" si="22"/>
        <v>0</v>
      </c>
      <c r="BF28" s="29">
        <f t="shared" si="23"/>
        <v>0</v>
      </c>
      <c r="BH28" s="29"/>
      <c r="DL28" s="4"/>
      <c r="DM28" s="10"/>
      <c r="DN28" s="10"/>
      <c r="DO28" s="10"/>
      <c r="DP28" s="11"/>
      <c r="DR28" s="10"/>
      <c r="DS28" s="10"/>
      <c r="DT28" s="10"/>
    </row>
    <row r="29" spans="1:124" x14ac:dyDescent="0.25">
      <c r="A29" s="1">
        <v>46064</v>
      </c>
      <c r="B29" s="33">
        <v>16.95</v>
      </c>
      <c r="C29" s="33">
        <v>22.12</v>
      </c>
      <c r="D29" s="15">
        <v>-5.8979653729783596E-4</v>
      </c>
      <c r="E29" s="15">
        <v>0</v>
      </c>
      <c r="F29" s="33">
        <v>0</v>
      </c>
      <c r="G29" s="33">
        <v>6.2350000000000003E-2</v>
      </c>
      <c r="H29" s="33">
        <v>0</v>
      </c>
      <c r="I29" s="33">
        <v>8.2222000000000003E-2</v>
      </c>
      <c r="J29" s="33">
        <v>6.2350000000000003E-2</v>
      </c>
      <c r="K29" s="33">
        <v>8.2222000000000003E-2</v>
      </c>
      <c r="L29" s="33">
        <v>17.012349999999898</v>
      </c>
      <c r="M29" s="33">
        <v>22.202221999999999</v>
      </c>
      <c r="N29" s="34">
        <v>1.3050147492625299</v>
      </c>
      <c r="O29" s="34">
        <v>1.3062602516891499</v>
      </c>
      <c r="P29" s="34">
        <v>1.3054071885465</v>
      </c>
      <c r="Q29" s="34">
        <v>1.30667945287706</v>
      </c>
      <c r="R29" s="33">
        <v>22.141111266131102</v>
      </c>
      <c r="S29" s="33">
        <v>22.1338165378063</v>
      </c>
      <c r="T29" s="33">
        <v>22.147368733350099</v>
      </c>
      <c r="U29" s="15">
        <v>9.5394205559550102E-4</v>
      </c>
      <c r="V29" s="15">
        <v>6.2442244923413396E-4</v>
      </c>
      <c r="W29" s="15">
        <v>1.23651970380965E-3</v>
      </c>
      <c r="X29" s="34">
        <v>1.3050649675088899</v>
      </c>
      <c r="Y29" s="34">
        <v>1.3045124660331</v>
      </c>
      <c r="Z29" s="34">
        <v>1.3044871429682801</v>
      </c>
      <c r="AA29" s="34">
        <v>1.30453123997639</v>
      </c>
      <c r="AB29" s="33">
        <v>22.192822651518199</v>
      </c>
      <c r="AC29" s="33">
        <v>22.191300611389099</v>
      </c>
      <c r="AD29" s="33">
        <v>22.192248211663902</v>
      </c>
      <c r="AE29" s="15">
        <v>-4.2344134107577102E-4</v>
      </c>
      <c r="AF29" s="15">
        <v>-4.9202623215110304E-4</v>
      </c>
      <c r="AG29" s="15">
        <v>-4.4932571359959601E-4</v>
      </c>
      <c r="AI29" s="12"/>
      <c r="AJ29">
        <f t="shared" si="6"/>
        <v>0</v>
      </c>
      <c r="AK29">
        <f t="shared" si="7"/>
        <v>0</v>
      </c>
      <c r="AL29">
        <f t="shared" si="14"/>
        <v>0</v>
      </c>
      <c r="AM29">
        <f t="shared" si="4"/>
        <v>1</v>
      </c>
      <c r="AN29">
        <f t="shared" si="15"/>
        <v>0</v>
      </c>
      <c r="AO29" s="28">
        <f t="shared" si="8"/>
        <v>0</v>
      </c>
      <c r="AP29" s="28">
        <f t="shared" si="9"/>
        <v>0</v>
      </c>
      <c r="AQ29" s="28">
        <f t="shared" si="16"/>
        <v>0</v>
      </c>
      <c r="AR29" s="29">
        <f t="shared" si="17"/>
        <v>0</v>
      </c>
      <c r="AT29" s="12"/>
      <c r="AU29">
        <f t="shared" si="10"/>
        <v>0</v>
      </c>
      <c r="AV29">
        <f t="shared" si="11"/>
        <v>1</v>
      </c>
      <c r="AW29">
        <f t="shared" si="18"/>
        <v>0</v>
      </c>
      <c r="AX29">
        <f t="shared" si="5"/>
        <v>1</v>
      </c>
      <c r="AY29">
        <f t="shared" si="19"/>
        <v>0</v>
      </c>
      <c r="AZ29" s="28">
        <f t="shared" si="12"/>
        <v>0</v>
      </c>
      <c r="BA29" s="28">
        <f t="shared" si="13"/>
        <v>0</v>
      </c>
      <c r="BB29" s="28">
        <f t="shared" si="20"/>
        <v>0</v>
      </c>
      <c r="BC29" s="29">
        <f t="shared" si="21"/>
        <v>0</v>
      </c>
      <c r="BE29" s="29">
        <f t="shared" si="22"/>
        <v>0</v>
      </c>
      <c r="BF29" s="29">
        <f t="shared" si="23"/>
        <v>0</v>
      </c>
      <c r="BH29" s="29"/>
      <c r="DL29" s="4"/>
      <c r="DM29" s="10"/>
      <c r="DN29" s="10"/>
      <c r="DO29" s="10"/>
      <c r="DP29" s="10"/>
      <c r="DR29" s="10"/>
      <c r="DS29" s="10"/>
      <c r="DT29" s="10"/>
    </row>
    <row r="30" spans="1:124" x14ac:dyDescent="0.25">
      <c r="A30" s="1">
        <v>46065</v>
      </c>
      <c r="B30" s="33">
        <v>16.98</v>
      </c>
      <c r="C30" s="33">
        <v>22.16</v>
      </c>
      <c r="D30" s="15">
        <v>1.7683470567419399E-3</v>
      </c>
      <c r="E30" s="15">
        <v>1.80668522494905E-3</v>
      </c>
      <c r="F30" s="33">
        <v>0</v>
      </c>
      <c r="G30" s="33">
        <v>6.2350000000000003E-2</v>
      </c>
      <c r="H30" s="33">
        <v>0</v>
      </c>
      <c r="I30" s="33">
        <v>8.2222000000000003E-2</v>
      </c>
      <c r="J30" s="33">
        <v>6.2350000000000003E-2</v>
      </c>
      <c r="K30" s="33">
        <v>8.2222000000000003E-2</v>
      </c>
      <c r="L30" s="33">
        <v>17.042349999999999</v>
      </c>
      <c r="M30" s="33">
        <v>22.242222000000002</v>
      </c>
      <c r="N30" s="34">
        <v>1.3050647820965799</v>
      </c>
      <c r="O30" s="34">
        <v>1.3062602516891499</v>
      </c>
      <c r="P30" s="34">
        <v>1.30496692119402</v>
      </c>
      <c r="Q30" s="34">
        <v>1.3067204278309501</v>
      </c>
      <c r="R30" s="33">
        <v>22.180299073681802</v>
      </c>
      <c r="S30" s="33">
        <v>22.165814061519502</v>
      </c>
      <c r="T30" s="33">
        <v>22.1874171098525</v>
      </c>
      <c r="U30" s="15">
        <v>9.1560388738855898E-4</v>
      </c>
      <c r="V30" s="15">
        <v>2.62332984786628E-4</v>
      </c>
      <c r="W30" s="15">
        <v>1.2364694556056201E-3</v>
      </c>
      <c r="X30" s="34">
        <v>1.3051147288959499</v>
      </c>
      <c r="Y30" s="34">
        <v>1.3045124660331</v>
      </c>
      <c r="Z30" s="34">
        <v>1.30453320275179</v>
      </c>
      <c r="AA30" s="34">
        <v>1.30457471227025</v>
      </c>
      <c r="AB30" s="33">
        <v>22.2319580254992</v>
      </c>
      <c r="AC30" s="33">
        <v>22.231526460965501</v>
      </c>
      <c r="AD30" s="33">
        <v>22.232277977611702</v>
      </c>
      <c r="AE30" s="15">
        <v>-4.6157004702871698E-4</v>
      </c>
      <c r="AF30" s="15">
        <v>-4.8098213489168498E-4</v>
      </c>
      <c r="AG30" s="15">
        <v>-4.4717861061760699E-4</v>
      </c>
      <c r="AI30" s="12"/>
      <c r="AJ30">
        <f t="shared" si="6"/>
        <v>0</v>
      </c>
      <c r="AK30">
        <f t="shared" si="7"/>
        <v>0</v>
      </c>
      <c r="AL30">
        <f t="shared" si="14"/>
        <v>0</v>
      </c>
      <c r="AM30">
        <f t="shared" si="4"/>
        <v>1</v>
      </c>
      <c r="AN30">
        <f t="shared" si="15"/>
        <v>0</v>
      </c>
      <c r="AO30" s="28">
        <f t="shared" si="8"/>
        <v>0</v>
      </c>
      <c r="AP30" s="28">
        <f t="shared" si="9"/>
        <v>0</v>
      </c>
      <c r="AQ30" s="28">
        <f t="shared" si="16"/>
        <v>0</v>
      </c>
      <c r="AR30" s="29">
        <f t="shared" si="17"/>
        <v>0</v>
      </c>
      <c r="AT30" s="12"/>
      <c r="AU30">
        <f t="shared" si="10"/>
        <v>0</v>
      </c>
      <c r="AV30">
        <f t="shared" si="11"/>
        <v>1</v>
      </c>
      <c r="AW30">
        <f t="shared" si="18"/>
        <v>0</v>
      </c>
      <c r="AX30">
        <f t="shared" si="5"/>
        <v>1</v>
      </c>
      <c r="AY30">
        <f t="shared" si="19"/>
        <v>0</v>
      </c>
      <c r="AZ30" s="28">
        <f t="shared" si="12"/>
        <v>0</v>
      </c>
      <c r="BA30" s="28">
        <f t="shared" si="13"/>
        <v>0</v>
      </c>
      <c r="BB30" s="28">
        <f t="shared" si="20"/>
        <v>0</v>
      </c>
      <c r="BC30" s="29">
        <f t="shared" si="21"/>
        <v>0</v>
      </c>
      <c r="BE30" s="29">
        <f t="shared" si="22"/>
        <v>0</v>
      </c>
      <c r="BF30" s="29">
        <f t="shared" si="23"/>
        <v>0</v>
      </c>
      <c r="BH30" s="29"/>
      <c r="DL30" s="4"/>
      <c r="DM30" s="10"/>
      <c r="DN30" s="10"/>
      <c r="DO30" s="10"/>
      <c r="DP30" s="10"/>
      <c r="DR30" s="10"/>
      <c r="DS30" s="10"/>
      <c r="DT30" s="10"/>
    </row>
    <row r="31" spans="1:124" x14ac:dyDescent="0.25">
      <c r="A31" s="1">
        <v>46066</v>
      </c>
      <c r="B31" s="33">
        <v>17.02</v>
      </c>
      <c r="C31" s="33">
        <v>22.21</v>
      </c>
      <c r="D31" s="15">
        <v>2.3529422620268301E-3</v>
      </c>
      <c r="E31" s="15">
        <v>2.25377602725304E-3</v>
      </c>
      <c r="F31" s="33">
        <v>0</v>
      </c>
      <c r="G31" s="33">
        <v>6.2350000000000003E-2</v>
      </c>
      <c r="H31" s="33">
        <v>0</v>
      </c>
      <c r="I31" s="33">
        <v>8.2222000000000003E-2</v>
      </c>
      <c r="J31" s="33">
        <v>6.2350000000000003E-2</v>
      </c>
      <c r="K31" s="33">
        <v>8.2222000000000003E-2</v>
      </c>
      <c r="L31" s="33">
        <v>17.082349999999899</v>
      </c>
      <c r="M31" s="33">
        <v>22.292221999999999</v>
      </c>
      <c r="N31" s="34">
        <v>1.30493537015276</v>
      </c>
      <c r="O31" s="34">
        <v>1.3062602516891499</v>
      </c>
      <c r="P31" s="34">
        <v>1.3046093943795101</v>
      </c>
      <c r="Q31" s="34">
        <v>1.30672797601963</v>
      </c>
      <c r="R31" s="33">
        <v>22.232549483749299</v>
      </c>
      <c r="S31" s="33">
        <v>22.210536998722301</v>
      </c>
      <c r="T31" s="33">
        <v>22.240381681682798</v>
      </c>
      <c r="U31" s="15">
        <v>1.0147701221622999E-3</v>
      </c>
      <c r="V31" s="15">
        <v>2.4177948250294501E-5</v>
      </c>
      <c r="W31" s="15">
        <v>1.3669932749507099E-3</v>
      </c>
      <c r="X31" s="34">
        <v>1.30498567234601</v>
      </c>
      <c r="Y31" s="34">
        <v>1.3045124660331</v>
      </c>
      <c r="Z31" s="34">
        <v>1.3046611204590901</v>
      </c>
      <c r="AA31" s="34">
        <v>1.30458477556859</v>
      </c>
      <c r="AB31" s="33">
        <v>22.284138524140499</v>
      </c>
      <c r="AC31" s="33">
        <v>22.284492756026999</v>
      </c>
      <c r="AD31" s="33">
        <v>22.2852018361497</v>
      </c>
      <c r="AE31" s="15">
        <v>-3.6267994304503998E-4</v>
      </c>
      <c r="AF31" s="15">
        <v>-3.4678392486674198E-4</v>
      </c>
      <c r="AG31" s="15">
        <v>-3.1496498918864998E-4</v>
      </c>
      <c r="AI31" s="12"/>
      <c r="AJ31">
        <f t="shared" si="6"/>
        <v>0</v>
      </c>
      <c r="AK31">
        <f t="shared" si="7"/>
        <v>0</v>
      </c>
      <c r="AL31">
        <f t="shared" si="14"/>
        <v>0</v>
      </c>
      <c r="AM31">
        <f t="shared" si="4"/>
        <v>1</v>
      </c>
      <c r="AN31">
        <f t="shared" si="15"/>
        <v>0</v>
      </c>
      <c r="AO31" s="28">
        <f t="shared" si="8"/>
        <v>0</v>
      </c>
      <c r="AP31" s="28">
        <f t="shared" si="9"/>
        <v>0</v>
      </c>
      <c r="AQ31" s="28">
        <f t="shared" si="16"/>
        <v>0</v>
      </c>
      <c r="AR31" s="29">
        <f t="shared" si="17"/>
        <v>0</v>
      </c>
      <c r="AT31" s="12"/>
      <c r="AU31">
        <f t="shared" si="10"/>
        <v>0</v>
      </c>
      <c r="AV31">
        <f t="shared" si="11"/>
        <v>1</v>
      </c>
      <c r="AW31">
        <f t="shared" si="18"/>
        <v>0</v>
      </c>
      <c r="AX31">
        <f t="shared" si="5"/>
        <v>1</v>
      </c>
      <c r="AY31">
        <f t="shared" si="19"/>
        <v>0</v>
      </c>
      <c r="AZ31" s="28">
        <f t="shared" si="12"/>
        <v>0</v>
      </c>
      <c r="BA31" s="28">
        <f t="shared" si="13"/>
        <v>0</v>
      </c>
      <c r="BB31" s="28">
        <f t="shared" si="20"/>
        <v>0</v>
      </c>
      <c r="BC31" s="29">
        <f t="shared" si="21"/>
        <v>0</v>
      </c>
      <c r="BE31" s="29">
        <f t="shared" si="22"/>
        <v>0</v>
      </c>
      <c r="BF31" s="29">
        <f t="shared" si="23"/>
        <v>0</v>
      </c>
      <c r="BH31" s="29"/>
      <c r="DL31" s="4"/>
      <c r="DM31" s="10"/>
      <c r="DN31" s="10"/>
      <c r="DO31" s="10"/>
      <c r="DP31" s="10"/>
      <c r="DR31" s="10"/>
      <c r="DS31" s="10"/>
      <c r="DT31" s="10"/>
    </row>
    <row r="32" spans="1:124" x14ac:dyDescent="0.25">
      <c r="A32" s="1">
        <v>46070</v>
      </c>
      <c r="B32" s="33">
        <v>17.02</v>
      </c>
      <c r="C32" s="33">
        <v>22.22</v>
      </c>
      <c r="D32" s="15">
        <v>0</v>
      </c>
      <c r="E32" s="15">
        <v>4.5014630514778102E-4</v>
      </c>
      <c r="F32" s="33">
        <v>0</v>
      </c>
      <c r="G32" s="33">
        <v>6.2350000000000003E-2</v>
      </c>
      <c r="H32" s="33">
        <v>0</v>
      </c>
      <c r="I32" s="33">
        <v>8.2222000000000003E-2</v>
      </c>
      <c r="J32" s="33">
        <v>6.2350000000000003E-2</v>
      </c>
      <c r="K32" s="33">
        <v>8.2222000000000003E-2</v>
      </c>
      <c r="L32" s="33">
        <v>17.082349999999899</v>
      </c>
      <c r="M32" s="33">
        <v>22.302222</v>
      </c>
      <c r="N32" s="34">
        <v>1.30552291421856</v>
      </c>
      <c r="O32" s="34">
        <v>1.3062602516891499</v>
      </c>
      <c r="P32" s="34">
        <v>1.3047474846179401</v>
      </c>
      <c r="Q32" s="34">
        <v>1.30678544560762</v>
      </c>
      <c r="R32" s="33">
        <v>22.232549483749299</v>
      </c>
      <c r="S32" s="33">
        <v>22.2044518923393</v>
      </c>
      <c r="T32" s="33">
        <v>22.2405101518541</v>
      </c>
      <c r="U32" s="15">
        <v>5.6462381701438496E-4</v>
      </c>
      <c r="V32" s="15">
        <v>-6.9997974688026997E-4</v>
      </c>
      <c r="W32" s="15">
        <v>9.2262339046349695E-4</v>
      </c>
      <c r="X32" s="34">
        <v>1.30557107189584</v>
      </c>
      <c r="Y32" s="34">
        <v>1.3045124660331</v>
      </c>
      <c r="Z32" s="34">
        <v>1.30479866903798</v>
      </c>
      <c r="AA32" s="34">
        <v>1.3046446530404501</v>
      </c>
      <c r="AB32" s="33">
        <v>22.284138524140499</v>
      </c>
      <c r="AC32" s="33">
        <v>22.286677891074302</v>
      </c>
      <c r="AD32" s="33">
        <v>22.285373740934102</v>
      </c>
      <c r="AE32" s="15">
        <v>-8.1116631357202901E-4</v>
      </c>
      <c r="AF32" s="15">
        <v>-6.9721879630605505E-4</v>
      </c>
      <c r="AG32" s="15">
        <v>-7.5573753586753896E-4</v>
      </c>
      <c r="AI32" s="12"/>
      <c r="AJ32">
        <f t="shared" si="6"/>
        <v>0</v>
      </c>
      <c r="AK32">
        <f t="shared" si="7"/>
        <v>0</v>
      </c>
      <c r="AL32">
        <f t="shared" si="14"/>
        <v>0</v>
      </c>
      <c r="AM32">
        <f t="shared" si="4"/>
        <v>1</v>
      </c>
      <c r="AN32">
        <f t="shared" si="15"/>
        <v>0</v>
      </c>
      <c r="AO32" s="28">
        <f t="shared" si="8"/>
        <v>0</v>
      </c>
      <c r="AP32" s="28">
        <f t="shared" si="9"/>
        <v>0</v>
      </c>
      <c r="AQ32" s="28">
        <f t="shared" si="16"/>
        <v>0</v>
      </c>
      <c r="AR32" s="29">
        <f t="shared" si="17"/>
        <v>0</v>
      </c>
      <c r="AT32" s="12"/>
      <c r="AU32">
        <f t="shared" si="10"/>
        <v>0</v>
      </c>
      <c r="AV32">
        <f t="shared" si="11"/>
        <v>1</v>
      </c>
      <c r="AW32">
        <f t="shared" si="18"/>
        <v>0</v>
      </c>
      <c r="AX32">
        <f t="shared" si="5"/>
        <v>1</v>
      </c>
      <c r="AY32">
        <f t="shared" si="19"/>
        <v>0</v>
      </c>
      <c r="AZ32" s="28">
        <f t="shared" si="12"/>
        <v>0</v>
      </c>
      <c r="BA32" s="28">
        <f t="shared" si="13"/>
        <v>0</v>
      </c>
      <c r="BB32" s="28">
        <f t="shared" si="20"/>
        <v>0</v>
      </c>
      <c r="BC32" s="29">
        <f t="shared" si="21"/>
        <v>0</v>
      </c>
      <c r="BE32" s="29">
        <f t="shared" si="22"/>
        <v>0</v>
      </c>
      <c r="BF32" s="29">
        <f t="shared" si="23"/>
        <v>0</v>
      </c>
      <c r="BH32" s="29"/>
      <c r="DL32" s="4"/>
      <c r="DM32" s="10"/>
      <c r="DN32" s="10"/>
      <c r="DO32" s="10"/>
      <c r="DP32" s="10"/>
      <c r="DR32" s="10"/>
      <c r="DS32" s="10"/>
      <c r="DT32" s="10"/>
    </row>
    <row r="33" spans="1:124" x14ac:dyDescent="0.25">
      <c r="A33" s="1">
        <v>46071</v>
      </c>
      <c r="B33" s="33">
        <v>17.02</v>
      </c>
      <c r="C33" s="33">
        <v>22.19</v>
      </c>
      <c r="D33" s="15">
        <v>0</v>
      </c>
      <c r="E33" s="15">
        <v>-1.35104726698126E-3</v>
      </c>
      <c r="F33" s="33">
        <v>0</v>
      </c>
      <c r="G33" s="33">
        <v>6.2350000000000003E-2</v>
      </c>
      <c r="H33" s="33">
        <v>0</v>
      </c>
      <c r="I33" s="33">
        <v>8.2222000000000003E-2</v>
      </c>
      <c r="J33" s="33">
        <v>6.2350000000000003E-2</v>
      </c>
      <c r="K33" s="33">
        <v>8.2222000000000003E-2</v>
      </c>
      <c r="L33" s="33">
        <v>17.082349999999899</v>
      </c>
      <c r="M33" s="33">
        <v>22.272221999999999</v>
      </c>
      <c r="N33" s="34">
        <v>1.30376028202115</v>
      </c>
      <c r="O33" s="34">
        <v>1.3062602516891499</v>
      </c>
      <c r="P33" s="34">
        <v>1.30469130441271</v>
      </c>
      <c r="Q33" s="34">
        <v>1.30652485602478</v>
      </c>
      <c r="R33" s="33">
        <v>22.232549483749299</v>
      </c>
      <c r="S33" s="33">
        <v>22.206802188197301</v>
      </c>
      <c r="T33" s="33">
        <v>22.2414882842418</v>
      </c>
      <c r="U33" s="15">
        <v>1.9156710839958E-3</v>
      </c>
      <c r="V33" s="15">
        <v>7.5690987510061702E-4</v>
      </c>
      <c r="W33" s="15">
        <v>2.3176494543627E-3</v>
      </c>
      <c r="X33" s="34">
        <v>1.3038148732463599</v>
      </c>
      <c r="Y33" s="34">
        <v>1.3045124660331</v>
      </c>
      <c r="Z33" s="34">
        <v>1.30474265359752</v>
      </c>
      <c r="AA33" s="34">
        <v>1.3046283651174599</v>
      </c>
      <c r="AB33" s="33">
        <v>22.284138524140499</v>
      </c>
      <c r="AC33" s="33">
        <v>22.289027544041002</v>
      </c>
      <c r="AD33" s="33">
        <v>22.2863965888655</v>
      </c>
      <c r="AE33" s="15">
        <v>5.3489666950024602E-4</v>
      </c>
      <c r="AF33" s="15">
        <v>7.54267216910337E-4</v>
      </c>
      <c r="AG33" s="15">
        <v>6.3622211785765005E-4</v>
      </c>
      <c r="AI33" s="12"/>
      <c r="AJ33">
        <f t="shared" si="6"/>
        <v>0</v>
      </c>
      <c r="AK33">
        <f t="shared" si="7"/>
        <v>1</v>
      </c>
      <c r="AL33">
        <f t="shared" si="14"/>
        <v>0</v>
      </c>
      <c r="AM33">
        <f t="shared" si="4"/>
        <v>1</v>
      </c>
      <c r="AN33">
        <f t="shared" si="15"/>
        <v>0</v>
      </c>
      <c r="AO33" s="28">
        <f t="shared" si="8"/>
        <v>0</v>
      </c>
      <c r="AP33" s="28">
        <f t="shared" si="9"/>
        <v>0</v>
      </c>
      <c r="AQ33" s="28">
        <f t="shared" si="16"/>
        <v>0</v>
      </c>
      <c r="AR33" s="29">
        <f t="shared" si="17"/>
        <v>0</v>
      </c>
      <c r="AT33" s="12"/>
      <c r="AU33">
        <f t="shared" si="10"/>
        <v>0</v>
      </c>
      <c r="AV33">
        <f t="shared" si="11"/>
        <v>0</v>
      </c>
      <c r="AW33">
        <f t="shared" si="18"/>
        <v>0</v>
      </c>
      <c r="AX33">
        <f t="shared" si="5"/>
        <v>1</v>
      </c>
      <c r="AY33">
        <f t="shared" si="19"/>
        <v>0</v>
      </c>
      <c r="AZ33" s="28">
        <f t="shared" si="12"/>
        <v>0</v>
      </c>
      <c r="BA33" s="28">
        <f t="shared" si="13"/>
        <v>0</v>
      </c>
      <c r="BB33" s="28">
        <f t="shared" si="20"/>
        <v>0</v>
      </c>
      <c r="BC33" s="29">
        <f t="shared" si="21"/>
        <v>0</v>
      </c>
      <c r="BE33" s="29">
        <f t="shared" si="22"/>
        <v>0</v>
      </c>
      <c r="BF33" s="29">
        <f t="shared" si="23"/>
        <v>0</v>
      </c>
      <c r="BH33" s="29"/>
      <c r="DL33" s="4"/>
      <c r="DM33" s="10"/>
      <c r="DN33" s="10"/>
      <c r="DO33" s="10"/>
      <c r="DP33" s="10"/>
      <c r="DQ33" s="10"/>
      <c r="DR33" s="10"/>
      <c r="DS33" s="10"/>
      <c r="DT33" s="10"/>
    </row>
    <row r="34" spans="1:124" x14ac:dyDescent="0.25">
      <c r="A34" s="1">
        <v>46072</v>
      </c>
      <c r="B34" s="33">
        <v>17.02</v>
      </c>
      <c r="C34" s="33">
        <v>22.2</v>
      </c>
      <c r="D34" s="15">
        <v>0</v>
      </c>
      <c r="E34" s="15">
        <v>4.50551933731175E-4</v>
      </c>
      <c r="F34" s="33">
        <v>0</v>
      </c>
      <c r="G34" s="33">
        <v>6.2350000000000003E-2</v>
      </c>
      <c r="H34" s="33">
        <v>0</v>
      </c>
      <c r="I34" s="33">
        <v>8.2222000000000003E-2</v>
      </c>
      <c r="J34" s="33">
        <v>6.2350000000000003E-2</v>
      </c>
      <c r="K34" s="33">
        <v>8.2222000000000003E-2</v>
      </c>
      <c r="L34" s="33">
        <v>17.082349999999899</v>
      </c>
      <c r="M34" s="33">
        <v>22.282222000000001</v>
      </c>
      <c r="N34" s="34">
        <v>1.3043478260869501</v>
      </c>
      <c r="O34" s="34">
        <v>1.3062602516891499</v>
      </c>
      <c r="P34" s="34">
        <v>1.30463467198292</v>
      </c>
      <c r="Q34" s="34">
        <v>1.3062914762733799</v>
      </c>
      <c r="R34" s="33">
        <v>22.232549483749299</v>
      </c>
      <c r="S34" s="33">
        <v>22.205846001104401</v>
      </c>
      <c r="T34" s="33">
        <v>22.2370530495418</v>
      </c>
      <c r="U34" s="15">
        <v>1.4651191502645E-3</v>
      </c>
      <c r="V34" s="15">
        <v>2.6329871693297699E-4</v>
      </c>
      <c r="W34" s="15">
        <v>1.6676649591473899E-3</v>
      </c>
      <c r="X34" s="34">
        <v>1.3044002727961901</v>
      </c>
      <c r="Y34" s="34">
        <v>1.3045124660331</v>
      </c>
      <c r="Z34" s="34">
        <v>1.3046861892402799</v>
      </c>
      <c r="AA34" s="34">
        <v>1.3046387595258999</v>
      </c>
      <c r="AB34" s="33">
        <v>22.284138524140499</v>
      </c>
      <c r="AC34" s="33">
        <v>22.288070668681598</v>
      </c>
      <c r="AD34" s="33">
        <v>22.2861183528643</v>
      </c>
      <c r="AE34" s="15">
        <v>8.60076577591153E-5</v>
      </c>
      <c r="AF34" s="15">
        <v>2.62446951320427E-4</v>
      </c>
      <c r="AG34" s="15">
        <v>1.74848461641603E-4</v>
      </c>
      <c r="AI34" s="12"/>
      <c r="AJ34">
        <f t="shared" si="6"/>
        <v>0</v>
      </c>
      <c r="AK34">
        <f t="shared" si="7"/>
        <v>1</v>
      </c>
      <c r="AL34">
        <f t="shared" si="14"/>
        <v>0</v>
      </c>
      <c r="AM34">
        <f t="shared" si="4"/>
        <v>1</v>
      </c>
      <c r="AN34">
        <f t="shared" si="15"/>
        <v>0</v>
      </c>
      <c r="AO34" s="28">
        <f t="shared" si="8"/>
        <v>0</v>
      </c>
      <c r="AP34" s="28">
        <f t="shared" si="9"/>
        <v>0</v>
      </c>
      <c r="AQ34" s="28">
        <f t="shared" si="16"/>
        <v>0</v>
      </c>
      <c r="AR34" s="29">
        <f t="shared" si="17"/>
        <v>0</v>
      </c>
      <c r="AT34" s="12"/>
      <c r="AU34">
        <f t="shared" si="10"/>
        <v>0</v>
      </c>
      <c r="AV34">
        <f t="shared" si="11"/>
        <v>1</v>
      </c>
      <c r="AW34">
        <f t="shared" si="18"/>
        <v>0</v>
      </c>
      <c r="AX34">
        <f t="shared" si="5"/>
        <v>1</v>
      </c>
      <c r="AY34">
        <f t="shared" si="19"/>
        <v>0</v>
      </c>
      <c r="AZ34" s="28">
        <f t="shared" si="12"/>
        <v>0</v>
      </c>
      <c r="BA34" s="28">
        <f t="shared" si="13"/>
        <v>0</v>
      </c>
      <c r="BB34" s="28">
        <f t="shared" si="20"/>
        <v>0</v>
      </c>
      <c r="BC34" s="29">
        <f t="shared" si="21"/>
        <v>0</v>
      </c>
      <c r="BE34" s="29">
        <f t="shared" si="22"/>
        <v>0</v>
      </c>
      <c r="BF34" s="29">
        <f t="shared" si="23"/>
        <v>0</v>
      </c>
      <c r="BH34" s="29"/>
    </row>
    <row r="35" spans="1:124" x14ac:dyDescent="0.25">
      <c r="A35" s="1">
        <v>46073</v>
      </c>
      <c r="B35" s="33">
        <v>17.03</v>
      </c>
      <c r="C35" s="33">
        <v>22.2</v>
      </c>
      <c r="D35" s="15">
        <v>5.8737152936886802E-4</v>
      </c>
      <c r="E35" s="15">
        <v>0</v>
      </c>
      <c r="F35" s="33">
        <v>0</v>
      </c>
      <c r="G35" s="33">
        <v>6.2350000000000003E-2</v>
      </c>
      <c r="H35" s="33">
        <v>0</v>
      </c>
      <c r="I35" s="33">
        <v>8.2222000000000003E-2</v>
      </c>
      <c r="J35" s="33">
        <v>6.2350000000000003E-2</v>
      </c>
      <c r="K35" s="33">
        <v>8.2222000000000003E-2</v>
      </c>
      <c r="L35" s="33">
        <v>17.09235</v>
      </c>
      <c r="M35" s="33">
        <v>22.282222000000001</v>
      </c>
      <c r="N35" s="34">
        <v>1.30358191426893</v>
      </c>
      <c r="O35" s="34">
        <v>1.3062602516891499</v>
      </c>
      <c r="P35" s="34">
        <v>1.3045503855337099</v>
      </c>
      <c r="Q35" s="34">
        <v>1.30601980093107</v>
      </c>
      <c r="R35" s="33">
        <v>22.245612086266199</v>
      </c>
      <c r="S35" s="33">
        <v>22.2179284638692</v>
      </c>
      <c r="T35" s="33">
        <v>22.246143840935598</v>
      </c>
      <c r="U35" s="15">
        <v>2.0524906796334699E-3</v>
      </c>
      <c r="V35" s="15">
        <v>8.0726253848011195E-4</v>
      </c>
      <c r="W35" s="15">
        <v>2.0763941942676199E-3</v>
      </c>
      <c r="X35" s="34">
        <v>1.30363712421053</v>
      </c>
      <c r="Y35" s="34">
        <v>1.3045124660331</v>
      </c>
      <c r="Z35" s="34">
        <v>1.30460218573732</v>
      </c>
      <c r="AA35" s="34">
        <v>1.3046109965050601</v>
      </c>
      <c r="AB35" s="33">
        <v>22.2971836488009</v>
      </c>
      <c r="AC35" s="33">
        <v>22.3001529866612</v>
      </c>
      <c r="AD35" s="33">
        <v>22.299342301382602</v>
      </c>
      <c r="AE35" s="15">
        <v>6.7123592811192396E-4</v>
      </c>
      <c r="AF35" s="15">
        <v>8.0439804444901902E-4</v>
      </c>
      <c r="AG35" s="15">
        <v>7.6804403311103297E-4</v>
      </c>
      <c r="AI35" s="12"/>
      <c r="AJ35">
        <f t="shared" si="6"/>
        <v>0</v>
      </c>
      <c r="AK35">
        <f t="shared" si="7"/>
        <v>1</v>
      </c>
      <c r="AL35">
        <f t="shared" si="14"/>
        <v>0</v>
      </c>
      <c r="AM35">
        <f t="shared" si="4"/>
        <v>0</v>
      </c>
      <c r="AN35">
        <f t="shared" si="15"/>
        <v>0</v>
      </c>
      <c r="AO35" s="28">
        <f t="shared" si="8"/>
        <v>0</v>
      </c>
      <c r="AP35" s="28">
        <f t="shared" si="9"/>
        <v>0</v>
      </c>
      <c r="AQ35" s="28">
        <f t="shared" si="16"/>
        <v>0</v>
      </c>
      <c r="AR35" s="29">
        <f t="shared" si="17"/>
        <v>0</v>
      </c>
      <c r="AT35" s="12"/>
      <c r="AU35">
        <f t="shared" si="10"/>
        <v>0</v>
      </c>
      <c r="AV35">
        <f t="shared" si="11"/>
        <v>0</v>
      </c>
      <c r="AW35">
        <f t="shared" si="18"/>
        <v>0</v>
      </c>
      <c r="AX35">
        <f t="shared" si="5"/>
        <v>0</v>
      </c>
      <c r="AY35">
        <f t="shared" si="19"/>
        <v>0</v>
      </c>
      <c r="AZ35" s="28">
        <f t="shared" si="12"/>
        <v>0</v>
      </c>
      <c r="BA35" s="28">
        <f t="shared" si="13"/>
        <v>0</v>
      </c>
      <c r="BB35" s="28">
        <f t="shared" si="20"/>
        <v>0</v>
      </c>
      <c r="BC35" s="29">
        <f t="shared" si="21"/>
        <v>0</v>
      </c>
      <c r="BE35" s="29">
        <f t="shared" si="22"/>
        <v>0</v>
      </c>
      <c r="BF35" s="29">
        <f t="shared" si="23"/>
        <v>0</v>
      </c>
      <c r="BH35" s="29"/>
    </row>
    <row r="36" spans="1:124" x14ac:dyDescent="0.25">
      <c r="A36" s="1">
        <v>46076</v>
      </c>
      <c r="B36" s="33">
        <v>17</v>
      </c>
      <c r="C36" s="33">
        <v>22.25</v>
      </c>
      <c r="D36" s="15">
        <v>-1.76315061838085E-3</v>
      </c>
      <c r="E36" s="15">
        <v>2.24971973401554E-3</v>
      </c>
      <c r="F36" s="33">
        <v>6.1890000000000001E-2</v>
      </c>
      <c r="G36" s="33">
        <v>0.12424</v>
      </c>
      <c r="H36" s="33">
        <v>0</v>
      </c>
      <c r="I36" s="33">
        <v>8.2222000000000003E-2</v>
      </c>
      <c r="J36" s="33">
        <v>0.12424</v>
      </c>
      <c r="K36" s="33">
        <v>8.2222000000000003E-2</v>
      </c>
      <c r="L36" s="33">
        <v>17.12424</v>
      </c>
      <c r="M36" s="33">
        <v>22.332222000000002</v>
      </c>
      <c r="N36" s="34">
        <v>1.3088235294117601</v>
      </c>
      <c r="O36" s="34">
        <v>1.3062602516891499</v>
      </c>
      <c r="P36" s="34">
        <v>1.30489523109154</v>
      </c>
      <c r="Q36" s="34">
        <v>1.3059897266606999</v>
      </c>
      <c r="R36" s="33">
        <v>22.206424278715499</v>
      </c>
      <c r="S36" s="33">
        <v>22.1773565540731</v>
      </c>
      <c r="T36" s="33">
        <v>22.202336615828202</v>
      </c>
      <c r="U36" s="15">
        <v>-1.9603796727628402E-3</v>
      </c>
      <c r="V36" s="15">
        <v>-3.2702153042887599E-3</v>
      </c>
      <c r="W36" s="15">
        <v>-2.1444723074826402E-3</v>
      </c>
      <c r="X36" s="34">
        <v>1.3041292343485</v>
      </c>
      <c r="Y36" s="34">
        <v>1.3045124660331</v>
      </c>
      <c r="Z36" s="34">
        <v>1.30447270626733</v>
      </c>
      <c r="AA36" s="34">
        <v>1.3045872922974899</v>
      </c>
      <c r="AB36" s="33">
        <v>22.338784551342702</v>
      </c>
      <c r="AC36" s="33">
        <v>22.3403209330904</v>
      </c>
      <c r="AD36" s="33">
        <v>22.340471810791801</v>
      </c>
      <c r="AE36" s="15">
        <v>2.9381703689080902E-4</v>
      </c>
      <c r="AF36" s="15">
        <v>3.6259109723512099E-4</v>
      </c>
      <c r="AG36" s="15">
        <v>3.6934467934961201E-4</v>
      </c>
      <c r="AI36" s="12"/>
      <c r="AJ36">
        <f t="shared" si="6"/>
        <v>0</v>
      </c>
      <c r="AK36">
        <f t="shared" si="7"/>
        <v>1</v>
      </c>
      <c r="AL36">
        <f t="shared" si="14"/>
        <v>0</v>
      </c>
      <c r="AM36">
        <f t="shared" si="4"/>
        <v>1</v>
      </c>
      <c r="AN36">
        <f t="shared" si="15"/>
        <v>0</v>
      </c>
      <c r="AO36" s="28">
        <f t="shared" si="8"/>
        <v>0</v>
      </c>
      <c r="AP36" s="28">
        <f t="shared" si="9"/>
        <v>0</v>
      </c>
      <c r="AQ36" s="28">
        <f t="shared" si="16"/>
        <v>0</v>
      </c>
      <c r="AR36" s="29">
        <f t="shared" si="17"/>
        <v>0</v>
      </c>
      <c r="AT36" s="12"/>
      <c r="AU36">
        <f t="shared" si="10"/>
        <v>0</v>
      </c>
      <c r="AV36">
        <f t="shared" si="11"/>
        <v>0</v>
      </c>
      <c r="AW36">
        <f t="shared" si="18"/>
        <v>0</v>
      </c>
      <c r="AX36">
        <f t="shared" si="5"/>
        <v>1</v>
      </c>
      <c r="AY36">
        <f t="shared" si="19"/>
        <v>0</v>
      </c>
      <c r="AZ36" s="28">
        <f t="shared" si="12"/>
        <v>0</v>
      </c>
      <c r="BA36" s="28">
        <f t="shared" si="13"/>
        <v>0</v>
      </c>
      <c r="BB36" s="28">
        <f t="shared" si="20"/>
        <v>0</v>
      </c>
      <c r="BC36" s="29">
        <f t="shared" si="21"/>
        <v>0</v>
      </c>
      <c r="BE36" s="29">
        <f t="shared" si="22"/>
        <v>0</v>
      </c>
      <c r="BF36" s="29">
        <f t="shared" si="23"/>
        <v>0</v>
      </c>
      <c r="BH36" s="29"/>
    </row>
    <row r="37" spans="1:124" x14ac:dyDescent="0.25">
      <c r="A37" s="1">
        <v>46077</v>
      </c>
      <c r="B37" s="33">
        <v>16.98</v>
      </c>
      <c r="C37" s="33">
        <v>22.25</v>
      </c>
      <c r="D37" s="15">
        <v>-1.17716317301475E-3</v>
      </c>
      <c r="E37" s="15">
        <v>0</v>
      </c>
      <c r="F37" s="33">
        <v>0</v>
      </c>
      <c r="G37" s="33">
        <v>0.12424</v>
      </c>
      <c r="H37" s="33">
        <v>0</v>
      </c>
      <c r="I37" s="33">
        <v>8.2222000000000003E-2</v>
      </c>
      <c r="J37" s="33">
        <v>0.12424</v>
      </c>
      <c r="K37" s="33">
        <v>8.2222000000000003E-2</v>
      </c>
      <c r="L37" s="33">
        <v>17.104240000000001</v>
      </c>
      <c r="M37" s="33">
        <v>22.332222000000002</v>
      </c>
      <c r="N37" s="34">
        <v>1.31036513545347</v>
      </c>
      <c r="O37" s="34">
        <v>1.3062602516891499</v>
      </c>
      <c r="P37" s="34">
        <v>1.3055661785991599</v>
      </c>
      <c r="Q37" s="34">
        <v>1.30600709428103</v>
      </c>
      <c r="R37" s="33">
        <v>22.180299073681802</v>
      </c>
      <c r="S37" s="33">
        <v>22.157121023934401</v>
      </c>
      <c r="T37" s="33">
        <v>22.175705558698699</v>
      </c>
      <c r="U37" s="15">
        <v>-3.1375428457776E-3</v>
      </c>
      <c r="V37" s="15">
        <v>-4.1830728656873702E-3</v>
      </c>
      <c r="W37" s="15">
        <v>-3.3446631686092302E-3</v>
      </c>
      <c r="X37" s="34">
        <v>1.3056541535899799</v>
      </c>
      <c r="Y37" s="34">
        <v>1.3045124660331</v>
      </c>
      <c r="Z37" s="34">
        <v>1.3046670389027299</v>
      </c>
      <c r="AA37" s="34">
        <v>1.3046103047781601</v>
      </c>
      <c r="AB37" s="33">
        <v>22.312694302021999</v>
      </c>
      <c r="AC37" s="33">
        <v>22.312014241445901</v>
      </c>
      <c r="AD37" s="33">
        <v>22.313974148406501</v>
      </c>
      <c r="AE37" s="15">
        <v>-8.7480057488224599E-4</v>
      </c>
      <c r="AF37" s="15">
        <v>-9.0527967932048305E-4</v>
      </c>
      <c r="AG37" s="15">
        <v>-8.1744265732876297E-4</v>
      </c>
      <c r="AI37" s="12"/>
      <c r="AJ37">
        <f t="shared" si="6"/>
        <v>0</v>
      </c>
      <c r="AK37">
        <f t="shared" si="7"/>
        <v>0</v>
      </c>
      <c r="AL37">
        <f t="shared" si="14"/>
        <v>0</v>
      </c>
      <c r="AM37">
        <f t="shared" si="4"/>
        <v>1</v>
      </c>
      <c r="AN37">
        <f t="shared" si="15"/>
        <v>0</v>
      </c>
      <c r="AO37" s="28">
        <f t="shared" si="8"/>
        <v>0</v>
      </c>
      <c r="AP37" s="28">
        <f t="shared" si="9"/>
        <v>0</v>
      </c>
      <c r="AQ37" s="28">
        <f t="shared" si="16"/>
        <v>0</v>
      </c>
      <c r="AR37" s="29">
        <f t="shared" si="17"/>
        <v>0</v>
      </c>
      <c r="AT37" s="12"/>
      <c r="AU37">
        <f t="shared" si="10"/>
        <v>0</v>
      </c>
      <c r="AV37">
        <f t="shared" si="11"/>
        <v>1</v>
      </c>
      <c r="AW37">
        <f t="shared" si="18"/>
        <v>0</v>
      </c>
      <c r="AX37">
        <f t="shared" si="5"/>
        <v>1</v>
      </c>
      <c r="AY37">
        <f t="shared" si="19"/>
        <v>0</v>
      </c>
      <c r="AZ37" s="28">
        <f t="shared" si="12"/>
        <v>0</v>
      </c>
      <c r="BA37" s="28">
        <f t="shared" si="13"/>
        <v>0</v>
      </c>
      <c r="BB37" s="28">
        <f t="shared" si="20"/>
        <v>0</v>
      </c>
      <c r="BC37" s="29">
        <f t="shared" si="21"/>
        <v>0</v>
      </c>
      <c r="BE37" s="29">
        <f t="shared" si="22"/>
        <v>0</v>
      </c>
      <c r="BF37" s="29">
        <f t="shared" si="23"/>
        <v>0</v>
      </c>
      <c r="BH37" s="29"/>
    </row>
    <row r="38" spans="1:124" x14ac:dyDescent="0.25">
      <c r="A38" s="1">
        <v>46078</v>
      </c>
      <c r="B38" s="33">
        <v>16.97</v>
      </c>
      <c r="C38" s="33">
        <v>22.22</v>
      </c>
      <c r="D38" s="15">
        <v>-5.8910163706642497E-4</v>
      </c>
      <c r="E38" s="15">
        <v>-1.3492244007653801E-3</v>
      </c>
      <c r="F38" s="33">
        <v>0</v>
      </c>
      <c r="G38" s="33">
        <v>0.12424</v>
      </c>
      <c r="H38" s="33">
        <v>0</v>
      </c>
      <c r="I38" s="33">
        <v>8.2222000000000003E-2</v>
      </c>
      <c r="J38" s="33">
        <v>0.12424</v>
      </c>
      <c r="K38" s="33">
        <v>8.2222000000000003E-2</v>
      </c>
      <c r="L38" s="33">
        <v>17.094239999999999</v>
      </c>
      <c r="M38" s="33">
        <v>22.302222</v>
      </c>
      <c r="N38" s="34">
        <v>1.30936947554507</v>
      </c>
      <c r="O38" s="34">
        <v>1.3062602516891499</v>
      </c>
      <c r="P38" s="34">
        <v>1.3060785978517799</v>
      </c>
      <c r="Q38" s="34">
        <v>1.3059542410440701</v>
      </c>
      <c r="R38" s="33">
        <v>22.167236471164902</v>
      </c>
      <c r="S38" s="33">
        <v>22.155458050827701</v>
      </c>
      <c r="T38" s="33">
        <v>22.1629403899491</v>
      </c>
      <c r="U38" s="15">
        <v>-2.3774200820786602E-3</v>
      </c>
      <c r="V38" s="15">
        <v>-2.9089049451472399E-3</v>
      </c>
      <c r="W38" s="15">
        <v>-2.57124205768947E-3</v>
      </c>
      <c r="X38" s="34">
        <v>1.3046629741948099</v>
      </c>
      <c r="Y38" s="34">
        <v>1.3045124660331</v>
      </c>
      <c r="Z38" s="34">
        <v>1.30470350730331</v>
      </c>
      <c r="AA38" s="34">
        <v>1.3045632532795399</v>
      </c>
      <c r="AB38" s="33">
        <v>22.299649177361701</v>
      </c>
      <c r="AC38" s="33">
        <v>22.302291483092699</v>
      </c>
      <c r="AD38" s="33">
        <v>22.301321656351</v>
      </c>
      <c r="AE38" s="15">
        <v>-1.1536837236730801E-4</v>
      </c>
      <c r="AF38" s="15">
        <v>3.1155184669857701E-6</v>
      </c>
      <c r="AG38" s="15">
        <v>-4.0370947027699697E-5</v>
      </c>
      <c r="AI38" s="12"/>
      <c r="AJ38">
        <f t="shared" si="6"/>
        <v>0</v>
      </c>
      <c r="AK38">
        <f t="shared" si="7"/>
        <v>1</v>
      </c>
      <c r="AL38">
        <f t="shared" si="14"/>
        <v>0</v>
      </c>
      <c r="AM38">
        <f t="shared" si="4"/>
        <v>1</v>
      </c>
      <c r="AN38">
        <f t="shared" si="15"/>
        <v>0</v>
      </c>
      <c r="AO38" s="28">
        <f t="shared" si="8"/>
        <v>0</v>
      </c>
      <c r="AP38" s="28">
        <f t="shared" si="9"/>
        <v>0</v>
      </c>
      <c r="AQ38" s="28">
        <f t="shared" si="16"/>
        <v>0</v>
      </c>
      <c r="AR38" s="29">
        <f t="shared" si="17"/>
        <v>0</v>
      </c>
      <c r="AT38" s="12"/>
      <c r="AU38">
        <f t="shared" si="10"/>
        <v>0</v>
      </c>
      <c r="AV38">
        <f t="shared" si="11"/>
        <v>1</v>
      </c>
      <c r="AW38">
        <f t="shared" si="18"/>
        <v>0</v>
      </c>
      <c r="AX38">
        <f t="shared" si="5"/>
        <v>1</v>
      </c>
      <c r="AY38">
        <f t="shared" si="19"/>
        <v>0</v>
      </c>
      <c r="AZ38" s="28">
        <f t="shared" si="12"/>
        <v>0</v>
      </c>
      <c r="BA38" s="28">
        <f t="shared" si="13"/>
        <v>0</v>
      </c>
      <c r="BB38" s="28">
        <f t="shared" si="20"/>
        <v>0</v>
      </c>
      <c r="BC38" s="29">
        <f t="shared" si="21"/>
        <v>0</v>
      </c>
      <c r="BE38" s="29">
        <f t="shared" si="22"/>
        <v>0</v>
      </c>
      <c r="BF38" s="29">
        <f t="shared" si="23"/>
        <v>0</v>
      </c>
      <c r="BH38" s="29"/>
    </row>
    <row r="39" spans="1:124" x14ac:dyDescent="0.25">
      <c r="A39" s="1">
        <v>46079</v>
      </c>
      <c r="B39" s="33">
        <v>16.98</v>
      </c>
      <c r="C39" s="33">
        <v>22.24</v>
      </c>
      <c r="D39" s="15">
        <v>5.8910163706650997E-4</v>
      </c>
      <c r="E39" s="15">
        <v>8.9968517089760998E-4</v>
      </c>
      <c r="F39" s="33">
        <v>0</v>
      </c>
      <c r="G39" s="33">
        <v>0.12424</v>
      </c>
      <c r="H39" s="33">
        <v>0</v>
      </c>
      <c r="I39" s="33">
        <v>8.2222000000000003E-2</v>
      </c>
      <c r="J39" s="33">
        <v>0.12424</v>
      </c>
      <c r="K39" s="33">
        <v>8.2222000000000003E-2</v>
      </c>
      <c r="L39" s="33">
        <v>17.104240000000001</v>
      </c>
      <c r="M39" s="33">
        <v>22.322222</v>
      </c>
      <c r="N39" s="34">
        <v>1.3097762073026999</v>
      </c>
      <c r="O39" s="34">
        <v>1.3062602516891499</v>
      </c>
      <c r="P39" s="34">
        <v>1.3065547436557901</v>
      </c>
      <c r="Q39" s="34">
        <v>1.3059809661011399</v>
      </c>
      <c r="R39" s="33">
        <v>22.180299073681802</v>
      </c>
      <c r="S39" s="33">
        <v>22.1772145915232</v>
      </c>
      <c r="T39" s="33">
        <v>22.1751030129283</v>
      </c>
      <c r="U39" s="15">
        <v>-2.6880036159099398E-3</v>
      </c>
      <c r="V39" s="15">
        <v>-2.82707733346821E-3</v>
      </c>
      <c r="W39" s="15">
        <v>-2.9222957441652499E-3</v>
      </c>
      <c r="X39" s="34">
        <v>1.3050695032342801</v>
      </c>
      <c r="Y39" s="34">
        <v>1.3045124660331</v>
      </c>
      <c r="Z39" s="34">
        <v>1.3047039608758499</v>
      </c>
      <c r="AA39" s="34">
        <v>1.30459555192206</v>
      </c>
      <c r="AB39" s="33">
        <v>22.312694302021999</v>
      </c>
      <c r="AC39" s="33">
        <v>22.315961917757502</v>
      </c>
      <c r="AD39" s="33">
        <v>22.313562979274099</v>
      </c>
      <c r="AE39" s="15">
        <v>-4.2691681365263198E-4</v>
      </c>
      <c r="AF39" s="15">
        <v>-2.8048104712221901E-4</v>
      </c>
      <c r="AG39" s="15">
        <v>-3.87985596689535E-4</v>
      </c>
      <c r="AI39" s="12"/>
      <c r="AJ39">
        <f t="shared" si="6"/>
        <v>0</v>
      </c>
      <c r="AK39">
        <f t="shared" si="7"/>
        <v>0</v>
      </c>
      <c r="AL39">
        <f t="shared" si="14"/>
        <v>0</v>
      </c>
      <c r="AM39">
        <f t="shared" si="4"/>
        <v>1</v>
      </c>
      <c r="AN39">
        <f t="shared" si="15"/>
        <v>0</v>
      </c>
      <c r="AO39" s="28">
        <f t="shared" si="8"/>
        <v>0</v>
      </c>
      <c r="AP39" s="28">
        <f t="shared" si="9"/>
        <v>0</v>
      </c>
      <c r="AQ39" s="28">
        <f t="shared" si="16"/>
        <v>0</v>
      </c>
      <c r="AR39" s="29">
        <f t="shared" si="17"/>
        <v>0</v>
      </c>
      <c r="AT39" s="12"/>
      <c r="AU39">
        <f t="shared" si="10"/>
        <v>0</v>
      </c>
      <c r="AV39">
        <f t="shared" si="11"/>
        <v>1</v>
      </c>
      <c r="AW39">
        <f t="shared" si="18"/>
        <v>0</v>
      </c>
      <c r="AX39">
        <f t="shared" si="5"/>
        <v>1</v>
      </c>
      <c r="AY39">
        <f t="shared" si="19"/>
        <v>0</v>
      </c>
      <c r="AZ39" s="28">
        <f t="shared" si="12"/>
        <v>0</v>
      </c>
      <c r="BA39" s="28">
        <f t="shared" si="13"/>
        <v>0</v>
      </c>
      <c r="BB39" s="28">
        <f t="shared" si="20"/>
        <v>0</v>
      </c>
      <c r="BC39" s="29">
        <f t="shared" si="21"/>
        <v>0</v>
      </c>
      <c r="BE39" s="29">
        <f t="shared" si="22"/>
        <v>0</v>
      </c>
      <c r="BF39" s="29">
        <f t="shared" si="23"/>
        <v>0</v>
      </c>
      <c r="BH39" s="29"/>
    </row>
    <row r="40" spans="1:124" x14ac:dyDescent="0.25">
      <c r="A40" s="1">
        <v>46080</v>
      </c>
      <c r="B40" s="33">
        <v>17</v>
      </c>
      <c r="C40" s="33">
        <v>22.26</v>
      </c>
      <c r="D40" s="15">
        <v>1.1771631730148301E-3</v>
      </c>
      <c r="E40" s="15">
        <v>8.9887646501725003E-4</v>
      </c>
      <c r="F40" s="33">
        <v>0</v>
      </c>
      <c r="G40" s="33">
        <v>0.12424</v>
      </c>
      <c r="H40" s="33">
        <v>0</v>
      </c>
      <c r="I40" s="33">
        <v>8.2222000000000003E-2</v>
      </c>
      <c r="J40" s="33">
        <v>0.12424</v>
      </c>
      <c r="K40" s="33">
        <v>8.2222000000000003E-2</v>
      </c>
      <c r="L40" s="33">
        <v>17.12424</v>
      </c>
      <c r="M40" s="33">
        <v>22.342222</v>
      </c>
      <c r="N40" s="34">
        <v>1.3094117647058801</v>
      </c>
      <c r="O40" s="34">
        <v>1.3062602516891499</v>
      </c>
      <c r="P40" s="34">
        <v>1.3069894419167201</v>
      </c>
      <c r="Q40" s="34">
        <v>1.3059781815553699</v>
      </c>
      <c r="R40" s="33">
        <v>22.206424278715499</v>
      </c>
      <c r="S40" s="33">
        <v>22.2114306421485</v>
      </c>
      <c r="T40" s="33">
        <v>22.201676423719501</v>
      </c>
      <c r="U40" s="15">
        <v>-2.4097169079124901E-3</v>
      </c>
      <c r="V40" s="15">
        <v>-2.18429569101182E-3</v>
      </c>
      <c r="W40" s="15">
        <v>-2.62354523828616E-3</v>
      </c>
      <c r="X40" s="34">
        <v>1.3047132018705601</v>
      </c>
      <c r="Y40" s="34">
        <v>1.3045124660331</v>
      </c>
      <c r="Z40" s="34">
        <v>1.30466380817331</v>
      </c>
      <c r="AA40" s="34">
        <v>1.30459850546255</v>
      </c>
      <c r="AB40" s="33">
        <v>22.338784551342702</v>
      </c>
      <c r="AC40" s="33">
        <v>22.342063754988601</v>
      </c>
      <c r="AD40" s="33">
        <v>22.3402073340459</v>
      </c>
      <c r="AE40" s="15">
        <v>-1.5386621427712499E-4</v>
      </c>
      <c r="AF40" s="15">
        <v>-7.0828036594117597E-6</v>
      </c>
      <c r="AG40" s="15">
        <v>-9.0177100281739605E-5</v>
      </c>
      <c r="AI40" s="12"/>
      <c r="AJ40">
        <f t="shared" si="6"/>
        <v>0</v>
      </c>
      <c r="AK40">
        <f t="shared" si="7"/>
        <v>1</v>
      </c>
      <c r="AL40">
        <f t="shared" si="14"/>
        <v>0</v>
      </c>
      <c r="AM40">
        <f t="shared" si="4"/>
        <v>0</v>
      </c>
      <c r="AN40">
        <f t="shared" si="15"/>
        <v>0</v>
      </c>
      <c r="AO40" s="28">
        <f t="shared" si="8"/>
        <v>0</v>
      </c>
      <c r="AP40" s="28">
        <f t="shared" si="9"/>
        <v>0</v>
      </c>
      <c r="AQ40" s="28">
        <f t="shared" si="16"/>
        <v>0</v>
      </c>
      <c r="AR40" s="29">
        <f t="shared" si="17"/>
        <v>0</v>
      </c>
      <c r="AT40" s="12"/>
      <c r="AU40">
        <f t="shared" si="10"/>
        <v>0</v>
      </c>
      <c r="AV40">
        <f t="shared" si="11"/>
        <v>1</v>
      </c>
      <c r="AW40">
        <f t="shared" si="18"/>
        <v>0</v>
      </c>
      <c r="AX40">
        <f t="shared" si="5"/>
        <v>0</v>
      </c>
      <c r="AY40">
        <f t="shared" si="19"/>
        <v>0</v>
      </c>
      <c r="AZ40" s="28">
        <f t="shared" si="12"/>
        <v>0</v>
      </c>
      <c r="BA40" s="28">
        <f t="shared" si="13"/>
        <v>0</v>
      </c>
      <c r="BB40" s="28">
        <f t="shared" si="20"/>
        <v>0</v>
      </c>
      <c r="BC40" s="29">
        <f t="shared" si="21"/>
        <v>0</v>
      </c>
      <c r="BE40" s="29">
        <f t="shared" si="22"/>
        <v>0</v>
      </c>
      <c r="BF40" s="29">
        <f t="shared" si="23"/>
        <v>0</v>
      </c>
      <c r="BH40" s="29"/>
    </row>
    <row r="41" spans="1:124" x14ac:dyDescent="0.25">
      <c r="A41" s="1">
        <v>46083</v>
      </c>
      <c r="B41" s="33">
        <v>16.96</v>
      </c>
      <c r="C41" s="33">
        <v>22.12</v>
      </c>
      <c r="D41" s="15">
        <v>-2.35571369245903E-3</v>
      </c>
      <c r="E41" s="15">
        <v>-6.3091691932647201E-3</v>
      </c>
      <c r="F41" s="33">
        <v>0</v>
      </c>
      <c r="G41" s="33">
        <v>0.12424</v>
      </c>
      <c r="H41" s="33">
        <v>8.1594E-2</v>
      </c>
      <c r="I41" s="33">
        <v>0.16381599999999999</v>
      </c>
      <c r="J41" s="33">
        <v>0.12424</v>
      </c>
      <c r="K41" s="33">
        <v>0.16381599999999999</v>
      </c>
      <c r="L41" s="33">
        <v>17.084240000000001</v>
      </c>
      <c r="M41" s="33">
        <v>22.283816000000002</v>
      </c>
      <c r="N41" s="34">
        <v>1.30424528301886</v>
      </c>
      <c r="O41" s="34">
        <v>1.3062602516891499</v>
      </c>
      <c r="P41" s="34">
        <v>1.30692043320333</v>
      </c>
      <c r="Q41" s="34">
        <v>1.30576491379142</v>
      </c>
      <c r="R41" s="33">
        <v>22.154173868648002</v>
      </c>
      <c r="S41" s="33">
        <v>22.166540934907701</v>
      </c>
      <c r="T41" s="33">
        <v>22.149389959179199</v>
      </c>
      <c r="U41" s="15">
        <v>1.54373859289331E-3</v>
      </c>
      <c r="V41" s="15">
        <v>2.1018102140517299E-3</v>
      </c>
      <c r="W41" s="15">
        <v>1.3277781114302901E-3</v>
      </c>
      <c r="X41" s="34">
        <v>1.3043492716093801</v>
      </c>
      <c r="Y41" s="34">
        <v>1.3045124660331</v>
      </c>
      <c r="Z41" s="34">
        <v>1.30460016809964</v>
      </c>
      <c r="AA41" s="34">
        <v>1.30463064427936</v>
      </c>
      <c r="AB41" s="33">
        <v>22.2866040527013</v>
      </c>
      <c r="AC41" s="33">
        <v>22.2891896181468</v>
      </c>
      <c r="AD41" s="33">
        <v>22.288073970963499</v>
      </c>
      <c r="AE41" s="15">
        <v>1.2510775988793901E-4</v>
      </c>
      <c r="AF41" s="15">
        <v>2.4111536111716701E-4</v>
      </c>
      <c r="AG41" s="15">
        <v>1.9106082238266699E-4</v>
      </c>
      <c r="AI41" s="12"/>
      <c r="AJ41">
        <f t="shared" si="6"/>
        <v>0</v>
      </c>
      <c r="AK41">
        <f t="shared" si="7"/>
        <v>1</v>
      </c>
      <c r="AL41">
        <f t="shared" si="14"/>
        <v>0</v>
      </c>
      <c r="AM41">
        <f t="shared" si="4"/>
        <v>1</v>
      </c>
      <c r="AN41">
        <f t="shared" si="15"/>
        <v>0</v>
      </c>
      <c r="AO41" s="28">
        <f t="shared" si="8"/>
        <v>0</v>
      </c>
      <c r="AP41" s="28">
        <f t="shared" si="9"/>
        <v>0</v>
      </c>
      <c r="AQ41" s="28">
        <f t="shared" si="16"/>
        <v>0</v>
      </c>
      <c r="AR41" s="29">
        <f t="shared" si="17"/>
        <v>0</v>
      </c>
      <c r="AT41" s="12"/>
      <c r="AU41">
        <f t="shared" si="10"/>
        <v>0</v>
      </c>
      <c r="AV41">
        <f t="shared" si="11"/>
        <v>1</v>
      </c>
      <c r="AW41">
        <f t="shared" si="18"/>
        <v>0</v>
      </c>
      <c r="AX41">
        <f t="shared" si="5"/>
        <v>1</v>
      </c>
      <c r="AY41">
        <f t="shared" si="19"/>
        <v>0</v>
      </c>
      <c r="AZ41" s="28">
        <f t="shared" si="12"/>
        <v>0</v>
      </c>
      <c r="BA41" s="28">
        <f t="shared" si="13"/>
        <v>0</v>
      </c>
      <c r="BB41" s="28">
        <f t="shared" si="20"/>
        <v>0</v>
      </c>
      <c r="BC41" s="29">
        <f t="shared" si="21"/>
        <v>0</v>
      </c>
      <c r="BE41" s="29">
        <f t="shared" si="22"/>
        <v>0</v>
      </c>
      <c r="BF41" s="29">
        <f t="shared" si="23"/>
        <v>0</v>
      </c>
      <c r="BH41" s="29"/>
    </row>
    <row r="42" spans="1:124" x14ac:dyDescent="0.25">
      <c r="A42" s="1">
        <v>46084</v>
      </c>
      <c r="B42" s="33">
        <v>16.95</v>
      </c>
      <c r="C42" s="33">
        <v>22.1</v>
      </c>
      <c r="D42" s="15">
        <v>-5.8979653729783596E-4</v>
      </c>
      <c r="E42" s="15">
        <v>-9.0456813042693804E-4</v>
      </c>
      <c r="F42" s="33">
        <v>0</v>
      </c>
      <c r="G42" s="33">
        <v>0.12424</v>
      </c>
      <c r="H42" s="33">
        <v>0</v>
      </c>
      <c r="I42" s="33">
        <v>0.16381599999999999</v>
      </c>
      <c r="J42" s="33">
        <v>0.12424</v>
      </c>
      <c r="K42" s="33">
        <v>0.16381599999999999</v>
      </c>
      <c r="L42" s="33">
        <v>17.07424</v>
      </c>
      <c r="M42" s="33">
        <v>22.263815999999998</v>
      </c>
      <c r="N42" s="34">
        <v>1.3038348082595801</v>
      </c>
      <c r="O42" s="34">
        <v>1.3062602516891499</v>
      </c>
      <c r="P42" s="34">
        <v>1.30675162260744</v>
      </c>
      <c r="Q42" s="34">
        <v>1.30574955361269</v>
      </c>
      <c r="R42" s="33">
        <v>22.141111266131102</v>
      </c>
      <c r="S42" s="33">
        <v>22.152301342796498</v>
      </c>
      <c r="T42" s="33">
        <v>22.1327152887647</v>
      </c>
      <c r="U42" s="15">
        <v>1.85851018602225E-3</v>
      </c>
      <c r="V42" s="15">
        <v>2.3637806650587201E-3</v>
      </c>
      <c r="W42" s="15">
        <v>1.4792352003081401E-3</v>
      </c>
      <c r="X42" s="34">
        <v>1.3039418445564701</v>
      </c>
      <c r="Y42" s="34">
        <v>1.3045124660331</v>
      </c>
      <c r="Z42" s="34">
        <v>1.30443724536571</v>
      </c>
      <c r="AA42" s="34">
        <v>1.3046179572018399</v>
      </c>
      <c r="AB42" s="33">
        <v>22.273558928040998</v>
      </c>
      <c r="AC42" s="33">
        <v>22.275056374173701</v>
      </c>
      <c r="AD42" s="33">
        <v>22.2755767317805</v>
      </c>
      <c r="AE42" s="15">
        <v>4.37516948954269E-4</v>
      </c>
      <c r="AF42" s="15">
        <v>5.0474445414538103E-4</v>
      </c>
      <c r="AG42" s="15">
        <v>5.2810473302770705E-4</v>
      </c>
      <c r="AI42" s="12"/>
      <c r="AJ42">
        <f t="shared" si="6"/>
        <v>0</v>
      </c>
      <c r="AK42">
        <f t="shared" si="7"/>
        <v>1</v>
      </c>
      <c r="AL42">
        <f t="shared" si="14"/>
        <v>0</v>
      </c>
      <c r="AM42">
        <f t="shared" si="4"/>
        <v>1</v>
      </c>
      <c r="AN42">
        <f t="shared" si="15"/>
        <v>0</v>
      </c>
      <c r="AO42" s="28">
        <f t="shared" si="8"/>
        <v>0</v>
      </c>
      <c r="AP42" s="28">
        <f t="shared" si="9"/>
        <v>0</v>
      </c>
      <c r="AQ42" s="28">
        <f t="shared" si="16"/>
        <v>0</v>
      </c>
      <c r="AR42" s="29">
        <f t="shared" si="17"/>
        <v>0</v>
      </c>
      <c r="AT42" s="12"/>
      <c r="AU42">
        <f t="shared" si="10"/>
        <v>0</v>
      </c>
      <c r="AV42">
        <f t="shared" si="11"/>
        <v>0</v>
      </c>
      <c r="AW42">
        <f t="shared" si="18"/>
        <v>0</v>
      </c>
      <c r="AX42">
        <f t="shared" si="5"/>
        <v>1</v>
      </c>
      <c r="AY42">
        <f t="shared" si="19"/>
        <v>0</v>
      </c>
      <c r="AZ42" s="28">
        <f t="shared" si="12"/>
        <v>0</v>
      </c>
      <c r="BA42" s="28">
        <f t="shared" si="13"/>
        <v>0</v>
      </c>
      <c r="BB42" s="28">
        <f t="shared" si="20"/>
        <v>0</v>
      </c>
      <c r="BC42" s="29">
        <f t="shared" si="21"/>
        <v>0</v>
      </c>
      <c r="BE42" s="29">
        <f t="shared" si="22"/>
        <v>0</v>
      </c>
      <c r="BF42" s="29">
        <f t="shared" si="23"/>
        <v>0</v>
      </c>
      <c r="BH42" s="29"/>
    </row>
    <row r="43" spans="1:124" x14ac:dyDescent="0.25">
      <c r="A43" s="1">
        <v>46085</v>
      </c>
      <c r="B43" s="33">
        <v>16.940000000000001</v>
      </c>
      <c r="C43" s="33">
        <v>22.09</v>
      </c>
      <c r="D43" s="15">
        <v>-5.9014460255080604E-4</v>
      </c>
      <c r="E43" s="15">
        <v>-4.5259109168143601E-4</v>
      </c>
      <c r="F43" s="33">
        <v>0</v>
      </c>
      <c r="G43" s="33">
        <v>0.12424</v>
      </c>
      <c r="H43" s="33">
        <v>0</v>
      </c>
      <c r="I43" s="33">
        <v>0.16381599999999999</v>
      </c>
      <c r="J43" s="33">
        <v>0.12424</v>
      </c>
      <c r="K43" s="33">
        <v>0.16381599999999999</v>
      </c>
      <c r="L43" s="33">
        <v>17.064240000000002</v>
      </c>
      <c r="M43" s="33">
        <v>22.253816</v>
      </c>
      <c r="N43" s="34">
        <v>1.3040141676505299</v>
      </c>
      <c r="O43" s="34">
        <v>1.3062602516891499</v>
      </c>
      <c r="P43" s="34">
        <v>1.30677701117037</v>
      </c>
      <c r="Q43" s="34">
        <v>1.30573415779154</v>
      </c>
      <c r="R43" s="33">
        <v>22.128048663614202</v>
      </c>
      <c r="S43" s="33">
        <v>22.13637248697</v>
      </c>
      <c r="T43" s="33">
        <v>22.119397438199002</v>
      </c>
      <c r="U43" s="15">
        <v>1.7209566751529299E-3</v>
      </c>
      <c r="V43" s="15">
        <v>2.0970521142240398E-3</v>
      </c>
      <c r="W43" s="15">
        <v>1.32991826332818E-3</v>
      </c>
      <c r="X43" s="34">
        <v>1.3041199608069201</v>
      </c>
      <c r="Y43" s="34">
        <v>1.3045124660331</v>
      </c>
      <c r="Z43" s="34">
        <v>1.30446775412176</v>
      </c>
      <c r="AA43" s="34">
        <v>1.3046052038596401</v>
      </c>
      <c r="AB43" s="33">
        <v>22.2605138033807</v>
      </c>
      <c r="AC43" s="33">
        <v>22.259230219859301</v>
      </c>
      <c r="AD43" s="33">
        <v>22.262313930002001</v>
      </c>
      <c r="AE43" s="15">
        <v>3.00927969076868E-4</v>
      </c>
      <c r="AF43" s="15">
        <v>2.4326440654496201E-4</v>
      </c>
      <c r="AG43" s="15">
        <v>3.8179105500311201E-4</v>
      </c>
      <c r="AI43" s="12"/>
      <c r="AJ43">
        <f t="shared" si="6"/>
        <v>0</v>
      </c>
      <c r="AK43">
        <f t="shared" si="7"/>
        <v>1</v>
      </c>
      <c r="AL43">
        <f t="shared" si="14"/>
        <v>0</v>
      </c>
      <c r="AM43">
        <f t="shared" si="4"/>
        <v>1</v>
      </c>
      <c r="AN43">
        <f t="shared" si="15"/>
        <v>0</v>
      </c>
      <c r="AO43" s="28">
        <f t="shared" si="8"/>
        <v>0</v>
      </c>
      <c r="AP43" s="28">
        <f t="shared" si="9"/>
        <v>0</v>
      </c>
      <c r="AQ43" s="28">
        <f t="shared" si="16"/>
        <v>0</v>
      </c>
      <c r="AR43" s="29">
        <f t="shared" si="17"/>
        <v>0</v>
      </c>
      <c r="AT43" s="12"/>
      <c r="AU43">
        <f t="shared" si="10"/>
        <v>0</v>
      </c>
      <c r="AV43">
        <f t="shared" si="11"/>
        <v>0</v>
      </c>
      <c r="AW43">
        <f t="shared" si="18"/>
        <v>0</v>
      </c>
      <c r="AX43">
        <f t="shared" si="5"/>
        <v>1</v>
      </c>
      <c r="AY43">
        <f t="shared" si="19"/>
        <v>0</v>
      </c>
      <c r="AZ43" s="28">
        <f t="shared" si="12"/>
        <v>0</v>
      </c>
      <c r="BA43" s="28">
        <f t="shared" si="13"/>
        <v>0</v>
      </c>
      <c r="BB43" s="28">
        <f t="shared" si="20"/>
        <v>0</v>
      </c>
      <c r="BC43" s="29">
        <f t="shared" si="21"/>
        <v>0</v>
      </c>
      <c r="BE43" s="29">
        <f t="shared" si="22"/>
        <v>0</v>
      </c>
      <c r="BF43" s="29">
        <f t="shared" si="23"/>
        <v>0</v>
      </c>
      <c r="BH43" s="29"/>
    </row>
    <row r="44" spans="1:124" x14ac:dyDescent="0.25">
      <c r="A44" s="1">
        <v>46086</v>
      </c>
      <c r="B44" s="33">
        <v>16.920000000000002</v>
      </c>
      <c r="C44" s="33">
        <v>22.07</v>
      </c>
      <c r="D44" s="15">
        <v>-1.1813350458310899E-3</v>
      </c>
      <c r="E44" s="15">
        <v>-9.05797163380798E-4</v>
      </c>
      <c r="F44" s="33">
        <v>0</v>
      </c>
      <c r="G44" s="33">
        <v>0.12424</v>
      </c>
      <c r="H44" s="33">
        <v>0</v>
      </c>
      <c r="I44" s="33">
        <v>0.16381599999999999</v>
      </c>
      <c r="J44" s="33">
        <v>0.12424</v>
      </c>
      <c r="K44" s="33">
        <v>0.16381599999999999</v>
      </c>
      <c r="L44" s="33">
        <v>17.044239999999999</v>
      </c>
      <c r="M44" s="33">
        <v>22.233816000000001</v>
      </c>
      <c r="N44" s="34">
        <v>1.3043735224586199</v>
      </c>
      <c r="O44" s="34">
        <v>1.3062602516891499</v>
      </c>
      <c r="P44" s="34">
        <v>1.30677958080754</v>
      </c>
      <c r="Q44" s="34">
        <v>1.30570712639523</v>
      </c>
      <c r="R44" s="33">
        <v>22.101923458580401</v>
      </c>
      <c r="S44" s="33">
        <v>22.110667029002801</v>
      </c>
      <c r="T44" s="33">
        <v>22.093021949832899</v>
      </c>
      <c r="U44" s="15">
        <v>1.44541879270266E-3</v>
      </c>
      <c r="V44" s="15">
        <v>1.84094280248911E-3</v>
      </c>
      <c r="W44" s="15">
        <v>1.0425895195546901E-3</v>
      </c>
      <c r="X44" s="34">
        <v>1.3044768203217001</v>
      </c>
      <c r="Y44" s="34">
        <v>1.3045124660331</v>
      </c>
      <c r="Z44" s="34">
        <v>1.30447540887431</v>
      </c>
      <c r="AA44" s="34">
        <v>1.3045807990573</v>
      </c>
      <c r="AB44" s="33">
        <v>22.234423554060001</v>
      </c>
      <c r="AC44" s="33">
        <v>22.233661473512399</v>
      </c>
      <c r="AD44" s="33">
        <v>22.236004199832699</v>
      </c>
      <c r="AE44" s="15">
        <v>2.7325303011726801E-5</v>
      </c>
      <c r="AF44" s="15">
        <v>-6.9500901052352403E-6</v>
      </c>
      <c r="AG44" s="15">
        <v>9.8412803318912603E-5</v>
      </c>
      <c r="AI44" s="12"/>
      <c r="AJ44">
        <f t="shared" si="6"/>
        <v>0</v>
      </c>
      <c r="AK44">
        <f t="shared" si="7"/>
        <v>1</v>
      </c>
      <c r="AL44">
        <f t="shared" si="14"/>
        <v>0</v>
      </c>
      <c r="AM44">
        <f t="shared" si="4"/>
        <v>1</v>
      </c>
      <c r="AN44">
        <f t="shared" si="15"/>
        <v>0</v>
      </c>
      <c r="AO44" s="28">
        <f t="shared" si="8"/>
        <v>0</v>
      </c>
      <c r="AP44" s="28">
        <f t="shared" si="9"/>
        <v>0</v>
      </c>
      <c r="AQ44" s="28">
        <f t="shared" si="16"/>
        <v>0</v>
      </c>
      <c r="AR44" s="29">
        <f t="shared" si="17"/>
        <v>0</v>
      </c>
      <c r="AT44" s="12"/>
      <c r="AU44">
        <f t="shared" si="10"/>
        <v>0</v>
      </c>
      <c r="AV44">
        <f t="shared" si="11"/>
        <v>1</v>
      </c>
      <c r="AW44">
        <f t="shared" si="18"/>
        <v>0</v>
      </c>
      <c r="AX44">
        <f t="shared" si="5"/>
        <v>1</v>
      </c>
      <c r="AY44">
        <f t="shared" si="19"/>
        <v>0</v>
      </c>
      <c r="AZ44" s="28">
        <f t="shared" si="12"/>
        <v>0</v>
      </c>
      <c r="BA44" s="28">
        <f t="shared" si="13"/>
        <v>0</v>
      </c>
      <c r="BB44" s="28">
        <f t="shared" si="20"/>
        <v>0</v>
      </c>
      <c r="BC44" s="29">
        <f t="shared" si="21"/>
        <v>0</v>
      </c>
      <c r="BE44" s="29">
        <f t="shared" si="22"/>
        <v>0</v>
      </c>
      <c r="BF44" s="29">
        <f t="shared" si="23"/>
        <v>0</v>
      </c>
      <c r="BH44" s="29"/>
    </row>
    <row r="45" spans="1:124" x14ac:dyDescent="0.25">
      <c r="A45" s="1">
        <v>46087</v>
      </c>
      <c r="B45" s="33">
        <v>16.899999999999999</v>
      </c>
      <c r="C45" s="33">
        <v>22.05</v>
      </c>
      <c r="D45" s="15">
        <v>-1.1827322490496001E-3</v>
      </c>
      <c r="E45" s="15">
        <v>-9.0661837578997605E-4</v>
      </c>
      <c r="F45" s="33">
        <v>0</v>
      </c>
      <c r="G45" s="33">
        <v>0.12424</v>
      </c>
      <c r="H45" s="33">
        <v>0</v>
      </c>
      <c r="I45" s="33">
        <v>0.16381599999999999</v>
      </c>
      <c r="J45" s="33">
        <v>0.12424</v>
      </c>
      <c r="K45" s="33">
        <v>0.16381599999999999</v>
      </c>
      <c r="L45" s="33">
        <v>17.024239999999999</v>
      </c>
      <c r="M45" s="33">
        <v>22.213816000000001</v>
      </c>
      <c r="N45" s="34">
        <v>1.3047337278106499</v>
      </c>
      <c r="O45" s="34">
        <v>1.3062602516891499</v>
      </c>
      <c r="P45" s="34">
        <v>1.30689476216171</v>
      </c>
      <c r="Q45" s="34">
        <v>1.3057225738477101</v>
      </c>
      <c r="R45" s="33">
        <v>22.075798253546601</v>
      </c>
      <c r="S45" s="33">
        <v>22.084574915647501</v>
      </c>
      <c r="T45" s="33">
        <v>22.066450436079499</v>
      </c>
      <c r="U45" s="15">
        <v>1.1693049194428701E-3</v>
      </c>
      <c r="V45" s="15">
        <v>1.5667953202957801E-3</v>
      </c>
      <c r="W45" s="15">
        <v>7.4577336478073104E-4</v>
      </c>
      <c r="X45" s="34">
        <v>1.30483451831036</v>
      </c>
      <c r="Y45" s="34">
        <v>1.3045124660331</v>
      </c>
      <c r="Z45" s="34">
        <v>1.3045951482842999</v>
      </c>
      <c r="AA45" s="34">
        <v>1.3045986670108101</v>
      </c>
      <c r="AB45" s="33">
        <v>22.208333304739401</v>
      </c>
      <c r="AC45" s="33">
        <v>22.2077024347745</v>
      </c>
      <c r="AD45" s="33">
        <v>22.209496622543298</v>
      </c>
      <c r="AE45" s="15">
        <v>-2.4684511552231999E-4</v>
      </c>
      <c r="AF45" s="15">
        <v>-2.7525242177564498E-4</v>
      </c>
      <c r="AG45" s="15">
        <v>-1.9446444739553299E-4</v>
      </c>
      <c r="AI45" s="12"/>
      <c r="AJ45">
        <f t="shared" si="6"/>
        <v>0</v>
      </c>
      <c r="AK45">
        <f t="shared" si="7"/>
        <v>1</v>
      </c>
      <c r="AL45">
        <f t="shared" si="14"/>
        <v>0</v>
      </c>
      <c r="AM45">
        <f t="shared" si="4"/>
        <v>1</v>
      </c>
      <c r="AN45">
        <f t="shared" si="15"/>
        <v>0</v>
      </c>
      <c r="AO45" s="28">
        <f t="shared" si="8"/>
        <v>0</v>
      </c>
      <c r="AP45" s="28">
        <f t="shared" si="9"/>
        <v>0</v>
      </c>
      <c r="AQ45" s="28">
        <f t="shared" si="16"/>
        <v>0</v>
      </c>
      <c r="AR45" s="29">
        <f t="shared" si="17"/>
        <v>0</v>
      </c>
      <c r="AT45" s="12"/>
      <c r="AU45">
        <f t="shared" si="10"/>
        <v>0</v>
      </c>
      <c r="AV45">
        <f t="shared" si="11"/>
        <v>1</v>
      </c>
      <c r="AW45">
        <f t="shared" si="18"/>
        <v>0</v>
      </c>
      <c r="AX45">
        <f t="shared" si="5"/>
        <v>1</v>
      </c>
      <c r="AY45">
        <f t="shared" si="19"/>
        <v>0</v>
      </c>
      <c r="AZ45" s="28">
        <f t="shared" si="12"/>
        <v>0</v>
      </c>
      <c r="BA45" s="28">
        <f t="shared" si="13"/>
        <v>0</v>
      </c>
      <c r="BB45" s="28">
        <f t="shared" si="20"/>
        <v>0</v>
      </c>
      <c r="BC45" s="29">
        <f t="shared" si="21"/>
        <v>0</v>
      </c>
      <c r="BE45" s="29">
        <f t="shared" si="22"/>
        <v>0</v>
      </c>
      <c r="BF45" s="29">
        <f t="shared" si="23"/>
        <v>0</v>
      </c>
      <c r="BH45" s="29"/>
    </row>
    <row r="46" spans="1:124" x14ac:dyDescent="0.25">
      <c r="A46" s="1">
        <v>46090</v>
      </c>
      <c r="B46" s="33">
        <v>16.920000000000002</v>
      </c>
      <c r="C46" s="33">
        <v>22.09</v>
      </c>
      <c r="D46" s="15">
        <v>1.1827322490496101E-3</v>
      </c>
      <c r="E46" s="15">
        <v>1.8124155391707E-3</v>
      </c>
      <c r="F46" s="33">
        <v>0</v>
      </c>
      <c r="G46" s="33">
        <v>0.12424</v>
      </c>
      <c r="H46" s="33">
        <v>0</v>
      </c>
      <c r="I46" s="33">
        <v>0.16381599999999999</v>
      </c>
      <c r="J46" s="33">
        <v>0.12424</v>
      </c>
      <c r="K46" s="33">
        <v>0.16381599999999999</v>
      </c>
      <c r="L46" s="33">
        <v>17.044239999999999</v>
      </c>
      <c r="M46" s="33">
        <v>22.253816</v>
      </c>
      <c r="N46" s="34">
        <v>1.30555555555555</v>
      </c>
      <c r="O46" s="34">
        <v>1.3062602516891499</v>
      </c>
      <c r="P46" s="34">
        <v>1.3065679647760899</v>
      </c>
      <c r="Q46" s="34">
        <v>1.30573159793382</v>
      </c>
      <c r="R46" s="33">
        <v>22.101923458580401</v>
      </c>
      <c r="S46" s="33">
        <v>22.1126593757762</v>
      </c>
      <c r="T46" s="33">
        <v>22.0928259495033</v>
      </c>
      <c r="U46" s="15">
        <v>5.3962162932187695E-4</v>
      </c>
      <c r="V46" s="15">
        <v>1.0252495248523001E-3</v>
      </c>
      <c r="W46" s="15">
        <v>1.2792072242936601E-4</v>
      </c>
      <c r="X46" s="34">
        <v>1.3056502372648999</v>
      </c>
      <c r="Y46" s="34">
        <v>1.3045124660331</v>
      </c>
      <c r="Z46" s="34">
        <v>1.3047472485759399</v>
      </c>
      <c r="AA46" s="34">
        <v>1.30460997742163</v>
      </c>
      <c r="AB46" s="33">
        <v>22.234423554060001</v>
      </c>
      <c r="AC46" s="33">
        <v>22.235832810193202</v>
      </c>
      <c r="AD46" s="33">
        <v>22.2358927842123</v>
      </c>
      <c r="AE46" s="15">
        <v>-8.7180105855232701E-4</v>
      </c>
      <c r="AF46" s="15">
        <v>-8.0842134146279102E-4</v>
      </c>
      <c r="AG46" s="15">
        <v>-8.0572416619816402E-4</v>
      </c>
      <c r="AI46" s="12"/>
      <c r="AJ46">
        <f t="shared" si="6"/>
        <v>0</v>
      </c>
      <c r="AK46">
        <f t="shared" si="7"/>
        <v>0</v>
      </c>
      <c r="AL46">
        <f t="shared" si="14"/>
        <v>0</v>
      </c>
      <c r="AM46">
        <f t="shared" si="4"/>
        <v>1</v>
      </c>
      <c r="AN46">
        <f t="shared" si="15"/>
        <v>0</v>
      </c>
      <c r="AO46" s="28">
        <f t="shared" si="8"/>
        <v>0</v>
      </c>
      <c r="AP46" s="28">
        <f t="shared" si="9"/>
        <v>0</v>
      </c>
      <c r="AQ46" s="28">
        <f t="shared" si="16"/>
        <v>0</v>
      </c>
      <c r="AR46" s="29">
        <f t="shared" si="17"/>
        <v>0</v>
      </c>
      <c r="AT46" s="12"/>
      <c r="AU46">
        <f t="shared" si="10"/>
        <v>0</v>
      </c>
      <c r="AV46">
        <f t="shared" si="11"/>
        <v>1</v>
      </c>
      <c r="AW46">
        <f t="shared" si="18"/>
        <v>0</v>
      </c>
      <c r="AX46">
        <f t="shared" si="5"/>
        <v>1</v>
      </c>
      <c r="AY46">
        <f t="shared" si="19"/>
        <v>0</v>
      </c>
      <c r="AZ46" s="28">
        <f t="shared" si="12"/>
        <v>0</v>
      </c>
      <c r="BA46" s="28">
        <f t="shared" si="13"/>
        <v>0</v>
      </c>
      <c r="BB46" s="28">
        <f t="shared" si="20"/>
        <v>0</v>
      </c>
      <c r="BC46" s="29">
        <f t="shared" si="21"/>
        <v>0</v>
      </c>
      <c r="BE46" s="29">
        <f t="shared" si="22"/>
        <v>0</v>
      </c>
      <c r="BF46" s="29">
        <f t="shared" si="23"/>
        <v>0</v>
      </c>
      <c r="BH46" s="29"/>
    </row>
    <row r="47" spans="1:124" x14ac:dyDescent="0.25">
      <c r="A47" s="1">
        <v>46091</v>
      </c>
      <c r="B47" s="33">
        <v>16.89</v>
      </c>
      <c r="C47" s="33">
        <v>22.03</v>
      </c>
      <c r="D47" s="15">
        <v>-1.7746233583685999E-3</v>
      </c>
      <c r="E47" s="15">
        <v>-2.71985661777401E-3</v>
      </c>
      <c r="F47" s="33">
        <v>0</v>
      </c>
      <c r="G47" s="33">
        <v>0.12424</v>
      </c>
      <c r="H47" s="33">
        <v>0</v>
      </c>
      <c r="I47" s="33">
        <v>0.16381599999999999</v>
      </c>
      <c r="J47" s="33">
        <v>0.12424</v>
      </c>
      <c r="K47" s="33">
        <v>0.16381599999999999</v>
      </c>
      <c r="L47" s="33">
        <v>17.014240000000001</v>
      </c>
      <c r="M47" s="33">
        <v>22.193816000000002</v>
      </c>
      <c r="N47" s="34">
        <v>1.30432208407341</v>
      </c>
      <c r="O47" s="34">
        <v>1.3062602516891499</v>
      </c>
      <c r="P47" s="34">
        <v>1.3059636596380899</v>
      </c>
      <c r="Q47" s="34">
        <v>1.30576491911862</v>
      </c>
      <c r="R47" s="33">
        <v>22.062735651029701</v>
      </c>
      <c r="S47" s="33">
        <v>22.067932925068199</v>
      </c>
      <c r="T47" s="33">
        <v>22.053806689102199</v>
      </c>
      <c r="U47" s="15">
        <v>1.48485488872702E-3</v>
      </c>
      <c r="V47" s="15">
        <v>1.7203951254929201E-3</v>
      </c>
      <c r="W47" s="15">
        <v>1.0800651397666599E-3</v>
      </c>
      <c r="X47" s="34">
        <v>1.3044259396834601</v>
      </c>
      <c r="Y47" s="34">
        <v>1.3045124660331</v>
      </c>
      <c r="Z47" s="34">
        <v>1.30462442718528</v>
      </c>
      <c r="AA47" s="34">
        <v>1.30464573304401</v>
      </c>
      <c r="AB47" s="33">
        <v>22.195288180079</v>
      </c>
      <c r="AC47" s="33">
        <v>22.199282826610698</v>
      </c>
      <c r="AD47" s="33">
        <v>22.196947262246301</v>
      </c>
      <c r="AE47" s="15">
        <v>6.6330695642663804E-5</v>
      </c>
      <c r="AF47" s="15">
        <v>2.4629173375458898E-4</v>
      </c>
      <c r="AG47" s="15">
        <v>1.4107719811128801E-4</v>
      </c>
      <c r="AI47" s="12"/>
      <c r="AJ47">
        <f t="shared" si="6"/>
        <v>0</v>
      </c>
      <c r="AK47">
        <f t="shared" si="7"/>
        <v>1</v>
      </c>
      <c r="AL47">
        <f t="shared" si="14"/>
        <v>0</v>
      </c>
      <c r="AM47">
        <f t="shared" si="4"/>
        <v>1</v>
      </c>
      <c r="AN47">
        <f t="shared" si="15"/>
        <v>0</v>
      </c>
      <c r="AO47" s="28">
        <f t="shared" si="8"/>
        <v>0</v>
      </c>
      <c r="AP47" s="28">
        <f t="shared" si="9"/>
        <v>0</v>
      </c>
      <c r="AQ47" s="28">
        <f t="shared" si="16"/>
        <v>0</v>
      </c>
      <c r="AR47" s="29">
        <f t="shared" si="17"/>
        <v>0</v>
      </c>
      <c r="AT47" s="12"/>
      <c r="AU47">
        <f t="shared" si="10"/>
        <v>0</v>
      </c>
      <c r="AV47">
        <f t="shared" si="11"/>
        <v>1</v>
      </c>
      <c r="AW47">
        <f t="shared" si="18"/>
        <v>0</v>
      </c>
      <c r="AX47">
        <f t="shared" si="5"/>
        <v>1</v>
      </c>
      <c r="AY47">
        <f t="shared" si="19"/>
        <v>0</v>
      </c>
      <c r="AZ47" s="28">
        <f t="shared" si="12"/>
        <v>0</v>
      </c>
      <c r="BA47" s="28">
        <f t="shared" si="13"/>
        <v>0</v>
      </c>
      <c r="BB47" s="28">
        <f t="shared" si="20"/>
        <v>0</v>
      </c>
      <c r="BC47" s="29">
        <f t="shared" si="21"/>
        <v>0</v>
      </c>
      <c r="BE47" s="29">
        <f t="shared" si="22"/>
        <v>0</v>
      </c>
      <c r="BF47" s="29">
        <f t="shared" si="23"/>
        <v>0</v>
      </c>
      <c r="BH47" s="29"/>
    </row>
    <row r="48" spans="1:124" x14ac:dyDescent="0.25">
      <c r="A48" s="1">
        <v>46092</v>
      </c>
      <c r="B48" s="33">
        <v>16.84</v>
      </c>
      <c r="C48" s="33">
        <v>21.97</v>
      </c>
      <c r="D48" s="15">
        <v>-2.96472200552812E-3</v>
      </c>
      <c r="E48" s="15">
        <v>-2.7272744177330201E-3</v>
      </c>
      <c r="F48" s="33">
        <v>0</v>
      </c>
      <c r="G48" s="33">
        <v>0.12424</v>
      </c>
      <c r="H48" s="33">
        <v>0</v>
      </c>
      <c r="I48" s="33">
        <v>0.16381599999999999</v>
      </c>
      <c r="J48" s="33">
        <v>0.12424</v>
      </c>
      <c r="K48" s="33">
        <v>0.16381599999999999</v>
      </c>
      <c r="L48" s="33">
        <v>16.96424</v>
      </c>
      <c r="M48" s="33">
        <v>22.133815999999999</v>
      </c>
      <c r="N48" s="34">
        <v>1.3046318289786201</v>
      </c>
      <c r="O48" s="34">
        <v>1.3062602516891499</v>
      </c>
      <c r="P48" s="34">
        <v>1.30548989498144</v>
      </c>
      <c r="Q48" s="34">
        <v>1.3057842464166101</v>
      </c>
      <c r="R48" s="33">
        <v>21.9974226384453</v>
      </c>
      <c r="S48" s="33">
        <v>21.992428028305401</v>
      </c>
      <c r="T48" s="33">
        <v>21.989081237957599</v>
      </c>
      <c r="U48" s="15">
        <v>1.2474073009320599E-3</v>
      </c>
      <c r="V48" s="15">
        <v>1.02032718651335E-3</v>
      </c>
      <c r="W48" s="15">
        <v>8.6813639496984398E-4</v>
      </c>
      <c r="X48" s="34">
        <v>1.3047337222298101</v>
      </c>
      <c r="Y48" s="34">
        <v>1.3045124660331</v>
      </c>
      <c r="Z48" s="34">
        <v>1.30463150198879</v>
      </c>
      <c r="AA48" s="34">
        <v>1.3046675046460501</v>
      </c>
      <c r="AB48" s="33">
        <v>22.1300625567774</v>
      </c>
      <c r="AC48" s="33">
        <v>22.131961892633701</v>
      </c>
      <c r="AD48" s="33">
        <v>22.132323330334501</v>
      </c>
      <c r="AE48" s="15">
        <v>-1.6959396031076499E-4</v>
      </c>
      <c r="AF48" s="15">
        <v>-8.3771593116419702E-5</v>
      </c>
      <c r="AG48" s="15">
        <v>-6.7440697949656706E-5</v>
      </c>
      <c r="AI48" s="12"/>
      <c r="AJ48">
        <f t="shared" si="6"/>
        <v>0</v>
      </c>
      <c r="AK48">
        <f t="shared" si="7"/>
        <v>1</v>
      </c>
      <c r="AL48">
        <f t="shared" si="14"/>
        <v>0</v>
      </c>
      <c r="AM48">
        <f t="shared" si="4"/>
        <v>1</v>
      </c>
      <c r="AN48">
        <f t="shared" si="15"/>
        <v>0</v>
      </c>
      <c r="AO48" s="28">
        <f t="shared" si="8"/>
        <v>0</v>
      </c>
      <c r="AP48" s="28">
        <f t="shared" si="9"/>
        <v>0</v>
      </c>
      <c r="AQ48" s="28">
        <f t="shared" si="16"/>
        <v>0</v>
      </c>
      <c r="AR48" s="29">
        <f t="shared" si="17"/>
        <v>0</v>
      </c>
      <c r="AT48" s="12"/>
      <c r="AU48">
        <f t="shared" si="10"/>
        <v>0</v>
      </c>
      <c r="AV48">
        <f t="shared" si="11"/>
        <v>1</v>
      </c>
      <c r="AW48">
        <f t="shared" si="18"/>
        <v>0</v>
      </c>
      <c r="AX48">
        <f t="shared" si="5"/>
        <v>1</v>
      </c>
      <c r="AY48">
        <f t="shared" si="19"/>
        <v>0</v>
      </c>
      <c r="AZ48" s="28">
        <f t="shared" si="12"/>
        <v>0</v>
      </c>
      <c r="BA48" s="28">
        <f t="shared" si="13"/>
        <v>0</v>
      </c>
      <c r="BB48" s="28">
        <f t="shared" si="20"/>
        <v>0</v>
      </c>
      <c r="BC48" s="29">
        <f t="shared" si="21"/>
        <v>0</v>
      </c>
      <c r="BE48" s="29">
        <f t="shared" si="22"/>
        <v>0</v>
      </c>
      <c r="BF48" s="29">
        <f t="shared" si="23"/>
        <v>0</v>
      </c>
      <c r="BH48" s="29"/>
    </row>
    <row r="49" spans="1:60" x14ac:dyDescent="0.25">
      <c r="A49" s="1">
        <v>46093</v>
      </c>
      <c r="B49" s="33">
        <v>16.75</v>
      </c>
      <c r="C49" s="33">
        <v>21.86</v>
      </c>
      <c r="D49" s="15">
        <v>-5.35875054310519E-3</v>
      </c>
      <c r="E49" s="15">
        <v>-5.0194036481262597E-3</v>
      </c>
      <c r="F49" s="33">
        <v>0</v>
      </c>
      <c r="G49" s="33">
        <v>0.12424</v>
      </c>
      <c r="H49" s="33">
        <v>0</v>
      </c>
      <c r="I49" s="33">
        <v>0.16381599999999999</v>
      </c>
      <c r="J49" s="33">
        <v>0.12424</v>
      </c>
      <c r="K49" s="33">
        <v>0.16381599999999999</v>
      </c>
      <c r="L49" s="33">
        <v>16.87424</v>
      </c>
      <c r="M49" s="33">
        <v>22.023816</v>
      </c>
      <c r="N49" s="34">
        <v>1.3050746268656701</v>
      </c>
      <c r="O49" s="34">
        <v>1.3062602516891499</v>
      </c>
      <c r="P49" s="34">
        <v>1.3050197369377401</v>
      </c>
      <c r="Q49" s="34">
        <v>1.3057872402967701</v>
      </c>
      <c r="R49" s="33">
        <v>21.879859215793299</v>
      </c>
      <c r="S49" s="33">
        <v>21.866955740939201</v>
      </c>
      <c r="T49" s="33">
        <v>21.871886127478199</v>
      </c>
      <c r="U49" s="15">
        <v>9.0806040595329499E-4</v>
      </c>
      <c r="V49" s="15">
        <v>3.1814430618420898E-4</v>
      </c>
      <c r="W49" s="15">
        <v>5.4359090464596203E-4</v>
      </c>
      <c r="X49" s="34">
        <v>1.3051738033831399</v>
      </c>
      <c r="Y49" s="34">
        <v>1.3045124660331</v>
      </c>
      <c r="Z49" s="34">
        <v>1.30464193200367</v>
      </c>
      <c r="AA49" s="34">
        <v>1.30467294643976</v>
      </c>
      <c r="AB49" s="33">
        <v>22.012656434834401</v>
      </c>
      <c r="AC49" s="33">
        <v>22.0146650761193</v>
      </c>
      <c r="AD49" s="33">
        <v>22.0152725935985</v>
      </c>
      <c r="AE49" s="15">
        <v>-5.0683284956420504E-4</v>
      </c>
      <c r="AF49" s="15">
        <v>-4.1558763103405002E-4</v>
      </c>
      <c r="AG49" s="15">
        <v>-3.8799197628443098E-4</v>
      </c>
      <c r="AI49" s="12"/>
      <c r="AJ49">
        <f t="shared" si="6"/>
        <v>0</v>
      </c>
      <c r="AK49">
        <f t="shared" si="7"/>
        <v>0</v>
      </c>
      <c r="AL49">
        <f t="shared" si="14"/>
        <v>0</v>
      </c>
      <c r="AM49">
        <f t="shared" si="4"/>
        <v>1</v>
      </c>
      <c r="AN49">
        <f t="shared" si="15"/>
        <v>0</v>
      </c>
      <c r="AO49" s="28">
        <f t="shared" si="8"/>
        <v>0</v>
      </c>
      <c r="AP49" s="28">
        <f t="shared" si="9"/>
        <v>0</v>
      </c>
      <c r="AQ49" s="28">
        <f t="shared" si="16"/>
        <v>0</v>
      </c>
      <c r="AR49" s="29">
        <f t="shared" si="17"/>
        <v>0</v>
      </c>
      <c r="AT49" s="12"/>
      <c r="AU49">
        <f t="shared" si="10"/>
        <v>0</v>
      </c>
      <c r="AV49">
        <f t="shared" si="11"/>
        <v>1</v>
      </c>
      <c r="AW49">
        <f t="shared" si="18"/>
        <v>0</v>
      </c>
      <c r="AX49">
        <f t="shared" si="5"/>
        <v>1</v>
      </c>
      <c r="AY49">
        <f t="shared" si="19"/>
        <v>0</v>
      </c>
      <c r="AZ49" s="28">
        <f t="shared" si="12"/>
        <v>0</v>
      </c>
      <c r="BA49" s="28">
        <f t="shared" si="13"/>
        <v>0</v>
      </c>
      <c r="BB49" s="28">
        <f t="shared" si="20"/>
        <v>0</v>
      </c>
      <c r="BC49" s="29">
        <f t="shared" si="21"/>
        <v>0</v>
      </c>
      <c r="BE49" s="29">
        <f t="shared" si="22"/>
        <v>0</v>
      </c>
      <c r="BF49" s="29">
        <f t="shared" si="23"/>
        <v>0</v>
      </c>
      <c r="BH49" s="29"/>
    </row>
    <row r="50" spans="1:60" x14ac:dyDescent="0.25">
      <c r="A50" s="1">
        <v>46094</v>
      </c>
      <c r="B50" s="33">
        <v>16.73</v>
      </c>
      <c r="C50" s="33">
        <v>21.84</v>
      </c>
      <c r="D50" s="15">
        <v>-1.1947432723428001E-3</v>
      </c>
      <c r="E50" s="15">
        <v>-9.1533187168820298E-4</v>
      </c>
      <c r="F50" s="33">
        <v>0</v>
      </c>
      <c r="G50" s="33">
        <v>0.12424</v>
      </c>
      <c r="H50" s="33">
        <v>0</v>
      </c>
      <c r="I50" s="33">
        <v>0.16381599999999999</v>
      </c>
      <c r="J50" s="33">
        <v>0.12424</v>
      </c>
      <c r="K50" s="33">
        <v>0.16381599999999999</v>
      </c>
      <c r="L50" s="33">
        <v>16.854240000000001</v>
      </c>
      <c r="M50" s="33">
        <v>22.003816</v>
      </c>
      <c r="N50" s="34">
        <v>1.30543933054393</v>
      </c>
      <c r="O50" s="34">
        <v>1.3062602516891499</v>
      </c>
      <c r="P50" s="34">
        <v>1.30462249352154</v>
      </c>
      <c r="Q50" s="34">
        <v>1.30580596771913</v>
      </c>
      <c r="R50" s="33">
        <v>21.853734010759499</v>
      </c>
      <c r="S50" s="33">
        <v>21.8329801989684</v>
      </c>
      <c r="T50" s="33">
        <v>21.8458205301649</v>
      </c>
      <c r="U50" s="15">
        <v>6.2864900529868305E-4</v>
      </c>
      <c r="V50" s="15">
        <v>-3.2147112745949802E-4</v>
      </c>
      <c r="W50" s="15">
        <v>2.66472284543097E-4</v>
      </c>
      <c r="X50" s="34">
        <v>1.30553593635785</v>
      </c>
      <c r="Y50" s="34">
        <v>1.3045124660331</v>
      </c>
      <c r="Z50" s="34">
        <v>1.3047242054524</v>
      </c>
      <c r="AA50" s="34">
        <v>1.3046940068128501</v>
      </c>
      <c r="AB50" s="33">
        <v>21.986566185513698</v>
      </c>
      <c r="AC50" s="33">
        <v>21.988748236053599</v>
      </c>
      <c r="AD50" s="33">
        <v>21.989270960802902</v>
      </c>
      <c r="AE50" s="15">
        <v>-7.8425394431041497E-4</v>
      </c>
      <c r="AF50" s="15">
        <v>-6.8501415169679701E-4</v>
      </c>
      <c r="AG50" s="15">
        <v>-6.61242060145386E-4</v>
      </c>
      <c r="AI50" s="12"/>
      <c r="AJ50">
        <f t="shared" si="6"/>
        <v>0</v>
      </c>
      <c r="AK50">
        <f t="shared" si="7"/>
        <v>0</v>
      </c>
      <c r="AL50">
        <f t="shared" si="14"/>
        <v>0</v>
      </c>
      <c r="AM50">
        <f t="shared" si="4"/>
        <v>1</v>
      </c>
      <c r="AN50">
        <f t="shared" si="15"/>
        <v>0</v>
      </c>
      <c r="AO50" s="28">
        <f t="shared" si="8"/>
        <v>0</v>
      </c>
      <c r="AP50" s="28">
        <f t="shared" si="9"/>
        <v>0</v>
      </c>
      <c r="AQ50" s="28">
        <f t="shared" si="16"/>
        <v>0</v>
      </c>
      <c r="AR50" s="29">
        <f t="shared" si="17"/>
        <v>0</v>
      </c>
      <c r="AT50" s="12"/>
      <c r="AU50">
        <f t="shared" si="10"/>
        <v>0</v>
      </c>
      <c r="AV50">
        <f t="shared" si="11"/>
        <v>1</v>
      </c>
      <c r="AW50">
        <f t="shared" si="18"/>
        <v>0</v>
      </c>
      <c r="AX50">
        <f t="shared" si="5"/>
        <v>1</v>
      </c>
      <c r="AY50">
        <f t="shared" si="19"/>
        <v>0</v>
      </c>
      <c r="AZ50" s="28">
        <f t="shared" si="12"/>
        <v>0</v>
      </c>
      <c r="BA50" s="28">
        <f t="shared" si="13"/>
        <v>0</v>
      </c>
      <c r="BB50" s="28">
        <f t="shared" si="20"/>
        <v>0</v>
      </c>
      <c r="BC50" s="29">
        <f t="shared" si="21"/>
        <v>0</v>
      </c>
      <c r="BE50" s="29">
        <f t="shared" si="22"/>
        <v>0</v>
      </c>
      <c r="BF50" s="29">
        <f t="shared" si="23"/>
        <v>0</v>
      </c>
      <c r="BH50" s="29"/>
    </row>
    <row r="51" spans="1:60" x14ac:dyDescent="0.25">
      <c r="A51" s="1">
        <v>46097</v>
      </c>
      <c r="B51" s="33">
        <v>16.77</v>
      </c>
      <c r="C51" s="33">
        <v>21.88</v>
      </c>
      <c r="D51" s="15">
        <v>2.3880608363849101E-3</v>
      </c>
      <c r="E51" s="15">
        <v>1.82982667707615E-3</v>
      </c>
      <c r="F51" s="33">
        <v>0</v>
      </c>
      <c r="G51" s="33">
        <v>0.12424</v>
      </c>
      <c r="H51" s="33">
        <v>0</v>
      </c>
      <c r="I51" s="33">
        <v>0.16381599999999999</v>
      </c>
      <c r="J51" s="33">
        <v>0.12424</v>
      </c>
      <c r="K51" s="33">
        <v>0.16381599999999999</v>
      </c>
      <c r="L51" s="33">
        <v>16.89424</v>
      </c>
      <c r="M51" s="33">
        <v>22.043816</v>
      </c>
      <c r="N51" s="34">
        <v>1.3047107930828801</v>
      </c>
      <c r="O51" s="34">
        <v>1.3062602516891499</v>
      </c>
      <c r="P51" s="34">
        <v>1.3046690445279401</v>
      </c>
      <c r="Q51" s="34">
        <v>1.3057947388656399</v>
      </c>
      <c r="R51" s="33">
        <v>21.905984420827</v>
      </c>
      <c r="S51" s="33">
        <v>21.878519216356299</v>
      </c>
      <c r="T51" s="33">
        <v>21.8983660786499</v>
      </c>
      <c r="U51" s="15">
        <v>1.1868831646074001E-3</v>
      </c>
      <c r="V51" s="15">
        <v>-6.7679787650360896E-5</v>
      </c>
      <c r="W51" s="15">
        <v>8.3904820451360495E-4</v>
      </c>
      <c r="X51" s="34">
        <v>1.3048125278201299</v>
      </c>
      <c r="Y51" s="34">
        <v>1.3045124660331</v>
      </c>
      <c r="Z51" s="34">
        <v>1.3047705310734701</v>
      </c>
      <c r="AA51" s="34">
        <v>1.30468534958656</v>
      </c>
      <c r="AB51" s="33">
        <v>22.0387466841551</v>
      </c>
      <c r="AC51" s="33">
        <v>22.042323860722199</v>
      </c>
      <c r="AD51" s="33">
        <v>22.041813677657998</v>
      </c>
      <c r="AE51" s="15">
        <v>-2.2999188606911299E-4</v>
      </c>
      <c r="AF51" s="15">
        <v>-6.76919904097512E-5</v>
      </c>
      <c r="AG51" s="15">
        <v>-9.0837869752925305E-5</v>
      </c>
      <c r="AI51" s="12"/>
      <c r="AJ51">
        <f t="shared" si="6"/>
        <v>0</v>
      </c>
      <c r="AK51">
        <f t="shared" si="7"/>
        <v>1</v>
      </c>
      <c r="AL51">
        <f t="shared" si="14"/>
        <v>0</v>
      </c>
      <c r="AM51">
        <f t="shared" si="4"/>
        <v>1</v>
      </c>
      <c r="AN51">
        <f t="shared" si="15"/>
        <v>0</v>
      </c>
      <c r="AO51" s="28">
        <f t="shared" si="8"/>
        <v>0</v>
      </c>
      <c r="AP51" s="28">
        <f t="shared" si="9"/>
        <v>0</v>
      </c>
      <c r="AQ51" s="28">
        <f t="shared" si="16"/>
        <v>0</v>
      </c>
      <c r="AR51" s="29">
        <f t="shared" si="17"/>
        <v>0</v>
      </c>
      <c r="AT51" s="12"/>
      <c r="AU51">
        <f t="shared" si="10"/>
        <v>0</v>
      </c>
      <c r="AV51">
        <f t="shared" si="11"/>
        <v>1</v>
      </c>
      <c r="AW51">
        <f t="shared" si="18"/>
        <v>0</v>
      </c>
      <c r="AX51">
        <f t="shared" si="5"/>
        <v>1</v>
      </c>
      <c r="AY51">
        <f t="shared" si="19"/>
        <v>0</v>
      </c>
      <c r="AZ51" s="28">
        <f t="shared" si="12"/>
        <v>0</v>
      </c>
      <c r="BA51" s="28">
        <f t="shared" si="13"/>
        <v>0</v>
      </c>
      <c r="BB51" s="28">
        <f t="shared" si="20"/>
        <v>0</v>
      </c>
      <c r="BC51" s="29">
        <f t="shared" si="21"/>
        <v>0</v>
      </c>
      <c r="BE51" s="29">
        <f t="shared" si="22"/>
        <v>0</v>
      </c>
      <c r="BF51" s="29">
        <f t="shared" si="23"/>
        <v>0</v>
      </c>
      <c r="BH51" s="29"/>
    </row>
    <row r="52" spans="1:60" x14ac:dyDescent="0.25">
      <c r="A52" s="1">
        <v>46098</v>
      </c>
      <c r="B52" s="33">
        <v>16.829999999999998</v>
      </c>
      <c r="C52" s="33">
        <v>21.95</v>
      </c>
      <c r="D52" s="15">
        <v>3.57143236759717E-3</v>
      </c>
      <c r="E52" s="15">
        <v>3.1941619673998699E-3</v>
      </c>
      <c r="F52" s="33">
        <v>0</v>
      </c>
      <c r="G52" s="33">
        <v>0.12424</v>
      </c>
      <c r="H52" s="33">
        <v>0</v>
      </c>
      <c r="I52" s="33">
        <v>0.16381599999999999</v>
      </c>
      <c r="J52" s="33">
        <v>0.12424</v>
      </c>
      <c r="K52" s="33">
        <v>0.16381599999999999</v>
      </c>
      <c r="L52" s="33">
        <v>16.954239999999999</v>
      </c>
      <c r="M52" s="33">
        <v>22.113816</v>
      </c>
      <c r="N52" s="34">
        <v>1.30421865715983</v>
      </c>
      <c r="O52" s="34">
        <v>1.3062602516891499</v>
      </c>
      <c r="P52" s="34">
        <v>1.3047074294179699</v>
      </c>
      <c r="Q52" s="34">
        <v>1.3057295260127</v>
      </c>
      <c r="R52" s="33">
        <v>21.9843600359284</v>
      </c>
      <c r="S52" s="33">
        <v>21.957580019405299</v>
      </c>
      <c r="T52" s="33">
        <v>21.9765254551087</v>
      </c>
      <c r="U52" s="15">
        <v>1.56415356480452E-3</v>
      </c>
      <c r="V52" s="15">
        <v>3.4527156711062801E-4</v>
      </c>
      <c r="W52" s="15">
        <v>1.2077193931501499E-3</v>
      </c>
      <c r="X52" s="34">
        <v>1.30432363821675</v>
      </c>
      <c r="Y52" s="34">
        <v>1.3045124660331</v>
      </c>
      <c r="Z52" s="34">
        <v>1.3048087104395001</v>
      </c>
      <c r="AA52" s="34">
        <v>1.3046229779026</v>
      </c>
      <c r="AB52" s="33">
        <v>22.117017432116999</v>
      </c>
      <c r="AC52" s="33">
        <v>22.1213927287472</v>
      </c>
      <c r="AD52" s="33">
        <v>22.119948541374502</v>
      </c>
      <c r="AE52" s="15">
        <v>1.4476019890458301E-4</v>
      </c>
      <c r="AF52" s="15">
        <v>3.4256552818729601E-4</v>
      </c>
      <c r="AG52" s="15">
        <v>2.7727874746251901E-4</v>
      </c>
      <c r="AI52" s="12"/>
      <c r="AJ52">
        <f t="shared" si="6"/>
        <v>0</v>
      </c>
      <c r="AK52">
        <f t="shared" si="7"/>
        <v>1</v>
      </c>
      <c r="AL52">
        <f t="shared" si="14"/>
        <v>0</v>
      </c>
      <c r="AM52">
        <f t="shared" si="4"/>
        <v>1</v>
      </c>
      <c r="AN52">
        <f t="shared" si="15"/>
        <v>0</v>
      </c>
      <c r="AO52" s="28">
        <f t="shared" si="8"/>
        <v>0</v>
      </c>
      <c r="AP52" s="28">
        <f t="shared" si="9"/>
        <v>0</v>
      </c>
      <c r="AQ52" s="28">
        <f t="shared" si="16"/>
        <v>0</v>
      </c>
      <c r="AR52" s="29">
        <f t="shared" si="17"/>
        <v>0</v>
      </c>
      <c r="AT52" s="12"/>
      <c r="AU52">
        <f t="shared" si="10"/>
        <v>0</v>
      </c>
      <c r="AV52">
        <f t="shared" si="11"/>
        <v>0</v>
      </c>
      <c r="AW52">
        <f t="shared" si="18"/>
        <v>0</v>
      </c>
      <c r="AX52">
        <f t="shared" si="5"/>
        <v>1</v>
      </c>
      <c r="AY52">
        <f t="shared" si="19"/>
        <v>0</v>
      </c>
      <c r="AZ52" s="28">
        <f t="shared" si="12"/>
        <v>0</v>
      </c>
      <c r="BA52" s="28">
        <f t="shared" si="13"/>
        <v>0</v>
      </c>
      <c r="BB52" s="28">
        <f t="shared" si="20"/>
        <v>0</v>
      </c>
      <c r="BC52" s="29">
        <f t="shared" si="21"/>
        <v>0</v>
      </c>
      <c r="BE52" s="29">
        <f t="shared" si="22"/>
        <v>0</v>
      </c>
      <c r="BF52" s="29">
        <f t="shared" si="23"/>
        <v>0</v>
      </c>
      <c r="BH52" s="29"/>
    </row>
    <row r="53" spans="1:60" x14ac:dyDescent="0.25">
      <c r="A53" s="1">
        <v>46099</v>
      </c>
      <c r="B53" s="33">
        <v>16.760000000000002</v>
      </c>
      <c r="C53" s="33">
        <v>21.86</v>
      </c>
      <c r="D53" s="15">
        <v>-4.1679131487775004E-3</v>
      </c>
      <c r="E53" s="15">
        <v>-4.1086567727878897E-3</v>
      </c>
      <c r="F53" s="33">
        <v>0</v>
      </c>
      <c r="G53" s="33">
        <v>0.12424</v>
      </c>
      <c r="H53" s="33">
        <v>0</v>
      </c>
      <c r="I53" s="33">
        <v>0.16381599999999999</v>
      </c>
      <c r="J53" s="33">
        <v>0.12424</v>
      </c>
      <c r="K53" s="33">
        <v>0.16381599999999999</v>
      </c>
      <c r="L53" s="33">
        <v>16.884239999999998</v>
      </c>
      <c r="M53" s="33">
        <v>22.023816</v>
      </c>
      <c r="N53" s="34">
        <v>1.3042959427207601</v>
      </c>
      <c r="O53" s="34">
        <v>1.3062602516891499</v>
      </c>
      <c r="P53" s="34">
        <v>1.30473560692499</v>
      </c>
      <c r="Q53" s="34">
        <v>1.30575630904768</v>
      </c>
      <c r="R53" s="33">
        <v>21.8929218183101</v>
      </c>
      <c r="S53" s="33">
        <v>21.866896517045198</v>
      </c>
      <c r="T53" s="33">
        <v>21.884026855972898</v>
      </c>
      <c r="U53" s="15">
        <v>1.5048971888148399E-3</v>
      </c>
      <c r="V53" s="15">
        <v>3.1543592853545098E-4</v>
      </c>
      <c r="W53" s="15">
        <v>1.09852064915188E-3</v>
      </c>
      <c r="X53" s="34">
        <v>1.3044007903228001</v>
      </c>
      <c r="Y53" s="34">
        <v>1.3045124660331</v>
      </c>
      <c r="Z53" s="34">
        <v>1.30483679339109</v>
      </c>
      <c r="AA53" s="34">
        <v>1.3046522737564299</v>
      </c>
      <c r="AB53" s="33">
        <v>22.025701559494699</v>
      </c>
      <c r="AC53" s="33">
        <v>22.030703421151099</v>
      </c>
      <c r="AD53" s="33">
        <v>22.027567468422301</v>
      </c>
      <c r="AE53" s="15">
        <v>8.5610903382776505E-5</v>
      </c>
      <c r="AF53" s="15">
        <v>3.1267716900591102E-4</v>
      </c>
      <c r="AG53" s="15">
        <v>1.7032238881270299E-4</v>
      </c>
      <c r="AI53" s="12"/>
      <c r="AJ53">
        <f t="shared" si="6"/>
        <v>0</v>
      </c>
      <c r="AK53">
        <f t="shared" si="7"/>
        <v>1</v>
      </c>
      <c r="AL53">
        <f t="shared" si="14"/>
        <v>0</v>
      </c>
      <c r="AM53">
        <f t="shared" si="4"/>
        <v>1</v>
      </c>
      <c r="AN53">
        <f t="shared" si="15"/>
        <v>0</v>
      </c>
      <c r="AO53" s="28">
        <f t="shared" si="8"/>
        <v>0</v>
      </c>
      <c r="AP53" s="28">
        <f t="shared" si="9"/>
        <v>0</v>
      </c>
      <c r="AQ53" s="28">
        <f t="shared" si="16"/>
        <v>0</v>
      </c>
      <c r="AR53" s="29">
        <f t="shared" si="17"/>
        <v>0</v>
      </c>
      <c r="AT53" s="12"/>
      <c r="AU53">
        <f t="shared" si="10"/>
        <v>0</v>
      </c>
      <c r="AV53">
        <f t="shared" si="11"/>
        <v>1</v>
      </c>
      <c r="AW53">
        <f t="shared" si="18"/>
        <v>0</v>
      </c>
      <c r="AX53">
        <f t="shared" si="5"/>
        <v>1</v>
      </c>
      <c r="AY53">
        <f t="shared" si="19"/>
        <v>0</v>
      </c>
      <c r="AZ53" s="28">
        <f t="shared" si="12"/>
        <v>0</v>
      </c>
      <c r="BA53" s="28">
        <f t="shared" si="13"/>
        <v>0</v>
      </c>
      <c r="BB53" s="28">
        <f t="shared" si="20"/>
        <v>0</v>
      </c>
      <c r="BC53" s="29">
        <f t="shared" si="21"/>
        <v>0</v>
      </c>
      <c r="BE53" s="29">
        <f t="shared" si="22"/>
        <v>0</v>
      </c>
      <c r="BF53" s="29">
        <f t="shared" si="23"/>
        <v>0</v>
      </c>
      <c r="BH53" s="29"/>
    </row>
    <row r="54" spans="1:60" x14ac:dyDescent="0.25">
      <c r="A54" s="1">
        <v>46100</v>
      </c>
      <c r="B54" s="33">
        <v>16.78</v>
      </c>
      <c r="C54" s="33">
        <v>21.89</v>
      </c>
      <c r="D54" s="15">
        <v>1.1926059851231001E-3</v>
      </c>
      <c r="E54" s="15">
        <v>1.37142878637917E-3</v>
      </c>
      <c r="F54" s="33">
        <v>0</v>
      </c>
      <c r="G54" s="33">
        <v>0.12424</v>
      </c>
      <c r="H54" s="33">
        <v>0</v>
      </c>
      <c r="I54" s="33">
        <v>0.16381599999999999</v>
      </c>
      <c r="J54" s="33">
        <v>0.12424</v>
      </c>
      <c r="K54" s="33">
        <v>0.16381599999999999</v>
      </c>
      <c r="L54" s="33">
        <v>16.904240000000001</v>
      </c>
      <c r="M54" s="33">
        <v>22.053816000000001</v>
      </c>
      <c r="N54" s="34">
        <v>1.3045292014302701</v>
      </c>
      <c r="O54" s="34">
        <v>1.3062602516891499</v>
      </c>
      <c r="P54" s="34">
        <v>1.3047511748221601</v>
      </c>
      <c r="Q54" s="34">
        <v>1.3057653778148499</v>
      </c>
      <c r="R54" s="33">
        <v>21.9190470233439</v>
      </c>
      <c r="S54" s="33">
        <v>21.893463484201401</v>
      </c>
      <c r="T54" s="33">
        <v>21.9105908658202</v>
      </c>
      <c r="U54" s="15">
        <v>1.3260743875588301E-3</v>
      </c>
      <c r="V54" s="15">
        <v>1.5820969530706201E-4</v>
      </c>
      <c r="W54" s="15">
        <v>9.4020956932413396E-4</v>
      </c>
      <c r="X54" s="34">
        <v>1.3046322106169801</v>
      </c>
      <c r="Y54" s="34">
        <v>1.3045124660331</v>
      </c>
      <c r="Z54" s="34">
        <v>1.30485233242062</v>
      </c>
      <c r="AA54" s="34">
        <v>1.30466387064747</v>
      </c>
      <c r="AB54" s="33">
        <v>22.051791808815398</v>
      </c>
      <c r="AC54" s="33">
        <v>22.0572743163134</v>
      </c>
      <c r="AD54" s="33">
        <v>22.054155152124402</v>
      </c>
      <c r="AE54" s="15">
        <v>-9.1788381865749304E-5</v>
      </c>
      <c r="AF54" s="15">
        <v>1.56800310115905E-4</v>
      </c>
      <c r="AG54" s="15">
        <v>1.5378269077830402E-5</v>
      </c>
      <c r="AI54" s="12"/>
      <c r="AJ54">
        <f t="shared" si="6"/>
        <v>0</v>
      </c>
      <c r="AK54">
        <f t="shared" si="7"/>
        <v>1</v>
      </c>
      <c r="AL54">
        <f t="shared" si="14"/>
        <v>0</v>
      </c>
      <c r="AM54">
        <f t="shared" si="4"/>
        <v>1</v>
      </c>
      <c r="AN54">
        <f t="shared" si="15"/>
        <v>0</v>
      </c>
      <c r="AO54" s="28">
        <f t="shared" si="8"/>
        <v>0</v>
      </c>
      <c r="AP54" s="28">
        <f t="shared" si="9"/>
        <v>0</v>
      </c>
      <c r="AQ54" s="28">
        <f t="shared" si="16"/>
        <v>0</v>
      </c>
      <c r="AR54" s="29">
        <f t="shared" si="17"/>
        <v>0</v>
      </c>
      <c r="AT54" s="12"/>
      <c r="AU54">
        <f t="shared" si="10"/>
        <v>0</v>
      </c>
      <c r="AV54">
        <f t="shared" si="11"/>
        <v>1</v>
      </c>
      <c r="AW54">
        <f t="shared" si="18"/>
        <v>0</v>
      </c>
      <c r="AX54">
        <f t="shared" si="5"/>
        <v>1</v>
      </c>
      <c r="AY54">
        <f t="shared" si="19"/>
        <v>0</v>
      </c>
      <c r="AZ54" s="28">
        <f t="shared" si="12"/>
        <v>0</v>
      </c>
      <c r="BA54" s="28">
        <f t="shared" si="13"/>
        <v>0</v>
      </c>
      <c r="BB54" s="28">
        <f t="shared" si="20"/>
        <v>0</v>
      </c>
      <c r="BC54" s="29">
        <f t="shared" si="21"/>
        <v>0</v>
      </c>
      <c r="BE54" s="29">
        <f t="shared" si="22"/>
        <v>0</v>
      </c>
      <c r="BF54" s="29">
        <f t="shared" si="23"/>
        <v>0</v>
      </c>
      <c r="BH54" s="29"/>
    </row>
    <row r="55" spans="1:60" x14ac:dyDescent="0.25">
      <c r="A55" s="1">
        <v>46101</v>
      </c>
      <c r="B55" s="33">
        <v>16.690000000000001</v>
      </c>
      <c r="C55" s="33">
        <v>21.78</v>
      </c>
      <c r="D55" s="15">
        <v>-5.3779633653163496E-3</v>
      </c>
      <c r="E55" s="15">
        <v>-5.0377940299571799E-3</v>
      </c>
      <c r="F55" s="33">
        <v>0</v>
      </c>
      <c r="G55" s="33">
        <v>0.12424</v>
      </c>
      <c r="H55" s="33">
        <v>0</v>
      </c>
      <c r="I55" s="33">
        <v>0.16381599999999999</v>
      </c>
      <c r="J55" s="33">
        <v>0.12424</v>
      </c>
      <c r="K55" s="33">
        <v>0.16381599999999999</v>
      </c>
      <c r="L55" s="33">
        <v>16.814240000000002</v>
      </c>
      <c r="M55" s="33">
        <v>21.943816000000002</v>
      </c>
      <c r="N55" s="34">
        <v>1.30497303774715</v>
      </c>
      <c r="O55" s="34">
        <v>1.3062602516891499</v>
      </c>
      <c r="P55" s="34">
        <v>1.3047751058158099</v>
      </c>
      <c r="Q55" s="34">
        <v>1.30583493398876</v>
      </c>
      <c r="R55" s="33">
        <v>21.801483600691899</v>
      </c>
      <c r="S55" s="33">
        <v>21.776297107781801</v>
      </c>
      <c r="T55" s="33">
        <v>21.793224155729899</v>
      </c>
      <c r="U55" s="15">
        <v>9.85905052199619E-4</v>
      </c>
      <c r="V55" s="15">
        <v>-1.7002787072987701E-4</v>
      </c>
      <c r="W55" s="15">
        <v>6.0698543163402604E-4</v>
      </c>
      <c r="X55" s="34">
        <v>1.30507331880596</v>
      </c>
      <c r="Y55" s="34">
        <v>1.3045124660331</v>
      </c>
      <c r="Z55" s="34">
        <v>1.30487621247018</v>
      </c>
      <c r="AA55" s="34">
        <v>1.3047356803772401</v>
      </c>
      <c r="AB55" s="33">
        <v>21.9343856868724</v>
      </c>
      <c r="AC55" s="33">
        <v>21.940100281880099</v>
      </c>
      <c r="AD55" s="33">
        <v>21.936931440395501</v>
      </c>
      <c r="AE55" s="15">
        <v>-4.2984046338288601E-4</v>
      </c>
      <c r="AF55" s="15">
        <v>-1.69343050646582E-4</v>
      </c>
      <c r="AG55" s="15">
        <v>-3.1378497689925702E-4</v>
      </c>
      <c r="AI55" s="12"/>
      <c r="AJ55">
        <f t="shared" si="6"/>
        <v>0</v>
      </c>
      <c r="AK55">
        <f t="shared" si="7"/>
        <v>0</v>
      </c>
      <c r="AL55">
        <f t="shared" si="14"/>
        <v>0</v>
      </c>
      <c r="AM55">
        <f t="shared" si="4"/>
        <v>0</v>
      </c>
      <c r="AN55">
        <f t="shared" si="15"/>
        <v>0</v>
      </c>
      <c r="AO55" s="28">
        <f t="shared" si="8"/>
        <v>0</v>
      </c>
      <c r="AP55" s="28">
        <f t="shared" si="9"/>
        <v>0</v>
      </c>
      <c r="AQ55" s="28">
        <f t="shared" si="16"/>
        <v>0</v>
      </c>
      <c r="AR55" s="29">
        <f t="shared" si="17"/>
        <v>0</v>
      </c>
      <c r="AT55" s="12"/>
      <c r="AU55">
        <f t="shared" si="10"/>
        <v>0</v>
      </c>
      <c r="AV55">
        <f t="shared" si="11"/>
        <v>1</v>
      </c>
      <c r="AW55">
        <f t="shared" si="18"/>
        <v>0</v>
      </c>
      <c r="AX55">
        <f t="shared" si="5"/>
        <v>0</v>
      </c>
      <c r="AY55">
        <f t="shared" si="19"/>
        <v>0</v>
      </c>
      <c r="AZ55" s="28">
        <f t="shared" si="12"/>
        <v>0</v>
      </c>
      <c r="BA55" s="28">
        <f t="shared" si="13"/>
        <v>0</v>
      </c>
      <c r="BB55" s="28">
        <f t="shared" si="20"/>
        <v>0</v>
      </c>
      <c r="BC55" s="29">
        <f t="shared" si="21"/>
        <v>0</v>
      </c>
      <c r="BE55" s="29">
        <f t="shared" si="22"/>
        <v>0</v>
      </c>
      <c r="BF55" s="29">
        <f t="shared" si="23"/>
        <v>0</v>
      </c>
      <c r="BH55" s="29"/>
    </row>
    <row r="56" spans="1:60" x14ac:dyDescent="0.25">
      <c r="A56" s="1">
        <v>46104</v>
      </c>
      <c r="B56" s="33">
        <v>16.690000000000001</v>
      </c>
      <c r="C56" s="33">
        <v>21.83</v>
      </c>
      <c r="D56" s="15">
        <v>0</v>
      </c>
      <c r="E56" s="15">
        <v>2.2930530570378898E-3</v>
      </c>
      <c r="F56" s="33">
        <v>6.2460000000000002E-2</v>
      </c>
      <c r="G56" s="33">
        <v>0.1867</v>
      </c>
      <c r="H56" s="33">
        <v>0</v>
      </c>
      <c r="I56" s="33">
        <v>0.16381599999999999</v>
      </c>
      <c r="J56" s="33">
        <v>0.1867</v>
      </c>
      <c r="K56" s="33">
        <v>0.16381599999999999</v>
      </c>
      <c r="L56" s="33">
        <v>16.8767</v>
      </c>
      <c r="M56" s="33">
        <v>21.993815999999999</v>
      </c>
      <c r="N56" s="34">
        <v>1.3079688436189301</v>
      </c>
      <c r="O56" s="34">
        <v>1.3062602516891499</v>
      </c>
      <c r="P56" s="34">
        <v>1.30501643462214</v>
      </c>
      <c r="Q56" s="34">
        <v>1.30579219969912</v>
      </c>
      <c r="R56" s="33">
        <v>21.801483600691899</v>
      </c>
      <c r="S56" s="33">
        <v>21.776696516065801</v>
      </c>
      <c r="T56" s="33">
        <v>21.7943850482724</v>
      </c>
      <c r="U56" s="15">
        <v>-1.3071480048383901E-3</v>
      </c>
      <c r="V56" s="15">
        <v>-2.44473967263012E-3</v>
      </c>
      <c r="W56" s="15">
        <v>-1.6328005357864499E-3</v>
      </c>
      <c r="X56" s="34">
        <v>1.30320595851084</v>
      </c>
      <c r="Y56" s="34">
        <v>1.3045124660331</v>
      </c>
      <c r="Z56" s="34">
        <v>1.3046317845947699</v>
      </c>
      <c r="AA56" s="34">
        <v>1.30468951658535</v>
      </c>
      <c r="AB56" s="33">
        <v>22.015865535500801</v>
      </c>
      <c r="AC56" s="33">
        <v>22.0220043749955</v>
      </c>
      <c r="AD56" s="33">
        <v>22.019632657022601</v>
      </c>
      <c r="AE56" s="15">
        <v>1.0020312157008901E-3</v>
      </c>
      <c r="AF56" s="15">
        <v>1.28082942037785E-3</v>
      </c>
      <c r="AG56" s="15">
        <v>1.17312597722475E-3</v>
      </c>
      <c r="AI56" s="12"/>
      <c r="AJ56">
        <f t="shared" si="6"/>
        <v>0</v>
      </c>
      <c r="AK56">
        <f t="shared" si="7"/>
        <v>1</v>
      </c>
      <c r="AL56">
        <f t="shared" si="14"/>
        <v>0</v>
      </c>
      <c r="AM56">
        <f t="shared" si="4"/>
        <v>1</v>
      </c>
      <c r="AN56">
        <f t="shared" si="15"/>
        <v>0</v>
      </c>
      <c r="AO56" s="28">
        <f t="shared" si="8"/>
        <v>0</v>
      </c>
      <c r="AP56" s="28">
        <f t="shared" si="9"/>
        <v>0</v>
      </c>
      <c r="AQ56" s="28">
        <f t="shared" si="16"/>
        <v>0</v>
      </c>
      <c r="AR56" s="29">
        <f t="shared" si="17"/>
        <v>0</v>
      </c>
      <c r="AT56" s="12"/>
      <c r="AU56">
        <f t="shared" si="10"/>
        <v>1</v>
      </c>
      <c r="AV56">
        <f t="shared" si="11"/>
        <v>0</v>
      </c>
      <c r="AW56">
        <f t="shared" si="18"/>
        <v>0</v>
      </c>
      <c r="AX56">
        <f t="shared" si="5"/>
        <v>1</v>
      </c>
      <c r="AY56">
        <f t="shared" si="19"/>
        <v>0</v>
      </c>
      <c r="AZ56" s="28">
        <f t="shared" si="12"/>
        <v>0</v>
      </c>
      <c r="BA56" s="28">
        <f t="shared" si="13"/>
        <v>0</v>
      </c>
      <c r="BB56" s="28">
        <f t="shared" si="20"/>
        <v>0</v>
      </c>
      <c r="BC56" s="29">
        <f t="shared" si="21"/>
        <v>0</v>
      </c>
      <c r="BE56" s="29">
        <f t="shared" si="22"/>
        <v>0</v>
      </c>
      <c r="BF56" s="29">
        <f t="shared" si="23"/>
        <v>0</v>
      </c>
      <c r="BH56" s="29"/>
    </row>
    <row r="57" spans="1:60" x14ac:dyDescent="0.25">
      <c r="A57" s="1">
        <v>46105</v>
      </c>
      <c r="B57" s="33">
        <v>16.64</v>
      </c>
      <c r="C57" s="33">
        <v>21.79</v>
      </c>
      <c r="D57" s="15">
        <v>-3.00030228068116E-3</v>
      </c>
      <c r="E57" s="15">
        <v>-1.8340216053239801E-3</v>
      </c>
      <c r="F57" s="33">
        <v>0</v>
      </c>
      <c r="G57" s="33">
        <v>0.1867</v>
      </c>
      <c r="H57" s="33">
        <v>0</v>
      </c>
      <c r="I57" s="33">
        <v>0.16381599999999999</v>
      </c>
      <c r="J57" s="33">
        <v>0.1867</v>
      </c>
      <c r="K57" s="33">
        <v>0.16381599999999999</v>
      </c>
      <c r="L57" s="33">
        <v>16.826699999999999</v>
      </c>
      <c r="M57" s="33">
        <v>21.953816</v>
      </c>
      <c r="N57" s="34">
        <v>1.3094951923076901</v>
      </c>
      <c r="O57" s="34">
        <v>1.3062602516891499</v>
      </c>
      <c r="P57" s="34">
        <v>1.30553374544557</v>
      </c>
      <c r="Q57" s="34">
        <v>1.30574870254183</v>
      </c>
      <c r="R57" s="33">
        <v>21.736170588107399</v>
      </c>
      <c r="S57" s="33">
        <v>21.7154734721125</v>
      </c>
      <c r="T57" s="33">
        <v>21.728382202993402</v>
      </c>
      <c r="U57" s="15">
        <v>-2.4734286801957502E-3</v>
      </c>
      <c r="V57" s="15">
        <v>-3.4260792879171201E-3</v>
      </c>
      <c r="W57" s="15">
        <v>-2.8318073909984298E-3</v>
      </c>
      <c r="X57" s="34">
        <v>1.30470121889615</v>
      </c>
      <c r="Y57" s="34">
        <v>1.3045124660331</v>
      </c>
      <c r="Z57" s="34">
        <v>1.3046593125160399</v>
      </c>
      <c r="AA57" s="34">
        <v>1.3046418698506601</v>
      </c>
      <c r="AB57" s="33">
        <v>21.9506399121992</v>
      </c>
      <c r="AC57" s="33">
        <v>21.952647649840898</v>
      </c>
      <c r="AD57" s="33">
        <v>21.9536190887268</v>
      </c>
      <c r="AE57" s="15">
        <v>-1.44681797796115E-4</v>
      </c>
      <c r="AF57" s="15">
        <v>-5.3219961810588699E-5</v>
      </c>
      <c r="AG57" s="15">
        <v>-8.9693817338526595E-6</v>
      </c>
      <c r="AI57" s="12"/>
      <c r="AJ57">
        <f t="shared" si="6"/>
        <v>0</v>
      </c>
      <c r="AK57">
        <f t="shared" si="7"/>
        <v>1</v>
      </c>
      <c r="AL57">
        <f t="shared" si="14"/>
        <v>0</v>
      </c>
      <c r="AM57">
        <f t="shared" si="4"/>
        <v>1</v>
      </c>
      <c r="AN57">
        <f t="shared" si="15"/>
        <v>0</v>
      </c>
      <c r="AO57" s="28">
        <f t="shared" si="8"/>
        <v>0</v>
      </c>
      <c r="AP57" s="28">
        <f t="shared" si="9"/>
        <v>0</v>
      </c>
      <c r="AQ57" s="28">
        <f t="shared" si="16"/>
        <v>0</v>
      </c>
      <c r="AR57" s="29">
        <f t="shared" si="17"/>
        <v>0</v>
      </c>
      <c r="AT57" s="12"/>
      <c r="AU57">
        <f t="shared" si="10"/>
        <v>0</v>
      </c>
      <c r="AV57">
        <f t="shared" si="11"/>
        <v>1</v>
      </c>
      <c r="AW57">
        <f t="shared" si="18"/>
        <v>1</v>
      </c>
      <c r="AX57">
        <f t="shared" si="5"/>
        <v>1</v>
      </c>
      <c r="AY57">
        <f t="shared" si="19"/>
        <v>1</v>
      </c>
      <c r="AZ57" s="28">
        <f t="shared" si="12"/>
        <v>3.00030228068116E-3</v>
      </c>
      <c r="BA57" s="28">
        <f t="shared" si="13"/>
        <v>-1.8340216053239801E-3</v>
      </c>
      <c r="BB57" s="28">
        <f t="shared" si="20"/>
        <v>1.1662806753571799E-3</v>
      </c>
      <c r="BC57" s="29">
        <f t="shared" si="21"/>
        <v>1.1662806753571799E-3</v>
      </c>
      <c r="BE57" s="29">
        <f t="shared" si="22"/>
        <v>1.1662806753571799E-3</v>
      </c>
      <c r="BF57" s="29">
        <f t="shared" si="23"/>
        <v>1.1662806753571799E-3</v>
      </c>
      <c r="BH57" s="29"/>
    </row>
    <row r="58" spans="1:60" x14ac:dyDescent="0.25">
      <c r="A58" s="1">
        <v>46106</v>
      </c>
      <c r="B58" s="33">
        <v>16.68</v>
      </c>
      <c r="C58" s="33">
        <v>21.83</v>
      </c>
      <c r="D58" s="15">
        <v>2.4009615375380402E-3</v>
      </c>
      <c r="E58" s="15">
        <v>1.8340216053240399E-3</v>
      </c>
      <c r="F58" s="33">
        <v>0</v>
      </c>
      <c r="G58" s="33">
        <v>0.1867</v>
      </c>
      <c r="H58" s="33">
        <v>0</v>
      </c>
      <c r="I58" s="33">
        <v>0.16381599999999999</v>
      </c>
      <c r="J58" s="33">
        <v>0.1867</v>
      </c>
      <c r="K58" s="33">
        <v>0.16381599999999999</v>
      </c>
      <c r="L58" s="33">
        <v>16.866699999999899</v>
      </c>
      <c r="M58" s="33">
        <v>21.993815999999999</v>
      </c>
      <c r="N58" s="34">
        <v>1.3087529976019101</v>
      </c>
      <c r="O58" s="34">
        <v>1.3062602516891499</v>
      </c>
      <c r="P58" s="34">
        <v>1.3059458623079001</v>
      </c>
      <c r="Q58" s="34">
        <v>1.3057178786446699</v>
      </c>
      <c r="R58" s="33">
        <v>21.788420998174999</v>
      </c>
      <c r="S58" s="33">
        <v>21.776302874032201</v>
      </c>
      <c r="T58" s="33">
        <v>21.779888358397699</v>
      </c>
      <c r="U58" s="15">
        <v>-1.90648874798145E-3</v>
      </c>
      <c r="V58" s="15">
        <v>-2.4628161329977201E-3</v>
      </c>
      <c r="W58" s="15">
        <v>-2.2981789472282599E-3</v>
      </c>
      <c r="X58" s="34">
        <v>1.3039786087379199</v>
      </c>
      <c r="Y58" s="34">
        <v>1.3045124660331</v>
      </c>
      <c r="Z58" s="34">
        <v>1.30458380116685</v>
      </c>
      <c r="AA58" s="34">
        <v>1.30460765157782</v>
      </c>
      <c r="AB58" s="33">
        <v>22.002820410840499</v>
      </c>
      <c r="AC58" s="33">
        <v>22.005297226414399</v>
      </c>
      <c r="AD58" s="33">
        <v>22.005003026210201</v>
      </c>
      <c r="AE58" s="15">
        <v>4.0932269831642101E-4</v>
      </c>
      <c r="AF58" s="15">
        <v>5.2188445780307195E-4</v>
      </c>
      <c r="AG58" s="15">
        <v>5.0851485103109505E-4</v>
      </c>
      <c r="AI58" s="12"/>
      <c r="AJ58">
        <f t="shared" si="6"/>
        <v>0</v>
      </c>
      <c r="AK58">
        <f t="shared" si="7"/>
        <v>1</v>
      </c>
      <c r="AL58">
        <f t="shared" si="14"/>
        <v>0</v>
      </c>
      <c r="AM58">
        <f t="shared" si="4"/>
        <v>1</v>
      </c>
      <c r="AN58">
        <f t="shared" si="15"/>
        <v>0</v>
      </c>
      <c r="AO58" s="28">
        <f t="shared" si="8"/>
        <v>0</v>
      </c>
      <c r="AP58" s="28">
        <f t="shared" si="9"/>
        <v>0</v>
      </c>
      <c r="AQ58" s="28">
        <f t="shared" si="16"/>
        <v>0</v>
      </c>
      <c r="AR58" s="29">
        <f t="shared" si="17"/>
        <v>0</v>
      </c>
      <c r="AT58" s="12"/>
      <c r="AU58">
        <f t="shared" si="10"/>
        <v>0</v>
      </c>
      <c r="AV58">
        <f t="shared" si="11"/>
        <v>0</v>
      </c>
      <c r="AW58">
        <f t="shared" si="18"/>
        <v>0</v>
      </c>
      <c r="AX58">
        <f t="shared" si="5"/>
        <v>1</v>
      </c>
      <c r="AY58">
        <f t="shared" si="19"/>
        <v>0</v>
      </c>
      <c r="AZ58" s="28">
        <f t="shared" si="12"/>
        <v>0</v>
      </c>
      <c r="BA58" s="28">
        <f t="shared" si="13"/>
        <v>0</v>
      </c>
      <c r="BB58" s="28">
        <f t="shared" si="20"/>
        <v>0</v>
      </c>
      <c r="BC58" s="29">
        <f t="shared" si="21"/>
        <v>1.1662806753571799E-3</v>
      </c>
      <c r="BE58" s="29">
        <f t="shared" si="22"/>
        <v>0</v>
      </c>
      <c r="BF58" s="29">
        <f t="shared" si="23"/>
        <v>1.1662806753571799E-3</v>
      </c>
      <c r="BH58" s="29"/>
    </row>
    <row r="59" spans="1:60" x14ac:dyDescent="0.25">
      <c r="A59" s="1">
        <v>46107</v>
      </c>
      <c r="B59" s="33">
        <v>16.59</v>
      </c>
      <c r="C59" s="33">
        <v>21.72</v>
      </c>
      <c r="D59" s="15">
        <v>-5.4102927282475401E-3</v>
      </c>
      <c r="E59" s="15">
        <v>-5.0516754961178302E-3</v>
      </c>
      <c r="F59" s="33">
        <v>0</v>
      </c>
      <c r="G59" s="33">
        <v>0.1867</v>
      </c>
      <c r="H59" s="33">
        <v>0</v>
      </c>
      <c r="I59" s="33">
        <v>0.16381599999999999</v>
      </c>
      <c r="J59" s="33">
        <v>0.1867</v>
      </c>
      <c r="K59" s="33">
        <v>0.16381599999999999</v>
      </c>
      <c r="L59" s="33">
        <v>16.776699999999899</v>
      </c>
      <c r="M59" s="33">
        <v>21.883815999999999</v>
      </c>
      <c r="N59" s="34">
        <v>1.30922242314647</v>
      </c>
      <c r="O59" s="34">
        <v>1.3062602516891499</v>
      </c>
      <c r="P59" s="34">
        <v>1.3063606419359799</v>
      </c>
      <c r="Q59" s="34">
        <v>1.30569018943686</v>
      </c>
      <c r="R59" s="33">
        <v>21.670857575523002</v>
      </c>
      <c r="S59" s="33">
        <v>21.665641855688101</v>
      </c>
      <c r="T59" s="33">
        <v>21.661859606715101</v>
      </c>
      <c r="U59" s="15">
        <v>-2.2651059801113002E-3</v>
      </c>
      <c r="V59" s="15">
        <v>-2.5058139250774001E-3</v>
      </c>
      <c r="W59" s="15">
        <v>-2.68040275918694E-3</v>
      </c>
      <c r="X59" s="34">
        <v>1.3044171976610399</v>
      </c>
      <c r="Y59" s="34">
        <v>1.3045124660331</v>
      </c>
      <c r="Z59" s="34">
        <v>1.3045081405946399</v>
      </c>
      <c r="AA59" s="34">
        <v>1.3045750362991599</v>
      </c>
      <c r="AB59" s="33">
        <v>21.885414288897501</v>
      </c>
      <c r="AC59" s="33">
        <v>21.886611057035999</v>
      </c>
      <c r="AD59" s="33">
        <v>21.8870111882256</v>
      </c>
      <c r="AE59" s="15">
        <v>7.3032533938881405E-5</v>
      </c>
      <c r="AF59" s="15">
        <v>1.2771440571822E-4</v>
      </c>
      <c r="AG59" s="15">
        <v>1.4599624620347901E-4</v>
      </c>
      <c r="AI59" s="12"/>
      <c r="AJ59">
        <f t="shared" si="6"/>
        <v>0</v>
      </c>
      <c r="AK59">
        <f t="shared" si="7"/>
        <v>1</v>
      </c>
      <c r="AL59">
        <f t="shared" si="14"/>
        <v>0</v>
      </c>
      <c r="AM59">
        <f t="shared" si="4"/>
        <v>1</v>
      </c>
      <c r="AN59">
        <f t="shared" si="15"/>
        <v>0</v>
      </c>
      <c r="AO59" s="28">
        <f t="shared" si="8"/>
        <v>0</v>
      </c>
      <c r="AP59" s="28">
        <f t="shared" si="9"/>
        <v>0</v>
      </c>
      <c r="AQ59" s="28">
        <f t="shared" si="16"/>
        <v>0</v>
      </c>
      <c r="AR59" s="29">
        <f t="shared" si="17"/>
        <v>0</v>
      </c>
      <c r="AT59" s="12"/>
      <c r="AU59">
        <f t="shared" si="10"/>
        <v>0</v>
      </c>
      <c r="AV59">
        <f t="shared" si="11"/>
        <v>1</v>
      </c>
      <c r="AW59">
        <f t="shared" si="18"/>
        <v>0</v>
      </c>
      <c r="AX59">
        <f t="shared" si="5"/>
        <v>1</v>
      </c>
      <c r="AY59">
        <f t="shared" si="19"/>
        <v>0</v>
      </c>
      <c r="AZ59" s="28">
        <f t="shared" si="12"/>
        <v>0</v>
      </c>
      <c r="BA59" s="28">
        <f t="shared" si="13"/>
        <v>0</v>
      </c>
      <c r="BB59" s="28">
        <f t="shared" si="20"/>
        <v>0</v>
      </c>
      <c r="BC59" s="29">
        <f t="shared" si="21"/>
        <v>1.1662806753571799E-3</v>
      </c>
      <c r="BE59" s="29">
        <f t="shared" si="22"/>
        <v>0</v>
      </c>
      <c r="BF59" s="29">
        <f t="shared" si="23"/>
        <v>1.1662806753571799E-3</v>
      </c>
      <c r="BH59" s="29"/>
    </row>
    <row r="60" spans="1:60" x14ac:dyDescent="0.25">
      <c r="A60" s="1">
        <v>46108</v>
      </c>
      <c r="B60" s="33">
        <v>16.600000000000001</v>
      </c>
      <c r="C60" s="33">
        <v>21.73</v>
      </c>
      <c r="D60" s="15">
        <v>6.0259116014451395E-4</v>
      </c>
      <c r="E60" s="15">
        <v>4.6029920260360702E-4</v>
      </c>
      <c r="F60" s="33">
        <v>0</v>
      </c>
      <c r="G60" s="33">
        <v>0.1867</v>
      </c>
      <c r="H60" s="33">
        <v>0</v>
      </c>
      <c r="I60" s="33">
        <v>0.16381599999999999</v>
      </c>
      <c r="J60" s="33">
        <v>0.1867</v>
      </c>
      <c r="K60" s="33">
        <v>0.16381599999999999</v>
      </c>
      <c r="L60" s="33">
        <v>16.7867</v>
      </c>
      <c r="M60" s="33">
        <v>21.893816000000001</v>
      </c>
      <c r="N60" s="34">
        <v>1.3090361445783101</v>
      </c>
      <c r="O60" s="34">
        <v>1.3062602516891499</v>
      </c>
      <c r="P60" s="34">
        <v>1.30672032333942</v>
      </c>
      <c r="Q60" s="34">
        <v>1.3056714084304799</v>
      </c>
      <c r="R60" s="33">
        <v>21.683920178039902</v>
      </c>
      <c r="S60" s="33">
        <v>21.6855866561373</v>
      </c>
      <c r="T60" s="33">
        <v>21.6744571446519</v>
      </c>
      <c r="U60" s="15">
        <v>-2.12281402257049E-3</v>
      </c>
      <c r="V60" s="15">
        <v>-2.0459638013015898E-3</v>
      </c>
      <c r="W60" s="15">
        <v>-2.5593171448074102E-3</v>
      </c>
      <c r="X60" s="34">
        <v>1.30423585338392</v>
      </c>
      <c r="Y60" s="34">
        <v>1.3045124660331</v>
      </c>
      <c r="Z60" s="34">
        <v>1.3043781322972501</v>
      </c>
      <c r="AA60" s="34">
        <v>1.3045511688748199</v>
      </c>
      <c r="AB60" s="33">
        <v>21.898459413557799</v>
      </c>
      <c r="AC60" s="33">
        <v>21.898386803720101</v>
      </c>
      <c r="AD60" s="33">
        <v>21.899509761843099</v>
      </c>
      <c r="AE60" s="15">
        <v>2.1206541708316301E-4</v>
      </c>
      <c r="AF60" s="15">
        <v>2.08749660629891E-4</v>
      </c>
      <c r="AG60" s="15">
        <v>2.60028749868346E-4</v>
      </c>
      <c r="AI60" s="12"/>
      <c r="AJ60">
        <f t="shared" si="6"/>
        <v>0</v>
      </c>
      <c r="AK60">
        <f t="shared" si="7"/>
        <v>1</v>
      </c>
      <c r="AL60">
        <f t="shared" si="14"/>
        <v>0</v>
      </c>
      <c r="AM60">
        <f t="shared" si="4"/>
        <v>1</v>
      </c>
      <c r="AN60">
        <f t="shared" si="15"/>
        <v>0</v>
      </c>
      <c r="AO60" s="28">
        <f t="shared" si="8"/>
        <v>0</v>
      </c>
      <c r="AP60" s="28">
        <f t="shared" si="9"/>
        <v>0</v>
      </c>
      <c r="AQ60" s="28">
        <f t="shared" si="16"/>
        <v>0</v>
      </c>
      <c r="AR60" s="29">
        <f t="shared" si="17"/>
        <v>0</v>
      </c>
      <c r="AT60" s="12"/>
      <c r="AU60">
        <f t="shared" si="10"/>
        <v>0</v>
      </c>
      <c r="AV60">
        <f t="shared" si="11"/>
        <v>0</v>
      </c>
      <c r="AW60">
        <f t="shared" si="18"/>
        <v>0</v>
      </c>
      <c r="AX60">
        <f t="shared" si="5"/>
        <v>1</v>
      </c>
      <c r="AY60">
        <f t="shared" si="19"/>
        <v>0</v>
      </c>
      <c r="AZ60" s="28">
        <f t="shared" si="12"/>
        <v>0</v>
      </c>
      <c r="BA60" s="28">
        <f t="shared" si="13"/>
        <v>0</v>
      </c>
      <c r="BB60" s="28">
        <f t="shared" si="20"/>
        <v>0</v>
      </c>
      <c r="BC60" s="29">
        <f t="shared" si="21"/>
        <v>1.1662806753571799E-3</v>
      </c>
      <c r="BE60" s="29">
        <f t="shared" si="22"/>
        <v>0</v>
      </c>
      <c r="BF60" s="29">
        <f t="shared" si="23"/>
        <v>1.1662806753571799E-3</v>
      </c>
      <c r="BH60" s="29"/>
    </row>
    <row r="61" spans="1:60" x14ac:dyDescent="0.25">
      <c r="A61" s="1">
        <v>46111</v>
      </c>
      <c r="B61" s="33">
        <v>16.649999999999999</v>
      </c>
      <c r="C61" s="33">
        <v>21.8</v>
      </c>
      <c r="D61" s="15">
        <v>3.0075210639550999E-3</v>
      </c>
      <c r="E61" s="15">
        <v>3.2161755267051599E-3</v>
      </c>
      <c r="F61" s="33">
        <v>0</v>
      </c>
      <c r="G61" s="33">
        <v>0.1867</v>
      </c>
      <c r="H61" s="33">
        <v>0</v>
      </c>
      <c r="I61" s="33">
        <v>0.16381599999999999</v>
      </c>
      <c r="J61" s="33">
        <v>0.1867</v>
      </c>
      <c r="K61" s="33">
        <v>0.16381599999999999</v>
      </c>
      <c r="L61" s="33">
        <v>16.836699999999901</v>
      </c>
      <c r="M61" s="33">
        <v>21.963816000000001</v>
      </c>
      <c r="N61" s="34">
        <v>1.3093093093093</v>
      </c>
      <c r="O61" s="34">
        <v>1.3062602516891499</v>
      </c>
      <c r="P61" s="34">
        <v>1.30718017496206</v>
      </c>
      <c r="Q61" s="34">
        <v>1.3059246097449999</v>
      </c>
      <c r="R61" s="33">
        <v>21.749233190624299</v>
      </c>
      <c r="S61" s="33">
        <v>21.756893383601401</v>
      </c>
      <c r="T61" s="33">
        <v>21.7394289503675</v>
      </c>
      <c r="U61" s="15">
        <v>-2.3314684853203999E-3</v>
      </c>
      <c r="V61" s="15">
        <v>-1.97932529725134E-3</v>
      </c>
      <c r="W61" s="15">
        <v>-2.7823556793716599E-3</v>
      </c>
      <c r="X61" s="34">
        <v>1.3045202444659501</v>
      </c>
      <c r="Y61" s="34">
        <v>1.3045124660331</v>
      </c>
      <c r="Z61" s="34">
        <v>1.3043489039618299</v>
      </c>
      <c r="AA61" s="34">
        <v>1.30455971751765</v>
      </c>
      <c r="AB61" s="33">
        <v>21.963685036859498</v>
      </c>
      <c r="AC61" s="33">
        <v>21.961423300049098</v>
      </c>
      <c r="AD61" s="33">
        <v>21.9643366649948</v>
      </c>
      <c r="AE61" s="15">
        <v>-5.9626947747573402E-6</v>
      </c>
      <c r="AF61" s="15">
        <v>-1.08944196608586E-4</v>
      </c>
      <c r="AG61" s="15">
        <v>2.37052989155815E-5</v>
      </c>
      <c r="AI61" s="12"/>
      <c r="AJ61">
        <f t="shared" si="6"/>
        <v>0</v>
      </c>
      <c r="AK61">
        <f t="shared" si="7"/>
        <v>1</v>
      </c>
      <c r="AL61">
        <f t="shared" si="14"/>
        <v>0</v>
      </c>
      <c r="AM61">
        <f t="shared" si="4"/>
        <v>1</v>
      </c>
      <c r="AN61">
        <f t="shared" si="15"/>
        <v>0</v>
      </c>
      <c r="AO61" s="28">
        <f t="shared" si="8"/>
        <v>0</v>
      </c>
      <c r="AP61" s="28">
        <f t="shared" si="9"/>
        <v>0</v>
      </c>
      <c r="AQ61" s="28">
        <f t="shared" si="16"/>
        <v>0</v>
      </c>
      <c r="AR61" s="29">
        <f t="shared" si="17"/>
        <v>0</v>
      </c>
      <c r="AT61" s="12"/>
      <c r="AU61">
        <f t="shared" si="10"/>
        <v>0</v>
      </c>
      <c r="AV61">
        <f t="shared" si="11"/>
        <v>1</v>
      </c>
      <c r="AW61">
        <f t="shared" si="18"/>
        <v>0</v>
      </c>
      <c r="AX61">
        <f t="shared" si="5"/>
        <v>1</v>
      </c>
      <c r="AY61">
        <f t="shared" si="19"/>
        <v>0</v>
      </c>
      <c r="AZ61" s="28">
        <f t="shared" si="12"/>
        <v>0</v>
      </c>
      <c r="BA61" s="28">
        <f t="shared" si="13"/>
        <v>0</v>
      </c>
      <c r="BB61" s="28">
        <f t="shared" si="20"/>
        <v>0</v>
      </c>
      <c r="BC61" s="29">
        <f t="shared" si="21"/>
        <v>1.1662806753571799E-3</v>
      </c>
      <c r="BE61" s="29">
        <f t="shared" si="22"/>
        <v>0</v>
      </c>
      <c r="BF61" s="29">
        <f t="shared" si="23"/>
        <v>1.1662806753571799E-3</v>
      </c>
      <c r="BH61" s="29"/>
    </row>
    <row r="62" spans="1:60" x14ac:dyDescent="0.25">
      <c r="A62" s="1">
        <v>46112</v>
      </c>
      <c r="B62" s="33">
        <v>16.72</v>
      </c>
      <c r="C62" s="33">
        <v>21.89</v>
      </c>
      <c r="D62" s="15">
        <v>4.1953912301028297E-3</v>
      </c>
      <c r="E62" s="15">
        <v>4.1199417397283396E-3</v>
      </c>
      <c r="F62" s="33">
        <v>0</v>
      </c>
      <c r="G62" s="33">
        <v>0.1867</v>
      </c>
      <c r="H62" s="33">
        <v>0</v>
      </c>
      <c r="I62" s="33">
        <v>0.16381599999999999</v>
      </c>
      <c r="J62" s="33">
        <v>0.1867</v>
      </c>
      <c r="K62" s="33">
        <v>0.16381599999999999</v>
      </c>
      <c r="L62" s="33">
        <v>16.906699999999901</v>
      </c>
      <c r="M62" s="33">
        <v>22.053816000000001</v>
      </c>
      <c r="N62" s="34">
        <v>1.3092105263157801</v>
      </c>
      <c r="O62" s="34">
        <v>1.3062602516891499</v>
      </c>
      <c r="P62" s="34">
        <v>1.3076793618776601</v>
      </c>
      <c r="Q62" s="34">
        <v>1.30619339564781</v>
      </c>
      <c r="R62" s="33">
        <v>21.840671408242599</v>
      </c>
      <c r="S62" s="33">
        <v>21.856052525365701</v>
      </c>
      <c r="T62" s="33">
        <v>21.8350594749365</v>
      </c>
      <c r="U62" s="15">
        <v>-2.2560189949457502E-3</v>
      </c>
      <c r="V62" s="15">
        <v>-1.5520249023109501E-3</v>
      </c>
      <c r="W62" s="15">
        <v>-2.5130007659890301E-3</v>
      </c>
      <c r="X62" s="34">
        <v>1.30444238083126</v>
      </c>
      <c r="Y62" s="34">
        <v>1.3045124660331</v>
      </c>
      <c r="Z62" s="34">
        <v>1.30436077822328</v>
      </c>
      <c r="AA62" s="34">
        <v>1.30458474433139</v>
      </c>
      <c r="AB62" s="33">
        <v>22.055000909481802</v>
      </c>
      <c r="AC62" s="33">
        <v>22.052235614611501</v>
      </c>
      <c r="AD62" s="33">
        <v>22.055799776155698</v>
      </c>
      <c r="AE62" s="15">
        <v>5.3726649915938097E-5</v>
      </c>
      <c r="AF62" s="15">
        <v>-7.1662972822931605E-5</v>
      </c>
      <c r="AG62" s="15">
        <v>8.9947560060030197E-5</v>
      </c>
      <c r="AI62" s="12"/>
      <c r="AJ62">
        <f t="shared" si="6"/>
        <v>0</v>
      </c>
      <c r="AK62">
        <f t="shared" si="7"/>
        <v>1</v>
      </c>
      <c r="AL62">
        <f t="shared" si="14"/>
        <v>0</v>
      </c>
      <c r="AM62">
        <f t="shared" si="4"/>
        <v>0</v>
      </c>
      <c r="AN62">
        <f t="shared" si="15"/>
        <v>0</v>
      </c>
      <c r="AO62" s="28">
        <f t="shared" si="8"/>
        <v>0</v>
      </c>
      <c r="AP62" s="28">
        <f t="shared" si="9"/>
        <v>0</v>
      </c>
      <c r="AQ62" s="28">
        <f t="shared" si="16"/>
        <v>0</v>
      </c>
      <c r="AR62" s="29">
        <f t="shared" si="17"/>
        <v>0</v>
      </c>
      <c r="AT62" s="12"/>
      <c r="AU62">
        <f t="shared" si="10"/>
        <v>0</v>
      </c>
      <c r="AV62">
        <f t="shared" si="11"/>
        <v>1</v>
      </c>
      <c r="AW62">
        <f t="shared" si="18"/>
        <v>0</v>
      </c>
      <c r="AX62">
        <f t="shared" si="5"/>
        <v>0</v>
      </c>
      <c r="AY62">
        <f t="shared" si="19"/>
        <v>0</v>
      </c>
      <c r="AZ62" s="28">
        <f t="shared" si="12"/>
        <v>0</v>
      </c>
      <c r="BA62" s="28">
        <f t="shared" si="13"/>
        <v>0</v>
      </c>
      <c r="BB62" s="28">
        <f t="shared" si="20"/>
        <v>0</v>
      </c>
      <c r="BC62" s="29">
        <f t="shared" si="21"/>
        <v>1.1662806753571799E-3</v>
      </c>
      <c r="BE62" s="29">
        <f t="shared" si="22"/>
        <v>0</v>
      </c>
      <c r="BF62" s="29">
        <f t="shared" si="23"/>
        <v>1.1662806753571799E-3</v>
      </c>
      <c r="BH62" s="29"/>
    </row>
    <row r="63" spans="1:60" x14ac:dyDescent="0.25">
      <c r="A63" s="1">
        <v>46113</v>
      </c>
      <c r="B63" s="33">
        <v>16.73</v>
      </c>
      <c r="C63" s="33">
        <v>21.82</v>
      </c>
      <c r="D63" s="15">
        <v>5.9790734217705596E-4</v>
      </c>
      <c r="E63" s="15">
        <v>-3.2029311298468299E-3</v>
      </c>
      <c r="F63" s="33">
        <v>0</v>
      </c>
      <c r="G63" s="33">
        <v>0.1867</v>
      </c>
      <c r="H63" s="33">
        <v>8.1864999999999993E-2</v>
      </c>
      <c r="I63" s="33">
        <v>0.24568100000000001</v>
      </c>
      <c r="J63" s="33">
        <v>0.1867</v>
      </c>
      <c r="K63" s="33">
        <v>0.24568100000000001</v>
      </c>
      <c r="L63" s="33">
        <v>16.916699999999999</v>
      </c>
      <c r="M63" s="33">
        <v>22.065681000000001</v>
      </c>
      <c r="N63" s="34">
        <v>1.30424387328153</v>
      </c>
      <c r="O63" s="34">
        <v>1.3062602516891499</v>
      </c>
      <c r="P63" s="34">
        <v>1.3076741549337301</v>
      </c>
      <c r="Q63" s="34">
        <v>1.30620488092936</v>
      </c>
      <c r="R63" s="33">
        <v>21.853734010759499</v>
      </c>
      <c r="S63" s="33">
        <v>21.877475724213198</v>
      </c>
      <c r="T63" s="33">
        <v>21.852615509187899</v>
      </c>
      <c r="U63" s="15">
        <v>1.5448194770780401E-3</v>
      </c>
      <c r="V63" s="15">
        <v>2.63062139887312E-3</v>
      </c>
      <c r="W63" s="15">
        <v>1.4936369105146799E-3</v>
      </c>
      <c r="X63" s="34">
        <v>1.30437266133465</v>
      </c>
      <c r="Y63" s="34">
        <v>1.3045124660331</v>
      </c>
      <c r="Z63" s="34">
        <v>1.3043579653244699</v>
      </c>
      <c r="AA63" s="34">
        <v>1.3045973793577801</v>
      </c>
      <c r="AB63" s="33">
        <v>22.068046034142199</v>
      </c>
      <c r="AC63" s="33">
        <v>22.0654799769699</v>
      </c>
      <c r="AD63" s="33">
        <v>22.0692687444309</v>
      </c>
      <c r="AE63" s="15">
        <v>1.07175817833535E-4</v>
      </c>
      <c r="AF63" s="15">
        <v>-9.1102534195253505E-6</v>
      </c>
      <c r="AG63" s="15">
        <v>1.62580651371927E-4</v>
      </c>
      <c r="AI63" s="12"/>
      <c r="AJ63">
        <f t="shared" si="6"/>
        <v>0</v>
      </c>
      <c r="AK63">
        <f t="shared" si="7"/>
        <v>1</v>
      </c>
      <c r="AL63">
        <f t="shared" si="14"/>
        <v>0</v>
      </c>
      <c r="AM63">
        <f t="shared" si="4"/>
        <v>1</v>
      </c>
      <c r="AN63">
        <f t="shared" si="15"/>
        <v>0</v>
      </c>
      <c r="AO63" s="28">
        <f t="shared" si="8"/>
        <v>0</v>
      </c>
      <c r="AP63" s="28">
        <f t="shared" si="9"/>
        <v>0</v>
      </c>
      <c r="AQ63" s="28">
        <f t="shared" si="16"/>
        <v>0</v>
      </c>
      <c r="AR63" s="29">
        <f t="shared" si="17"/>
        <v>0</v>
      </c>
      <c r="AT63" s="12"/>
      <c r="AU63">
        <f t="shared" si="10"/>
        <v>0</v>
      </c>
      <c r="AV63">
        <f t="shared" si="11"/>
        <v>1</v>
      </c>
      <c r="AW63">
        <f t="shared" si="18"/>
        <v>0</v>
      </c>
      <c r="AX63">
        <f t="shared" si="5"/>
        <v>1</v>
      </c>
      <c r="AY63">
        <f t="shared" si="19"/>
        <v>0</v>
      </c>
      <c r="AZ63" s="28">
        <f t="shared" si="12"/>
        <v>0</v>
      </c>
      <c r="BA63" s="28">
        <f t="shared" si="13"/>
        <v>0</v>
      </c>
      <c r="BB63" s="28">
        <f t="shared" si="20"/>
        <v>0</v>
      </c>
      <c r="BC63" s="29">
        <f t="shared" si="21"/>
        <v>1.1662806753571799E-3</v>
      </c>
      <c r="BE63" s="29">
        <f t="shared" si="22"/>
        <v>0</v>
      </c>
      <c r="BF63" s="29">
        <f t="shared" si="23"/>
        <v>1.1662806753571799E-3</v>
      </c>
      <c r="BH63" s="29"/>
    </row>
    <row r="64" spans="1:60" x14ac:dyDescent="0.25">
      <c r="A64" s="1">
        <v>46114</v>
      </c>
      <c r="B64" s="33">
        <v>16.75</v>
      </c>
      <c r="C64" s="33">
        <v>21.84</v>
      </c>
      <c r="D64" s="15">
        <v>1.1947432723428499E-3</v>
      </c>
      <c r="E64" s="15">
        <v>9.1617047177958199E-4</v>
      </c>
      <c r="F64" s="33">
        <v>0</v>
      </c>
      <c r="G64" s="33">
        <v>0.1867</v>
      </c>
      <c r="H64" s="33">
        <v>0</v>
      </c>
      <c r="I64" s="33">
        <v>0.24568100000000001</v>
      </c>
      <c r="J64" s="33">
        <v>0.1867</v>
      </c>
      <c r="K64" s="33">
        <v>0.24568100000000001</v>
      </c>
      <c r="L64" s="33">
        <v>16.936699999999998</v>
      </c>
      <c r="M64" s="33">
        <v>22.085681000000001</v>
      </c>
      <c r="N64" s="34">
        <v>1.3038805970149201</v>
      </c>
      <c r="O64" s="34">
        <v>1.3062602516891499</v>
      </c>
      <c r="P64" s="34">
        <v>1.3076092944922</v>
      </c>
      <c r="Q64" s="34">
        <v>1.30618023465718</v>
      </c>
      <c r="R64" s="33">
        <v>21.879859215793299</v>
      </c>
      <c r="S64" s="33">
        <v>21.9035420951401</v>
      </c>
      <c r="T64" s="33">
        <v>21.878931755566899</v>
      </c>
      <c r="U64" s="15">
        <v>1.8233922776414199E-3</v>
      </c>
      <c r="V64" s="15">
        <v>2.9052123714426599E-3</v>
      </c>
      <c r="W64" s="15">
        <v>1.78100261348726E-3</v>
      </c>
      <c r="X64" s="34">
        <v>1.3040132375256099</v>
      </c>
      <c r="Y64" s="34">
        <v>1.3045124660331</v>
      </c>
      <c r="Z64" s="34">
        <v>1.3042960680153299</v>
      </c>
      <c r="AA64" s="34">
        <v>1.3045742002179701</v>
      </c>
      <c r="AB64" s="33">
        <v>22.094136283462799</v>
      </c>
      <c r="AC64" s="33">
        <v>22.091519551310999</v>
      </c>
      <c r="AD64" s="33">
        <v>22.095574434968899</v>
      </c>
      <c r="AE64" s="15">
        <v>3.8276679651443702E-4</v>
      </c>
      <c r="AF64" s="15">
        <v>2.64324188592168E-4</v>
      </c>
      <c r="AG64" s="15">
        <v>4.4785667754096003E-4</v>
      </c>
      <c r="AI64" s="12"/>
      <c r="AJ64">
        <f t="shared" si="6"/>
        <v>0</v>
      </c>
      <c r="AK64">
        <f t="shared" si="7"/>
        <v>1</v>
      </c>
      <c r="AL64">
        <f t="shared" si="14"/>
        <v>0</v>
      </c>
      <c r="AM64">
        <f t="shared" si="4"/>
        <v>1</v>
      </c>
      <c r="AN64">
        <f t="shared" si="15"/>
        <v>0</v>
      </c>
      <c r="AO64" s="28">
        <f t="shared" si="8"/>
        <v>0</v>
      </c>
      <c r="AP64" s="28">
        <f t="shared" si="9"/>
        <v>0</v>
      </c>
      <c r="AQ64" s="28">
        <f t="shared" si="16"/>
        <v>0</v>
      </c>
      <c r="AR64" s="29">
        <f t="shared" si="17"/>
        <v>0</v>
      </c>
      <c r="AT64" s="12"/>
      <c r="AU64">
        <f t="shared" si="10"/>
        <v>0</v>
      </c>
      <c r="AV64">
        <f t="shared" si="11"/>
        <v>0</v>
      </c>
      <c r="AW64">
        <f t="shared" si="18"/>
        <v>0</v>
      </c>
      <c r="AX64">
        <f t="shared" si="5"/>
        <v>1</v>
      </c>
      <c r="AY64">
        <f t="shared" si="19"/>
        <v>0</v>
      </c>
      <c r="AZ64" s="28">
        <f t="shared" si="12"/>
        <v>0</v>
      </c>
      <c r="BA64" s="28">
        <f t="shared" si="13"/>
        <v>0</v>
      </c>
      <c r="BB64" s="28">
        <f t="shared" si="20"/>
        <v>0</v>
      </c>
      <c r="BC64" s="29">
        <f t="shared" si="21"/>
        <v>1.1662806753571799E-3</v>
      </c>
      <c r="BE64" s="29">
        <f t="shared" si="22"/>
        <v>0</v>
      </c>
      <c r="BF64" s="29">
        <f t="shared" si="23"/>
        <v>1.1662806753571799E-3</v>
      </c>
      <c r="BH64" s="29"/>
    </row>
    <row r="65" spans="1:60" x14ac:dyDescent="0.25">
      <c r="A65" s="1">
        <v>46118</v>
      </c>
      <c r="B65" s="33">
        <v>16.73</v>
      </c>
      <c r="C65" s="33">
        <v>21.81</v>
      </c>
      <c r="D65" s="15">
        <v>-1.1947432723428001E-3</v>
      </c>
      <c r="E65" s="15">
        <v>-1.3745706631667E-3</v>
      </c>
      <c r="F65" s="33">
        <v>0</v>
      </c>
      <c r="G65" s="33">
        <v>0.1867</v>
      </c>
      <c r="H65" s="33">
        <v>0</v>
      </c>
      <c r="I65" s="33">
        <v>0.24568100000000001</v>
      </c>
      <c r="J65" s="33">
        <v>0.1867</v>
      </c>
      <c r="K65" s="33">
        <v>0.24568100000000001</v>
      </c>
      <c r="L65" s="33">
        <v>16.916699999999999</v>
      </c>
      <c r="M65" s="33">
        <v>22.055681</v>
      </c>
      <c r="N65" s="34">
        <v>1.30364614465032</v>
      </c>
      <c r="O65" s="34">
        <v>1.3062602516891499</v>
      </c>
      <c r="P65" s="34">
        <v>1.30747660518252</v>
      </c>
      <c r="Q65" s="34">
        <v>1.3061258554991599</v>
      </c>
      <c r="R65" s="33">
        <v>21.853734010759499</v>
      </c>
      <c r="S65" s="33">
        <v>21.876303496854501</v>
      </c>
      <c r="T65" s="33">
        <v>21.852395325814602</v>
      </c>
      <c r="U65" s="15">
        <v>2.0032196684653201E-3</v>
      </c>
      <c r="V65" s="15">
        <v>3.0354386824580498E-3</v>
      </c>
      <c r="W65" s="15">
        <v>1.94196121499009E-3</v>
      </c>
      <c r="X65" s="34">
        <v>1.3037815294945201</v>
      </c>
      <c r="Y65" s="34">
        <v>1.3045124660331</v>
      </c>
      <c r="Z65" s="34">
        <v>1.30416688908419</v>
      </c>
      <c r="AA65" s="34">
        <v>1.3045215507771799</v>
      </c>
      <c r="AB65" s="33">
        <v>22.068046034142199</v>
      </c>
      <c r="AC65" s="33">
        <v>22.064385293794999</v>
      </c>
      <c r="AD65" s="33">
        <v>22.0690903728274</v>
      </c>
      <c r="AE65" s="15">
        <v>5.60470989058384E-4</v>
      </c>
      <c r="AF65" s="15">
        <v>3.9457302035802999E-4</v>
      </c>
      <c r="AG65" s="15">
        <v>6.0779343770373299E-4</v>
      </c>
      <c r="AI65" s="12"/>
      <c r="AJ65">
        <f t="shared" si="6"/>
        <v>0</v>
      </c>
      <c r="AK65">
        <f t="shared" si="7"/>
        <v>1</v>
      </c>
      <c r="AL65">
        <f t="shared" si="14"/>
        <v>0</v>
      </c>
      <c r="AM65">
        <f t="shared" si="4"/>
        <v>1</v>
      </c>
      <c r="AN65">
        <f t="shared" si="15"/>
        <v>0</v>
      </c>
      <c r="AO65" s="28">
        <f t="shared" si="8"/>
        <v>0</v>
      </c>
      <c r="AP65" s="28">
        <f t="shared" si="9"/>
        <v>0</v>
      </c>
      <c r="AQ65" s="28">
        <f t="shared" si="16"/>
        <v>0</v>
      </c>
      <c r="AR65" s="29">
        <f t="shared" si="17"/>
        <v>0</v>
      </c>
      <c r="AT65" s="12"/>
      <c r="AU65">
        <f t="shared" si="10"/>
        <v>0</v>
      </c>
      <c r="AV65">
        <f t="shared" si="11"/>
        <v>0</v>
      </c>
      <c r="AW65">
        <f t="shared" si="18"/>
        <v>0</v>
      </c>
      <c r="AX65">
        <f t="shared" si="5"/>
        <v>1</v>
      </c>
      <c r="AY65">
        <f t="shared" si="19"/>
        <v>0</v>
      </c>
      <c r="AZ65" s="28">
        <f t="shared" si="12"/>
        <v>0</v>
      </c>
      <c r="BA65" s="28">
        <f t="shared" si="13"/>
        <v>0</v>
      </c>
      <c r="BB65" s="28">
        <f t="shared" si="20"/>
        <v>0</v>
      </c>
      <c r="BC65" s="29">
        <f t="shared" si="21"/>
        <v>1.1662806753571799E-3</v>
      </c>
      <c r="BE65" s="29">
        <f t="shared" si="22"/>
        <v>0</v>
      </c>
      <c r="BF65" s="29">
        <f t="shared" si="23"/>
        <v>1.1662806753571799E-3</v>
      </c>
      <c r="BH65" s="29"/>
    </row>
    <row r="66" spans="1:60" x14ac:dyDescent="0.25">
      <c r="A66" s="1">
        <v>46119</v>
      </c>
      <c r="B66" s="33">
        <v>16.760000000000002</v>
      </c>
      <c r="C66" s="33">
        <v>21.85</v>
      </c>
      <c r="D66" s="15">
        <v>1.7915800552045101E-3</v>
      </c>
      <c r="E66" s="15">
        <v>1.83234132806156E-3</v>
      </c>
      <c r="F66" s="33">
        <v>0</v>
      </c>
      <c r="G66" s="33">
        <v>0.1867</v>
      </c>
      <c r="H66" s="33">
        <v>0</v>
      </c>
      <c r="I66" s="33">
        <v>0.24568100000000001</v>
      </c>
      <c r="J66" s="33">
        <v>0.1867</v>
      </c>
      <c r="K66" s="33">
        <v>0.24568100000000001</v>
      </c>
      <c r="L66" s="33">
        <v>16.9467</v>
      </c>
      <c r="M66" s="33">
        <v>22.095680999999999</v>
      </c>
      <c r="N66" s="34">
        <v>1.30369928400954</v>
      </c>
      <c r="O66" s="34">
        <v>1.3062602516891499</v>
      </c>
      <c r="P66" s="34">
        <v>1.30704964922158</v>
      </c>
      <c r="Q66" s="34">
        <v>1.30603304192186</v>
      </c>
      <c r="R66" s="33">
        <v>21.8929218183101</v>
      </c>
      <c r="S66" s="33">
        <v>21.913307902859</v>
      </c>
      <c r="T66" s="33">
        <v>21.890669338165999</v>
      </c>
      <c r="U66" s="15">
        <v>1.9624583956081398E-3</v>
      </c>
      <c r="V66" s="15">
        <v>2.8931975233665299E-3</v>
      </c>
      <c r="W66" s="15">
        <v>1.8595668745310201E-3</v>
      </c>
      <c r="X66" s="34">
        <v>1.3038338437571899</v>
      </c>
      <c r="Y66" s="34">
        <v>1.3045124660331</v>
      </c>
      <c r="Z66" s="34">
        <v>1.30422967760882</v>
      </c>
      <c r="AA66" s="34">
        <v>1.3044307311018</v>
      </c>
      <c r="AB66" s="33">
        <v>22.1071814081231</v>
      </c>
      <c r="AC66" s="33">
        <v>22.101325019242999</v>
      </c>
      <c r="AD66" s="33">
        <v>22.107335364555698</v>
      </c>
      <c r="AE66" s="15">
        <v>5.2034677195783E-4</v>
      </c>
      <c r="AF66" s="15">
        <v>2.5540278774999702E-4</v>
      </c>
      <c r="AG66" s="15">
        <v>5.27310839137946E-4</v>
      </c>
      <c r="AI66" s="12"/>
      <c r="AJ66">
        <f t="shared" si="6"/>
        <v>0</v>
      </c>
      <c r="AK66">
        <f t="shared" si="7"/>
        <v>1</v>
      </c>
      <c r="AL66">
        <f t="shared" si="14"/>
        <v>0</v>
      </c>
      <c r="AM66">
        <f t="shared" si="4"/>
        <v>1</v>
      </c>
      <c r="AN66">
        <f t="shared" si="15"/>
        <v>0</v>
      </c>
      <c r="AO66" s="28">
        <f t="shared" si="8"/>
        <v>0</v>
      </c>
      <c r="AP66" s="28">
        <f t="shared" si="9"/>
        <v>0</v>
      </c>
      <c r="AQ66" s="28">
        <f t="shared" si="16"/>
        <v>0</v>
      </c>
      <c r="AR66" s="29">
        <f t="shared" si="17"/>
        <v>0</v>
      </c>
      <c r="AT66" s="12"/>
      <c r="AU66">
        <f t="shared" si="10"/>
        <v>0</v>
      </c>
      <c r="AV66">
        <f t="shared" si="11"/>
        <v>0</v>
      </c>
      <c r="AW66">
        <f t="shared" si="18"/>
        <v>0</v>
      </c>
      <c r="AX66">
        <f t="shared" si="5"/>
        <v>1</v>
      </c>
      <c r="AY66">
        <f t="shared" si="19"/>
        <v>0</v>
      </c>
      <c r="AZ66" s="28">
        <f t="shared" si="12"/>
        <v>0</v>
      </c>
      <c r="BA66" s="28">
        <f t="shared" si="13"/>
        <v>0</v>
      </c>
      <c r="BB66" s="28">
        <f t="shared" si="20"/>
        <v>0</v>
      </c>
      <c r="BC66" s="29">
        <f t="shared" si="21"/>
        <v>1.1662806753571799E-3</v>
      </c>
      <c r="BE66" s="29">
        <f t="shared" si="22"/>
        <v>0</v>
      </c>
      <c r="BF66" s="29">
        <f t="shared" si="23"/>
        <v>1.1662806753571799E-3</v>
      </c>
      <c r="BH66" s="29"/>
    </row>
    <row r="67" spans="1:60" x14ac:dyDescent="0.25">
      <c r="A67" s="1">
        <v>46120</v>
      </c>
      <c r="B67" s="33">
        <v>16.79</v>
      </c>
      <c r="C67" s="33">
        <v>21.89</v>
      </c>
      <c r="D67" s="15">
        <v>1.78837603551242E-3</v>
      </c>
      <c r="E67" s="15">
        <v>1.82898999317227E-3</v>
      </c>
      <c r="F67" s="33">
        <v>0</v>
      </c>
      <c r="G67" s="33">
        <v>0.1867</v>
      </c>
      <c r="H67" s="33">
        <v>0</v>
      </c>
      <c r="I67" s="33">
        <v>0.24568100000000001</v>
      </c>
      <c r="J67" s="33">
        <v>0.1867</v>
      </c>
      <c r="K67" s="33">
        <v>0.24568100000000001</v>
      </c>
      <c r="L67" s="33">
        <v>16.976699999999902</v>
      </c>
      <c r="M67" s="33">
        <v>22.135681000000002</v>
      </c>
      <c r="N67" s="34">
        <v>1.3037522334723</v>
      </c>
      <c r="O67" s="34">
        <v>1.3062602516891499</v>
      </c>
      <c r="P67" s="34">
        <v>1.30647535333804</v>
      </c>
      <c r="Q67" s="34">
        <v>1.30600454939181</v>
      </c>
      <c r="R67" s="33">
        <v>21.9321096258608</v>
      </c>
      <c r="S67" s="33">
        <v>21.945363610430299</v>
      </c>
      <c r="T67" s="33">
        <v>21.9282947738681</v>
      </c>
      <c r="U67" s="15">
        <v>1.92184443794815E-3</v>
      </c>
      <c r="V67" s="15">
        <v>2.5259806379179799E-3</v>
      </c>
      <c r="W67" s="15">
        <v>1.74789018218729E-3</v>
      </c>
      <c r="X67" s="34">
        <v>1.30388597312787</v>
      </c>
      <c r="Y67" s="34">
        <v>1.3045124660331</v>
      </c>
      <c r="Z67" s="34">
        <v>1.3041481530319901</v>
      </c>
      <c r="AA67" s="34">
        <v>1.3044037327740201</v>
      </c>
      <c r="AB67" s="33">
        <v>22.146316782104101</v>
      </c>
      <c r="AC67" s="33">
        <v>22.1415159678617</v>
      </c>
      <c r="AD67" s="33">
        <v>22.144929192695901</v>
      </c>
      <c r="AE67" s="15">
        <v>4.80365965466912E-4</v>
      </c>
      <c r="AF67" s="15">
        <v>2.6356536976710599E-4</v>
      </c>
      <c r="AG67" s="15">
        <v>4.1770846382555802E-4</v>
      </c>
      <c r="AI67" s="12"/>
      <c r="AJ67">
        <f t="shared" si="6"/>
        <v>0</v>
      </c>
      <c r="AK67">
        <f t="shared" si="7"/>
        <v>1</v>
      </c>
      <c r="AL67">
        <f t="shared" si="14"/>
        <v>0</v>
      </c>
      <c r="AM67">
        <f t="shared" si="4"/>
        <v>1</v>
      </c>
      <c r="AN67">
        <f t="shared" si="15"/>
        <v>0</v>
      </c>
      <c r="AO67" s="28">
        <f t="shared" si="8"/>
        <v>0</v>
      </c>
      <c r="AP67" s="28">
        <f t="shared" si="9"/>
        <v>0</v>
      </c>
      <c r="AQ67" s="28">
        <f t="shared" si="16"/>
        <v>0</v>
      </c>
      <c r="AR67" s="29">
        <f t="shared" si="17"/>
        <v>0</v>
      </c>
      <c r="AT67" s="12"/>
      <c r="AU67">
        <f t="shared" si="10"/>
        <v>0</v>
      </c>
      <c r="AV67">
        <f t="shared" si="11"/>
        <v>0</v>
      </c>
      <c r="AW67">
        <f t="shared" si="18"/>
        <v>0</v>
      </c>
      <c r="AX67">
        <f t="shared" si="5"/>
        <v>1</v>
      </c>
      <c r="AY67">
        <f t="shared" si="19"/>
        <v>0</v>
      </c>
      <c r="AZ67" s="28">
        <f t="shared" si="12"/>
        <v>0</v>
      </c>
      <c r="BA67" s="28">
        <f t="shared" si="13"/>
        <v>0</v>
      </c>
      <c r="BB67" s="28">
        <f t="shared" si="20"/>
        <v>0</v>
      </c>
      <c r="BC67" s="29">
        <f t="shared" si="21"/>
        <v>1.1662806753571799E-3</v>
      </c>
      <c r="BE67" s="29">
        <f t="shared" si="22"/>
        <v>0</v>
      </c>
      <c r="BF67" s="29">
        <f t="shared" si="23"/>
        <v>1.1662806753571799E-3</v>
      </c>
      <c r="BH67" s="29"/>
    </row>
    <row r="68" spans="1:60" x14ac:dyDescent="0.25">
      <c r="A68" s="1">
        <v>46121</v>
      </c>
      <c r="B68" s="33">
        <v>16.8</v>
      </c>
      <c r="C68" s="33">
        <v>21.92</v>
      </c>
      <c r="D68" s="15">
        <v>5.9541531976390705E-4</v>
      </c>
      <c r="E68" s="15">
        <v>1.3695505450433501E-3</v>
      </c>
      <c r="F68" s="33">
        <v>0</v>
      </c>
      <c r="G68" s="33">
        <v>0.1867</v>
      </c>
      <c r="H68" s="33">
        <v>0</v>
      </c>
      <c r="I68" s="33">
        <v>0.24568100000000001</v>
      </c>
      <c r="J68" s="33">
        <v>0.1867</v>
      </c>
      <c r="K68" s="33">
        <v>0.24568100000000001</v>
      </c>
      <c r="L68" s="33">
        <v>16.986699999999999</v>
      </c>
      <c r="M68" s="33">
        <v>22.165680999999999</v>
      </c>
      <c r="N68" s="34">
        <v>1.3047619047618999</v>
      </c>
      <c r="O68" s="34">
        <v>1.3062602516891499</v>
      </c>
      <c r="P68" s="34">
        <v>1.3060762440540401</v>
      </c>
      <c r="Q68" s="34">
        <v>1.3060110531809701</v>
      </c>
      <c r="R68" s="33">
        <v>21.9451722283777</v>
      </c>
      <c r="S68" s="33">
        <v>21.948785936079101</v>
      </c>
      <c r="T68" s="33">
        <v>21.940876429782399</v>
      </c>
      <c r="U68" s="15">
        <v>1.14770921266859E-3</v>
      </c>
      <c r="V68" s="15">
        <v>1.3123654824910901E-3</v>
      </c>
      <c r="W68" s="15">
        <v>9.5193863224903703E-4</v>
      </c>
      <c r="X68" s="34">
        <v>1.30488446843707</v>
      </c>
      <c r="Y68" s="34">
        <v>1.3045124660331</v>
      </c>
      <c r="Z68" s="34">
        <v>1.3042387390019099</v>
      </c>
      <c r="AA68" s="34">
        <v>1.30441127008438</v>
      </c>
      <c r="AB68" s="33">
        <v>22.159361906764499</v>
      </c>
      <c r="AC68" s="33">
        <v>22.153173431108598</v>
      </c>
      <c r="AD68" s="33">
        <v>22.157514887512399</v>
      </c>
      <c r="AE68" s="15">
        <v>-2.8512519622755602E-4</v>
      </c>
      <c r="AF68" s="15">
        <v>-5.6443558318325696E-4</v>
      </c>
      <c r="AG68" s="15">
        <v>-3.6848031449008E-4</v>
      </c>
      <c r="AI68" s="12"/>
      <c r="AJ68">
        <f t="shared" si="6"/>
        <v>0</v>
      </c>
      <c r="AK68">
        <f t="shared" si="7"/>
        <v>0</v>
      </c>
      <c r="AL68">
        <f t="shared" si="14"/>
        <v>0</v>
      </c>
      <c r="AM68">
        <f t="shared" si="4"/>
        <v>1</v>
      </c>
      <c r="AN68">
        <f t="shared" si="15"/>
        <v>0</v>
      </c>
      <c r="AO68" s="28">
        <f t="shared" si="8"/>
        <v>0</v>
      </c>
      <c r="AP68" s="28">
        <f t="shared" si="9"/>
        <v>0</v>
      </c>
      <c r="AQ68" s="28">
        <f t="shared" si="16"/>
        <v>0</v>
      </c>
      <c r="AR68" s="29">
        <f t="shared" si="17"/>
        <v>0</v>
      </c>
      <c r="AT68" s="12"/>
      <c r="AU68">
        <f t="shared" si="10"/>
        <v>0</v>
      </c>
      <c r="AV68">
        <f t="shared" si="11"/>
        <v>1</v>
      </c>
      <c r="AW68">
        <f t="shared" si="18"/>
        <v>0</v>
      </c>
      <c r="AX68">
        <f t="shared" si="5"/>
        <v>1</v>
      </c>
      <c r="AY68">
        <f t="shared" si="19"/>
        <v>0</v>
      </c>
      <c r="AZ68" s="28">
        <f t="shared" si="12"/>
        <v>0</v>
      </c>
      <c r="BA68" s="28">
        <f t="shared" si="13"/>
        <v>0</v>
      </c>
      <c r="BB68" s="28">
        <f t="shared" si="20"/>
        <v>0</v>
      </c>
      <c r="BC68" s="29">
        <f t="shared" si="21"/>
        <v>1.1662806753571799E-3</v>
      </c>
      <c r="BE68" s="29">
        <f t="shared" si="22"/>
        <v>0</v>
      </c>
      <c r="BF68" s="29">
        <f t="shared" si="23"/>
        <v>1.1662806753571799E-3</v>
      </c>
      <c r="BH68" s="29"/>
    </row>
    <row r="69" spans="1:60" x14ac:dyDescent="0.25">
      <c r="A69" s="1">
        <v>46122</v>
      </c>
      <c r="B69" s="33">
        <v>16.77</v>
      </c>
      <c r="C69" s="33">
        <v>21.89</v>
      </c>
      <c r="D69" s="15">
        <v>-1.7873105740958599E-3</v>
      </c>
      <c r="E69" s="15">
        <v>-1.36955054504327E-3</v>
      </c>
      <c r="F69" s="33">
        <v>0</v>
      </c>
      <c r="G69" s="33">
        <v>0.1867</v>
      </c>
      <c r="H69" s="33">
        <v>0</v>
      </c>
      <c r="I69" s="33">
        <v>0.24568100000000001</v>
      </c>
      <c r="J69" s="33">
        <v>0.1867</v>
      </c>
      <c r="K69" s="33">
        <v>0.24568100000000001</v>
      </c>
      <c r="L69" s="33">
        <v>16.956699999999898</v>
      </c>
      <c r="M69" s="33">
        <v>22.135681000000002</v>
      </c>
      <c r="N69" s="34">
        <v>1.3053070960047699</v>
      </c>
      <c r="O69" s="34">
        <v>1.3062602516891499</v>
      </c>
      <c r="P69" s="34">
        <v>1.30568471133987</v>
      </c>
      <c r="Q69" s="34">
        <v>1.3060226766379199</v>
      </c>
      <c r="R69" s="33">
        <v>21.905984420827</v>
      </c>
      <c r="S69" s="33">
        <v>21.902898612786199</v>
      </c>
      <c r="T69" s="33">
        <v>21.9018053618449</v>
      </c>
      <c r="U69" s="15">
        <v>7.2994918361621395E-4</v>
      </c>
      <c r="V69" s="15">
        <v>5.8907327753454305E-4</v>
      </c>
      <c r="W69" s="15">
        <v>5.3915850389682604E-4</v>
      </c>
      <c r="X69" s="34">
        <v>1.30542387374901</v>
      </c>
      <c r="Y69" s="34">
        <v>1.3045124660331</v>
      </c>
      <c r="Z69" s="34">
        <v>1.3043394066107099</v>
      </c>
      <c r="AA69" s="34">
        <v>1.30442377360267</v>
      </c>
      <c r="AB69" s="33">
        <v>22.120226532783501</v>
      </c>
      <c r="AC69" s="33">
        <v>22.115585025633699</v>
      </c>
      <c r="AD69" s="33">
        <v>22.1185105834398</v>
      </c>
      <c r="AE69" s="15">
        <v>-6.98413780498454E-4</v>
      </c>
      <c r="AF69" s="15">
        <v>-9.0826670297463805E-4</v>
      </c>
      <c r="AG69" s="15">
        <v>-7.7599055851469896E-4</v>
      </c>
      <c r="AI69" s="12"/>
      <c r="AJ69">
        <f t="shared" si="6"/>
        <v>0</v>
      </c>
      <c r="AK69">
        <f t="shared" si="7"/>
        <v>0</v>
      </c>
      <c r="AL69">
        <f t="shared" si="14"/>
        <v>0</v>
      </c>
      <c r="AM69">
        <f t="shared" si="4"/>
        <v>1</v>
      </c>
      <c r="AN69">
        <f t="shared" si="15"/>
        <v>0</v>
      </c>
      <c r="AO69" s="28">
        <f t="shared" si="8"/>
        <v>0</v>
      </c>
      <c r="AP69" s="28">
        <f t="shared" si="9"/>
        <v>0</v>
      </c>
      <c r="AQ69" s="28">
        <f t="shared" si="16"/>
        <v>0</v>
      </c>
      <c r="AR69" s="29">
        <f t="shared" si="17"/>
        <v>0</v>
      </c>
      <c r="AT69" s="12"/>
      <c r="AU69">
        <f t="shared" si="10"/>
        <v>0</v>
      </c>
      <c r="AV69">
        <f t="shared" si="11"/>
        <v>1</v>
      </c>
      <c r="AW69">
        <f t="shared" si="18"/>
        <v>0</v>
      </c>
      <c r="AX69">
        <f t="shared" si="5"/>
        <v>1</v>
      </c>
      <c r="AY69">
        <f t="shared" si="19"/>
        <v>0</v>
      </c>
      <c r="AZ69" s="28">
        <f t="shared" si="12"/>
        <v>0</v>
      </c>
      <c r="BA69" s="28">
        <f t="shared" si="13"/>
        <v>0</v>
      </c>
      <c r="BB69" s="28">
        <f t="shared" si="20"/>
        <v>0</v>
      </c>
      <c r="BC69" s="29">
        <f t="shared" si="21"/>
        <v>1.1662806753571799E-3</v>
      </c>
      <c r="BE69" s="29">
        <f t="shared" si="22"/>
        <v>0</v>
      </c>
      <c r="BF69" s="29">
        <f t="shared" si="23"/>
        <v>1.1662806753571799E-3</v>
      </c>
      <c r="BH69" s="29"/>
    </row>
    <row r="70" spans="1:60" x14ac:dyDescent="0.25">
      <c r="A70" s="1">
        <v>46125</v>
      </c>
      <c r="B70" s="33">
        <v>16.82</v>
      </c>
      <c r="C70" s="33">
        <v>21.93</v>
      </c>
      <c r="D70" s="15">
        <v>2.97707870968456E-3</v>
      </c>
      <c r="E70" s="15">
        <v>1.82565089502514E-3</v>
      </c>
      <c r="F70" s="33">
        <v>0</v>
      </c>
      <c r="G70" s="33">
        <v>0.1867</v>
      </c>
      <c r="H70" s="33">
        <v>0</v>
      </c>
      <c r="I70" s="33">
        <v>0.24568100000000001</v>
      </c>
      <c r="J70" s="33">
        <v>0.1867</v>
      </c>
      <c r="K70" s="33">
        <v>0.24568100000000001</v>
      </c>
      <c r="L70" s="33">
        <v>17.006699999999999</v>
      </c>
      <c r="M70" s="33">
        <v>22.175681000000001</v>
      </c>
      <c r="N70" s="34">
        <v>1.3038049940546901</v>
      </c>
      <c r="O70" s="34">
        <v>1.3062602516891499</v>
      </c>
      <c r="P70" s="34">
        <v>1.3051615962875101</v>
      </c>
      <c r="Q70" s="34">
        <v>1.3059409598134599</v>
      </c>
      <c r="R70" s="33">
        <v>21.9712974334115</v>
      </c>
      <c r="S70" s="33">
        <v>21.9616168447366</v>
      </c>
      <c r="T70" s="33">
        <v>21.9673014210499</v>
      </c>
      <c r="U70" s="15">
        <v>1.8813769982753601E-3</v>
      </c>
      <c r="V70" s="15">
        <v>1.4406783107141601E-3</v>
      </c>
      <c r="W70" s="15">
        <v>1.69948624723803E-3</v>
      </c>
      <c r="X70" s="34">
        <v>1.30393791858502</v>
      </c>
      <c r="Y70" s="34">
        <v>1.3045124660331</v>
      </c>
      <c r="Z70" s="34">
        <v>1.3043096131308201</v>
      </c>
      <c r="AA70" s="34">
        <v>1.30434387271403</v>
      </c>
      <c r="AB70" s="33">
        <v>22.185452156085098</v>
      </c>
      <c r="AC70" s="33">
        <v>22.182508986406301</v>
      </c>
      <c r="AD70" s="33">
        <v>22.183943790528598</v>
      </c>
      <c r="AE70" s="15">
        <v>4.4052780206586801E-4</v>
      </c>
      <c r="AF70" s="15">
        <v>3.0785685630484698E-4</v>
      </c>
      <c r="AG70" s="15">
        <v>3.7253654255432902E-4</v>
      </c>
      <c r="AI70" s="12"/>
      <c r="AJ70">
        <f t="shared" si="6"/>
        <v>0</v>
      </c>
      <c r="AK70">
        <f t="shared" si="7"/>
        <v>1</v>
      </c>
      <c r="AL70">
        <f t="shared" si="14"/>
        <v>0</v>
      </c>
      <c r="AM70">
        <f t="shared" si="4"/>
        <v>1</v>
      </c>
      <c r="AN70">
        <f t="shared" si="15"/>
        <v>0</v>
      </c>
      <c r="AO70" s="28">
        <f t="shared" si="8"/>
        <v>0</v>
      </c>
      <c r="AP70" s="28">
        <f t="shared" si="9"/>
        <v>0</v>
      </c>
      <c r="AQ70" s="28">
        <f t="shared" si="16"/>
        <v>0</v>
      </c>
      <c r="AR70" s="29">
        <f t="shared" si="17"/>
        <v>0</v>
      </c>
      <c r="AT70" s="12"/>
      <c r="AU70">
        <f t="shared" si="10"/>
        <v>0</v>
      </c>
      <c r="AV70">
        <f t="shared" si="11"/>
        <v>0</v>
      </c>
      <c r="AW70">
        <f t="shared" si="18"/>
        <v>0</v>
      </c>
      <c r="AX70">
        <f t="shared" si="5"/>
        <v>1</v>
      </c>
      <c r="AY70">
        <f t="shared" si="19"/>
        <v>0</v>
      </c>
      <c r="AZ70" s="28">
        <f t="shared" si="12"/>
        <v>0</v>
      </c>
      <c r="BA70" s="28">
        <f t="shared" si="13"/>
        <v>0</v>
      </c>
      <c r="BB70" s="28">
        <f t="shared" si="20"/>
        <v>0</v>
      </c>
      <c r="BC70" s="29">
        <f t="shared" si="21"/>
        <v>1.1662806753571799E-3</v>
      </c>
      <c r="BE70" s="29">
        <f t="shared" si="22"/>
        <v>0</v>
      </c>
      <c r="BF70" s="29">
        <f t="shared" si="23"/>
        <v>1.1662806753571799E-3</v>
      </c>
      <c r="BH70" s="29"/>
    </row>
    <row r="71" spans="1:60" x14ac:dyDescent="0.25">
      <c r="A71" s="1">
        <v>46126</v>
      </c>
      <c r="B71" s="33">
        <v>16.84</v>
      </c>
      <c r="C71" s="33">
        <v>21.97</v>
      </c>
      <c r="D71" s="15">
        <v>1.1883542693787101E-3</v>
      </c>
      <c r="E71" s="15">
        <v>1.8223239667220601E-3</v>
      </c>
      <c r="F71" s="33">
        <v>0</v>
      </c>
      <c r="G71" s="33">
        <v>0.1867</v>
      </c>
      <c r="H71" s="33">
        <v>0</v>
      </c>
      <c r="I71" s="33">
        <v>0.24568100000000001</v>
      </c>
      <c r="J71" s="33">
        <v>0.1867</v>
      </c>
      <c r="K71" s="33">
        <v>0.24568100000000001</v>
      </c>
      <c r="L71" s="33">
        <v>17.026699999999899</v>
      </c>
      <c r="M71" s="33">
        <v>22.215681</v>
      </c>
      <c r="N71" s="34">
        <v>1.3046318289786201</v>
      </c>
      <c r="O71" s="34">
        <v>1.3062602516891499</v>
      </c>
      <c r="P71" s="34">
        <v>1.3046938482544399</v>
      </c>
      <c r="Q71" s="34">
        <v>1.30593701160825</v>
      </c>
      <c r="R71" s="33">
        <v>21.9974226384453</v>
      </c>
      <c r="S71" s="33">
        <v>21.9789212814816</v>
      </c>
      <c r="T71" s="33">
        <v>21.992045763258702</v>
      </c>
      <c r="U71" s="15">
        <v>1.2474073009320599E-3</v>
      </c>
      <c r="V71" s="15">
        <v>4.0598409899867999E-4</v>
      </c>
      <c r="W71" s="15">
        <v>1.0029453690802101E-3</v>
      </c>
      <c r="X71" s="34">
        <v>1.3047555310189201</v>
      </c>
      <c r="Y71" s="34">
        <v>1.3045124660331</v>
      </c>
      <c r="Z71" s="34">
        <v>1.3043331417861099</v>
      </c>
      <c r="AA71" s="34">
        <v>1.30434102287397</v>
      </c>
      <c r="AB71" s="33">
        <v>22.211542405405801</v>
      </c>
      <c r="AC71" s="33">
        <v>22.2080884898945</v>
      </c>
      <c r="AD71" s="33">
        <v>22.2086718175401</v>
      </c>
      <c r="AE71" s="15">
        <v>-1.8630894703284599E-4</v>
      </c>
      <c r="AF71" s="15">
        <v>-3.4182196903012201E-4</v>
      </c>
      <c r="AG71" s="15">
        <v>-3.1555586400301998E-4</v>
      </c>
      <c r="AI71" s="12"/>
      <c r="AJ71">
        <f t="shared" si="6"/>
        <v>0</v>
      </c>
      <c r="AK71">
        <f t="shared" si="7"/>
        <v>0</v>
      </c>
      <c r="AL71">
        <f t="shared" si="14"/>
        <v>0</v>
      </c>
      <c r="AM71">
        <f t="shared" si="4"/>
        <v>1</v>
      </c>
      <c r="AN71">
        <f t="shared" si="15"/>
        <v>0</v>
      </c>
      <c r="AO71" s="28">
        <f t="shared" si="8"/>
        <v>0</v>
      </c>
      <c r="AP71" s="28">
        <f t="shared" si="9"/>
        <v>0</v>
      </c>
      <c r="AQ71" s="28">
        <f t="shared" si="16"/>
        <v>0</v>
      </c>
      <c r="AR71" s="29">
        <f t="shared" si="17"/>
        <v>0</v>
      </c>
      <c r="AT71" s="12"/>
      <c r="AU71">
        <f t="shared" si="10"/>
        <v>0</v>
      </c>
      <c r="AV71">
        <f t="shared" si="11"/>
        <v>1</v>
      </c>
      <c r="AW71">
        <f t="shared" si="18"/>
        <v>0</v>
      </c>
      <c r="AX71">
        <f t="shared" si="5"/>
        <v>1</v>
      </c>
      <c r="AY71">
        <f t="shared" si="19"/>
        <v>0</v>
      </c>
      <c r="AZ71" s="28">
        <f t="shared" si="12"/>
        <v>0</v>
      </c>
      <c r="BA71" s="28">
        <f t="shared" si="13"/>
        <v>0</v>
      </c>
      <c r="BB71" s="28">
        <f t="shared" si="20"/>
        <v>0</v>
      </c>
      <c r="BC71" s="29">
        <f t="shared" si="21"/>
        <v>1.1662806753571799E-3</v>
      </c>
      <c r="BE71" s="29">
        <f t="shared" si="22"/>
        <v>0</v>
      </c>
      <c r="BF71" s="29">
        <f t="shared" si="23"/>
        <v>1.1662806753571799E-3</v>
      </c>
      <c r="BH71" s="29"/>
    </row>
    <row r="72" spans="1:60" x14ac:dyDescent="0.25">
      <c r="A72" s="1">
        <v>46127</v>
      </c>
      <c r="B72" s="33">
        <v>16.829999999999998</v>
      </c>
      <c r="C72" s="33">
        <v>21.95</v>
      </c>
      <c r="D72" s="15">
        <v>-5.9400061146608601E-4</v>
      </c>
      <c r="E72" s="15">
        <v>-9.1074687533847904E-4</v>
      </c>
      <c r="F72" s="33">
        <v>0</v>
      </c>
      <c r="G72" s="33">
        <v>0.1867</v>
      </c>
      <c r="H72" s="33">
        <v>0</v>
      </c>
      <c r="I72" s="33">
        <v>0.24568100000000001</v>
      </c>
      <c r="J72" s="33">
        <v>0.1867</v>
      </c>
      <c r="K72" s="33">
        <v>0.24568100000000001</v>
      </c>
      <c r="L72" s="33">
        <v>17.016699999999901</v>
      </c>
      <c r="M72" s="33">
        <v>22.195681</v>
      </c>
      <c r="N72" s="34">
        <v>1.30421865715983</v>
      </c>
      <c r="O72" s="34">
        <v>1.3062602516891499</v>
      </c>
      <c r="P72" s="34">
        <v>1.30419466133884</v>
      </c>
      <c r="Q72" s="34">
        <v>1.30593701160825</v>
      </c>
      <c r="R72" s="33">
        <v>21.9843600359284</v>
      </c>
      <c r="S72" s="33">
        <v>21.957997466122201</v>
      </c>
      <c r="T72" s="33">
        <v>21.978919905366901</v>
      </c>
      <c r="U72" s="15">
        <v>1.56415356480452E-3</v>
      </c>
      <c r="V72" s="15">
        <v>3.6428289478989702E-4</v>
      </c>
      <c r="W72" s="15">
        <v>1.3166683636758401E-3</v>
      </c>
      <c r="X72" s="34">
        <v>1.30434696504022</v>
      </c>
      <c r="Y72" s="34">
        <v>1.3045124660331</v>
      </c>
      <c r="Z72" s="34">
        <v>1.30432360020701</v>
      </c>
      <c r="AA72" s="34">
        <v>1.3043421892151501</v>
      </c>
      <c r="AB72" s="33">
        <v>22.198497280745499</v>
      </c>
      <c r="AC72" s="33">
        <v>22.1954457738318</v>
      </c>
      <c r="AD72" s="33">
        <v>22.195579883939601</v>
      </c>
      <c r="AE72" s="15">
        <v>1.2687612918415699E-4</v>
      </c>
      <c r="AF72" s="15">
        <v>-1.05978913029055E-5</v>
      </c>
      <c r="AG72" s="15">
        <v>-4.55567417471299E-6</v>
      </c>
      <c r="AI72" s="12"/>
      <c r="AJ72">
        <f t="shared" si="6"/>
        <v>0</v>
      </c>
      <c r="AK72">
        <f t="shared" si="7"/>
        <v>1</v>
      </c>
      <c r="AL72">
        <f t="shared" si="14"/>
        <v>0</v>
      </c>
      <c r="AM72">
        <f t="shared" si="4"/>
        <v>1</v>
      </c>
      <c r="AN72">
        <f t="shared" si="15"/>
        <v>0</v>
      </c>
      <c r="AO72" s="28">
        <f t="shared" si="8"/>
        <v>0</v>
      </c>
      <c r="AP72" s="28">
        <f t="shared" si="9"/>
        <v>0</v>
      </c>
      <c r="AQ72" s="28">
        <f t="shared" si="16"/>
        <v>0</v>
      </c>
      <c r="AR72" s="29">
        <f t="shared" si="17"/>
        <v>0</v>
      </c>
      <c r="AT72" s="12"/>
      <c r="AU72">
        <f t="shared" si="10"/>
        <v>0</v>
      </c>
      <c r="AV72">
        <f t="shared" si="11"/>
        <v>1</v>
      </c>
      <c r="AW72">
        <f t="shared" si="18"/>
        <v>0</v>
      </c>
      <c r="AX72">
        <f t="shared" si="5"/>
        <v>1</v>
      </c>
      <c r="AY72">
        <f t="shared" si="19"/>
        <v>0</v>
      </c>
      <c r="AZ72" s="28">
        <f t="shared" si="12"/>
        <v>0</v>
      </c>
      <c r="BA72" s="28">
        <f t="shared" si="13"/>
        <v>0</v>
      </c>
      <c r="BB72" s="28">
        <f t="shared" si="20"/>
        <v>0</v>
      </c>
      <c r="BC72" s="29">
        <f t="shared" si="21"/>
        <v>1.1662806753571799E-3</v>
      </c>
      <c r="BE72" s="29">
        <f t="shared" si="22"/>
        <v>0</v>
      </c>
      <c r="BF72" s="29">
        <f t="shared" si="23"/>
        <v>1.1662806753571799E-3</v>
      </c>
      <c r="BH72" s="29"/>
    </row>
    <row r="73" spans="1:60" x14ac:dyDescent="0.25">
      <c r="A73" s="1">
        <v>46128</v>
      </c>
      <c r="B73" s="33">
        <v>16.82</v>
      </c>
      <c r="C73" s="33">
        <v>21.93</v>
      </c>
      <c r="D73" s="15">
        <v>-5.9435365791250902E-4</v>
      </c>
      <c r="E73" s="15">
        <v>-9.1157709138355004E-4</v>
      </c>
      <c r="F73" s="33">
        <v>0</v>
      </c>
      <c r="G73" s="33">
        <v>0.1867</v>
      </c>
      <c r="H73" s="33">
        <v>0</v>
      </c>
      <c r="I73" s="33">
        <v>0.24568100000000001</v>
      </c>
      <c r="J73" s="33">
        <v>0.1867</v>
      </c>
      <c r="K73" s="33">
        <v>0.24568100000000001</v>
      </c>
      <c r="L73" s="33">
        <v>17.006699999999999</v>
      </c>
      <c r="M73" s="33">
        <v>22.175681000000001</v>
      </c>
      <c r="N73" s="34">
        <v>1.3038049940546901</v>
      </c>
      <c r="O73" s="34">
        <v>1.3062602516891499</v>
      </c>
      <c r="P73" s="34">
        <v>1.3041507734161599</v>
      </c>
      <c r="Q73" s="34">
        <v>1.30591246417495</v>
      </c>
      <c r="R73" s="33">
        <v>21.9712974334115</v>
      </c>
      <c r="S73" s="33">
        <v>21.9365542037193</v>
      </c>
      <c r="T73" s="33">
        <v>21.965860535250801</v>
      </c>
      <c r="U73" s="15">
        <v>1.8813769982753601E-3</v>
      </c>
      <c r="V73" s="15">
        <v>2.9882464611764999E-4</v>
      </c>
      <c r="W73" s="15">
        <v>1.6338917971464701E-3</v>
      </c>
      <c r="X73" s="34">
        <v>1.30393791858502</v>
      </c>
      <c r="Y73" s="34">
        <v>1.3045124660331</v>
      </c>
      <c r="Z73" s="34">
        <v>1.30428012593205</v>
      </c>
      <c r="AA73" s="34">
        <v>1.3043190456282601</v>
      </c>
      <c r="AB73" s="33">
        <v>22.185452156085098</v>
      </c>
      <c r="AC73" s="33">
        <v>22.182240171640601</v>
      </c>
      <c r="AD73" s="33">
        <v>22.1825563093253</v>
      </c>
      <c r="AE73" s="15">
        <v>4.4052780206586801E-4</v>
      </c>
      <c r="AF73" s="15">
        <v>2.9573846182003299E-4</v>
      </c>
      <c r="AG73" s="15">
        <v>3.0999019787089302E-4</v>
      </c>
      <c r="AI73" s="12"/>
      <c r="AJ73">
        <f t="shared" si="6"/>
        <v>0</v>
      </c>
      <c r="AK73">
        <f t="shared" si="7"/>
        <v>1</v>
      </c>
      <c r="AL73">
        <f t="shared" si="14"/>
        <v>0</v>
      </c>
      <c r="AM73">
        <f t="shared" si="4"/>
        <v>1</v>
      </c>
      <c r="AN73">
        <f t="shared" si="15"/>
        <v>0</v>
      </c>
      <c r="AO73" s="28">
        <f t="shared" si="8"/>
        <v>0</v>
      </c>
      <c r="AP73" s="28">
        <f t="shared" si="9"/>
        <v>0</v>
      </c>
      <c r="AQ73" s="28">
        <f t="shared" si="16"/>
        <v>0</v>
      </c>
      <c r="AR73" s="29">
        <f t="shared" si="17"/>
        <v>0</v>
      </c>
      <c r="AT73" s="12"/>
      <c r="AU73">
        <f t="shared" si="10"/>
        <v>0</v>
      </c>
      <c r="AV73">
        <f t="shared" si="11"/>
        <v>0</v>
      </c>
      <c r="AW73">
        <f t="shared" si="18"/>
        <v>0</v>
      </c>
      <c r="AX73">
        <f t="shared" si="5"/>
        <v>1</v>
      </c>
      <c r="AY73">
        <f t="shared" si="19"/>
        <v>0</v>
      </c>
      <c r="AZ73" s="28">
        <f t="shared" si="12"/>
        <v>0</v>
      </c>
      <c r="BA73" s="28">
        <f t="shared" si="13"/>
        <v>0</v>
      </c>
      <c r="BB73" s="28">
        <f t="shared" si="20"/>
        <v>0</v>
      </c>
      <c r="BC73" s="29">
        <f t="shared" si="21"/>
        <v>1.1662806753571799E-3</v>
      </c>
      <c r="BE73" s="29">
        <f t="shared" si="22"/>
        <v>0</v>
      </c>
      <c r="BF73" s="29">
        <f t="shared" si="23"/>
        <v>1.1662806753571799E-3</v>
      </c>
      <c r="BH73" s="29"/>
    </row>
    <row r="74" spans="1:60" x14ac:dyDescent="0.25">
      <c r="A74" s="1">
        <v>46129</v>
      </c>
      <c r="B74" s="33">
        <v>16.87</v>
      </c>
      <c r="C74" s="33">
        <v>21.99</v>
      </c>
      <c r="D74" s="15">
        <v>2.9682420130750301E-3</v>
      </c>
      <c r="E74" s="15">
        <v>2.73224213687285E-3</v>
      </c>
      <c r="F74" s="33">
        <v>0</v>
      </c>
      <c r="G74" s="33">
        <v>0.1867</v>
      </c>
      <c r="H74" s="33">
        <v>0</v>
      </c>
      <c r="I74" s="33">
        <v>0.24568100000000001</v>
      </c>
      <c r="J74" s="33">
        <v>0.1867</v>
      </c>
      <c r="K74" s="33">
        <v>0.24568100000000001</v>
      </c>
      <c r="L74" s="33">
        <v>17.056699999999999</v>
      </c>
      <c r="M74" s="33">
        <v>22.235681</v>
      </c>
      <c r="N74" s="34">
        <v>1.30349733254297</v>
      </c>
      <c r="O74" s="34">
        <v>1.3062602516891499</v>
      </c>
      <c r="P74" s="34">
        <v>1.30411244696896</v>
      </c>
      <c r="Q74" s="34">
        <v>1.3058608707305801</v>
      </c>
      <c r="R74" s="33">
        <v>22.036610445995901</v>
      </c>
      <c r="S74" s="33">
        <v>22.0010235475306</v>
      </c>
      <c r="T74" s="33">
        <v>22.030743270631401</v>
      </c>
      <c r="U74" s="15">
        <v>2.1173768744773601E-3</v>
      </c>
      <c r="V74" s="15">
        <v>5.0117259715483896E-4</v>
      </c>
      <c r="W74" s="15">
        <v>1.85109469937925E-3</v>
      </c>
      <c r="X74" s="34">
        <v>1.3036332350337401</v>
      </c>
      <c r="Y74" s="34">
        <v>1.3045124660331</v>
      </c>
      <c r="Z74" s="34">
        <v>1.30424212568286</v>
      </c>
      <c r="AA74" s="34">
        <v>1.30426909684909</v>
      </c>
      <c r="AB74" s="33">
        <v>22.250677779386798</v>
      </c>
      <c r="AC74" s="33">
        <v>22.246714823985201</v>
      </c>
      <c r="AD74" s="33">
        <v>22.247378665567499</v>
      </c>
      <c r="AE74" s="15">
        <v>6.7421926030414704E-4</v>
      </c>
      <c r="AF74" s="15">
        <v>4.96098468039473E-4</v>
      </c>
      <c r="AG74" s="15">
        <v>5.2593800539634699E-4</v>
      </c>
      <c r="AI74" s="12"/>
      <c r="AJ74">
        <f t="shared" si="6"/>
        <v>0</v>
      </c>
      <c r="AK74">
        <f t="shared" si="7"/>
        <v>1</v>
      </c>
      <c r="AL74">
        <f t="shared" si="14"/>
        <v>0</v>
      </c>
      <c r="AM74">
        <f t="shared" si="4"/>
        <v>0</v>
      </c>
      <c r="AN74">
        <f t="shared" si="15"/>
        <v>0</v>
      </c>
      <c r="AO74" s="28">
        <f t="shared" si="8"/>
        <v>0</v>
      </c>
      <c r="AP74" s="28">
        <f t="shared" si="9"/>
        <v>0</v>
      </c>
      <c r="AQ74" s="28">
        <f t="shared" si="16"/>
        <v>0</v>
      </c>
      <c r="AR74" s="29">
        <f t="shared" si="17"/>
        <v>0</v>
      </c>
      <c r="AT74" s="12"/>
      <c r="AU74">
        <f t="shared" si="10"/>
        <v>0</v>
      </c>
      <c r="AV74">
        <f t="shared" si="11"/>
        <v>0</v>
      </c>
      <c r="AW74">
        <f t="shared" si="18"/>
        <v>0</v>
      </c>
      <c r="AX74">
        <f t="shared" si="5"/>
        <v>0</v>
      </c>
      <c r="AY74">
        <f t="shared" si="19"/>
        <v>0</v>
      </c>
      <c r="AZ74" s="28">
        <f t="shared" si="12"/>
        <v>0</v>
      </c>
      <c r="BA74" s="28">
        <f t="shared" si="13"/>
        <v>0</v>
      </c>
      <c r="BB74" s="28">
        <f t="shared" si="20"/>
        <v>0</v>
      </c>
      <c r="BC74" s="29">
        <f t="shared" si="21"/>
        <v>1.1662806753571799E-3</v>
      </c>
      <c r="BE74" s="29">
        <f t="shared" si="22"/>
        <v>0</v>
      </c>
      <c r="BF74" s="29">
        <f t="shared" si="23"/>
        <v>1.1662806753571799E-3</v>
      </c>
      <c r="BH74" s="29"/>
    </row>
    <row r="75" spans="1:60" x14ac:dyDescent="0.25">
      <c r="A75" s="1">
        <v>46132</v>
      </c>
      <c r="B75" s="33">
        <v>16.8</v>
      </c>
      <c r="C75" s="33">
        <v>21.99</v>
      </c>
      <c r="D75" s="15">
        <v>-4.1580101486636701E-3</v>
      </c>
      <c r="E75" s="15">
        <v>0</v>
      </c>
      <c r="F75" s="33">
        <v>6.2469999999999998E-2</v>
      </c>
      <c r="G75" s="33">
        <v>0.24917</v>
      </c>
      <c r="H75" s="33">
        <v>0</v>
      </c>
      <c r="I75" s="33">
        <v>0.24568100000000001</v>
      </c>
      <c r="J75" s="33">
        <v>0.24917</v>
      </c>
      <c r="K75" s="33">
        <v>0.24568100000000001</v>
      </c>
      <c r="L75" s="33">
        <v>17.04917</v>
      </c>
      <c r="M75" s="33">
        <v>22.235681</v>
      </c>
      <c r="N75" s="34">
        <v>1.3089285714285701</v>
      </c>
      <c r="O75" s="34">
        <v>1.3062602516891499</v>
      </c>
      <c r="P75" s="34">
        <v>1.3046406896467899</v>
      </c>
      <c r="Q75" s="34">
        <v>1.3060586474146501</v>
      </c>
      <c r="R75" s="33">
        <v>21.9451722283777</v>
      </c>
      <c r="S75" s="33">
        <v>21.9090891090786</v>
      </c>
      <c r="T75" s="33">
        <v>21.9384626282738</v>
      </c>
      <c r="U75" s="15">
        <v>-2.0406332741862401E-3</v>
      </c>
      <c r="V75" s="15">
        <v>-3.6862260326239399E-3</v>
      </c>
      <c r="W75" s="15">
        <v>-2.34642381219035E-3</v>
      </c>
      <c r="X75" s="34">
        <v>1.30420900254968</v>
      </c>
      <c r="Y75" s="34">
        <v>1.3045124660331</v>
      </c>
      <c r="Z75" s="34">
        <v>1.30428487298837</v>
      </c>
      <c r="AA75" s="34">
        <v>1.3042258810362799</v>
      </c>
      <c r="AB75" s="33">
        <v>22.240854800517599</v>
      </c>
      <c r="AC75" s="33">
        <v>22.236245721928501</v>
      </c>
      <c r="AD75" s="33">
        <v>22.236705557926701</v>
      </c>
      <c r="AE75" s="15">
        <v>2.32653035935752E-4</v>
      </c>
      <c r="AF75" s="15">
        <v>2.53967826519097E-5</v>
      </c>
      <c r="AG75" s="15">
        <v>4.6076138756797702E-5</v>
      </c>
      <c r="AI75" s="12"/>
      <c r="AJ75">
        <f t="shared" si="6"/>
        <v>0</v>
      </c>
      <c r="AK75">
        <f t="shared" si="7"/>
        <v>1</v>
      </c>
      <c r="AL75">
        <f t="shared" si="14"/>
        <v>0</v>
      </c>
      <c r="AM75">
        <f t="shared" si="4"/>
        <v>1</v>
      </c>
      <c r="AN75">
        <f t="shared" si="15"/>
        <v>0</v>
      </c>
      <c r="AO75" s="28">
        <f t="shared" si="8"/>
        <v>0</v>
      </c>
      <c r="AP75" s="28">
        <f t="shared" si="9"/>
        <v>0</v>
      </c>
      <c r="AQ75" s="28">
        <f t="shared" si="16"/>
        <v>0</v>
      </c>
      <c r="AR75" s="29">
        <f t="shared" si="17"/>
        <v>0</v>
      </c>
      <c r="AT75" s="12"/>
      <c r="AU75">
        <f t="shared" si="10"/>
        <v>0</v>
      </c>
      <c r="AV75">
        <f t="shared" si="11"/>
        <v>1</v>
      </c>
      <c r="AW75">
        <f t="shared" si="18"/>
        <v>0</v>
      </c>
      <c r="AX75">
        <f t="shared" si="5"/>
        <v>1</v>
      </c>
      <c r="AY75">
        <f t="shared" si="19"/>
        <v>0</v>
      </c>
      <c r="AZ75" s="28">
        <f t="shared" si="12"/>
        <v>0</v>
      </c>
      <c r="BA75" s="28">
        <f t="shared" si="13"/>
        <v>0</v>
      </c>
      <c r="BB75" s="28">
        <f t="shared" si="20"/>
        <v>0</v>
      </c>
      <c r="BC75" s="29">
        <f t="shared" si="21"/>
        <v>1.1662806753571799E-3</v>
      </c>
      <c r="BE75" s="29">
        <f t="shared" si="22"/>
        <v>0</v>
      </c>
      <c r="BF75" s="29">
        <f t="shared" si="23"/>
        <v>1.1662806753571799E-3</v>
      </c>
      <c r="BH75" s="29"/>
    </row>
    <row r="76" spans="1:60" x14ac:dyDescent="0.25">
      <c r="A76" s="1">
        <v>46133</v>
      </c>
      <c r="B76" s="33">
        <v>16.77</v>
      </c>
      <c r="C76" s="33">
        <v>21.93</v>
      </c>
      <c r="D76" s="15">
        <v>-1.7873105740958599E-3</v>
      </c>
      <c r="E76" s="15">
        <v>-2.7322421368729498E-3</v>
      </c>
      <c r="F76" s="33">
        <v>0</v>
      </c>
      <c r="G76" s="33">
        <v>0.24917</v>
      </c>
      <c r="H76" s="33">
        <v>0</v>
      </c>
      <c r="I76" s="33">
        <v>0.24568100000000001</v>
      </c>
      <c r="J76" s="33">
        <v>0.24917</v>
      </c>
      <c r="K76" s="33">
        <v>0.24568100000000001</v>
      </c>
      <c r="L76" s="33">
        <v>17.019169999999999</v>
      </c>
      <c r="M76" s="33">
        <v>22.175681000000001</v>
      </c>
      <c r="N76" s="34">
        <v>1.3076923076922999</v>
      </c>
      <c r="O76" s="34">
        <v>1.3062602516891499</v>
      </c>
      <c r="P76" s="34">
        <v>1.3050399920150599</v>
      </c>
      <c r="Q76" s="34">
        <v>1.3060448206183199</v>
      </c>
      <c r="R76" s="33">
        <v>21.905984420827</v>
      </c>
      <c r="S76" s="33">
        <v>21.878824365376701</v>
      </c>
      <c r="T76" s="33">
        <v>21.902603517143699</v>
      </c>
      <c r="U76" s="15">
        <v>-1.0957017114091199E-3</v>
      </c>
      <c r="V76" s="15">
        <v>-2.3363173352688501E-3</v>
      </c>
      <c r="W76" s="15">
        <v>-1.2500506118936E-3</v>
      </c>
      <c r="X76" s="34">
        <v>1.3029825191240201</v>
      </c>
      <c r="Y76" s="34">
        <v>1.3045124660331</v>
      </c>
      <c r="Z76" s="34">
        <v>1.30419974052506</v>
      </c>
      <c r="AA76" s="34">
        <v>1.30421470906694</v>
      </c>
      <c r="AB76" s="33">
        <v>22.201719426536599</v>
      </c>
      <c r="AC76" s="33">
        <v>22.197845981817601</v>
      </c>
      <c r="AD76" s="33">
        <v>22.196841987756301</v>
      </c>
      <c r="AE76" s="15">
        <v>1.1734995414093301E-3</v>
      </c>
      <c r="AF76" s="15">
        <v>9.9901834128149607E-4</v>
      </c>
      <c r="AG76" s="15">
        <v>9.5378797218110601E-4</v>
      </c>
      <c r="AI76" s="12"/>
      <c r="AJ76">
        <f t="shared" si="6"/>
        <v>0</v>
      </c>
      <c r="AK76">
        <f t="shared" si="7"/>
        <v>1</v>
      </c>
      <c r="AL76">
        <f t="shared" si="14"/>
        <v>0</v>
      </c>
      <c r="AM76">
        <f t="shared" si="4"/>
        <v>1</v>
      </c>
      <c r="AN76">
        <f t="shared" si="15"/>
        <v>0</v>
      </c>
      <c r="AO76" s="28">
        <f t="shared" si="8"/>
        <v>0</v>
      </c>
      <c r="AP76" s="28">
        <f t="shared" si="9"/>
        <v>0</v>
      </c>
      <c r="AQ76" s="28">
        <f t="shared" si="16"/>
        <v>0</v>
      </c>
      <c r="AR76" s="29">
        <f t="shared" si="17"/>
        <v>0</v>
      </c>
      <c r="AT76" s="12"/>
      <c r="AU76">
        <f t="shared" si="10"/>
        <v>0</v>
      </c>
      <c r="AV76">
        <f t="shared" si="11"/>
        <v>0</v>
      </c>
      <c r="AW76">
        <f t="shared" si="18"/>
        <v>0</v>
      </c>
      <c r="AX76">
        <f t="shared" si="5"/>
        <v>1</v>
      </c>
      <c r="AY76">
        <f t="shared" si="19"/>
        <v>0</v>
      </c>
      <c r="AZ76" s="28">
        <f t="shared" si="12"/>
        <v>0</v>
      </c>
      <c r="BA76" s="28">
        <f t="shared" si="13"/>
        <v>0</v>
      </c>
      <c r="BB76" s="28">
        <f t="shared" si="20"/>
        <v>0</v>
      </c>
      <c r="BC76" s="29">
        <f t="shared" si="21"/>
        <v>1.1662806753571799E-3</v>
      </c>
      <c r="BE76" s="29">
        <f t="shared" si="22"/>
        <v>0</v>
      </c>
      <c r="BF76" s="29">
        <f t="shared" si="23"/>
        <v>1.1662806753571799E-3</v>
      </c>
      <c r="BH76" s="29"/>
    </row>
    <row r="77" spans="1:60" x14ac:dyDescent="0.25">
      <c r="A77" s="1">
        <v>46134</v>
      </c>
      <c r="B77" s="33">
        <v>16.77</v>
      </c>
      <c r="C77" s="33">
        <v>21.95</v>
      </c>
      <c r="D77" s="15">
        <v>0</v>
      </c>
      <c r="E77" s="15">
        <v>9.1157709138355698E-4</v>
      </c>
      <c r="F77" s="33">
        <v>0</v>
      </c>
      <c r="G77" s="33">
        <v>0.24917</v>
      </c>
      <c r="H77" s="33">
        <v>0</v>
      </c>
      <c r="I77" s="33">
        <v>0.24568100000000001</v>
      </c>
      <c r="J77" s="33">
        <v>0.24917</v>
      </c>
      <c r="K77" s="33">
        <v>0.24568100000000001</v>
      </c>
      <c r="L77" s="33">
        <v>17.019169999999999</v>
      </c>
      <c r="M77" s="33">
        <v>22.195681</v>
      </c>
      <c r="N77" s="34">
        <v>1.3088849135360701</v>
      </c>
      <c r="O77" s="34">
        <v>1.3062602516891499</v>
      </c>
      <c r="P77" s="34">
        <v>1.3055532600214399</v>
      </c>
      <c r="Q77" s="34">
        <v>1.3060143066797401</v>
      </c>
      <c r="R77" s="33">
        <v>21.905984420827</v>
      </c>
      <c r="S77" s="33">
        <v>21.885520666092699</v>
      </c>
      <c r="T77" s="33">
        <v>21.9023716417693</v>
      </c>
      <c r="U77" s="15">
        <v>-2.0072788027926001E-3</v>
      </c>
      <c r="V77" s="15">
        <v>-2.9418781586866001E-3</v>
      </c>
      <c r="W77" s="15">
        <v>-2.1722144173949502E-3</v>
      </c>
      <c r="X77" s="34">
        <v>1.30415766456296</v>
      </c>
      <c r="Y77" s="34">
        <v>1.3045124660331</v>
      </c>
      <c r="Z77" s="34">
        <v>1.3042269096685699</v>
      </c>
      <c r="AA77" s="34">
        <v>1.30418753135028</v>
      </c>
      <c r="AB77" s="33">
        <v>22.201719426536599</v>
      </c>
      <c r="AC77" s="33">
        <v>22.196397097951898</v>
      </c>
      <c r="AD77" s="33">
        <v>22.196651850110801</v>
      </c>
      <c r="AE77" s="15">
        <v>2.7201712333757599E-4</v>
      </c>
      <c r="AF77" s="15">
        <v>3.2262420804427901E-5</v>
      </c>
      <c r="AG77" s="15">
        <v>4.3739540082367001E-5</v>
      </c>
      <c r="AI77" s="12"/>
      <c r="AJ77">
        <f t="shared" si="6"/>
        <v>0</v>
      </c>
      <c r="AK77">
        <f t="shared" si="7"/>
        <v>1</v>
      </c>
      <c r="AL77">
        <f t="shared" si="14"/>
        <v>0</v>
      </c>
      <c r="AM77">
        <f t="shared" si="4"/>
        <v>1</v>
      </c>
      <c r="AN77">
        <f t="shared" si="15"/>
        <v>0</v>
      </c>
      <c r="AO77" s="28">
        <f t="shared" si="8"/>
        <v>0</v>
      </c>
      <c r="AP77" s="28">
        <f t="shared" si="9"/>
        <v>0</v>
      </c>
      <c r="AQ77" s="28">
        <f t="shared" si="16"/>
        <v>0</v>
      </c>
      <c r="AR77" s="29">
        <f t="shared" si="17"/>
        <v>0</v>
      </c>
      <c r="AT77" s="12"/>
      <c r="AU77">
        <f t="shared" si="10"/>
        <v>0</v>
      </c>
      <c r="AV77">
        <f t="shared" si="11"/>
        <v>1</v>
      </c>
      <c r="AW77">
        <f t="shared" si="18"/>
        <v>0</v>
      </c>
      <c r="AX77">
        <f t="shared" si="5"/>
        <v>1</v>
      </c>
      <c r="AY77">
        <f t="shared" si="19"/>
        <v>0</v>
      </c>
      <c r="AZ77" s="28">
        <f t="shared" si="12"/>
        <v>0</v>
      </c>
      <c r="BA77" s="28">
        <f t="shared" si="13"/>
        <v>0</v>
      </c>
      <c r="BB77" s="28">
        <f t="shared" si="20"/>
        <v>0</v>
      </c>
      <c r="BC77" s="29">
        <f t="shared" si="21"/>
        <v>1.1662806753571799E-3</v>
      </c>
      <c r="BE77" s="29">
        <f t="shared" si="22"/>
        <v>0</v>
      </c>
      <c r="BF77" s="29">
        <f t="shared" si="23"/>
        <v>1.1662806753571799E-3</v>
      </c>
      <c r="BH77" s="29"/>
    </row>
    <row r="78" spans="1:60" x14ac:dyDescent="0.25">
      <c r="A78" s="1">
        <v>46135</v>
      </c>
      <c r="B78" s="33">
        <v>16.75</v>
      </c>
      <c r="C78" s="33">
        <v>21.94</v>
      </c>
      <c r="D78" s="15">
        <v>-1.19331756404197E-3</v>
      </c>
      <c r="E78" s="15">
        <v>-4.5568467409612401E-4</v>
      </c>
      <c r="F78" s="33">
        <v>0</v>
      </c>
      <c r="G78" s="33">
        <v>0.24917</v>
      </c>
      <c r="H78" s="33">
        <v>0</v>
      </c>
      <c r="I78" s="33">
        <v>0.24568100000000001</v>
      </c>
      <c r="J78" s="33">
        <v>0.24917</v>
      </c>
      <c r="K78" s="33">
        <v>0.24568100000000001</v>
      </c>
      <c r="L78" s="33">
        <v>16.999169999999999</v>
      </c>
      <c r="M78" s="33">
        <v>22.185680999999999</v>
      </c>
      <c r="N78" s="34">
        <v>1.3098507462686499</v>
      </c>
      <c r="O78" s="34">
        <v>1.3062602516891499</v>
      </c>
      <c r="P78" s="34">
        <v>1.3060621441721201</v>
      </c>
      <c r="Q78" s="34">
        <v>1.30606919411308</v>
      </c>
      <c r="R78" s="33">
        <v>21.879859215793299</v>
      </c>
      <c r="S78" s="33">
        <v>21.868017105359201</v>
      </c>
      <c r="T78" s="33">
        <v>21.875739636885701</v>
      </c>
      <c r="U78" s="15">
        <v>-2.7449116927385402E-3</v>
      </c>
      <c r="V78" s="15">
        <v>-3.2862916050520499E-3</v>
      </c>
      <c r="W78" s="15">
        <v>-2.9332112030990799E-3</v>
      </c>
      <c r="X78" s="34">
        <v>1.30510377859624</v>
      </c>
      <c r="Y78" s="34">
        <v>1.3045124660331</v>
      </c>
      <c r="Z78" s="34">
        <v>1.3042488406844801</v>
      </c>
      <c r="AA78" s="34">
        <v>1.3042437898432</v>
      </c>
      <c r="AB78" s="33">
        <v>22.1756291772159</v>
      </c>
      <c r="AC78" s="33">
        <v>22.170774956030598</v>
      </c>
      <c r="AD78" s="33">
        <v>22.170105557303799</v>
      </c>
      <c r="AE78" s="15">
        <v>-4.5317971520341999E-4</v>
      </c>
      <c r="AF78" s="15">
        <v>-6.7210259292193599E-4</v>
      </c>
      <c r="AG78" s="15">
        <v>-7.0229589170899096E-4</v>
      </c>
      <c r="AI78" s="12"/>
      <c r="AJ78">
        <f t="shared" si="6"/>
        <v>0</v>
      </c>
      <c r="AK78">
        <f t="shared" si="7"/>
        <v>0</v>
      </c>
      <c r="AL78">
        <f t="shared" si="14"/>
        <v>0</v>
      </c>
      <c r="AM78">
        <f t="shared" si="4"/>
        <v>1</v>
      </c>
      <c r="AN78">
        <f t="shared" si="15"/>
        <v>0</v>
      </c>
      <c r="AO78" s="28">
        <f t="shared" si="8"/>
        <v>0</v>
      </c>
      <c r="AP78" s="28">
        <f t="shared" si="9"/>
        <v>0</v>
      </c>
      <c r="AQ78" s="28">
        <f t="shared" si="16"/>
        <v>0</v>
      </c>
      <c r="AR78" s="29">
        <f t="shared" si="17"/>
        <v>0</v>
      </c>
      <c r="AT78" s="12"/>
      <c r="AU78">
        <f t="shared" si="10"/>
        <v>0</v>
      </c>
      <c r="AV78">
        <f t="shared" si="11"/>
        <v>1</v>
      </c>
      <c r="AW78">
        <f t="shared" si="18"/>
        <v>0</v>
      </c>
      <c r="AX78">
        <f t="shared" si="5"/>
        <v>1</v>
      </c>
      <c r="AY78">
        <f t="shared" si="19"/>
        <v>0</v>
      </c>
      <c r="AZ78" s="28">
        <f t="shared" si="12"/>
        <v>0</v>
      </c>
      <c r="BA78" s="28">
        <f t="shared" si="13"/>
        <v>0</v>
      </c>
      <c r="BB78" s="28">
        <f t="shared" si="20"/>
        <v>0</v>
      </c>
      <c r="BC78" s="29">
        <f t="shared" si="21"/>
        <v>1.1662806753571799E-3</v>
      </c>
      <c r="BE78" s="29">
        <f t="shared" si="22"/>
        <v>0</v>
      </c>
      <c r="BF78" s="29">
        <f t="shared" si="23"/>
        <v>1.1662806753571799E-3</v>
      </c>
      <c r="BH78" s="29"/>
    </row>
    <row r="79" spans="1:60" x14ac:dyDescent="0.25">
      <c r="A79" s="1">
        <v>46136</v>
      </c>
      <c r="B79" s="33">
        <v>16.77</v>
      </c>
      <c r="C79" s="33">
        <v>21.96</v>
      </c>
      <c r="D79" s="15">
        <v>1.1933175640420101E-3</v>
      </c>
      <c r="E79" s="15">
        <v>9.1116179424564295E-4</v>
      </c>
      <c r="F79" s="33">
        <v>0</v>
      </c>
      <c r="G79" s="33">
        <v>0.24917</v>
      </c>
      <c r="H79" s="33">
        <v>0</v>
      </c>
      <c r="I79" s="33">
        <v>0.24568100000000001</v>
      </c>
      <c r="J79" s="33">
        <v>0.24917</v>
      </c>
      <c r="K79" s="33">
        <v>0.24568100000000001</v>
      </c>
      <c r="L79" s="33">
        <v>17.019169999999999</v>
      </c>
      <c r="M79" s="33">
        <v>22.205680999999998</v>
      </c>
      <c r="N79" s="34">
        <v>1.3094812164579599</v>
      </c>
      <c r="O79" s="34">
        <v>1.3062602516891499</v>
      </c>
      <c r="P79" s="34">
        <v>1.3064795562174301</v>
      </c>
      <c r="Q79" s="34">
        <v>1.3060821337786499</v>
      </c>
      <c r="R79" s="33">
        <v>21.905984420827</v>
      </c>
      <c r="S79" s="33">
        <v>21.9026621577664</v>
      </c>
      <c r="T79" s="33">
        <v>21.902780385276301</v>
      </c>
      <c r="U79" s="15">
        <v>-2.4627559229421698E-3</v>
      </c>
      <c r="V79" s="15">
        <v>-2.6144274912946199E-3</v>
      </c>
      <c r="W79" s="15">
        <v>-2.6090296455910001E-3</v>
      </c>
      <c r="X79" s="34">
        <v>1.30474523728242</v>
      </c>
      <c r="Y79" s="34">
        <v>1.3045124660331</v>
      </c>
      <c r="Z79" s="34">
        <v>1.3041809770378201</v>
      </c>
      <c r="AA79" s="34">
        <v>1.30426019182427</v>
      </c>
      <c r="AB79" s="33">
        <v>22.201719426536599</v>
      </c>
      <c r="AC79" s="33">
        <v>22.197232741912199</v>
      </c>
      <c r="AD79" s="33">
        <v>22.197146780785701</v>
      </c>
      <c r="AE79" s="15">
        <v>-1.7841951728075499E-4</v>
      </c>
      <c r="AF79" s="15">
        <v>-3.8052719867957699E-4</v>
      </c>
      <c r="AG79" s="15">
        <v>-3.8439981171977598E-4</v>
      </c>
      <c r="AI79" s="12"/>
      <c r="AJ79">
        <f t="shared" si="6"/>
        <v>0</v>
      </c>
      <c r="AK79">
        <f t="shared" si="7"/>
        <v>0</v>
      </c>
      <c r="AL79">
        <f t="shared" si="14"/>
        <v>0</v>
      </c>
      <c r="AM79">
        <f t="shared" si="4"/>
        <v>1</v>
      </c>
      <c r="AN79">
        <f t="shared" si="15"/>
        <v>0</v>
      </c>
      <c r="AO79" s="28">
        <f t="shared" si="8"/>
        <v>0</v>
      </c>
      <c r="AP79" s="28">
        <f t="shared" si="9"/>
        <v>0</v>
      </c>
      <c r="AQ79" s="28">
        <f t="shared" si="16"/>
        <v>0</v>
      </c>
      <c r="AR79" s="29">
        <f t="shared" si="17"/>
        <v>0</v>
      </c>
      <c r="AT79" s="12"/>
      <c r="AU79">
        <f t="shared" si="10"/>
        <v>0</v>
      </c>
      <c r="AV79">
        <f t="shared" si="11"/>
        <v>1</v>
      </c>
      <c r="AW79">
        <f t="shared" si="18"/>
        <v>0</v>
      </c>
      <c r="AX79">
        <f t="shared" si="5"/>
        <v>1</v>
      </c>
      <c r="AY79">
        <f t="shared" si="19"/>
        <v>0</v>
      </c>
      <c r="AZ79" s="28">
        <f t="shared" si="12"/>
        <v>0</v>
      </c>
      <c r="BA79" s="28">
        <f t="shared" si="13"/>
        <v>0</v>
      </c>
      <c r="BB79" s="28">
        <f t="shared" si="20"/>
        <v>0</v>
      </c>
      <c r="BC79" s="29">
        <f t="shared" si="21"/>
        <v>1.1662806753571799E-3</v>
      </c>
      <c r="BE79" s="29">
        <f t="shared" si="22"/>
        <v>0</v>
      </c>
      <c r="BF79" s="29">
        <f t="shared" si="23"/>
        <v>1.1662806753571799E-3</v>
      </c>
      <c r="BH79" s="29"/>
    </row>
    <row r="80" spans="1:60" x14ac:dyDescent="0.25">
      <c r="A80" s="1">
        <v>46139</v>
      </c>
      <c r="B80" s="33">
        <v>16.760000000000002</v>
      </c>
      <c r="C80" s="33">
        <v>21.94</v>
      </c>
      <c r="D80" s="15">
        <v>-5.9648078118035601E-4</v>
      </c>
      <c r="E80" s="15">
        <v>-9.11161794245659E-4</v>
      </c>
      <c r="F80" s="33">
        <v>0</v>
      </c>
      <c r="G80" s="33">
        <v>0.24917</v>
      </c>
      <c r="H80" s="33">
        <v>0</v>
      </c>
      <c r="I80" s="33">
        <v>0.24568100000000001</v>
      </c>
      <c r="J80" s="33">
        <v>0.24917</v>
      </c>
      <c r="K80" s="33">
        <v>0.24568100000000001</v>
      </c>
      <c r="L80" s="33">
        <v>17.009170000000001</v>
      </c>
      <c r="M80" s="33">
        <v>22.185680999999999</v>
      </c>
      <c r="N80" s="34">
        <v>1.3090692124104999</v>
      </c>
      <c r="O80" s="34">
        <v>1.3062602516891499</v>
      </c>
      <c r="P80" s="34">
        <v>1.3070059780530201</v>
      </c>
      <c r="Q80" s="34">
        <v>1.30608378717026</v>
      </c>
      <c r="R80" s="33">
        <v>21.8929218183101</v>
      </c>
      <c r="S80" s="33">
        <v>21.896597362204201</v>
      </c>
      <c r="T80" s="33">
        <v>21.889936562130199</v>
      </c>
      <c r="U80" s="15">
        <v>-2.1480749098768698E-3</v>
      </c>
      <c r="V80" s="15">
        <v>-1.9802016848898801E-3</v>
      </c>
      <c r="W80" s="15">
        <v>-2.2844413461932298E-3</v>
      </c>
      <c r="X80" s="34">
        <v>1.30433648437872</v>
      </c>
      <c r="Y80" s="34">
        <v>1.3045124660331</v>
      </c>
      <c r="Z80" s="34">
        <v>1.3042208336171901</v>
      </c>
      <c r="AA80" s="34">
        <v>1.304265223374</v>
      </c>
      <c r="AB80" s="33">
        <v>22.188674301876201</v>
      </c>
      <c r="AC80" s="33">
        <v>22.183035949202502</v>
      </c>
      <c r="AD80" s="33">
        <v>22.184383326971599</v>
      </c>
      <c r="AE80" s="15">
        <v>1.3491134059133401E-4</v>
      </c>
      <c r="AF80" s="15">
        <v>-1.19230439033023E-4</v>
      </c>
      <c r="AG80" s="15">
        <v>-5.8493177705875003E-5</v>
      </c>
      <c r="AI80" s="12"/>
      <c r="AJ80">
        <f t="shared" si="6"/>
        <v>0</v>
      </c>
      <c r="AK80">
        <f t="shared" si="7"/>
        <v>1</v>
      </c>
      <c r="AL80">
        <f t="shared" si="14"/>
        <v>0</v>
      </c>
      <c r="AM80">
        <f t="shared" si="4"/>
        <v>1</v>
      </c>
      <c r="AN80">
        <f t="shared" si="15"/>
        <v>0</v>
      </c>
      <c r="AO80" s="28">
        <f t="shared" si="8"/>
        <v>0</v>
      </c>
      <c r="AP80" s="28">
        <f t="shared" si="9"/>
        <v>0</v>
      </c>
      <c r="AQ80" s="28">
        <f t="shared" si="16"/>
        <v>0</v>
      </c>
      <c r="AR80" s="29">
        <f t="shared" si="17"/>
        <v>0</v>
      </c>
      <c r="AT80" s="12"/>
      <c r="AU80">
        <f t="shared" si="10"/>
        <v>0</v>
      </c>
      <c r="AV80">
        <f t="shared" si="11"/>
        <v>1</v>
      </c>
      <c r="AW80">
        <f t="shared" si="18"/>
        <v>0</v>
      </c>
      <c r="AX80">
        <f t="shared" si="5"/>
        <v>1</v>
      </c>
      <c r="AY80">
        <f t="shared" si="19"/>
        <v>0</v>
      </c>
      <c r="AZ80" s="28">
        <f t="shared" si="12"/>
        <v>0</v>
      </c>
      <c r="BA80" s="28">
        <f t="shared" si="13"/>
        <v>0</v>
      </c>
      <c r="BB80" s="28">
        <f t="shared" si="20"/>
        <v>0</v>
      </c>
      <c r="BC80" s="29">
        <f t="shared" si="21"/>
        <v>1.1662806753571799E-3</v>
      </c>
      <c r="BE80" s="29">
        <f t="shared" si="22"/>
        <v>0</v>
      </c>
      <c r="BF80" s="29">
        <f t="shared" si="23"/>
        <v>1.1662806753571799E-3</v>
      </c>
      <c r="BH80" s="29"/>
    </row>
    <row r="81" spans="1:60" x14ac:dyDescent="0.25">
      <c r="A81" s="1">
        <v>46140</v>
      </c>
      <c r="B81" s="33">
        <v>16.739999999999998</v>
      </c>
      <c r="C81" s="33">
        <v>21.93</v>
      </c>
      <c r="D81" s="15">
        <v>-1.19402999260791E-3</v>
      </c>
      <c r="E81" s="15">
        <v>-4.55892417287445E-4</v>
      </c>
      <c r="F81" s="33">
        <v>0</v>
      </c>
      <c r="G81" s="33">
        <v>0.24917</v>
      </c>
      <c r="H81" s="33">
        <v>0</v>
      </c>
      <c r="I81" s="33">
        <v>0.24568100000000001</v>
      </c>
      <c r="J81" s="33">
        <v>0.24917</v>
      </c>
      <c r="K81" s="33">
        <v>0.24568100000000001</v>
      </c>
      <c r="L81" s="33">
        <v>16.989169999999898</v>
      </c>
      <c r="M81" s="33">
        <v>22.175681000000001</v>
      </c>
      <c r="N81" s="34">
        <v>1.3100358422939</v>
      </c>
      <c r="O81" s="34">
        <v>1.3062602516891499</v>
      </c>
      <c r="P81" s="34">
        <v>1.3075463793845401</v>
      </c>
      <c r="Q81" s="34">
        <v>1.30612011381949</v>
      </c>
      <c r="R81" s="33">
        <v>21.866796613276399</v>
      </c>
      <c r="S81" s="33">
        <v>21.8792800726075</v>
      </c>
      <c r="T81" s="33">
        <v>21.8638425972302</v>
      </c>
      <c r="U81" s="15">
        <v>-2.8862124851973701E-3</v>
      </c>
      <c r="V81" s="15">
        <v>-2.3154888630706801E-3</v>
      </c>
      <c r="W81" s="15">
        <v>-3.0213130052897698E-3</v>
      </c>
      <c r="X81" s="34">
        <v>1.30528336581481</v>
      </c>
      <c r="Y81" s="34">
        <v>1.3045124660331</v>
      </c>
      <c r="Z81" s="34">
        <v>1.3042736170967799</v>
      </c>
      <c r="AA81" s="34">
        <v>1.30430337944145</v>
      </c>
      <c r="AB81" s="33">
        <v>22.162584052555601</v>
      </c>
      <c r="AC81" s="33">
        <v>22.1576294598643</v>
      </c>
      <c r="AD81" s="33">
        <v>22.158383604989002</v>
      </c>
      <c r="AE81" s="15">
        <v>-5.9077403275819499E-4</v>
      </c>
      <c r="AF81" s="15">
        <v>-8.1435565925754895E-4</v>
      </c>
      <c r="AG81" s="15">
        <v>-7.8032077783961296E-4</v>
      </c>
      <c r="AI81" s="12"/>
      <c r="AJ81">
        <f t="shared" si="6"/>
        <v>0</v>
      </c>
      <c r="AK81">
        <f t="shared" si="7"/>
        <v>0</v>
      </c>
      <c r="AL81">
        <f t="shared" si="14"/>
        <v>0</v>
      </c>
      <c r="AM81">
        <f t="shared" si="4"/>
        <v>1</v>
      </c>
      <c r="AN81">
        <f t="shared" si="15"/>
        <v>0</v>
      </c>
      <c r="AO81" s="28">
        <f t="shared" si="8"/>
        <v>0</v>
      </c>
      <c r="AP81" s="28">
        <f t="shared" si="9"/>
        <v>0</v>
      </c>
      <c r="AQ81" s="28">
        <f t="shared" si="16"/>
        <v>0</v>
      </c>
      <c r="AR81" s="29">
        <f t="shared" si="17"/>
        <v>0</v>
      </c>
      <c r="AT81" s="12"/>
      <c r="AU81">
        <f t="shared" si="10"/>
        <v>0</v>
      </c>
      <c r="AV81">
        <f t="shared" si="11"/>
        <v>1</v>
      </c>
      <c r="AW81">
        <f t="shared" si="18"/>
        <v>0</v>
      </c>
      <c r="AX81">
        <f t="shared" si="5"/>
        <v>1</v>
      </c>
      <c r="AY81">
        <f t="shared" si="19"/>
        <v>0</v>
      </c>
      <c r="AZ81" s="28">
        <f t="shared" si="12"/>
        <v>0</v>
      </c>
      <c r="BA81" s="28">
        <f t="shared" si="13"/>
        <v>0</v>
      </c>
      <c r="BB81" s="28">
        <f t="shared" si="20"/>
        <v>0</v>
      </c>
      <c r="BC81" s="29">
        <f t="shared" si="21"/>
        <v>1.1662806753571799E-3</v>
      </c>
      <c r="BE81" s="29">
        <f t="shared" si="22"/>
        <v>0</v>
      </c>
      <c r="BF81" s="29">
        <f t="shared" si="23"/>
        <v>1.1662806753571799E-3</v>
      </c>
      <c r="BH81" s="29"/>
    </row>
    <row r="82" spans="1:60" x14ac:dyDescent="0.25">
      <c r="A82" s="1">
        <v>46141</v>
      </c>
      <c r="B82" s="33">
        <v>16.7</v>
      </c>
      <c r="C82" s="33">
        <v>21.86</v>
      </c>
      <c r="D82" s="15">
        <v>-2.3923456386198199E-3</v>
      </c>
      <c r="E82" s="15">
        <v>-3.19707968140431E-3</v>
      </c>
      <c r="F82" s="33">
        <v>0</v>
      </c>
      <c r="G82" s="33">
        <v>0.24917</v>
      </c>
      <c r="H82" s="33">
        <v>0</v>
      </c>
      <c r="I82" s="33">
        <v>0.24568100000000001</v>
      </c>
      <c r="J82" s="33">
        <v>0.24917</v>
      </c>
      <c r="K82" s="33">
        <v>0.24568100000000001</v>
      </c>
      <c r="L82" s="33">
        <v>16.949169999999999</v>
      </c>
      <c r="M82" s="33">
        <v>22.105681000000001</v>
      </c>
      <c r="N82" s="34">
        <v>1.3089820359281401</v>
      </c>
      <c r="O82" s="34">
        <v>1.3062602516891499</v>
      </c>
      <c r="P82" s="34">
        <v>1.3080227172613701</v>
      </c>
      <c r="Q82" s="34">
        <v>1.3061086893001099</v>
      </c>
      <c r="R82" s="33">
        <v>21.814546203208799</v>
      </c>
      <c r="S82" s="33">
        <v>21.836024535721901</v>
      </c>
      <c r="T82" s="33">
        <v>21.8122059007855</v>
      </c>
      <c r="U82" s="15">
        <v>-2.0814784424127799E-3</v>
      </c>
      <c r="V82" s="15">
        <v>-1.09737519322564E-3</v>
      </c>
      <c r="W82" s="15">
        <v>-2.1887659351849001E-3</v>
      </c>
      <c r="X82" s="34">
        <v>1.3042338356391401</v>
      </c>
      <c r="Y82" s="34">
        <v>1.3045124660331</v>
      </c>
      <c r="Z82" s="34">
        <v>1.3042623041566701</v>
      </c>
      <c r="AA82" s="34">
        <v>1.30429295218184</v>
      </c>
      <c r="AB82" s="33">
        <v>22.1104035539142</v>
      </c>
      <c r="AC82" s="33">
        <v>22.1063552626883</v>
      </c>
      <c r="AD82" s="33">
        <v>22.106859709727601</v>
      </c>
      <c r="AE82" s="15">
        <v>2.13612488753687E-4</v>
      </c>
      <c r="AF82" s="15">
        <v>3.0501317984850499E-5</v>
      </c>
      <c r="AG82" s="15">
        <v>5.3320153469604901E-5</v>
      </c>
      <c r="AI82" s="12"/>
      <c r="AJ82">
        <f t="shared" si="6"/>
        <v>0</v>
      </c>
      <c r="AK82">
        <f t="shared" si="7"/>
        <v>1</v>
      </c>
      <c r="AL82">
        <f t="shared" si="14"/>
        <v>0</v>
      </c>
      <c r="AM82">
        <f t="shared" si="4"/>
        <v>1</v>
      </c>
      <c r="AN82">
        <f t="shared" si="15"/>
        <v>0</v>
      </c>
      <c r="AO82" s="28">
        <f t="shared" si="8"/>
        <v>0</v>
      </c>
      <c r="AP82" s="28">
        <f t="shared" si="9"/>
        <v>0</v>
      </c>
      <c r="AQ82" s="28">
        <f t="shared" si="16"/>
        <v>0</v>
      </c>
      <c r="AR82" s="29">
        <f t="shared" si="17"/>
        <v>0</v>
      </c>
      <c r="AT82" s="12"/>
      <c r="AU82">
        <f t="shared" si="10"/>
        <v>0</v>
      </c>
      <c r="AV82">
        <f t="shared" si="11"/>
        <v>1</v>
      </c>
      <c r="AW82">
        <f t="shared" si="18"/>
        <v>0</v>
      </c>
      <c r="AX82">
        <f t="shared" si="5"/>
        <v>1</v>
      </c>
      <c r="AY82">
        <f t="shared" si="19"/>
        <v>0</v>
      </c>
      <c r="AZ82" s="28">
        <f t="shared" si="12"/>
        <v>0</v>
      </c>
      <c r="BA82" s="28">
        <f t="shared" si="13"/>
        <v>0</v>
      </c>
      <c r="BB82" s="28">
        <f t="shared" si="20"/>
        <v>0</v>
      </c>
      <c r="BC82" s="29">
        <f t="shared" si="21"/>
        <v>1.1662806753571799E-3</v>
      </c>
      <c r="BE82" s="29">
        <f t="shared" si="22"/>
        <v>0</v>
      </c>
      <c r="BF82" s="29">
        <f t="shared" si="23"/>
        <v>1.1662806753571799E-3</v>
      </c>
      <c r="BH82" s="29"/>
    </row>
    <row r="83" spans="1:60" x14ac:dyDescent="0.25">
      <c r="A83" s="1">
        <v>46142</v>
      </c>
      <c r="B83" s="33">
        <v>16.73</v>
      </c>
      <c r="C83" s="33">
        <v>21.89</v>
      </c>
      <c r="D83" s="15">
        <v>1.79479557602333E-3</v>
      </c>
      <c r="E83" s="15">
        <v>1.37142878637917E-3</v>
      </c>
      <c r="F83" s="33">
        <v>0</v>
      </c>
      <c r="G83" s="33">
        <v>0.24917</v>
      </c>
      <c r="H83" s="33">
        <v>0</v>
      </c>
      <c r="I83" s="33">
        <v>0.24568100000000001</v>
      </c>
      <c r="J83" s="33">
        <v>0.24917</v>
      </c>
      <c r="K83" s="33">
        <v>0.24568100000000001</v>
      </c>
      <c r="L83" s="33">
        <v>16.97917</v>
      </c>
      <c r="M83" s="33">
        <v>22.135681000000002</v>
      </c>
      <c r="N83" s="34">
        <v>1.30842797369994</v>
      </c>
      <c r="O83" s="34">
        <v>1.3062602516891499</v>
      </c>
      <c r="P83" s="34">
        <v>1.3084850152259</v>
      </c>
      <c r="Q83" s="34">
        <v>1.3063178943210301</v>
      </c>
      <c r="R83" s="33">
        <v>21.853734010759499</v>
      </c>
      <c r="S83" s="33">
        <v>21.883220059782801</v>
      </c>
      <c r="T83" s="33">
        <v>21.851198371990801</v>
      </c>
      <c r="U83" s="15">
        <v>-1.65811165276872E-3</v>
      </c>
      <c r="V83" s="15">
        <v>-3.0977571501814499E-4</v>
      </c>
      <c r="W83" s="15">
        <v>-1.7741460970854799E-3</v>
      </c>
      <c r="X83" s="34">
        <v>1.30369629375287</v>
      </c>
      <c r="Y83" s="34">
        <v>1.3045124660331</v>
      </c>
      <c r="Z83" s="34">
        <v>1.3042381416734601</v>
      </c>
      <c r="AA83" s="34">
        <v>1.30425913380275</v>
      </c>
      <c r="AB83" s="33">
        <v>22.1495389278952</v>
      </c>
      <c r="AC83" s="33">
        <v>22.1452913868679</v>
      </c>
      <c r="AD83" s="33">
        <v>22.145811764897399</v>
      </c>
      <c r="AE83" s="15">
        <v>6.25848911676744E-4</v>
      </c>
      <c r="AF83" s="15">
        <v>4.34063955727852E-4</v>
      </c>
      <c r="AG83" s="15">
        <v>4.5756203965278101E-4</v>
      </c>
      <c r="AI83" s="12"/>
      <c r="AJ83">
        <f t="shared" si="6"/>
        <v>0</v>
      </c>
      <c r="AK83">
        <f t="shared" si="7"/>
        <v>1</v>
      </c>
      <c r="AL83">
        <f t="shared" si="14"/>
        <v>0</v>
      </c>
      <c r="AM83">
        <f t="shared" si="4"/>
        <v>0</v>
      </c>
      <c r="AN83">
        <f t="shared" si="15"/>
        <v>0</v>
      </c>
      <c r="AO83" s="28">
        <f t="shared" si="8"/>
        <v>0</v>
      </c>
      <c r="AP83" s="28">
        <f t="shared" si="9"/>
        <v>0</v>
      </c>
      <c r="AQ83" s="28">
        <f t="shared" si="16"/>
        <v>0</v>
      </c>
      <c r="AR83" s="29">
        <f t="shared" si="17"/>
        <v>0</v>
      </c>
      <c r="AT83" s="12"/>
      <c r="AU83">
        <f t="shared" si="10"/>
        <v>0</v>
      </c>
      <c r="AV83">
        <f t="shared" si="11"/>
        <v>0</v>
      </c>
      <c r="AW83">
        <f t="shared" si="18"/>
        <v>0</v>
      </c>
      <c r="AX83">
        <f t="shared" si="5"/>
        <v>0</v>
      </c>
      <c r="AY83">
        <f t="shared" si="19"/>
        <v>0</v>
      </c>
      <c r="AZ83" s="28">
        <f t="shared" si="12"/>
        <v>0</v>
      </c>
      <c r="BA83" s="28">
        <f t="shared" si="13"/>
        <v>0</v>
      </c>
      <c r="BB83" s="28">
        <f t="shared" si="20"/>
        <v>0</v>
      </c>
      <c r="BC83" s="29">
        <f t="shared" si="21"/>
        <v>1.1662806753571799E-3</v>
      </c>
      <c r="BE83" s="29">
        <f t="shared" si="22"/>
        <v>0</v>
      </c>
      <c r="BF83" s="29">
        <f t="shared" si="23"/>
        <v>1.1662806753571799E-3</v>
      </c>
      <c r="BH83" s="29"/>
    </row>
    <row r="84" spans="1:60" x14ac:dyDescent="0.25">
      <c r="A84" s="1">
        <v>46143</v>
      </c>
      <c r="B84" s="33">
        <v>16.73</v>
      </c>
      <c r="C84" s="33">
        <v>21.82</v>
      </c>
      <c r="D84" s="15">
        <v>0</v>
      </c>
      <c r="E84" s="15">
        <v>-3.2029311298468299E-3</v>
      </c>
      <c r="F84" s="33">
        <v>0</v>
      </c>
      <c r="G84" s="33">
        <v>0.24917</v>
      </c>
      <c r="H84" s="33">
        <v>8.3414000000000002E-2</v>
      </c>
      <c r="I84" s="33">
        <v>0.32909500000000003</v>
      </c>
      <c r="J84" s="33">
        <v>0.24917</v>
      </c>
      <c r="K84" s="33">
        <v>0.32909500000000003</v>
      </c>
      <c r="L84" s="33">
        <v>16.97917</v>
      </c>
      <c r="M84" s="33">
        <v>22.149094999999999</v>
      </c>
      <c r="N84" s="34">
        <v>1.30424387328153</v>
      </c>
      <c r="O84" s="34">
        <v>1.3062602516891499</v>
      </c>
      <c r="P84" s="34">
        <v>1.3085596692997501</v>
      </c>
      <c r="Q84" s="34">
        <v>1.3063360581343599</v>
      </c>
      <c r="R84" s="33">
        <v>21.853734010759499</v>
      </c>
      <c r="S84" s="33">
        <v>21.890954304729298</v>
      </c>
      <c r="T84" s="33">
        <v>21.8546983719908</v>
      </c>
      <c r="U84" s="15">
        <v>1.5448194770780401E-3</v>
      </c>
      <c r="V84" s="15">
        <v>3.2465256446159701E-3</v>
      </c>
      <c r="W84" s="15">
        <v>1.5889464877697601E-3</v>
      </c>
      <c r="X84" s="34">
        <v>1.3044863205916399</v>
      </c>
      <c r="Y84" s="34">
        <v>1.3045124660331</v>
      </c>
      <c r="Z84" s="34">
        <v>1.30432345022925</v>
      </c>
      <c r="AA84" s="34">
        <v>1.3042827879560499</v>
      </c>
      <c r="AB84" s="33">
        <v>22.1495389278952</v>
      </c>
      <c r="AC84" s="33">
        <v>22.144881127957799</v>
      </c>
      <c r="AD84" s="33">
        <v>22.1452375568897</v>
      </c>
      <c r="AE84" s="15">
        <v>2.0042509483630501E-5</v>
      </c>
      <c r="AF84" s="15">
        <v>-1.9026840321153301E-4</v>
      </c>
      <c r="AG84" s="15">
        <v>-1.7417321347069201E-4</v>
      </c>
      <c r="AI84" s="12"/>
      <c r="AJ84">
        <f t="shared" si="6"/>
        <v>0</v>
      </c>
      <c r="AK84">
        <f t="shared" si="7"/>
        <v>1</v>
      </c>
      <c r="AL84">
        <f t="shared" si="14"/>
        <v>0</v>
      </c>
      <c r="AM84">
        <f t="shared" si="4"/>
        <v>1</v>
      </c>
      <c r="AN84">
        <f t="shared" si="15"/>
        <v>0</v>
      </c>
      <c r="AO84" s="28">
        <f t="shared" si="8"/>
        <v>0</v>
      </c>
      <c r="AP84" s="28">
        <f t="shared" si="9"/>
        <v>0</v>
      </c>
      <c r="AQ84" s="28">
        <f t="shared" si="16"/>
        <v>0</v>
      </c>
      <c r="AR84" s="29">
        <f t="shared" si="17"/>
        <v>0</v>
      </c>
      <c r="AT84" s="12"/>
      <c r="AU84">
        <f t="shared" si="10"/>
        <v>0</v>
      </c>
      <c r="AV84">
        <f t="shared" si="11"/>
        <v>1</v>
      </c>
      <c r="AW84">
        <f t="shared" si="18"/>
        <v>0</v>
      </c>
      <c r="AX84">
        <f t="shared" si="5"/>
        <v>1</v>
      </c>
      <c r="AY84">
        <f t="shared" si="19"/>
        <v>0</v>
      </c>
      <c r="AZ84" s="28">
        <f t="shared" si="12"/>
        <v>0</v>
      </c>
      <c r="BA84" s="28">
        <f t="shared" si="13"/>
        <v>0</v>
      </c>
      <c r="BB84" s="28">
        <f t="shared" si="20"/>
        <v>0</v>
      </c>
      <c r="BC84" s="29">
        <f t="shared" si="21"/>
        <v>1.1662806753571799E-3</v>
      </c>
      <c r="BE84" s="29">
        <f t="shared" si="22"/>
        <v>0</v>
      </c>
      <c r="BF84" s="29">
        <f t="shared" si="23"/>
        <v>1.1662806753571799E-3</v>
      </c>
      <c r="BH84" s="29"/>
    </row>
    <row r="85" spans="1:60" x14ac:dyDescent="0.25">
      <c r="A85" s="1">
        <v>46146</v>
      </c>
      <c r="B85" s="33">
        <v>16.7</v>
      </c>
      <c r="C85" s="33">
        <v>21.78</v>
      </c>
      <c r="D85" s="15">
        <v>-1.7947955760231999E-3</v>
      </c>
      <c r="E85" s="15">
        <v>-1.8348629001103301E-3</v>
      </c>
      <c r="F85" s="33">
        <v>0</v>
      </c>
      <c r="G85" s="33">
        <v>0.24917</v>
      </c>
      <c r="H85" s="33">
        <v>0</v>
      </c>
      <c r="I85" s="33">
        <v>0.32909500000000003</v>
      </c>
      <c r="J85" s="33">
        <v>0.24917</v>
      </c>
      <c r="K85" s="33">
        <v>0.32909500000000003</v>
      </c>
      <c r="L85" s="33">
        <v>16.949169999999999</v>
      </c>
      <c r="M85" s="33">
        <v>22.109095</v>
      </c>
      <c r="N85" s="34">
        <v>1.30419161676646</v>
      </c>
      <c r="O85" s="34">
        <v>1.3062602516891499</v>
      </c>
      <c r="P85" s="34">
        <v>1.30808597383354</v>
      </c>
      <c r="Q85" s="34">
        <v>1.3063633317401699</v>
      </c>
      <c r="R85" s="33">
        <v>21.814546203208799</v>
      </c>
      <c r="S85" s="33">
        <v>21.852946477305899</v>
      </c>
      <c r="T85" s="33">
        <v>21.815812170843799</v>
      </c>
      <c r="U85" s="15">
        <v>1.5848868011652799E-3</v>
      </c>
      <c r="V85" s="15">
        <v>3.3436451652645001E-3</v>
      </c>
      <c r="W85" s="15">
        <v>1.642918304117E-3</v>
      </c>
      <c r="X85" s="34">
        <v>1.3044352614316801</v>
      </c>
      <c r="Y85" s="34">
        <v>1.3045124660331</v>
      </c>
      <c r="Z85" s="34">
        <v>1.3043460761174499</v>
      </c>
      <c r="AA85" s="34">
        <v>1.30431547455291</v>
      </c>
      <c r="AB85" s="33">
        <v>22.1104035539142</v>
      </c>
      <c r="AC85" s="33">
        <v>22.1071998929221</v>
      </c>
      <c r="AD85" s="33">
        <v>22.106510701141101</v>
      </c>
      <c r="AE85" s="15">
        <v>5.9184475512936597E-5</v>
      </c>
      <c r="AF85" s="15">
        <v>-8.5719849823650101E-5</v>
      </c>
      <c r="AG85" s="15">
        <v>-1.16895327826755E-4</v>
      </c>
      <c r="AI85" s="12"/>
      <c r="AJ85">
        <f t="shared" si="6"/>
        <v>0</v>
      </c>
      <c r="AK85">
        <f t="shared" si="7"/>
        <v>1</v>
      </c>
      <c r="AL85">
        <f t="shared" si="14"/>
        <v>0</v>
      </c>
      <c r="AM85">
        <f t="shared" ref="AM85:AM148" si="24">IF(F86+H86&gt;0,0,1)</f>
        <v>1</v>
      </c>
      <c r="AN85">
        <f t="shared" si="15"/>
        <v>0</v>
      </c>
      <c r="AO85" s="28">
        <f t="shared" si="8"/>
        <v>0</v>
      </c>
      <c r="AP85" s="28">
        <f t="shared" si="9"/>
        <v>0</v>
      </c>
      <c r="AQ85" s="28">
        <f t="shared" si="16"/>
        <v>0</v>
      </c>
      <c r="AR85" s="29">
        <f t="shared" si="17"/>
        <v>0</v>
      </c>
      <c r="AT85" s="12"/>
      <c r="AU85">
        <f t="shared" si="10"/>
        <v>0</v>
      </c>
      <c r="AV85">
        <f t="shared" si="11"/>
        <v>1</v>
      </c>
      <c r="AW85">
        <f t="shared" si="18"/>
        <v>0</v>
      </c>
      <c r="AX85">
        <f t="shared" ref="AX85:AX148" si="25">IF(F86+H86&gt;0,0,1)</f>
        <v>1</v>
      </c>
      <c r="AY85">
        <f t="shared" si="19"/>
        <v>0</v>
      </c>
      <c r="AZ85" s="28">
        <f t="shared" si="12"/>
        <v>0</v>
      </c>
      <c r="BA85" s="28">
        <f t="shared" si="13"/>
        <v>0</v>
      </c>
      <c r="BB85" s="28">
        <f t="shared" si="20"/>
        <v>0</v>
      </c>
      <c r="BC85" s="29">
        <f t="shared" si="21"/>
        <v>1.1662806753571799E-3</v>
      </c>
      <c r="BE85" s="29">
        <f t="shared" si="22"/>
        <v>0</v>
      </c>
      <c r="BF85" s="29">
        <f t="shared" si="23"/>
        <v>1.1662806753571799E-3</v>
      </c>
      <c r="BH85" s="29"/>
    </row>
    <row r="86" spans="1:60" x14ac:dyDescent="0.25">
      <c r="A86" s="1">
        <v>46147</v>
      </c>
      <c r="B86" s="33">
        <v>16.71</v>
      </c>
      <c r="C86" s="33">
        <v>21.8</v>
      </c>
      <c r="D86" s="15">
        <v>5.9862318459304805E-4</v>
      </c>
      <c r="E86" s="15">
        <v>9.1785229022895896E-4</v>
      </c>
      <c r="F86" s="33">
        <v>0</v>
      </c>
      <c r="G86" s="33">
        <v>0.24917</v>
      </c>
      <c r="H86" s="33">
        <v>0</v>
      </c>
      <c r="I86" s="33">
        <v>0.32909500000000003</v>
      </c>
      <c r="J86" s="33">
        <v>0.24917</v>
      </c>
      <c r="K86" s="33">
        <v>0.32909500000000003</v>
      </c>
      <c r="L86" s="33">
        <v>16.95917</v>
      </c>
      <c r="M86" s="33">
        <v>22.129095</v>
      </c>
      <c r="N86" s="34">
        <v>1.3046080191502001</v>
      </c>
      <c r="O86" s="34">
        <v>1.3062602516891499</v>
      </c>
      <c r="P86" s="34">
        <v>1.3077775449793301</v>
      </c>
      <c r="Q86" s="34">
        <v>1.3064087684971999</v>
      </c>
      <c r="R86" s="33">
        <v>21.827608805725699</v>
      </c>
      <c r="S86" s="33">
        <v>21.858116622758601</v>
      </c>
      <c r="T86" s="33">
        <v>21.829331273378202</v>
      </c>
      <c r="U86" s="15">
        <v>1.2656576955293801E-3</v>
      </c>
      <c r="V86" s="15">
        <v>2.66235291773679E-3</v>
      </c>
      <c r="W86" s="15">
        <v>1.3445669205135399E-3</v>
      </c>
      <c r="X86" s="34">
        <v>1.30484540222192</v>
      </c>
      <c r="Y86" s="34">
        <v>1.3045124660331</v>
      </c>
      <c r="Z86" s="34">
        <v>1.30453236442724</v>
      </c>
      <c r="AA86" s="34">
        <v>1.30436605247615</v>
      </c>
      <c r="AB86" s="33">
        <v>22.123448678574601</v>
      </c>
      <c r="AC86" s="33">
        <v>22.120626843708799</v>
      </c>
      <c r="AD86" s="33">
        <v>22.120107866573498</v>
      </c>
      <c r="AE86" s="15">
        <v>-2.5518630056719198E-4</v>
      </c>
      <c r="AF86" s="15">
        <v>-3.8274393789147797E-4</v>
      </c>
      <c r="AG86" s="15">
        <v>-4.0620544406561802E-4</v>
      </c>
      <c r="AI86" s="12"/>
      <c r="AJ86">
        <f t="shared" ref="AJ86:AJ149" si="26">IF($AG86&lt;AI$21,1,0)</f>
        <v>0</v>
      </c>
      <c r="AK86">
        <f t="shared" ref="AK86:AK149" si="27">IF($AG86&gt;AI$22,1,0)</f>
        <v>0</v>
      </c>
      <c r="AL86">
        <f t="shared" si="14"/>
        <v>0</v>
      </c>
      <c r="AM86">
        <f t="shared" si="24"/>
        <v>1</v>
      </c>
      <c r="AN86">
        <f t="shared" si="15"/>
        <v>0</v>
      </c>
      <c r="AO86" s="28">
        <f t="shared" ref="AO86:AO149" si="28">AN86*D86</f>
        <v>0</v>
      </c>
      <c r="AP86" s="28">
        <f t="shared" ref="AP86:AP149" si="29">-AN86*$E86</f>
        <v>0</v>
      </c>
      <c r="AQ86" s="28">
        <f t="shared" si="16"/>
        <v>0</v>
      </c>
      <c r="AR86" s="29">
        <f t="shared" si="17"/>
        <v>0</v>
      </c>
      <c r="AT86" s="12"/>
      <c r="AU86">
        <f t="shared" ref="AU86:AU149" si="30">IF($AG86&gt;AT$21,1,0)</f>
        <v>0</v>
      </c>
      <c r="AV86">
        <f t="shared" ref="AV86:AV149" si="31">IF($AG86&lt;AT$22,1,0)</f>
        <v>1</v>
      </c>
      <c r="AW86">
        <f t="shared" si="18"/>
        <v>0</v>
      </c>
      <c r="AX86">
        <f t="shared" si="25"/>
        <v>1</v>
      </c>
      <c r="AY86">
        <f t="shared" si="19"/>
        <v>0</v>
      </c>
      <c r="AZ86" s="28">
        <f t="shared" ref="AZ86:AZ149" si="32">-AY86*D86</f>
        <v>0</v>
      </c>
      <c r="BA86" s="28">
        <f t="shared" ref="BA86:BA149" si="33">AY86*$E86</f>
        <v>0</v>
      </c>
      <c r="BB86" s="28">
        <f t="shared" si="20"/>
        <v>0</v>
      </c>
      <c r="BC86" s="29">
        <f t="shared" si="21"/>
        <v>1.1662806753571799E-3</v>
      </c>
      <c r="BE86" s="29">
        <f t="shared" si="22"/>
        <v>0</v>
      </c>
      <c r="BF86" s="29">
        <f t="shared" si="23"/>
        <v>1.1662806753571799E-3</v>
      </c>
      <c r="BH86" s="29"/>
    </row>
    <row r="87" spans="1:60" x14ac:dyDescent="0.25">
      <c r="A87" s="1">
        <v>46148</v>
      </c>
      <c r="B87" s="33">
        <v>16.77</v>
      </c>
      <c r="C87" s="33">
        <v>21.86</v>
      </c>
      <c r="D87" s="15">
        <v>3.5842332278151002E-3</v>
      </c>
      <c r="E87" s="15">
        <v>2.74851295334909E-3</v>
      </c>
      <c r="F87" s="33">
        <v>0</v>
      </c>
      <c r="G87" s="33">
        <v>0.24917</v>
      </c>
      <c r="H87" s="33">
        <v>0</v>
      </c>
      <c r="I87" s="33">
        <v>0.32909500000000003</v>
      </c>
      <c r="J87" s="33">
        <v>0.24917</v>
      </c>
      <c r="K87" s="33">
        <v>0.32909500000000003</v>
      </c>
      <c r="L87" s="33">
        <v>17.019169999999999</v>
      </c>
      <c r="M87" s="33">
        <v>22.189094999999998</v>
      </c>
      <c r="N87" s="34">
        <v>1.3035181872391099</v>
      </c>
      <c r="O87" s="34">
        <v>1.3062602516891499</v>
      </c>
      <c r="P87" s="34">
        <v>1.30724087234964</v>
      </c>
      <c r="Q87" s="34">
        <v>1.30639706618554</v>
      </c>
      <c r="R87" s="33">
        <v>21.905984420827</v>
      </c>
      <c r="S87" s="33">
        <v>21.931429429303499</v>
      </c>
      <c r="T87" s="33">
        <v>21.908475047698101</v>
      </c>
      <c r="U87" s="15">
        <v>2.1013779699953598E-3</v>
      </c>
      <c r="V87" s="15">
        <v>3.2622590119742601E-3</v>
      </c>
      <c r="W87" s="15">
        <v>2.21506769269968E-3</v>
      </c>
      <c r="X87" s="34">
        <v>1.3037706891699099</v>
      </c>
      <c r="Y87" s="34">
        <v>1.3045124660331</v>
      </c>
      <c r="Z87" s="34">
        <v>1.3044936668879299</v>
      </c>
      <c r="AA87" s="34">
        <v>1.3043602882782499</v>
      </c>
      <c r="AB87" s="33">
        <v>22.201719426536599</v>
      </c>
      <c r="AC87" s="33">
        <v>22.202058080689199</v>
      </c>
      <c r="AD87" s="33">
        <v>22.1992275893205</v>
      </c>
      <c r="AE87" s="15">
        <v>5.6878554899488995E-4</v>
      </c>
      <c r="AF87" s="15">
        <v>5.8403894281089104E-4</v>
      </c>
      <c r="AG87" s="15">
        <v>4.56543023277717E-4</v>
      </c>
      <c r="AI87" s="12"/>
      <c r="AJ87">
        <f t="shared" si="26"/>
        <v>0</v>
      </c>
      <c r="AK87">
        <f t="shared" si="27"/>
        <v>1</v>
      </c>
      <c r="AL87">
        <f t="shared" ref="AL87:AL150" si="34">AN87</f>
        <v>0</v>
      </c>
      <c r="AM87">
        <f t="shared" si="24"/>
        <v>1</v>
      </c>
      <c r="AN87">
        <f t="shared" ref="AN87:AN150" si="35">IF(AJ86,1,IF(AK86,0,AL86))*AM86</f>
        <v>0</v>
      </c>
      <c r="AO87" s="28">
        <f t="shared" si="28"/>
        <v>0</v>
      </c>
      <c r="AP87" s="28">
        <f t="shared" si="29"/>
        <v>0</v>
      </c>
      <c r="AQ87" s="28">
        <f t="shared" ref="AQ87:AQ150" si="36">AO87+AP87</f>
        <v>0</v>
      </c>
      <c r="AR87" s="29">
        <f t="shared" ref="AR87:AR150" si="37">AR86+AQ87</f>
        <v>0</v>
      </c>
      <c r="AT87" s="12"/>
      <c r="AU87">
        <f t="shared" si="30"/>
        <v>0</v>
      </c>
      <c r="AV87">
        <f t="shared" si="31"/>
        <v>0</v>
      </c>
      <c r="AW87">
        <f t="shared" ref="AW87:AW150" si="38">AY87</f>
        <v>0</v>
      </c>
      <c r="AX87">
        <f t="shared" si="25"/>
        <v>1</v>
      </c>
      <c r="AY87">
        <f t="shared" ref="AY87:AY150" si="39">IF(AU86,1,IF(AV86,0,AW86))*AX86</f>
        <v>0</v>
      </c>
      <c r="AZ87" s="28">
        <f t="shared" si="32"/>
        <v>0</v>
      </c>
      <c r="BA87" s="28">
        <f t="shared" si="33"/>
        <v>0</v>
      </c>
      <c r="BB87" s="28">
        <f t="shared" ref="BB87:BB150" si="40">AZ87+BA87</f>
        <v>0</v>
      </c>
      <c r="BC87" s="29">
        <f t="shared" ref="BC87:BC150" si="41">BC86+BB87</f>
        <v>1.1662806753571799E-3</v>
      </c>
      <c r="BE87" s="29">
        <f t="shared" ref="BE87:BE150" si="42">AQ87+BB87</f>
        <v>0</v>
      </c>
      <c r="BF87" s="29">
        <f t="shared" ref="BF87:BF150" si="43">BF86+BE87</f>
        <v>1.1662806753571799E-3</v>
      </c>
      <c r="BH87" s="29"/>
    </row>
    <row r="88" spans="1:60" x14ac:dyDescent="0.25">
      <c r="A88" s="1">
        <v>46149</v>
      </c>
      <c r="B88" s="33">
        <v>16.73</v>
      </c>
      <c r="C88" s="33">
        <v>21.82</v>
      </c>
      <c r="D88" s="15">
        <v>-2.3880608363848498E-3</v>
      </c>
      <c r="E88" s="15">
        <v>-1.83150234346773E-3</v>
      </c>
      <c r="F88" s="33">
        <v>0</v>
      </c>
      <c r="G88" s="33">
        <v>0.24917</v>
      </c>
      <c r="H88" s="33">
        <v>0</v>
      </c>
      <c r="I88" s="33">
        <v>0.32909500000000003</v>
      </c>
      <c r="J88" s="33">
        <v>0.24917</v>
      </c>
      <c r="K88" s="33">
        <v>0.32909500000000003</v>
      </c>
      <c r="L88" s="33">
        <v>16.97917</v>
      </c>
      <c r="M88" s="33">
        <v>22.149094999999999</v>
      </c>
      <c r="N88" s="34">
        <v>1.30424387328153</v>
      </c>
      <c r="O88" s="34">
        <v>1.3062602516891499</v>
      </c>
      <c r="P88" s="34">
        <v>1.30668018505093</v>
      </c>
      <c r="Q88" s="34">
        <v>1.3063711646115199</v>
      </c>
      <c r="R88" s="33">
        <v>21.853734010759499</v>
      </c>
      <c r="S88" s="33">
        <v>21.8701397944095</v>
      </c>
      <c r="T88" s="33">
        <v>21.856022917284101</v>
      </c>
      <c r="U88" s="15">
        <v>1.5448194770780401E-3</v>
      </c>
      <c r="V88" s="15">
        <v>2.29524632594417E-3</v>
      </c>
      <c r="W88" s="15">
        <v>1.6495515409283899E-3</v>
      </c>
      <c r="X88" s="34">
        <v>1.3044863205916399</v>
      </c>
      <c r="Y88" s="34">
        <v>1.3045124660331</v>
      </c>
      <c r="Z88" s="34">
        <v>1.30443192108747</v>
      </c>
      <c r="AA88" s="34">
        <v>1.3043403808859799</v>
      </c>
      <c r="AB88" s="33">
        <v>22.1495389278952</v>
      </c>
      <c r="AC88" s="33">
        <v>22.149219734013698</v>
      </c>
      <c r="AD88" s="33">
        <v>22.146955075925501</v>
      </c>
      <c r="AE88" s="15">
        <v>2.0042509483630501E-5</v>
      </c>
      <c r="AF88" s="15">
        <v>5.63154668310927E-6</v>
      </c>
      <c r="AG88" s="15">
        <v>-9.6619182635207106E-5</v>
      </c>
      <c r="AI88" s="12"/>
      <c r="AJ88">
        <f t="shared" si="26"/>
        <v>0</v>
      </c>
      <c r="AK88">
        <f t="shared" si="27"/>
        <v>1</v>
      </c>
      <c r="AL88">
        <f t="shared" si="34"/>
        <v>0</v>
      </c>
      <c r="AM88">
        <f t="shared" si="24"/>
        <v>1</v>
      </c>
      <c r="AN88">
        <f t="shared" si="35"/>
        <v>0</v>
      </c>
      <c r="AO88" s="28">
        <f t="shared" si="28"/>
        <v>0</v>
      </c>
      <c r="AP88" s="28">
        <f t="shared" si="29"/>
        <v>0</v>
      </c>
      <c r="AQ88" s="28">
        <f t="shared" si="36"/>
        <v>0</v>
      </c>
      <c r="AR88" s="29">
        <f t="shared" si="37"/>
        <v>0</v>
      </c>
      <c r="AT88" s="12"/>
      <c r="AU88">
        <f t="shared" si="30"/>
        <v>0</v>
      </c>
      <c r="AV88">
        <f t="shared" si="31"/>
        <v>1</v>
      </c>
      <c r="AW88">
        <f t="shared" si="38"/>
        <v>0</v>
      </c>
      <c r="AX88">
        <f t="shared" si="25"/>
        <v>1</v>
      </c>
      <c r="AY88">
        <f t="shared" si="39"/>
        <v>0</v>
      </c>
      <c r="AZ88" s="28">
        <f t="shared" si="32"/>
        <v>0</v>
      </c>
      <c r="BA88" s="28">
        <f t="shared" si="33"/>
        <v>0</v>
      </c>
      <c r="BB88" s="28">
        <f t="shared" si="40"/>
        <v>0</v>
      </c>
      <c r="BC88" s="29">
        <f t="shared" si="41"/>
        <v>1.1662806753571799E-3</v>
      </c>
      <c r="BE88" s="29">
        <f t="shared" si="42"/>
        <v>0</v>
      </c>
      <c r="BF88" s="29">
        <f t="shared" si="43"/>
        <v>1.1662806753571799E-3</v>
      </c>
      <c r="BH88" s="29"/>
    </row>
    <row r="89" spans="1:60" x14ac:dyDescent="0.25">
      <c r="A89" s="1">
        <v>46150</v>
      </c>
      <c r="B89" s="33">
        <v>16.760000000000002</v>
      </c>
      <c r="C89" s="33">
        <v>21.86</v>
      </c>
      <c r="D89" s="15">
        <v>1.7915800552045101E-3</v>
      </c>
      <c r="E89" s="15">
        <v>1.8315023434676101E-3</v>
      </c>
      <c r="F89" s="33">
        <v>0</v>
      </c>
      <c r="G89" s="33">
        <v>0.24917</v>
      </c>
      <c r="H89" s="33">
        <v>0</v>
      </c>
      <c r="I89" s="33">
        <v>0.32909500000000003</v>
      </c>
      <c r="J89" s="33">
        <v>0.24917</v>
      </c>
      <c r="K89" s="33">
        <v>0.32909500000000003</v>
      </c>
      <c r="L89" s="33">
        <v>17.009170000000001</v>
      </c>
      <c r="M89" s="33">
        <v>22.189094999999998</v>
      </c>
      <c r="N89" s="34">
        <v>1.3042959427207601</v>
      </c>
      <c r="O89" s="34">
        <v>1.3062602516891499</v>
      </c>
      <c r="P89" s="34">
        <v>1.3061616576772099</v>
      </c>
      <c r="Q89" s="34">
        <v>1.3063206069473201</v>
      </c>
      <c r="R89" s="33">
        <v>21.8929218183101</v>
      </c>
      <c r="S89" s="33">
        <v>21.899959901453599</v>
      </c>
      <c r="T89" s="33">
        <v>21.894780718889098</v>
      </c>
      <c r="U89" s="15">
        <v>1.5048971888148399E-3</v>
      </c>
      <c r="V89" s="15">
        <v>1.8263230885324699E-3</v>
      </c>
      <c r="W89" s="15">
        <v>1.5898023321490101E-3</v>
      </c>
      <c r="X89" s="34">
        <v>1.30453719963995</v>
      </c>
      <c r="Y89" s="34">
        <v>1.3045124660331</v>
      </c>
      <c r="Z89" s="34">
        <v>1.30441111732323</v>
      </c>
      <c r="AA89" s="34">
        <v>1.30429604718053</v>
      </c>
      <c r="AB89" s="33">
        <v>22.188674301876201</v>
      </c>
      <c r="AC89" s="33">
        <v>22.1873042992035</v>
      </c>
      <c r="AD89" s="33">
        <v>22.185747276354402</v>
      </c>
      <c r="AE89" s="15">
        <v>-1.8959858971810299E-5</v>
      </c>
      <c r="AF89" s="15">
        <v>-8.0705096660717998E-5</v>
      </c>
      <c r="AG89" s="15">
        <v>-1.50883855813877E-4</v>
      </c>
      <c r="AI89" s="12"/>
      <c r="AJ89">
        <f t="shared" si="26"/>
        <v>0</v>
      </c>
      <c r="AK89">
        <f t="shared" si="27"/>
        <v>1</v>
      </c>
      <c r="AL89">
        <f t="shared" si="34"/>
        <v>0</v>
      </c>
      <c r="AM89">
        <f t="shared" si="24"/>
        <v>1</v>
      </c>
      <c r="AN89">
        <f t="shared" si="35"/>
        <v>0</v>
      </c>
      <c r="AO89" s="28">
        <f t="shared" si="28"/>
        <v>0</v>
      </c>
      <c r="AP89" s="28">
        <f t="shared" si="29"/>
        <v>0</v>
      </c>
      <c r="AQ89" s="28">
        <f t="shared" si="36"/>
        <v>0</v>
      </c>
      <c r="AR89" s="29">
        <f t="shared" si="37"/>
        <v>0</v>
      </c>
      <c r="AT89" s="12"/>
      <c r="AU89">
        <f t="shared" si="30"/>
        <v>0</v>
      </c>
      <c r="AV89">
        <f t="shared" si="31"/>
        <v>1</v>
      </c>
      <c r="AW89">
        <f t="shared" si="38"/>
        <v>0</v>
      </c>
      <c r="AX89">
        <f t="shared" si="25"/>
        <v>1</v>
      </c>
      <c r="AY89">
        <f t="shared" si="39"/>
        <v>0</v>
      </c>
      <c r="AZ89" s="28">
        <f t="shared" si="32"/>
        <v>0</v>
      </c>
      <c r="BA89" s="28">
        <f t="shared" si="33"/>
        <v>0</v>
      </c>
      <c r="BB89" s="28">
        <f t="shared" si="40"/>
        <v>0</v>
      </c>
      <c r="BC89" s="29">
        <f t="shared" si="41"/>
        <v>1.1662806753571799E-3</v>
      </c>
      <c r="BE89" s="29">
        <f t="shared" si="42"/>
        <v>0</v>
      </c>
      <c r="BF89" s="29">
        <f t="shared" si="43"/>
        <v>1.1662806753571799E-3</v>
      </c>
      <c r="BH89" s="29"/>
    </row>
    <row r="90" spans="1:60" x14ac:dyDescent="0.25">
      <c r="A90" s="1">
        <v>46153</v>
      </c>
      <c r="B90" s="33">
        <v>16.73</v>
      </c>
      <c r="C90" s="33">
        <v>21.82</v>
      </c>
      <c r="D90" s="15">
        <v>-1.7915800552044401E-3</v>
      </c>
      <c r="E90" s="15">
        <v>-1.83150234346773E-3</v>
      </c>
      <c r="F90" s="33">
        <v>0</v>
      </c>
      <c r="G90" s="33">
        <v>0.24917</v>
      </c>
      <c r="H90" s="33">
        <v>0</v>
      </c>
      <c r="I90" s="33">
        <v>0.32909500000000003</v>
      </c>
      <c r="J90" s="33">
        <v>0.24917</v>
      </c>
      <c r="K90" s="33">
        <v>0.32909500000000003</v>
      </c>
      <c r="L90" s="33">
        <v>16.97917</v>
      </c>
      <c r="M90" s="33">
        <v>22.149094999999999</v>
      </c>
      <c r="N90" s="34">
        <v>1.30424387328153</v>
      </c>
      <c r="O90" s="34">
        <v>1.3062602516891499</v>
      </c>
      <c r="P90" s="34">
        <v>1.3056791237643099</v>
      </c>
      <c r="Q90" s="34">
        <v>1.3063425509086599</v>
      </c>
      <c r="R90" s="33">
        <v>21.853734010759499</v>
      </c>
      <c r="S90" s="33">
        <v>21.852084532939699</v>
      </c>
      <c r="T90" s="33">
        <v>21.8547437542287</v>
      </c>
      <c r="U90" s="15">
        <v>1.5448194770780401E-3</v>
      </c>
      <c r="V90" s="15">
        <v>1.46933855140199E-3</v>
      </c>
      <c r="W90" s="15">
        <v>1.59102302938864E-3</v>
      </c>
      <c r="X90" s="34">
        <v>1.3044863205916399</v>
      </c>
      <c r="Y90" s="34">
        <v>1.3045124660331</v>
      </c>
      <c r="Z90" s="34">
        <v>1.3044261009445199</v>
      </c>
      <c r="AA90" s="34">
        <v>1.3043234672808599</v>
      </c>
      <c r="AB90" s="33">
        <v>22.1495389278952</v>
      </c>
      <c r="AC90" s="33">
        <v>22.147818110921101</v>
      </c>
      <c r="AD90" s="33">
        <v>22.1458643154062</v>
      </c>
      <c r="AE90" s="15">
        <v>2.0042509483630501E-5</v>
      </c>
      <c r="AF90" s="15">
        <v>-5.7651379726963599E-5</v>
      </c>
      <c r="AG90" s="15">
        <v>-1.45871433201411E-4</v>
      </c>
      <c r="AI90" s="12"/>
      <c r="AJ90">
        <f t="shared" si="26"/>
        <v>0</v>
      </c>
      <c r="AK90">
        <f t="shared" si="27"/>
        <v>1</v>
      </c>
      <c r="AL90">
        <f t="shared" si="34"/>
        <v>0</v>
      </c>
      <c r="AM90">
        <f t="shared" si="24"/>
        <v>1</v>
      </c>
      <c r="AN90">
        <f t="shared" si="35"/>
        <v>0</v>
      </c>
      <c r="AO90" s="28">
        <f t="shared" si="28"/>
        <v>0</v>
      </c>
      <c r="AP90" s="28">
        <f t="shared" si="29"/>
        <v>0</v>
      </c>
      <c r="AQ90" s="28">
        <f t="shared" si="36"/>
        <v>0</v>
      </c>
      <c r="AR90" s="29">
        <f t="shared" si="37"/>
        <v>0</v>
      </c>
      <c r="AT90" s="12"/>
      <c r="AU90">
        <f t="shared" si="30"/>
        <v>0</v>
      </c>
      <c r="AV90">
        <f t="shared" si="31"/>
        <v>1</v>
      </c>
      <c r="AW90">
        <f t="shared" si="38"/>
        <v>0</v>
      </c>
      <c r="AX90">
        <f t="shared" si="25"/>
        <v>1</v>
      </c>
      <c r="AY90">
        <f t="shared" si="39"/>
        <v>0</v>
      </c>
      <c r="AZ90" s="28">
        <f t="shared" si="32"/>
        <v>0</v>
      </c>
      <c r="BA90" s="28">
        <f t="shared" si="33"/>
        <v>0</v>
      </c>
      <c r="BB90" s="28">
        <f t="shared" si="40"/>
        <v>0</v>
      </c>
      <c r="BC90" s="29">
        <f t="shared" si="41"/>
        <v>1.1662806753571799E-3</v>
      </c>
      <c r="BE90" s="29">
        <f t="shared" si="42"/>
        <v>0</v>
      </c>
      <c r="BF90" s="29">
        <f t="shared" si="43"/>
        <v>1.1662806753571799E-3</v>
      </c>
      <c r="BH90" s="29"/>
    </row>
    <row r="91" spans="1:60" x14ac:dyDescent="0.25">
      <c r="A91" s="1">
        <v>46154</v>
      </c>
      <c r="B91" s="33">
        <v>16.71</v>
      </c>
      <c r="C91" s="33">
        <v>21.8</v>
      </c>
      <c r="D91" s="15">
        <v>-1.19617239143027E-3</v>
      </c>
      <c r="E91" s="15">
        <v>-9.1701060988137197E-4</v>
      </c>
      <c r="F91" s="33">
        <v>0</v>
      </c>
      <c r="G91" s="33">
        <v>0.24917</v>
      </c>
      <c r="H91" s="33">
        <v>0</v>
      </c>
      <c r="I91" s="33">
        <v>0.32909500000000003</v>
      </c>
      <c r="J91" s="33">
        <v>0.24917</v>
      </c>
      <c r="K91" s="33">
        <v>0.32909500000000003</v>
      </c>
      <c r="L91" s="33">
        <v>16.95917</v>
      </c>
      <c r="M91" s="33">
        <v>22.129095</v>
      </c>
      <c r="N91" s="34">
        <v>1.3046080191502001</v>
      </c>
      <c r="O91" s="34">
        <v>1.3062602516891499</v>
      </c>
      <c r="P91" s="34">
        <v>1.30513634144994</v>
      </c>
      <c r="Q91" s="34">
        <v>1.30634136041724</v>
      </c>
      <c r="R91" s="33">
        <v>21.827608805725699</v>
      </c>
      <c r="S91" s="33">
        <v>21.817898158101599</v>
      </c>
      <c r="T91" s="33">
        <v>21.828984025683798</v>
      </c>
      <c r="U91" s="15">
        <v>1.2656576955293801E-3</v>
      </c>
      <c r="V91" s="15">
        <v>8.2067957705653E-4</v>
      </c>
      <c r="W91" s="15">
        <v>1.3286594036038301E-3</v>
      </c>
      <c r="X91" s="34">
        <v>1.30484540222192</v>
      </c>
      <c r="Y91" s="34">
        <v>1.3045124660331</v>
      </c>
      <c r="Z91" s="34">
        <v>1.3043823045852301</v>
      </c>
      <c r="AA91" s="34">
        <v>1.3043279608410101</v>
      </c>
      <c r="AB91" s="33">
        <v>22.123448678574601</v>
      </c>
      <c r="AC91" s="33">
        <v>22.121983998355301</v>
      </c>
      <c r="AD91" s="33">
        <v>22.120243416605501</v>
      </c>
      <c r="AE91" s="15">
        <v>-2.5518630056719198E-4</v>
      </c>
      <c r="AF91" s="15">
        <v>-3.21393370142231E-4</v>
      </c>
      <c r="AG91" s="15">
        <v>-4.0007755276057601E-4</v>
      </c>
      <c r="AI91" s="12"/>
      <c r="AJ91">
        <f t="shared" si="26"/>
        <v>0</v>
      </c>
      <c r="AK91">
        <f t="shared" si="27"/>
        <v>0</v>
      </c>
      <c r="AL91">
        <f t="shared" si="34"/>
        <v>0</v>
      </c>
      <c r="AM91">
        <f t="shared" si="24"/>
        <v>1</v>
      </c>
      <c r="AN91">
        <f t="shared" si="35"/>
        <v>0</v>
      </c>
      <c r="AO91" s="28">
        <f t="shared" si="28"/>
        <v>0</v>
      </c>
      <c r="AP91" s="28">
        <f t="shared" si="29"/>
        <v>0</v>
      </c>
      <c r="AQ91" s="28">
        <f t="shared" si="36"/>
        <v>0</v>
      </c>
      <c r="AR91" s="29">
        <f t="shared" si="37"/>
        <v>0</v>
      </c>
      <c r="AT91" s="12"/>
      <c r="AU91">
        <f t="shared" si="30"/>
        <v>0</v>
      </c>
      <c r="AV91">
        <f t="shared" si="31"/>
        <v>1</v>
      </c>
      <c r="AW91">
        <f t="shared" si="38"/>
        <v>0</v>
      </c>
      <c r="AX91">
        <f t="shared" si="25"/>
        <v>1</v>
      </c>
      <c r="AY91">
        <f t="shared" si="39"/>
        <v>0</v>
      </c>
      <c r="AZ91" s="28">
        <f t="shared" si="32"/>
        <v>0</v>
      </c>
      <c r="BA91" s="28">
        <f t="shared" si="33"/>
        <v>0</v>
      </c>
      <c r="BB91" s="28">
        <f t="shared" si="40"/>
        <v>0</v>
      </c>
      <c r="BC91" s="29">
        <f t="shared" si="41"/>
        <v>1.1662806753571799E-3</v>
      </c>
      <c r="BE91" s="29">
        <f t="shared" si="42"/>
        <v>0</v>
      </c>
      <c r="BF91" s="29">
        <f t="shared" si="43"/>
        <v>1.1662806753571799E-3</v>
      </c>
      <c r="BH91" s="29"/>
    </row>
    <row r="92" spans="1:60" x14ac:dyDescent="0.25">
      <c r="A92" s="1">
        <v>46155</v>
      </c>
      <c r="B92" s="33">
        <v>16.72</v>
      </c>
      <c r="C92" s="33">
        <v>21.79</v>
      </c>
      <c r="D92" s="15">
        <v>5.9826504925306501E-4</v>
      </c>
      <c r="E92" s="15">
        <v>-4.5882083851491497E-4</v>
      </c>
      <c r="F92" s="33">
        <v>0</v>
      </c>
      <c r="G92" s="33">
        <v>0.24917</v>
      </c>
      <c r="H92" s="33">
        <v>0</v>
      </c>
      <c r="I92" s="33">
        <v>0.32909500000000003</v>
      </c>
      <c r="J92" s="33">
        <v>0.24917</v>
      </c>
      <c r="K92" s="33">
        <v>0.32909500000000003</v>
      </c>
      <c r="L92" s="33">
        <v>16.969169999999998</v>
      </c>
      <c r="M92" s="33">
        <v>22.119094999999898</v>
      </c>
      <c r="N92" s="34">
        <v>1.3032296650717701</v>
      </c>
      <c r="O92" s="34">
        <v>1.3062602516891499</v>
      </c>
      <c r="P92" s="34">
        <v>1.3045611043643</v>
      </c>
      <c r="Q92" s="34">
        <v>1.3062919108128399</v>
      </c>
      <c r="R92" s="33">
        <v>21.840671408242599</v>
      </c>
      <c r="S92" s="33">
        <v>21.821879629043</v>
      </c>
      <c r="T92" s="33">
        <v>21.8420275461763</v>
      </c>
      <c r="U92" s="15">
        <v>2.3227435832973999E-3</v>
      </c>
      <c r="V92" s="15">
        <v>1.4619702242786099E-3</v>
      </c>
      <c r="W92" s="15">
        <v>2.3848339745337101E-3</v>
      </c>
      <c r="X92" s="34">
        <v>1.3034871475740999</v>
      </c>
      <c r="Y92" s="34">
        <v>1.3045124660331</v>
      </c>
      <c r="Z92" s="34">
        <v>1.30430763577873</v>
      </c>
      <c r="AA92" s="34">
        <v>1.3042849699676999</v>
      </c>
      <c r="AB92" s="33">
        <v>22.136493803234899</v>
      </c>
      <c r="AC92" s="33">
        <v>22.134285071498599</v>
      </c>
      <c r="AD92" s="33">
        <v>22.133362903264398</v>
      </c>
      <c r="AE92" s="15">
        <v>7.8628731881606902E-4</v>
      </c>
      <c r="AF92" s="15">
        <v>6.8650449166534797E-4</v>
      </c>
      <c r="AG92" s="15">
        <v>6.4484118780772895E-4</v>
      </c>
      <c r="AI92" s="12"/>
      <c r="AJ92">
        <f t="shared" si="26"/>
        <v>0</v>
      </c>
      <c r="AK92">
        <f t="shared" si="27"/>
        <v>1</v>
      </c>
      <c r="AL92">
        <f t="shared" si="34"/>
        <v>0</v>
      </c>
      <c r="AM92">
        <f t="shared" si="24"/>
        <v>1</v>
      </c>
      <c r="AN92">
        <f t="shared" si="35"/>
        <v>0</v>
      </c>
      <c r="AO92" s="28">
        <f t="shared" si="28"/>
        <v>0</v>
      </c>
      <c r="AP92" s="28">
        <f t="shared" si="29"/>
        <v>0</v>
      </c>
      <c r="AQ92" s="28">
        <f t="shared" si="36"/>
        <v>0</v>
      </c>
      <c r="AR92" s="29">
        <f t="shared" si="37"/>
        <v>0</v>
      </c>
      <c r="AT92" s="12"/>
      <c r="AU92">
        <f t="shared" si="30"/>
        <v>0</v>
      </c>
      <c r="AV92">
        <f t="shared" si="31"/>
        <v>0</v>
      </c>
      <c r="AW92">
        <f t="shared" si="38"/>
        <v>0</v>
      </c>
      <c r="AX92">
        <f t="shared" si="25"/>
        <v>1</v>
      </c>
      <c r="AY92">
        <f t="shared" si="39"/>
        <v>0</v>
      </c>
      <c r="AZ92" s="28">
        <f t="shared" si="32"/>
        <v>0</v>
      </c>
      <c r="BA92" s="28">
        <f t="shared" si="33"/>
        <v>0</v>
      </c>
      <c r="BB92" s="28">
        <f t="shared" si="40"/>
        <v>0</v>
      </c>
      <c r="BC92" s="29">
        <f t="shared" si="41"/>
        <v>1.1662806753571799E-3</v>
      </c>
      <c r="BE92" s="29">
        <f t="shared" si="42"/>
        <v>0</v>
      </c>
      <c r="BF92" s="29">
        <f t="shared" si="43"/>
        <v>1.1662806753571799E-3</v>
      </c>
      <c r="BH92" s="29"/>
    </row>
    <row r="93" spans="1:60" x14ac:dyDescent="0.25">
      <c r="A93" s="1">
        <v>46156</v>
      </c>
      <c r="B93" s="33">
        <v>16.7</v>
      </c>
      <c r="C93" s="33">
        <v>21.78</v>
      </c>
      <c r="D93" s="15">
        <v>-1.19688823384606E-3</v>
      </c>
      <c r="E93" s="15">
        <v>-4.5903145171404501E-4</v>
      </c>
      <c r="F93" s="33">
        <v>0</v>
      </c>
      <c r="G93" s="33">
        <v>0.24917</v>
      </c>
      <c r="H93" s="33">
        <v>0</v>
      </c>
      <c r="I93" s="33">
        <v>0.32909500000000003</v>
      </c>
      <c r="J93" s="33">
        <v>0.24917</v>
      </c>
      <c r="K93" s="33">
        <v>0.32909500000000003</v>
      </c>
      <c r="L93" s="33">
        <v>16.949169999999999</v>
      </c>
      <c r="M93" s="33">
        <v>22.109095</v>
      </c>
      <c r="N93" s="34">
        <v>1.30419161676646</v>
      </c>
      <c r="O93" s="34">
        <v>1.3062602516891499</v>
      </c>
      <c r="P93" s="34">
        <v>1.3041374686709499</v>
      </c>
      <c r="Q93" s="34">
        <v>1.30631124194843</v>
      </c>
      <c r="R93" s="33">
        <v>21.814546203208799</v>
      </c>
      <c r="S93" s="33">
        <v>21.7861704428839</v>
      </c>
      <c r="T93" s="33">
        <v>21.815074910574399</v>
      </c>
      <c r="U93" s="15">
        <v>1.5848868011652799E-3</v>
      </c>
      <c r="V93" s="15">
        <v>2.8326763001906E-4</v>
      </c>
      <c r="W93" s="15">
        <v>1.6091229669704301E-3</v>
      </c>
      <c r="X93" s="34">
        <v>1.3044352614316801</v>
      </c>
      <c r="Y93" s="34">
        <v>1.3045124660331</v>
      </c>
      <c r="Z93" s="34">
        <v>1.3043815325466099</v>
      </c>
      <c r="AA93" s="34">
        <v>1.3043098371100299</v>
      </c>
      <c r="AB93" s="33">
        <v>22.1104035539142</v>
      </c>
      <c r="AC93" s="33">
        <v>22.1069318511117</v>
      </c>
      <c r="AD93" s="33">
        <v>22.1065476844275</v>
      </c>
      <c r="AE93" s="15">
        <v>5.9184475512936597E-5</v>
      </c>
      <c r="AF93" s="15">
        <v>-9.7844561982636798E-5</v>
      </c>
      <c r="AG93" s="15">
        <v>-1.15222370212742E-4</v>
      </c>
      <c r="AI93" s="12"/>
      <c r="AJ93">
        <f t="shared" si="26"/>
        <v>0</v>
      </c>
      <c r="AK93">
        <f t="shared" si="27"/>
        <v>1</v>
      </c>
      <c r="AL93">
        <f t="shared" si="34"/>
        <v>0</v>
      </c>
      <c r="AM93">
        <f t="shared" si="24"/>
        <v>1</v>
      </c>
      <c r="AN93">
        <f t="shared" si="35"/>
        <v>0</v>
      </c>
      <c r="AO93" s="28">
        <f t="shared" si="28"/>
        <v>0</v>
      </c>
      <c r="AP93" s="28">
        <f t="shared" si="29"/>
        <v>0</v>
      </c>
      <c r="AQ93" s="28">
        <f t="shared" si="36"/>
        <v>0</v>
      </c>
      <c r="AR93" s="29">
        <f t="shared" si="37"/>
        <v>0</v>
      </c>
      <c r="AT93" s="12"/>
      <c r="AU93">
        <f t="shared" si="30"/>
        <v>0</v>
      </c>
      <c r="AV93">
        <f t="shared" si="31"/>
        <v>1</v>
      </c>
      <c r="AW93">
        <f t="shared" si="38"/>
        <v>0</v>
      </c>
      <c r="AX93">
        <f t="shared" si="25"/>
        <v>1</v>
      </c>
      <c r="AY93">
        <f t="shared" si="39"/>
        <v>0</v>
      </c>
      <c r="AZ93" s="28">
        <f t="shared" si="32"/>
        <v>0</v>
      </c>
      <c r="BA93" s="28">
        <f t="shared" si="33"/>
        <v>0</v>
      </c>
      <c r="BB93" s="28">
        <f t="shared" si="40"/>
        <v>0</v>
      </c>
      <c r="BC93" s="29">
        <f t="shared" si="41"/>
        <v>1.1662806753571799E-3</v>
      </c>
      <c r="BE93" s="29">
        <f t="shared" si="42"/>
        <v>0</v>
      </c>
      <c r="BF93" s="29">
        <f t="shared" si="43"/>
        <v>1.1662806753571799E-3</v>
      </c>
      <c r="BH93" s="29"/>
    </row>
    <row r="94" spans="1:60" x14ac:dyDescent="0.25">
      <c r="A94" s="1">
        <v>46157</v>
      </c>
      <c r="B94" s="33">
        <v>16.649999999999999</v>
      </c>
      <c r="C94" s="33">
        <v>21.71</v>
      </c>
      <c r="D94" s="15">
        <v>-2.9985029962566602E-3</v>
      </c>
      <c r="E94" s="15">
        <v>-3.2191336146139798E-3</v>
      </c>
      <c r="F94" s="33">
        <v>0</v>
      </c>
      <c r="G94" s="33">
        <v>0.24917</v>
      </c>
      <c r="H94" s="33">
        <v>0</v>
      </c>
      <c r="I94" s="33">
        <v>0.32909500000000003</v>
      </c>
      <c r="J94" s="33">
        <v>0.24917</v>
      </c>
      <c r="K94" s="33">
        <v>0.32909500000000003</v>
      </c>
      <c r="L94" s="33">
        <v>16.899169999999899</v>
      </c>
      <c r="M94" s="33">
        <v>22.039095</v>
      </c>
      <c r="N94" s="34">
        <v>1.3039039039039</v>
      </c>
      <c r="O94" s="34">
        <v>1.3062602516891499</v>
      </c>
      <c r="P94" s="34">
        <v>1.3041034717331901</v>
      </c>
      <c r="Q94" s="34">
        <v>1.30633157051647</v>
      </c>
      <c r="R94" s="33">
        <v>21.749233190624299</v>
      </c>
      <c r="S94" s="33">
        <v>21.713888853371401</v>
      </c>
      <c r="T94" s="33">
        <v>21.7500821784413</v>
      </c>
      <c r="U94" s="15">
        <v>1.80551741952236E-3</v>
      </c>
      <c r="V94" s="15">
        <v>1.79111244273764E-4</v>
      </c>
      <c r="W94" s="15">
        <v>1.8445519564988899E-3</v>
      </c>
      <c r="X94" s="34">
        <v>1.3041525116322199</v>
      </c>
      <c r="Y94" s="34">
        <v>1.3045124660331</v>
      </c>
      <c r="Z94" s="34">
        <v>1.3043481516506701</v>
      </c>
      <c r="AA94" s="34">
        <v>1.3043358009399599</v>
      </c>
      <c r="AB94" s="33">
        <v>22.045177930612599</v>
      </c>
      <c r="AC94" s="33">
        <v>22.042965263365701</v>
      </c>
      <c r="AD94" s="33">
        <v>22.041753669994801</v>
      </c>
      <c r="AE94" s="15">
        <v>2.75968287412492E-4</v>
      </c>
      <c r="AF94" s="15">
        <v>1.7559357945353199E-4</v>
      </c>
      <c r="AG94" s="15">
        <v>1.20626987831483E-4</v>
      </c>
      <c r="AI94" s="12"/>
      <c r="AJ94">
        <f t="shared" si="26"/>
        <v>0</v>
      </c>
      <c r="AK94">
        <f t="shared" si="27"/>
        <v>1</v>
      </c>
      <c r="AL94">
        <f t="shared" si="34"/>
        <v>0</v>
      </c>
      <c r="AM94">
        <f t="shared" si="24"/>
        <v>0</v>
      </c>
      <c r="AN94">
        <f t="shared" si="35"/>
        <v>0</v>
      </c>
      <c r="AO94" s="28">
        <f t="shared" si="28"/>
        <v>0</v>
      </c>
      <c r="AP94" s="28">
        <f t="shared" si="29"/>
        <v>0</v>
      </c>
      <c r="AQ94" s="28">
        <f t="shared" si="36"/>
        <v>0</v>
      </c>
      <c r="AR94" s="29">
        <f t="shared" si="37"/>
        <v>0</v>
      </c>
      <c r="AT94" s="12"/>
      <c r="AU94">
        <f t="shared" si="30"/>
        <v>0</v>
      </c>
      <c r="AV94">
        <f t="shared" si="31"/>
        <v>1</v>
      </c>
      <c r="AW94">
        <f t="shared" si="38"/>
        <v>0</v>
      </c>
      <c r="AX94">
        <f t="shared" si="25"/>
        <v>0</v>
      </c>
      <c r="AY94">
        <f t="shared" si="39"/>
        <v>0</v>
      </c>
      <c r="AZ94" s="28">
        <f t="shared" si="32"/>
        <v>0</v>
      </c>
      <c r="BA94" s="28">
        <f t="shared" si="33"/>
        <v>0</v>
      </c>
      <c r="BB94" s="28">
        <f t="shared" si="40"/>
        <v>0</v>
      </c>
      <c r="BC94" s="29">
        <f t="shared" si="41"/>
        <v>1.1662806753571799E-3</v>
      </c>
      <c r="BE94" s="29">
        <f t="shared" si="42"/>
        <v>0</v>
      </c>
      <c r="BF94" s="29">
        <f t="shared" si="43"/>
        <v>1.1662806753571799E-3</v>
      </c>
      <c r="BH94" s="29"/>
    </row>
    <row r="95" spans="1:60" x14ac:dyDescent="0.25">
      <c r="A95" s="1">
        <v>46160</v>
      </c>
      <c r="B95" s="33">
        <v>16.57</v>
      </c>
      <c r="C95" s="33">
        <v>21.7</v>
      </c>
      <c r="D95" s="15">
        <v>-4.8163849879812003E-3</v>
      </c>
      <c r="E95" s="15">
        <v>-4.60723343786663E-4</v>
      </c>
      <c r="F95" s="33">
        <v>6.4869999999999997E-2</v>
      </c>
      <c r="G95" s="33">
        <v>0.31403999999999999</v>
      </c>
      <c r="H95" s="33">
        <v>0</v>
      </c>
      <c r="I95" s="33">
        <v>0.32909500000000003</v>
      </c>
      <c r="J95" s="33">
        <v>0.31403999999999999</v>
      </c>
      <c r="K95" s="33">
        <v>0.32909500000000003</v>
      </c>
      <c r="L95" s="33">
        <v>16.884039999999999</v>
      </c>
      <c r="M95" s="33">
        <v>22.029094999999899</v>
      </c>
      <c r="N95" s="34">
        <v>1.30959565479782</v>
      </c>
      <c r="O95" s="34">
        <v>1.3062602516891499</v>
      </c>
      <c r="P95" s="34">
        <v>1.3046438755363301</v>
      </c>
      <c r="Q95" s="34">
        <v>1.30636492468494</v>
      </c>
      <c r="R95" s="33">
        <v>21.644732370489201</v>
      </c>
      <c r="S95" s="33">
        <v>21.608994526619</v>
      </c>
      <c r="T95" s="33">
        <v>21.645914123457999</v>
      </c>
      <c r="U95" s="15">
        <v>-2.55014422467201E-3</v>
      </c>
      <c r="V95" s="15">
        <v>-4.2026192628373902E-3</v>
      </c>
      <c r="W95" s="15">
        <v>-2.4955479982445802E-3</v>
      </c>
      <c r="X95" s="34">
        <v>1.3047289037457801</v>
      </c>
      <c r="Y95" s="34">
        <v>1.3045124660331</v>
      </c>
      <c r="Z95" s="34">
        <v>1.3043775158820801</v>
      </c>
      <c r="AA95" s="34">
        <v>1.30436179599976</v>
      </c>
      <c r="AB95" s="33">
        <v>22.0254406570015</v>
      </c>
      <c r="AC95" s="33">
        <v>22.022666366395899</v>
      </c>
      <c r="AD95" s="33">
        <v>22.022457836502301</v>
      </c>
      <c r="AE95" s="15">
        <v>-1.6590087500956401E-4</v>
      </c>
      <c r="AF95" s="15">
        <v>-2.9186726933271403E-4</v>
      </c>
      <c r="AG95" s="15">
        <v>-3.01336190008693E-4</v>
      </c>
      <c r="AI95" s="12"/>
      <c r="AJ95">
        <f t="shared" si="26"/>
        <v>0</v>
      </c>
      <c r="AK95">
        <f t="shared" si="27"/>
        <v>0</v>
      </c>
      <c r="AL95">
        <f t="shared" si="34"/>
        <v>0</v>
      </c>
      <c r="AM95">
        <f t="shared" si="24"/>
        <v>1</v>
      </c>
      <c r="AN95">
        <f t="shared" si="35"/>
        <v>0</v>
      </c>
      <c r="AO95" s="28">
        <f t="shared" si="28"/>
        <v>0</v>
      </c>
      <c r="AP95" s="28">
        <f t="shared" si="29"/>
        <v>0</v>
      </c>
      <c r="AQ95" s="28">
        <f t="shared" si="36"/>
        <v>0</v>
      </c>
      <c r="AR95" s="29">
        <f t="shared" si="37"/>
        <v>0</v>
      </c>
      <c r="AT95" s="12"/>
      <c r="AU95">
        <f t="shared" si="30"/>
        <v>0</v>
      </c>
      <c r="AV95">
        <f t="shared" si="31"/>
        <v>1</v>
      </c>
      <c r="AW95">
        <f t="shared" si="38"/>
        <v>0</v>
      </c>
      <c r="AX95">
        <f t="shared" si="25"/>
        <v>1</v>
      </c>
      <c r="AY95">
        <f t="shared" si="39"/>
        <v>0</v>
      </c>
      <c r="AZ95" s="28">
        <f t="shared" si="32"/>
        <v>0</v>
      </c>
      <c r="BA95" s="28">
        <f t="shared" si="33"/>
        <v>0</v>
      </c>
      <c r="BB95" s="28">
        <f t="shared" si="40"/>
        <v>0</v>
      </c>
      <c r="BC95" s="29">
        <f t="shared" si="41"/>
        <v>1.1662806753571799E-3</v>
      </c>
      <c r="BE95" s="29">
        <f t="shared" si="42"/>
        <v>0</v>
      </c>
      <c r="BF95" s="29">
        <f t="shared" si="43"/>
        <v>1.1662806753571799E-3</v>
      </c>
      <c r="BH95" s="29"/>
    </row>
    <row r="96" spans="1:60" x14ac:dyDescent="0.25">
      <c r="A96" s="1">
        <v>46161</v>
      </c>
      <c r="B96" s="33">
        <v>16.54</v>
      </c>
      <c r="C96" s="33">
        <v>21.65</v>
      </c>
      <c r="D96" s="15">
        <v>-1.8121418429263101E-3</v>
      </c>
      <c r="E96" s="15">
        <v>-2.30680609791505E-3</v>
      </c>
      <c r="F96" s="33">
        <v>0</v>
      </c>
      <c r="G96" s="33">
        <v>0.31403999999999999</v>
      </c>
      <c r="H96" s="33">
        <v>0</v>
      </c>
      <c r="I96" s="33">
        <v>0.32909500000000003</v>
      </c>
      <c r="J96" s="33">
        <v>0.31403999999999999</v>
      </c>
      <c r="K96" s="33">
        <v>0.32909500000000003</v>
      </c>
      <c r="L96" s="33">
        <v>16.854039999999902</v>
      </c>
      <c r="M96" s="33">
        <v>21.979094999999901</v>
      </c>
      <c r="N96" s="34">
        <v>1.3089480048367499</v>
      </c>
      <c r="O96" s="34">
        <v>1.3062602516891499</v>
      </c>
      <c r="P96" s="34">
        <v>1.30507787410498</v>
      </c>
      <c r="Q96" s="34">
        <v>1.3064277095421599</v>
      </c>
      <c r="R96" s="33">
        <v>21.605544562938501</v>
      </c>
      <c r="S96" s="33">
        <v>21.578809701370901</v>
      </c>
      <c r="T96" s="33">
        <v>21.607275854288901</v>
      </c>
      <c r="U96" s="15">
        <v>-2.05547996968331E-3</v>
      </c>
      <c r="V96" s="15">
        <v>-3.2936536295019099E-3</v>
      </c>
      <c r="W96" s="15">
        <v>-1.9753513719867701E-3</v>
      </c>
      <c r="X96" s="34">
        <v>1.30408465863377</v>
      </c>
      <c r="Y96" s="34">
        <v>1.3045124660331</v>
      </c>
      <c r="Z96" s="34">
        <v>1.3043014415232601</v>
      </c>
      <c r="AA96" s="34">
        <v>1.3044169029752499</v>
      </c>
      <c r="AB96" s="33">
        <v>21.986305283020499</v>
      </c>
      <c r="AC96" s="33">
        <v>21.9840308277772</v>
      </c>
      <c r="AD96" s="33">
        <v>21.983765884251898</v>
      </c>
      <c r="AE96" s="15">
        <v>3.2799806387735498E-4</v>
      </c>
      <c r="AF96" s="15">
        <v>2.2454398794564899E-4</v>
      </c>
      <c r="AG96" s="15">
        <v>2.1249227987200599E-4</v>
      </c>
      <c r="AI96" s="12"/>
      <c r="AJ96">
        <f t="shared" si="26"/>
        <v>0</v>
      </c>
      <c r="AK96">
        <f t="shared" si="27"/>
        <v>1</v>
      </c>
      <c r="AL96">
        <f t="shared" si="34"/>
        <v>0</v>
      </c>
      <c r="AM96">
        <f t="shared" si="24"/>
        <v>1</v>
      </c>
      <c r="AN96">
        <f t="shared" si="35"/>
        <v>0</v>
      </c>
      <c r="AO96" s="28">
        <f t="shared" si="28"/>
        <v>0</v>
      </c>
      <c r="AP96" s="28">
        <f t="shared" si="29"/>
        <v>0</v>
      </c>
      <c r="AQ96" s="28">
        <f t="shared" si="36"/>
        <v>0</v>
      </c>
      <c r="AR96" s="29">
        <f t="shared" si="37"/>
        <v>0</v>
      </c>
      <c r="AT96" s="12"/>
      <c r="AU96">
        <f t="shared" si="30"/>
        <v>0</v>
      </c>
      <c r="AV96">
        <f t="shared" si="31"/>
        <v>0</v>
      </c>
      <c r="AW96">
        <f t="shared" si="38"/>
        <v>0</v>
      </c>
      <c r="AX96">
        <f t="shared" si="25"/>
        <v>1</v>
      </c>
      <c r="AY96">
        <f t="shared" si="39"/>
        <v>0</v>
      </c>
      <c r="AZ96" s="28">
        <f t="shared" si="32"/>
        <v>0</v>
      </c>
      <c r="BA96" s="28">
        <f t="shared" si="33"/>
        <v>0</v>
      </c>
      <c r="BB96" s="28">
        <f t="shared" si="40"/>
        <v>0</v>
      </c>
      <c r="BC96" s="29">
        <f t="shared" si="41"/>
        <v>1.1662806753571799E-3</v>
      </c>
      <c r="BE96" s="29">
        <f t="shared" si="42"/>
        <v>0</v>
      </c>
      <c r="BF96" s="29">
        <f t="shared" si="43"/>
        <v>1.1662806753571799E-3</v>
      </c>
      <c r="BH96" s="29"/>
    </row>
    <row r="97" spans="1:60" x14ac:dyDescent="0.25">
      <c r="A97" s="1">
        <v>46162</v>
      </c>
      <c r="B97" s="33">
        <v>16.59</v>
      </c>
      <c r="C97" s="33">
        <v>21.73</v>
      </c>
      <c r="D97" s="15">
        <v>3.0184146068079599E-3</v>
      </c>
      <c r="E97" s="15">
        <v>3.68833981983958E-3</v>
      </c>
      <c r="F97" s="33">
        <v>0</v>
      </c>
      <c r="G97" s="33">
        <v>0.31403999999999999</v>
      </c>
      <c r="H97" s="33">
        <v>0</v>
      </c>
      <c r="I97" s="33">
        <v>0.32909500000000003</v>
      </c>
      <c r="J97" s="33">
        <v>0.31403999999999999</v>
      </c>
      <c r="K97" s="33">
        <v>0.32909500000000003</v>
      </c>
      <c r="L97" s="33">
        <v>16.904039999999998</v>
      </c>
      <c r="M97" s="33">
        <v>22.059094999999999</v>
      </c>
      <c r="N97" s="34">
        <v>1.30982519590114</v>
      </c>
      <c r="O97" s="34">
        <v>1.3062602516891499</v>
      </c>
      <c r="P97" s="34">
        <v>1.3057085749711901</v>
      </c>
      <c r="Q97" s="34">
        <v>1.30647472366041</v>
      </c>
      <c r="R97" s="33">
        <v>21.670857575523002</v>
      </c>
      <c r="S97" s="33">
        <v>21.6512419314017</v>
      </c>
      <c r="T97" s="33">
        <v>21.673635701304399</v>
      </c>
      <c r="U97" s="15">
        <v>-2.72540518271499E-3</v>
      </c>
      <c r="V97" s="15">
        <v>-3.6309774280607701E-3</v>
      </c>
      <c r="W97" s="15">
        <v>-2.5972170058446999E-3</v>
      </c>
      <c r="X97" s="34">
        <v>1.3049599385708901</v>
      </c>
      <c r="Y97" s="34">
        <v>1.3045124660331</v>
      </c>
      <c r="Z97" s="34">
        <v>1.30442036646336</v>
      </c>
      <c r="AA97" s="34">
        <v>1.3044570166756499</v>
      </c>
      <c r="AB97" s="33">
        <v>22.051530906322199</v>
      </c>
      <c r="AC97" s="33">
        <v>22.047963739566899</v>
      </c>
      <c r="AD97" s="33">
        <v>22.0499155045698</v>
      </c>
      <c r="AE97" s="15">
        <v>-3.4296016420095498E-4</v>
      </c>
      <c r="AF97" s="15">
        <v>-5.0473828849461895E-4</v>
      </c>
      <c r="AG97" s="15">
        <v>-4.16218611920267E-4</v>
      </c>
      <c r="AI97" s="12"/>
      <c r="AJ97">
        <f t="shared" si="26"/>
        <v>0</v>
      </c>
      <c r="AK97">
        <f t="shared" si="27"/>
        <v>0</v>
      </c>
      <c r="AL97">
        <f t="shared" si="34"/>
        <v>0</v>
      </c>
      <c r="AM97">
        <f t="shared" si="24"/>
        <v>1</v>
      </c>
      <c r="AN97">
        <f t="shared" si="35"/>
        <v>0</v>
      </c>
      <c r="AO97" s="28">
        <f t="shared" si="28"/>
        <v>0</v>
      </c>
      <c r="AP97" s="28">
        <f t="shared" si="29"/>
        <v>0</v>
      </c>
      <c r="AQ97" s="28">
        <f t="shared" si="36"/>
        <v>0</v>
      </c>
      <c r="AR97" s="29">
        <f t="shared" si="37"/>
        <v>0</v>
      </c>
      <c r="AT97" s="12"/>
      <c r="AU97">
        <f t="shared" si="30"/>
        <v>0</v>
      </c>
      <c r="AV97">
        <f t="shared" si="31"/>
        <v>1</v>
      </c>
      <c r="AW97">
        <f t="shared" si="38"/>
        <v>0</v>
      </c>
      <c r="AX97">
        <f t="shared" si="25"/>
        <v>1</v>
      </c>
      <c r="AY97">
        <f t="shared" si="39"/>
        <v>0</v>
      </c>
      <c r="AZ97" s="28">
        <f t="shared" si="32"/>
        <v>0</v>
      </c>
      <c r="BA97" s="28">
        <f t="shared" si="33"/>
        <v>0</v>
      </c>
      <c r="BB97" s="28">
        <f t="shared" si="40"/>
        <v>0</v>
      </c>
      <c r="BC97" s="29">
        <f t="shared" si="41"/>
        <v>1.1662806753571799E-3</v>
      </c>
      <c r="BE97" s="29">
        <f t="shared" si="42"/>
        <v>0</v>
      </c>
      <c r="BF97" s="29">
        <f t="shared" si="43"/>
        <v>1.1662806753571799E-3</v>
      </c>
      <c r="BH97" s="29"/>
    </row>
    <row r="98" spans="1:60" x14ac:dyDescent="0.25">
      <c r="A98" s="1">
        <v>46163</v>
      </c>
      <c r="B98" s="33">
        <v>16.59</v>
      </c>
      <c r="C98" s="33">
        <v>21.75</v>
      </c>
      <c r="D98" s="15">
        <v>0</v>
      </c>
      <c r="E98" s="15">
        <v>9.1996326635479704E-4</v>
      </c>
      <c r="F98" s="33">
        <v>0</v>
      </c>
      <c r="G98" s="33">
        <v>0.31403999999999999</v>
      </c>
      <c r="H98" s="33">
        <v>0</v>
      </c>
      <c r="I98" s="33">
        <v>0.32909500000000003</v>
      </c>
      <c r="J98" s="33">
        <v>0.31403999999999999</v>
      </c>
      <c r="K98" s="33">
        <v>0.32909500000000003</v>
      </c>
      <c r="L98" s="33">
        <v>16.904039999999998</v>
      </c>
      <c r="M98" s="33">
        <v>22.079094999999999</v>
      </c>
      <c r="N98" s="34">
        <v>1.31103074141048</v>
      </c>
      <c r="O98" s="34">
        <v>1.3062602516891499</v>
      </c>
      <c r="P98" s="34">
        <v>1.3063872617840799</v>
      </c>
      <c r="Q98" s="34">
        <v>1.3065337234175001</v>
      </c>
      <c r="R98" s="33">
        <v>21.670857575523002</v>
      </c>
      <c r="S98" s="33">
        <v>21.661705258771999</v>
      </c>
      <c r="T98" s="33">
        <v>21.674415665526301</v>
      </c>
      <c r="U98" s="15">
        <v>-3.64536844906978E-3</v>
      </c>
      <c r="V98" s="15">
        <v>-4.0677905856081201E-3</v>
      </c>
      <c r="W98" s="15">
        <v>-3.4811941460730399E-3</v>
      </c>
      <c r="X98" s="34">
        <v>1.3061430876879101</v>
      </c>
      <c r="Y98" s="34">
        <v>1.3045124660331</v>
      </c>
      <c r="Z98" s="34">
        <v>1.3045860431729901</v>
      </c>
      <c r="AA98" s="34">
        <v>1.30450898213023</v>
      </c>
      <c r="AB98" s="33">
        <v>22.051530906322199</v>
      </c>
      <c r="AC98" s="33">
        <v>22.049974051511299</v>
      </c>
      <c r="AD98" s="33">
        <v>22.0505935881658</v>
      </c>
      <c r="AE98" s="15">
        <v>-1.2492049091168799E-3</v>
      </c>
      <c r="AF98" s="15">
        <v>-1.3198081600941599E-3</v>
      </c>
      <c r="AG98" s="15">
        <v>-1.2917116213091099E-3</v>
      </c>
      <c r="AI98" s="12"/>
      <c r="AJ98">
        <f t="shared" si="26"/>
        <v>1</v>
      </c>
      <c r="AK98">
        <f t="shared" si="27"/>
        <v>0</v>
      </c>
      <c r="AL98">
        <f t="shared" si="34"/>
        <v>0</v>
      </c>
      <c r="AM98">
        <f t="shared" si="24"/>
        <v>1</v>
      </c>
      <c r="AN98">
        <f t="shared" si="35"/>
        <v>0</v>
      </c>
      <c r="AO98" s="28">
        <f t="shared" si="28"/>
        <v>0</v>
      </c>
      <c r="AP98" s="28">
        <f t="shared" si="29"/>
        <v>0</v>
      </c>
      <c r="AQ98" s="28">
        <f t="shared" si="36"/>
        <v>0</v>
      </c>
      <c r="AR98" s="29">
        <f t="shared" si="37"/>
        <v>0</v>
      </c>
      <c r="AT98" s="12"/>
      <c r="AU98">
        <f t="shared" si="30"/>
        <v>0</v>
      </c>
      <c r="AV98">
        <f t="shared" si="31"/>
        <v>1</v>
      </c>
      <c r="AW98">
        <f t="shared" si="38"/>
        <v>0</v>
      </c>
      <c r="AX98">
        <f t="shared" si="25"/>
        <v>1</v>
      </c>
      <c r="AY98">
        <f t="shared" si="39"/>
        <v>0</v>
      </c>
      <c r="AZ98" s="28">
        <f t="shared" si="32"/>
        <v>0</v>
      </c>
      <c r="BA98" s="28">
        <f t="shared" si="33"/>
        <v>0</v>
      </c>
      <c r="BB98" s="28">
        <f t="shared" si="40"/>
        <v>0</v>
      </c>
      <c r="BC98" s="29">
        <f t="shared" si="41"/>
        <v>1.1662806753571799E-3</v>
      </c>
      <c r="BE98" s="29">
        <f t="shared" si="42"/>
        <v>0</v>
      </c>
      <c r="BF98" s="29">
        <f t="shared" si="43"/>
        <v>1.1662806753571799E-3</v>
      </c>
      <c r="BH98" s="29"/>
    </row>
    <row r="99" spans="1:60" x14ac:dyDescent="0.25">
      <c r="A99" s="1">
        <v>46164</v>
      </c>
      <c r="B99" s="33">
        <v>16.61</v>
      </c>
      <c r="C99" s="33">
        <v>21.74</v>
      </c>
      <c r="D99" s="15">
        <v>1.20481942285033E-3</v>
      </c>
      <c r="E99" s="15">
        <v>-4.5987584162976799E-4</v>
      </c>
      <c r="F99" s="33">
        <v>0</v>
      </c>
      <c r="G99" s="33">
        <v>0.31403999999999999</v>
      </c>
      <c r="H99" s="33">
        <v>0</v>
      </c>
      <c r="I99" s="33">
        <v>0.32909500000000003</v>
      </c>
      <c r="J99" s="33">
        <v>0.31403999999999999</v>
      </c>
      <c r="K99" s="33">
        <v>0.32909500000000003</v>
      </c>
      <c r="L99" s="33">
        <v>16.924039999999898</v>
      </c>
      <c r="M99" s="33">
        <v>22.069094999999901</v>
      </c>
      <c r="N99" s="34">
        <v>1.3088500903070399</v>
      </c>
      <c r="O99" s="34">
        <v>1.3062602516891499</v>
      </c>
      <c r="P99" s="34">
        <v>1.3068426765427099</v>
      </c>
      <c r="Q99" s="34">
        <v>1.3065021671099599</v>
      </c>
      <c r="R99" s="33">
        <v>21.696982780556802</v>
      </c>
      <c r="S99" s="33">
        <v>21.699092418233601</v>
      </c>
      <c r="T99" s="33">
        <v>21.701525145964801</v>
      </c>
      <c r="U99" s="15">
        <v>-1.98067318458966E-3</v>
      </c>
      <c r="V99" s="15">
        <v>-1.8834460658303E-3</v>
      </c>
      <c r="W99" s="15">
        <v>-1.7713403922142801E-3</v>
      </c>
      <c r="X99" s="34">
        <v>1.30400867641532</v>
      </c>
      <c r="Y99" s="34">
        <v>1.3045124660331</v>
      </c>
      <c r="Z99" s="34">
        <v>1.30453319085052</v>
      </c>
      <c r="AA99" s="34">
        <v>1.30447215408687</v>
      </c>
      <c r="AB99" s="33">
        <v>22.077621155642799</v>
      </c>
      <c r="AC99" s="33">
        <v>22.078866378101399</v>
      </c>
      <c r="AD99" s="33">
        <v>22.0775621939313</v>
      </c>
      <c r="AE99" s="15">
        <v>3.8626455108630098E-4</v>
      </c>
      <c r="AF99" s="15">
        <v>4.4266498184572902E-4</v>
      </c>
      <c r="AG99" s="15">
        <v>3.8359389242145802E-4</v>
      </c>
      <c r="AI99" s="12"/>
      <c r="AJ99">
        <f t="shared" si="26"/>
        <v>0</v>
      </c>
      <c r="AK99">
        <f t="shared" si="27"/>
        <v>1</v>
      </c>
      <c r="AL99">
        <f t="shared" si="34"/>
        <v>1</v>
      </c>
      <c r="AM99">
        <f t="shared" si="24"/>
        <v>1</v>
      </c>
      <c r="AN99">
        <f t="shared" si="35"/>
        <v>1</v>
      </c>
      <c r="AO99" s="28">
        <f t="shared" si="28"/>
        <v>1.20481942285033E-3</v>
      </c>
      <c r="AP99" s="28">
        <f t="shared" si="29"/>
        <v>4.5987584162976799E-4</v>
      </c>
      <c r="AQ99" s="28">
        <f t="shared" si="36"/>
        <v>1.6646952644800981E-3</v>
      </c>
      <c r="AR99" s="29">
        <f t="shared" si="37"/>
        <v>1.6646952644800981E-3</v>
      </c>
      <c r="AT99" s="12"/>
      <c r="AU99">
        <f t="shared" si="30"/>
        <v>0</v>
      </c>
      <c r="AV99">
        <f t="shared" si="31"/>
        <v>0</v>
      </c>
      <c r="AW99">
        <f t="shared" si="38"/>
        <v>0</v>
      </c>
      <c r="AX99">
        <f t="shared" si="25"/>
        <v>1</v>
      </c>
      <c r="AY99">
        <f t="shared" si="39"/>
        <v>0</v>
      </c>
      <c r="AZ99" s="28">
        <f t="shared" si="32"/>
        <v>0</v>
      </c>
      <c r="BA99" s="28">
        <f t="shared" si="33"/>
        <v>0</v>
      </c>
      <c r="BB99" s="28">
        <f t="shared" si="40"/>
        <v>0</v>
      </c>
      <c r="BC99" s="29">
        <f t="shared" si="41"/>
        <v>1.1662806753571799E-3</v>
      </c>
      <c r="BE99" s="29">
        <f t="shared" si="42"/>
        <v>1.6646952644800981E-3</v>
      </c>
      <c r="BF99" s="29">
        <f t="shared" si="43"/>
        <v>2.8309759398372778E-3</v>
      </c>
      <c r="BH99" s="29"/>
    </row>
    <row r="100" spans="1:60" x14ac:dyDescent="0.25">
      <c r="A100" s="1">
        <v>46168</v>
      </c>
      <c r="B100" s="33">
        <v>16.649999999999999</v>
      </c>
      <c r="C100" s="33">
        <v>21.8</v>
      </c>
      <c r="D100" s="15">
        <v>2.4052928012491801E-3</v>
      </c>
      <c r="E100" s="15">
        <v>2.7560881019799799E-3</v>
      </c>
      <c r="F100" s="33">
        <v>0</v>
      </c>
      <c r="G100" s="33">
        <v>0.31403999999999999</v>
      </c>
      <c r="H100" s="33">
        <v>0</v>
      </c>
      <c r="I100" s="33">
        <v>0.32909500000000003</v>
      </c>
      <c r="J100" s="33">
        <v>0.31403999999999999</v>
      </c>
      <c r="K100" s="33">
        <v>0.32909500000000003</v>
      </c>
      <c r="L100" s="33">
        <v>16.964039999999901</v>
      </c>
      <c r="M100" s="33">
        <v>22.129095</v>
      </c>
      <c r="N100" s="34">
        <v>1.3093093093093</v>
      </c>
      <c r="O100" s="34">
        <v>1.3062602516891499</v>
      </c>
      <c r="P100" s="34">
        <v>1.3073492201454899</v>
      </c>
      <c r="Q100" s="34">
        <v>1.3065141719549</v>
      </c>
      <c r="R100" s="33">
        <v>21.749233190624299</v>
      </c>
      <c r="S100" s="33">
        <v>21.758930564436099</v>
      </c>
      <c r="T100" s="33">
        <v>21.753261082380799</v>
      </c>
      <c r="U100" s="15">
        <v>-2.3314684853203999E-3</v>
      </c>
      <c r="V100" s="15">
        <v>-1.88569587000213E-3</v>
      </c>
      <c r="W100" s="15">
        <v>-2.14628867734299E-3</v>
      </c>
      <c r="X100" s="34">
        <v>1.3044708100193101</v>
      </c>
      <c r="Y100" s="34">
        <v>1.3045124660331</v>
      </c>
      <c r="Z100" s="34">
        <v>1.30453163979329</v>
      </c>
      <c r="AA100" s="34">
        <v>1.3044788703689001</v>
      </c>
      <c r="AB100" s="33">
        <v>22.129801654284201</v>
      </c>
      <c r="AC100" s="33">
        <v>22.130153230915901</v>
      </c>
      <c r="AD100" s="33">
        <v>22.129117800815902</v>
      </c>
      <c r="AE100" s="15">
        <v>3.1932756471105E-5</v>
      </c>
      <c r="AF100" s="15">
        <v>4.7819651642536702E-5</v>
      </c>
      <c r="AG100" s="15">
        <v>1.0303541216720201E-6</v>
      </c>
      <c r="AI100" s="12"/>
      <c r="AJ100">
        <f t="shared" si="26"/>
        <v>0</v>
      </c>
      <c r="AK100">
        <f t="shared" si="27"/>
        <v>1</v>
      </c>
      <c r="AL100">
        <f t="shared" si="34"/>
        <v>0</v>
      </c>
      <c r="AM100">
        <f t="shared" si="24"/>
        <v>1</v>
      </c>
      <c r="AN100">
        <f t="shared" si="35"/>
        <v>0</v>
      </c>
      <c r="AO100" s="28">
        <f t="shared" si="28"/>
        <v>0</v>
      </c>
      <c r="AP100" s="28">
        <f t="shared" si="29"/>
        <v>0</v>
      </c>
      <c r="AQ100" s="28">
        <f t="shared" si="36"/>
        <v>0</v>
      </c>
      <c r="AR100" s="29">
        <f t="shared" si="37"/>
        <v>1.6646952644800981E-3</v>
      </c>
      <c r="AT100" s="12"/>
      <c r="AU100">
        <f t="shared" si="30"/>
        <v>0</v>
      </c>
      <c r="AV100">
        <f t="shared" si="31"/>
        <v>1</v>
      </c>
      <c r="AW100">
        <f t="shared" si="38"/>
        <v>0</v>
      </c>
      <c r="AX100">
        <f t="shared" si="25"/>
        <v>1</v>
      </c>
      <c r="AY100">
        <f t="shared" si="39"/>
        <v>0</v>
      </c>
      <c r="AZ100" s="28">
        <f t="shared" si="32"/>
        <v>0</v>
      </c>
      <c r="BA100" s="28">
        <f t="shared" si="33"/>
        <v>0</v>
      </c>
      <c r="BB100" s="28">
        <f t="shared" si="40"/>
        <v>0</v>
      </c>
      <c r="BC100" s="29">
        <f t="shared" si="41"/>
        <v>1.1662806753571799E-3</v>
      </c>
      <c r="BE100" s="29">
        <f t="shared" si="42"/>
        <v>0</v>
      </c>
      <c r="BF100" s="29">
        <f t="shared" si="43"/>
        <v>2.8309759398372778E-3</v>
      </c>
      <c r="BH100" s="29"/>
    </row>
    <row r="101" spans="1:60" x14ac:dyDescent="0.25">
      <c r="A101" s="1">
        <v>46169</v>
      </c>
      <c r="B101" s="33">
        <v>16.64</v>
      </c>
      <c r="C101" s="33">
        <v>21.8</v>
      </c>
      <c r="D101" s="15">
        <v>-6.0078103339021897E-4</v>
      </c>
      <c r="E101" s="15">
        <v>0</v>
      </c>
      <c r="F101" s="33">
        <v>0</v>
      </c>
      <c r="G101" s="33">
        <v>0.31403999999999999</v>
      </c>
      <c r="H101" s="33">
        <v>0</v>
      </c>
      <c r="I101" s="33">
        <v>0.32909500000000003</v>
      </c>
      <c r="J101" s="33">
        <v>0.31403999999999999</v>
      </c>
      <c r="K101" s="33">
        <v>0.32909500000000003</v>
      </c>
      <c r="L101" s="33">
        <v>16.954039999999999</v>
      </c>
      <c r="M101" s="33">
        <v>22.129095</v>
      </c>
      <c r="N101" s="34">
        <v>1.31009615384615</v>
      </c>
      <c r="O101" s="34">
        <v>1.3062602516891499</v>
      </c>
      <c r="P101" s="34">
        <v>1.3078980336150801</v>
      </c>
      <c r="Q101" s="34">
        <v>1.3065171875325099</v>
      </c>
      <c r="R101" s="33">
        <v>21.736170588107399</v>
      </c>
      <c r="S101" s="33">
        <v>21.754291023220901</v>
      </c>
      <c r="T101" s="33">
        <v>21.7403958213295</v>
      </c>
      <c r="U101" s="15">
        <v>-2.9322495187106201E-3</v>
      </c>
      <c r="V101" s="15">
        <v>-2.09894329519818E-3</v>
      </c>
      <c r="W101" s="15">
        <v>-2.7378812148473801E-3</v>
      </c>
      <c r="X101" s="34">
        <v>1.3052402259284499</v>
      </c>
      <c r="Y101" s="34">
        <v>1.3045124660331</v>
      </c>
      <c r="Z101" s="34">
        <v>1.30457112216394</v>
      </c>
      <c r="AA101" s="34">
        <v>1.30447671337459</v>
      </c>
      <c r="AB101" s="33">
        <v>22.1167565296238</v>
      </c>
      <c r="AC101" s="33">
        <v>22.1170816023211</v>
      </c>
      <c r="AD101" s="33">
        <v>22.116186947389298</v>
      </c>
      <c r="AE101" s="15">
        <v>-5.5772327887916703E-4</v>
      </c>
      <c r="AF101" s="15">
        <v>-5.4302535932448004E-4</v>
      </c>
      <c r="AG101" s="15">
        <v>-5.8347703568706701E-4</v>
      </c>
      <c r="AI101" s="12"/>
      <c r="AJ101">
        <f t="shared" si="26"/>
        <v>0</v>
      </c>
      <c r="AK101">
        <f t="shared" si="27"/>
        <v>0</v>
      </c>
      <c r="AL101">
        <f t="shared" si="34"/>
        <v>0</v>
      </c>
      <c r="AM101">
        <f t="shared" si="24"/>
        <v>1</v>
      </c>
      <c r="AN101">
        <f t="shared" si="35"/>
        <v>0</v>
      </c>
      <c r="AO101" s="28">
        <f t="shared" si="28"/>
        <v>0</v>
      </c>
      <c r="AP101" s="28">
        <f t="shared" si="29"/>
        <v>0</v>
      </c>
      <c r="AQ101" s="28">
        <f t="shared" si="36"/>
        <v>0</v>
      </c>
      <c r="AR101" s="29">
        <f t="shared" si="37"/>
        <v>1.6646952644800981E-3</v>
      </c>
      <c r="AT101" s="12"/>
      <c r="AU101">
        <f t="shared" si="30"/>
        <v>0</v>
      </c>
      <c r="AV101">
        <f t="shared" si="31"/>
        <v>1</v>
      </c>
      <c r="AW101">
        <f t="shared" si="38"/>
        <v>0</v>
      </c>
      <c r="AX101">
        <f t="shared" si="25"/>
        <v>1</v>
      </c>
      <c r="AY101">
        <f t="shared" si="39"/>
        <v>0</v>
      </c>
      <c r="AZ101" s="28">
        <f t="shared" si="32"/>
        <v>0</v>
      </c>
      <c r="BA101" s="28">
        <f t="shared" si="33"/>
        <v>0</v>
      </c>
      <c r="BB101" s="28">
        <f t="shared" si="40"/>
        <v>0</v>
      </c>
      <c r="BC101" s="29">
        <f t="shared" si="41"/>
        <v>1.1662806753571799E-3</v>
      </c>
      <c r="BE101" s="29">
        <f t="shared" si="42"/>
        <v>0</v>
      </c>
      <c r="BF101" s="29">
        <f t="shared" si="43"/>
        <v>2.8309759398372778E-3</v>
      </c>
      <c r="BH101" s="29"/>
    </row>
    <row r="102" spans="1:60" x14ac:dyDescent="0.25">
      <c r="A102" s="1">
        <v>46170</v>
      </c>
      <c r="B102" s="33">
        <v>16.66</v>
      </c>
      <c r="C102" s="33">
        <v>21.82</v>
      </c>
      <c r="D102" s="15">
        <v>1.2012013456341401E-3</v>
      </c>
      <c r="E102" s="15">
        <v>9.1701060988140601E-4</v>
      </c>
      <c r="F102" s="33">
        <v>0</v>
      </c>
      <c r="G102" s="33">
        <v>0.31403999999999999</v>
      </c>
      <c r="H102" s="33">
        <v>0</v>
      </c>
      <c r="I102" s="33">
        <v>0.32909500000000003</v>
      </c>
      <c r="J102" s="33">
        <v>0.31403999999999999</v>
      </c>
      <c r="K102" s="33">
        <v>0.32909500000000003</v>
      </c>
      <c r="L102" s="33">
        <v>16.974039999999999</v>
      </c>
      <c r="M102" s="33">
        <v>22.149094999999999</v>
      </c>
      <c r="N102" s="34">
        <v>1.3097238895558201</v>
      </c>
      <c r="O102" s="34">
        <v>1.3062602516891499</v>
      </c>
      <c r="P102" s="34">
        <v>1.30854745606349</v>
      </c>
      <c r="Q102" s="34">
        <v>1.3065542802138901</v>
      </c>
      <c r="R102" s="33">
        <v>21.762295793141199</v>
      </c>
      <c r="S102" s="33">
        <v>21.789581240027299</v>
      </c>
      <c r="T102" s="33">
        <v>21.7665763442917</v>
      </c>
      <c r="U102" s="15">
        <v>-2.6480587829579901E-3</v>
      </c>
      <c r="V102" s="15">
        <v>-1.3950496217127099E-3</v>
      </c>
      <c r="W102" s="15">
        <v>-2.4513823723806599E-3</v>
      </c>
      <c r="X102" s="34">
        <v>1.3048805705654001</v>
      </c>
      <c r="Y102" s="34">
        <v>1.3045124660331</v>
      </c>
      <c r="Z102" s="34">
        <v>1.30471046446307</v>
      </c>
      <c r="AA102" s="34">
        <v>1.3045090501209</v>
      </c>
      <c r="AB102" s="33">
        <v>22.142846778944499</v>
      </c>
      <c r="AC102" s="33">
        <v>22.143842410455701</v>
      </c>
      <c r="AD102" s="33">
        <v>22.142239911888801</v>
      </c>
      <c r="AE102" s="15">
        <v>-2.8213805247427902E-4</v>
      </c>
      <c r="AF102" s="15">
        <v>-2.37175038549603E-4</v>
      </c>
      <c r="AG102" s="15">
        <v>-3.0954534016760599E-4</v>
      </c>
      <c r="AI102" s="12"/>
      <c r="AJ102">
        <f t="shared" si="26"/>
        <v>0</v>
      </c>
      <c r="AK102">
        <f t="shared" si="27"/>
        <v>0</v>
      </c>
      <c r="AL102">
        <f t="shared" si="34"/>
        <v>0</v>
      </c>
      <c r="AM102">
        <f t="shared" si="24"/>
        <v>1</v>
      </c>
      <c r="AN102">
        <f t="shared" si="35"/>
        <v>0</v>
      </c>
      <c r="AO102" s="28">
        <f t="shared" si="28"/>
        <v>0</v>
      </c>
      <c r="AP102" s="28">
        <f t="shared" si="29"/>
        <v>0</v>
      </c>
      <c r="AQ102" s="28">
        <f t="shared" si="36"/>
        <v>0</v>
      </c>
      <c r="AR102" s="29">
        <f t="shared" si="37"/>
        <v>1.6646952644800981E-3</v>
      </c>
      <c r="AT102" s="12"/>
      <c r="AU102">
        <f t="shared" si="30"/>
        <v>0</v>
      </c>
      <c r="AV102">
        <f t="shared" si="31"/>
        <v>1</v>
      </c>
      <c r="AW102">
        <f t="shared" si="38"/>
        <v>0</v>
      </c>
      <c r="AX102">
        <f t="shared" si="25"/>
        <v>1</v>
      </c>
      <c r="AY102">
        <f t="shared" si="39"/>
        <v>0</v>
      </c>
      <c r="AZ102" s="28">
        <f t="shared" si="32"/>
        <v>0</v>
      </c>
      <c r="BA102" s="28">
        <f t="shared" si="33"/>
        <v>0</v>
      </c>
      <c r="BB102" s="28">
        <f t="shared" si="40"/>
        <v>0</v>
      </c>
      <c r="BC102" s="29">
        <f t="shared" si="41"/>
        <v>1.1662806753571799E-3</v>
      </c>
      <c r="BE102" s="29">
        <f t="shared" si="42"/>
        <v>0</v>
      </c>
      <c r="BF102" s="29">
        <f t="shared" si="43"/>
        <v>2.8309759398372778E-3</v>
      </c>
      <c r="BH102" s="29"/>
    </row>
    <row r="103" spans="1:60" x14ac:dyDescent="0.25">
      <c r="A103" s="1">
        <v>46171</v>
      </c>
      <c r="B103" s="33">
        <v>16.68</v>
      </c>
      <c r="C103" s="33">
        <v>21.86</v>
      </c>
      <c r="D103" s="15">
        <v>1.1997601919040901E-3</v>
      </c>
      <c r="E103" s="15">
        <v>1.8315023434676101E-3</v>
      </c>
      <c r="F103" s="33">
        <v>0</v>
      </c>
      <c r="G103" s="33">
        <v>0.31403999999999999</v>
      </c>
      <c r="H103" s="33">
        <v>0</v>
      </c>
      <c r="I103" s="33">
        <v>0.32909500000000003</v>
      </c>
      <c r="J103" s="33">
        <v>0.31403999999999999</v>
      </c>
      <c r="K103" s="33">
        <v>0.32909500000000003</v>
      </c>
      <c r="L103" s="33">
        <v>16.994039999999998</v>
      </c>
      <c r="M103" s="33">
        <v>22.189094999999998</v>
      </c>
      <c r="N103" s="34">
        <v>1.3105515587529899</v>
      </c>
      <c r="O103" s="34">
        <v>1.3062602516891499</v>
      </c>
      <c r="P103" s="34">
        <v>1.30918345026214</v>
      </c>
      <c r="Q103" s="34">
        <v>1.3066604594665501</v>
      </c>
      <c r="R103" s="33">
        <v>21.788420998174999</v>
      </c>
      <c r="S103" s="33">
        <v>21.826571567138998</v>
      </c>
      <c r="T103" s="33">
        <v>21.793325393967802</v>
      </c>
      <c r="U103" s="15">
        <v>-3.2798009345214201E-3</v>
      </c>
      <c r="V103" s="15">
        <v>-1.53037595700699E-3</v>
      </c>
      <c r="W103" s="15">
        <v>-3.0547344229889398E-3</v>
      </c>
      <c r="X103" s="34">
        <v>1.3056986449366901</v>
      </c>
      <c r="Y103" s="34">
        <v>1.3045124660331</v>
      </c>
      <c r="Z103" s="34">
        <v>1.30483680281357</v>
      </c>
      <c r="AA103" s="34">
        <v>1.3046091676800899</v>
      </c>
      <c r="AB103" s="33">
        <v>22.168937028265201</v>
      </c>
      <c r="AC103" s="33">
        <v>22.172301821504099</v>
      </c>
      <c r="AD103" s="33">
        <v>22.168878978116599</v>
      </c>
      <c r="AE103" s="15">
        <v>-9.0887589916459897E-4</v>
      </c>
      <c r="AF103" s="15">
        <v>-7.5710777844201595E-4</v>
      </c>
      <c r="AG103" s="15">
        <v>-9.1149443809055201E-4</v>
      </c>
      <c r="AI103" s="12"/>
      <c r="AJ103">
        <f t="shared" si="26"/>
        <v>0</v>
      </c>
      <c r="AK103">
        <f t="shared" si="27"/>
        <v>0</v>
      </c>
      <c r="AL103">
        <f t="shared" si="34"/>
        <v>0</v>
      </c>
      <c r="AM103">
        <f t="shared" si="24"/>
        <v>0</v>
      </c>
      <c r="AN103">
        <f t="shared" si="35"/>
        <v>0</v>
      </c>
      <c r="AO103" s="28">
        <f t="shared" si="28"/>
        <v>0</v>
      </c>
      <c r="AP103" s="28">
        <f t="shared" si="29"/>
        <v>0</v>
      </c>
      <c r="AQ103" s="28">
        <f t="shared" si="36"/>
        <v>0</v>
      </c>
      <c r="AR103" s="29">
        <f t="shared" si="37"/>
        <v>1.6646952644800981E-3</v>
      </c>
      <c r="AT103" s="12"/>
      <c r="AU103">
        <f t="shared" si="30"/>
        <v>0</v>
      </c>
      <c r="AV103">
        <f t="shared" si="31"/>
        <v>1</v>
      </c>
      <c r="AW103">
        <f t="shared" si="38"/>
        <v>0</v>
      </c>
      <c r="AX103">
        <f t="shared" si="25"/>
        <v>0</v>
      </c>
      <c r="AY103">
        <f t="shared" si="39"/>
        <v>0</v>
      </c>
      <c r="AZ103" s="28">
        <f t="shared" si="32"/>
        <v>0</v>
      </c>
      <c r="BA103" s="28">
        <f t="shared" si="33"/>
        <v>0</v>
      </c>
      <c r="BB103" s="28">
        <f t="shared" si="40"/>
        <v>0</v>
      </c>
      <c r="BC103" s="29">
        <f t="shared" si="41"/>
        <v>1.1662806753571799E-3</v>
      </c>
      <c r="BE103" s="29">
        <f t="shared" si="42"/>
        <v>0</v>
      </c>
      <c r="BF103" s="29">
        <f t="shared" si="43"/>
        <v>2.8309759398372778E-3</v>
      </c>
      <c r="BH103" s="29"/>
    </row>
    <row r="104" spans="1:60" x14ac:dyDescent="0.25">
      <c r="A104" s="1">
        <v>46174</v>
      </c>
      <c r="B104" s="33">
        <v>16.670000000000002</v>
      </c>
      <c r="C104" s="33">
        <v>21.74</v>
      </c>
      <c r="D104" s="15">
        <v>-5.9970016789794999E-4</v>
      </c>
      <c r="E104" s="15">
        <v>-5.5046010553291896E-3</v>
      </c>
      <c r="F104" s="33">
        <v>0</v>
      </c>
      <c r="G104" s="33">
        <v>0.31403999999999999</v>
      </c>
      <c r="H104" s="33">
        <v>8.2333000000000003E-2</v>
      </c>
      <c r="I104" s="33">
        <v>0.41142800000000002</v>
      </c>
      <c r="J104" s="33">
        <v>0.31403999999999999</v>
      </c>
      <c r="K104" s="33">
        <v>0.41142800000000002</v>
      </c>
      <c r="L104" s="33">
        <v>16.98404</v>
      </c>
      <c r="M104" s="33">
        <v>22.151427999999999</v>
      </c>
      <c r="N104" s="34">
        <v>1.30413917216556</v>
      </c>
      <c r="O104" s="34">
        <v>1.3062602516891499</v>
      </c>
      <c r="P104" s="34">
        <v>1.3092069770883099</v>
      </c>
      <c r="Q104" s="34">
        <v>1.3066552244107501</v>
      </c>
      <c r="R104" s="33">
        <v>21.775358395658099</v>
      </c>
      <c r="S104" s="33">
        <v>21.824088115869898</v>
      </c>
      <c r="T104" s="33">
        <v>21.7820298593074</v>
      </c>
      <c r="U104" s="15">
        <v>1.6250999529098299E-3</v>
      </c>
      <c r="V104" s="15">
        <v>3.8604375271925201E-3</v>
      </c>
      <c r="W104" s="15">
        <v>1.9314297843668201E-3</v>
      </c>
      <c r="X104" s="34">
        <v>1.3042496367177601</v>
      </c>
      <c r="Y104" s="34">
        <v>1.3045124660331</v>
      </c>
      <c r="Z104" s="34">
        <v>1.30484651532213</v>
      </c>
      <c r="AA104" s="34">
        <v>1.3045973334864001</v>
      </c>
      <c r="AB104" s="33">
        <v>22.1558919036048</v>
      </c>
      <c r="AC104" s="33">
        <v>22.161400452457901</v>
      </c>
      <c r="AD104" s="33">
        <v>22.157534288245401</v>
      </c>
      <c r="AE104" s="15">
        <v>2.0149734308862801E-4</v>
      </c>
      <c r="AF104" s="15">
        <v>4.50093256267323E-4</v>
      </c>
      <c r="AG104" s="15">
        <v>2.7562316826023199E-4</v>
      </c>
      <c r="AI104" s="12"/>
      <c r="AJ104">
        <f t="shared" si="26"/>
        <v>0</v>
      </c>
      <c r="AK104">
        <f t="shared" si="27"/>
        <v>1</v>
      </c>
      <c r="AL104">
        <f t="shared" si="34"/>
        <v>0</v>
      </c>
      <c r="AM104">
        <f t="shared" si="24"/>
        <v>1</v>
      </c>
      <c r="AN104">
        <f t="shared" si="35"/>
        <v>0</v>
      </c>
      <c r="AO104" s="28">
        <f t="shared" si="28"/>
        <v>0</v>
      </c>
      <c r="AP104" s="28">
        <f t="shared" si="29"/>
        <v>0</v>
      </c>
      <c r="AQ104" s="28">
        <f t="shared" si="36"/>
        <v>0</v>
      </c>
      <c r="AR104" s="29">
        <f t="shared" si="37"/>
        <v>1.6646952644800981E-3</v>
      </c>
      <c r="AT104" s="12"/>
      <c r="AU104">
        <f t="shared" si="30"/>
        <v>0</v>
      </c>
      <c r="AV104">
        <f t="shared" si="31"/>
        <v>0</v>
      </c>
      <c r="AW104">
        <f t="shared" si="38"/>
        <v>0</v>
      </c>
      <c r="AX104">
        <f t="shared" si="25"/>
        <v>1</v>
      </c>
      <c r="AY104">
        <f t="shared" si="39"/>
        <v>0</v>
      </c>
      <c r="AZ104" s="28">
        <f t="shared" si="32"/>
        <v>0</v>
      </c>
      <c r="BA104" s="28">
        <f t="shared" si="33"/>
        <v>0</v>
      </c>
      <c r="BB104" s="28">
        <f t="shared" si="40"/>
        <v>0</v>
      </c>
      <c r="BC104" s="29">
        <f t="shared" si="41"/>
        <v>1.1662806753571799E-3</v>
      </c>
      <c r="BE104" s="29">
        <f t="shared" si="42"/>
        <v>0</v>
      </c>
      <c r="BF104" s="29">
        <f t="shared" si="43"/>
        <v>2.8309759398372778E-3</v>
      </c>
      <c r="BH104" s="29"/>
    </row>
    <row r="105" spans="1:60" x14ac:dyDescent="0.25">
      <c r="A105" s="1">
        <v>46175</v>
      </c>
      <c r="B105" s="33">
        <v>16.68</v>
      </c>
      <c r="C105" s="33">
        <v>21.75</v>
      </c>
      <c r="D105" s="15">
        <v>5.9970016789788905E-4</v>
      </c>
      <c r="E105" s="15">
        <v>4.5987584162975899E-4</v>
      </c>
      <c r="F105" s="33">
        <v>0</v>
      </c>
      <c r="G105" s="33">
        <v>0.31403999999999999</v>
      </c>
      <c r="H105" s="33">
        <v>0</v>
      </c>
      <c r="I105" s="33">
        <v>0.41142800000000002</v>
      </c>
      <c r="J105" s="33">
        <v>0.31403999999999999</v>
      </c>
      <c r="K105" s="33">
        <v>0.41142800000000002</v>
      </c>
      <c r="L105" s="33">
        <v>16.994039999999998</v>
      </c>
      <c r="M105" s="33">
        <v>22.161428000000001</v>
      </c>
      <c r="N105" s="34">
        <v>1.30395683453237</v>
      </c>
      <c r="O105" s="34">
        <v>1.3062602516891499</v>
      </c>
      <c r="P105" s="34">
        <v>1.30864309506176</v>
      </c>
      <c r="Q105" s="34">
        <v>1.3066434852990401</v>
      </c>
      <c r="R105" s="33">
        <v>21.788420998174999</v>
      </c>
      <c r="S105" s="33">
        <v>21.837572377832998</v>
      </c>
      <c r="T105" s="33">
        <v>21.795009143171299</v>
      </c>
      <c r="U105" s="15">
        <v>1.7649242791779899E-3</v>
      </c>
      <c r="V105" s="15">
        <v>4.0182323027270102E-3</v>
      </c>
      <c r="W105" s="15">
        <v>2.06724766332341E-3</v>
      </c>
      <c r="X105" s="34">
        <v>1.3040706035763101</v>
      </c>
      <c r="Y105" s="34">
        <v>1.3045124660331</v>
      </c>
      <c r="Z105" s="34">
        <v>1.30478068530518</v>
      </c>
      <c r="AA105" s="34">
        <v>1.30457910059363</v>
      </c>
      <c r="AB105" s="33">
        <v>22.168937028265201</v>
      </c>
      <c r="AC105" s="33">
        <v>22.174613875244901</v>
      </c>
      <c r="AD105" s="33">
        <v>22.170379269161199</v>
      </c>
      <c r="AE105" s="15">
        <v>3.3877584054325098E-4</v>
      </c>
      <c r="AF105" s="15">
        <v>5.9481519215456998E-4</v>
      </c>
      <c r="AG105" s="15">
        <v>4.0383056023587499E-4</v>
      </c>
      <c r="AI105" s="12"/>
      <c r="AJ105">
        <f t="shared" si="26"/>
        <v>0</v>
      </c>
      <c r="AK105">
        <f t="shared" si="27"/>
        <v>1</v>
      </c>
      <c r="AL105">
        <f t="shared" si="34"/>
        <v>0</v>
      </c>
      <c r="AM105">
        <f t="shared" si="24"/>
        <v>1</v>
      </c>
      <c r="AN105">
        <f t="shared" si="35"/>
        <v>0</v>
      </c>
      <c r="AO105" s="28">
        <f t="shared" si="28"/>
        <v>0</v>
      </c>
      <c r="AP105" s="28">
        <f t="shared" si="29"/>
        <v>0</v>
      </c>
      <c r="AQ105" s="28">
        <f t="shared" si="36"/>
        <v>0</v>
      </c>
      <c r="AR105" s="29">
        <f t="shared" si="37"/>
        <v>1.6646952644800981E-3</v>
      </c>
      <c r="AT105" s="12"/>
      <c r="AU105">
        <f t="shared" si="30"/>
        <v>0</v>
      </c>
      <c r="AV105">
        <f t="shared" si="31"/>
        <v>0</v>
      </c>
      <c r="AW105">
        <f t="shared" si="38"/>
        <v>0</v>
      </c>
      <c r="AX105">
        <f t="shared" si="25"/>
        <v>1</v>
      </c>
      <c r="AY105">
        <f t="shared" si="39"/>
        <v>0</v>
      </c>
      <c r="AZ105" s="28">
        <f t="shared" si="32"/>
        <v>0</v>
      </c>
      <c r="BA105" s="28">
        <f t="shared" si="33"/>
        <v>0</v>
      </c>
      <c r="BB105" s="28">
        <f t="shared" si="40"/>
        <v>0</v>
      </c>
      <c r="BC105" s="29">
        <f t="shared" si="41"/>
        <v>1.1662806753571799E-3</v>
      </c>
      <c r="BE105" s="29">
        <f t="shared" si="42"/>
        <v>0</v>
      </c>
      <c r="BF105" s="29">
        <f t="shared" si="43"/>
        <v>2.8309759398372778E-3</v>
      </c>
      <c r="BH105" s="29"/>
    </row>
    <row r="106" spans="1:60" x14ac:dyDescent="0.25">
      <c r="A106" s="1">
        <v>46176</v>
      </c>
      <c r="B106" s="33">
        <v>16.66</v>
      </c>
      <c r="C106" s="33">
        <v>21.73</v>
      </c>
      <c r="D106" s="15">
        <v>-1.1997601919040599E-3</v>
      </c>
      <c r="E106" s="15">
        <v>-9.1996326635482403E-4</v>
      </c>
      <c r="F106" s="33">
        <v>0</v>
      </c>
      <c r="G106" s="33">
        <v>0.31403999999999999</v>
      </c>
      <c r="H106" s="33">
        <v>0</v>
      </c>
      <c r="I106" s="33">
        <v>0.41142800000000002</v>
      </c>
      <c r="J106" s="33">
        <v>0.31403999999999999</v>
      </c>
      <c r="K106" s="33">
        <v>0.41142800000000002</v>
      </c>
      <c r="L106" s="33">
        <v>16.974039999999999</v>
      </c>
      <c r="M106" s="33">
        <v>22.141428000000001</v>
      </c>
      <c r="N106" s="34">
        <v>1.3043217286914699</v>
      </c>
      <c r="O106" s="34">
        <v>1.3062602516891499</v>
      </c>
      <c r="P106" s="34">
        <v>1.3081804674472299</v>
      </c>
      <c r="Q106" s="34">
        <v>1.30662917077611</v>
      </c>
      <c r="R106" s="33">
        <v>21.762295793141199</v>
      </c>
      <c r="S106" s="33">
        <v>21.801993963729</v>
      </c>
      <c r="T106" s="33">
        <v>21.768680465082099</v>
      </c>
      <c r="U106" s="15">
        <v>1.4851273536285699E-3</v>
      </c>
      <c r="V106" s="15">
        <v>3.30763757002664E-3</v>
      </c>
      <c r="W106" s="15">
        <v>1.7784666046850299E-3</v>
      </c>
      <c r="X106" s="34">
        <v>1.30442888080857</v>
      </c>
      <c r="Y106" s="34">
        <v>1.3045124660331</v>
      </c>
      <c r="Z106" s="34">
        <v>1.3048151075226599</v>
      </c>
      <c r="AA106" s="34">
        <v>1.30455827452296</v>
      </c>
      <c r="AB106" s="33">
        <v>22.142846778944499</v>
      </c>
      <c r="AC106" s="33">
        <v>22.147399543597601</v>
      </c>
      <c r="AD106" s="33">
        <v>22.1439778366403</v>
      </c>
      <c r="AE106" s="15">
        <v>6.4075970628619497E-5</v>
      </c>
      <c r="AF106" s="15">
        <v>2.6966365853480401E-4</v>
      </c>
      <c r="AG106" s="15">
        <v>1.1515471496721501E-4</v>
      </c>
      <c r="AI106" s="12"/>
      <c r="AJ106">
        <f t="shared" si="26"/>
        <v>0</v>
      </c>
      <c r="AK106">
        <f t="shared" si="27"/>
        <v>1</v>
      </c>
      <c r="AL106">
        <f t="shared" si="34"/>
        <v>0</v>
      </c>
      <c r="AM106">
        <f t="shared" si="24"/>
        <v>1</v>
      </c>
      <c r="AN106">
        <f t="shared" si="35"/>
        <v>0</v>
      </c>
      <c r="AO106" s="28">
        <f t="shared" si="28"/>
        <v>0</v>
      </c>
      <c r="AP106" s="28">
        <f t="shared" si="29"/>
        <v>0</v>
      </c>
      <c r="AQ106" s="28">
        <f t="shared" si="36"/>
        <v>0</v>
      </c>
      <c r="AR106" s="29">
        <f t="shared" si="37"/>
        <v>1.6646952644800981E-3</v>
      </c>
      <c r="AT106" s="12"/>
      <c r="AU106">
        <f t="shared" si="30"/>
        <v>0</v>
      </c>
      <c r="AV106">
        <f t="shared" si="31"/>
        <v>1</v>
      </c>
      <c r="AW106">
        <f t="shared" si="38"/>
        <v>0</v>
      </c>
      <c r="AX106">
        <f t="shared" si="25"/>
        <v>1</v>
      </c>
      <c r="AY106">
        <f t="shared" si="39"/>
        <v>0</v>
      </c>
      <c r="AZ106" s="28">
        <f t="shared" si="32"/>
        <v>0</v>
      </c>
      <c r="BA106" s="28">
        <f t="shared" si="33"/>
        <v>0</v>
      </c>
      <c r="BB106" s="28">
        <f t="shared" si="40"/>
        <v>0</v>
      </c>
      <c r="BC106" s="29">
        <f t="shared" si="41"/>
        <v>1.1662806753571799E-3</v>
      </c>
      <c r="BE106" s="29">
        <f t="shared" si="42"/>
        <v>0</v>
      </c>
      <c r="BF106" s="29">
        <f t="shared" si="43"/>
        <v>2.8309759398372778E-3</v>
      </c>
      <c r="BH106" s="29"/>
    </row>
    <row r="107" spans="1:60" x14ac:dyDescent="0.25">
      <c r="A107" s="1">
        <v>46177</v>
      </c>
      <c r="B107" s="33">
        <v>16.66</v>
      </c>
      <c r="C107" s="33">
        <v>21.74</v>
      </c>
      <c r="D107" s="15">
        <v>0</v>
      </c>
      <c r="E107" s="15">
        <v>4.60087424725098E-4</v>
      </c>
      <c r="F107" s="33">
        <v>0</v>
      </c>
      <c r="G107" s="33">
        <v>0.31403999999999999</v>
      </c>
      <c r="H107" s="33">
        <v>0</v>
      </c>
      <c r="I107" s="33">
        <v>0.41142800000000002</v>
      </c>
      <c r="J107" s="33">
        <v>0.31403999999999999</v>
      </c>
      <c r="K107" s="33">
        <v>0.41142800000000002</v>
      </c>
      <c r="L107" s="33">
        <v>16.974039999999999</v>
      </c>
      <c r="M107" s="33">
        <v>22.151427999999999</v>
      </c>
      <c r="N107" s="34">
        <v>1.30492196878751</v>
      </c>
      <c r="O107" s="34">
        <v>1.3062602516891499</v>
      </c>
      <c r="P107" s="34">
        <v>1.30769014473587</v>
      </c>
      <c r="Q107" s="34">
        <v>1.3066993598535299</v>
      </c>
      <c r="R107" s="33">
        <v>21.762295793141199</v>
      </c>
      <c r="S107" s="33">
        <v>21.7942865876709</v>
      </c>
      <c r="T107" s="33">
        <v>21.76844198513</v>
      </c>
      <c r="U107" s="15">
        <v>1.0250399289035801E-3</v>
      </c>
      <c r="V107" s="15">
        <v>2.4939706178351102E-3</v>
      </c>
      <c r="W107" s="15">
        <v>1.3074239335538599E-3</v>
      </c>
      <c r="X107" s="34">
        <v>1.30501801574639</v>
      </c>
      <c r="Y107" s="34">
        <v>1.3045124660331</v>
      </c>
      <c r="Z107" s="34">
        <v>1.3048209152402099</v>
      </c>
      <c r="AA107" s="34">
        <v>1.30462064085178</v>
      </c>
      <c r="AB107" s="33">
        <v>22.142846778944499</v>
      </c>
      <c r="AC107" s="33">
        <v>22.147983827693999</v>
      </c>
      <c r="AD107" s="33">
        <v>22.1436243340837</v>
      </c>
      <c r="AE107" s="15">
        <v>-3.87464122875643E-4</v>
      </c>
      <c r="AF107" s="15">
        <v>-1.5549517119171701E-4</v>
      </c>
      <c r="AG107" s="15">
        <v>-3.5234932958563299E-4</v>
      </c>
      <c r="AI107" s="12"/>
      <c r="AJ107">
        <f t="shared" si="26"/>
        <v>0</v>
      </c>
      <c r="AK107">
        <f t="shared" si="27"/>
        <v>0</v>
      </c>
      <c r="AL107">
        <f t="shared" si="34"/>
        <v>0</v>
      </c>
      <c r="AM107">
        <f t="shared" si="24"/>
        <v>1</v>
      </c>
      <c r="AN107">
        <f t="shared" si="35"/>
        <v>0</v>
      </c>
      <c r="AO107" s="28">
        <f t="shared" si="28"/>
        <v>0</v>
      </c>
      <c r="AP107" s="28">
        <f t="shared" si="29"/>
        <v>0</v>
      </c>
      <c r="AQ107" s="28">
        <f t="shared" si="36"/>
        <v>0</v>
      </c>
      <c r="AR107" s="29">
        <f t="shared" si="37"/>
        <v>1.6646952644800981E-3</v>
      </c>
      <c r="AT107" s="12"/>
      <c r="AU107">
        <f t="shared" si="30"/>
        <v>0</v>
      </c>
      <c r="AV107">
        <f t="shared" si="31"/>
        <v>1</v>
      </c>
      <c r="AW107">
        <f t="shared" si="38"/>
        <v>0</v>
      </c>
      <c r="AX107">
        <f t="shared" si="25"/>
        <v>1</v>
      </c>
      <c r="AY107">
        <f t="shared" si="39"/>
        <v>0</v>
      </c>
      <c r="AZ107" s="28">
        <f t="shared" si="32"/>
        <v>0</v>
      </c>
      <c r="BA107" s="28">
        <f t="shared" si="33"/>
        <v>0</v>
      </c>
      <c r="BB107" s="28">
        <f t="shared" si="40"/>
        <v>0</v>
      </c>
      <c r="BC107" s="29">
        <f t="shared" si="41"/>
        <v>1.1662806753571799E-3</v>
      </c>
      <c r="BE107" s="29">
        <f t="shared" si="42"/>
        <v>0</v>
      </c>
      <c r="BF107" s="29">
        <f t="shared" si="43"/>
        <v>2.8309759398372778E-3</v>
      </c>
      <c r="BH107" s="29"/>
    </row>
    <row r="108" spans="1:60" x14ac:dyDescent="0.25">
      <c r="A108" s="1">
        <v>46178</v>
      </c>
      <c r="B108" s="33">
        <v>16.61</v>
      </c>
      <c r="C108" s="33">
        <v>21.66</v>
      </c>
      <c r="D108" s="15">
        <v>-3.0057131134931898E-3</v>
      </c>
      <c r="E108" s="15">
        <v>-3.6866401202187401E-3</v>
      </c>
      <c r="F108" s="33">
        <v>0</v>
      </c>
      <c r="G108" s="33">
        <v>0.31403999999999999</v>
      </c>
      <c r="H108" s="33">
        <v>0</v>
      </c>
      <c r="I108" s="33">
        <v>0.41142800000000002</v>
      </c>
      <c r="J108" s="33">
        <v>0.31403999999999999</v>
      </c>
      <c r="K108" s="33">
        <v>0.41142800000000002</v>
      </c>
      <c r="L108" s="33">
        <v>16.924039999999898</v>
      </c>
      <c r="M108" s="33">
        <v>22.071428000000001</v>
      </c>
      <c r="N108" s="34">
        <v>1.30403371462974</v>
      </c>
      <c r="O108" s="34">
        <v>1.3062602516891499</v>
      </c>
      <c r="P108" s="34">
        <v>1.3069904420578</v>
      </c>
      <c r="Q108" s="34">
        <v>1.3066888519209401</v>
      </c>
      <c r="R108" s="33">
        <v>21.696982780556802</v>
      </c>
      <c r="S108" s="33">
        <v>21.720733304062801</v>
      </c>
      <c r="T108" s="33">
        <v>21.7042763671671</v>
      </c>
      <c r="U108" s="15">
        <v>1.7059669356290299E-3</v>
      </c>
      <c r="V108" s="15">
        <v>2.8000146201625801E-3</v>
      </c>
      <c r="W108" s="15">
        <v>2.0420671696889199E-3</v>
      </c>
      <c r="X108" s="34">
        <v>1.3041465276612401</v>
      </c>
      <c r="Y108" s="34">
        <v>1.3045124660331</v>
      </c>
      <c r="Z108" s="34">
        <v>1.3046212592375399</v>
      </c>
      <c r="AA108" s="34">
        <v>1.3046036512052599</v>
      </c>
      <c r="AB108" s="33">
        <v>22.077621155642799</v>
      </c>
      <c r="AC108" s="33">
        <v>22.082841362362</v>
      </c>
      <c r="AD108" s="33">
        <v>22.0794519106013</v>
      </c>
      <c r="AE108" s="15">
        <v>2.8055669609878002E-4</v>
      </c>
      <c r="AF108" s="15">
        <v>5.1697662676922402E-4</v>
      </c>
      <c r="AG108" s="15">
        <v>3.6347681884962998E-4</v>
      </c>
      <c r="AI108" s="12"/>
      <c r="AJ108">
        <f t="shared" si="26"/>
        <v>0</v>
      </c>
      <c r="AK108">
        <f t="shared" si="27"/>
        <v>1</v>
      </c>
      <c r="AL108">
        <f t="shared" si="34"/>
        <v>0</v>
      </c>
      <c r="AM108">
        <f t="shared" si="24"/>
        <v>1</v>
      </c>
      <c r="AN108">
        <f t="shared" si="35"/>
        <v>0</v>
      </c>
      <c r="AO108" s="28">
        <f t="shared" si="28"/>
        <v>0</v>
      </c>
      <c r="AP108" s="28">
        <f t="shared" si="29"/>
        <v>0</v>
      </c>
      <c r="AQ108" s="28">
        <f t="shared" si="36"/>
        <v>0</v>
      </c>
      <c r="AR108" s="29">
        <f t="shared" si="37"/>
        <v>1.6646952644800981E-3</v>
      </c>
      <c r="AT108" s="12"/>
      <c r="AU108">
        <f t="shared" si="30"/>
        <v>0</v>
      </c>
      <c r="AV108">
        <f t="shared" si="31"/>
        <v>0</v>
      </c>
      <c r="AW108">
        <f t="shared" si="38"/>
        <v>0</v>
      </c>
      <c r="AX108">
        <f t="shared" si="25"/>
        <v>1</v>
      </c>
      <c r="AY108">
        <f t="shared" si="39"/>
        <v>0</v>
      </c>
      <c r="AZ108" s="28">
        <f t="shared" si="32"/>
        <v>0</v>
      </c>
      <c r="BA108" s="28">
        <f t="shared" si="33"/>
        <v>0</v>
      </c>
      <c r="BB108" s="28">
        <f t="shared" si="40"/>
        <v>0</v>
      </c>
      <c r="BC108" s="29">
        <f t="shared" si="41"/>
        <v>1.1662806753571799E-3</v>
      </c>
      <c r="BE108" s="29">
        <f t="shared" si="42"/>
        <v>0</v>
      </c>
      <c r="BF108" s="29">
        <f t="shared" si="43"/>
        <v>2.8309759398372778E-3</v>
      </c>
      <c r="BH108" s="29"/>
    </row>
    <row r="109" spans="1:60" x14ac:dyDescent="0.25">
      <c r="A109" s="1">
        <v>46181</v>
      </c>
      <c r="B109" s="33">
        <v>16.61</v>
      </c>
      <c r="C109" s="33">
        <v>21.66</v>
      </c>
      <c r="D109" s="15">
        <v>0</v>
      </c>
      <c r="E109" s="15">
        <v>0</v>
      </c>
      <c r="F109" s="33">
        <v>0</v>
      </c>
      <c r="G109" s="33">
        <v>0.31403999999999999</v>
      </c>
      <c r="H109" s="33">
        <v>0</v>
      </c>
      <c r="I109" s="33">
        <v>0.41142800000000002</v>
      </c>
      <c r="J109" s="33">
        <v>0.31403999999999999</v>
      </c>
      <c r="K109" s="33">
        <v>0.41142800000000002</v>
      </c>
      <c r="L109" s="33">
        <v>16.924039999999898</v>
      </c>
      <c r="M109" s="33">
        <v>22.071428000000001</v>
      </c>
      <c r="N109" s="34">
        <v>1.30403371462974</v>
      </c>
      <c r="O109" s="34">
        <v>1.3062602516891499</v>
      </c>
      <c r="P109" s="34">
        <v>1.3065088044900599</v>
      </c>
      <c r="Q109" s="34">
        <v>1.30667574051639</v>
      </c>
      <c r="R109" s="33">
        <v>21.696982780556802</v>
      </c>
      <c r="S109" s="33">
        <v>21.709111242580001</v>
      </c>
      <c r="T109" s="33">
        <v>21.704101830406799</v>
      </c>
      <c r="U109" s="15">
        <v>1.7059669356290299E-3</v>
      </c>
      <c r="V109" s="15">
        <v>2.2648037815530698E-3</v>
      </c>
      <c r="W109" s="15">
        <v>2.0340255534131999E-3</v>
      </c>
      <c r="X109" s="34">
        <v>1.3041465276612401</v>
      </c>
      <c r="Y109" s="34">
        <v>1.3045124660331</v>
      </c>
      <c r="Z109" s="34">
        <v>1.30463504436214</v>
      </c>
      <c r="AA109" s="34">
        <v>1.30458411760633</v>
      </c>
      <c r="AB109" s="33">
        <v>22.077621155642799</v>
      </c>
      <c r="AC109" s="33">
        <v>22.079462376186601</v>
      </c>
      <c r="AD109" s="33">
        <v>22.079164377144</v>
      </c>
      <c r="AE109" s="15">
        <v>2.8055669609878002E-4</v>
      </c>
      <c r="AF109" s="15">
        <v>3.6395081534532298E-4</v>
      </c>
      <c r="AG109" s="15">
        <v>3.50454062184446E-4</v>
      </c>
      <c r="AI109" s="12"/>
      <c r="AJ109">
        <f t="shared" si="26"/>
        <v>0</v>
      </c>
      <c r="AK109">
        <f t="shared" si="27"/>
        <v>1</v>
      </c>
      <c r="AL109">
        <f t="shared" si="34"/>
        <v>0</v>
      </c>
      <c r="AM109">
        <f t="shared" si="24"/>
        <v>1</v>
      </c>
      <c r="AN109">
        <f t="shared" si="35"/>
        <v>0</v>
      </c>
      <c r="AO109" s="28">
        <f t="shared" si="28"/>
        <v>0</v>
      </c>
      <c r="AP109" s="28">
        <f t="shared" si="29"/>
        <v>0</v>
      </c>
      <c r="AQ109" s="28">
        <f t="shared" si="36"/>
        <v>0</v>
      </c>
      <c r="AR109" s="29">
        <f t="shared" si="37"/>
        <v>1.6646952644800981E-3</v>
      </c>
      <c r="AT109" s="12"/>
      <c r="AU109">
        <f t="shared" si="30"/>
        <v>0</v>
      </c>
      <c r="AV109">
        <f t="shared" si="31"/>
        <v>0</v>
      </c>
      <c r="AW109">
        <f t="shared" si="38"/>
        <v>0</v>
      </c>
      <c r="AX109">
        <f t="shared" si="25"/>
        <v>1</v>
      </c>
      <c r="AY109">
        <f t="shared" si="39"/>
        <v>0</v>
      </c>
      <c r="AZ109" s="28">
        <f t="shared" si="32"/>
        <v>0</v>
      </c>
      <c r="BA109" s="28">
        <f t="shared" si="33"/>
        <v>0</v>
      </c>
      <c r="BB109" s="28">
        <f t="shared" si="40"/>
        <v>0</v>
      </c>
      <c r="BC109" s="29">
        <f t="shared" si="41"/>
        <v>1.1662806753571799E-3</v>
      </c>
      <c r="BE109" s="29">
        <f t="shared" si="42"/>
        <v>0</v>
      </c>
      <c r="BF109" s="29">
        <f t="shared" si="43"/>
        <v>2.8309759398372778E-3</v>
      </c>
      <c r="BH109" s="29"/>
    </row>
    <row r="110" spans="1:60" x14ac:dyDescent="0.25">
      <c r="A110" s="1">
        <v>46182</v>
      </c>
      <c r="B110" s="33">
        <v>16.64</v>
      </c>
      <c r="C110" s="33">
        <v>21.71</v>
      </c>
      <c r="D110" s="15">
        <v>1.80451176785913E-3</v>
      </c>
      <c r="E110" s="15">
        <v>2.3057423173560099E-3</v>
      </c>
      <c r="F110" s="33">
        <v>0</v>
      </c>
      <c r="G110" s="33">
        <v>0.31403999999999999</v>
      </c>
      <c r="H110" s="33">
        <v>0</v>
      </c>
      <c r="I110" s="33">
        <v>0.41142800000000002</v>
      </c>
      <c r="J110" s="33">
        <v>0.31403999999999999</v>
      </c>
      <c r="K110" s="33">
        <v>0.41142800000000002</v>
      </c>
      <c r="L110" s="33">
        <v>16.954039999999999</v>
      </c>
      <c r="M110" s="33">
        <v>22.121428000000002</v>
      </c>
      <c r="N110" s="34">
        <v>1.3046875</v>
      </c>
      <c r="O110" s="34">
        <v>1.3062602516891499</v>
      </c>
      <c r="P110" s="34">
        <v>1.3060466235591299</v>
      </c>
      <c r="Q110" s="34">
        <v>1.30669792185231</v>
      </c>
      <c r="R110" s="33">
        <v>21.736170588107399</v>
      </c>
      <c r="S110" s="33">
        <v>21.740306506714699</v>
      </c>
      <c r="T110" s="33">
        <v>21.743084322192701</v>
      </c>
      <c r="U110" s="15">
        <v>1.20473638613222E-3</v>
      </c>
      <c r="V110" s="15">
        <v>1.3949964484056699E-3</v>
      </c>
      <c r="W110" s="15">
        <v>1.52276088576122E-3</v>
      </c>
      <c r="X110" s="34">
        <v>1.3047880033313499</v>
      </c>
      <c r="Y110" s="34">
        <v>1.3045124660331</v>
      </c>
      <c r="Z110" s="34">
        <v>1.30466676369334</v>
      </c>
      <c r="AA110" s="34">
        <v>1.3045992017433099</v>
      </c>
      <c r="AB110" s="33">
        <v>22.1167565296238</v>
      </c>
      <c r="AC110" s="33">
        <v>22.118834727517498</v>
      </c>
      <c r="AD110" s="33">
        <v>22.117971313262402</v>
      </c>
      <c r="AE110" s="15">
        <v>-2.1119629764011801E-4</v>
      </c>
      <c r="AF110" s="15">
        <v>-1.1723585374896899E-4</v>
      </c>
      <c r="AG110" s="15">
        <v>-1.56271866173843E-4</v>
      </c>
      <c r="AI110" s="12"/>
      <c r="AJ110">
        <f t="shared" si="26"/>
        <v>0</v>
      </c>
      <c r="AK110">
        <f t="shared" si="27"/>
        <v>1</v>
      </c>
      <c r="AL110">
        <f t="shared" si="34"/>
        <v>0</v>
      </c>
      <c r="AM110">
        <f t="shared" si="24"/>
        <v>1</v>
      </c>
      <c r="AN110">
        <f t="shared" si="35"/>
        <v>0</v>
      </c>
      <c r="AO110" s="28">
        <f t="shared" si="28"/>
        <v>0</v>
      </c>
      <c r="AP110" s="28">
        <f t="shared" si="29"/>
        <v>0</v>
      </c>
      <c r="AQ110" s="28">
        <f t="shared" si="36"/>
        <v>0</v>
      </c>
      <c r="AR110" s="29">
        <f t="shared" si="37"/>
        <v>1.6646952644800981E-3</v>
      </c>
      <c r="AT110" s="12"/>
      <c r="AU110">
        <f t="shared" si="30"/>
        <v>0</v>
      </c>
      <c r="AV110">
        <f t="shared" si="31"/>
        <v>1</v>
      </c>
      <c r="AW110">
        <f t="shared" si="38"/>
        <v>0</v>
      </c>
      <c r="AX110">
        <f t="shared" si="25"/>
        <v>1</v>
      </c>
      <c r="AY110">
        <f t="shared" si="39"/>
        <v>0</v>
      </c>
      <c r="AZ110" s="28">
        <f t="shared" si="32"/>
        <v>0</v>
      </c>
      <c r="BA110" s="28">
        <f t="shared" si="33"/>
        <v>0</v>
      </c>
      <c r="BB110" s="28">
        <f t="shared" si="40"/>
        <v>0</v>
      </c>
      <c r="BC110" s="29">
        <f t="shared" si="41"/>
        <v>1.1662806753571799E-3</v>
      </c>
      <c r="BE110" s="29">
        <f t="shared" si="42"/>
        <v>0</v>
      </c>
      <c r="BF110" s="29">
        <f t="shared" si="43"/>
        <v>2.8309759398372778E-3</v>
      </c>
      <c r="BH110" s="29"/>
    </row>
    <row r="111" spans="1:60" x14ac:dyDescent="0.25">
      <c r="A111" s="1">
        <v>46183</v>
      </c>
      <c r="B111" s="33">
        <v>16.63</v>
      </c>
      <c r="C111" s="33">
        <v>21.68</v>
      </c>
      <c r="D111" s="15">
        <v>-6.0114218822636205E-4</v>
      </c>
      <c r="E111" s="15">
        <v>-1.3828073187550599E-3</v>
      </c>
      <c r="F111" s="33">
        <v>0</v>
      </c>
      <c r="G111" s="33">
        <v>0.31403999999999999</v>
      </c>
      <c r="H111" s="33">
        <v>0</v>
      </c>
      <c r="I111" s="33">
        <v>0.41142800000000002</v>
      </c>
      <c r="J111" s="33">
        <v>0.31403999999999999</v>
      </c>
      <c r="K111" s="33">
        <v>0.41142800000000002</v>
      </c>
      <c r="L111" s="33">
        <v>16.944039999999902</v>
      </c>
      <c r="M111" s="33">
        <v>22.091428000000001</v>
      </c>
      <c r="N111" s="34">
        <v>1.30366806975345</v>
      </c>
      <c r="O111" s="34">
        <v>1.3062602516891499</v>
      </c>
      <c r="P111" s="34">
        <v>1.3054038151498599</v>
      </c>
      <c r="Q111" s="34">
        <v>1.30665092438247</v>
      </c>
      <c r="R111" s="33">
        <v>21.723107985590499</v>
      </c>
      <c r="S111" s="33">
        <v>21.719555349788401</v>
      </c>
      <c r="T111" s="33">
        <v>21.730386440404001</v>
      </c>
      <c r="U111" s="15">
        <v>1.9864015166609298E-3</v>
      </c>
      <c r="V111" s="15">
        <v>1.8228463597125199E-3</v>
      </c>
      <c r="W111" s="15">
        <v>2.32140126651415E-3</v>
      </c>
      <c r="X111" s="34">
        <v>1.30378752646948</v>
      </c>
      <c r="Y111" s="34">
        <v>1.3045124660331</v>
      </c>
      <c r="Z111" s="34">
        <v>1.3045214937474401</v>
      </c>
      <c r="AA111" s="34">
        <v>1.30454630795569</v>
      </c>
      <c r="AB111" s="33">
        <v>22.103711404963502</v>
      </c>
      <c r="AC111" s="33">
        <v>22.106325830690501</v>
      </c>
      <c r="AD111" s="33">
        <v>22.105181058306801</v>
      </c>
      <c r="AE111" s="15">
        <v>5.5587132183379496E-4</v>
      </c>
      <c r="AF111" s="15">
        <v>6.7414427040218502E-4</v>
      </c>
      <c r="AG111" s="15">
        <v>6.22358096868761E-4</v>
      </c>
      <c r="AI111" s="12"/>
      <c r="AJ111">
        <f t="shared" si="26"/>
        <v>0</v>
      </c>
      <c r="AK111">
        <f t="shared" si="27"/>
        <v>1</v>
      </c>
      <c r="AL111">
        <f t="shared" si="34"/>
        <v>0</v>
      </c>
      <c r="AM111">
        <f t="shared" si="24"/>
        <v>1</v>
      </c>
      <c r="AN111">
        <f t="shared" si="35"/>
        <v>0</v>
      </c>
      <c r="AO111" s="28">
        <f t="shared" si="28"/>
        <v>0</v>
      </c>
      <c r="AP111" s="28">
        <f t="shared" si="29"/>
        <v>0</v>
      </c>
      <c r="AQ111" s="28">
        <f t="shared" si="36"/>
        <v>0</v>
      </c>
      <c r="AR111" s="29">
        <f t="shared" si="37"/>
        <v>1.6646952644800981E-3</v>
      </c>
      <c r="AT111" s="12"/>
      <c r="AU111">
        <f t="shared" si="30"/>
        <v>0</v>
      </c>
      <c r="AV111">
        <f t="shared" si="31"/>
        <v>0</v>
      </c>
      <c r="AW111">
        <f t="shared" si="38"/>
        <v>0</v>
      </c>
      <c r="AX111">
        <f t="shared" si="25"/>
        <v>1</v>
      </c>
      <c r="AY111">
        <f t="shared" si="39"/>
        <v>0</v>
      </c>
      <c r="AZ111" s="28">
        <f t="shared" si="32"/>
        <v>0</v>
      </c>
      <c r="BA111" s="28">
        <f t="shared" si="33"/>
        <v>0</v>
      </c>
      <c r="BB111" s="28">
        <f t="shared" si="40"/>
        <v>0</v>
      </c>
      <c r="BC111" s="29">
        <f t="shared" si="41"/>
        <v>1.1662806753571799E-3</v>
      </c>
      <c r="BE111" s="29">
        <f t="shared" si="42"/>
        <v>0</v>
      </c>
      <c r="BF111" s="29">
        <f t="shared" si="43"/>
        <v>2.8309759398372778E-3</v>
      </c>
      <c r="BH111" s="29"/>
    </row>
    <row r="112" spans="1:60" x14ac:dyDescent="0.25">
      <c r="A112" s="1">
        <v>46184</v>
      </c>
      <c r="B112" s="33">
        <v>16.7</v>
      </c>
      <c r="C112" s="33">
        <v>21.77</v>
      </c>
      <c r="D112" s="15">
        <v>4.20042621787323E-3</v>
      </c>
      <c r="E112" s="15">
        <v>4.1426986750106301E-3</v>
      </c>
      <c r="F112" s="33">
        <v>0</v>
      </c>
      <c r="G112" s="33">
        <v>0.31403999999999999</v>
      </c>
      <c r="H112" s="33">
        <v>0</v>
      </c>
      <c r="I112" s="33">
        <v>0.41142800000000002</v>
      </c>
      <c r="J112" s="33">
        <v>0.31403999999999999</v>
      </c>
      <c r="K112" s="33">
        <v>0.41142800000000002</v>
      </c>
      <c r="L112" s="33">
        <v>17.014039999999898</v>
      </c>
      <c r="M112" s="33">
        <v>22.181428</v>
      </c>
      <c r="N112" s="34">
        <v>1.3035928143712501</v>
      </c>
      <c r="O112" s="34">
        <v>1.3062602516891499</v>
      </c>
      <c r="P112" s="34">
        <v>1.30479070763141</v>
      </c>
      <c r="Q112" s="34">
        <v>1.30666908184745</v>
      </c>
      <c r="R112" s="33">
        <v>21.814546203208799</v>
      </c>
      <c r="S112" s="33">
        <v>21.8002437130028</v>
      </c>
      <c r="T112" s="33">
        <v>21.821070437187299</v>
      </c>
      <c r="U112" s="15">
        <v>2.0441290595236599E-3</v>
      </c>
      <c r="V112" s="15">
        <v>1.38827398163885E-3</v>
      </c>
      <c r="W112" s="15">
        <v>2.34316157147005E-3</v>
      </c>
      <c r="X112" s="34">
        <v>1.3037131686536501</v>
      </c>
      <c r="Y112" s="34">
        <v>1.3045124660331</v>
      </c>
      <c r="Z112" s="34">
        <v>1.3044047535562699</v>
      </c>
      <c r="AA112" s="34">
        <v>1.30455760900967</v>
      </c>
      <c r="AB112" s="33">
        <v>22.195027277585801</v>
      </c>
      <c r="AC112" s="33">
        <v>22.195180875478801</v>
      </c>
      <c r="AD112" s="33">
        <v>22.195603065410499</v>
      </c>
      <c r="AE112" s="15">
        <v>6.1290510594003004E-4</v>
      </c>
      <c r="AF112" s="15">
        <v>6.1982545614187195E-4</v>
      </c>
      <c r="AG112" s="15">
        <v>6.3884696890903004E-4</v>
      </c>
      <c r="AI112" s="12"/>
      <c r="AJ112">
        <f t="shared" si="26"/>
        <v>0</v>
      </c>
      <c r="AK112">
        <f t="shared" si="27"/>
        <v>1</v>
      </c>
      <c r="AL112">
        <f t="shared" si="34"/>
        <v>0</v>
      </c>
      <c r="AM112">
        <f t="shared" si="24"/>
        <v>1</v>
      </c>
      <c r="AN112">
        <f t="shared" si="35"/>
        <v>0</v>
      </c>
      <c r="AO112" s="28">
        <f t="shared" si="28"/>
        <v>0</v>
      </c>
      <c r="AP112" s="28">
        <f t="shared" si="29"/>
        <v>0</v>
      </c>
      <c r="AQ112" s="28">
        <f t="shared" si="36"/>
        <v>0</v>
      </c>
      <c r="AR112" s="29">
        <f t="shared" si="37"/>
        <v>1.6646952644800981E-3</v>
      </c>
      <c r="AT112" s="12"/>
      <c r="AU112">
        <f t="shared" si="30"/>
        <v>0</v>
      </c>
      <c r="AV112">
        <f t="shared" si="31"/>
        <v>0</v>
      </c>
      <c r="AW112">
        <f t="shared" si="38"/>
        <v>0</v>
      </c>
      <c r="AX112">
        <f t="shared" si="25"/>
        <v>1</v>
      </c>
      <c r="AY112">
        <f t="shared" si="39"/>
        <v>0</v>
      </c>
      <c r="AZ112" s="28">
        <f t="shared" si="32"/>
        <v>0</v>
      </c>
      <c r="BA112" s="28">
        <f t="shared" si="33"/>
        <v>0</v>
      </c>
      <c r="BB112" s="28">
        <f t="shared" si="40"/>
        <v>0</v>
      </c>
      <c r="BC112" s="29">
        <f t="shared" si="41"/>
        <v>1.1662806753571799E-3</v>
      </c>
      <c r="BE112" s="29">
        <f t="shared" si="42"/>
        <v>0</v>
      </c>
      <c r="BF112" s="29">
        <f t="shared" si="43"/>
        <v>2.8309759398372778E-3</v>
      </c>
      <c r="BH112" s="29"/>
    </row>
    <row r="113" spans="1:60" x14ac:dyDescent="0.25">
      <c r="A113" s="1">
        <v>46185</v>
      </c>
      <c r="B113" s="33">
        <v>16.68</v>
      </c>
      <c r="C113" s="33">
        <v>21.75</v>
      </c>
      <c r="D113" s="15">
        <v>-1.19832249210864E-3</v>
      </c>
      <c r="E113" s="15">
        <v>-9.19117711762946E-4</v>
      </c>
      <c r="F113" s="33">
        <v>0</v>
      </c>
      <c r="G113" s="33">
        <v>0.31403999999999999</v>
      </c>
      <c r="H113" s="33">
        <v>0</v>
      </c>
      <c r="I113" s="33">
        <v>0.41142800000000002</v>
      </c>
      <c r="J113" s="33">
        <v>0.31403999999999999</v>
      </c>
      <c r="K113" s="33">
        <v>0.41142800000000002</v>
      </c>
      <c r="L113" s="33">
        <v>16.994039999999998</v>
      </c>
      <c r="M113" s="33">
        <v>22.161428000000001</v>
      </c>
      <c r="N113" s="34">
        <v>1.30395683453237</v>
      </c>
      <c r="O113" s="34">
        <v>1.3062602516891499</v>
      </c>
      <c r="P113" s="34">
        <v>1.3041312352093499</v>
      </c>
      <c r="Q113" s="34">
        <v>1.30665734273574</v>
      </c>
      <c r="R113" s="33">
        <v>21.788420998174999</v>
      </c>
      <c r="S113" s="33">
        <v>21.7639090032919</v>
      </c>
      <c r="T113" s="33">
        <v>21.795240285215499</v>
      </c>
      <c r="U113" s="15">
        <v>1.7649242791779899E-3</v>
      </c>
      <c r="V113" s="15">
        <v>6.39290014814376E-4</v>
      </c>
      <c r="W113" s="15">
        <v>2.0778528811029001E-3</v>
      </c>
      <c r="X113" s="34">
        <v>1.3040706035763101</v>
      </c>
      <c r="Y113" s="34">
        <v>1.3045124660331</v>
      </c>
      <c r="Z113" s="34">
        <v>1.30424194942023</v>
      </c>
      <c r="AA113" s="34">
        <v>1.3045393761169</v>
      </c>
      <c r="AB113" s="33">
        <v>22.168937028265201</v>
      </c>
      <c r="AC113" s="33">
        <v>22.167106558125401</v>
      </c>
      <c r="AD113" s="33">
        <v>22.169704189814698</v>
      </c>
      <c r="AE113" s="15">
        <v>3.3877584054325098E-4</v>
      </c>
      <c r="AF113" s="15">
        <v>2.5620328815817499E-4</v>
      </c>
      <c r="AG113" s="15">
        <v>3.73380489155775E-4</v>
      </c>
      <c r="AI113" s="12"/>
      <c r="AJ113">
        <f t="shared" si="26"/>
        <v>0</v>
      </c>
      <c r="AK113">
        <f t="shared" si="27"/>
        <v>1</v>
      </c>
      <c r="AL113">
        <f t="shared" si="34"/>
        <v>0</v>
      </c>
      <c r="AM113">
        <f t="shared" si="24"/>
        <v>1</v>
      </c>
      <c r="AN113">
        <f t="shared" si="35"/>
        <v>0</v>
      </c>
      <c r="AO113" s="28">
        <f t="shared" si="28"/>
        <v>0</v>
      </c>
      <c r="AP113" s="28">
        <f t="shared" si="29"/>
        <v>0</v>
      </c>
      <c r="AQ113" s="28">
        <f t="shared" si="36"/>
        <v>0</v>
      </c>
      <c r="AR113" s="29">
        <f t="shared" si="37"/>
        <v>1.6646952644800981E-3</v>
      </c>
      <c r="AT113" s="12"/>
      <c r="AU113">
        <f t="shared" si="30"/>
        <v>0</v>
      </c>
      <c r="AV113">
        <f t="shared" si="31"/>
        <v>0</v>
      </c>
      <c r="AW113">
        <f t="shared" si="38"/>
        <v>0</v>
      </c>
      <c r="AX113">
        <f t="shared" si="25"/>
        <v>1</v>
      </c>
      <c r="AY113">
        <f t="shared" si="39"/>
        <v>0</v>
      </c>
      <c r="AZ113" s="28">
        <f t="shared" si="32"/>
        <v>0</v>
      </c>
      <c r="BA113" s="28">
        <f t="shared" si="33"/>
        <v>0</v>
      </c>
      <c r="BB113" s="28">
        <f t="shared" si="40"/>
        <v>0</v>
      </c>
      <c r="BC113" s="29">
        <f t="shared" si="41"/>
        <v>1.1662806753571799E-3</v>
      </c>
      <c r="BE113" s="29">
        <f t="shared" si="42"/>
        <v>0</v>
      </c>
      <c r="BF113" s="29">
        <f t="shared" si="43"/>
        <v>2.8309759398372778E-3</v>
      </c>
      <c r="BH113" s="29"/>
    </row>
    <row r="114" spans="1:60" x14ac:dyDescent="0.25">
      <c r="A114" s="1">
        <v>46188</v>
      </c>
      <c r="B114" s="33">
        <v>16.7</v>
      </c>
      <c r="C114" s="33">
        <v>21.78</v>
      </c>
      <c r="D114" s="15">
        <v>1.19832249210871E-3</v>
      </c>
      <c r="E114" s="15">
        <v>1.37835997012135E-3</v>
      </c>
      <c r="F114" s="33">
        <v>0</v>
      </c>
      <c r="G114" s="33">
        <v>0.31403999999999999</v>
      </c>
      <c r="H114" s="33">
        <v>0</v>
      </c>
      <c r="I114" s="33">
        <v>0.41142800000000002</v>
      </c>
      <c r="J114" s="33">
        <v>0.31403999999999999</v>
      </c>
      <c r="K114" s="33">
        <v>0.41142800000000002</v>
      </c>
      <c r="L114" s="33">
        <v>17.014039999999898</v>
      </c>
      <c r="M114" s="33">
        <v>22.191427999999998</v>
      </c>
      <c r="N114" s="34">
        <v>1.30419161676646</v>
      </c>
      <c r="O114" s="34">
        <v>1.3062602516891499</v>
      </c>
      <c r="P114" s="34">
        <v>1.3041364796694399</v>
      </c>
      <c r="Q114" s="34">
        <v>1.30667172837887</v>
      </c>
      <c r="R114" s="33">
        <v>21.814546203208799</v>
      </c>
      <c r="S114" s="33">
        <v>21.778991627996099</v>
      </c>
      <c r="T114" s="33">
        <v>21.8211776236869</v>
      </c>
      <c r="U114" s="15">
        <v>1.5848868011652799E-3</v>
      </c>
      <c r="V114" s="15">
        <v>-4.6299143591038601E-5</v>
      </c>
      <c r="W114" s="15">
        <v>1.88883136527982E-3</v>
      </c>
      <c r="X114" s="34">
        <v>1.3043009185355099</v>
      </c>
      <c r="Y114" s="34">
        <v>1.3045124660331</v>
      </c>
      <c r="Z114" s="34">
        <v>1.3042470776020101</v>
      </c>
      <c r="AA114" s="34">
        <v>1.3045467964620701</v>
      </c>
      <c r="AB114" s="33">
        <v>22.195027277585801</v>
      </c>
      <c r="AC114" s="33">
        <v>22.190424697113801</v>
      </c>
      <c r="AD114" s="33">
        <v>22.1954851268281</v>
      </c>
      <c r="AE114" s="15">
        <v>1.6217909590836199E-4</v>
      </c>
      <c r="AF114" s="15">
        <v>-4.5212303017682601E-5</v>
      </c>
      <c r="AG114" s="15">
        <v>1.8280734358815001E-4</v>
      </c>
      <c r="AI114" s="12"/>
      <c r="AJ114">
        <f t="shared" si="26"/>
        <v>0</v>
      </c>
      <c r="AK114">
        <f t="shared" si="27"/>
        <v>1</v>
      </c>
      <c r="AL114">
        <f t="shared" si="34"/>
        <v>0</v>
      </c>
      <c r="AM114">
        <f t="shared" si="24"/>
        <v>1</v>
      </c>
      <c r="AN114">
        <f t="shared" si="35"/>
        <v>0</v>
      </c>
      <c r="AO114" s="28">
        <f t="shared" si="28"/>
        <v>0</v>
      </c>
      <c r="AP114" s="28">
        <f t="shared" si="29"/>
        <v>0</v>
      </c>
      <c r="AQ114" s="28">
        <f t="shared" si="36"/>
        <v>0</v>
      </c>
      <c r="AR114" s="29">
        <f t="shared" si="37"/>
        <v>1.6646952644800981E-3</v>
      </c>
      <c r="AT114" s="12"/>
      <c r="AU114">
        <f t="shared" si="30"/>
        <v>0</v>
      </c>
      <c r="AV114">
        <f t="shared" si="31"/>
        <v>1</v>
      </c>
      <c r="AW114">
        <f t="shared" si="38"/>
        <v>0</v>
      </c>
      <c r="AX114">
        <f t="shared" si="25"/>
        <v>1</v>
      </c>
      <c r="AY114">
        <f t="shared" si="39"/>
        <v>0</v>
      </c>
      <c r="AZ114" s="28">
        <f t="shared" si="32"/>
        <v>0</v>
      </c>
      <c r="BA114" s="28">
        <f t="shared" si="33"/>
        <v>0</v>
      </c>
      <c r="BB114" s="28">
        <f t="shared" si="40"/>
        <v>0</v>
      </c>
      <c r="BC114" s="29">
        <f t="shared" si="41"/>
        <v>1.1662806753571799E-3</v>
      </c>
      <c r="BE114" s="29">
        <f t="shared" si="42"/>
        <v>0</v>
      </c>
      <c r="BF114" s="29">
        <f t="shared" si="43"/>
        <v>2.8309759398372778E-3</v>
      </c>
      <c r="BH114" s="29"/>
    </row>
    <row r="115" spans="1:60" x14ac:dyDescent="0.25">
      <c r="A115" s="1">
        <v>46189</v>
      </c>
      <c r="B115" s="33">
        <v>16.71</v>
      </c>
      <c r="C115" s="33">
        <v>21.78</v>
      </c>
      <c r="D115" s="15">
        <v>5.9862318459304805E-4</v>
      </c>
      <c r="E115" s="15">
        <v>0</v>
      </c>
      <c r="F115" s="33">
        <v>0</v>
      </c>
      <c r="G115" s="33">
        <v>0.31403999999999999</v>
      </c>
      <c r="H115" s="33">
        <v>0</v>
      </c>
      <c r="I115" s="33">
        <v>0.41142800000000002</v>
      </c>
      <c r="J115" s="33">
        <v>0.31403999999999999</v>
      </c>
      <c r="K115" s="33">
        <v>0.41142800000000002</v>
      </c>
      <c r="L115" s="33">
        <v>17.024039999999999</v>
      </c>
      <c r="M115" s="33">
        <v>22.191427999999998</v>
      </c>
      <c r="N115" s="34">
        <v>1.30341113105924</v>
      </c>
      <c r="O115" s="34">
        <v>1.3062602516891499</v>
      </c>
      <c r="P115" s="34">
        <v>1.3040819093221201</v>
      </c>
      <c r="Q115" s="34">
        <v>1.3063625021919401</v>
      </c>
      <c r="R115" s="33">
        <v>21.827608805725699</v>
      </c>
      <c r="S115" s="33">
        <v>21.7921205752763</v>
      </c>
      <c r="T115" s="33">
        <v>21.834484581211001</v>
      </c>
      <c r="U115" s="15">
        <v>2.1835099857581402E-3</v>
      </c>
      <c r="V115" s="15">
        <v>5.5634545342071197E-4</v>
      </c>
      <c r="W115" s="15">
        <v>2.4984639885901301E-3</v>
      </c>
      <c r="X115" s="34">
        <v>1.30353476613071</v>
      </c>
      <c r="Y115" s="34">
        <v>1.3045124660331</v>
      </c>
      <c r="Z115" s="34">
        <v>1.30419349385745</v>
      </c>
      <c r="AA115" s="34">
        <v>1.3044870895813101</v>
      </c>
      <c r="AB115" s="33">
        <v>22.208072402246099</v>
      </c>
      <c r="AC115" s="33">
        <v>22.203554418979699</v>
      </c>
      <c r="AD115" s="33">
        <v>22.2086568448421</v>
      </c>
      <c r="AE115" s="15">
        <v>7.49756320458441E-4</v>
      </c>
      <c r="AF115" s="15">
        <v>5.4629683899249304E-4</v>
      </c>
      <c r="AG115" s="15">
        <v>7.7607264792792599E-4</v>
      </c>
      <c r="AI115" s="12"/>
      <c r="AJ115">
        <f t="shared" si="26"/>
        <v>0</v>
      </c>
      <c r="AK115">
        <f t="shared" si="27"/>
        <v>1</v>
      </c>
      <c r="AL115">
        <f t="shared" si="34"/>
        <v>0</v>
      </c>
      <c r="AM115">
        <f t="shared" si="24"/>
        <v>1</v>
      </c>
      <c r="AN115">
        <f t="shared" si="35"/>
        <v>0</v>
      </c>
      <c r="AO115" s="28">
        <f t="shared" si="28"/>
        <v>0</v>
      </c>
      <c r="AP115" s="28">
        <f t="shared" si="29"/>
        <v>0</v>
      </c>
      <c r="AQ115" s="28">
        <f t="shared" si="36"/>
        <v>0</v>
      </c>
      <c r="AR115" s="29">
        <f t="shared" si="37"/>
        <v>1.6646952644800981E-3</v>
      </c>
      <c r="AT115" s="12"/>
      <c r="AU115">
        <f t="shared" si="30"/>
        <v>0</v>
      </c>
      <c r="AV115">
        <f t="shared" si="31"/>
        <v>0</v>
      </c>
      <c r="AW115">
        <f t="shared" si="38"/>
        <v>0</v>
      </c>
      <c r="AX115">
        <f t="shared" si="25"/>
        <v>1</v>
      </c>
      <c r="AY115">
        <f t="shared" si="39"/>
        <v>0</v>
      </c>
      <c r="AZ115" s="28">
        <f t="shared" si="32"/>
        <v>0</v>
      </c>
      <c r="BA115" s="28">
        <f t="shared" si="33"/>
        <v>0</v>
      </c>
      <c r="BB115" s="28">
        <f t="shared" si="40"/>
        <v>0</v>
      </c>
      <c r="BC115" s="29">
        <f t="shared" si="41"/>
        <v>1.1662806753571799E-3</v>
      </c>
      <c r="BE115" s="29">
        <f t="shared" si="42"/>
        <v>0</v>
      </c>
      <c r="BF115" s="29">
        <f t="shared" si="43"/>
        <v>2.8309759398372778E-3</v>
      </c>
      <c r="BH115" s="29"/>
    </row>
    <row r="116" spans="1:60" x14ac:dyDescent="0.25">
      <c r="A116" s="1">
        <v>46190</v>
      </c>
      <c r="B116" s="33">
        <v>16.64</v>
      </c>
      <c r="C116" s="33">
        <v>21.71</v>
      </c>
      <c r="D116" s="15">
        <v>-4.1979072142398401E-3</v>
      </c>
      <c r="E116" s="15">
        <v>-3.2191336146139798E-3</v>
      </c>
      <c r="F116" s="33">
        <v>0</v>
      </c>
      <c r="G116" s="33">
        <v>0.31403999999999999</v>
      </c>
      <c r="H116" s="33">
        <v>0</v>
      </c>
      <c r="I116" s="33">
        <v>0.41142800000000002</v>
      </c>
      <c r="J116" s="33">
        <v>0.31403999999999999</v>
      </c>
      <c r="K116" s="33">
        <v>0.41142800000000002</v>
      </c>
      <c r="L116" s="33">
        <v>16.954039999999999</v>
      </c>
      <c r="M116" s="33">
        <v>22.121428000000002</v>
      </c>
      <c r="N116" s="34">
        <v>1.3046875</v>
      </c>
      <c r="O116" s="34">
        <v>1.3062602516891499</v>
      </c>
      <c r="P116" s="34">
        <v>1.30411848645298</v>
      </c>
      <c r="Q116" s="34">
        <v>1.3061494769501001</v>
      </c>
      <c r="R116" s="33">
        <v>21.736170588107399</v>
      </c>
      <c r="S116" s="33">
        <v>21.699922971120198</v>
      </c>
      <c r="T116" s="33">
        <v>21.737872036473998</v>
      </c>
      <c r="U116" s="15">
        <v>1.20473638613222E-3</v>
      </c>
      <c r="V116" s="15">
        <v>-4.6427306804976598E-4</v>
      </c>
      <c r="W116" s="15">
        <v>1.2830106051676001E-3</v>
      </c>
      <c r="X116" s="34">
        <v>1.3047880033313499</v>
      </c>
      <c r="Y116" s="34">
        <v>1.3045124660331</v>
      </c>
      <c r="Z116" s="34">
        <v>1.3042294061097199</v>
      </c>
      <c r="AA116" s="34">
        <v>1.3045222568161901</v>
      </c>
      <c r="AB116" s="33">
        <v>22.1167565296238</v>
      </c>
      <c r="AC116" s="33">
        <v>22.1113486625989</v>
      </c>
      <c r="AD116" s="33">
        <v>22.116326296245202</v>
      </c>
      <c r="AE116" s="15">
        <v>-2.1119629764011801E-4</v>
      </c>
      <c r="AF116" s="15">
        <v>-4.5574066725983901E-4</v>
      </c>
      <c r="AG116" s="15">
        <v>-2.3064931113848201E-4</v>
      </c>
      <c r="AI116" s="12"/>
      <c r="AJ116">
        <f t="shared" si="26"/>
        <v>0</v>
      </c>
      <c r="AK116">
        <f t="shared" si="27"/>
        <v>0</v>
      </c>
      <c r="AL116">
        <f t="shared" si="34"/>
        <v>0</v>
      </c>
      <c r="AM116">
        <f t="shared" si="24"/>
        <v>1</v>
      </c>
      <c r="AN116">
        <f t="shared" si="35"/>
        <v>0</v>
      </c>
      <c r="AO116" s="28">
        <f t="shared" si="28"/>
        <v>0</v>
      </c>
      <c r="AP116" s="28">
        <f t="shared" si="29"/>
        <v>0</v>
      </c>
      <c r="AQ116" s="28">
        <f t="shared" si="36"/>
        <v>0</v>
      </c>
      <c r="AR116" s="29">
        <f t="shared" si="37"/>
        <v>1.6646952644800981E-3</v>
      </c>
      <c r="AT116" s="12"/>
      <c r="AU116">
        <f t="shared" si="30"/>
        <v>0</v>
      </c>
      <c r="AV116">
        <f t="shared" si="31"/>
        <v>1</v>
      </c>
      <c r="AW116">
        <f t="shared" si="38"/>
        <v>0</v>
      </c>
      <c r="AX116">
        <f t="shared" si="25"/>
        <v>1</v>
      </c>
      <c r="AY116">
        <f t="shared" si="39"/>
        <v>0</v>
      </c>
      <c r="AZ116" s="28">
        <f t="shared" si="32"/>
        <v>0</v>
      </c>
      <c r="BA116" s="28">
        <f t="shared" si="33"/>
        <v>0</v>
      </c>
      <c r="BB116" s="28">
        <f t="shared" si="40"/>
        <v>0</v>
      </c>
      <c r="BC116" s="29">
        <f t="shared" si="41"/>
        <v>1.1662806753571799E-3</v>
      </c>
      <c r="BE116" s="29">
        <f t="shared" si="42"/>
        <v>0</v>
      </c>
      <c r="BF116" s="29">
        <f t="shared" si="43"/>
        <v>2.8309759398372778E-3</v>
      </c>
      <c r="BH116" s="29"/>
    </row>
    <row r="117" spans="1:60" x14ac:dyDescent="0.25">
      <c r="A117" s="1">
        <v>46191</v>
      </c>
      <c r="B117" s="33">
        <v>16.66</v>
      </c>
      <c r="C117" s="33">
        <v>21.75</v>
      </c>
      <c r="D117" s="15">
        <v>1.2012013456341401E-3</v>
      </c>
      <c r="E117" s="15">
        <v>1.8407736444926201E-3</v>
      </c>
      <c r="F117" s="33">
        <v>0</v>
      </c>
      <c r="G117" s="33">
        <v>0.31403999999999999</v>
      </c>
      <c r="H117" s="33">
        <v>0</v>
      </c>
      <c r="I117" s="33">
        <v>0.41142800000000002</v>
      </c>
      <c r="J117" s="33">
        <v>0.31403999999999999</v>
      </c>
      <c r="K117" s="33">
        <v>0.41142800000000002</v>
      </c>
      <c r="L117" s="33">
        <v>16.974039999999999</v>
      </c>
      <c r="M117" s="33">
        <v>22.161428000000001</v>
      </c>
      <c r="N117" s="34">
        <v>1.3055222088835501</v>
      </c>
      <c r="O117" s="34">
        <v>1.3062602516891499</v>
      </c>
      <c r="P117" s="34">
        <v>1.30417851046258</v>
      </c>
      <c r="Q117" s="34">
        <v>1.3059343275992199</v>
      </c>
      <c r="R117" s="33">
        <v>21.762295793141199</v>
      </c>
      <c r="S117" s="33">
        <v>21.726613984306599</v>
      </c>
      <c r="T117" s="33">
        <v>21.760450285988799</v>
      </c>
      <c r="U117" s="15">
        <v>5.6516408727376195E-4</v>
      </c>
      <c r="V117" s="15">
        <v>-1.0757975750945101E-3</v>
      </c>
      <c r="W117" s="15">
        <v>4.8035752887276697E-4</v>
      </c>
      <c r="X117" s="34">
        <v>1.30560715068422</v>
      </c>
      <c r="Y117" s="34">
        <v>1.3045124660331</v>
      </c>
      <c r="Z117" s="34">
        <v>1.30428831960351</v>
      </c>
      <c r="AA117" s="34">
        <v>1.3045546174218601</v>
      </c>
      <c r="AB117" s="33">
        <v>22.142846778944499</v>
      </c>
      <c r="AC117" s="33">
        <v>22.138042108482701</v>
      </c>
      <c r="AD117" s="33">
        <v>22.143012968088399</v>
      </c>
      <c r="AE117" s="15">
        <v>-8.3880041994280504E-4</v>
      </c>
      <c r="AF117" s="15">
        <v>-1.05580918382858E-3</v>
      </c>
      <c r="AG117" s="15">
        <v>-8.3129512842003905E-4</v>
      </c>
      <c r="AI117" s="12"/>
      <c r="AJ117">
        <f t="shared" si="26"/>
        <v>0</v>
      </c>
      <c r="AK117">
        <f t="shared" si="27"/>
        <v>0</v>
      </c>
      <c r="AL117">
        <f t="shared" si="34"/>
        <v>0</v>
      </c>
      <c r="AM117">
        <f t="shared" si="24"/>
        <v>0</v>
      </c>
      <c r="AN117">
        <f t="shared" si="35"/>
        <v>0</v>
      </c>
      <c r="AO117" s="28">
        <f t="shared" si="28"/>
        <v>0</v>
      </c>
      <c r="AP117" s="28">
        <f t="shared" si="29"/>
        <v>0</v>
      </c>
      <c r="AQ117" s="28">
        <f t="shared" si="36"/>
        <v>0</v>
      </c>
      <c r="AR117" s="29">
        <f t="shared" si="37"/>
        <v>1.6646952644800981E-3</v>
      </c>
      <c r="AT117" s="12"/>
      <c r="AU117">
        <f t="shared" si="30"/>
        <v>0</v>
      </c>
      <c r="AV117">
        <f t="shared" si="31"/>
        <v>1</v>
      </c>
      <c r="AW117">
        <f t="shared" si="38"/>
        <v>0</v>
      </c>
      <c r="AX117">
        <f t="shared" si="25"/>
        <v>0</v>
      </c>
      <c r="AY117">
        <f t="shared" si="39"/>
        <v>0</v>
      </c>
      <c r="AZ117" s="28">
        <f t="shared" si="32"/>
        <v>0</v>
      </c>
      <c r="BA117" s="28">
        <f t="shared" si="33"/>
        <v>0</v>
      </c>
      <c r="BB117" s="28">
        <f t="shared" si="40"/>
        <v>0</v>
      </c>
      <c r="BC117" s="29">
        <f t="shared" si="41"/>
        <v>1.1662806753571799E-3</v>
      </c>
      <c r="BE117" s="29">
        <f t="shared" si="42"/>
        <v>0</v>
      </c>
      <c r="BF117" s="29">
        <f t="shared" si="43"/>
        <v>2.8309759398372778E-3</v>
      </c>
      <c r="BH117" s="29"/>
    </row>
    <row r="118" spans="1:60" x14ac:dyDescent="0.25">
      <c r="A118" s="1">
        <v>46195</v>
      </c>
      <c r="B118" s="33">
        <v>16.59</v>
      </c>
      <c r="C118" s="33">
        <v>21.71</v>
      </c>
      <c r="D118" s="15">
        <v>-4.2105325363434899E-3</v>
      </c>
      <c r="E118" s="15">
        <v>-1.8407736444926101E-3</v>
      </c>
      <c r="F118" s="33">
        <v>6.4210000000000003E-2</v>
      </c>
      <c r="G118" s="33">
        <v>0.37824999999999998</v>
      </c>
      <c r="H118" s="33">
        <v>0</v>
      </c>
      <c r="I118" s="33">
        <v>0.41142800000000002</v>
      </c>
      <c r="J118" s="33">
        <v>0.37824999999999998</v>
      </c>
      <c r="K118" s="33">
        <v>0.41142800000000002</v>
      </c>
      <c r="L118" s="33">
        <v>16.968250000000001</v>
      </c>
      <c r="M118" s="33">
        <v>22.121428000000002</v>
      </c>
      <c r="N118" s="34">
        <v>1.3086196503917999</v>
      </c>
      <c r="O118" s="34">
        <v>1.3062602516891499</v>
      </c>
      <c r="P118" s="34">
        <v>1.3046371040387901</v>
      </c>
      <c r="Q118" s="34">
        <v>1.3058137730482899</v>
      </c>
      <c r="R118" s="33">
        <v>21.670857575523002</v>
      </c>
      <c r="S118" s="33">
        <v>21.6363214885742</v>
      </c>
      <c r="T118" s="33">
        <v>21.665450494871202</v>
      </c>
      <c r="U118" s="15">
        <v>-1.8045948045772001E-3</v>
      </c>
      <c r="V118" s="15">
        <v>-3.3995310260655398E-3</v>
      </c>
      <c r="W118" s="15">
        <v>-2.0541352440208698E-3</v>
      </c>
      <c r="X118" s="34">
        <v>1.3036953133057301</v>
      </c>
      <c r="Y118" s="34">
        <v>1.3045124660331</v>
      </c>
      <c r="Z118" s="34">
        <v>1.3042431981679601</v>
      </c>
      <c r="AA118" s="34">
        <v>1.3044322287027501</v>
      </c>
      <c r="AB118" s="33">
        <v>22.135293651766201</v>
      </c>
      <c r="AC118" s="33">
        <v>22.131490279112199</v>
      </c>
      <c r="AD118" s="33">
        <v>22.136008887068499</v>
      </c>
      <c r="AE118" s="15">
        <v>6.2660096375791901E-4</v>
      </c>
      <c r="AF118" s="15">
        <v>4.5476229261220302E-4</v>
      </c>
      <c r="AG118" s="15">
        <v>6.5891242790589799E-4</v>
      </c>
      <c r="AI118" s="12"/>
      <c r="AJ118">
        <f t="shared" si="26"/>
        <v>0</v>
      </c>
      <c r="AK118">
        <f t="shared" si="27"/>
        <v>1</v>
      </c>
      <c r="AL118">
        <f t="shared" si="34"/>
        <v>0</v>
      </c>
      <c r="AM118">
        <f t="shared" si="24"/>
        <v>1</v>
      </c>
      <c r="AN118">
        <f t="shared" si="35"/>
        <v>0</v>
      </c>
      <c r="AO118" s="28">
        <f t="shared" si="28"/>
        <v>0</v>
      </c>
      <c r="AP118" s="28">
        <f t="shared" si="29"/>
        <v>0</v>
      </c>
      <c r="AQ118" s="28">
        <f t="shared" si="36"/>
        <v>0</v>
      </c>
      <c r="AR118" s="29">
        <f t="shared" si="37"/>
        <v>1.6646952644800981E-3</v>
      </c>
      <c r="AT118" s="12"/>
      <c r="AU118">
        <f t="shared" si="30"/>
        <v>0</v>
      </c>
      <c r="AV118">
        <f t="shared" si="31"/>
        <v>0</v>
      </c>
      <c r="AW118">
        <f t="shared" si="38"/>
        <v>0</v>
      </c>
      <c r="AX118">
        <f t="shared" si="25"/>
        <v>1</v>
      </c>
      <c r="AY118">
        <f t="shared" si="39"/>
        <v>0</v>
      </c>
      <c r="AZ118" s="28">
        <f t="shared" si="32"/>
        <v>0</v>
      </c>
      <c r="BA118" s="28">
        <f t="shared" si="33"/>
        <v>0</v>
      </c>
      <c r="BB118" s="28">
        <f t="shared" si="40"/>
        <v>0</v>
      </c>
      <c r="BC118" s="29">
        <f t="shared" si="41"/>
        <v>1.1662806753571799E-3</v>
      </c>
      <c r="BE118" s="29">
        <f t="shared" si="42"/>
        <v>0</v>
      </c>
      <c r="BF118" s="29">
        <f t="shared" si="43"/>
        <v>2.8309759398372778E-3</v>
      </c>
      <c r="BH118" s="29"/>
    </row>
    <row r="119" spans="1:60" x14ac:dyDescent="0.25">
      <c r="A119" s="1">
        <v>46196</v>
      </c>
      <c r="B119" s="33">
        <v>16.59</v>
      </c>
      <c r="C119" s="33">
        <v>21.73</v>
      </c>
      <c r="D119" s="15">
        <v>0</v>
      </c>
      <c r="E119" s="15">
        <v>9.2081037813768196E-4</v>
      </c>
      <c r="F119" s="33">
        <v>0</v>
      </c>
      <c r="G119" s="33">
        <v>0.37824999999999998</v>
      </c>
      <c r="H119" s="33">
        <v>0</v>
      </c>
      <c r="I119" s="33">
        <v>0.41142800000000002</v>
      </c>
      <c r="J119" s="33">
        <v>0.37824999999999998</v>
      </c>
      <c r="K119" s="33">
        <v>0.41142800000000002</v>
      </c>
      <c r="L119" s="33">
        <v>16.968250000000001</v>
      </c>
      <c r="M119" s="33">
        <v>22.141428000000001</v>
      </c>
      <c r="N119" s="34">
        <v>1.30982519590114</v>
      </c>
      <c r="O119" s="34">
        <v>1.3062602516891499</v>
      </c>
      <c r="P119" s="34">
        <v>1.3052162521659301</v>
      </c>
      <c r="Q119" s="34">
        <v>1.3058625283279901</v>
      </c>
      <c r="R119" s="33">
        <v>21.670857575523002</v>
      </c>
      <c r="S119" s="33">
        <v>21.643929556003499</v>
      </c>
      <c r="T119" s="33">
        <v>21.663450494871199</v>
      </c>
      <c r="U119" s="15">
        <v>-2.72540518271499E-3</v>
      </c>
      <c r="V119" s="15">
        <v>-3.9687691594031604E-3</v>
      </c>
      <c r="W119" s="15">
        <v>-3.0672627571766901E-3</v>
      </c>
      <c r="X119" s="34">
        <v>1.3048739852371301</v>
      </c>
      <c r="Y119" s="34">
        <v>1.3045124660331</v>
      </c>
      <c r="Z119" s="34">
        <v>1.3043159439255401</v>
      </c>
      <c r="AA119" s="34">
        <v>1.3044754941438399</v>
      </c>
      <c r="AB119" s="33">
        <v>22.135293651766201</v>
      </c>
      <c r="AC119" s="33">
        <v>22.1307246473134</v>
      </c>
      <c r="AD119" s="33">
        <v>22.133932164685501</v>
      </c>
      <c r="AE119" s="15">
        <v>-2.7709134932281702E-4</v>
      </c>
      <c r="AF119" s="15">
        <v>-4.8352529773331598E-4</v>
      </c>
      <c r="AG119" s="15">
        <v>-3.38600763866164E-4</v>
      </c>
      <c r="AI119" s="12"/>
      <c r="AJ119">
        <f t="shared" si="26"/>
        <v>0</v>
      </c>
      <c r="AK119">
        <f t="shared" si="27"/>
        <v>0</v>
      </c>
      <c r="AL119">
        <f t="shared" si="34"/>
        <v>0</v>
      </c>
      <c r="AM119">
        <f t="shared" si="24"/>
        <v>1</v>
      </c>
      <c r="AN119">
        <f t="shared" si="35"/>
        <v>0</v>
      </c>
      <c r="AO119" s="28">
        <f t="shared" si="28"/>
        <v>0</v>
      </c>
      <c r="AP119" s="28">
        <f t="shared" si="29"/>
        <v>0</v>
      </c>
      <c r="AQ119" s="28">
        <f t="shared" si="36"/>
        <v>0</v>
      </c>
      <c r="AR119" s="29">
        <f t="shared" si="37"/>
        <v>1.6646952644800981E-3</v>
      </c>
      <c r="AT119" s="12"/>
      <c r="AU119">
        <f t="shared" si="30"/>
        <v>0</v>
      </c>
      <c r="AV119">
        <f t="shared" si="31"/>
        <v>1</v>
      </c>
      <c r="AW119">
        <f t="shared" si="38"/>
        <v>0</v>
      </c>
      <c r="AX119">
        <f t="shared" si="25"/>
        <v>1</v>
      </c>
      <c r="AY119">
        <f t="shared" si="39"/>
        <v>0</v>
      </c>
      <c r="AZ119" s="28">
        <f t="shared" si="32"/>
        <v>0</v>
      </c>
      <c r="BA119" s="28">
        <f t="shared" si="33"/>
        <v>0</v>
      </c>
      <c r="BB119" s="28">
        <f t="shared" si="40"/>
        <v>0</v>
      </c>
      <c r="BC119" s="29">
        <f t="shared" si="41"/>
        <v>1.1662806753571799E-3</v>
      </c>
      <c r="BE119" s="29">
        <f t="shared" si="42"/>
        <v>0</v>
      </c>
      <c r="BF119" s="29">
        <f t="shared" si="43"/>
        <v>2.8309759398372778E-3</v>
      </c>
      <c r="BH119" s="29"/>
    </row>
    <row r="120" spans="1:60" x14ac:dyDescent="0.25">
      <c r="A120" s="1">
        <v>46197</v>
      </c>
      <c r="B120" s="33">
        <v>16.64</v>
      </c>
      <c r="C120" s="33">
        <v>21.78</v>
      </c>
      <c r="D120" s="15">
        <v>3.0093311907094002E-3</v>
      </c>
      <c r="E120" s="15">
        <v>2.2983232364762801E-3</v>
      </c>
      <c r="F120" s="33">
        <v>0</v>
      </c>
      <c r="G120" s="33">
        <v>0.37824999999999998</v>
      </c>
      <c r="H120" s="33">
        <v>0</v>
      </c>
      <c r="I120" s="33">
        <v>0.41142800000000002</v>
      </c>
      <c r="J120" s="33">
        <v>0.37824999999999998</v>
      </c>
      <c r="K120" s="33">
        <v>0.41142800000000002</v>
      </c>
      <c r="L120" s="33">
        <v>17.018249999999998</v>
      </c>
      <c r="M120" s="33">
        <v>22.191427999999998</v>
      </c>
      <c r="N120" s="34">
        <v>1.3088942307692299</v>
      </c>
      <c r="O120" s="34">
        <v>1.3062602516891499</v>
      </c>
      <c r="P120" s="34">
        <v>1.3056369252428499</v>
      </c>
      <c r="Q120" s="34">
        <v>1.30584177440099</v>
      </c>
      <c r="R120" s="33">
        <v>21.736170588107399</v>
      </c>
      <c r="S120" s="33">
        <v>21.718798436040998</v>
      </c>
      <c r="T120" s="33">
        <v>21.7295524713779</v>
      </c>
      <c r="U120" s="15">
        <v>-2.0143972284817199E-3</v>
      </c>
      <c r="V120" s="15">
        <v>-2.8139445935815798E-3</v>
      </c>
      <c r="W120" s="15">
        <v>-2.3189184150571602E-3</v>
      </c>
      <c r="X120" s="34">
        <v>1.30397825863411</v>
      </c>
      <c r="Y120" s="34">
        <v>1.3045124660331</v>
      </c>
      <c r="Z120" s="34">
        <v>1.30423496945582</v>
      </c>
      <c r="AA120" s="34">
        <v>1.30445086657458</v>
      </c>
      <c r="AB120" s="33">
        <v>22.200519275067801</v>
      </c>
      <c r="AC120" s="33">
        <v>22.197174812710902</v>
      </c>
      <c r="AD120" s="33">
        <v>22.1998900782134</v>
      </c>
      <c r="AE120" s="15">
        <v>4.09591187277016E-4</v>
      </c>
      <c r="AF120" s="15">
        <v>2.5893190499082301E-4</v>
      </c>
      <c r="AG120" s="15">
        <v>3.8124924793059598E-4</v>
      </c>
      <c r="AI120" s="12"/>
      <c r="AJ120">
        <f t="shared" si="26"/>
        <v>0</v>
      </c>
      <c r="AK120">
        <f t="shared" si="27"/>
        <v>1</v>
      </c>
      <c r="AL120">
        <f t="shared" si="34"/>
        <v>0</v>
      </c>
      <c r="AM120">
        <f t="shared" si="24"/>
        <v>1</v>
      </c>
      <c r="AN120">
        <f t="shared" si="35"/>
        <v>0</v>
      </c>
      <c r="AO120" s="28">
        <f t="shared" si="28"/>
        <v>0</v>
      </c>
      <c r="AP120" s="28">
        <f t="shared" si="29"/>
        <v>0</v>
      </c>
      <c r="AQ120" s="28">
        <f t="shared" si="36"/>
        <v>0</v>
      </c>
      <c r="AR120" s="29">
        <f t="shared" si="37"/>
        <v>1.6646952644800981E-3</v>
      </c>
      <c r="AT120" s="12"/>
      <c r="AU120">
        <f t="shared" si="30"/>
        <v>0</v>
      </c>
      <c r="AV120">
        <f t="shared" si="31"/>
        <v>0</v>
      </c>
      <c r="AW120">
        <f t="shared" si="38"/>
        <v>0</v>
      </c>
      <c r="AX120">
        <f t="shared" si="25"/>
        <v>1</v>
      </c>
      <c r="AY120">
        <f t="shared" si="39"/>
        <v>0</v>
      </c>
      <c r="AZ120" s="28">
        <f t="shared" si="32"/>
        <v>0</v>
      </c>
      <c r="BA120" s="28">
        <f t="shared" si="33"/>
        <v>0</v>
      </c>
      <c r="BB120" s="28">
        <f t="shared" si="40"/>
        <v>0</v>
      </c>
      <c r="BC120" s="29">
        <f t="shared" si="41"/>
        <v>1.1662806753571799E-3</v>
      </c>
      <c r="BE120" s="29">
        <f t="shared" si="42"/>
        <v>0</v>
      </c>
      <c r="BF120" s="29">
        <f t="shared" si="43"/>
        <v>2.8309759398372778E-3</v>
      </c>
      <c r="BH120" s="29"/>
    </row>
    <row r="121" spans="1:60" x14ac:dyDescent="0.25">
      <c r="A121" s="1">
        <v>46198</v>
      </c>
      <c r="B121" s="33">
        <v>16.649999999999999</v>
      </c>
      <c r="C121" s="33">
        <v>21.8</v>
      </c>
      <c r="D121" s="15">
        <v>6.0078103339021398E-4</v>
      </c>
      <c r="E121" s="15">
        <v>9.1785229022895896E-4</v>
      </c>
      <c r="F121" s="33">
        <v>0</v>
      </c>
      <c r="G121" s="33">
        <v>0.37824999999999998</v>
      </c>
      <c r="H121" s="33">
        <v>0</v>
      </c>
      <c r="I121" s="33">
        <v>0.41142800000000002</v>
      </c>
      <c r="J121" s="33">
        <v>0.37824999999999998</v>
      </c>
      <c r="K121" s="33">
        <v>0.41142800000000002</v>
      </c>
      <c r="L121" s="33">
        <v>17.02825</v>
      </c>
      <c r="M121" s="33">
        <v>22.211428000000002</v>
      </c>
      <c r="N121" s="34">
        <v>1.3093093093093</v>
      </c>
      <c r="O121" s="34">
        <v>1.3062602516891499</v>
      </c>
      <c r="P121" s="34">
        <v>1.3062010491984299</v>
      </c>
      <c r="Q121" s="34">
        <v>1.3058024321741499</v>
      </c>
      <c r="R121" s="33">
        <v>21.749233190624299</v>
      </c>
      <c r="S121" s="33">
        <v>21.738854805293499</v>
      </c>
      <c r="T121" s="33">
        <v>21.742265543776501</v>
      </c>
      <c r="U121" s="15">
        <v>-2.3314684853203999E-3</v>
      </c>
      <c r="V121" s="15">
        <v>-2.8087663388787999E-3</v>
      </c>
      <c r="W121" s="15">
        <v>-2.6518826862637701E-3</v>
      </c>
      <c r="X121" s="34">
        <v>1.30438700394931</v>
      </c>
      <c r="Y121" s="34">
        <v>1.3045124660331</v>
      </c>
      <c r="Z121" s="34">
        <v>1.3042949172038001</v>
      </c>
      <c r="AA121" s="34">
        <v>1.3044082054756201</v>
      </c>
      <c r="AB121" s="33">
        <v>22.213564399728099</v>
      </c>
      <c r="AC121" s="33">
        <v>22.208839118636099</v>
      </c>
      <c r="AD121" s="33">
        <v>22.212515468748599</v>
      </c>
      <c r="AE121" s="15">
        <v>9.6180083076531105E-5</v>
      </c>
      <c r="AF121" s="15">
        <v>-1.16563070630457E-4</v>
      </c>
      <c r="AG121" s="15">
        <v>4.8958676964468899E-5</v>
      </c>
      <c r="AI121" s="12"/>
      <c r="AJ121">
        <f t="shared" si="26"/>
        <v>0</v>
      </c>
      <c r="AK121">
        <f t="shared" si="27"/>
        <v>1</v>
      </c>
      <c r="AL121">
        <f t="shared" si="34"/>
        <v>0</v>
      </c>
      <c r="AM121">
        <f t="shared" si="24"/>
        <v>1</v>
      </c>
      <c r="AN121">
        <f t="shared" si="35"/>
        <v>0</v>
      </c>
      <c r="AO121" s="28">
        <f t="shared" si="28"/>
        <v>0</v>
      </c>
      <c r="AP121" s="28">
        <f t="shared" si="29"/>
        <v>0</v>
      </c>
      <c r="AQ121" s="28">
        <f t="shared" si="36"/>
        <v>0</v>
      </c>
      <c r="AR121" s="29">
        <f t="shared" si="37"/>
        <v>1.6646952644800981E-3</v>
      </c>
      <c r="AT121" s="12"/>
      <c r="AU121">
        <f t="shared" si="30"/>
        <v>0</v>
      </c>
      <c r="AV121">
        <f t="shared" si="31"/>
        <v>1</v>
      </c>
      <c r="AW121">
        <f t="shared" si="38"/>
        <v>0</v>
      </c>
      <c r="AX121">
        <f t="shared" si="25"/>
        <v>1</v>
      </c>
      <c r="AY121">
        <f t="shared" si="39"/>
        <v>0</v>
      </c>
      <c r="AZ121" s="28">
        <f t="shared" si="32"/>
        <v>0</v>
      </c>
      <c r="BA121" s="28">
        <f t="shared" si="33"/>
        <v>0</v>
      </c>
      <c r="BB121" s="28">
        <f t="shared" si="40"/>
        <v>0</v>
      </c>
      <c r="BC121" s="29">
        <f t="shared" si="41"/>
        <v>1.1662806753571799E-3</v>
      </c>
      <c r="BE121" s="29">
        <f t="shared" si="42"/>
        <v>0</v>
      </c>
      <c r="BF121" s="29">
        <f t="shared" si="43"/>
        <v>2.8309759398372778E-3</v>
      </c>
      <c r="BH121" s="29"/>
    </row>
    <row r="122" spans="1:60" x14ac:dyDescent="0.25">
      <c r="A122" s="1">
        <v>46199</v>
      </c>
      <c r="B122" s="33">
        <v>16.66</v>
      </c>
      <c r="C122" s="33">
        <v>21.82</v>
      </c>
      <c r="D122" s="15">
        <v>6.0042031224393996E-4</v>
      </c>
      <c r="E122" s="15">
        <v>9.1701060988140601E-4</v>
      </c>
      <c r="F122" s="33">
        <v>0</v>
      </c>
      <c r="G122" s="33">
        <v>0.37824999999999998</v>
      </c>
      <c r="H122" s="33">
        <v>0</v>
      </c>
      <c r="I122" s="33">
        <v>0.41142800000000002</v>
      </c>
      <c r="J122" s="33">
        <v>0.37824999999999998</v>
      </c>
      <c r="K122" s="33">
        <v>0.41142800000000002</v>
      </c>
      <c r="L122" s="33">
        <v>17.038250000000001</v>
      </c>
      <c r="M122" s="33">
        <v>22.231428000000001</v>
      </c>
      <c r="N122" s="34">
        <v>1.3097238895558201</v>
      </c>
      <c r="O122" s="34">
        <v>1.3062602516891499</v>
      </c>
      <c r="P122" s="34">
        <v>1.3068141567168901</v>
      </c>
      <c r="Q122" s="34">
        <v>1.3058024321741499</v>
      </c>
      <c r="R122" s="33">
        <v>21.762295793141199</v>
      </c>
      <c r="S122" s="33">
        <v>21.761309479645899</v>
      </c>
      <c r="T122" s="33">
        <v>21.754668520021401</v>
      </c>
      <c r="U122" s="15">
        <v>-2.6480587829579901E-3</v>
      </c>
      <c r="V122" s="15">
        <v>-2.6933819352691702E-3</v>
      </c>
      <c r="W122" s="15">
        <v>-2.99860130440243E-3</v>
      </c>
      <c r="X122" s="34">
        <v>1.30479526946722</v>
      </c>
      <c r="Y122" s="34">
        <v>1.3045124660331</v>
      </c>
      <c r="Z122" s="34">
        <v>1.3044031272851599</v>
      </c>
      <c r="AA122" s="34">
        <v>1.30440394042071</v>
      </c>
      <c r="AB122" s="33">
        <v>22.2266095243885</v>
      </c>
      <c r="AC122" s="33">
        <v>22.222902873047701</v>
      </c>
      <c r="AD122" s="33">
        <v>22.224833106945098</v>
      </c>
      <c r="AE122" s="15">
        <v>-2.1676510699311001E-4</v>
      </c>
      <c r="AF122" s="15">
        <v>-3.83545399932777E-4</v>
      </c>
      <c r="AG122" s="15">
        <v>-2.9669130687290699E-4</v>
      </c>
      <c r="AI122" s="12"/>
      <c r="AJ122">
        <f t="shared" si="26"/>
        <v>0</v>
      </c>
      <c r="AK122">
        <f t="shared" si="27"/>
        <v>0</v>
      </c>
      <c r="AL122">
        <f t="shared" si="34"/>
        <v>0</v>
      </c>
      <c r="AM122">
        <f t="shared" si="24"/>
        <v>1</v>
      </c>
      <c r="AN122">
        <f t="shared" si="35"/>
        <v>0</v>
      </c>
      <c r="AO122" s="28">
        <f t="shared" si="28"/>
        <v>0</v>
      </c>
      <c r="AP122" s="28">
        <f t="shared" si="29"/>
        <v>0</v>
      </c>
      <c r="AQ122" s="28">
        <f t="shared" si="36"/>
        <v>0</v>
      </c>
      <c r="AR122" s="29">
        <f t="shared" si="37"/>
        <v>1.6646952644800981E-3</v>
      </c>
      <c r="AT122" s="12"/>
      <c r="AU122">
        <f t="shared" si="30"/>
        <v>0</v>
      </c>
      <c r="AV122">
        <f t="shared" si="31"/>
        <v>1</v>
      </c>
      <c r="AW122">
        <f t="shared" si="38"/>
        <v>0</v>
      </c>
      <c r="AX122">
        <f t="shared" si="25"/>
        <v>1</v>
      </c>
      <c r="AY122">
        <f t="shared" si="39"/>
        <v>0</v>
      </c>
      <c r="AZ122" s="28">
        <f t="shared" si="32"/>
        <v>0</v>
      </c>
      <c r="BA122" s="28">
        <f t="shared" si="33"/>
        <v>0</v>
      </c>
      <c r="BB122" s="28">
        <f t="shared" si="40"/>
        <v>0</v>
      </c>
      <c r="BC122" s="29">
        <f t="shared" si="41"/>
        <v>1.1662806753571799E-3</v>
      </c>
      <c r="BE122" s="29">
        <f t="shared" si="42"/>
        <v>0</v>
      </c>
      <c r="BF122" s="29">
        <f t="shared" si="43"/>
        <v>2.8309759398372778E-3</v>
      </c>
      <c r="BH122" s="29"/>
    </row>
    <row r="123" spans="1:60" x14ac:dyDescent="0.25">
      <c r="A123" s="1">
        <v>46202</v>
      </c>
      <c r="B123" s="33">
        <v>16.68</v>
      </c>
      <c r="C123" s="33">
        <v>21.84</v>
      </c>
      <c r="D123" s="15">
        <v>1.1997601919040901E-3</v>
      </c>
      <c r="E123" s="15">
        <v>9.1617047177958199E-4</v>
      </c>
      <c r="F123" s="33">
        <v>0</v>
      </c>
      <c r="G123" s="33">
        <v>0.37824999999999998</v>
      </c>
      <c r="H123" s="33">
        <v>0</v>
      </c>
      <c r="I123" s="33">
        <v>0.41142800000000002</v>
      </c>
      <c r="J123" s="33">
        <v>0.37824999999999998</v>
      </c>
      <c r="K123" s="33">
        <v>0.41142800000000002</v>
      </c>
      <c r="L123" s="33">
        <v>17.058250000000001</v>
      </c>
      <c r="M123" s="33">
        <v>22.251428000000001</v>
      </c>
      <c r="N123" s="34">
        <v>1.30935251798561</v>
      </c>
      <c r="O123" s="34">
        <v>1.3062602516891499</v>
      </c>
      <c r="P123" s="34">
        <v>1.30735372506221</v>
      </c>
      <c r="Q123" s="34">
        <v>1.30574248013578</v>
      </c>
      <c r="R123" s="33">
        <v>21.788420998174999</v>
      </c>
      <c r="S123" s="33">
        <v>21.797660134037798</v>
      </c>
      <c r="T123" s="33">
        <v>21.780784568664799</v>
      </c>
      <c r="U123" s="15">
        <v>-2.3644690628332999E-3</v>
      </c>
      <c r="V123" s="15">
        <v>-1.9405201433097001E-3</v>
      </c>
      <c r="W123" s="15">
        <v>-2.7150115842778798E-3</v>
      </c>
      <c r="X123" s="34">
        <v>1.3044379112746001</v>
      </c>
      <c r="Y123" s="34">
        <v>1.3045124660331</v>
      </c>
      <c r="Z123" s="34">
        <v>1.3044398580549901</v>
      </c>
      <c r="AA123" s="34">
        <v>1.3043409037376099</v>
      </c>
      <c r="AB123" s="33">
        <v>22.2526997737091</v>
      </c>
      <c r="AC123" s="33">
        <v>22.250834646012098</v>
      </c>
      <c r="AD123" s="33">
        <v>22.2508485166817</v>
      </c>
      <c r="AE123" s="15">
        <v>5.7153067508706897E-5</v>
      </c>
      <c r="AF123" s="15">
        <v>-2.6666239088820501E-5</v>
      </c>
      <c r="AG123" s="15">
        <v>-2.60428617885097E-5</v>
      </c>
      <c r="AI123" s="12"/>
      <c r="AJ123">
        <f t="shared" si="26"/>
        <v>0</v>
      </c>
      <c r="AK123">
        <f t="shared" si="27"/>
        <v>1</v>
      </c>
      <c r="AL123">
        <f t="shared" si="34"/>
        <v>0</v>
      </c>
      <c r="AM123">
        <f t="shared" si="24"/>
        <v>1</v>
      </c>
      <c r="AN123">
        <f t="shared" si="35"/>
        <v>0</v>
      </c>
      <c r="AO123" s="28">
        <f t="shared" si="28"/>
        <v>0</v>
      </c>
      <c r="AP123" s="28">
        <f t="shared" si="29"/>
        <v>0</v>
      </c>
      <c r="AQ123" s="28">
        <f t="shared" si="36"/>
        <v>0</v>
      </c>
      <c r="AR123" s="29">
        <f t="shared" si="37"/>
        <v>1.6646952644800981E-3</v>
      </c>
      <c r="AT123" s="12"/>
      <c r="AU123">
        <f t="shared" si="30"/>
        <v>0</v>
      </c>
      <c r="AV123">
        <f t="shared" si="31"/>
        <v>1</v>
      </c>
      <c r="AW123">
        <f t="shared" si="38"/>
        <v>0</v>
      </c>
      <c r="AX123">
        <f t="shared" si="25"/>
        <v>1</v>
      </c>
      <c r="AY123">
        <f t="shared" si="39"/>
        <v>0</v>
      </c>
      <c r="AZ123" s="28">
        <f t="shared" si="32"/>
        <v>0</v>
      </c>
      <c r="BA123" s="28">
        <f t="shared" si="33"/>
        <v>0</v>
      </c>
      <c r="BB123" s="28">
        <f t="shared" si="40"/>
        <v>0</v>
      </c>
      <c r="BC123" s="29">
        <f t="shared" si="41"/>
        <v>1.1662806753571799E-3</v>
      </c>
      <c r="BE123" s="29">
        <f t="shared" si="42"/>
        <v>0</v>
      </c>
      <c r="BF123" s="29">
        <f t="shared" si="43"/>
        <v>2.8309759398372778E-3</v>
      </c>
      <c r="BH123" s="29"/>
    </row>
    <row r="124" spans="1:60" x14ac:dyDescent="0.25">
      <c r="A124" s="1">
        <v>46203</v>
      </c>
      <c r="B124" s="33">
        <v>16.64</v>
      </c>
      <c r="C124" s="33">
        <v>21.8</v>
      </c>
      <c r="D124" s="15">
        <v>-2.4009615375381499E-3</v>
      </c>
      <c r="E124" s="15">
        <v>-1.83318108166096E-3</v>
      </c>
      <c r="F124" s="33">
        <v>0</v>
      </c>
      <c r="G124" s="33">
        <v>0.37824999999999998</v>
      </c>
      <c r="H124" s="33">
        <v>0</v>
      </c>
      <c r="I124" s="33">
        <v>0.41142800000000002</v>
      </c>
      <c r="J124" s="33">
        <v>0.37824999999999998</v>
      </c>
      <c r="K124" s="33">
        <v>0.41142800000000002</v>
      </c>
      <c r="L124" s="33">
        <v>17.018249999999998</v>
      </c>
      <c r="M124" s="33">
        <v>22.211428000000002</v>
      </c>
      <c r="N124" s="34">
        <v>1.31009615384615</v>
      </c>
      <c r="O124" s="34">
        <v>1.3062602516891499</v>
      </c>
      <c r="P124" s="34">
        <v>1.30794417877018</v>
      </c>
      <c r="Q124" s="34">
        <v>1.3060403292198099</v>
      </c>
      <c r="R124" s="33">
        <v>21.736170588107399</v>
      </c>
      <c r="S124" s="33">
        <v>21.7543659850353</v>
      </c>
      <c r="T124" s="33">
        <v>21.7275548694594</v>
      </c>
      <c r="U124" s="15">
        <v>-2.9322495187106201E-3</v>
      </c>
      <c r="V124" s="15">
        <v>-2.09549746076051E-3</v>
      </c>
      <c r="W124" s="15">
        <v>-3.32870512255891E-3</v>
      </c>
      <c r="X124" s="34">
        <v>1.30515346760095</v>
      </c>
      <c r="Y124" s="34">
        <v>1.3045124660331</v>
      </c>
      <c r="Z124" s="34">
        <v>1.3045251129615301</v>
      </c>
      <c r="AA124" s="34">
        <v>1.3043860952817701</v>
      </c>
      <c r="AB124" s="33">
        <v>22.200519275067801</v>
      </c>
      <c r="AC124" s="33">
        <v>22.199283614344399</v>
      </c>
      <c r="AD124" s="33">
        <v>22.197599585032599</v>
      </c>
      <c r="AE124" s="15">
        <v>-4.9125182843040398E-4</v>
      </c>
      <c r="AF124" s="15">
        <v>-5.4691246849461396E-4</v>
      </c>
      <c r="AG124" s="15">
        <v>-6.2277497014774598E-4</v>
      </c>
      <c r="AI124" s="12"/>
      <c r="AJ124">
        <f t="shared" si="26"/>
        <v>0</v>
      </c>
      <c r="AK124">
        <f t="shared" si="27"/>
        <v>0</v>
      </c>
      <c r="AL124">
        <f t="shared" si="34"/>
        <v>0</v>
      </c>
      <c r="AM124">
        <f t="shared" si="24"/>
        <v>0</v>
      </c>
      <c r="AN124">
        <f t="shared" si="35"/>
        <v>0</v>
      </c>
      <c r="AO124" s="28">
        <f t="shared" si="28"/>
        <v>0</v>
      </c>
      <c r="AP124" s="28">
        <f t="shared" si="29"/>
        <v>0</v>
      </c>
      <c r="AQ124" s="28">
        <f t="shared" si="36"/>
        <v>0</v>
      </c>
      <c r="AR124" s="29">
        <f t="shared" si="37"/>
        <v>1.6646952644800981E-3</v>
      </c>
      <c r="AT124" s="12"/>
      <c r="AU124">
        <f t="shared" si="30"/>
        <v>0</v>
      </c>
      <c r="AV124">
        <f t="shared" si="31"/>
        <v>1</v>
      </c>
      <c r="AW124">
        <f t="shared" si="38"/>
        <v>0</v>
      </c>
      <c r="AX124">
        <f t="shared" si="25"/>
        <v>0</v>
      </c>
      <c r="AY124">
        <f t="shared" si="39"/>
        <v>0</v>
      </c>
      <c r="AZ124" s="28">
        <f t="shared" si="32"/>
        <v>0</v>
      </c>
      <c r="BA124" s="28">
        <f t="shared" si="33"/>
        <v>0</v>
      </c>
      <c r="BB124" s="28">
        <f t="shared" si="40"/>
        <v>0</v>
      </c>
      <c r="BC124" s="29">
        <f t="shared" si="41"/>
        <v>1.1662806753571799E-3</v>
      </c>
      <c r="BE124" s="29">
        <f t="shared" si="42"/>
        <v>0</v>
      </c>
      <c r="BF124" s="29">
        <f t="shared" si="43"/>
        <v>2.8309759398372778E-3</v>
      </c>
      <c r="BH124" s="29"/>
    </row>
    <row r="125" spans="1:60" x14ac:dyDescent="0.25">
      <c r="A125" s="1">
        <v>46204</v>
      </c>
      <c r="B125" s="33">
        <v>16.63</v>
      </c>
      <c r="C125" s="33">
        <v>21.7</v>
      </c>
      <c r="D125" s="15">
        <v>-6.0114218822636205E-4</v>
      </c>
      <c r="E125" s="15">
        <v>-4.5977092486295399E-3</v>
      </c>
      <c r="F125" s="33">
        <v>0</v>
      </c>
      <c r="G125" s="33">
        <v>0.37824999999999998</v>
      </c>
      <c r="H125" s="33">
        <v>8.0950999999999995E-2</v>
      </c>
      <c r="I125" s="33">
        <v>0.49237900000000001</v>
      </c>
      <c r="J125" s="33">
        <v>0.37824999999999998</v>
      </c>
      <c r="K125" s="33">
        <v>0.49237900000000001</v>
      </c>
      <c r="L125" s="33">
        <v>17.00825</v>
      </c>
      <c r="M125" s="33">
        <v>22.192378999999999</v>
      </c>
      <c r="N125" s="34">
        <v>1.30487071557426</v>
      </c>
      <c r="O125" s="34">
        <v>1.3062602516891499</v>
      </c>
      <c r="P125" s="34">
        <v>1.30809013722168</v>
      </c>
      <c r="Q125" s="34">
        <v>1.3060860232719</v>
      </c>
      <c r="R125" s="33">
        <v>21.723107985590499</v>
      </c>
      <c r="S125" s="33">
        <v>21.7511116929482</v>
      </c>
      <c r="T125" s="33">
        <v>21.719450674925501</v>
      </c>
      <c r="U125" s="15">
        <v>1.06431754169254E-3</v>
      </c>
      <c r="V125" s="15">
        <v>2.3526080015474301E-3</v>
      </c>
      <c r="W125" s="15">
        <v>8.9594298980137297E-4</v>
      </c>
      <c r="X125" s="34">
        <v>1.3048008466479499</v>
      </c>
      <c r="Y125" s="34">
        <v>1.3045124660331</v>
      </c>
      <c r="Z125" s="34">
        <v>1.30465172101326</v>
      </c>
      <c r="AA125" s="34">
        <v>1.30442260743535</v>
      </c>
      <c r="AB125" s="33">
        <v>22.1874741504075</v>
      </c>
      <c r="AC125" s="33">
        <v>22.187689252527999</v>
      </c>
      <c r="AD125" s="33">
        <v>22.185324805076199</v>
      </c>
      <c r="AE125" s="15">
        <v>-2.21039470131276E-4</v>
      </c>
      <c r="AF125" s="15">
        <v>-2.11344762368515E-4</v>
      </c>
      <c r="AG125" s="15">
        <v>-3.1791617764433301E-4</v>
      </c>
      <c r="AI125" s="12"/>
      <c r="AJ125">
        <f t="shared" si="26"/>
        <v>0</v>
      </c>
      <c r="AK125">
        <f t="shared" si="27"/>
        <v>0</v>
      </c>
      <c r="AL125">
        <f t="shared" si="34"/>
        <v>0</v>
      </c>
      <c r="AM125">
        <f t="shared" si="24"/>
        <v>1</v>
      </c>
      <c r="AN125">
        <f t="shared" si="35"/>
        <v>0</v>
      </c>
      <c r="AO125" s="28">
        <f t="shared" si="28"/>
        <v>0</v>
      </c>
      <c r="AP125" s="28">
        <f t="shared" si="29"/>
        <v>0</v>
      </c>
      <c r="AQ125" s="28">
        <f t="shared" si="36"/>
        <v>0</v>
      </c>
      <c r="AR125" s="29">
        <f t="shared" si="37"/>
        <v>1.6646952644800981E-3</v>
      </c>
      <c r="AT125" s="12"/>
      <c r="AU125">
        <f t="shared" si="30"/>
        <v>0</v>
      </c>
      <c r="AV125">
        <f t="shared" si="31"/>
        <v>1</v>
      </c>
      <c r="AW125">
        <f t="shared" si="38"/>
        <v>0</v>
      </c>
      <c r="AX125">
        <f t="shared" si="25"/>
        <v>1</v>
      </c>
      <c r="AY125">
        <f t="shared" si="39"/>
        <v>0</v>
      </c>
      <c r="AZ125" s="28">
        <f t="shared" si="32"/>
        <v>0</v>
      </c>
      <c r="BA125" s="28">
        <f t="shared" si="33"/>
        <v>0</v>
      </c>
      <c r="BB125" s="28">
        <f t="shared" si="40"/>
        <v>0</v>
      </c>
      <c r="BC125" s="29">
        <f t="shared" si="41"/>
        <v>1.1662806753571799E-3</v>
      </c>
      <c r="BE125" s="29">
        <f t="shared" si="42"/>
        <v>0</v>
      </c>
      <c r="BF125" s="29">
        <f t="shared" si="43"/>
        <v>2.8309759398372778E-3</v>
      </c>
      <c r="BH125" s="29"/>
    </row>
    <row r="126" spans="1:60" x14ac:dyDescent="0.25">
      <c r="A126" s="1">
        <v>46205</v>
      </c>
      <c r="B126" s="33">
        <v>16.66</v>
      </c>
      <c r="C126" s="33">
        <v>21.72</v>
      </c>
      <c r="D126" s="15">
        <v>1.80234353386046E-3</v>
      </c>
      <c r="E126" s="15">
        <v>9.2123451932083996E-4</v>
      </c>
      <c r="F126" s="33">
        <v>0</v>
      </c>
      <c r="G126" s="33">
        <v>0.37824999999999998</v>
      </c>
      <c r="H126" s="33">
        <v>0</v>
      </c>
      <c r="I126" s="33">
        <v>0.49237900000000001</v>
      </c>
      <c r="J126" s="33">
        <v>0.37824999999999998</v>
      </c>
      <c r="K126" s="33">
        <v>0.49237900000000001</v>
      </c>
      <c r="L126" s="33">
        <v>17.038250000000001</v>
      </c>
      <c r="M126" s="33">
        <v>22.212378999999999</v>
      </c>
      <c r="N126" s="34">
        <v>1.30372148859543</v>
      </c>
      <c r="O126" s="34">
        <v>1.3062602516891499</v>
      </c>
      <c r="P126" s="34">
        <v>1.30799353608123</v>
      </c>
      <c r="Q126" s="34">
        <v>1.3060560112671</v>
      </c>
      <c r="R126" s="33">
        <v>21.762295793141199</v>
      </c>
      <c r="S126" s="33">
        <v>21.792781686113301</v>
      </c>
      <c r="T126" s="33">
        <v>21.759393147709901</v>
      </c>
      <c r="U126" s="15">
        <v>1.94542655623216E-3</v>
      </c>
      <c r="V126" s="15">
        <v>3.3453045826268399E-3</v>
      </c>
      <c r="W126" s="15">
        <v>1.8120381006726601E-3</v>
      </c>
      <c r="X126" s="34">
        <v>1.30367725558669</v>
      </c>
      <c r="Y126" s="34">
        <v>1.3045124660331</v>
      </c>
      <c r="Z126" s="34">
        <v>1.3045406462387901</v>
      </c>
      <c r="AA126" s="34">
        <v>1.30438502617426</v>
      </c>
      <c r="AB126" s="33">
        <v>22.2266095243885</v>
      </c>
      <c r="AC126" s="33">
        <v>22.228982185554202</v>
      </c>
      <c r="AD126" s="33">
        <v>22.225078491135399</v>
      </c>
      <c r="AE126" s="15">
        <v>6.4045224013777101E-4</v>
      </c>
      <c r="AF126" s="15">
        <v>7.4719522011726098E-4</v>
      </c>
      <c r="AG126" s="15">
        <v>5.7156697066788398E-4</v>
      </c>
      <c r="AI126" s="12"/>
      <c r="AJ126">
        <f t="shared" si="26"/>
        <v>0</v>
      </c>
      <c r="AK126">
        <f t="shared" si="27"/>
        <v>1</v>
      </c>
      <c r="AL126">
        <f t="shared" si="34"/>
        <v>0</v>
      </c>
      <c r="AM126">
        <f t="shared" si="24"/>
        <v>1</v>
      </c>
      <c r="AN126">
        <f t="shared" si="35"/>
        <v>0</v>
      </c>
      <c r="AO126" s="28">
        <f t="shared" si="28"/>
        <v>0</v>
      </c>
      <c r="AP126" s="28">
        <f t="shared" si="29"/>
        <v>0</v>
      </c>
      <c r="AQ126" s="28">
        <f t="shared" si="36"/>
        <v>0</v>
      </c>
      <c r="AR126" s="29">
        <f t="shared" si="37"/>
        <v>1.6646952644800981E-3</v>
      </c>
      <c r="AT126" s="12"/>
      <c r="AU126">
        <f t="shared" si="30"/>
        <v>0</v>
      </c>
      <c r="AV126">
        <f t="shared" si="31"/>
        <v>0</v>
      </c>
      <c r="AW126">
        <f t="shared" si="38"/>
        <v>0</v>
      </c>
      <c r="AX126">
        <f t="shared" si="25"/>
        <v>1</v>
      </c>
      <c r="AY126">
        <f t="shared" si="39"/>
        <v>0</v>
      </c>
      <c r="AZ126" s="28">
        <f t="shared" si="32"/>
        <v>0</v>
      </c>
      <c r="BA126" s="28">
        <f t="shared" si="33"/>
        <v>0</v>
      </c>
      <c r="BB126" s="28">
        <f t="shared" si="40"/>
        <v>0</v>
      </c>
      <c r="BC126" s="29">
        <f t="shared" si="41"/>
        <v>1.1662806753571799E-3</v>
      </c>
      <c r="BE126" s="29">
        <f t="shared" si="42"/>
        <v>0</v>
      </c>
      <c r="BF126" s="29">
        <f t="shared" si="43"/>
        <v>2.8309759398372778E-3</v>
      </c>
      <c r="BH126" s="29"/>
    </row>
    <row r="127" spans="1:60" x14ac:dyDescent="0.25">
      <c r="A127" s="1">
        <v>46209</v>
      </c>
      <c r="B127" s="33">
        <v>16.66</v>
      </c>
      <c r="C127" s="33">
        <v>21.75</v>
      </c>
      <c r="D127" s="15">
        <v>0</v>
      </c>
      <c r="E127" s="15">
        <v>1.38026246895849E-3</v>
      </c>
      <c r="F127" s="33">
        <v>0</v>
      </c>
      <c r="G127" s="33">
        <v>0.37824999999999998</v>
      </c>
      <c r="H127" s="33">
        <v>0</v>
      </c>
      <c r="I127" s="33">
        <v>0.49237900000000001</v>
      </c>
      <c r="J127" s="33">
        <v>0.37824999999999998</v>
      </c>
      <c r="K127" s="33">
        <v>0.49237900000000001</v>
      </c>
      <c r="L127" s="33">
        <v>17.038250000000001</v>
      </c>
      <c r="M127" s="33">
        <v>22.242379</v>
      </c>
      <c r="N127" s="34">
        <v>1.3055222088835501</v>
      </c>
      <c r="O127" s="34">
        <v>1.3062602516891499</v>
      </c>
      <c r="P127" s="34">
        <v>1.30799353608123</v>
      </c>
      <c r="Q127" s="34">
        <v>1.3060860232719</v>
      </c>
      <c r="R127" s="33">
        <v>21.762295793141199</v>
      </c>
      <c r="S127" s="33">
        <v>21.7911723111133</v>
      </c>
      <c r="T127" s="33">
        <v>21.758893147709902</v>
      </c>
      <c r="U127" s="15">
        <v>5.6516408727376195E-4</v>
      </c>
      <c r="V127" s="15">
        <v>1.89119039287978E-3</v>
      </c>
      <c r="W127" s="15">
        <v>4.0879678568945101E-4</v>
      </c>
      <c r="X127" s="34">
        <v>1.30543799979457</v>
      </c>
      <c r="Y127" s="34">
        <v>1.3045124660331</v>
      </c>
      <c r="Z127" s="34">
        <v>1.3045237311498299</v>
      </c>
      <c r="AA127" s="34">
        <v>1.3044060253766701</v>
      </c>
      <c r="AB127" s="33">
        <v>22.2266095243885</v>
      </c>
      <c r="AC127" s="33">
        <v>22.227089665778099</v>
      </c>
      <c r="AD127" s="33">
        <v>22.224438172213599</v>
      </c>
      <c r="AE127" s="15">
        <v>-7.0923476318086203E-4</v>
      </c>
      <c r="AF127" s="15">
        <v>-6.8763289884105799E-4</v>
      </c>
      <c r="AG127" s="15">
        <v>-8.0693109607501696E-4</v>
      </c>
      <c r="AI127" s="12"/>
      <c r="AJ127">
        <f t="shared" si="26"/>
        <v>0</v>
      </c>
      <c r="AK127">
        <f t="shared" si="27"/>
        <v>0</v>
      </c>
      <c r="AL127">
        <f t="shared" si="34"/>
        <v>0</v>
      </c>
      <c r="AM127">
        <f t="shared" si="24"/>
        <v>1</v>
      </c>
      <c r="AN127">
        <f t="shared" si="35"/>
        <v>0</v>
      </c>
      <c r="AO127" s="28">
        <f t="shared" si="28"/>
        <v>0</v>
      </c>
      <c r="AP127" s="28">
        <f t="shared" si="29"/>
        <v>0</v>
      </c>
      <c r="AQ127" s="28">
        <f t="shared" si="36"/>
        <v>0</v>
      </c>
      <c r="AR127" s="29">
        <f t="shared" si="37"/>
        <v>1.6646952644800981E-3</v>
      </c>
      <c r="AT127" s="12"/>
      <c r="AU127">
        <f t="shared" si="30"/>
        <v>0</v>
      </c>
      <c r="AV127">
        <f t="shared" si="31"/>
        <v>1</v>
      </c>
      <c r="AW127">
        <f t="shared" si="38"/>
        <v>0</v>
      </c>
      <c r="AX127">
        <f t="shared" si="25"/>
        <v>1</v>
      </c>
      <c r="AY127">
        <f t="shared" si="39"/>
        <v>0</v>
      </c>
      <c r="AZ127" s="28">
        <f t="shared" si="32"/>
        <v>0</v>
      </c>
      <c r="BA127" s="28">
        <f t="shared" si="33"/>
        <v>0</v>
      </c>
      <c r="BB127" s="28">
        <f t="shared" si="40"/>
        <v>0</v>
      </c>
      <c r="BC127" s="29">
        <f t="shared" si="41"/>
        <v>1.1662806753571799E-3</v>
      </c>
      <c r="BE127" s="29">
        <f t="shared" si="42"/>
        <v>0</v>
      </c>
      <c r="BF127" s="29">
        <f t="shared" si="43"/>
        <v>2.8309759398372778E-3</v>
      </c>
      <c r="BH127" s="29"/>
    </row>
    <row r="128" spans="1:60" x14ac:dyDescent="0.25">
      <c r="A128" s="1">
        <v>46210</v>
      </c>
      <c r="B128" s="33">
        <v>16.62</v>
      </c>
      <c r="C128" s="33">
        <v>21.67</v>
      </c>
      <c r="D128" s="15">
        <v>-2.4038473113944399E-3</v>
      </c>
      <c r="E128" s="15">
        <v>-3.6849419864252802E-3</v>
      </c>
      <c r="F128" s="33">
        <v>0</v>
      </c>
      <c r="G128" s="33">
        <v>0.37824999999999998</v>
      </c>
      <c r="H128" s="33">
        <v>0</v>
      </c>
      <c r="I128" s="33">
        <v>0.49237900000000001</v>
      </c>
      <c r="J128" s="33">
        <v>0.37824999999999998</v>
      </c>
      <c r="K128" s="33">
        <v>0.49237900000000001</v>
      </c>
      <c r="L128" s="33">
        <v>16.998249999999999</v>
      </c>
      <c r="M128" s="33">
        <v>22.162379000000001</v>
      </c>
      <c r="N128" s="34">
        <v>1.30385078219013</v>
      </c>
      <c r="O128" s="34">
        <v>1.3062602516891499</v>
      </c>
      <c r="P128" s="34">
        <v>1.3075166492610599</v>
      </c>
      <c r="Q128" s="34">
        <v>1.30607687664992</v>
      </c>
      <c r="R128" s="33">
        <v>21.710045383073702</v>
      </c>
      <c r="S128" s="33">
        <v>21.738852569670001</v>
      </c>
      <c r="T128" s="33">
        <v>21.707149706779099</v>
      </c>
      <c r="U128" s="15">
        <v>1.84625876230462E-3</v>
      </c>
      <c r="V128" s="15">
        <v>3.17228506791069E-3</v>
      </c>
      <c r="W128" s="15">
        <v>1.7128703067447501E-3</v>
      </c>
      <c r="X128" s="34">
        <v>1.30380356801435</v>
      </c>
      <c r="Y128" s="34">
        <v>1.3045124660331</v>
      </c>
      <c r="Z128" s="34">
        <v>1.3045345566206901</v>
      </c>
      <c r="AA128" s="34">
        <v>1.30438887739432</v>
      </c>
      <c r="AB128" s="33">
        <v>22.174429025747202</v>
      </c>
      <c r="AC128" s="33">
        <v>22.174620513017601</v>
      </c>
      <c r="AD128" s="33">
        <v>22.172619720859</v>
      </c>
      <c r="AE128" s="15">
        <v>5.4356759453237701E-4</v>
      </c>
      <c r="AF128" s="15">
        <v>5.5220305673112503E-4</v>
      </c>
      <c r="AG128" s="15">
        <v>4.61970061423005E-4</v>
      </c>
      <c r="AI128" s="12"/>
      <c r="AJ128">
        <f t="shared" si="26"/>
        <v>0</v>
      </c>
      <c r="AK128">
        <f t="shared" si="27"/>
        <v>1</v>
      </c>
      <c r="AL128">
        <f t="shared" si="34"/>
        <v>0</v>
      </c>
      <c r="AM128">
        <f t="shared" si="24"/>
        <v>1</v>
      </c>
      <c r="AN128">
        <f t="shared" si="35"/>
        <v>0</v>
      </c>
      <c r="AO128" s="28">
        <f t="shared" si="28"/>
        <v>0</v>
      </c>
      <c r="AP128" s="28">
        <f t="shared" si="29"/>
        <v>0</v>
      </c>
      <c r="AQ128" s="28">
        <f t="shared" si="36"/>
        <v>0</v>
      </c>
      <c r="AR128" s="29">
        <f t="shared" si="37"/>
        <v>1.6646952644800981E-3</v>
      </c>
      <c r="AT128" s="12"/>
      <c r="AU128">
        <f t="shared" si="30"/>
        <v>0</v>
      </c>
      <c r="AV128">
        <f t="shared" si="31"/>
        <v>0</v>
      </c>
      <c r="AW128">
        <f t="shared" si="38"/>
        <v>0</v>
      </c>
      <c r="AX128">
        <f t="shared" si="25"/>
        <v>1</v>
      </c>
      <c r="AY128">
        <f t="shared" si="39"/>
        <v>0</v>
      </c>
      <c r="AZ128" s="28">
        <f t="shared" si="32"/>
        <v>0</v>
      </c>
      <c r="BA128" s="28">
        <f t="shared" si="33"/>
        <v>0</v>
      </c>
      <c r="BB128" s="28">
        <f t="shared" si="40"/>
        <v>0</v>
      </c>
      <c r="BC128" s="29">
        <f t="shared" si="41"/>
        <v>1.1662806753571799E-3</v>
      </c>
      <c r="BE128" s="29">
        <f t="shared" si="42"/>
        <v>0</v>
      </c>
      <c r="BF128" s="29">
        <f t="shared" si="43"/>
        <v>2.8309759398372778E-3</v>
      </c>
      <c r="BH128" s="29"/>
    </row>
    <row r="129" spans="1:60" x14ac:dyDescent="0.25">
      <c r="A129" s="1">
        <v>46211</v>
      </c>
      <c r="B129" s="33">
        <v>16.600000000000001</v>
      </c>
      <c r="C129" s="33">
        <v>21.65</v>
      </c>
      <c r="D129" s="15">
        <v>-1.2040940648045599E-3</v>
      </c>
      <c r="E129" s="15">
        <v>-9.2336109976898304E-4</v>
      </c>
      <c r="F129" s="33">
        <v>0</v>
      </c>
      <c r="G129" s="33">
        <v>0.37824999999999998</v>
      </c>
      <c r="H129" s="33">
        <v>0</v>
      </c>
      <c r="I129" s="33">
        <v>0.49237900000000001</v>
      </c>
      <c r="J129" s="33">
        <v>0.37824999999999998</v>
      </c>
      <c r="K129" s="33">
        <v>0.49237900000000001</v>
      </c>
      <c r="L129" s="33">
        <v>16.978249999999999</v>
      </c>
      <c r="M129" s="33">
        <v>22.142378999999998</v>
      </c>
      <c r="N129" s="34">
        <v>1.30421686746987</v>
      </c>
      <c r="O129" s="34">
        <v>1.3062602516891499</v>
      </c>
      <c r="P129" s="34">
        <v>1.30695581641793</v>
      </c>
      <c r="Q129" s="34">
        <v>1.30608603429193</v>
      </c>
      <c r="R129" s="33">
        <v>21.683920178039902</v>
      </c>
      <c r="S129" s="33">
        <v>21.704776377733701</v>
      </c>
      <c r="T129" s="33">
        <v>21.680876152388802</v>
      </c>
      <c r="U129" s="15">
        <v>1.56552579726903E-3</v>
      </c>
      <c r="V129" s="15">
        <v>2.5268914503387501E-3</v>
      </c>
      <c r="W129" s="15">
        <v>1.4251342394289599E-3</v>
      </c>
      <c r="X129" s="34">
        <v>1.3041614418447101</v>
      </c>
      <c r="Y129" s="34">
        <v>1.3045124660331</v>
      </c>
      <c r="Z129" s="34">
        <v>1.30446330228145</v>
      </c>
      <c r="AA129" s="34">
        <v>1.3043896231034999</v>
      </c>
      <c r="AB129" s="33">
        <v>22.148338776426499</v>
      </c>
      <c r="AC129" s="33">
        <v>22.148713835945198</v>
      </c>
      <c r="AD129" s="33">
        <v>22.146240457620198</v>
      </c>
      <c r="AE129" s="15">
        <v>2.6912078926339501E-4</v>
      </c>
      <c r="AF129" s="15">
        <v>2.86054625563367E-4</v>
      </c>
      <c r="AG129" s="15">
        <v>1.7437696985416899E-4</v>
      </c>
      <c r="AI129" s="12"/>
      <c r="AJ129">
        <f t="shared" si="26"/>
        <v>0</v>
      </c>
      <c r="AK129">
        <f t="shared" si="27"/>
        <v>1</v>
      </c>
      <c r="AL129">
        <f t="shared" si="34"/>
        <v>0</v>
      </c>
      <c r="AM129">
        <f t="shared" si="24"/>
        <v>1</v>
      </c>
      <c r="AN129">
        <f t="shared" si="35"/>
        <v>0</v>
      </c>
      <c r="AO129" s="28">
        <f t="shared" si="28"/>
        <v>0</v>
      </c>
      <c r="AP129" s="28">
        <f t="shared" si="29"/>
        <v>0</v>
      </c>
      <c r="AQ129" s="28">
        <f t="shared" si="36"/>
        <v>0</v>
      </c>
      <c r="AR129" s="29">
        <f t="shared" si="37"/>
        <v>1.6646952644800981E-3</v>
      </c>
      <c r="AT129" s="12"/>
      <c r="AU129">
        <f t="shared" si="30"/>
        <v>0</v>
      </c>
      <c r="AV129">
        <f t="shared" si="31"/>
        <v>1</v>
      </c>
      <c r="AW129">
        <f t="shared" si="38"/>
        <v>0</v>
      </c>
      <c r="AX129">
        <f t="shared" si="25"/>
        <v>1</v>
      </c>
      <c r="AY129">
        <f t="shared" si="39"/>
        <v>0</v>
      </c>
      <c r="AZ129" s="28">
        <f t="shared" si="32"/>
        <v>0</v>
      </c>
      <c r="BA129" s="28">
        <f t="shared" si="33"/>
        <v>0</v>
      </c>
      <c r="BB129" s="28">
        <f t="shared" si="40"/>
        <v>0</v>
      </c>
      <c r="BC129" s="29">
        <f t="shared" si="41"/>
        <v>1.1662806753571799E-3</v>
      </c>
      <c r="BE129" s="29">
        <f t="shared" si="42"/>
        <v>0</v>
      </c>
      <c r="BF129" s="29">
        <f t="shared" si="43"/>
        <v>2.8309759398372778E-3</v>
      </c>
      <c r="BH129" s="29"/>
    </row>
    <row r="130" spans="1:60" x14ac:dyDescent="0.25">
      <c r="A130" s="1">
        <v>46212</v>
      </c>
      <c r="B130" s="33">
        <v>16.62</v>
      </c>
      <c r="C130" s="33">
        <v>21.68</v>
      </c>
      <c r="D130" s="15">
        <v>1.20409406480451E-3</v>
      </c>
      <c r="E130" s="15">
        <v>1.3847221229466901E-3</v>
      </c>
      <c r="F130" s="33">
        <v>0</v>
      </c>
      <c r="G130" s="33">
        <v>0.37824999999999998</v>
      </c>
      <c r="H130" s="33">
        <v>0</v>
      </c>
      <c r="I130" s="33">
        <v>0.49237900000000001</v>
      </c>
      <c r="J130" s="33">
        <v>0.37824999999999998</v>
      </c>
      <c r="K130" s="33">
        <v>0.49237900000000001</v>
      </c>
      <c r="L130" s="33">
        <v>16.998249999999999</v>
      </c>
      <c r="M130" s="33">
        <v>22.172378999999999</v>
      </c>
      <c r="N130" s="34">
        <v>1.3044524669073401</v>
      </c>
      <c r="O130" s="34">
        <v>1.3062602516891499</v>
      </c>
      <c r="P130" s="34">
        <v>1.30651164003175</v>
      </c>
      <c r="Q130" s="34">
        <v>1.3060742826373</v>
      </c>
      <c r="R130" s="33">
        <v>21.710045383073702</v>
      </c>
      <c r="S130" s="33">
        <v>21.721605668866101</v>
      </c>
      <c r="T130" s="33">
        <v>21.707149889931902</v>
      </c>
      <c r="U130" s="15">
        <v>1.38489773912701E-3</v>
      </c>
      <c r="V130" s="15">
        <v>1.9172415844771701E-3</v>
      </c>
      <c r="W130" s="15">
        <v>1.2515177210101599E-3</v>
      </c>
      <c r="X130" s="34">
        <v>1.3043918638683301</v>
      </c>
      <c r="Y130" s="34">
        <v>1.3045124660331</v>
      </c>
      <c r="Z130" s="34">
        <v>1.30450466280487</v>
      </c>
      <c r="AA130" s="34">
        <v>1.3043698161303401</v>
      </c>
      <c r="AB130" s="33">
        <v>22.174429025747202</v>
      </c>
      <c r="AC130" s="33">
        <v>22.173593328005602</v>
      </c>
      <c r="AD130" s="33">
        <v>22.172340910919001</v>
      </c>
      <c r="AE130" s="15">
        <v>9.2454264012780001E-5</v>
      </c>
      <c r="AF130" s="15">
        <v>5.4766101282036398E-5</v>
      </c>
      <c r="AG130" s="15">
        <v>-1.7178631862966E-6</v>
      </c>
      <c r="AI130" s="12"/>
      <c r="AJ130">
        <f t="shared" si="26"/>
        <v>0</v>
      </c>
      <c r="AK130">
        <f t="shared" si="27"/>
        <v>1</v>
      </c>
      <c r="AL130">
        <f t="shared" si="34"/>
        <v>0</v>
      </c>
      <c r="AM130">
        <f t="shared" si="24"/>
        <v>1</v>
      </c>
      <c r="AN130">
        <f t="shared" si="35"/>
        <v>0</v>
      </c>
      <c r="AO130" s="28">
        <f t="shared" si="28"/>
        <v>0</v>
      </c>
      <c r="AP130" s="28">
        <f t="shared" si="29"/>
        <v>0</v>
      </c>
      <c r="AQ130" s="28">
        <f t="shared" si="36"/>
        <v>0</v>
      </c>
      <c r="AR130" s="29">
        <f t="shared" si="37"/>
        <v>1.6646952644800981E-3</v>
      </c>
      <c r="AT130" s="12"/>
      <c r="AU130">
        <f t="shared" si="30"/>
        <v>0</v>
      </c>
      <c r="AV130">
        <f t="shared" si="31"/>
        <v>1</v>
      </c>
      <c r="AW130">
        <f t="shared" si="38"/>
        <v>0</v>
      </c>
      <c r="AX130">
        <f t="shared" si="25"/>
        <v>1</v>
      </c>
      <c r="AY130">
        <f t="shared" si="39"/>
        <v>0</v>
      </c>
      <c r="AZ130" s="28">
        <f t="shared" si="32"/>
        <v>0</v>
      </c>
      <c r="BA130" s="28">
        <f t="shared" si="33"/>
        <v>0</v>
      </c>
      <c r="BB130" s="28">
        <f t="shared" si="40"/>
        <v>0</v>
      </c>
      <c r="BC130" s="29">
        <f t="shared" si="41"/>
        <v>1.1662806753571799E-3</v>
      </c>
      <c r="BE130" s="29">
        <f t="shared" si="42"/>
        <v>0</v>
      </c>
      <c r="BF130" s="29">
        <f t="shared" si="43"/>
        <v>2.8309759398372778E-3</v>
      </c>
      <c r="BH130" s="29"/>
    </row>
    <row r="131" spans="1:60" x14ac:dyDescent="0.25">
      <c r="A131" s="1">
        <v>46213</v>
      </c>
      <c r="B131" s="33">
        <v>16.600000000000001</v>
      </c>
      <c r="C131" s="33">
        <v>21.65</v>
      </c>
      <c r="D131" s="15">
        <v>-1.2040940648045599E-3</v>
      </c>
      <c r="E131" s="15">
        <v>-1.38472212294661E-3</v>
      </c>
      <c r="F131" s="33">
        <v>0</v>
      </c>
      <c r="G131" s="33">
        <v>0.37824999999999998</v>
      </c>
      <c r="H131" s="33">
        <v>0</v>
      </c>
      <c r="I131" s="33">
        <v>0.49237900000000001</v>
      </c>
      <c r="J131" s="33">
        <v>0.37824999999999998</v>
      </c>
      <c r="K131" s="33">
        <v>0.49237900000000001</v>
      </c>
      <c r="L131" s="33">
        <v>16.978249999999999</v>
      </c>
      <c r="M131" s="33">
        <v>22.142378999999998</v>
      </c>
      <c r="N131" s="34">
        <v>1.30421686746987</v>
      </c>
      <c r="O131" s="34">
        <v>1.3062602516891499</v>
      </c>
      <c r="P131" s="34">
        <v>1.3060023958478</v>
      </c>
      <c r="Q131" s="34">
        <v>1.30610172252312</v>
      </c>
      <c r="R131" s="33">
        <v>21.683920178039902</v>
      </c>
      <c r="S131" s="33">
        <v>21.688093224527002</v>
      </c>
      <c r="T131" s="33">
        <v>21.680833091779199</v>
      </c>
      <c r="U131" s="15">
        <v>1.56552579726903E-3</v>
      </c>
      <c r="V131" s="15">
        <v>1.75795617679861E-3</v>
      </c>
      <c r="W131" s="15">
        <v>1.42314812724186E-3</v>
      </c>
      <c r="X131" s="34">
        <v>1.3041614418447101</v>
      </c>
      <c r="Y131" s="34">
        <v>1.3045124660331</v>
      </c>
      <c r="Z131" s="34">
        <v>1.3044821065944101</v>
      </c>
      <c r="AA131" s="34">
        <v>1.3043885118991101</v>
      </c>
      <c r="AB131" s="33">
        <v>22.148338776426499</v>
      </c>
      <c r="AC131" s="33">
        <v>22.148206291266799</v>
      </c>
      <c r="AD131" s="33">
        <v>22.145916830715102</v>
      </c>
      <c r="AE131" s="15">
        <v>2.6912078926339501E-4</v>
      </c>
      <c r="AF131" s="15">
        <v>2.6313905143295199E-4</v>
      </c>
      <c r="AG131" s="15">
        <v>1.59763687279946E-4</v>
      </c>
      <c r="AI131" s="12"/>
      <c r="AJ131">
        <f t="shared" si="26"/>
        <v>0</v>
      </c>
      <c r="AK131">
        <f t="shared" si="27"/>
        <v>1</v>
      </c>
      <c r="AL131">
        <f t="shared" si="34"/>
        <v>0</v>
      </c>
      <c r="AM131">
        <f t="shared" si="24"/>
        <v>1</v>
      </c>
      <c r="AN131">
        <f t="shared" si="35"/>
        <v>0</v>
      </c>
      <c r="AO131" s="28">
        <f t="shared" si="28"/>
        <v>0</v>
      </c>
      <c r="AP131" s="28">
        <f t="shared" si="29"/>
        <v>0</v>
      </c>
      <c r="AQ131" s="28">
        <f t="shared" si="36"/>
        <v>0</v>
      </c>
      <c r="AR131" s="29">
        <f t="shared" si="37"/>
        <v>1.6646952644800981E-3</v>
      </c>
      <c r="AT131" s="12"/>
      <c r="AU131">
        <f t="shared" si="30"/>
        <v>0</v>
      </c>
      <c r="AV131">
        <f t="shared" si="31"/>
        <v>1</v>
      </c>
      <c r="AW131">
        <f t="shared" si="38"/>
        <v>0</v>
      </c>
      <c r="AX131">
        <f t="shared" si="25"/>
        <v>1</v>
      </c>
      <c r="AY131">
        <f t="shared" si="39"/>
        <v>0</v>
      </c>
      <c r="AZ131" s="28">
        <f t="shared" si="32"/>
        <v>0</v>
      </c>
      <c r="BA131" s="28">
        <f t="shared" si="33"/>
        <v>0</v>
      </c>
      <c r="BB131" s="28">
        <f t="shared" si="40"/>
        <v>0</v>
      </c>
      <c r="BC131" s="29">
        <f t="shared" si="41"/>
        <v>1.1662806753571799E-3</v>
      </c>
      <c r="BE131" s="29">
        <f t="shared" si="42"/>
        <v>0</v>
      </c>
      <c r="BF131" s="29">
        <f t="shared" si="43"/>
        <v>2.8309759398372778E-3</v>
      </c>
      <c r="BH131" s="29"/>
    </row>
    <row r="132" spans="1:60" x14ac:dyDescent="0.25">
      <c r="A132" s="1">
        <v>46216</v>
      </c>
      <c r="B132" s="33">
        <v>16.55</v>
      </c>
      <c r="C132" s="33">
        <v>21.6</v>
      </c>
      <c r="D132" s="15">
        <v>-3.0165935394256701E-3</v>
      </c>
      <c r="E132" s="15">
        <v>-2.3121397583793901E-3</v>
      </c>
      <c r="F132" s="33">
        <v>0</v>
      </c>
      <c r="G132" s="33">
        <v>0.37824999999999998</v>
      </c>
      <c r="H132" s="33">
        <v>0</v>
      </c>
      <c r="I132" s="33">
        <v>0.49237900000000001</v>
      </c>
      <c r="J132" s="33">
        <v>0.37824999999999998</v>
      </c>
      <c r="K132" s="33">
        <v>0.49237900000000001</v>
      </c>
      <c r="L132" s="33">
        <v>16.928249999999998</v>
      </c>
      <c r="M132" s="33">
        <v>22.092379000000001</v>
      </c>
      <c r="N132" s="34">
        <v>1.3051359516616301</v>
      </c>
      <c r="O132" s="34">
        <v>1.3062602516891499</v>
      </c>
      <c r="P132" s="34">
        <v>1.3055436020583799</v>
      </c>
      <c r="Q132" s="34">
        <v>1.3061788793876401</v>
      </c>
      <c r="R132" s="33">
        <v>21.618607165455401</v>
      </c>
      <c r="S132" s="33">
        <v>21.614339651281199</v>
      </c>
      <c r="T132" s="33">
        <v>21.615983507757601</v>
      </c>
      <c r="U132" s="15">
        <v>8.6107201622281199E-4</v>
      </c>
      <c r="V132" s="15">
        <v>6.6365247847065397E-4</v>
      </c>
      <c r="W132" s="15">
        <v>7.3970356285481102E-4</v>
      </c>
      <c r="X132" s="34">
        <v>1.30505982603045</v>
      </c>
      <c r="Y132" s="34">
        <v>1.3045124660331</v>
      </c>
      <c r="Z132" s="34">
        <v>1.30450856225073</v>
      </c>
      <c r="AA132" s="34">
        <v>1.30445584476795</v>
      </c>
      <c r="AB132" s="33">
        <v>22.083113153124799</v>
      </c>
      <c r="AC132" s="33">
        <v>22.082599220956801</v>
      </c>
      <c r="AD132" s="33">
        <v>22.0810148265561</v>
      </c>
      <c r="AE132" s="15">
        <v>-4.1950169921733802E-4</v>
      </c>
      <c r="AF132" s="15">
        <v>-4.4277460212812199E-4</v>
      </c>
      <c r="AG132" s="15">
        <v>-5.1452572284607504E-4</v>
      </c>
      <c r="AI132" s="12"/>
      <c r="AJ132">
        <f t="shared" si="26"/>
        <v>0</v>
      </c>
      <c r="AK132">
        <f t="shared" si="27"/>
        <v>0</v>
      </c>
      <c r="AL132">
        <f t="shared" si="34"/>
        <v>0</v>
      </c>
      <c r="AM132">
        <f t="shared" si="24"/>
        <v>1</v>
      </c>
      <c r="AN132">
        <f t="shared" si="35"/>
        <v>0</v>
      </c>
      <c r="AO132" s="28">
        <f t="shared" si="28"/>
        <v>0</v>
      </c>
      <c r="AP132" s="28">
        <f t="shared" si="29"/>
        <v>0</v>
      </c>
      <c r="AQ132" s="28">
        <f t="shared" si="36"/>
        <v>0</v>
      </c>
      <c r="AR132" s="29">
        <f t="shared" si="37"/>
        <v>1.6646952644800981E-3</v>
      </c>
      <c r="AT132" s="12"/>
      <c r="AU132">
        <f t="shared" si="30"/>
        <v>0</v>
      </c>
      <c r="AV132">
        <f t="shared" si="31"/>
        <v>1</v>
      </c>
      <c r="AW132">
        <f t="shared" si="38"/>
        <v>0</v>
      </c>
      <c r="AX132">
        <f t="shared" si="25"/>
        <v>1</v>
      </c>
      <c r="AY132">
        <f t="shared" si="39"/>
        <v>0</v>
      </c>
      <c r="AZ132" s="28">
        <f t="shared" si="32"/>
        <v>0</v>
      </c>
      <c r="BA132" s="28">
        <f t="shared" si="33"/>
        <v>0</v>
      </c>
      <c r="BB132" s="28">
        <f t="shared" si="40"/>
        <v>0</v>
      </c>
      <c r="BC132" s="29">
        <f t="shared" si="41"/>
        <v>1.1662806753571799E-3</v>
      </c>
      <c r="BE132" s="29">
        <f t="shared" si="42"/>
        <v>0</v>
      </c>
      <c r="BF132" s="29">
        <f t="shared" si="43"/>
        <v>2.8309759398372778E-3</v>
      </c>
      <c r="BH132" s="29"/>
    </row>
    <row r="133" spans="1:60" x14ac:dyDescent="0.25">
      <c r="A133" s="1">
        <v>46217</v>
      </c>
      <c r="B133" s="33">
        <v>16.59</v>
      </c>
      <c r="C133" s="33">
        <v>21.65</v>
      </c>
      <c r="D133" s="15">
        <v>2.4140023792812298E-3</v>
      </c>
      <c r="E133" s="15">
        <v>2.3121397583793701E-3</v>
      </c>
      <c r="F133" s="33">
        <v>0</v>
      </c>
      <c r="G133" s="33">
        <v>0.37824999999999998</v>
      </c>
      <c r="H133" s="33">
        <v>0</v>
      </c>
      <c r="I133" s="33">
        <v>0.49237900000000001</v>
      </c>
      <c r="J133" s="33">
        <v>0.37824999999999998</v>
      </c>
      <c r="K133" s="33">
        <v>0.49237900000000001</v>
      </c>
      <c r="L133" s="33">
        <v>16.968250000000001</v>
      </c>
      <c r="M133" s="33">
        <v>22.142378999999998</v>
      </c>
      <c r="N133" s="34">
        <v>1.30500301386377</v>
      </c>
      <c r="O133" s="34">
        <v>1.3062602516891499</v>
      </c>
      <c r="P133" s="34">
        <v>1.3051086516462</v>
      </c>
      <c r="Q133" s="34">
        <v>1.3062311883542099</v>
      </c>
      <c r="R133" s="33">
        <v>21.670857575523002</v>
      </c>
      <c r="S133" s="33">
        <v>21.658968358148599</v>
      </c>
      <c r="T133" s="33">
        <v>21.669507609040899</v>
      </c>
      <c r="U133" s="15">
        <v>9.6293463712463195E-4</v>
      </c>
      <c r="V133" s="15">
        <v>4.1415709571699901E-4</v>
      </c>
      <c r="W133" s="15">
        <v>9.0063860077375501E-4</v>
      </c>
      <c r="X133" s="34">
        <v>1.3049300310874701</v>
      </c>
      <c r="Y133" s="34">
        <v>1.3045124660331</v>
      </c>
      <c r="Z133" s="34">
        <v>1.30455777423202</v>
      </c>
      <c r="AA133" s="34">
        <v>1.3044988161435001</v>
      </c>
      <c r="AB133" s="33">
        <v>22.135293651766201</v>
      </c>
      <c r="AC133" s="33">
        <v>22.135227411411002</v>
      </c>
      <c r="AD133" s="33">
        <v>22.1343328879837</v>
      </c>
      <c r="AE133" s="15">
        <v>-3.2004158619581999E-4</v>
      </c>
      <c r="AF133" s="15">
        <v>-3.2303411276092298E-4</v>
      </c>
      <c r="AG133" s="15">
        <v>-3.6344668615600302E-4</v>
      </c>
      <c r="AI133" s="12"/>
      <c r="AJ133">
        <f t="shared" si="26"/>
        <v>0</v>
      </c>
      <c r="AK133">
        <f t="shared" si="27"/>
        <v>0</v>
      </c>
      <c r="AL133">
        <f t="shared" si="34"/>
        <v>0</v>
      </c>
      <c r="AM133">
        <f t="shared" si="24"/>
        <v>1</v>
      </c>
      <c r="AN133">
        <f t="shared" si="35"/>
        <v>0</v>
      </c>
      <c r="AO133" s="28">
        <f t="shared" si="28"/>
        <v>0</v>
      </c>
      <c r="AP133" s="28">
        <f t="shared" si="29"/>
        <v>0</v>
      </c>
      <c r="AQ133" s="28">
        <f t="shared" si="36"/>
        <v>0</v>
      </c>
      <c r="AR133" s="29">
        <f t="shared" si="37"/>
        <v>1.6646952644800981E-3</v>
      </c>
      <c r="AT133" s="12"/>
      <c r="AU133">
        <f t="shared" si="30"/>
        <v>0</v>
      </c>
      <c r="AV133">
        <f t="shared" si="31"/>
        <v>1</v>
      </c>
      <c r="AW133">
        <f t="shared" si="38"/>
        <v>0</v>
      </c>
      <c r="AX133">
        <f t="shared" si="25"/>
        <v>1</v>
      </c>
      <c r="AY133">
        <f t="shared" si="39"/>
        <v>0</v>
      </c>
      <c r="AZ133" s="28">
        <f t="shared" si="32"/>
        <v>0</v>
      </c>
      <c r="BA133" s="28">
        <f t="shared" si="33"/>
        <v>0</v>
      </c>
      <c r="BB133" s="28">
        <f t="shared" si="40"/>
        <v>0</v>
      </c>
      <c r="BC133" s="29">
        <f t="shared" si="41"/>
        <v>1.1662806753571799E-3</v>
      </c>
      <c r="BE133" s="29">
        <f t="shared" si="42"/>
        <v>0</v>
      </c>
      <c r="BF133" s="29">
        <f t="shared" si="43"/>
        <v>2.8309759398372778E-3</v>
      </c>
      <c r="BH133" s="29"/>
    </row>
    <row r="134" spans="1:60" x14ac:dyDescent="0.25">
      <c r="A134" s="1">
        <v>46218</v>
      </c>
      <c r="B134" s="33">
        <v>16.64</v>
      </c>
      <c r="C134" s="33">
        <v>21.69</v>
      </c>
      <c r="D134" s="15">
        <v>3.0093311907094002E-3</v>
      </c>
      <c r="E134" s="15">
        <v>1.8458703902843501E-3</v>
      </c>
      <c r="F134" s="33">
        <v>0</v>
      </c>
      <c r="G134" s="33">
        <v>0.37824999999999998</v>
      </c>
      <c r="H134" s="33">
        <v>0</v>
      </c>
      <c r="I134" s="33">
        <v>0.49237900000000001</v>
      </c>
      <c r="J134" s="33">
        <v>0.37824999999999998</v>
      </c>
      <c r="K134" s="33">
        <v>0.49237900000000001</v>
      </c>
      <c r="L134" s="33">
        <v>17.018249999999998</v>
      </c>
      <c r="M134" s="33">
        <v>22.182379000000001</v>
      </c>
      <c r="N134" s="34">
        <v>1.30348557692307</v>
      </c>
      <c r="O134" s="34">
        <v>1.3062602516891499</v>
      </c>
      <c r="P134" s="34">
        <v>1.30444759395389</v>
      </c>
      <c r="Q134" s="34">
        <v>1.30619588636204</v>
      </c>
      <c r="R134" s="33">
        <v>21.736170588107399</v>
      </c>
      <c r="S134" s="33">
        <v>21.717007963392799</v>
      </c>
      <c r="T134" s="33">
        <v>21.735686974214001</v>
      </c>
      <c r="U134" s="15">
        <v>2.1263954375497101E-3</v>
      </c>
      <c r="V134" s="15">
        <v>1.2444058296242201E-3</v>
      </c>
      <c r="W134" s="15">
        <v>2.1041459216308402E-3</v>
      </c>
      <c r="X134" s="34">
        <v>1.3034465353370599</v>
      </c>
      <c r="Y134" s="34">
        <v>1.3045124660331</v>
      </c>
      <c r="Z134" s="34">
        <v>1.3043870810056299</v>
      </c>
      <c r="AA134" s="34">
        <v>1.3044560969835799</v>
      </c>
      <c r="AB134" s="33">
        <v>22.200519275067801</v>
      </c>
      <c r="AC134" s="33">
        <v>22.2012903413241</v>
      </c>
      <c r="AD134" s="33">
        <v>22.2002869778342</v>
      </c>
      <c r="AE134" s="15">
        <v>8.1744441138460701E-4</v>
      </c>
      <c r="AF134" s="15">
        <v>8.5217571008571597E-4</v>
      </c>
      <c r="AG134" s="15">
        <v>8.0698076204093101E-4</v>
      </c>
      <c r="AI134" s="12"/>
      <c r="AJ134">
        <f t="shared" si="26"/>
        <v>0</v>
      </c>
      <c r="AK134">
        <f t="shared" si="27"/>
        <v>1</v>
      </c>
      <c r="AL134">
        <f t="shared" si="34"/>
        <v>0</v>
      </c>
      <c r="AM134">
        <f t="shared" si="24"/>
        <v>1</v>
      </c>
      <c r="AN134">
        <f t="shared" si="35"/>
        <v>0</v>
      </c>
      <c r="AO134" s="28">
        <f t="shared" si="28"/>
        <v>0</v>
      </c>
      <c r="AP134" s="28">
        <f t="shared" si="29"/>
        <v>0</v>
      </c>
      <c r="AQ134" s="28">
        <f t="shared" si="36"/>
        <v>0</v>
      </c>
      <c r="AR134" s="29">
        <f t="shared" si="37"/>
        <v>1.6646952644800981E-3</v>
      </c>
      <c r="AT134" s="12"/>
      <c r="AU134">
        <f t="shared" si="30"/>
        <v>0</v>
      </c>
      <c r="AV134">
        <f t="shared" si="31"/>
        <v>0</v>
      </c>
      <c r="AW134">
        <f t="shared" si="38"/>
        <v>0</v>
      </c>
      <c r="AX134">
        <f t="shared" si="25"/>
        <v>1</v>
      </c>
      <c r="AY134">
        <f t="shared" si="39"/>
        <v>0</v>
      </c>
      <c r="AZ134" s="28">
        <f t="shared" si="32"/>
        <v>0</v>
      </c>
      <c r="BA134" s="28">
        <f t="shared" si="33"/>
        <v>0</v>
      </c>
      <c r="BB134" s="28">
        <f t="shared" si="40"/>
        <v>0</v>
      </c>
      <c r="BC134" s="29">
        <f t="shared" si="41"/>
        <v>1.1662806753571799E-3</v>
      </c>
      <c r="BE134" s="29">
        <f t="shared" si="42"/>
        <v>0</v>
      </c>
      <c r="BF134" s="29">
        <f t="shared" si="43"/>
        <v>2.8309759398372778E-3</v>
      </c>
      <c r="BH134" s="29"/>
    </row>
    <row r="135" spans="1:60" x14ac:dyDescent="0.25">
      <c r="A135" s="1">
        <v>46219</v>
      </c>
      <c r="B135" s="33">
        <v>16.63</v>
      </c>
      <c r="C135" s="33">
        <v>21.69</v>
      </c>
      <c r="D135" s="15">
        <v>-6.0114218822636205E-4</v>
      </c>
      <c r="E135" s="15">
        <v>0</v>
      </c>
      <c r="F135" s="33">
        <v>0</v>
      </c>
      <c r="G135" s="33">
        <v>0.37824999999999998</v>
      </c>
      <c r="H135" s="33">
        <v>0</v>
      </c>
      <c r="I135" s="33">
        <v>0.49237900000000001</v>
      </c>
      <c r="J135" s="33">
        <v>0.37824999999999998</v>
      </c>
      <c r="K135" s="33">
        <v>0.49237900000000001</v>
      </c>
      <c r="L135" s="33">
        <v>17.00825</v>
      </c>
      <c r="M135" s="33">
        <v>22.182379000000001</v>
      </c>
      <c r="N135" s="34">
        <v>1.30426939266386</v>
      </c>
      <c r="O135" s="34">
        <v>1.3062602516891499</v>
      </c>
      <c r="P135" s="34">
        <v>1.3043874616628499</v>
      </c>
      <c r="Q135" s="34">
        <v>1.3062387994422699</v>
      </c>
      <c r="R135" s="33">
        <v>21.723107985590499</v>
      </c>
      <c r="S135" s="33">
        <v>21.692963487453301</v>
      </c>
      <c r="T135" s="33">
        <v>21.722037590200699</v>
      </c>
      <c r="U135" s="15">
        <v>1.5252532493234001E-3</v>
      </c>
      <c r="V135" s="15">
        <v>1.3661987193530099E-4</v>
      </c>
      <c r="W135" s="15">
        <v>1.4759775304430899E-3</v>
      </c>
      <c r="X135" s="34">
        <v>1.30421289668249</v>
      </c>
      <c r="Y135" s="34">
        <v>1.3045124660331</v>
      </c>
      <c r="Z135" s="34">
        <v>1.3043282860090799</v>
      </c>
      <c r="AA135" s="34">
        <v>1.3044900035111699</v>
      </c>
      <c r="AB135" s="33">
        <v>22.1874741504075</v>
      </c>
      <c r="AC135" s="33">
        <v>22.185341570514002</v>
      </c>
      <c r="AD135" s="33">
        <v>22.186515411521</v>
      </c>
      <c r="AE135" s="15">
        <v>2.29667220788875E-4</v>
      </c>
      <c r="AF135" s="15">
        <v>1.3354621244317699E-4</v>
      </c>
      <c r="AG135" s="15">
        <v>1.8645547011814399E-4</v>
      </c>
      <c r="AI135" s="12"/>
      <c r="AJ135">
        <f t="shared" si="26"/>
        <v>0</v>
      </c>
      <c r="AK135">
        <f t="shared" si="27"/>
        <v>1</v>
      </c>
      <c r="AL135">
        <f t="shared" si="34"/>
        <v>0</v>
      </c>
      <c r="AM135">
        <f t="shared" si="24"/>
        <v>1</v>
      </c>
      <c r="AN135">
        <f t="shared" si="35"/>
        <v>0</v>
      </c>
      <c r="AO135" s="28">
        <f t="shared" si="28"/>
        <v>0</v>
      </c>
      <c r="AP135" s="28">
        <f t="shared" si="29"/>
        <v>0</v>
      </c>
      <c r="AQ135" s="28">
        <f t="shared" si="36"/>
        <v>0</v>
      </c>
      <c r="AR135" s="29">
        <f t="shared" si="37"/>
        <v>1.6646952644800981E-3</v>
      </c>
      <c r="AT135" s="12"/>
      <c r="AU135">
        <f t="shared" si="30"/>
        <v>0</v>
      </c>
      <c r="AV135">
        <f t="shared" si="31"/>
        <v>1</v>
      </c>
      <c r="AW135">
        <f t="shared" si="38"/>
        <v>0</v>
      </c>
      <c r="AX135">
        <f t="shared" si="25"/>
        <v>1</v>
      </c>
      <c r="AY135">
        <f t="shared" si="39"/>
        <v>0</v>
      </c>
      <c r="AZ135" s="28">
        <f t="shared" si="32"/>
        <v>0</v>
      </c>
      <c r="BA135" s="28">
        <f t="shared" si="33"/>
        <v>0</v>
      </c>
      <c r="BB135" s="28">
        <f t="shared" si="40"/>
        <v>0</v>
      </c>
      <c r="BC135" s="29">
        <f t="shared" si="41"/>
        <v>1.1662806753571799E-3</v>
      </c>
      <c r="BE135" s="29">
        <f t="shared" si="42"/>
        <v>0</v>
      </c>
      <c r="BF135" s="29">
        <f t="shared" si="43"/>
        <v>2.8309759398372778E-3</v>
      </c>
      <c r="BH135" s="29"/>
    </row>
    <row r="136" spans="1:60" x14ac:dyDescent="0.25">
      <c r="A136" s="1">
        <v>46220</v>
      </c>
      <c r="B136" s="33">
        <v>16.63</v>
      </c>
      <c r="C136" s="33">
        <v>21.69</v>
      </c>
      <c r="D136" s="15">
        <v>0</v>
      </c>
      <c r="E136" s="15">
        <v>0</v>
      </c>
      <c r="F136" s="33">
        <v>0</v>
      </c>
      <c r="G136" s="33">
        <v>0.37824999999999998</v>
      </c>
      <c r="H136" s="33">
        <v>0</v>
      </c>
      <c r="I136" s="33">
        <v>0.49237900000000001</v>
      </c>
      <c r="J136" s="33">
        <v>0.37824999999999998</v>
      </c>
      <c r="K136" s="33">
        <v>0.49237900000000001</v>
      </c>
      <c r="L136" s="33">
        <v>17.00825</v>
      </c>
      <c r="M136" s="33">
        <v>22.182379000000001</v>
      </c>
      <c r="N136" s="34">
        <v>1.30426939266386</v>
      </c>
      <c r="O136" s="34">
        <v>1.3062602516891499</v>
      </c>
      <c r="P136" s="34">
        <v>1.3044422520696899</v>
      </c>
      <c r="Q136" s="34">
        <v>1.3062178940754601</v>
      </c>
      <c r="R136" s="33">
        <v>21.723107985590499</v>
      </c>
      <c r="S136" s="33">
        <v>21.6919634874533</v>
      </c>
      <c r="T136" s="33">
        <v>21.722751234724999</v>
      </c>
      <c r="U136" s="15">
        <v>1.5252532493234001E-3</v>
      </c>
      <c r="V136" s="15">
        <v>9.0520912231609906E-5</v>
      </c>
      <c r="W136" s="15">
        <v>1.50883047062771E-3</v>
      </c>
      <c r="X136" s="34">
        <v>1.30421289668249</v>
      </c>
      <c r="Y136" s="34">
        <v>1.3045124660331</v>
      </c>
      <c r="Z136" s="34">
        <v>1.3043818501186599</v>
      </c>
      <c r="AA136" s="34">
        <v>1.3044612481787301</v>
      </c>
      <c r="AB136" s="33">
        <v>22.1874741504075</v>
      </c>
      <c r="AC136" s="33">
        <v>22.184341570514</v>
      </c>
      <c r="AD136" s="33">
        <v>22.187092102218902</v>
      </c>
      <c r="AE136" s="15">
        <v>2.29667220788875E-4</v>
      </c>
      <c r="AF136" s="15">
        <v>8.8470389071148995E-5</v>
      </c>
      <c r="AG136" s="15">
        <v>2.1244797918843099E-4</v>
      </c>
      <c r="AI136" s="12"/>
      <c r="AJ136">
        <f t="shared" si="26"/>
        <v>0</v>
      </c>
      <c r="AK136">
        <f t="shared" si="27"/>
        <v>1</v>
      </c>
      <c r="AL136">
        <f t="shared" si="34"/>
        <v>0</v>
      </c>
      <c r="AM136">
        <f t="shared" si="24"/>
        <v>0</v>
      </c>
      <c r="AN136">
        <f t="shared" si="35"/>
        <v>0</v>
      </c>
      <c r="AO136" s="28">
        <f t="shared" si="28"/>
        <v>0</v>
      </c>
      <c r="AP136" s="28">
        <f t="shared" si="29"/>
        <v>0</v>
      </c>
      <c r="AQ136" s="28">
        <f t="shared" si="36"/>
        <v>0</v>
      </c>
      <c r="AR136" s="29">
        <f t="shared" si="37"/>
        <v>1.6646952644800981E-3</v>
      </c>
      <c r="AT136" s="12"/>
      <c r="AU136">
        <f t="shared" si="30"/>
        <v>0</v>
      </c>
      <c r="AV136">
        <f t="shared" si="31"/>
        <v>0</v>
      </c>
      <c r="AW136">
        <f t="shared" si="38"/>
        <v>0</v>
      </c>
      <c r="AX136">
        <f t="shared" si="25"/>
        <v>0</v>
      </c>
      <c r="AY136">
        <f t="shared" si="39"/>
        <v>0</v>
      </c>
      <c r="AZ136" s="28">
        <f t="shared" si="32"/>
        <v>0</v>
      </c>
      <c r="BA136" s="28">
        <f t="shared" si="33"/>
        <v>0</v>
      </c>
      <c r="BB136" s="28">
        <f t="shared" si="40"/>
        <v>0</v>
      </c>
      <c r="BC136" s="29">
        <f t="shared" si="41"/>
        <v>1.1662806753571799E-3</v>
      </c>
      <c r="BE136" s="29">
        <f t="shared" si="42"/>
        <v>0</v>
      </c>
      <c r="BF136" s="29">
        <f t="shared" si="43"/>
        <v>2.8309759398372778E-3</v>
      </c>
      <c r="BH136" s="29"/>
    </row>
    <row r="137" spans="1:60" x14ac:dyDescent="0.25">
      <c r="A137" s="1">
        <v>46223</v>
      </c>
      <c r="B137" s="33">
        <v>16.54</v>
      </c>
      <c r="C137" s="33">
        <v>21.66</v>
      </c>
      <c r="D137" s="15">
        <v>-5.4266036092910398E-3</v>
      </c>
      <c r="E137" s="15">
        <v>-1.3840832659385599E-3</v>
      </c>
      <c r="F137" s="33">
        <v>6.3909999999999995E-2</v>
      </c>
      <c r="G137" s="33">
        <v>0.44216</v>
      </c>
      <c r="H137" s="33">
        <v>0</v>
      </c>
      <c r="I137" s="33">
        <v>0.49237900000000001</v>
      </c>
      <c r="J137" s="33">
        <v>0.44216</v>
      </c>
      <c r="K137" s="33">
        <v>0.49237900000000001</v>
      </c>
      <c r="L137" s="33">
        <v>16.98216</v>
      </c>
      <c r="M137" s="33">
        <v>22.152379</v>
      </c>
      <c r="N137" s="34">
        <v>1.3095525997581601</v>
      </c>
      <c r="O137" s="34">
        <v>1.3062602516891499</v>
      </c>
      <c r="P137" s="34">
        <v>1.30484529115715</v>
      </c>
      <c r="Q137" s="34">
        <v>1.30641941361919</v>
      </c>
      <c r="R137" s="33">
        <v>21.605544562938501</v>
      </c>
      <c r="S137" s="33">
        <v>21.575474849232801</v>
      </c>
      <c r="T137" s="33">
        <v>21.604843968008201</v>
      </c>
      <c r="U137" s="15">
        <v>-2.5172670940290499E-3</v>
      </c>
      <c r="V137" s="15">
        <v>-3.9099956111231403E-3</v>
      </c>
      <c r="W137" s="15">
        <v>-2.5496942465844299E-3</v>
      </c>
      <c r="X137" s="34">
        <v>1.3044500228475</v>
      </c>
      <c r="Y137" s="34">
        <v>1.3045124660331</v>
      </c>
      <c r="Z137" s="34">
        <v>1.3042830524239499</v>
      </c>
      <c r="AA137" s="34">
        <v>1.30440339178689</v>
      </c>
      <c r="AB137" s="33">
        <v>22.153439420168699</v>
      </c>
      <c r="AC137" s="33">
        <v>22.1512212798112</v>
      </c>
      <c r="AD137" s="33">
        <v>22.152569630370898</v>
      </c>
      <c r="AE137" s="15">
        <v>4.7868212652264101E-5</v>
      </c>
      <c r="AF137" s="15">
        <v>-5.2263029718840999E-5</v>
      </c>
      <c r="AG137" s="15">
        <v>8.6053760051384508E-6</v>
      </c>
      <c r="AI137" s="12"/>
      <c r="AJ137">
        <f t="shared" si="26"/>
        <v>0</v>
      </c>
      <c r="AK137">
        <f t="shared" si="27"/>
        <v>1</v>
      </c>
      <c r="AL137">
        <f t="shared" si="34"/>
        <v>0</v>
      </c>
      <c r="AM137">
        <f t="shared" si="24"/>
        <v>1</v>
      </c>
      <c r="AN137">
        <f t="shared" si="35"/>
        <v>0</v>
      </c>
      <c r="AO137" s="28">
        <f t="shared" si="28"/>
        <v>0</v>
      </c>
      <c r="AP137" s="28">
        <f t="shared" si="29"/>
        <v>0</v>
      </c>
      <c r="AQ137" s="28">
        <f t="shared" si="36"/>
        <v>0</v>
      </c>
      <c r="AR137" s="29">
        <f t="shared" si="37"/>
        <v>1.6646952644800981E-3</v>
      </c>
      <c r="AT137" s="12"/>
      <c r="AU137">
        <f t="shared" si="30"/>
        <v>0</v>
      </c>
      <c r="AV137">
        <f t="shared" si="31"/>
        <v>1</v>
      </c>
      <c r="AW137">
        <f t="shared" si="38"/>
        <v>0</v>
      </c>
      <c r="AX137">
        <f t="shared" si="25"/>
        <v>1</v>
      </c>
      <c r="AY137">
        <f t="shared" si="39"/>
        <v>0</v>
      </c>
      <c r="AZ137" s="28">
        <f t="shared" si="32"/>
        <v>0</v>
      </c>
      <c r="BA137" s="28">
        <f t="shared" si="33"/>
        <v>0</v>
      </c>
      <c r="BB137" s="28">
        <f t="shared" si="40"/>
        <v>0</v>
      </c>
      <c r="BC137" s="29">
        <f t="shared" si="41"/>
        <v>1.1662806753571799E-3</v>
      </c>
      <c r="BE137" s="29">
        <f t="shared" si="42"/>
        <v>0</v>
      </c>
      <c r="BF137" s="29">
        <f t="shared" si="43"/>
        <v>2.8309759398372778E-3</v>
      </c>
      <c r="BH137" s="29"/>
    </row>
    <row r="138" spans="1:60" x14ac:dyDescent="0.25">
      <c r="A138" s="1">
        <v>46224</v>
      </c>
      <c r="B138" s="33">
        <v>16.52</v>
      </c>
      <c r="C138" s="33">
        <v>21.64</v>
      </c>
      <c r="D138" s="15">
        <v>-1.20992150271319E-3</v>
      </c>
      <c r="E138" s="15">
        <v>-9.2378759456377096E-4</v>
      </c>
      <c r="F138" s="33">
        <v>0</v>
      </c>
      <c r="G138" s="33">
        <v>0.44216</v>
      </c>
      <c r="H138" s="33">
        <v>0</v>
      </c>
      <c r="I138" s="33">
        <v>0.49237900000000001</v>
      </c>
      <c r="J138" s="33">
        <v>0.44216</v>
      </c>
      <c r="K138" s="33">
        <v>0.49237900000000001</v>
      </c>
      <c r="L138" s="33">
        <v>16.962160000000001</v>
      </c>
      <c r="M138" s="33">
        <v>22.132379</v>
      </c>
      <c r="N138" s="34">
        <v>1.3099273607748101</v>
      </c>
      <c r="O138" s="34">
        <v>1.3062602516891499</v>
      </c>
      <c r="P138" s="34">
        <v>1.3054529490156199</v>
      </c>
      <c r="Q138" s="34">
        <v>1.3064847991383399</v>
      </c>
      <c r="R138" s="33">
        <v>21.579419357904701</v>
      </c>
      <c r="S138" s="33">
        <v>21.556044209916202</v>
      </c>
      <c r="T138" s="33">
        <v>21.582048712989099</v>
      </c>
      <c r="U138" s="15">
        <v>-2.8034010021785998E-3</v>
      </c>
      <c r="V138" s="15">
        <v>-3.88720297592358E-3</v>
      </c>
      <c r="W138" s="15">
        <v>-2.68156292738181E-3</v>
      </c>
      <c r="X138" s="34">
        <v>1.3048089983822799</v>
      </c>
      <c r="Y138" s="34">
        <v>1.3045124660331</v>
      </c>
      <c r="Z138" s="34">
        <v>1.3043835954607499</v>
      </c>
      <c r="AA138" s="34">
        <v>1.30445907604072</v>
      </c>
      <c r="AB138" s="33">
        <v>22.127349170847999</v>
      </c>
      <c r="AC138" s="33">
        <v>22.1234578205035</v>
      </c>
      <c r="AD138" s="33">
        <v>22.125499036032</v>
      </c>
      <c r="AE138" s="15">
        <v>-2.2728694375014801E-4</v>
      </c>
      <c r="AF138" s="15">
        <v>-4.0316397827612097E-4</v>
      </c>
      <c r="AG138" s="15">
        <v>-3.1090347430607701E-4</v>
      </c>
      <c r="AI138" s="12"/>
      <c r="AJ138">
        <f t="shared" si="26"/>
        <v>0</v>
      </c>
      <c r="AK138">
        <f t="shared" si="27"/>
        <v>0</v>
      </c>
      <c r="AL138">
        <f t="shared" si="34"/>
        <v>0</v>
      </c>
      <c r="AM138">
        <f t="shared" si="24"/>
        <v>1</v>
      </c>
      <c r="AN138">
        <f t="shared" si="35"/>
        <v>0</v>
      </c>
      <c r="AO138" s="28">
        <f t="shared" si="28"/>
        <v>0</v>
      </c>
      <c r="AP138" s="28">
        <f t="shared" si="29"/>
        <v>0</v>
      </c>
      <c r="AQ138" s="28">
        <f t="shared" si="36"/>
        <v>0</v>
      </c>
      <c r="AR138" s="29">
        <f t="shared" si="37"/>
        <v>1.6646952644800981E-3</v>
      </c>
      <c r="AT138" s="12"/>
      <c r="AU138">
        <f t="shared" si="30"/>
        <v>0</v>
      </c>
      <c r="AV138">
        <f t="shared" si="31"/>
        <v>1</v>
      </c>
      <c r="AW138">
        <f t="shared" si="38"/>
        <v>0</v>
      </c>
      <c r="AX138">
        <f t="shared" si="25"/>
        <v>1</v>
      </c>
      <c r="AY138">
        <f t="shared" si="39"/>
        <v>0</v>
      </c>
      <c r="AZ138" s="28">
        <f t="shared" si="32"/>
        <v>0</v>
      </c>
      <c r="BA138" s="28">
        <f t="shared" si="33"/>
        <v>0</v>
      </c>
      <c r="BB138" s="28">
        <f t="shared" si="40"/>
        <v>0</v>
      </c>
      <c r="BC138" s="29">
        <f t="shared" si="41"/>
        <v>1.1662806753571799E-3</v>
      </c>
      <c r="BE138" s="29">
        <f t="shared" si="42"/>
        <v>0</v>
      </c>
      <c r="BF138" s="29">
        <f t="shared" si="43"/>
        <v>2.8309759398372778E-3</v>
      </c>
      <c r="BH138" s="29"/>
    </row>
    <row r="139" spans="1:60" x14ac:dyDescent="0.25">
      <c r="A139" s="1">
        <v>46225</v>
      </c>
      <c r="B139" s="33">
        <v>16.5</v>
      </c>
      <c r="C139" s="33">
        <v>21.6</v>
      </c>
      <c r="D139" s="15">
        <v>-1.2113871862970899E-3</v>
      </c>
      <c r="E139" s="15">
        <v>-1.85013928816136E-3</v>
      </c>
      <c r="F139" s="33">
        <v>0</v>
      </c>
      <c r="G139" s="33">
        <v>0.44216</v>
      </c>
      <c r="H139" s="33">
        <v>0</v>
      </c>
      <c r="I139" s="33">
        <v>0.49237900000000001</v>
      </c>
      <c r="J139" s="33">
        <v>0.44216</v>
      </c>
      <c r="K139" s="33">
        <v>0.49237900000000001</v>
      </c>
      <c r="L139" s="33">
        <v>16.942160000000001</v>
      </c>
      <c r="M139" s="33">
        <v>22.092379000000001</v>
      </c>
      <c r="N139" s="34">
        <v>1.3090909090909</v>
      </c>
      <c r="O139" s="34">
        <v>1.3062602516891499</v>
      </c>
      <c r="P139" s="34">
        <v>1.3059403531777301</v>
      </c>
      <c r="Q139" s="34">
        <v>1.3064480847978299</v>
      </c>
      <c r="R139" s="33">
        <v>21.553294152871</v>
      </c>
      <c r="S139" s="33">
        <v>21.539973658757798</v>
      </c>
      <c r="T139" s="33">
        <v>21.556999185782701</v>
      </c>
      <c r="U139" s="15">
        <v>-2.1646489003142198E-3</v>
      </c>
      <c r="V139" s="15">
        <v>-2.7828658615166599E-3</v>
      </c>
      <c r="W139" s="15">
        <v>-1.9927626692586402E-3</v>
      </c>
      <c r="X139" s="34">
        <v>1.30398833442725</v>
      </c>
      <c r="Y139" s="34">
        <v>1.3045124660331</v>
      </c>
      <c r="Z139" s="34">
        <v>1.3043662847190001</v>
      </c>
      <c r="AA139" s="34">
        <v>1.3044147935002199</v>
      </c>
      <c r="AB139" s="33">
        <v>22.1012589215274</v>
      </c>
      <c r="AC139" s="33">
        <v>22.0990755756713</v>
      </c>
      <c r="AD139" s="33">
        <v>22.1003543797341</v>
      </c>
      <c r="AE139" s="15">
        <v>4.0186425307097101E-4</v>
      </c>
      <c r="AF139" s="15">
        <v>3.0307107050005498E-4</v>
      </c>
      <c r="AG139" s="15">
        <v>3.6093625402852702E-4</v>
      </c>
      <c r="AI139" s="12"/>
      <c r="AJ139">
        <f t="shared" si="26"/>
        <v>0</v>
      </c>
      <c r="AK139">
        <f t="shared" si="27"/>
        <v>1</v>
      </c>
      <c r="AL139">
        <f t="shared" si="34"/>
        <v>0</v>
      </c>
      <c r="AM139">
        <f t="shared" si="24"/>
        <v>1</v>
      </c>
      <c r="AN139">
        <f t="shared" si="35"/>
        <v>0</v>
      </c>
      <c r="AO139" s="28">
        <f t="shared" si="28"/>
        <v>0</v>
      </c>
      <c r="AP139" s="28">
        <f t="shared" si="29"/>
        <v>0</v>
      </c>
      <c r="AQ139" s="28">
        <f t="shared" si="36"/>
        <v>0</v>
      </c>
      <c r="AR139" s="29">
        <f t="shared" si="37"/>
        <v>1.6646952644800981E-3</v>
      </c>
      <c r="AT139" s="12"/>
      <c r="AU139">
        <f t="shared" si="30"/>
        <v>0</v>
      </c>
      <c r="AV139">
        <f t="shared" si="31"/>
        <v>0</v>
      </c>
      <c r="AW139">
        <f t="shared" si="38"/>
        <v>0</v>
      </c>
      <c r="AX139">
        <f t="shared" si="25"/>
        <v>1</v>
      </c>
      <c r="AY139">
        <f t="shared" si="39"/>
        <v>0</v>
      </c>
      <c r="AZ139" s="28">
        <f t="shared" si="32"/>
        <v>0</v>
      </c>
      <c r="BA139" s="28">
        <f t="shared" si="33"/>
        <v>0</v>
      </c>
      <c r="BB139" s="28">
        <f t="shared" si="40"/>
        <v>0</v>
      </c>
      <c r="BC139" s="29">
        <f t="shared" si="41"/>
        <v>1.1662806753571799E-3</v>
      </c>
      <c r="BE139" s="29">
        <f t="shared" si="42"/>
        <v>0</v>
      </c>
      <c r="BF139" s="29">
        <f t="shared" si="43"/>
        <v>2.8309759398372778E-3</v>
      </c>
      <c r="BH139" s="29"/>
    </row>
    <row r="140" spans="1:60" x14ac:dyDescent="0.25">
      <c r="A140" s="1">
        <v>46226</v>
      </c>
      <c r="B140" s="33">
        <v>16.46</v>
      </c>
      <c r="C140" s="33">
        <v>21.56</v>
      </c>
      <c r="D140" s="15">
        <v>-2.4271856576110699E-3</v>
      </c>
      <c r="E140" s="15">
        <v>-1.8535686493230501E-3</v>
      </c>
      <c r="F140" s="33">
        <v>0</v>
      </c>
      <c r="G140" s="33">
        <v>0.44216</v>
      </c>
      <c r="H140" s="33">
        <v>0</v>
      </c>
      <c r="I140" s="33">
        <v>0.49237900000000001</v>
      </c>
      <c r="J140" s="33">
        <v>0.44216</v>
      </c>
      <c r="K140" s="33">
        <v>0.49237900000000001</v>
      </c>
      <c r="L140" s="33">
        <v>16.902159999999999</v>
      </c>
      <c r="M140" s="33">
        <v>22.052378999999998</v>
      </c>
      <c r="N140" s="34">
        <v>1.30984204131227</v>
      </c>
      <c r="O140" s="34">
        <v>1.3062602516891499</v>
      </c>
      <c r="P140" s="34">
        <v>1.30647931061822</v>
      </c>
      <c r="Q140" s="34">
        <v>1.30649547532498</v>
      </c>
      <c r="R140" s="33">
        <v>21.5010437428034</v>
      </c>
      <c r="S140" s="33">
        <v>21.4957782133054</v>
      </c>
      <c r="T140" s="33">
        <v>21.504135475772301</v>
      </c>
      <c r="U140" s="15">
        <v>-2.7382659086022899E-3</v>
      </c>
      <c r="V140" s="15">
        <v>-2.9831923605937202E-3</v>
      </c>
      <c r="W140" s="15">
        <v>-2.5944816932853901E-3</v>
      </c>
      <c r="X140" s="34">
        <v>1.30470774149576</v>
      </c>
      <c r="Y140" s="34">
        <v>1.3045124660331</v>
      </c>
      <c r="Z140" s="34">
        <v>1.30439787248174</v>
      </c>
      <c r="AA140" s="34">
        <v>1.30445126764331</v>
      </c>
      <c r="AB140" s="33">
        <v>22.049078422886002</v>
      </c>
      <c r="AC140" s="33">
        <v>22.046607642926201</v>
      </c>
      <c r="AD140" s="33">
        <v>22.047427546107802</v>
      </c>
      <c r="AE140" s="15">
        <v>-1.4968109051042601E-4</v>
      </c>
      <c r="AF140" s="15">
        <v>-2.6174556587770903E-4</v>
      </c>
      <c r="AG140" s="15">
        <v>-2.2455671807967899E-4</v>
      </c>
      <c r="AI140" s="12"/>
      <c r="AJ140">
        <f t="shared" si="26"/>
        <v>0</v>
      </c>
      <c r="AK140">
        <f t="shared" si="27"/>
        <v>0</v>
      </c>
      <c r="AL140">
        <f t="shared" si="34"/>
        <v>0</v>
      </c>
      <c r="AM140">
        <f t="shared" si="24"/>
        <v>1</v>
      </c>
      <c r="AN140">
        <f t="shared" si="35"/>
        <v>0</v>
      </c>
      <c r="AO140" s="28">
        <f t="shared" si="28"/>
        <v>0</v>
      </c>
      <c r="AP140" s="28">
        <f t="shared" si="29"/>
        <v>0</v>
      </c>
      <c r="AQ140" s="28">
        <f t="shared" si="36"/>
        <v>0</v>
      </c>
      <c r="AR140" s="29">
        <f t="shared" si="37"/>
        <v>1.6646952644800981E-3</v>
      </c>
      <c r="AT140" s="12"/>
      <c r="AU140">
        <f t="shared" si="30"/>
        <v>0</v>
      </c>
      <c r="AV140">
        <f t="shared" si="31"/>
        <v>1</v>
      </c>
      <c r="AW140">
        <f t="shared" si="38"/>
        <v>0</v>
      </c>
      <c r="AX140">
        <f t="shared" si="25"/>
        <v>1</v>
      </c>
      <c r="AY140">
        <f t="shared" si="39"/>
        <v>0</v>
      </c>
      <c r="AZ140" s="28">
        <f t="shared" si="32"/>
        <v>0</v>
      </c>
      <c r="BA140" s="28">
        <f t="shared" si="33"/>
        <v>0</v>
      </c>
      <c r="BB140" s="28">
        <f t="shared" si="40"/>
        <v>0</v>
      </c>
      <c r="BC140" s="29">
        <f t="shared" si="41"/>
        <v>1.1662806753571799E-3</v>
      </c>
      <c r="BE140" s="29">
        <f t="shared" si="42"/>
        <v>0</v>
      </c>
      <c r="BF140" s="29">
        <f t="shared" si="43"/>
        <v>2.8309759398372778E-3</v>
      </c>
      <c r="BH140" s="29"/>
    </row>
    <row r="141" spans="1:60" x14ac:dyDescent="0.25">
      <c r="A141" s="1">
        <v>46227</v>
      </c>
      <c r="B141" s="33">
        <v>16.48</v>
      </c>
      <c r="C141" s="33">
        <v>21.59</v>
      </c>
      <c r="D141" s="15">
        <v>1.2143292324017501E-3</v>
      </c>
      <c r="E141" s="15">
        <v>1.3904984859196799E-3</v>
      </c>
      <c r="F141" s="33">
        <v>0</v>
      </c>
      <c r="G141" s="33">
        <v>0.44216</v>
      </c>
      <c r="H141" s="33">
        <v>0</v>
      </c>
      <c r="I141" s="33">
        <v>0.49237900000000001</v>
      </c>
      <c r="J141" s="33">
        <v>0.44216</v>
      </c>
      <c r="K141" s="33">
        <v>0.49237900000000001</v>
      </c>
      <c r="L141" s="33">
        <v>16.922160000000002</v>
      </c>
      <c r="M141" s="33">
        <v>22.082379</v>
      </c>
      <c r="N141" s="34">
        <v>1.31007281553398</v>
      </c>
      <c r="O141" s="34">
        <v>1.3062602516891499</v>
      </c>
      <c r="P141" s="34">
        <v>1.3070649054246299</v>
      </c>
      <c r="Q141" s="34">
        <v>1.30653365063622</v>
      </c>
      <c r="R141" s="33">
        <v>21.5271689478372</v>
      </c>
      <c r="S141" s="33">
        <v>21.5307790389883</v>
      </c>
      <c r="T141" s="33">
        <v>21.5310454333557</v>
      </c>
      <c r="U141" s="15">
        <v>-2.91443516212004E-3</v>
      </c>
      <c r="V141" s="15">
        <v>-2.7467499226527699E-3</v>
      </c>
      <c r="W141" s="15">
        <v>-2.7343772760814E-3</v>
      </c>
      <c r="X141" s="34">
        <v>1.3049385539434599</v>
      </c>
      <c r="Y141" s="34">
        <v>1.3045124660331</v>
      </c>
      <c r="Z141" s="34">
        <v>1.30447558369162</v>
      </c>
      <c r="AA141" s="34">
        <v>1.30447884514301</v>
      </c>
      <c r="AB141" s="33">
        <v>22.075168672206701</v>
      </c>
      <c r="AC141" s="33">
        <v>22.073229501795701</v>
      </c>
      <c r="AD141" s="33">
        <v>22.074133063262899</v>
      </c>
      <c r="AE141" s="15">
        <v>-3.2657283918296998E-4</v>
      </c>
      <c r="AF141" s="15">
        <v>-4.1442066571560897E-4</v>
      </c>
      <c r="AG141" s="15">
        <v>-3.7348678360742501E-4</v>
      </c>
      <c r="AI141" s="12"/>
      <c r="AJ141">
        <f t="shared" si="26"/>
        <v>0</v>
      </c>
      <c r="AK141">
        <f t="shared" si="27"/>
        <v>0</v>
      </c>
      <c r="AL141">
        <f t="shared" si="34"/>
        <v>0</v>
      </c>
      <c r="AM141">
        <f t="shared" si="24"/>
        <v>1</v>
      </c>
      <c r="AN141">
        <f t="shared" si="35"/>
        <v>0</v>
      </c>
      <c r="AO141" s="28">
        <f t="shared" si="28"/>
        <v>0</v>
      </c>
      <c r="AP141" s="28">
        <f t="shared" si="29"/>
        <v>0</v>
      </c>
      <c r="AQ141" s="28">
        <f t="shared" si="36"/>
        <v>0</v>
      </c>
      <c r="AR141" s="29">
        <f t="shared" si="37"/>
        <v>1.6646952644800981E-3</v>
      </c>
      <c r="AT141" s="12"/>
      <c r="AU141">
        <f t="shared" si="30"/>
        <v>0</v>
      </c>
      <c r="AV141">
        <f t="shared" si="31"/>
        <v>1</v>
      </c>
      <c r="AW141">
        <f t="shared" si="38"/>
        <v>0</v>
      </c>
      <c r="AX141">
        <f t="shared" si="25"/>
        <v>1</v>
      </c>
      <c r="AY141">
        <f t="shared" si="39"/>
        <v>0</v>
      </c>
      <c r="AZ141" s="28">
        <f t="shared" si="32"/>
        <v>0</v>
      </c>
      <c r="BA141" s="28">
        <f t="shared" si="33"/>
        <v>0</v>
      </c>
      <c r="BB141" s="28">
        <f t="shared" si="40"/>
        <v>0</v>
      </c>
      <c r="BC141" s="29">
        <f t="shared" si="41"/>
        <v>1.1662806753571799E-3</v>
      </c>
      <c r="BE141" s="29">
        <f t="shared" si="42"/>
        <v>0</v>
      </c>
      <c r="BF141" s="29">
        <f t="shared" si="43"/>
        <v>2.8309759398372778E-3</v>
      </c>
      <c r="BH141" s="29"/>
    </row>
    <row r="142" spans="1:60" x14ac:dyDescent="0.25">
      <c r="A142" s="1">
        <v>46230</v>
      </c>
      <c r="B142" s="33">
        <v>16.5</v>
      </c>
      <c r="C142" s="33">
        <v>21.6</v>
      </c>
      <c r="D142" s="15">
        <v>1.2128564252092201E-3</v>
      </c>
      <c r="E142" s="15">
        <v>4.6307016340331898E-4</v>
      </c>
      <c r="F142" s="33">
        <v>0</v>
      </c>
      <c r="G142" s="33">
        <v>0.44216</v>
      </c>
      <c r="H142" s="33">
        <v>0</v>
      </c>
      <c r="I142" s="33">
        <v>0.49237900000000001</v>
      </c>
      <c r="J142" s="33">
        <v>0.44216</v>
      </c>
      <c r="K142" s="33">
        <v>0.49237900000000001</v>
      </c>
      <c r="L142" s="33">
        <v>16.942160000000001</v>
      </c>
      <c r="M142" s="33">
        <v>22.092379000000001</v>
      </c>
      <c r="N142" s="34">
        <v>1.3090909090909</v>
      </c>
      <c r="O142" s="34">
        <v>1.3062602516891499</v>
      </c>
      <c r="P142" s="34">
        <v>1.3074604011675599</v>
      </c>
      <c r="Q142" s="34">
        <v>1.30650200161297</v>
      </c>
      <c r="R142" s="33">
        <v>21.553294152871</v>
      </c>
      <c r="S142" s="33">
        <v>21.566570939506398</v>
      </c>
      <c r="T142" s="33">
        <v>21.5578052354976</v>
      </c>
      <c r="U142" s="15">
        <v>-2.1646489003142198E-3</v>
      </c>
      <c r="V142" s="15">
        <v>-1.5488405239854001E-3</v>
      </c>
      <c r="W142" s="15">
        <v>-1.9553718135733702E-3</v>
      </c>
      <c r="X142" s="34">
        <v>1.30398833442725</v>
      </c>
      <c r="Y142" s="34">
        <v>1.3045124660331</v>
      </c>
      <c r="Z142" s="34">
        <v>1.3043684345313</v>
      </c>
      <c r="AA142" s="34">
        <v>1.30443849839101</v>
      </c>
      <c r="AB142" s="33">
        <v>22.1012589215274</v>
      </c>
      <c r="AC142" s="33">
        <v>22.100634054996799</v>
      </c>
      <c r="AD142" s="33">
        <v>22.100689311028201</v>
      </c>
      <c r="AE142" s="15">
        <v>4.0186425307097101E-4</v>
      </c>
      <c r="AF142" s="15">
        <v>3.7359096030074602E-4</v>
      </c>
      <c r="AG142" s="15">
        <v>3.7609115835608497E-4</v>
      </c>
      <c r="AI142" s="12"/>
      <c r="AJ142">
        <f t="shared" si="26"/>
        <v>0</v>
      </c>
      <c r="AK142">
        <f t="shared" si="27"/>
        <v>1</v>
      </c>
      <c r="AL142">
        <f t="shared" si="34"/>
        <v>0</v>
      </c>
      <c r="AM142">
        <f t="shared" si="24"/>
        <v>1</v>
      </c>
      <c r="AN142">
        <f t="shared" si="35"/>
        <v>0</v>
      </c>
      <c r="AO142" s="28">
        <f t="shared" si="28"/>
        <v>0</v>
      </c>
      <c r="AP142" s="28">
        <f t="shared" si="29"/>
        <v>0</v>
      </c>
      <c r="AQ142" s="28">
        <f t="shared" si="36"/>
        <v>0</v>
      </c>
      <c r="AR142" s="29">
        <f t="shared" si="37"/>
        <v>1.6646952644800981E-3</v>
      </c>
      <c r="AT142" s="12"/>
      <c r="AU142">
        <f t="shared" si="30"/>
        <v>0</v>
      </c>
      <c r="AV142">
        <f t="shared" si="31"/>
        <v>0</v>
      </c>
      <c r="AW142">
        <f t="shared" si="38"/>
        <v>0</v>
      </c>
      <c r="AX142">
        <f t="shared" si="25"/>
        <v>1</v>
      </c>
      <c r="AY142">
        <f t="shared" si="39"/>
        <v>0</v>
      </c>
      <c r="AZ142" s="28">
        <f t="shared" si="32"/>
        <v>0</v>
      </c>
      <c r="BA142" s="28">
        <f t="shared" si="33"/>
        <v>0</v>
      </c>
      <c r="BB142" s="28">
        <f t="shared" si="40"/>
        <v>0</v>
      </c>
      <c r="BC142" s="29">
        <f t="shared" si="41"/>
        <v>1.1662806753571799E-3</v>
      </c>
      <c r="BE142" s="29">
        <f t="shared" si="42"/>
        <v>0</v>
      </c>
      <c r="BF142" s="29">
        <f t="shared" si="43"/>
        <v>2.8309759398372778E-3</v>
      </c>
      <c r="BH142" s="29"/>
    </row>
    <row r="143" spans="1:60" x14ac:dyDescent="0.25">
      <c r="A143" s="1">
        <v>46231</v>
      </c>
      <c r="B143" s="33">
        <v>16.52</v>
      </c>
      <c r="C143" s="33">
        <v>21.64</v>
      </c>
      <c r="D143" s="15">
        <v>1.2113871862970799E-3</v>
      </c>
      <c r="E143" s="15">
        <v>1.85013928816137E-3</v>
      </c>
      <c r="F143" s="33">
        <v>0</v>
      </c>
      <c r="G143" s="33">
        <v>0.44216</v>
      </c>
      <c r="H143" s="33">
        <v>0</v>
      </c>
      <c r="I143" s="33">
        <v>0.49237900000000001</v>
      </c>
      <c r="J143" s="33">
        <v>0.44216</v>
      </c>
      <c r="K143" s="33">
        <v>0.49237900000000001</v>
      </c>
      <c r="L143" s="33">
        <v>16.962160000000001</v>
      </c>
      <c r="M143" s="33">
        <v>22.132379</v>
      </c>
      <c r="N143" s="34">
        <v>1.3099273607748101</v>
      </c>
      <c r="O143" s="34">
        <v>1.3062602516891499</v>
      </c>
      <c r="P143" s="34">
        <v>1.3079528358586601</v>
      </c>
      <c r="Q143" s="34">
        <v>1.3065307437524301</v>
      </c>
      <c r="R143" s="33">
        <v>21.579419357904701</v>
      </c>
      <c r="S143" s="33">
        <v>21.599245827288101</v>
      </c>
      <c r="T143" s="33">
        <v>21.583413066646301</v>
      </c>
      <c r="U143" s="15">
        <v>-2.8034010021785998E-3</v>
      </c>
      <c r="V143" s="15">
        <v>-1.88505530104569E-3</v>
      </c>
      <c r="W143" s="15">
        <v>-2.6183478660141602E-3</v>
      </c>
      <c r="X143" s="34">
        <v>1.3048089983822799</v>
      </c>
      <c r="Y143" s="34">
        <v>1.3045124660331</v>
      </c>
      <c r="Z143" s="34">
        <v>1.30435633126078</v>
      </c>
      <c r="AA143" s="34">
        <v>1.3044570527463999</v>
      </c>
      <c r="AB143" s="33">
        <v>22.127349170847999</v>
      </c>
      <c r="AC143" s="33">
        <v>22.124906085469501</v>
      </c>
      <c r="AD143" s="33">
        <v>22.1260945198682</v>
      </c>
      <c r="AE143" s="15">
        <v>-2.2728694375014801E-4</v>
      </c>
      <c r="AF143" s="15">
        <v>-3.3770325437193499E-4</v>
      </c>
      <c r="AG143" s="15">
        <v>-2.8398991985997401E-4</v>
      </c>
      <c r="AI143" s="12"/>
      <c r="AJ143">
        <f t="shared" si="26"/>
        <v>0</v>
      </c>
      <c r="AK143">
        <f t="shared" si="27"/>
        <v>0</v>
      </c>
      <c r="AL143">
        <f t="shared" si="34"/>
        <v>0</v>
      </c>
      <c r="AM143">
        <f t="shared" si="24"/>
        <v>1</v>
      </c>
      <c r="AN143">
        <f t="shared" si="35"/>
        <v>0</v>
      </c>
      <c r="AO143" s="28">
        <f t="shared" si="28"/>
        <v>0</v>
      </c>
      <c r="AP143" s="28">
        <f t="shared" si="29"/>
        <v>0</v>
      </c>
      <c r="AQ143" s="28">
        <f t="shared" si="36"/>
        <v>0</v>
      </c>
      <c r="AR143" s="29">
        <f t="shared" si="37"/>
        <v>1.6646952644800981E-3</v>
      </c>
      <c r="AT143" s="12"/>
      <c r="AU143">
        <f t="shared" si="30"/>
        <v>0</v>
      </c>
      <c r="AV143">
        <f t="shared" si="31"/>
        <v>1</v>
      </c>
      <c r="AW143">
        <f t="shared" si="38"/>
        <v>0</v>
      </c>
      <c r="AX143">
        <f t="shared" si="25"/>
        <v>1</v>
      </c>
      <c r="AY143">
        <f t="shared" si="39"/>
        <v>0</v>
      </c>
      <c r="AZ143" s="28">
        <f t="shared" si="32"/>
        <v>0</v>
      </c>
      <c r="BA143" s="28">
        <f t="shared" si="33"/>
        <v>0</v>
      </c>
      <c r="BB143" s="28">
        <f t="shared" si="40"/>
        <v>0</v>
      </c>
      <c r="BC143" s="29">
        <f t="shared" si="41"/>
        <v>1.1662806753571799E-3</v>
      </c>
      <c r="BE143" s="29">
        <f t="shared" si="42"/>
        <v>0</v>
      </c>
      <c r="BF143" s="29">
        <f t="shared" si="43"/>
        <v>2.8309759398372778E-3</v>
      </c>
      <c r="BH143" s="29"/>
    </row>
    <row r="144" spans="1:60" x14ac:dyDescent="0.25">
      <c r="A144" s="1">
        <v>46232</v>
      </c>
      <c r="B144" s="33">
        <v>16.5</v>
      </c>
      <c r="C144" s="33">
        <v>21.62</v>
      </c>
      <c r="D144" s="15">
        <v>-1.2113871862970899E-3</v>
      </c>
      <c r="E144" s="15">
        <v>-9.2464176721856496E-4</v>
      </c>
      <c r="F144" s="33">
        <v>0</v>
      </c>
      <c r="G144" s="33">
        <v>0.44216</v>
      </c>
      <c r="H144" s="33">
        <v>0</v>
      </c>
      <c r="I144" s="33">
        <v>0.49237900000000001</v>
      </c>
      <c r="J144" s="33">
        <v>0.44216</v>
      </c>
      <c r="K144" s="33">
        <v>0.49237900000000001</v>
      </c>
      <c r="L144" s="33">
        <v>16.942160000000001</v>
      </c>
      <c r="M144" s="33">
        <v>22.112379000000001</v>
      </c>
      <c r="N144" s="34">
        <v>1.3103030303030301</v>
      </c>
      <c r="O144" s="34">
        <v>1.3062602516891499</v>
      </c>
      <c r="P144" s="34">
        <v>1.30863458119666</v>
      </c>
      <c r="Q144" s="34">
        <v>1.3065410875752701</v>
      </c>
      <c r="R144" s="33">
        <v>21.553294152871</v>
      </c>
      <c r="S144" s="33">
        <v>21.581221791668</v>
      </c>
      <c r="T144" s="33">
        <v>21.557757271915101</v>
      </c>
      <c r="U144" s="15">
        <v>-3.0901464212570802E-3</v>
      </c>
      <c r="V144" s="15">
        <v>-1.79523713166191E-3</v>
      </c>
      <c r="W144" s="15">
        <v>-2.883094219438E-3</v>
      </c>
      <c r="X144" s="34">
        <v>1.3051688214489701</v>
      </c>
      <c r="Y144" s="34">
        <v>1.3045124660331</v>
      </c>
      <c r="Z144" s="34">
        <v>1.30452855987197</v>
      </c>
      <c r="AA144" s="34">
        <v>1.3044578204388</v>
      </c>
      <c r="AB144" s="33">
        <v>22.1012589215274</v>
      </c>
      <c r="AC144" s="33">
        <v>22.098613661233198</v>
      </c>
      <c r="AD144" s="33">
        <v>22.100320100758001</v>
      </c>
      <c r="AE144" s="15">
        <v>-5.0301577657107697E-4</v>
      </c>
      <c r="AF144" s="15">
        <v>-6.2271115770092E-4</v>
      </c>
      <c r="AG144" s="15">
        <v>-5.4549483683561599E-4</v>
      </c>
      <c r="AI144" s="12"/>
      <c r="AJ144">
        <f t="shared" si="26"/>
        <v>0</v>
      </c>
      <c r="AK144">
        <f t="shared" si="27"/>
        <v>0</v>
      </c>
      <c r="AL144">
        <f t="shared" si="34"/>
        <v>0</v>
      </c>
      <c r="AM144">
        <f t="shared" si="24"/>
        <v>1</v>
      </c>
      <c r="AN144">
        <f t="shared" si="35"/>
        <v>0</v>
      </c>
      <c r="AO144" s="28">
        <f t="shared" si="28"/>
        <v>0</v>
      </c>
      <c r="AP144" s="28">
        <f t="shared" si="29"/>
        <v>0</v>
      </c>
      <c r="AQ144" s="28">
        <f t="shared" si="36"/>
        <v>0</v>
      </c>
      <c r="AR144" s="29">
        <f t="shared" si="37"/>
        <v>1.6646952644800981E-3</v>
      </c>
      <c r="AT144" s="12"/>
      <c r="AU144">
        <f t="shared" si="30"/>
        <v>0</v>
      </c>
      <c r="AV144">
        <f t="shared" si="31"/>
        <v>1</v>
      </c>
      <c r="AW144">
        <f t="shared" si="38"/>
        <v>0</v>
      </c>
      <c r="AX144">
        <f t="shared" si="25"/>
        <v>1</v>
      </c>
      <c r="AY144">
        <f t="shared" si="39"/>
        <v>0</v>
      </c>
      <c r="AZ144" s="28">
        <f t="shared" si="32"/>
        <v>0</v>
      </c>
      <c r="BA144" s="28">
        <f t="shared" si="33"/>
        <v>0</v>
      </c>
      <c r="BB144" s="28">
        <f t="shared" si="40"/>
        <v>0</v>
      </c>
      <c r="BC144" s="29">
        <f t="shared" si="41"/>
        <v>1.1662806753571799E-3</v>
      </c>
      <c r="BE144" s="29">
        <f t="shared" si="42"/>
        <v>0</v>
      </c>
      <c r="BF144" s="29">
        <f t="shared" si="43"/>
        <v>2.8309759398372778E-3</v>
      </c>
      <c r="BH144" s="29"/>
    </row>
    <row r="145" spans="1:60" x14ac:dyDescent="0.25">
      <c r="A145" s="1">
        <v>46233</v>
      </c>
      <c r="B145" s="33">
        <v>16.52</v>
      </c>
      <c r="C145" s="33">
        <v>21.64</v>
      </c>
      <c r="D145" s="15">
        <v>1.2113871862970799E-3</v>
      </c>
      <c r="E145" s="15">
        <v>9.2464176721846305E-4</v>
      </c>
      <c r="F145" s="33">
        <v>0</v>
      </c>
      <c r="G145" s="33">
        <v>0.44216</v>
      </c>
      <c r="H145" s="33">
        <v>0</v>
      </c>
      <c r="I145" s="33">
        <v>0.49237900000000001</v>
      </c>
      <c r="J145" s="33">
        <v>0.44216</v>
      </c>
      <c r="K145" s="33">
        <v>0.49237900000000001</v>
      </c>
      <c r="L145" s="33">
        <v>16.962160000000001</v>
      </c>
      <c r="M145" s="33">
        <v>22.132379</v>
      </c>
      <c r="N145" s="34">
        <v>1.3099273607748101</v>
      </c>
      <c r="O145" s="34">
        <v>1.3062602516891499</v>
      </c>
      <c r="P145" s="34">
        <v>1.3092003780077499</v>
      </c>
      <c r="Q145" s="34">
        <v>1.3067939198353</v>
      </c>
      <c r="R145" s="33">
        <v>21.579419357904701</v>
      </c>
      <c r="S145" s="33">
        <v>21.618643281368801</v>
      </c>
      <c r="T145" s="33">
        <v>21.584058766743599</v>
      </c>
      <c r="U145" s="15">
        <v>-2.8034010021785998E-3</v>
      </c>
      <c r="V145" s="15">
        <v>-9.8739667942791191E-4</v>
      </c>
      <c r="W145" s="15">
        <v>-2.5884318171978502E-3</v>
      </c>
      <c r="X145" s="34">
        <v>1.3048089983822799</v>
      </c>
      <c r="Y145" s="34">
        <v>1.3045124660331</v>
      </c>
      <c r="Z145" s="34">
        <v>1.3045881700419499</v>
      </c>
      <c r="AA145" s="34">
        <v>1.3044582280255199</v>
      </c>
      <c r="AB145" s="33">
        <v>22.127349170847999</v>
      </c>
      <c r="AC145" s="33">
        <v>22.127622157118001</v>
      </c>
      <c r="AD145" s="33">
        <v>22.126422263534199</v>
      </c>
      <c r="AE145" s="15">
        <v>-2.2728694375014801E-4</v>
      </c>
      <c r="AF145" s="15">
        <v>-2.1494996728033301E-4</v>
      </c>
      <c r="AG145" s="15">
        <v>-2.6917748929632302E-4</v>
      </c>
      <c r="AI145" s="12"/>
      <c r="AJ145">
        <f t="shared" si="26"/>
        <v>0</v>
      </c>
      <c r="AK145">
        <f t="shared" si="27"/>
        <v>0</v>
      </c>
      <c r="AL145">
        <f t="shared" si="34"/>
        <v>0</v>
      </c>
      <c r="AM145">
        <f t="shared" si="24"/>
        <v>1</v>
      </c>
      <c r="AN145">
        <f t="shared" si="35"/>
        <v>0</v>
      </c>
      <c r="AO145" s="28">
        <f t="shared" si="28"/>
        <v>0</v>
      </c>
      <c r="AP145" s="28">
        <f t="shared" si="29"/>
        <v>0</v>
      </c>
      <c r="AQ145" s="28">
        <f t="shared" si="36"/>
        <v>0</v>
      </c>
      <c r="AR145" s="29">
        <f t="shared" si="37"/>
        <v>1.6646952644800981E-3</v>
      </c>
      <c r="AT145" s="12"/>
      <c r="AU145">
        <f t="shared" si="30"/>
        <v>0</v>
      </c>
      <c r="AV145">
        <f t="shared" si="31"/>
        <v>1</v>
      </c>
      <c r="AW145">
        <f t="shared" si="38"/>
        <v>0</v>
      </c>
      <c r="AX145">
        <f t="shared" si="25"/>
        <v>1</v>
      </c>
      <c r="AY145">
        <f t="shared" si="39"/>
        <v>0</v>
      </c>
      <c r="AZ145" s="28">
        <f t="shared" si="32"/>
        <v>0</v>
      </c>
      <c r="BA145" s="28">
        <f t="shared" si="33"/>
        <v>0</v>
      </c>
      <c r="BB145" s="28">
        <f t="shared" si="40"/>
        <v>0</v>
      </c>
      <c r="BC145" s="29">
        <f t="shared" si="41"/>
        <v>1.1662806753571799E-3</v>
      </c>
      <c r="BE145" s="29">
        <f t="shared" si="42"/>
        <v>0</v>
      </c>
      <c r="BF145" s="29">
        <f t="shared" si="43"/>
        <v>2.8309759398372778E-3</v>
      </c>
      <c r="BH145" s="29"/>
    </row>
    <row r="146" spans="1:60" x14ac:dyDescent="0.25">
      <c r="A146" s="1">
        <v>46234</v>
      </c>
      <c r="B146" s="33">
        <v>16.5</v>
      </c>
      <c r="C146" s="33">
        <v>21.61</v>
      </c>
      <c r="D146" s="15">
        <v>-1.2113871862970899E-3</v>
      </c>
      <c r="E146" s="15">
        <v>-1.3872834594862301E-3</v>
      </c>
      <c r="F146" s="33">
        <v>0</v>
      </c>
      <c r="G146" s="33">
        <v>0.44216</v>
      </c>
      <c r="H146" s="33">
        <v>0</v>
      </c>
      <c r="I146" s="33">
        <v>0.49237900000000001</v>
      </c>
      <c r="J146" s="33">
        <v>0.44216</v>
      </c>
      <c r="K146" s="33">
        <v>0.49237900000000001</v>
      </c>
      <c r="L146" s="33">
        <v>16.942160000000001</v>
      </c>
      <c r="M146" s="33">
        <v>22.102378999999999</v>
      </c>
      <c r="N146" s="34">
        <v>1.30969696969696</v>
      </c>
      <c r="O146" s="34">
        <v>1.3062602516891499</v>
      </c>
      <c r="P146" s="34">
        <v>1.30974313571106</v>
      </c>
      <c r="Q146" s="34">
        <v>1.30709269389038</v>
      </c>
      <c r="R146" s="33">
        <v>21.553294152871</v>
      </c>
      <c r="S146" s="33">
        <v>21.601806237127999</v>
      </c>
      <c r="T146" s="33">
        <v>21.5620996772825</v>
      </c>
      <c r="U146" s="15">
        <v>-2.6275047289894102E-3</v>
      </c>
      <c r="V146" s="15">
        <v>-3.7923723554769798E-4</v>
      </c>
      <c r="W146" s="15">
        <v>-2.21904159080368E-3</v>
      </c>
      <c r="X146" s="34">
        <v>1.3045785779381101</v>
      </c>
      <c r="Y146" s="34">
        <v>1.3045124660331</v>
      </c>
      <c r="Z146" s="34">
        <v>1.30462473816751</v>
      </c>
      <c r="AA146" s="34">
        <v>1.3045032941430901</v>
      </c>
      <c r="AB146" s="33">
        <v>22.1012589215274</v>
      </c>
      <c r="AC146" s="33">
        <v>22.102541510958002</v>
      </c>
      <c r="AD146" s="33">
        <v>22.1003400125248</v>
      </c>
      <c r="AE146" s="15">
        <v>-5.0678112730010099E-5</v>
      </c>
      <c r="AF146" s="15">
        <v>7.3526184929739298E-6</v>
      </c>
      <c r="AG146" s="15">
        <v>-9.2256201524607405E-5</v>
      </c>
      <c r="AI146" s="12"/>
      <c r="AJ146">
        <f t="shared" si="26"/>
        <v>0</v>
      </c>
      <c r="AK146">
        <f t="shared" si="27"/>
        <v>1</v>
      </c>
      <c r="AL146">
        <f t="shared" si="34"/>
        <v>0</v>
      </c>
      <c r="AM146">
        <f t="shared" si="24"/>
        <v>0</v>
      </c>
      <c r="AN146">
        <f t="shared" si="35"/>
        <v>0</v>
      </c>
      <c r="AO146" s="28">
        <f t="shared" si="28"/>
        <v>0</v>
      </c>
      <c r="AP146" s="28">
        <f t="shared" si="29"/>
        <v>0</v>
      </c>
      <c r="AQ146" s="28">
        <f t="shared" si="36"/>
        <v>0</v>
      </c>
      <c r="AR146" s="29">
        <f t="shared" si="37"/>
        <v>1.6646952644800981E-3</v>
      </c>
      <c r="AT146" s="12"/>
      <c r="AU146">
        <f t="shared" si="30"/>
        <v>0</v>
      </c>
      <c r="AV146">
        <f t="shared" si="31"/>
        <v>1</v>
      </c>
      <c r="AW146">
        <f t="shared" si="38"/>
        <v>0</v>
      </c>
      <c r="AX146">
        <f t="shared" si="25"/>
        <v>0</v>
      </c>
      <c r="AY146">
        <f t="shared" si="39"/>
        <v>0</v>
      </c>
      <c r="AZ146" s="28">
        <f t="shared" si="32"/>
        <v>0</v>
      </c>
      <c r="BA146" s="28">
        <f t="shared" si="33"/>
        <v>0</v>
      </c>
      <c r="BB146" s="28">
        <f t="shared" si="40"/>
        <v>0</v>
      </c>
      <c r="BC146" s="29">
        <f t="shared" si="41"/>
        <v>1.1662806753571799E-3</v>
      </c>
      <c r="BE146" s="29">
        <f t="shared" si="42"/>
        <v>0</v>
      </c>
      <c r="BF146" s="29">
        <f t="shared" si="43"/>
        <v>2.8309759398372778E-3</v>
      </c>
      <c r="BH146" s="29"/>
    </row>
    <row r="147" spans="1:60" x14ac:dyDescent="0.25">
      <c r="A147" s="1">
        <v>46237</v>
      </c>
      <c r="B147" s="33">
        <v>16.54</v>
      </c>
      <c r="C147" s="33">
        <v>21.57</v>
      </c>
      <c r="D147" s="15">
        <v>2.4213086890103402E-3</v>
      </c>
      <c r="E147" s="15">
        <v>-1.85271011772952E-3</v>
      </c>
      <c r="F147" s="33">
        <v>0</v>
      </c>
      <c r="G147" s="33">
        <v>0.44216</v>
      </c>
      <c r="H147" s="33">
        <v>8.2263000000000003E-2</v>
      </c>
      <c r="I147" s="33">
        <v>0.57464199999999999</v>
      </c>
      <c r="J147" s="33">
        <v>0.44216</v>
      </c>
      <c r="K147" s="33">
        <v>0.57464199999999999</v>
      </c>
      <c r="L147" s="33">
        <v>16.98216</v>
      </c>
      <c r="M147" s="33">
        <v>22.144642000000001</v>
      </c>
      <c r="N147" s="34">
        <v>1.3041112454655299</v>
      </c>
      <c r="O147" s="34">
        <v>1.3062602516891499</v>
      </c>
      <c r="P147" s="34">
        <v>1.3091990002817999</v>
      </c>
      <c r="Q147" s="34">
        <v>1.3070221457194799</v>
      </c>
      <c r="R147" s="33">
        <v>21.605544562938501</v>
      </c>
      <c r="S147" s="33">
        <v>21.663151464660999</v>
      </c>
      <c r="T147" s="33">
        <v>21.619313156946902</v>
      </c>
      <c r="U147" s="15">
        <v>1.6465140777504399E-3</v>
      </c>
      <c r="V147" s="15">
        <v>4.3092675715491399E-3</v>
      </c>
      <c r="W147" s="15">
        <v>2.2835824314863698E-3</v>
      </c>
      <c r="X147" s="34">
        <v>1.3039944270929</v>
      </c>
      <c r="Y147" s="34">
        <v>1.3045124660331</v>
      </c>
      <c r="Z147" s="34">
        <v>1.30457917859205</v>
      </c>
      <c r="AA147" s="34">
        <v>1.3044311155079999</v>
      </c>
      <c r="AB147" s="33">
        <v>22.153439420168699</v>
      </c>
      <c r="AC147" s="33">
        <v>22.155346043518801</v>
      </c>
      <c r="AD147" s="33">
        <v>22.153283661665</v>
      </c>
      <c r="AE147" s="15">
        <v>3.9719193257801999E-4</v>
      </c>
      <c r="AF147" s="15">
        <v>4.8325266890287199E-4</v>
      </c>
      <c r="AG147" s="15">
        <v>3.9016101298656103E-4</v>
      </c>
      <c r="AI147" s="12"/>
      <c r="AJ147">
        <f t="shared" si="26"/>
        <v>0</v>
      </c>
      <c r="AK147">
        <f t="shared" si="27"/>
        <v>1</v>
      </c>
      <c r="AL147">
        <f t="shared" si="34"/>
        <v>0</v>
      </c>
      <c r="AM147">
        <f t="shared" si="24"/>
        <v>1</v>
      </c>
      <c r="AN147">
        <f t="shared" si="35"/>
        <v>0</v>
      </c>
      <c r="AO147" s="28">
        <f t="shared" si="28"/>
        <v>0</v>
      </c>
      <c r="AP147" s="28">
        <f t="shared" si="29"/>
        <v>0</v>
      </c>
      <c r="AQ147" s="28">
        <f t="shared" si="36"/>
        <v>0</v>
      </c>
      <c r="AR147" s="29">
        <f t="shared" si="37"/>
        <v>1.6646952644800981E-3</v>
      </c>
      <c r="AT147" s="12"/>
      <c r="AU147">
        <f t="shared" si="30"/>
        <v>0</v>
      </c>
      <c r="AV147">
        <f t="shared" si="31"/>
        <v>0</v>
      </c>
      <c r="AW147">
        <f t="shared" si="38"/>
        <v>0</v>
      </c>
      <c r="AX147">
        <f t="shared" si="25"/>
        <v>1</v>
      </c>
      <c r="AY147">
        <f t="shared" si="39"/>
        <v>0</v>
      </c>
      <c r="AZ147" s="28">
        <f t="shared" si="32"/>
        <v>0</v>
      </c>
      <c r="BA147" s="28">
        <f t="shared" si="33"/>
        <v>0</v>
      </c>
      <c r="BB147" s="28">
        <f t="shared" si="40"/>
        <v>0</v>
      </c>
      <c r="BC147" s="29">
        <f t="shared" si="41"/>
        <v>1.1662806753571799E-3</v>
      </c>
      <c r="BE147" s="29">
        <f t="shared" si="42"/>
        <v>0</v>
      </c>
      <c r="BF147" s="29">
        <f t="shared" si="43"/>
        <v>2.8309759398372778E-3</v>
      </c>
      <c r="BH147" s="29"/>
    </row>
    <row r="148" spans="1:60" x14ac:dyDescent="0.25">
      <c r="A148" s="1">
        <v>46238</v>
      </c>
      <c r="B148" s="33">
        <v>16.57</v>
      </c>
      <c r="C148" s="33">
        <v>21.62</v>
      </c>
      <c r="D148" s="15">
        <v>1.81214184292643E-3</v>
      </c>
      <c r="E148" s="15">
        <v>2.31535180999726E-3</v>
      </c>
      <c r="F148" s="33">
        <v>0</v>
      </c>
      <c r="G148" s="33">
        <v>0.44216</v>
      </c>
      <c r="H148" s="33">
        <v>0</v>
      </c>
      <c r="I148" s="33">
        <v>0.57464199999999999</v>
      </c>
      <c r="J148" s="33">
        <v>0.44216</v>
      </c>
      <c r="K148" s="33">
        <v>0.57464199999999999</v>
      </c>
      <c r="L148" s="33">
        <v>17.012160000000002</v>
      </c>
      <c r="M148" s="33">
        <v>22.194642000000002</v>
      </c>
      <c r="N148" s="34">
        <v>1.3047676523838201</v>
      </c>
      <c r="O148" s="34">
        <v>1.3062602516891499</v>
      </c>
      <c r="P148" s="34">
        <v>1.3086830294427001</v>
      </c>
      <c r="Q148" s="34">
        <v>1.3070679892291599</v>
      </c>
      <c r="R148" s="33">
        <v>21.644732370489201</v>
      </c>
      <c r="S148" s="33">
        <v>21.693427434669498</v>
      </c>
      <c r="T148" s="33">
        <v>21.657356954571799</v>
      </c>
      <c r="U148" s="15">
        <v>1.1433041106795501E-3</v>
      </c>
      <c r="V148" s="15">
        <v>3.3905192620201801E-3</v>
      </c>
      <c r="W148" s="15">
        <v>1.7263976582221801E-3</v>
      </c>
      <c r="X148" s="34">
        <v>1.30463397945939</v>
      </c>
      <c r="Y148" s="34">
        <v>1.3045124660331</v>
      </c>
      <c r="Z148" s="34">
        <v>1.3045616766997601</v>
      </c>
      <c r="AA148" s="34">
        <v>1.3044726360802601</v>
      </c>
      <c r="AB148" s="33">
        <v>22.192574794149699</v>
      </c>
      <c r="AC148" s="33">
        <v>22.193709718876601</v>
      </c>
      <c r="AD148" s="33">
        <v>22.191190846000701</v>
      </c>
      <c r="AE148" s="15">
        <v>-9.3144197860314993E-5</v>
      </c>
      <c r="AF148" s="15">
        <v>-4.2005665332726198E-5</v>
      </c>
      <c r="AG148" s="15">
        <v>-1.5550700685095699E-4</v>
      </c>
      <c r="AI148" s="12"/>
      <c r="AJ148">
        <f t="shared" si="26"/>
        <v>0</v>
      </c>
      <c r="AK148">
        <f t="shared" si="27"/>
        <v>1</v>
      </c>
      <c r="AL148">
        <f t="shared" si="34"/>
        <v>0</v>
      </c>
      <c r="AM148">
        <f t="shared" si="24"/>
        <v>1</v>
      </c>
      <c r="AN148">
        <f t="shared" si="35"/>
        <v>0</v>
      </c>
      <c r="AO148" s="28">
        <f t="shared" si="28"/>
        <v>0</v>
      </c>
      <c r="AP148" s="28">
        <f t="shared" si="29"/>
        <v>0</v>
      </c>
      <c r="AQ148" s="28">
        <f t="shared" si="36"/>
        <v>0</v>
      </c>
      <c r="AR148" s="29">
        <f t="shared" si="37"/>
        <v>1.6646952644800981E-3</v>
      </c>
      <c r="AT148" s="12"/>
      <c r="AU148">
        <f t="shared" si="30"/>
        <v>0</v>
      </c>
      <c r="AV148">
        <f t="shared" si="31"/>
        <v>1</v>
      </c>
      <c r="AW148">
        <f t="shared" si="38"/>
        <v>0</v>
      </c>
      <c r="AX148">
        <f t="shared" si="25"/>
        <v>1</v>
      </c>
      <c r="AY148">
        <f t="shared" si="39"/>
        <v>0</v>
      </c>
      <c r="AZ148" s="28">
        <f t="shared" si="32"/>
        <v>0</v>
      </c>
      <c r="BA148" s="28">
        <f t="shared" si="33"/>
        <v>0</v>
      </c>
      <c r="BB148" s="28">
        <f t="shared" si="40"/>
        <v>0</v>
      </c>
      <c r="BC148" s="29">
        <f t="shared" si="41"/>
        <v>1.1662806753571799E-3</v>
      </c>
      <c r="BE148" s="29">
        <f t="shared" si="42"/>
        <v>0</v>
      </c>
      <c r="BF148" s="29">
        <f t="shared" si="43"/>
        <v>2.8309759398372778E-3</v>
      </c>
      <c r="BH148" s="29"/>
    </row>
    <row r="149" spans="1:60" x14ac:dyDescent="0.25">
      <c r="A149" s="1">
        <v>46239</v>
      </c>
      <c r="B149" s="33">
        <v>16.59</v>
      </c>
      <c r="C149" s="33">
        <v>21.64</v>
      </c>
      <c r="D149" s="15">
        <v>1.2062727638815899E-3</v>
      </c>
      <c r="E149" s="15">
        <v>9.2464176721846305E-4</v>
      </c>
      <c r="F149" s="33">
        <v>0</v>
      </c>
      <c r="G149" s="33">
        <v>0.44216</v>
      </c>
      <c r="H149" s="33">
        <v>0</v>
      </c>
      <c r="I149" s="33">
        <v>0.57464199999999999</v>
      </c>
      <c r="J149" s="33">
        <v>0.44216</v>
      </c>
      <c r="K149" s="33">
        <v>0.57464199999999999</v>
      </c>
      <c r="L149" s="33">
        <v>17.032160000000001</v>
      </c>
      <c r="M149" s="33">
        <v>22.214642000000001</v>
      </c>
      <c r="N149" s="34">
        <v>1.3044002411091</v>
      </c>
      <c r="O149" s="34">
        <v>1.3062602516891499</v>
      </c>
      <c r="P149" s="34">
        <v>1.3082139626445199</v>
      </c>
      <c r="Q149" s="34">
        <v>1.30707715791112</v>
      </c>
      <c r="R149" s="33">
        <v>21.670857575523002</v>
      </c>
      <c r="S149" s="33">
        <v>21.711051458454499</v>
      </c>
      <c r="T149" s="33">
        <v>21.684257941311799</v>
      </c>
      <c r="U149" s="15">
        <v>1.4249351073426001E-3</v>
      </c>
      <c r="V149" s="15">
        <v>3.2779607268999299E-3</v>
      </c>
      <c r="W149" s="15">
        <v>2.0431028163124601E-3</v>
      </c>
      <c r="X149" s="34">
        <v>1.30427626325727</v>
      </c>
      <c r="Y149" s="34">
        <v>1.3045124660331</v>
      </c>
      <c r="Z149" s="34">
        <v>1.3045904695827699</v>
      </c>
      <c r="AA149" s="34">
        <v>1.3044783771508801</v>
      </c>
      <c r="AB149" s="33">
        <v>22.218665043470299</v>
      </c>
      <c r="AC149" s="33">
        <v>22.2195032074187</v>
      </c>
      <c r="AD149" s="33">
        <v>22.217986653340699</v>
      </c>
      <c r="AE149" s="15">
        <v>1.8108233435974201E-4</v>
      </c>
      <c r="AF149" s="15">
        <v>2.18805039027488E-4</v>
      </c>
      <c r="AG149" s="15">
        <v>1.5054942498151901E-4</v>
      </c>
      <c r="AI149" s="12"/>
      <c r="AJ149">
        <f t="shared" si="26"/>
        <v>0</v>
      </c>
      <c r="AK149">
        <f t="shared" si="27"/>
        <v>1</v>
      </c>
      <c r="AL149">
        <f t="shared" si="34"/>
        <v>0</v>
      </c>
      <c r="AM149">
        <f t="shared" ref="AM149:AM176" si="44">IF(F150+H150&gt;0,0,1)</f>
        <v>1</v>
      </c>
      <c r="AN149">
        <f t="shared" si="35"/>
        <v>0</v>
      </c>
      <c r="AO149" s="28">
        <f t="shared" si="28"/>
        <v>0</v>
      </c>
      <c r="AP149" s="28">
        <f t="shared" si="29"/>
        <v>0</v>
      </c>
      <c r="AQ149" s="28">
        <f t="shared" si="36"/>
        <v>0</v>
      </c>
      <c r="AR149" s="29">
        <f t="shared" si="37"/>
        <v>1.6646952644800981E-3</v>
      </c>
      <c r="AT149" s="12"/>
      <c r="AU149">
        <f t="shared" si="30"/>
        <v>0</v>
      </c>
      <c r="AV149">
        <f t="shared" si="31"/>
        <v>1</v>
      </c>
      <c r="AW149">
        <f t="shared" si="38"/>
        <v>0</v>
      </c>
      <c r="AX149">
        <f t="shared" ref="AX149:AX176" si="45">IF(F150+H150&gt;0,0,1)</f>
        <v>1</v>
      </c>
      <c r="AY149">
        <f t="shared" si="39"/>
        <v>0</v>
      </c>
      <c r="AZ149" s="28">
        <f t="shared" si="32"/>
        <v>0</v>
      </c>
      <c r="BA149" s="28">
        <f t="shared" si="33"/>
        <v>0</v>
      </c>
      <c r="BB149" s="28">
        <f t="shared" si="40"/>
        <v>0</v>
      </c>
      <c r="BC149" s="29">
        <f t="shared" si="41"/>
        <v>1.1662806753571799E-3</v>
      </c>
      <c r="BE149" s="29">
        <f t="shared" si="42"/>
        <v>0</v>
      </c>
      <c r="BF149" s="29">
        <f t="shared" si="43"/>
        <v>2.8309759398372778E-3</v>
      </c>
      <c r="BH149" s="29"/>
    </row>
    <row r="150" spans="1:60" x14ac:dyDescent="0.25">
      <c r="A150" s="1">
        <v>46240</v>
      </c>
      <c r="B150" s="33">
        <v>16.55</v>
      </c>
      <c r="C150" s="33">
        <v>21.59</v>
      </c>
      <c r="D150" s="15">
        <v>-2.4140023792811201E-3</v>
      </c>
      <c r="E150" s="15">
        <v>-2.3132094515648698E-3</v>
      </c>
      <c r="F150" s="33">
        <v>0</v>
      </c>
      <c r="G150" s="33">
        <v>0.44216</v>
      </c>
      <c r="H150" s="33">
        <v>0</v>
      </c>
      <c r="I150" s="33">
        <v>0.57464199999999999</v>
      </c>
      <c r="J150" s="33">
        <v>0.44216</v>
      </c>
      <c r="K150" s="33">
        <v>0.57464199999999999</v>
      </c>
      <c r="L150" s="33">
        <v>16.992159999999998</v>
      </c>
      <c r="M150" s="33">
        <v>22.164642000000001</v>
      </c>
      <c r="N150" s="34">
        <v>1.3045317220543799</v>
      </c>
      <c r="O150" s="34">
        <v>1.3062602516891499</v>
      </c>
      <c r="P150" s="34">
        <v>1.3076829307187301</v>
      </c>
      <c r="Q150" s="34">
        <v>1.30708112066848</v>
      </c>
      <c r="R150" s="33">
        <v>21.618607165455401</v>
      </c>
      <c r="S150" s="33">
        <v>21.650941081766899</v>
      </c>
      <c r="T150" s="33">
        <v>21.632126963429101</v>
      </c>
      <c r="U150" s="15">
        <v>1.3241421796262899E-3</v>
      </c>
      <c r="V150" s="15">
        <v>2.8186769570735298E-3</v>
      </c>
      <c r="W150" s="15">
        <v>1.9493245579774001E-3</v>
      </c>
      <c r="X150" s="34">
        <v>1.3044040310354801</v>
      </c>
      <c r="Y150" s="34">
        <v>1.3045124660331</v>
      </c>
      <c r="Z150" s="34">
        <v>1.30456009853674</v>
      </c>
      <c r="AA150" s="34">
        <v>1.30447898550924</v>
      </c>
      <c r="AB150" s="33">
        <v>22.166484544829</v>
      </c>
      <c r="AC150" s="33">
        <v>22.1678099936255</v>
      </c>
      <c r="AD150" s="33">
        <v>22.165905301088198</v>
      </c>
      <c r="AE150" s="15">
        <v>8.3126460964635796E-5</v>
      </c>
      <c r="AF150" s="15">
        <v>1.4291984713265399E-4</v>
      </c>
      <c r="AG150" s="15">
        <v>5.6994608255469501E-5</v>
      </c>
      <c r="AI150" s="12"/>
      <c r="AJ150">
        <f t="shared" ref="AJ150:AJ176" si="46">IF($AG150&lt;AI$21,1,0)</f>
        <v>0</v>
      </c>
      <c r="AK150">
        <f t="shared" ref="AK150:AK176" si="47">IF($AG150&gt;AI$22,1,0)</f>
        <v>1</v>
      </c>
      <c r="AL150">
        <f t="shared" si="34"/>
        <v>0</v>
      </c>
      <c r="AM150">
        <f t="shared" si="44"/>
        <v>1</v>
      </c>
      <c r="AN150">
        <f t="shared" si="35"/>
        <v>0</v>
      </c>
      <c r="AO150" s="28">
        <f t="shared" ref="AO150:AO176" si="48">AN150*D150</f>
        <v>0</v>
      </c>
      <c r="AP150" s="28">
        <f t="shared" ref="AP150:AP176" si="49">-AN150*$E150</f>
        <v>0</v>
      </c>
      <c r="AQ150" s="28">
        <f t="shared" si="36"/>
        <v>0</v>
      </c>
      <c r="AR150" s="29">
        <f t="shared" si="37"/>
        <v>1.6646952644800981E-3</v>
      </c>
      <c r="AT150" s="12"/>
      <c r="AU150">
        <f t="shared" ref="AU150:AU176" si="50">IF($AG150&gt;AT$21,1,0)</f>
        <v>0</v>
      </c>
      <c r="AV150">
        <f t="shared" ref="AV150:AV176" si="51">IF($AG150&lt;AT$22,1,0)</f>
        <v>1</v>
      </c>
      <c r="AW150">
        <f t="shared" si="38"/>
        <v>0</v>
      </c>
      <c r="AX150">
        <f t="shared" si="45"/>
        <v>1</v>
      </c>
      <c r="AY150">
        <f t="shared" si="39"/>
        <v>0</v>
      </c>
      <c r="AZ150" s="28">
        <f t="shared" ref="AZ150:AZ176" si="52">-AY150*D150</f>
        <v>0</v>
      </c>
      <c r="BA150" s="28">
        <f t="shared" ref="BA150:BA176" si="53">AY150*$E150</f>
        <v>0</v>
      </c>
      <c r="BB150" s="28">
        <f t="shared" si="40"/>
        <v>0</v>
      </c>
      <c r="BC150" s="29">
        <f t="shared" si="41"/>
        <v>1.1662806753571799E-3</v>
      </c>
      <c r="BE150" s="29">
        <f t="shared" si="42"/>
        <v>0</v>
      </c>
      <c r="BF150" s="29">
        <f t="shared" si="43"/>
        <v>2.8309759398372778E-3</v>
      </c>
      <c r="BH150" s="29"/>
    </row>
    <row r="151" spans="1:60" x14ac:dyDescent="0.25">
      <c r="A151" s="1">
        <v>46241</v>
      </c>
      <c r="B151" s="33">
        <v>16.57</v>
      </c>
      <c r="C151" s="33">
        <v>21.63</v>
      </c>
      <c r="D151" s="15">
        <v>1.20772961539953E-3</v>
      </c>
      <c r="E151" s="15">
        <v>1.85099543825135E-3</v>
      </c>
      <c r="F151" s="33">
        <v>0</v>
      </c>
      <c r="G151" s="33">
        <v>0.44216</v>
      </c>
      <c r="H151" s="33">
        <v>0</v>
      </c>
      <c r="I151" s="33">
        <v>0.57464199999999999</v>
      </c>
      <c r="J151" s="33">
        <v>0.44216</v>
      </c>
      <c r="K151" s="33">
        <v>0.57464199999999999</v>
      </c>
      <c r="L151" s="33">
        <v>17.012160000000002</v>
      </c>
      <c r="M151" s="33">
        <v>22.204642</v>
      </c>
      <c r="N151" s="34">
        <v>1.30537115268557</v>
      </c>
      <c r="O151" s="34">
        <v>1.3062602516891499</v>
      </c>
      <c r="P151" s="34">
        <v>1.30721276443389</v>
      </c>
      <c r="Q151" s="34">
        <v>1.3071388349292601</v>
      </c>
      <c r="R151" s="33">
        <v>21.644732370489201</v>
      </c>
      <c r="S151" s="33">
        <v>21.668306162009401</v>
      </c>
      <c r="T151" s="33">
        <v>21.658334169476699</v>
      </c>
      <c r="U151" s="15">
        <v>6.8087635677433899E-4</v>
      </c>
      <c r="V151" s="15">
        <v>1.7694074156266099E-3</v>
      </c>
      <c r="W151" s="15">
        <v>1.30909050055815E-3</v>
      </c>
      <c r="X151" s="34">
        <v>1.30522179429302</v>
      </c>
      <c r="Y151" s="34">
        <v>1.3045124660331</v>
      </c>
      <c r="Z151" s="34">
        <v>1.3045884225716899</v>
      </c>
      <c r="AA151" s="34">
        <v>1.3045320031316601</v>
      </c>
      <c r="AB151" s="33">
        <v>22.192574794149699</v>
      </c>
      <c r="AC151" s="33">
        <v>22.193385125922799</v>
      </c>
      <c r="AD151" s="33">
        <v>22.192005218120901</v>
      </c>
      <c r="AE151" s="15">
        <v>-5.4360192006559403E-4</v>
      </c>
      <c r="AF151" s="15">
        <v>-5.0708894277845203E-4</v>
      </c>
      <c r="AG151" s="15">
        <v>-5.6926741148720698E-4</v>
      </c>
      <c r="AI151" s="12"/>
      <c r="AJ151">
        <f t="shared" si="46"/>
        <v>0</v>
      </c>
      <c r="AK151">
        <f t="shared" si="47"/>
        <v>0</v>
      </c>
      <c r="AL151">
        <f t="shared" ref="AL151:AL176" si="54">AN151</f>
        <v>0</v>
      </c>
      <c r="AM151">
        <f t="shared" si="44"/>
        <v>1</v>
      </c>
      <c r="AN151">
        <f t="shared" ref="AN151:AN176" si="55">IF(AJ150,1,IF(AK150,0,AL150))*AM150</f>
        <v>0</v>
      </c>
      <c r="AO151" s="28">
        <f t="shared" si="48"/>
        <v>0</v>
      </c>
      <c r="AP151" s="28">
        <f t="shared" si="49"/>
        <v>0</v>
      </c>
      <c r="AQ151" s="28">
        <f t="shared" ref="AQ151:AQ176" si="56">AO151+AP151</f>
        <v>0</v>
      </c>
      <c r="AR151" s="29">
        <f t="shared" ref="AR151:AR176" si="57">AR150+AQ151</f>
        <v>1.6646952644800981E-3</v>
      </c>
      <c r="AT151" s="12"/>
      <c r="AU151">
        <f t="shared" si="50"/>
        <v>0</v>
      </c>
      <c r="AV151">
        <f t="shared" si="51"/>
        <v>1</v>
      </c>
      <c r="AW151">
        <f t="shared" ref="AW151:AW176" si="58">AY151</f>
        <v>0</v>
      </c>
      <c r="AX151">
        <f t="shared" si="45"/>
        <v>1</v>
      </c>
      <c r="AY151">
        <f t="shared" ref="AY151:AY176" si="59">IF(AU150,1,IF(AV150,0,AW150))*AX150</f>
        <v>0</v>
      </c>
      <c r="AZ151" s="28">
        <f t="shared" si="52"/>
        <v>0</v>
      </c>
      <c r="BA151" s="28">
        <f t="shared" si="53"/>
        <v>0</v>
      </c>
      <c r="BB151" s="28">
        <f t="shared" ref="BB151:BB176" si="60">AZ151+BA151</f>
        <v>0</v>
      </c>
      <c r="BC151" s="29">
        <f t="shared" ref="BC151:BC176" si="61">BC150+BB151</f>
        <v>1.1662806753571799E-3</v>
      </c>
      <c r="BE151" s="29">
        <f t="shared" ref="BE151:BE176" si="62">AQ151+BB151</f>
        <v>0</v>
      </c>
      <c r="BF151" s="29">
        <f t="shared" ref="BF151:BF176" si="63">BF150+BE151</f>
        <v>2.8309759398372778E-3</v>
      </c>
      <c r="BH151" s="29"/>
    </row>
    <row r="152" spans="1:60" x14ac:dyDescent="0.25">
      <c r="A152" s="1">
        <v>46244</v>
      </c>
      <c r="B152" s="33">
        <v>16.54</v>
      </c>
      <c r="C152" s="33">
        <v>21.57</v>
      </c>
      <c r="D152" s="15">
        <v>-1.8121418429263101E-3</v>
      </c>
      <c r="E152" s="15">
        <v>-2.7777795639022701E-3</v>
      </c>
      <c r="F152" s="33">
        <v>0</v>
      </c>
      <c r="G152" s="33">
        <v>0.44216</v>
      </c>
      <c r="H152" s="33">
        <v>0</v>
      </c>
      <c r="I152" s="33">
        <v>0.57464199999999999</v>
      </c>
      <c r="J152" s="33">
        <v>0.44216</v>
      </c>
      <c r="K152" s="33">
        <v>0.57464199999999999</v>
      </c>
      <c r="L152" s="33">
        <v>16.98216</v>
      </c>
      <c r="M152" s="33">
        <v>22.144642000000001</v>
      </c>
      <c r="N152" s="34">
        <v>1.3041112454655299</v>
      </c>
      <c r="O152" s="34">
        <v>1.3062602516891499</v>
      </c>
      <c r="P152" s="34">
        <v>1.30671479807135</v>
      </c>
      <c r="Q152" s="34">
        <v>1.30708759961946</v>
      </c>
      <c r="R152" s="33">
        <v>21.605544562938501</v>
      </c>
      <c r="S152" s="33">
        <v>21.621299123736598</v>
      </c>
      <c r="T152" s="33">
        <v>21.620076329730001</v>
      </c>
      <c r="U152" s="15">
        <v>1.6465140777504399E-3</v>
      </c>
      <c r="V152" s="15">
        <v>2.37543898422063E-3</v>
      </c>
      <c r="W152" s="15">
        <v>2.3188823185686701E-3</v>
      </c>
      <c r="X152" s="34">
        <v>1.3039944270929</v>
      </c>
      <c r="Y152" s="34">
        <v>1.3045124660331</v>
      </c>
      <c r="Z152" s="34">
        <v>1.30458903183826</v>
      </c>
      <c r="AA152" s="34">
        <v>1.30447873318478</v>
      </c>
      <c r="AB152" s="33">
        <v>22.153439420168699</v>
      </c>
      <c r="AC152" s="33">
        <v>22.154729326260199</v>
      </c>
      <c r="AD152" s="33">
        <v>22.153771202302298</v>
      </c>
      <c r="AE152" s="15">
        <v>3.9719193257801999E-4</v>
      </c>
      <c r="AF152" s="15">
        <v>4.5541623425138402E-4</v>
      </c>
      <c r="AG152" s="15">
        <v>4.1216837225889502E-4</v>
      </c>
      <c r="AI152" s="12"/>
      <c r="AJ152">
        <f t="shared" si="46"/>
        <v>0</v>
      </c>
      <c r="AK152">
        <f t="shared" si="47"/>
        <v>1</v>
      </c>
      <c r="AL152">
        <f t="shared" si="54"/>
        <v>0</v>
      </c>
      <c r="AM152">
        <f t="shared" si="44"/>
        <v>1</v>
      </c>
      <c r="AN152">
        <f t="shared" si="55"/>
        <v>0</v>
      </c>
      <c r="AO152" s="28">
        <f t="shared" si="48"/>
        <v>0</v>
      </c>
      <c r="AP152" s="28">
        <f t="shared" si="49"/>
        <v>0</v>
      </c>
      <c r="AQ152" s="28">
        <f t="shared" si="56"/>
        <v>0</v>
      </c>
      <c r="AR152" s="29">
        <f t="shared" si="57"/>
        <v>1.6646952644800981E-3</v>
      </c>
      <c r="AT152" s="12"/>
      <c r="AU152">
        <f t="shared" si="50"/>
        <v>0</v>
      </c>
      <c r="AV152">
        <f t="shared" si="51"/>
        <v>0</v>
      </c>
      <c r="AW152">
        <f t="shared" si="58"/>
        <v>0</v>
      </c>
      <c r="AX152">
        <f t="shared" si="45"/>
        <v>1</v>
      </c>
      <c r="AY152">
        <f t="shared" si="59"/>
        <v>0</v>
      </c>
      <c r="AZ152" s="28">
        <f t="shared" si="52"/>
        <v>0</v>
      </c>
      <c r="BA152" s="28">
        <f t="shared" si="53"/>
        <v>0</v>
      </c>
      <c r="BB152" s="28">
        <f t="shared" si="60"/>
        <v>0</v>
      </c>
      <c r="BC152" s="29">
        <f t="shared" si="61"/>
        <v>1.1662806753571799E-3</v>
      </c>
      <c r="BE152" s="29">
        <f t="shared" si="62"/>
        <v>0</v>
      </c>
      <c r="BF152" s="29">
        <f t="shared" si="63"/>
        <v>2.8309759398372778E-3</v>
      </c>
      <c r="BH152" s="29"/>
    </row>
    <row r="153" spans="1:60" x14ac:dyDescent="0.25">
      <c r="A153" s="1">
        <v>46245</v>
      </c>
      <c r="B153" s="33">
        <v>16.55</v>
      </c>
      <c r="C153" s="33">
        <v>21.59</v>
      </c>
      <c r="D153" s="15">
        <v>6.04412227526847E-4</v>
      </c>
      <c r="E153" s="15">
        <v>9.2678412565104105E-4</v>
      </c>
      <c r="F153" s="33">
        <v>0</v>
      </c>
      <c r="G153" s="33">
        <v>0.44216</v>
      </c>
      <c r="H153" s="33">
        <v>0</v>
      </c>
      <c r="I153" s="33">
        <v>0.57464199999999999</v>
      </c>
      <c r="J153" s="33">
        <v>0.44216</v>
      </c>
      <c r="K153" s="33">
        <v>0.57464199999999999</v>
      </c>
      <c r="L153" s="33">
        <v>16.992159999999998</v>
      </c>
      <c r="M153" s="33">
        <v>22.164642000000001</v>
      </c>
      <c r="N153" s="34">
        <v>1.3045317220543799</v>
      </c>
      <c r="O153" s="34">
        <v>1.3062602516891499</v>
      </c>
      <c r="P153" s="34">
        <v>1.30617523419931</v>
      </c>
      <c r="Q153" s="34">
        <v>1.3070640350289899</v>
      </c>
      <c r="R153" s="33">
        <v>21.618607165455401</v>
      </c>
      <c r="S153" s="33">
        <v>21.626129908081001</v>
      </c>
      <c r="T153" s="33">
        <v>21.632299773702002</v>
      </c>
      <c r="U153" s="15">
        <v>1.3241421796262899E-3</v>
      </c>
      <c r="V153" s="15">
        <v>1.6720570109097601E-3</v>
      </c>
      <c r="W153" s="15">
        <v>1.9573131197561599E-3</v>
      </c>
      <c r="X153" s="34">
        <v>1.3044040310354801</v>
      </c>
      <c r="Y153" s="34">
        <v>1.3045124660331</v>
      </c>
      <c r="Z153" s="34">
        <v>1.3045485351035799</v>
      </c>
      <c r="AA153" s="34">
        <v>1.3044524331821801</v>
      </c>
      <c r="AB153" s="33">
        <v>22.166484544829</v>
      </c>
      <c r="AC153" s="33">
        <v>22.167785563240798</v>
      </c>
      <c r="AD153" s="33">
        <v>22.165911350873099</v>
      </c>
      <c r="AE153" s="15">
        <v>8.3126460964635796E-5</v>
      </c>
      <c r="AF153" s="15">
        <v>1.4181778075062599E-4</v>
      </c>
      <c r="AG153" s="15">
        <v>5.7267540220460697E-5</v>
      </c>
      <c r="AI153" s="12"/>
      <c r="AJ153">
        <f t="shared" si="46"/>
        <v>0</v>
      </c>
      <c r="AK153">
        <f t="shared" si="47"/>
        <v>1</v>
      </c>
      <c r="AL153">
        <f t="shared" si="54"/>
        <v>0</v>
      </c>
      <c r="AM153">
        <f t="shared" si="44"/>
        <v>1</v>
      </c>
      <c r="AN153">
        <f t="shared" si="55"/>
        <v>0</v>
      </c>
      <c r="AO153" s="28">
        <f t="shared" si="48"/>
        <v>0</v>
      </c>
      <c r="AP153" s="28">
        <f t="shared" si="49"/>
        <v>0</v>
      </c>
      <c r="AQ153" s="28">
        <f t="shared" si="56"/>
        <v>0</v>
      </c>
      <c r="AR153" s="29">
        <f t="shared" si="57"/>
        <v>1.6646952644800981E-3</v>
      </c>
      <c r="AT153" s="12"/>
      <c r="AU153">
        <f t="shared" si="50"/>
        <v>0</v>
      </c>
      <c r="AV153">
        <f t="shared" si="51"/>
        <v>1</v>
      </c>
      <c r="AW153">
        <f t="shared" si="58"/>
        <v>0</v>
      </c>
      <c r="AX153">
        <f t="shared" si="45"/>
        <v>1</v>
      </c>
      <c r="AY153">
        <f t="shared" si="59"/>
        <v>0</v>
      </c>
      <c r="AZ153" s="28">
        <f t="shared" si="52"/>
        <v>0</v>
      </c>
      <c r="BA153" s="28">
        <f t="shared" si="53"/>
        <v>0</v>
      </c>
      <c r="BB153" s="28">
        <f t="shared" si="60"/>
        <v>0</v>
      </c>
      <c r="BC153" s="29">
        <f t="shared" si="61"/>
        <v>1.1662806753571799E-3</v>
      </c>
      <c r="BE153" s="29">
        <f t="shared" si="62"/>
        <v>0</v>
      </c>
      <c r="BF153" s="29">
        <f t="shared" si="63"/>
        <v>2.8309759398372778E-3</v>
      </c>
      <c r="BH153" s="29"/>
    </row>
    <row r="154" spans="1:60" x14ac:dyDescent="0.25">
      <c r="A154" s="1">
        <v>46246</v>
      </c>
      <c r="B154" s="33">
        <v>16.559999999999999</v>
      </c>
      <c r="C154" s="33">
        <v>21.62</v>
      </c>
      <c r="D154" s="15">
        <v>6.0404713404156596E-4</v>
      </c>
      <c r="E154" s="15">
        <v>1.38856768434619E-3</v>
      </c>
      <c r="F154" s="33">
        <v>0</v>
      </c>
      <c r="G154" s="33">
        <v>0.44216</v>
      </c>
      <c r="H154" s="33">
        <v>0</v>
      </c>
      <c r="I154" s="33">
        <v>0.57464199999999999</v>
      </c>
      <c r="J154" s="33">
        <v>0.44216</v>
      </c>
      <c r="K154" s="33">
        <v>0.57464199999999999</v>
      </c>
      <c r="L154" s="33">
        <v>17.00216</v>
      </c>
      <c r="M154" s="33">
        <v>22.194642000000002</v>
      </c>
      <c r="N154" s="34">
        <v>1.30555555555555</v>
      </c>
      <c r="O154" s="34">
        <v>1.3062602516891499</v>
      </c>
      <c r="P154" s="34">
        <v>1.3057004867245601</v>
      </c>
      <c r="Q154" s="34">
        <v>1.3071675339606099</v>
      </c>
      <c r="R154" s="33">
        <v>21.631669767972301</v>
      </c>
      <c r="S154" s="33">
        <v>21.630261878340601</v>
      </c>
      <c r="T154" s="33">
        <v>21.64498042008</v>
      </c>
      <c r="U154" s="15">
        <v>5.3962162932143297E-4</v>
      </c>
      <c r="V154" s="15">
        <v>4.74534862337012E-4</v>
      </c>
      <c r="W154" s="15">
        <v>1.15476408926802E-3</v>
      </c>
      <c r="X154" s="34">
        <v>1.3054013137154299</v>
      </c>
      <c r="Y154" s="34">
        <v>1.3045124660331</v>
      </c>
      <c r="Z154" s="34">
        <v>1.30457178433023</v>
      </c>
      <c r="AA154" s="34">
        <v>1.3045501721010999</v>
      </c>
      <c r="AB154" s="33">
        <v>22.179529669489298</v>
      </c>
      <c r="AC154" s="33">
        <v>22.180142921596701</v>
      </c>
      <c r="AD154" s="33">
        <v>22.178508981352799</v>
      </c>
      <c r="AE154" s="15">
        <v>-6.8113186235635003E-4</v>
      </c>
      <c r="AF154" s="15">
        <v>-6.5348278058465804E-4</v>
      </c>
      <c r="AG154" s="15">
        <v>-7.2715229823669804E-4</v>
      </c>
      <c r="AI154" s="12"/>
      <c r="AJ154">
        <f t="shared" si="46"/>
        <v>0</v>
      </c>
      <c r="AK154">
        <f t="shared" si="47"/>
        <v>0</v>
      </c>
      <c r="AL154">
        <f t="shared" si="54"/>
        <v>0</v>
      </c>
      <c r="AM154">
        <f t="shared" si="44"/>
        <v>1</v>
      </c>
      <c r="AN154">
        <f t="shared" si="55"/>
        <v>0</v>
      </c>
      <c r="AO154" s="28">
        <f t="shared" si="48"/>
        <v>0</v>
      </c>
      <c r="AP154" s="28">
        <f t="shared" si="49"/>
        <v>0</v>
      </c>
      <c r="AQ154" s="28">
        <f t="shared" si="56"/>
        <v>0</v>
      </c>
      <c r="AR154" s="29">
        <f t="shared" si="57"/>
        <v>1.6646952644800981E-3</v>
      </c>
      <c r="AT154" s="12"/>
      <c r="AU154">
        <f t="shared" si="50"/>
        <v>0</v>
      </c>
      <c r="AV154">
        <f t="shared" si="51"/>
        <v>1</v>
      </c>
      <c r="AW154">
        <f t="shared" si="58"/>
        <v>0</v>
      </c>
      <c r="AX154">
        <f t="shared" si="45"/>
        <v>1</v>
      </c>
      <c r="AY154">
        <f t="shared" si="59"/>
        <v>0</v>
      </c>
      <c r="AZ154" s="28">
        <f t="shared" si="52"/>
        <v>0</v>
      </c>
      <c r="BA154" s="28">
        <f t="shared" si="53"/>
        <v>0</v>
      </c>
      <c r="BB154" s="28">
        <f t="shared" si="60"/>
        <v>0</v>
      </c>
      <c r="BC154" s="29">
        <f t="shared" si="61"/>
        <v>1.1662806753571799E-3</v>
      </c>
      <c r="BE154" s="29">
        <f t="shared" si="62"/>
        <v>0</v>
      </c>
      <c r="BF154" s="29">
        <f t="shared" si="63"/>
        <v>2.8309759398372778E-3</v>
      </c>
      <c r="BH154" s="29"/>
    </row>
    <row r="155" spans="1:60" x14ac:dyDescent="0.25">
      <c r="A155" s="1">
        <v>46247</v>
      </c>
      <c r="B155" s="33">
        <v>16.59</v>
      </c>
      <c r="C155" s="33">
        <v>21.66</v>
      </c>
      <c r="D155" s="15">
        <v>1.8099552452395999E-3</v>
      </c>
      <c r="E155" s="15">
        <v>1.8484293617823701E-3</v>
      </c>
      <c r="F155" s="33">
        <v>0</v>
      </c>
      <c r="G155" s="33">
        <v>0.44216</v>
      </c>
      <c r="H155" s="33">
        <v>0</v>
      </c>
      <c r="I155" s="33">
        <v>0.57464199999999999</v>
      </c>
      <c r="J155" s="33">
        <v>0.44216</v>
      </c>
      <c r="K155" s="33">
        <v>0.57464199999999999</v>
      </c>
      <c r="L155" s="33">
        <v>17.032160000000001</v>
      </c>
      <c r="M155" s="33">
        <v>22.234642000000001</v>
      </c>
      <c r="N155" s="34">
        <v>1.3056057866184401</v>
      </c>
      <c r="O155" s="34">
        <v>1.3062602516891499</v>
      </c>
      <c r="P155" s="34">
        <v>1.30526832930893</v>
      </c>
      <c r="Q155" s="34">
        <v>1.30723435365834</v>
      </c>
      <c r="R155" s="33">
        <v>21.670857575523002</v>
      </c>
      <c r="S155" s="33">
        <v>21.661571074760499</v>
      </c>
      <c r="T155" s="33">
        <v>21.6859093884066</v>
      </c>
      <c r="U155" s="15">
        <v>5.0114751277875996E-4</v>
      </c>
      <c r="V155" s="15">
        <v>7.2530830360235796E-5</v>
      </c>
      <c r="W155" s="15">
        <v>1.1954711232447699E-3</v>
      </c>
      <c r="X155" s="34">
        <v>1.3054505124423399</v>
      </c>
      <c r="Y155" s="34">
        <v>1.3045124660331</v>
      </c>
      <c r="Z155" s="34">
        <v>1.30463593573623</v>
      </c>
      <c r="AA155" s="34">
        <v>1.3046120528890901</v>
      </c>
      <c r="AB155" s="33">
        <v>22.218665043470299</v>
      </c>
      <c r="AC155" s="33">
        <v>22.219675362197901</v>
      </c>
      <c r="AD155" s="33">
        <v>22.219307259253501</v>
      </c>
      <c r="AE155" s="15">
        <v>-7.1881973604042901E-4</v>
      </c>
      <c r="AF155" s="15">
        <v>-6.7334914832069704E-4</v>
      </c>
      <c r="AG155" s="15">
        <v>-6.8991581671606396E-4</v>
      </c>
      <c r="AI155" s="12"/>
      <c r="AJ155">
        <f t="shared" si="46"/>
        <v>0</v>
      </c>
      <c r="AK155">
        <f t="shared" si="47"/>
        <v>0</v>
      </c>
      <c r="AL155">
        <f t="shared" si="54"/>
        <v>0</v>
      </c>
      <c r="AM155">
        <f t="shared" si="44"/>
        <v>1</v>
      </c>
      <c r="AN155">
        <f t="shared" si="55"/>
        <v>0</v>
      </c>
      <c r="AO155" s="28">
        <f t="shared" si="48"/>
        <v>0</v>
      </c>
      <c r="AP155" s="28">
        <f t="shared" si="49"/>
        <v>0</v>
      </c>
      <c r="AQ155" s="28">
        <f t="shared" si="56"/>
        <v>0</v>
      </c>
      <c r="AR155" s="29">
        <f t="shared" si="57"/>
        <v>1.6646952644800981E-3</v>
      </c>
      <c r="AT155" s="12"/>
      <c r="AU155">
        <f t="shared" si="50"/>
        <v>0</v>
      </c>
      <c r="AV155">
        <f t="shared" si="51"/>
        <v>1</v>
      </c>
      <c r="AW155">
        <f t="shared" si="58"/>
        <v>0</v>
      </c>
      <c r="AX155">
        <f t="shared" si="45"/>
        <v>1</v>
      </c>
      <c r="AY155">
        <f t="shared" si="59"/>
        <v>0</v>
      </c>
      <c r="AZ155" s="28">
        <f t="shared" si="52"/>
        <v>0</v>
      </c>
      <c r="BA155" s="28">
        <f t="shared" si="53"/>
        <v>0</v>
      </c>
      <c r="BB155" s="28">
        <f t="shared" si="60"/>
        <v>0</v>
      </c>
      <c r="BC155" s="29">
        <f t="shared" si="61"/>
        <v>1.1662806753571799E-3</v>
      </c>
      <c r="BE155" s="29">
        <f t="shared" si="62"/>
        <v>0</v>
      </c>
      <c r="BF155" s="29">
        <f t="shared" si="63"/>
        <v>2.8309759398372778E-3</v>
      </c>
      <c r="BH155" s="29"/>
    </row>
    <row r="156" spans="1:60" x14ac:dyDescent="0.25">
      <c r="A156" s="1">
        <v>46248</v>
      </c>
      <c r="B156" s="33">
        <v>16.57</v>
      </c>
      <c r="C156" s="33">
        <v>21.63</v>
      </c>
      <c r="D156" s="15">
        <v>-1.2062727638815301E-3</v>
      </c>
      <c r="E156" s="15">
        <v>-1.38600160787725E-3</v>
      </c>
      <c r="F156" s="33">
        <v>0</v>
      </c>
      <c r="G156" s="33">
        <v>0.44216</v>
      </c>
      <c r="H156" s="33">
        <v>0</v>
      </c>
      <c r="I156" s="33">
        <v>0.57464199999999999</v>
      </c>
      <c r="J156" s="33">
        <v>0.44216</v>
      </c>
      <c r="K156" s="33">
        <v>0.57464199999999999</v>
      </c>
      <c r="L156" s="33">
        <v>17.012160000000002</v>
      </c>
      <c r="M156" s="33">
        <v>22.204642</v>
      </c>
      <c r="N156" s="34">
        <v>1.30537115268557</v>
      </c>
      <c r="O156" s="34">
        <v>1.3062602516891499</v>
      </c>
      <c r="P156" s="34">
        <v>1.3048357476077901</v>
      </c>
      <c r="Q156" s="34">
        <v>1.3072894416594301</v>
      </c>
      <c r="R156" s="33">
        <v>21.644732370489201</v>
      </c>
      <c r="S156" s="33">
        <v>21.628296216648899</v>
      </c>
      <c r="T156" s="33">
        <v>21.660873240118701</v>
      </c>
      <c r="U156" s="15">
        <v>6.8087635677433899E-4</v>
      </c>
      <c r="V156" s="15">
        <v>-7.8772559296201296E-5</v>
      </c>
      <c r="W156" s="15">
        <v>1.42631659017446E-3</v>
      </c>
      <c r="X156" s="34">
        <v>1.30522179429302</v>
      </c>
      <c r="Y156" s="34">
        <v>1.3045124660331</v>
      </c>
      <c r="Z156" s="34">
        <v>1.3047002573717199</v>
      </c>
      <c r="AA156" s="34">
        <v>1.30466249776962</v>
      </c>
      <c r="AB156" s="33">
        <v>22.192574794149699</v>
      </c>
      <c r="AC156" s="33">
        <v>22.194675280494501</v>
      </c>
      <c r="AD156" s="33">
        <v>22.194268981677698</v>
      </c>
      <c r="AE156" s="15">
        <v>-5.4360192006559403E-4</v>
      </c>
      <c r="AF156" s="15">
        <v>-4.4895824004960802E-4</v>
      </c>
      <c r="AG156" s="15">
        <v>-4.6726454688257802E-4</v>
      </c>
      <c r="AI156" s="12"/>
      <c r="AJ156">
        <f t="shared" si="46"/>
        <v>0</v>
      </c>
      <c r="AK156">
        <f t="shared" si="47"/>
        <v>0</v>
      </c>
      <c r="AL156">
        <f t="shared" si="54"/>
        <v>0</v>
      </c>
      <c r="AM156">
        <f t="shared" si="44"/>
        <v>1</v>
      </c>
      <c r="AN156">
        <f t="shared" si="55"/>
        <v>0</v>
      </c>
      <c r="AO156" s="28">
        <f t="shared" si="48"/>
        <v>0</v>
      </c>
      <c r="AP156" s="28">
        <f t="shared" si="49"/>
        <v>0</v>
      </c>
      <c r="AQ156" s="28">
        <f t="shared" si="56"/>
        <v>0</v>
      </c>
      <c r="AR156" s="29">
        <f t="shared" si="57"/>
        <v>1.6646952644800981E-3</v>
      </c>
      <c r="AT156" s="12"/>
      <c r="AU156">
        <f t="shared" si="50"/>
        <v>0</v>
      </c>
      <c r="AV156">
        <f t="shared" si="51"/>
        <v>1</v>
      </c>
      <c r="AW156">
        <f t="shared" si="58"/>
        <v>0</v>
      </c>
      <c r="AX156">
        <f t="shared" si="45"/>
        <v>1</v>
      </c>
      <c r="AY156">
        <f t="shared" si="59"/>
        <v>0</v>
      </c>
      <c r="AZ156" s="28">
        <f t="shared" si="52"/>
        <v>0</v>
      </c>
      <c r="BA156" s="28">
        <f t="shared" si="53"/>
        <v>0</v>
      </c>
      <c r="BB156" s="28">
        <f t="shared" si="60"/>
        <v>0</v>
      </c>
      <c r="BC156" s="29">
        <f t="shared" si="61"/>
        <v>1.1662806753571799E-3</v>
      </c>
      <c r="BE156" s="29">
        <f t="shared" si="62"/>
        <v>0</v>
      </c>
      <c r="BF156" s="29">
        <f t="shared" si="63"/>
        <v>2.8309759398372778E-3</v>
      </c>
      <c r="BH156" s="29"/>
    </row>
    <row r="157" spans="1:60" x14ac:dyDescent="0.25">
      <c r="A157" s="1">
        <v>46251</v>
      </c>
      <c r="B157" s="33">
        <v>16.57</v>
      </c>
      <c r="C157" s="33">
        <v>21.61</v>
      </c>
      <c r="D157" s="15">
        <v>0</v>
      </c>
      <c r="E157" s="15">
        <v>-9.2506944617271796E-4</v>
      </c>
      <c r="F157" s="33">
        <v>0</v>
      </c>
      <c r="G157" s="33">
        <v>0.44216</v>
      </c>
      <c r="H157" s="33">
        <v>0</v>
      </c>
      <c r="I157" s="33">
        <v>0.57464199999999999</v>
      </c>
      <c r="J157" s="33">
        <v>0.44216</v>
      </c>
      <c r="K157" s="33">
        <v>0.57464199999999999</v>
      </c>
      <c r="L157" s="33">
        <v>17.012160000000002</v>
      </c>
      <c r="M157" s="33">
        <v>22.184642</v>
      </c>
      <c r="N157" s="34">
        <v>1.3041641520820699</v>
      </c>
      <c r="O157" s="34">
        <v>1.3062602516891499</v>
      </c>
      <c r="P157" s="34">
        <v>1.30484103826944</v>
      </c>
      <c r="Q157" s="34">
        <v>1.3070200192756201</v>
      </c>
      <c r="R157" s="33">
        <v>21.644732370489201</v>
      </c>
      <c r="S157" s="33">
        <v>21.621128337861101</v>
      </c>
      <c r="T157" s="33">
        <v>21.661786048296701</v>
      </c>
      <c r="U157" s="15">
        <v>1.6059458029471199E-3</v>
      </c>
      <c r="V157" s="15">
        <v>5.1482987073281101E-4</v>
      </c>
      <c r="W157" s="15">
        <v>2.3935260246637099E-3</v>
      </c>
      <c r="X157" s="34">
        <v>1.3040461646257699</v>
      </c>
      <c r="Y157" s="34">
        <v>1.3045124660331</v>
      </c>
      <c r="Z157" s="34">
        <v>1.3047054311250099</v>
      </c>
      <c r="AA157" s="34">
        <v>1.3046423048585301</v>
      </c>
      <c r="AB157" s="33">
        <v>22.192574794149699</v>
      </c>
      <c r="AC157" s="33">
        <v>22.195769530448999</v>
      </c>
      <c r="AD157" s="33">
        <v>22.195127158056401</v>
      </c>
      <c r="AE157" s="15">
        <v>3.5751652795247199E-4</v>
      </c>
      <c r="AF157" s="15">
        <v>5.0146135641686003E-4</v>
      </c>
      <c r="AG157" s="15">
        <v>4.7251972916801402E-4</v>
      </c>
      <c r="AI157" s="12"/>
      <c r="AJ157">
        <f t="shared" si="46"/>
        <v>0</v>
      </c>
      <c r="AK157">
        <f t="shared" si="47"/>
        <v>1</v>
      </c>
      <c r="AL157">
        <f t="shared" si="54"/>
        <v>0</v>
      </c>
      <c r="AM157">
        <f t="shared" si="44"/>
        <v>1</v>
      </c>
      <c r="AN157">
        <f t="shared" si="55"/>
        <v>0</v>
      </c>
      <c r="AO157" s="28">
        <f t="shared" si="48"/>
        <v>0</v>
      </c>
      <c r="AP157" s="28">
        <f t="shared" si="49"/>
        <v>0</v>
      </c>
      <c r="AQ157" s="28">
        <f t="shared" si="56"/>
        <v>0</v>
      </c>
      <c r="AR157" s="29">
        <f t="shared" si="57"/>
        <v>1.6646952644800981E-3</v>
      </c>
      <c r="AT157" s="12"/>
      <c r="AU157">
        <f t="shared" si="50"/>
        <v>0</v>
      </c>
      <c r="AV157">
        <f t="shared" si="51"/>
        <v>0</v>
      </c>
      <c r="AW157">
        <f t="shared" si="58"/>
        <v>0</v>
      </c>
      <c r="AX157">
        <f t="shared" si="45"/>
        <v>1</v>
      </c>
      <c r="AY157">
        <f t="shared" si="59"/>
        <v>0</v>
      </c>
      <c r="AZ157" s="28">
        <f t="shared" si="52"/>
        <v>0</v>
      </c>
      <c r="BA157" s="28">
        <f t="shared" si="53"/>
        <v>0</v>
      </c>
      <c r="BB157" s="28">
        <f t="shared" si="60"/>
        <v>0</v>
      </c>
      <c r="BC157" s="29">
        <f t="shared" si="61"/>
        <v>1.1662806753571799E-3</v>
      </c>
      <c r="BE157" s="29">
        <f t="shared" si="62"/>
        <v>0</v>
      </c>
      <c r="BF157" s="29">
        <f t="shared" si="63"/>
        <v>2.8309759398372778E-3</v>
      </c>
      <c r="BH157" s="29"/>
    </row>
    <row r="158" spans="1:60" x14ac:dyDescent="0.25">
      <c r="A158" s="1">
        <v>46252</v>
      </c>
      <c r="B158" s="33">
        <v>16.57</v>
      </c>
      <c r="C158" s="33">
        <v>21.62</v>
      </c>
      <c r="D158" s="15">
        <v>0</v>
      </c>
      <c r="E158" s="15">
        <v>4.6264169226773301E-4</v>
      </c>
      <c r="F158" s="33">
        <v>0</v>
      </c>
      <c r="G158" s="33">
        <v>0.44216</v>
      </c>
      <c r="H158" s="33">
        <v>0</v>
      </c>
      <c r="I158" s="33">
        <v>0.57464199999999999</v>
      </c>
      <c r="J158" s="33">
        <v>0.44216</v>
      </c>
      <c r="K158" s="33">
        <v>0.57464199999999999</v>
      </c>
      <c r="L158" s="33">
        <v>17.012160000000002</v>
      </c>
      <c r="M158" s="33">
        <v>22.194642000000002</v>
      </c>
      <c r="N158" s="34">
        <v>1.3047676523838201</v>
      </c>
      <c r="O158" s="34">
        <v>1.3062602516891499</v>
      </c>
      <c r="P158" s="34">
        <v>1.30484103826944</v>
      </c>
      <c r="Q158" s="34">
        <v>1.3067620338560699</v>
      </c>
      <c r="R158" s="33">
        <v>21.644732370489201</v>
      </c>
      <c r="S158" s="33">
        <v>21.621216004124701</v>
      </c>
      <c r="T158" s="33">
        <v>21.6573217193971</v>
      </c>
      <c r="U158" s="15">
        <v>1.1433041106795501E-3</v>
      </c>
      <c r="V158" s="15">
        <v>5.6242827441099899E-5</v>
      </c>
      <c r="W158" s="15">
        <v>1.7247707190048999E-3</v>
      </c>
      <c r="X158" s="34">
        <v>1.30463397945939</v>
      </c>
      <c r="Y158" s="34">
        <v>1.3045124660331</v>
      </c>
      <c r="Z158" s="34">
        <v>1.3047054311250099</v>
      </c>
      <c r="AA158" s="34">
        <v>1.3046335539123901</v>
      </c>
      <c r="AB158" s="33">
        <v>22.192574794149699</v>
      </c>
      <c r="AC158" s="33">
        <v>22.195857547167702</v>
      </c>
      <c r="AD158" s="33">
        <v>22.194783633022102</v>
      </c>
      <c r="AE158" s="15">
        <v>-9.3144197860314993E-5</v>
      </c>
      <c r="AF158" s="15">
        <v>5.4766095468116902E-5</v>
      </c>
      <c r="AG158" s="15">
        <v>6.38138566429492E-6</v>
      </c>
      <c r="AI158" s="12"/>
      <c r="AJ158">
        <f t="shared" si="46"/>
        <v>0</v>
      </c>
      <c r="AK158">
        <f t="shared" si="47"/>
        <v>1</v>
      </c>
      <c r="AL158">
        <f t="shared" si="54"/>
        <v>0</v>
      </c>
      <c r="AM158">
        <f t="shared" si="44"/>
        <v>1</v>
      </c>
      <c r="AN158">
        <f t="shared" si="55"/>
        <v>0</v>
      </c>
      <c r="AO158" s="28">
        <f t="shared" si="48"/>
        <v>0</v>
      </c>
      <c r="AP158" s="28">
        <f t="shared" si="49"/>
        <v>0</v>
      </c>
      <c r="AQ158" s="28">
        <f t="shared" si="56"/>
        <v>0</v>
      </c>
      <c r="AR158" s="29">
        <f t="shared" si="57"/>
        <v>1.6646952644800981E-3</v>
      </c>
      <c r="AT158" s="12"/>
      <c r="AU158">
        <f t="shared" si="50"/>
        <v>0</v>
      </c>
      <c r="AV158">
        <f t="shared" si="51"/>
        <v>1</v>
      </c>
      <c r="AW158">
        <f t="shared" si="58"/>
        <v>0</v>
      </c>
      <c r="AX158">
        <f t="shared" si="45"/>
        <v>1</v>
      </c>
      <c r="AY158">
        <f t="shared" si="59"/>
        <v>0</v>
      </c>
      <c r="AZ158" s="28">
        <f t="shared" si="52"/>
        <v>0</v>
      </c>
      <c r="BA158" s="28">
        <f t="shared" si="53"/>
        <v>0</v>
      </c>
      <c r="BB158" s="28">
        <f t="shared" si="60"/>
        <v>0</v>
      </c>
      <c r="BC158" s="29">
        <f t="shared" si="61"/>
        <v>1.1662806753571799E-3</v>
      </c>
      <c r="BE158" s="29">
        <f t="shared" si="62"/>
        <v>0</v>
      </c>
      <c r="BF158" s="29">
        <f t="shared" si="63"/>
        <v>2.8309759398372778E-3</v>
      </c>
      <c r="BH158" s="29"/>
    </row>
    <row r="159" spans="1:60" x14ac:dyDescent="0.25">
      <c r="A159" s="1">
        <v>46253</v>
      </c>
      <c r="B159" s="33">
        <v>16.59</v>
      </c>
      <c r="C159" s="33">
        <v>21.65</v>
      </c>
      <c r="D159" s="15">
        <v>1.2062727638815899E-3</v>
      </c>
      <c r="E159" s="15">
        <v>1.38664223743649E-3</v>
      </c>
      <c r="F159" s="33">
        <v>0</v>
      </c>
      <c r="G159" s="33">
        <v>0.44216</v>
      </c>
      <c r="H159" s="33">
        <v>0</v>
      </c>
      <c r="I159" s="33">
        <v>0.57464199999999999</v>
      </c>
      <c r="J159" s="33">
        <v>0.44216</v>
      </c>
      <c r="K159" s="33">
        <v>0.57464199999999999</v>
      </c>
      <c r="L159" s="33">
        <v>17.032160000000001</v>
      </c>
      <c r="M159" s="33">
        <v>22.224641999999999</v>
      </c>
      <c r="N159" s="34">
        <v>1.30500301386377</v>
      </c>
      <c r="O159" s="34">
        <v>1.3062602516891499</v>
      </c>
      <c r="P159" s="34">
        <v>1.3049013155449101</v>
      </c>
      <c r="Q159" s="34">
        <v>1.30655763909471</v>
      </c>
      <c r="R159" s="33">
        <v>21.670857575523002</v>
      </c>
      <c r="S159" s="33">
        <v>21.647312824890101</v>
      </c>
      <c r="T159" s="33">
        <v>21.6791821416723</v>
      </c>
      <c r="U159" s="15">
        <v>9.6293463712463195E-4</v>
      </c>
      <c r="V159" s="15">
        <v>-1.2412664611375401E-4</v>
      </c>
      <c r="W159" s="15">
        <v>1.3469973187696801E-3</v>
      </c>
      <c r="X159" s="34">
        <v>1.3048633878497999</v>
      </c>
      <c r="Y159" s="34">
        <v>1.3045124660331</v>
      </c>
      <c r="Z159" s="34">
        <v>1.3047641435842601</v>
      </c>
      <c r="AA159" s="34">
        <v>1.30467730658351</v>
      </c>
      <c r="AB159" s="33">
        <v>22.218665043470299</v>
      </c>
      <c r="AC159" s="33">
        <v>22.2219516557902</v>
      </c>
      <c r="AD159" s="33">
        <v>22.220727431604399</v>
      </c>
      <c r="AE159" s="15">
        <v>-2.6896992880385802E-4</v>
      </c>
      <c r="AF159" s="15">
        <v>-1.21059635475353E-4</v>
      </c>
      <c r="AG159" s="15">
        <v>-1.76151912142735E-4</v>
      </c>
      <c r="AI159" s="12"/>
      <c r="AJ159">
        <f t="shared" si="46"/>
        <v>0</v>
      </c>
      <c r="AK159">
        <f t="shared" si="47"/>
        <v>1</v>
      </c>
      <c r="AL159">
        <f t="shared" si="54"/>
        <v>0</v>
      </c>
      <c r="AM159">
        <f t="shared" si="44"/>
        <v>1</v>
      </c>
      <c r="AN159">
        <f t="shared" si="55"/>
        <v>0</v>
      </c>
      <c r="AO159" s="28">
        <f t="shared" si="48"/>
        <v>0</v>
      </c>
      <c r="AP159" s="28">
        <f t="shared" si="49"/>
        <v>0</v>
      </c>
      <c r="AQ159" s="28">
        <f t="shared" si="56"/>
        <v>0</v>
      </c>
      <c r="AR159" s="29">
        <f t="shared" si="57"/>
        <v>1.6646952644800981E-3</v>
      </c>
      <c r="AT159" s="12"/>
      <c r="AU159">
        <f t="shared" si="50"/>
        <v>0</v>
      </c>
      <c r="AV159">
        <f t="shared" si="51"/>
        <v>1</v>
      </c>
      <c r="AW159">
        <f t="shared" si="58"/>
        <v>0</v>
      </c>
      <c r="AX159">
        <f t="shared" si="45"/>
        <v>1</v>
      </c>
      <c r="AY159">
        <f t="shared" si="59"/>
        <v>0</v>
      </c>
      <c r="AZ159" s="28">
        <f t="shared" si="52"/>
        <v>0</v>
      </c>
      <c r="BA159" s="28">
        <f t="shared" si="53"/>
        <v>0</v>
      </c>
      <c r="BB159" s="28">
        <f t="shared" si="60"/>
        <v>0</v>
      </c>
      <c r="BC159" s="29">
        <f t="shared" si="61"/>
        <v>1.1662806753571799E-3</v>
      </c>
      <c r="BE159" s="29">
        <f t="shared" si="62"/>
        <v>0</v>
      </c>
      <c r="BF159" s="29">
        <f t="shared" si="63"/>
        <v>2.8309759398372778E-3</v>
      </c>
      <c r="BH159" s="29"/>
    </row>
    <row r="160" spans="1:60" x14ac:dyDescent="0.25">
      <c r="A160" s="1">
        <v>46254</v>
      </c>
      <c r="B160" s="33">
        <v>16.57</v>
      </c>
      <c r="C160" s="33">
        <v>21.62</v>
      </c>
      <c r="D160" s="15">
        <v>-1.2062727638815301E-3</v>
      </c>
      <c r="E160" s="15">
        <v>-1.3866422374364999E-3</v>
      </c>
      <c r="F160" s="33">
        <v>0</v>
      </c>
      <c r="G160" s="33">
        <v>0.44216</v>
      </c>
      <c r="H160" s="33">
        <v>0</v>
      </c>
      <c r="I160" s="33">
        <v>0.57464199999999999</v>
      </c>
      <c r="J160" s="33">
        <v>0.44216</v>
      </c>
      <c r="K160" s="33">
        <v>0.57464199999999999</v>
      </c>
      <c r="L160" s="33">
        <v>17.012160000000002</v>
      </c>
      <c r="M160" s="33">
        <v>22.194642000000002</v>
      </c>
      <c r="N160" s="34">
        <v>1.3047676523838201</v>
      </c>
      <c r="O160" s="34">
        <v>1.3062602516891499</v>
      </c>
      <c r="P160" s="34">
        <v>1.30492490857785</v>
      </c>
      <c r="Q160" s="34">
        <v>1.30630391964829</v>
      </c>
      <c r="R160" s="33">
        <v>21.644732370489201</v>
      </c>
      <c r="S160" s="33">
        <v>21.622214798579201</v>
      </c>
      <c r="T160" s="33">
        <v>21.649660079799499</v>
      </c>
      <c r="U160" s="15">
        <v>1.1433041106795501E-3</v>
      </c>
      <c r="V160" s="15">
        <v>1.02436870611758E-4</v>
      </c>
      <c r="W160" s="15">
        <v>1.3709414120777199E-3</v>
      </c>
      <c r="X160" s="34">
        <v>1.30463397945939</v>
      </c>
      <c r="Y160" s="34">
        <v>1.3045124660331</v>
      </c>
      <c r="Z160" s="34">
        <v>1.3047871384266501</v>
      </c>
      <c r="AA160" s="34">
        <v>1.3046736184817</v>
      </c>
      <c r="AB160" s="33">
        <v>22.192574794149699</v>
      </c>
      <c r="AC160" s="33">
        <v>22.1968563729185</v>
      </c>
      <c r="AD160" s="33">
        <v>22.195379087967801</v>
      </c>
      <c r="AE160" s="15">
        <v>-9.3144197860314993E-5</v>
      </c>
      <c r="AF160" s="15">
        <v>9.97656308774997E-5</v>
      </c>
      <c r="AG160" s="15">
        <v>3.32096245910593E-5</v>
      </c>
      <c r="AI160" s="12"/>
      <c r="AJ160">
        <f t="shared" si="46"/>
        <v>0</v>
      </c>
      <c r="AK160">
        <f t="shared" si="47"/>
        <v>1</v>
      </c>
      <c r="AL160">
        <f t="shared" si="54"/>
        <v>0</v>
      </c>
      <c r="AM160">
        <f t="shared" si="44"/>
        <v>1</v>
      </c>
      <c r="AN160">
        <f t="shared" si="55"/>
        <v>0</v>
      </c>
      <c r="AO160" s="28">
        <f t="shared" si="48"/>
        <v>0</v>
      </c>
      <c r="AP160" s="28">
        <f t="shared" si="49"/>
        <v>0</v>
      </c>
      <c r="AQ160" s="28">
        <f t="shared" si="56"/>
        <v>0</v>
      </c>
      <c r="AR160" s="29">
        <f t="shared" si="57"/>
        <v>1.6646952644800981E-3</v>
      </c>
      <c r="AT160" s="12"/>
      <c r="AU160">
        <f t="shared" si="50"/>
        <v>0</v>
      </c>
      <c r="AV160">
        <f t="shared" si="51"/>
        <v>1</v>
      </c>
      <c r="AW160">
        <f t="shared" si="58"/>
        <v>0</v>
      </c>
      <c r="AX160">
        <f t="shared" si="45"/>
        <v>1</v>
      </c>
      <c r="AY160">
        <f t="shared" si="59"/>
        <v>0</v>
      </c>
      <c r="AZ160" s="28">
        <f t="shared" si="52"/>
        <v>0</v>
      </c>
      <c r="BA160" s="28">
        <f t="shared" si="53"/>
        <v>0</v>
      </c>
      <c r="BB160" s="28">
        <f t="shared" si="60"/>
        <v>0</v>
      </c>
      <c r="BC160" s="29">
        <f t="shared" si="61"/>
        <v>1.1662806753571799E-3</v>
      </c>
      <c r="BE160" s="29">
        <f t="shared" si="62"/>
        <v>0</v>
      </c>
      <c r="BF160" s="29">
        <f t="shared" si="63"/>
        <v>2.8309759398372778E-3</v>
      </c>
      <c r="BH160" s="29"/>
    </row>
    <row r="161" spans="1:60" x14ac:dyDescent="0.25">
      <c r="A161" s="1">
        <v>46255</v>
      </c>
      <c r="B161" s="33">
        <v>16.55</v>
      </c>
      <c r="C161" s="33">
        <v>21.6</v>
      </c>
      <c r="D161" s="15">
        <v>-1.2077296153996499E-3</v>
      </c>
      <c r="E161" s="15">
        <v>-9.2549752094292102E-4</v>
      </c>
      <c r="F161" s="33">
        <v>0</v>
      </c>
      <c r="G161" s="33">
        <v>0.44216</v>
      </c>
      <c r="H161" s="33">
        <v>0</v>
      </c>
      <c r="I161" s="33">
        <v>0.57464199999999999</v>
      </c>
      <c r="J161" s="33">
        <v>0.44216</v>
      </c>
      <c r="K161" s="33">
        <v>0.57464199999999999</v>
      </c>
      <c r="L161" s="33">
        <v>16.992159999999998</v>
      </c>
      <c r="M161" s="33">
        <v>22.174641999999999</v>
      </c>
      <c r="N161" s="34">
        <v>1.3051359516616301</v>
      </c>
      <c r="O161" s="34">
        <v>1.3062602516891499</v>
      </c>
      <c r="P161" s="34">
        <v>1.3049013884754599</v>
      </c>
      <c r="Q161" s="34">
        <v>1.3060570764546799</v>
      </c>
      <c r="R161" s="33">
        <v>21.618607165455401</v>
      </c>
      <c r="S161" s="33">
        <v>21.5965072369635</v>
      </c>
      <c r="T161" s="33">
        <v>21.6193298701793</v>
      </c>
      <c r="U161" s="15">
        <v>8.6107201622281199E-4</v>
      </c>
      <c r="V161" s="15">
        <v>-1.61715067605538E-4</v>
      </c>
      <c r="W161" s="15">
        <v>8.9450121166852897E-4</v>
      </c>
      <c r="X161" s="34">
        <v>1.30499253773504</v>
      </c>
      <c r="Y161" s="34">
        <v>1.3045124660331</v>
      </c>
      <c r="Z161" s="34">
        <v>1.3047642127708601</v>
      </c>
      <c r="AA161" s="34">
        <v>1.3046763176712799</v>
      </c>
      <c r="AB161" s="33">
        <v>22.166484544829</v>
      </c>
      <c r="AC161" s="33">
        <v>22.1711518220879</v>
      </c>
      <c r="AD161" s="33">
        <v>22.169222873020001</v>
      </c>
      <c r="AE161" s="15">
        <v>-3.67940821472819E-4</v>
      </c>
      <c r="AF161" s="15">
        <v>-1.57407393957666E-4</v>
      </c>
      <c r="AG161" s="15">
        <v>-2.4441383368201E-4</v>
      </c>
      <c r="AI161" s="12"/>
      <c r="AJ161">
        <f t="shared" si="46"/>
        <v>0</v>
      </c>
      <c r="AK161">
        <f t="shared" si="47"/>
        <v>0</v>
      </c>
      <c r="AL161">
        <f t="shared" si="54"/>
        <v>0</v>
      </c>
      <c r="AM161">
        <f t="shared" si="44"/>
        <v>0</v>
      </c>
      <c r="AN161">
        <f t="shared" si="55"/>
        <v>0</v>
      </c>
      <c r="AO161" s="28">
        <f t="shared" si="48"/>
        <v>0</v>
      </c>
      <c r="AP161" s="28">
        <f t="shared" si="49"/>
        <v>0</v>
      </c>
      <c r="AQ161" s="28">
        <f t="shared" si="56"/>
        <v>0</v>
      </c>
      <c r="AR161" s="29">
        <f t="shared" si="57"/>
        <v>1.6646952644800981E-3</v>
      </c>
      <c r="AT161" s="12"/>
      <c r="AU161">
        <f t="shared" si="50"/>
        <v>0</v>
      </c>
      <c r="AV161">
        <f t="shared" si="51"/>
        <v>1</v>
      </c>
      <c r="AW161">
        <f t="shared" si="58"/>
        <v>0</v>
      </c>
      <c r="AX161">
        <f t="shared" si="45"/>
        <v>0</v>
      </c>
      <c r="AY161">
        <f t="shared" si="59"/>
        <v>0</v>
      </c>
      <c r="AZ161" s="28">
        <f t="shared" si="52"/>
        <v>0</v>
      </c>
      <c r="BA161" s="28">
        <f t="shared" si="53"/>
        <v>0</v>
      </c>
      <c r="BB161" s="28">
        <f t="shared" si="60"/>
        <v>0</v>
      </c>
      <c r="BC161" s="29">
        <f t="shared" si="61"/>
        <v>1.1662806753571799E-3</v>
      </c>
      <c r="BE161" s="29">
        <f t="shared" si="62"/>
        <v>0</v>
      </c>
      <c r="BF161" s="29">
        <f t="shared" si="63"/>
        <v>2.8309759398372778E-3</v>
      </c>
      <c r="BH161" s="29"/>
    </row>
    <row r="162" spans="1:60" x14ac:dyDescent="0.25">
      <c r="A162" s="1">
        <v>46258</v>
      </c>
      <c r="B162" s="33">
        <v>16.5</v>
      </c>
      <c r="C162" s="33">
        <v>21.62</v>
      </c>
      <c r="D162" s="15">
        <v>-3.0257209165370602E-3</v>
      </c>
      <c r="E162" s="15">
        <v>9.25497520942971E-4</v>
      </c>
      <c r="F162" s="33">
        <v>6.5299999999999997E-2</v>
      </c>
      <c r="G162" s="33">
        <v>0.50746000000000002</v>
      </c>
      <c r="H162" s="33">
        <v>0</v>
      </c>
      <c r="I162" s="33">
        <v>0.57464199999999999</v>
      </c>
      <c r="J162" s="33">
        <v>0.50746000000000002</v>
      </c>
      <c r="K162" s="33">
        <v>0.57464199999999999</v>
      </c>
      <c r="L162" s="33">
        <v>17.007459999999998</v>
      </c>
      <c r="M162" s="33">
        <v>22.194642000000002</v>
      </c>
      <c r="N162" s="34">
        <v>1.3103030303030301</v>
      </c>
      <c r="O162" s="34">
        <v>1.3062602516891499</v>
      </c>
      <c r="P162" s="34">
        <v>1.30552056695921</v>
      </c>
      <c r="Q162" s="34">
        <v>1.30611768251528</v>
      </c>
      <c r="R162" s="33">
        <v>21.553294152871</v>
      </c>
      <c r="S162" s="33">
        <v>21.530872909845101</v>
      </c>
      <c r="T162" s="33">
        <v>21.5499417615022</v>
      </c>
      <c r="U162" s="15">
        <v>-3.0901464212570802E-3</v>
      </c>
      <c r="V162" s="15">
        <v>-4.1309577716210398E-3</v>
      </c>
      <c r="W162" s="15">
        <v>-3.2456981474528199E-3</v>
      </c>
      <c r="X162" s="34">
        <v>1.3049945141720101</v>
      </c>
      <c r="Y162" s="34">
        <v>1.3045124660331</v>
      </c>
      <c r="Z162" s="34">
        <v>1.30486422147877</v>
      </c>
      <c r="AA162" s="34">
        <v>1.30472662665851</v>
      </c>
      <c r="AB162" s="33">
        <v>22.186443585559299</v>
      </c>
      <c r="AC162" s="33">
        <v>22.190725158131901</v>
      </c>
      <c r="AD162" s="33">
        <v>22.189230285741601</v>
      </c>
      <c r="AE162" s="15">
        <v>-3.6945534007189299E-4</v>
      </c>
      <c r="AF162" s="15">
        <v>-1.7649248520492701E-4</v>
      </c>
      <c r="AG162" s="15">
        <v>-2.43859492492214E-4</v>
      </c>
      <c r="AI162" s="12"/>
      <c r="AJ162">
        <f t="shared" si="46"/>
        <v>0</v>
      </c>
      <c r="AK162">
        <f t="shared" si="47"/>
        <v>0</v>
      </c>
      <c r="AL162">
        <f t="shared" si="54"/>
        <v>0</v>
      </c>
      <c r="AM162">
        <f t="shared" si="44"/>
        <v>1</v>
      </c>
      <c r="AN162">
        <f t="shared" si="55"/>
        <v>0</v>
      </c>
      <c r="AO162" s="28">
        <f t="shared" si="48"/>
        <v>0</v>
      </c>
      <c r="AP162" s="28">
        <f t="shared" si="49"/>
        <v>0</v>
      </c>
      <c r="AQ162" s="28">
        <f t="shared" si="56"/>
        <v>0</v>
      </c>
      <c r="AR162" s="29">
        <f t="shared" si="57"/>
        <v>1.6646952644800981E-3</v>
      </c>
      <c r="AT162" s="12"/>
      <c r="AU162">
        <f t="shared" si="50"/>
        <v>0</v>
      </c>
      <c r="AV162">
        <f t="shared" si="51"/>
        <v>1</v>
      </c>
      <c r="AW162">
        <f t="shared" si="58"/>
        <v>0</v>
      </c>
      <c r="AX162">
        <f t="shared" si="45"/>
        <v>1</v>
      </c>
      <c r="AY162">
        <f t="shared" si="59"/>
        <v>0</v>
      </c>
      <c r="AZ162" s="28">
        <f t="shared" si="52"/>
        <v>0</v>
      </c>
      <c r="BA162" s="28">
        <f t="shared" si="53"/>
        <v>0</v>
      </c>
      <c r="BB162" s="28">
        <f t="shared" si="60"/>
        <v>0</v>
      </c>
      <c r="BC162" s="29">
        <f t="shared" si="61"/>
        <v>1.1662806753571799E-3</v>
      </c>
      <c r="BE162" s="29">
        <f t="shared" si="62"/>
        <v>0</v>
      </c>
      <c r="BF162" s="29">
        <f t="shared" si="63"/>
        <v>2.8309759398372778E-3</v>
      </c>
      <c r="BH162" s="29"/>
    </row>
    <row r="163" spans="1:60" x14ac:dyDescent="0.25">
      <c r="A163" s="1">
        <v>46259</v>
      </c>
      <c r="B163" s="33">
        <v>16.55</v>
      </c>
      <c r="C163" s="33">
        <v>21.66</v>
      </c>
      <c r="D163" s="15">
        <v>3.0257209165371101E-3</v>
      </c>
      <c r="E163" s="15">
        <v>1.8484293617823701E-3</v>
      </c>
      <c r="F163" s="33">
        <v>0</v>
      </c>
      <c r="G163" s="33">
        <v>0.50746000000000002</v>
      </c>
      <c r="H163" s="33">
        <v>0</v>
      </c>
      <c r="I163" s="33">
        <v>0.57464199999999999</v>
      </c>
      <c r="J163" s="33">
        <v>0.50746000000000002</v>
      </c>
      <c r="K163" s="33">
        <v>0.57464199999999999</v>
      </c>
      <c r="L163" s="33">
        <v>17.057459999999999</v>
      </c>
      <c r="M163" s="33">
        <v>22.234642000000001</v>
      </c>
      <c r="N163" s="34">
        <v>1.3087613293051299</v>
      </c>
      <c r="O163" s="34">
        <v>1.3062602516891499</v>
      </c>
      <c r="P163" s="34">
        <v>1.3059435276842799</v>
      </c>
      <c r="Q163" s="34">
        <v>1.3060593809418</v>
      </c>
      <c r="R163" s="33">
        <v>21.618607165455401</v>
      </c>
      <c r="S163" s="33">
        <v>21.6063653831749</v>
      </c>
      <c r="T163" s="33">
        <v>21.616247645627901</v>
      </c>
      <c r="U163" s="15">
        <v>-1.91285486650234E-3</v>
      </c>
      <c r="V163" s="15">
        <v>-2.4792766308670599E-3</v>
      </c>
      <c r="W163" s="15">
        <v>-2.0220038316201699E-3</v>
      </c>
      <c r="X163" s="34">
        <v>1.3035142395174899</v>
      </c>
      <c r="Y163" s="34">
        <v>1.3045124660331</v>
      </c>
      <c r="Z163" s="34">
        <v>1.3047752423269701</v>
      </c>
      <c r="AA163" s="34">
        <v>1.3046618887152699</v>
      </c>
      <c r="AB163" s="33">
        <v>22.251669208860999</v>
      </c>
      <c r="AC163" s="33">
        <v>22.257669263305299</v>
      </c>
      <c r="AD163" s="33">
        <v>22.255322245162599</v>
      </c>
      <c r="AE163" s="15">
        <v>7.6550333034202495E-4</v>
      </c>
      <c r="AF163" s="15">
        <v>1.03511212196205E-3</v>
      </c>
      <c r="AG163" s="15">
        <v>9.2965894681751196E-4</v>
      </c>
      <c r="AI163" s="12"/>
      <c r="AJ163">
        <f t="shared" si="46"/>
        <v>0</v>
      </c>
      <c r="AK163">
        <f t="shared" si="47"/>
        <v>1</v>
      </c>
      <c r="AL163">
        <f t="shared" si="54"/>
        <v>0</v>
      </c>
      <c r="AM163">
        <f t="shared" si="44"/>
        <v>1</v>
      </c>
      <c r="AN163">
        <f t="shared" si="55"/>
        <v>0</v>
      </c>
      <c r="AO163" s="28">
        <f t="shared" si="48"/>
        <v>0</v>
      </c>
      <c r="AP163" s="28">
        <f t="shared" si="49"/>
        <v>0</v>
      </c>
      <c r="AQ163" s="28">
        <f t="shared" si="56"/>
        <v>0</v>
      </c>
      <c r="AR163" s="29">
        <f t="shared" si="57"/>
        <v>1.6646952644800981E-3</v>
      </c>
      <c r="AT163" s="12"/>
      <c r="AU163">
        <f t="shared" si="50"/>
        <v>0</v>
      </c>
      <c r="AV163">
        <f t="shared" si="51"/>
        <v>0</v>
      </c>
      <c r="AW163">
        <f t="shared" si="58"/>
        <v>0</v>
      </c>
      <c r="AX163">
        <f t="shared" si="45"/>
        <v>1</v>
      </c>
      <c r="AY163">
        <f t="shared" si="59"/>
        <v>0</v>
      </c>
      <c r="AZ163" s="28">
        <f t="shared" si="52"/>
        <v>0</v>
      </c>
      <c r="BA163" s="28">
        <f t="shared" si="53"/>
        <v>0</v>
      </c>
      <c r="BB163" s="28">
        <f t="shared" si="60"/>
        <v>0</v>
      </c>
      <c r="BC163" s="29">
        <f t="shared" si="61"/>
        <v>1.1662806753571799E-3</v>
      </c>
      <c r="BE163" s="29">
        <f t="shared" si="62"/>
        <v>0</v>
      </c>
      <c r="BF163" s="29">
        <f t="shared" si="63"/>
        <v>2.8309759398372778E-3</v>
      </c>
      <c r="BH163" s="29"/>
    </row>
    <row r="164" spans="1:60" x14ac:dyDescent="0.25">
      <c r="A164" s="1">
        <v>46260</v>
      </c>
      <c r="B164" s="33">
        <v>16.52</v>
      </c>
      <c r="C164" s="33">
        <v>21.66</v>
      </c>
      <c r="D164" s="15">
        <v>-1.8143337302399701E-3</v>
      </c>
      <c r="E164" s="15">
        <v>0</v>
      </c>
      <c r="F164" s="33">
        <v>0</v>
      </c>
      <c r="G164" s="33">
        <v>0.50746000000000002</v>
      </c>
      <c r="H164" s="33">
        <v>0</v>
      </c>
      <c r="I164" s="33">
        <v>0.57464199999999999</v>
      </c>
      <c r="J164" s="33">
        <v>0.50746000000000002</v>
      </c>
      <c r="K164" s="33">
        <v>0.57464199999999999</v>
      </c>
      <c r="L164" s="33">
        <v>17.027459999999898</v>
      </c>
      <c r="M164" s="33">
        <v>22.234642000000001</v>
      </c>
      <c r="N164" s="34">
        <v>1.31113801452784</v>
      </c>
      <c r="O164" s="34">
        <v>1.3062602516891499</v>
      </c>
      <c r="P164" s="34">
        <v>1.3065017735815101</v>
      </c>
      <c r="Q164" s="34">
        <v>1.3061011301530401</v>
      </c>
      <c r="R164" s="33">
        <v>21.579419357904701</v>
      </c>
      <c r="S164" s="33">
        <v>21.574187077344401</v>
      </c>
      <c r="T164" s="33">
        <v>21.5761009731585</v>
      </c>
      <c r="U164" s="15">
        <v>-3.7271885967422999E-3</v>
      </c>
      <c r="V164" s="15">
        <v>-3.9696842312080599E-3</v>
      </c>
      <c r="W164" s="15">
        <v>-3.88097586322937E-3</v>
      </c>
      <c r="X164" s="34">
        <v>1.3058108490638001</v>
      </c>
      <c r="Y164" s="34">
        <v>1.3045124660331</v>
      </c>
      <c r="Z164" s="34">
        <v>1.3048161958618101</v>
      </c>
      <c r="AA164" s="34">
        <v>1.3046939900960199</v>
      </c>
      <c r="AB164" s="33">
        <v>22.212533834879999</v>
      </c>
      <c r="AC164" s="33">
        <v>22.217008247712801</v>
      </c>
      <c r="AD164" s="33">
        <v>22.215078123623801</v>
      </c>
      <c r="AE164" s="15">
        <v>-9.9480637534160392E-4</v>
      </c>
      <c r="AF164" s="15">
        <v>-7.9339026172826595E-4</v>
      </c>
      <c r="AG164" s="15">
        <v>-8.80270003276388E-4</v>
      </c>
      <c r="AI164" s="12"/>
      <c r="AJ164">
        <f t="shared" si="46"/>
        <v>0</v>
      </c>
      <c r="AK164">
        <f t="shared" si="47"/>
        <v>0</v>
      </c>
      <c r="AL164">
        <f t="shared" si="54"/>
        <v>0</v>
      </c>
      <c r="AM164">
        <f t="shared" si="44"/>
        <v>1</v>
      </c>
      <c r="AN164">
        <f t="shared" si="55"/>
        <v>0</v>
      </c>
      <c r="AO164" s="28">
        <f t="shared" si="48"/>
        <v>0</v>
      </c>
      <c r="AP164" s="28">
        <f t="shared" si="49"/>
        <v>0</v>
      </c>
      <c r="AQ164" s="28">
        <f t="shared" si="56"/>
        <v>0</v>
      </c>
      <c r="AR164" s="29">
        <f t="shared" si="57"/>
        <v>1.6646952644800981E-3</v>
      </c>
      <c r="AT164" s="12"/>
      <c r="AU164">
        <f t="shared" si="50"/>
        <v>0</v>
      </c>
      <c r="AV164">
        <f t="shared" si="51"/>
        <v>1</v>
      </c>
      <c r="AW164">
        <f t="shared" si="58"/>
        <v>0</v>
      </c>
      <c r="AX164">
        <f t="shared" si="45"/>
        <v>1</v>
      </c>
      <c r="AY164">
        <f t="shared" si="59"/>
        <v>0</v>
      </c>
      <c r="AZ164" s="28">
        <f t="shared" si="52"/>
        <v>0</v>
      </c>
      <c r="BA164" s="28">
        <f t="shared" si="53"/>
        <v>0</v>
      </c>
      <c r="BB164" s="28">
        <f t="shared" si="60"/>
        <v>0</v>
      </c>
      <c r="BC164" s="29">
        <f t="shared" si="61"/>
        <v>1.1662806753571799E-3</v>
      </c>
      <c r="BE164" s="29">
        <f t="shared" si="62"/>
        <v>0</v>
      </c>
      <c r="BF164" s="29">
        <f t="shared" si="63"/>
        <v>2.8309759398372778E-3</v>
      </c>
      <c r="BH164" s="29"/>
    </row>
    <row r="165" spans="1:60" x14ac:dyDescent="0.25">
      <c r="A165" s="1">
        <v>46261</v>
      </c>
      <c r="B165" s="33">
        <v>16.52</v>
      </c>
      <c r="C165" s="33">
        <v>21.64</v>
      </c>
      <c r="D165" s="15">
        <v>0</v>
      </c>
      <c r="E165" s="15">
        <v>-9.2378759456377096E-4</v>
      </c>
      <c r="F165" s="33">
        <v>0</v>
      </c>
      <c r="G165" s="33">
        <v>0.50746000000000002</v>
      </c>
      <c r="H165" s="33">
        <v>0</v>
      </c>
      <c r="I165" s="33">
        <v>0.57464199999999999</v>
      </c>
      <c r="J165" s="33">
        <v>0.50746000000000002</v>
      </c>
      <c r="K165" s="33">
        <v>0.57464199999999999</v>
      </c>
      <c r="L165" s="33">
        <v>17.027459999999898</v>
      </c>
      <c r="M165" s="33">
        <v>22.214642000000001</v>
      </c>
      <c r="N165" s="34">
        <v>1.3099273607748101</v>
      </c>
      <c r="O165" s="34">
        <v>1.3062602516891499</v>
      </c>
      <c r="P165" s="34">
        <v>1.3069339309971499</v>
      </c>
      <c r="Q165" s="34">
        <v>1.3061011301530401</v>
      </c>
      <c r="R165" s="33">
        <v>21.579419357904701</v>
      </c>
      <c r="S165" s="33">
        <v>21.5834092995666</v>
      </c>
      <c r="T165" s="33">
        <v>21.576790670128201</v>
      </c>
      <c r="U165" s="15">
        <v>-2.8034010021785998E-3</v>
      </c>
      <c r="V165" s="15">
        <v>-2.6185224018955302E-3</v>
      </c>
      <c r="W165" s="15">
        <v>-2.9252229961894E-3</v>
      </c>
      <c r="X165" s="34">
        <v>1.3046362757569201</v>
      </c>
      <c r="Y165" s="34">
        <v>1.3045124660331</v>
      </c>
      <c r="Z165" s="34">
        <v>1.3047347721932601</v>
      </c>
      <c r="AA165" s="34">
        <v>1.30468535396475</v>
      </c>
      <c r="AB165" s="33">
        <v>22.212533834879999</v>
      </c>
      <c r="AC165" s="33">
        <v>22.217705582389101</v>
      </c>
      <c r="AD165" s="33">
        <v>22.2156247286003</v>
      </c>
      <c r="AE165" s="15">
        <v>-9.4904304941298895E-5</v>
      </c>
      <c r="AF165" s="15">
        <v>1.3789874092597499E-4</v>
      </c>
      <c r="AG165" s="15">
        <v>4.4236898533562599E-5</v>
      </c>
      <c r="AI165" s="12"/>
      <c r="AJ165">
        <f t="shared" si="46"/>
        <v>0</v>
      </c>
      <c r="AK165">
        <f t="shared" si="47"/>
        <v>1</v>
      </c>
      <c r="AL165">
        <f t="shared" si="54"/>
        <v>0</v>
      </c>
      <c r="AM165">
        <f t="shared" si="44"/>
        <v>1</v>
      </c>
      <c r="AN165">
        <f t="shared" si="55"/>
        <v>0</v>
      </c>
      <c r="AO165" s="28">
        <f t="shared" si="48"/>
        <v>0</v>
      </c>
      <c r="AP165" s="28">
        <f t="shared" si="49"/>
        <v>0</v>
      </c>
      <c r="AQ165" s="28">
        <f t="shared" si="56"/>
        <v>0</v>
      </c>
      <c r="AR165" s="29">
        <f t="shared" si="57"/>
        <v>1.6646952644800981E-3</v>
      </c>
      <c r="AT165" s="12"/>
      <c r="AU165">
        <f t="shared" si="50"/>
        <v>0</v>
      </c>
      <c r="AV165">
        <f t="shared" si="51"/>
        <v>1</v>
      </c>
      <c r="AW165">
        <f t="shared" si="58"/>
        <v>0</v>
      </c>
      <c r="AX165">
        <f t="shared" si="45"/>
        <v>1</v>
      </c>
      <c r="AY165">
        <f t="shared" si="59"/>
        <v>0</v>
      </c>
      <c r="AZ165" s="28">
        <f t="shared" si="52"/>
        <v>0</v>
      </c>
      <c r="BA165" s="28">
        <f t="shared" si="53"/>
        <v>0</v>
      </c>
      <c r="BB165" s="28">
        <f t="shared" si="60"/>
        <v>0</v>
      </c>
      <c r="BC165" s="29">
        <f t="shared" si="61"/>
        <v>1.1662806753571799E-3</v>
      </c>
      <c r="BE165" s="29">
        <f t="shared" si="62"/>
        <v>0</v>
      </c>
      <c r="BF165" s="29">
        <f t="shared" si="63"/>
        <v>2.8309759398372778E-3</v>
      </c>
      <c r="BH165" s="29"/>
    </row>
    <row r="166" spans="1:60" x14ac:dyDescent="0.25">
      <c r="A166" s="1">
        <v>46262</v>
      </c>
      <c r="B166" s="33">
        <v>16.48</v>
      </c>
      <c r="C166" s="33">
        <v>21.59</v>
      </c>
      <c r="D166" s="15">
        <v>-2.42424361150628E-3</v>
      </c>
      <c r="E166" s="15">
        <v>-2.3132094515648698E-3</v>
      </c>
      <c r="F166" s="33">
        <v>0</v>
      </c>
      <c r="G166" s="33">
        <v>0.50746000000000002</v>
      </c>
      <c r="H166" s="33">
        <v>0</v>
      </c>
      <c r="I166" s="33">
        <v>0.57464199999999999</v>
      </c>
      <c r="J166" s="33">
        <v>0.50746000000000002</v>
      </c>
      <c r="K166" s="33">
        <v>0.57464199999999999</v>
      </c>
      <c r="L166" s="33">
        <v>16.987459999999999</v>
      </c>
      <c r="M166" s="33">
        <v>22.164642000000001</v>
      </c>
      <c r="N166" s="34">
        <v>1.31007281553398</v>
      </c>
      <c r="O166" s="34">
        <v>1.3062602516891499</v>
      </c>
      <c r="P166" s="34">
        <v>1.30740409728199</v>
      </c>
      <c r="Q166" s="34">
        <v>1.3061199224448901</v>
      </c>
      <c r="R166" s="33">
        <v>21.5271689478372</v>
      </c>
      <c r="S166" s="33">
        <v>21.538271182833</v>
      </c>
      <c r="T166" s="33">
        <v>21.524546624922099</v>
      </c>
      <c r="U166" s="15">
        <v>-2.91443516212004E-3</v>
      </c>
      <c r="V166" s="15">
        <v>-2.3988367979499302E-3</v>
      </c>
      <c r="W166" s="15">
        <v>-3.0362571561309E-3</v>
      </c>
      <c r="X166" s="34">
        <v>1.30476492659879</v>
      </c>
      <c r="Y166" s="34">
        <v>1.3045124660331</v>
      </c>
      <c r="Z166" s="34">
        <v>1.30468908542384</v>
      </c>
      <c r="AA166" s="34">
        <v>1.3046946713977801</v>
      </c>
      <c r="AB166" s="33">
        <v>22.1603533362387</v>
      </c>
      <c r="AC166" s="33">
        <v>22.1641297532422</v>
      </c>
      <c r="AD166" s="33">
        <v>22.163290263061999</v>
      </c>
      <c r="AE166" s="15">
        <v>-1.93509948152115E-4</v>
      </c>
      <c r="AF166" s="15">
        <v>-2.3111254271176501E-5</v>
      </c>
      <c r="AG166" s="15">
        <v>-6.0988043850922703E-5</v>
      </c>
      <c r="AI166" s="12"/>
      <c r="AJ166">
        <f t="shared" si="46"/>
        <v>0</v>
      </c>
      <c r="AK166">
        <f t="shared" si="47"/>
        <v>1</v>
      </c>
      <c r="AL166">
        <f t="shared" si="54"/>
        <v>0</v>
      </c>
      <c r="AM166">
        <f t="shared" si="44"/>
        <v>1</v>
      </c>
      <c r="AN166">
        <f t="shared" si="55"/>
        <v>0</v>
      </c>
      <c r="AO166" s="28">
        <f t="shared" si="48"/>
        <v>0</v>
      </c>
      <c r="AP166" s="28">
        <f t="shared" si="49"/>
        <v>0</v>
      </c>
      <c r="AQ166" s="28">
        <f t="shared" si="56"/>
        <v>0</v>
      </c>
      <c r="AR166" s="29">
        <f t="shared" si="57"/>
        <v>1.6646952644800981E-3</v>
      </c>
      <c r="AT166" s="12"/>
      <c r="AU166">
        <f t="shared" si="50"/>
        <v>0</v>
      </c>
      <c r="AV166">
        <f t="shared" si="51"/>
        <v>1</v>
      </c>
      <c r="AW166">
        <f t="shared" si="58"/>
        <v>0</v>
      </c>
      <c r="AX166">
        <f t="shared" si="45"/>
        <v>1</v>
      </c>
      <c r="AY166">
        <f t="shared" si="59"/>
        <v>0</v>
      </c>
      <c r="AZ166" s="28">
        <f t="shared" si="52"/>
        <v>0</v>
      </c>
      <c r="BA166" s="28">
        <f t="shared" si="53"/>
        <v>0</v>
      </c>
      <c r="BB166" s="28">
        <f t="shared" si="60"/>
        <v>0</v>
      </c>
      <c r="BC166" s="29">
        <f t="shared" si="61"/>
        <v>1.1662806753571799E-3</v>
      </c>
      <c r="BE166" s="29">
        <f t="shared" si="62"/>
        <v>0</v>
      </c>
      <c r="BF166" s="29">
        <f t="shared" si="63"/>
        <v>2.8309759398372778E-3</v>
      </c>
      <c r="BH166" s="29"/>
    </row>
    <row r="167" spans="1:60" x14ac:dyDescent="0.25">
      <c r="A167" s="1">
        <v>46265</v>
      </c>
      <c r="B167" s="33">
        <v>16.48</v>
      </c>
      <c r="C167" s="33">
        <v>21.59</v>
      </c>
      <c r="D167" s="15">
        <v>0</v>
      </c>
      <c r="E167" s="15">
        <v>0</v>
      </c>
      <c r="F167" s="33">
        <v>0</v>
      </c>
      <c r="G167" s="33">
        <v>0.50746000000000002</v>
      </c>
      <c r="H167" s="33">
        <v>0</v>
      </c>
      <c r="I167" s="33">
        <v>0.57464199999999999</v>
      </c>
      <c r="J167" s="33">
        <v>0.50746000000000002</v>
      </c>
      <c r="K167" s="33">
        <v>0.57464199999999999</v>
      </c>
      <c r="L167" s="33">
        <v>16.987459999999999</v>
      </c>
      <c r="M167" s="33">
        <v>22.164642000000001</v>
      </c>
      <c r="N167" s="34">
        <v>1.31007281553398</v>
      </c>
      <c r="O167" s="34">
        <v>1.3062602516891499</v>
      </c>
      <c r="P167" s="34">
        <v>1.3079949636271799</v>
      </c>
      <c r="Q167" s="34">
        <v>1.30641800094831</v>
      </c>
      <c r="R167" s="33">
        <v>21.5271689478372</v>
      </c>
      <c r="S167" s="33">
        <v>21.5460195232072</v>
      </c>
      <c r="T167" s="33">
        <v>21.5248563218918</v>
      </c>
      <c r="U167" s="15">
        <v>-2.91443516212004E-3</v>
      </c>
      <c r="V167" s="15">
        <v>-2.0391539376437302E-3</v>
      </c>
      <c r="W167" s="15">
        <v>-3.0218691763447001E-3</v>
      </c>
      <c r="X167" s="34">
        <v>1.30476492659879</v>
      </c>
      <c r="Y167" s="34">
        <v>1.3045124660331</v>
      </c>
      <c r="Z167" s="34">
        <v>1.30476096162114</v>
      </c>
      <c r="AA167" s="34">
        <v>1.3047331963730799</v>
      </c>
      <c r="AB167" s="33">
        <v>22.1603533362387</v>
      </c>
      <c r="AC167" s="33">
        <v>22.1633536510741</v>
      </c>
      <c r="AD167" s="33">
        <v>22.163448542583001</v>
      </c>
      <c r="AE167" s="15">
        <v>-1.93509948152115E-4</v>
      </c>
      <c r="AF167" s="15">
        <v>-5.8128002733634001E-5</v>
      </c>
      <c r="AG167" s="15">
        <v>-5.3846552045413803E-5</v>
      </c>
      <c r="AI167" s="12"/>
      <c r="AJ167">
        <f t="shared" si="46"/>
        <v>0</v>
      </c>
      <c r="AK167">
        <f t="shared" si="47"/>
        <v>1</v>
      </c>
      <c r="AL167">
        <f t="shared" si="54"/>
        <v>0</v>
      </c>
      <c r="AM167">
        <f t="shared" si="44"/>
        <v>0</v>
      </c>
      <c r="AN167">
        <f t="shared" si="55"/>
        <v>0</v>
      </c>
      <c r="AO167" s="28">
        <f t="shared" si="48"/>
        <v>0</v>
      </c>
      <c r="AP167" s="28">
        <f t="shared" si="49"/>
        <v>0</v>
      </c>
      <c r="AQ167" s="28">
        <f t="shared" si="56"/>
        <v>0</v>
      </c>
      <c r="AR167" s="29">
        <f t="shared" si="57"/>
        <v>1.6646952644800981E-3</v>
      </c>
      <c r="AT167" s="12"/>
      <c r="AU167">
        <f t="shared" si="50"/>
        <v>0</v>
      </c>
      <c r="AV167">
        <f t="shared" si="51"/>
        <v>1</v>
      </c>
      <c r="AW167">
        <f t="shared" si="58"/>
        <v>0</v>
      </c>
      <c r="AX167">
        <f t="shared" si="45"/>
        <v>0</v>
      </c>
      <c r="AY167">
        <f t="shared" si="59"/>
        <v>0</v>
      </c>
      <c r="AZ167" s="28">
        <f t="shared" si="52"/>
        <v>0</v>
      </c>
      <c r="BA167" s="28">
        <f t="shared" si="53"/>
        <v>0</v>
      </c>
      <c r="BB167" s="28">
        <f t="shared" si="60"/>
        <v>0</v>
      </c>
      <c r="BC167" s="29">
        <f t="shared" si="61"/>
        <v>1.1662806753571799E-3</v>
      </c>
      <c r="BE167" s="29">
        <f t="shared" si="62"/>
        <v>0</v>
      </c>
      <c r="BF167" s="29">
        <f t="shared" si="63"/>
        <v>2.8309759398372778E-3</v>
      </c>
      <c r="BH167" s="29"/>
    </row>
    <row r="168" spans="1:60" x14ac:dyDescent="0.25">
      <c r="A168" s="1">
        <v>46266</v>
      </c>
      <c r="B168" s="33">
        <v>16.43</v>
      </c>
      <c r="C168" s="33">
        <v>21.44</v>
      </c>
      <c r="D168" s="15">
        <v>-3.0385924321490098E-3</v>
      </c>
      <c r="E168" s="15">
        <v>-6.9719083241146403E-3</v>
      </c>
      <c r="F168" s="33">
        <v>0</v>
      </c>
      <c r="G168" s="33">
        <v>0.50746000000000002</v>
      </c>
      <c r="H168" s="33">
        <v>8.3215999999999998E-2</v>
      </c>
      <c r="I168" s="33">
        <v>0.65785799999999905</v>
      </c>
      <c r="J168" s="33">
        <v>0.50746000000000002</v>
      </c>
      <c r="K168" s="33">
        <v>0.65785799999999905</v>
      </c>
      <c r="L168" s="33">
        <v>16.937460000000002</v>
      </c>
      <c r="M168" s="33">
        <v>22.097857999999999</v>
      </c>
      <c r="N168" s="34">
        <v>1.30493000608642</v>
      </c>
      <c r="O168" s="34">
        <v>1.3062602516891499</v>
      </c>
      <c r="P168" s="34">
        <v>1.3080111989974399</v>
      </c>
      <c r="Q168" s="34">
        <v>1.30642611863344</v>
      </c>
      <c r="R168" s="33">
        <v>21.4618559352527</v>
      </c>
      <c r="S168" s="33">
        <v>21.490357252394599</v>
      </c>
      <c r="T168" s="33">
        <v>21.4644477555808</v>
      </c>
      <c r="U168" s="15">
        <v>1.0188807298456299E-3</v>
      </c>
      <c r="V168" s="15">
        <v>2.3459984362371902E-3</v>
      </c>
      <c r="W168" s="15">
        <v>1.13963747376967E-3</v>
      </c>
      <c r="X168" s="34">
        <v>1.30467366417396</v>
      </c>
      <c r="Y168" s="34">
        <v>1.3045124660331</v>
      </c>
      <c r="Z168" s="34">
        <v>1.3047649300926001</v>
      </c>
      <c r="AA168" s="34">
        <v>1.3047351806088101</v>
      </c>
      <c r="AB168" s="33">
        <v>22.095127712937</v>
      </c>
      <c r="AC168" s="33">
        <v>22.0993365970197</v>
      </c>
      <c r="AD168" s="33">
        <v>22.0988663242412</v>
      </c>
      <c r="AE168" s="15">
        <v>-1.2356200977945599E-4</v>
      </c>
      <c r="AF168" s="15">
        <v>6.69090893109925E-5</v>
      </c>
      <c r="AG168" s="15">
        <v>4.5628912857794798E-5</v>
      </c>
      <c r="AI168" s="12"/>
      <c r="AJ168">
        <f t="shared" si="46"/>
        <v>0</v>
      </c>
      <c r="AK168">
        <f t="shared" si="47"/>
        <v>1</v>
      </c>
      <c r="AL168">
        <f t="shared" si="54"/>
        <v>0</v>
      </c>
      <c r="AM168">
        <f t="shared" si="44"/>
        <v>1</v>
      </c>
      <c r="AN168">
        <f t="shared" si="55"/>
        <v>0</v>
      </c>
      <c r="AO168" s="28">
        <f t="shared" si="48"/>
        <v>0</v>
      </c>
      <c r="AP168" s="28">
        <f t="shared" si="49"/>
        <v>0</v>
      </c>
      <c r="AQ168" s="28">
        <f t="shared" si="56"/>
        <v>0</v>
      </c>
      <c r="AR168" s="29">
        <f t="shared" si="57"/>
        <v>1.6646952644800981E-3</v>
      </c>
      <c r="AT168" s="12"/>
      <c r="AU168">
        <f t="shared" si="50"/>
        <v>0</v>
      </c>
      <c r="AV168">
        <f t="shared" si="51"/>
        <v>1</v>
      </c>
      <c r="AW168">
        <f t="shared" si="58"/>
        <v>0</v>
      </c>
      <c r="AX168">
        <f t="shared" si="45"/>
        <v>1</v>
      </c>
      <c r="AY168">
        <f t="shared" si="59"/>
        <v>0</v>
      </c>
      <c r="AZ168" s="28">
        <f t="shared" si="52"/>
        <v>0</v>
      </c>
      <c r="BA168" s="28">
        <f t="shared" si="53"/>
        <v>0</v>
      </c>
      <c r="BB168" s="28">
        <f t="shared" si="60"/>
        <v>0</v>
      </c>
      <c r="BC168" s="29">
        <f t="shared" si="61"/>
        <v>1.1662806753571799E-3</v>
      </c>
      <c r="BE168" s="29">
        <f t="shared" si="62"/>
        <v>0</v>
      </c>
      <c r="BF168" s="29">
        <f t="shared" si="63"/>
        <v>2.8309759398372778E-3</v>
      </c>
      <c r="BH168" s="29"/>
    </row>
    <row r="169" spans="1:60" x14ac:dyDescent="0.25">
      <c r="A169" s="1">
        <v>46267</v>
      </c>
      <c r="B169" s="33">
        <v>16.45</v>
      </c>
      <c r="C169" s="33">
        <v>21.45</v>
      </c>
      <c r="D169" s="15">
        <v>1.2165451622042601E-3</v>
      </c>
      <c r="E169" s="15">
        <v>4.6630917142463603E-4</v>
      </c>
      <c r="F169" s="33">
        <v>0</v>
      </c>
      <c r="G169" s="33">
        <v>0.50746000000000002</v>
      </c>
      <c r="H169" s="33">
        <v>0</v>
      </c>
      <c r="I169" s="33">
        <v>0.65785799999999905</v>
      </c>
      <c r="J169" s="33">
        <v>0.50746000000000002</v>
      </c>
      <c r="K169" s="33">
        <v>0.65785799999999905</v>
      </c>
      <c r="L169" s="33">
        <v>16.957459999999902</v>
      </c>
      <c r="M169" s="33">
        <v>22.107858</v>
      </c>
      <c r="N169" s="34">
        <v>1.3039513677811501</v>
      </c>
      <c r="O169" s="34">
        <v>1.3062602516891499</v>
      </c>
      <c r="P169" s="34">
        <v>1.30790603438918</v>
      </c>
      <c r="Q169" s="34">
        <v>1.30640367496704</v>
      </c>
      <c r="R169" s="33">
        <v>21.4879811402865</v>
      </c>
      <c r="S169" s="33">
        <v>21.516784223507901</v>
      </c>
      <c r="T169" s="33">
        <v>21.490709651520099</v>
      </c>
      <c r="U169" s="15">
        <v>1.7691167206252E-3</v>
      </c>
      <c r="V169" s="15">
        <v>3.1086467603607701E-3</v>
      </c>
      <c r="W169" s="15">
        <v>1.89608714187417E-3</v>
      </c>
      <c r="X169" s="34">
        <v>1.3037246144174801</v>
      </c>
      <c r="Y169" s="34">
        <v>1.3045124660331</v>
      </c>
      <c r="Z169" s="34">
        <v>1.30465105274937</v>
      </c>
      <c r="AA169" s="34">
        <v>1.3047075981668199</v>
      </c>
      <c r="AB169" s="33">
        <v>22.121217962257699</v>
      </c>
      <c r="AC169" s="33">
        <v>22.1254991114481</v>
      </c>
      <c r="AD169" s="33">
        <v>22.124994635766601</v>
      </c>
      <c r="AE169" s="15">
        <v>6.0412578709268905E-4</v>
      </c>
      <c r="AF169" s="15">
        <v>7.9763841297507204E-4</v>
      </c>
      <c r="AG169" s="15">
        <v>7.7483750664450305E-4</v>
      </c>
      <c r="AI169" s="12"/>
      <c r="AJ169">
        <f t="shared" si="46"/>
        <v>0</v>
      </c>
      <c r="AK169">
        <f t="shared" si="47"/>
        <v>1</v>
      </c>
      <c r="AL169">
        <f t="shared" si="54"/>
        <v>0</v>
      </c>
      <c r="AM169">
        <f t="shared" si="44"/>
        <v>1</v>
      </c>
      <c r="AN169">
        <f t="shared" si="55"/>
        <v>0</v>
      </c>
      <c r="AO169" s="28">
        <f t="shared" si="48"/>
        <v>0</v>
      </c>
      <c r="AP169" s="28">
        <f t="shared" si="49"/>
        <v>0</v>
      </c>
      <c r="AQ169" s="28">
        <f t="shared" si="56"/>
        <v>0</v>
      </c>
      <c r="AR169" s="29">
        <f t="shared" si="57"/>
        <v>1.6646952644800981E-3</v>
      </c>
      <c r="AT169" s="12"/>
      <c r="AU169">
        <f t="shared" si="50"/>
        <v>0</v>
      </c>
      <c r="AV169">
        <f t="shared" si="51"/>
        <v>0</v>
      </c>
      <c r="AW169">
        <f t="shared" si="58"/>
        <v>0</v>
      </c>
      <c r="AX169">
        <f t="shared" si="45"/>
        <v>1</v>
      </c>
      <c r="AY169">
        <f t="shared" si="59"/>
        <v>0</v>
      </c>
      <c r="AZ169" s="28">
        <f t="shared" si="52"/>
        <v>0</v>
      </c>
      <c r="BA169" s="28">
        <f t="shared" si="53"/>
        <v>0</v>
      </c>
      <c r="BB169" s="28">
        <f t="shared" si="60"/>
        <v>0</v>
      </c>
      <c r="BC169" s="29">
        <f t="shared" si="61"/>
        <v>1.1662806753571799E-3</v>
      </c>
      <c r="BE169" s="29">
        <f t="shared" si="62"/>
        <v>0</v>
      </c>
      <c r="BF169" s="29">
        <f t="shared" si="63"/>
        <v>2.8309759398372778E-3</v>
      </c>
      <c r="BH169" s="29"/>
    </row>
    <row r="170" spans="1:60" x14ac:dyDescent="0.25">
      <c r="A170" s="1">
        <v>46268</v>
      </c>
      <c r="B170" s="33">
        <v>16.46</v>
      </c>
      <c r="C170" s="33">
        <v>21.48</v>
      </c>
      <c r="D170" s="15">
        <v>6.0771803754287098E-4</v>
      </c>
      <c r="E170" s="15">
        <v>1.3976242666379299E-3</v>
      </c>
      <c r="F170" s="33">
        <v>0</v>
      </c>
      <c r="G170" s="33">
        <v>0.50746000000000002</v>
      </c>
      <c r="H170" s="33">
        <v>0</v>
      </c>
      <c r="I170" s="33">
        <v>0.65785799999999905</v>
      </c>
      <c r="J170" s="33">
        <v>0.50746000000000002</v>
      </c>
      <c r="K170" s="33">
        <v>0.65785799999999905</v>
      </c>
      <c r="L170" s="33">
        <v>16.967459999999999</v>
      </c>
      <c r="M170" s="33">
        <v>22.137858000000001</v>
      </c>
      <c r="N170" s="34">
        <v>1.30498177399756</v>
      </c>
      <c r="O170" s="34">
        <v>1.3062602516891499</v>
      </c>
      <c r="P170" s="34">
        <v>1.3079274465505499</v>
      </c>
      <c r="Q170" s="34">
        <v>1.3064261775642001</v>
      </c>
      <c r="R170" s="33">
        <v>21.5010437428034</v>
      </c>
      <c r="S170" s="33">
        <v>21.5281333260459</v>
      </c>
      <c r="T170" s="33">
        <v>21.5034044899576</v>
      </c>
      <c r="U170" s="15">
        <v>9.792104915301819E-4</v>
      </c>
      <c r="V170" s="15">
        <v>2.2383369107105699E-3</v>
      </c>
      <c r="W170" s="15">
        <v>1.0890013272946599E-3</v>
      </c>
      <c r="X170" s="34">
        <v>1.30472433705457</v>
      </c>
      <c r="Y170" s="34">
        <v>1.3045124660331</v>
      </c>
      <c r="Z170" s="34">
        <v>1.3046600885088899</v>
      </c>
      <c r="AA170" s="34">
        <v>1.30472361346777</v>
      </c>
      <c r="AB170" s="33">
        <v>22.134263086918001</v>
      </c>
      <c r="AC170" s="33">
        <v>22.136614551482801</v>
      </c>
      <c r="AD170" s="33">
        <v>22.137573983591601</v>
      </c>
      <c r="AE170" s="15">
        <v>-1.6240076154461799E-4</v>
      </c>
      <c r="AF170" s="15">
        <v>-5.6169998004626298E-5</v>
      </c>
      <c r="AG170" s="15">
        <v>-1.28295262483328E-5</v>
      </c>
      <c r="AI170" s="12"/>
      <c r="AJ170">
        <f t="shared" si="46"/>
        <v>0</v>
      </c>
      <c r="AK170">
        <f t="shared" si="47"/>
        <v>1</v>
      </c>
      <c r="AL170">
        <f t="shared" si="54"/>
        <v>0</v>
      </c>
      <c r="AM170">
        <f t="shared" si="44"/>
        <v>1</v>
      </c>
      <c r="AN170">
        <f t="shared" si="55"/>
        <v>0</v>
      </c>
      <c r="AO170" s="28">
        <f t="shared" si="48"/>
        <v>0</v>
      </c>
      <c r="AP170" s="28">
        <f t="shared" si="49"/>
        <v>0</v>
      </c>
      <c r="AQ170" s="28">
        <f t="shared" si="56"/>
        <v>0</v>
      </c>
      <c r="AR170" s="29">
        <f t="shared" si="57"/>
        <v>1.6646952644800981E-3</v>
      </c>
      <c r="AT170" s="12"/>
      <c r="AU170">
        <f t="shared" si="50"/>
        <v>0</v>
      </c>
      <c r="AV170">
        <f t="shared" si="51"/>
        <v>1</v>
      </c>
      <c r="AW170">
        <f t="shared" si="58"/>
        <v>0</v>
      </c>
      <c r="AX170">
        <f t="shared" si="45"/>
        <v>1</v>
      </c>
      <c r="AY170">
        <f t="shared" si="59"/>
        <v>0</v>
      </c>
      <c r="AZ170" s="28">
        <f t="shared" si="52"/>
        <v>0</v>
      </c>
      <c r="BA170" s="28">
        <f t="shared" si="53"/>
        <v>0</v>
      </c>
      <c r="BB170" s="28">
        <f t="shared" si="60"/>
        <v>0</v>
      </c>
      <c r="BC170" s="29">
        <f t="shared" si="61"/>
        <v>1.1662806753571799E-3</v>
      </c>
      <c r="BE170" s="29">
        <f t="shared" si="62"/>
        <v>0</v>
      </c>
      <c r="BF170" s="29">
        <f t="shared" si="63"/>
        <v>2.8309759398372778E-3</v>
      </c>
      <c r="BH170" s="29"/>
    </row>
    <row r="171" spans="1:60" x14ac:dyDescent="0.25">
      <c r="A171" s="1">
        <v>46269</v>
      </c>
      <c r="B171" s="33">
        <v>16.46</v>
      </c>
      <c r="C171" s="33">
        <v>21.47</v>
      </c>
      <c r="D171" s="15">
        <v>0</v>
      </c>
      <c r="E171" s="15">
        <v>-4.6565774997431899E-4</v>
      </c>
      <c r="F171" s="33">
        <v>0</v>
      </c>
      <c r="G171" s="33">
        <v>0.50746000000000002</v>
      </c>
      <c r="H171" s="33">
        <v>0</v>
      </c>
      <c r="I171" s="33">
        <v>0.65785799999999905</v>
      </c>
      <c r="J171" s="33">
        <v>0.50746000000000002</v>
      </c>
      <c r="K171" s="33">
        <v>0.65785799999999905</v>
      </c>
      <c r="L171" s="33">
        <v>16.967459999999999</v>
      </c>
      <c r="M171" s="33">
        <v>22.127858</v>
      </c>
      <c r="N171" s="34">
        <v>1.3043742405832299</v>
      </c>
      <c r="O171" s="34">
        <v>1.3062602516891499</v>
      </c>
      <c r="P171" s="34">
        <v>1.3078512754427101</v>
      </c>
      <c r="Q171" s="34">
        <v>1.30637633195909</v>
      </c>
      <c r="R171" s="33">
        <v>21.5010437428034</v>
      </c>
      <c r="S171" s="33">
        <v>21.528485770222101</v>
      </c>
      <c r="T171" s="33">
        <v>21.5037748827068</v>
      </c>
      <c r="U171" s="15">
        <v>1.44486824150448E-3</v>
      </c>
      <c r="V171" s="15">
        <v>2.7203658567345802E-3</v>
      </c>
      <c r="W171" s="15">
        <v>1.57188377112999E-3</v>
      </c>
      <c r="X171" s="34">
        <v>1.30413497364956</v>
      </c>
      <c r="Y171" s="34">
        <v>1.3045124660331</v>
      </c>
      <c r="Z171" s="34">
        <v>1.30457433210034</v>
      </c>
      <c r="AA171" s="34">
        <v>1.3046692724355999</v>
      </c>
      <c r="AB171" s="33">
        <v>22.134263086918001</v>
      </c>
      <c r="AC171" s="33">
        <v>22.136767865370999</v>
      </c>
      <c r="AD171" s="33">
        <v>22.137845722569899</v>
      </c>
      <c r="AE171" s="15">
        <v>2.8941617823400099E-4</v>
      </c>
      <c r="AF171" s="15">
        <v>4.0257272335270398E-4</v>
      </c>
      <c r="AG171" s="15">
        <v>4.5126234983312099E-4</v>
      </c>
      <c r="AI171" s="12"/>
      <c r="AJ171">
        <f t="shared" si="46"/>
        <v>0</v>
      </c>
      <c r="AK171">
        <f t="shared" si="47"/>
        <v>1</v>
      </c>
      <c r="AL171">
        <f t="shared" si="54"/>
        <v>0</v>
      </c>
      <c r="AM171">
        <f t="shared" si="44"/>
        <v>1</v>
      </c>
      <c r="AN171">
        <f t="shared" si="55"/>
        <v>0</v>
      </c>
      <c r="AO171" s="28">
        <f t="shared" si="48"/>
        <v>0</v>
      </c>
      <c r="AP171" s="28">
        <f t="shared" si="49"/>
        <v>0</v>
      </c>
      <c r="AQ171" s="28">
        <f t="shared" si="56"/>
        <v>0</v>
      </c>
      <c r="AR171" s="29">
        <f t="shared" si="57"/>
        <v>1.6646952644800981E-3</v>
      </c>
      <c r="AT171" s="12"/>
      <c r="AU171">
        <f t="shared" si="50"/>
        <v>0</v>
      </c>
      <c r="AV171">
        <f t="shared" si="51"/>
        <v>0</v>
      </c>
      <c r="AW171">
        <f t="shared" si="58"/>
        <v>0</v>
      </c>
      <c r="AX171">
        <f t="shared" si="45"/>
        <v>1</v>
      </c>
      <c r="AY171">
        <f t="shared" si="59"/>
        <v>0</v>
      </c>
      <c r="AZ171" s="28">
        <f t="shared" si="52"/>
        <v>0</v>
      </c>
      <c r="BA171" s="28">
        <f t="shared" si="53"/>
        <v>0</v>
      </c>
      <c r="BB171" s="28">
        <f t="shared" si="60"/>
        <v>0</v>
      </c>
      <c r="BC171" s="29">
        <f t="shared" si="61"/>
        <v>1.1662806753571799E-3</v>
      </c>
      <c r="BE171" s="29">
        <f t="shared" si="62"/>
        <v>0</v>
      </c>
      <c r="BF171" s="29">
        <f t="shared" si="63"/>
        <v>2.8309759398372778E-3</v>
      </c>
      <c r="BH171" s="29"/>
    </row>
    <row r="172" spans="1:60" x14ac:dyDescent="0.25">
      <c r="A172" s="1">
        <v>46273</v>
      </c>
      <c r="B172" s="33">
        <v>16.45</v>
      </c>
      <c r="C172" s="33">
        <v>21.46</v>
      </c>
      <c r="D172" s="15">
        <v>-6.0771803754290101E-4</v>
      </c>
      <c r="E172" s="15">
        <v>-4.6587468813716598E-4</v>
      </c>
      <c r="F172" s="33">
        <v>0</v>
      </c>
      <c r="G172" s="33">
        <v>0.50746000000000002</v>
      </c>
      <c r="H172" s="33">
        <v>0</v>
      </c>
      <c r="I172" s="33">
        <v>0.65785799999999905</v>
      </c>
      <c r="J172" s="33">
        <v>0.50746000000000002</v>
      </c>
      <c r="K172" s="33">
        <v>0.65785799999999905</v>
      </c>
      <c r="L172" s="33">
        <v>16.957459999999902</v>
      </c>
      <c r="M172" s="33">
        <v>22.117857999999998</v>
      </c>
      <c r="N172" s="34">
        <v>1.3045592705167099</v>
      </c>
      <c r="O172" s="34">
        <v>1.3062602516891499</v>
      </c>
      <c r="P172" s="34">
        <v>1.30727689946408</v>
      </c>
      <c r="Q172" s="34">
        <v>1.30639873321164</v>
      </c>
      <c r="R172" s="33">
        <v>21.4879811402865</v>
      </c>
      <c r="S172" s="33">
        <v>21.5141534810327</v>
      </c>
      <c r="T172" s="33">
        <v>21.489890660726999</v>
      </c>
      <c r="U172" s="15">
        <v>1.3030248920986201E-3</v>
      </c>
      <c r="V172" s="15">
        <v>2.5202827890979298E-3</v>
      </c>
      <c r="W172" s="15">
        <v>1.3918855248714901E-3</v>
      </c>
      <c r="X172" s="34">
        <v>1.3043143253765599</v>
      </c>
      <c r="Y172" s="34">
        <v>1.3045124660331</v>
      </c>
      <c r="Z172" s="34">
        <v>1.3045063132207899</v>
      </c>
      <c r="AA172" s="34">
        <v>1.30468526734978</v>
      </c>
      <c r="AB172" s="33">
        <v>22.121217962257699</v>
      </c>
      <c r="AC172" s="33">
        <v>22.122267053618199</v>
      </c>
      <c r="AD172" s="33">
        <v>22.123877000555801</v>
      </c>
      <c r="AE172" s="15">
        <v>1.51900200946011E-4</v>
      </c>
      <c r="AF172" s="15">
        <v>1.99323741852818E-4</v>
      </c>
      <c r="AG172" s="15">
        <v>2.7209604654453601E-4</v>
      </c>
      <c r="AI172" s="12"/>
      <c r="AJ172">
        <f t="shared" si="46"/>
        <v>0</v>
      </c>
      <c r="AK172">
        <f t="shared" si="47"/>
        <v>1</v>
      </c>
      <c r="AL172">
        <f t="shared" si="54"/>
        <v>0</v>
      </c>
      <c r="AM172">
        <f t="shared" si="44"/>
        <v>1</v>
      </c>
      <c r="AN172">
        <f t="shared" si="55"/>
        <v>0</v>
      </c>
      <c r="AO172" s="28">
        <f t="shared" si="48"/>
        <v>0</v>
      </c>
      <c r="AP172" s="28">
        <f t="shared" si="49"/>
        <v>0</v>
      </c>
      <c r="AQ172" s="28">
        <f t="shared" si="56"/>
        <v>0</v>
      </c>
      <c r="AR172" s="29">
        <f t="shared" si="57"/>
        <v>1.6646952644800981E-3</v>
      </c>
      <c r="AT172" s="12"/>
      <c r="AU172">
        <f t="shared" si="50"/>
        <v>0</v>
      </c>
      <c r="AV172">
        <f t="shared" si="51"/>
        <v>0</v>
      </c>
      <c r="AW172">
        <f t="shared" si="58"/>
        <v>0</v>
      </c>
      <c r="AX172">
        <f t="shared" si="45"/>
        <v>1</v>
      </c>
      <c r="AY172">
        <f t="shared" si="59"/>
        <v>0</v>
      </c>
      <c r="AZ172" s="28">
        <f t="shared" si="52"/>
        <v>0</v>
      </c>
      <c r="BA172" s="28">
        <f t="shared" si="53"/>
        <v>0</v>
      </c>
      <c r="BB172" s="28">
        <f t="shared" si="60"/>
        <v>0</v>
      </c>
      <c r="BC172" s="29">
        <f t="shared" si="61"/>
        <v>1.1662806753571799E-3</v>
      </c>
      <c r="BE172" s="29">
        <f t="shared" si="62"/>
        <v>0</v>
      </c>
      <c r="BF172" s="29">
        <f t="shared" si="63"/>
        <v>2.8309759398372778E-3</v>
      </c>
      <c r="BH172" s="29"/>
    </row>
    <row r="173" spans="1:60" x14ac:dyDescent="0.25">
      <c r="A173" s="1">
        <v>46274</v>
      </c>
      <c r="B173" s="33">
        <v>16.43</v>
      </c>
      <c r="C173" s="33">
        <v>21.44</v>
      </c>
      <c r="D173" s="15">
        <v>-1.2165451622041001E-3</v>
      </c>
      <c r="E173" s="15">
        <v>-9.3240099995113405E-4</v>
      </c>
      <c r="F173" s="33">
        <v>0</v>
      </c>
      <c r="G173" s="33">
        <v>0.50746000000000002</v>
      </c>
      <c r="H173" s="33">
        <v>0</v>
      </c>
      <c r="I173" s="33">
        <v>0.65785799999999905</v>
      </c>
      <c r="J173" s="33">
        <v>0.50746000000000002</v>
      </c>
      <c r="K173" s="33">
        <v>0.65785799999999905</v>
      </c>
      <c r="L173" s="33">
        <v>16.937460000000002</v>
      </c>
      <c r="M173" s="33">
        <v>22.097857999999999</v>
      </c>
      <c r="N173" s="34">
        <v>1.30493000608642</v>
      </c>
      <c r="O173" s="34">
        <v>1.3062602516891499</v>
      </c>
      <c r="P173" s="34">
        <v>1.3068937671422101</v>
      </c>
      <c r="Q173" s="34">
        <v>1.30641864741325</v>
      </c>
      <c r="R173" s="33">
        <v>21.4618559352527</v>
      </c>
      <c r="S173" s="33">
        <v>21.478559458194901</v>
      </c>
      <c r="T173" s="33">
        <v>21.464131186667299</v>
      </c>
      <c r="U173" s="15">
        <v>1.0188807298456299E-3</v>
      </c>
      <c r="V173" s="15">
        <v>1.7968668593052099E-3</v>
      </c>
      <c r="W173" s="15">
        <v>1.1248888414490601E-3</v>
      </c>
      <c r="X173" s="34">
        <v>1.30467366417396</v>
      </c>
      <c r="Y173" s="34">
        <v>1.3045124660331</v>
      </c>
      <c r="Z173" s="34">
        <v>1.30462225568644</v>
      </c>
      <c r="AA173" s="34">
        <v>1.3046987490066999</v>
      </c>
      <c r="AB173" s="33">
        <v>22.095127712937</v>
      </c>
      <c r="AC173" s="33">
        <v>22.0950234999247</v>
      </c>
      <c r="AD173" s="33">
        <v>22.098054528326202</v>
      </c>
      <c r="AE173" s="15">
        <v>-1.2356200977945599E-4</v>
      </c>
      <c r="AF173" s="15">
        <v>-1.2827858166140601E-4</v>
      </c>
      <c r="AG173" s="15">
        <v>8.8935068903885593E-6</v>
      </c>
      <c r="AI173" s="12"/>
      <c r="AJ173">
        <f t="shared" si="46"/>
        <v>0</v>
      </c>
      <c r="AK173">
        <f t="shared" si="47"/>
        <v>1</v>
      </c>
      <c r="AL173">
        <f t="shared" si="54"/>
        <v>0</v>
      </c>
      <c r="AM173">
        <f t="shared" si="44"/>
        <v>1</v>
      </c>
      <c r="AN173">
        <f t="shared" si="55"/>
        <v>0</v>
      </c>
      <c r="AO173" s="28">
        <f t="shared" si="48"/>
        <v>0</v>
      </c>
      <c r="AP173" s="28">
        <f t="shared" si="49"/>
        <v>0</v>
      </c>
      <c r="AQ173" s="28">
        <f t="shared" si="56"/>
        <v>0</v>
      </c>
      <c r="AR173" s="29">
        <f t="shared" si="57"/>
        <v>1.6646952644800981E-3</v>
      </c>
      <c r="AT173" s="12"/>
      <c r="AU173">
        <f t="shared" si="50"/>
        <v>0</v>
      </c>
      <c r="AV173">
        <f t="shared" si="51"/>
        <v>1</v>
      </c>
      <c r="AW173">
        <f t="shared" si="58"/>
        <v>0</v>
      </c>
      <c r="AX173">
        <f t="shared" si="45"/>
        <v>1</v>
      </c>
      <c r="AY173">
        <f t="shared" si="59"/>
        <v>0</v>
      </c>
      <c r="AZ173" s="28">
        <f t="shared" si="52"/>
        <v>0</v>
      </c>
      <c r="BA173" s="28">
        <f t="shared" si="53"/>
        <v>0</v>
      </c>
      <c r="BB173" s="28">
        <f t="shared" si="60"/>
        <v>0</v>
      </c>
      <c r="BC173" s="29">
        <f t="shared" si="61"/>
        <v>1.1662806753571799E-3</v>
      </c>
      <c r="BE173" s="29">
        <f t="shared" si="62"/>
        <v>0</v>
      </c>
      <c r="BF173" s="29">
        <f t="shared" si="63"/>
        <v>2.8309759398372778E-3</v>
      </c>
      <c r="BH173" s="29"/>
    </row>
    <row r="174" spans="1:60" x14ac:dyDescent="0.25">
      <c r="A174" s="1">
        <v>46275</v>
      </c>
      <c r="B174" s="33">
        <v>16.34</v>
      </c>
      <c r="C174" s="33">
        <v>21.33</v>
      </c>
      <c r="D174" s="15">
        <v>-5.4928426173198996E-3</v>
      </c>
      <c r="E174" s="15">
        <v>-5.1438037193421299E-3</v>
      </c>
      <c r="F174" s="33">
        <v>0</v>
      </c>
      <c r="G174" s="33">
        <v>0.50746000000000002</v>
      </c>
      <c r="H174" s="33">
        <v>0</v>
      </c>
      <c r="I174" s="33">
        <v>0.65785799999999905</v>
      </c>
      <c r="J174" s="33">
        <v>0.50746000000000002</v>
      </c>
      <c r="K174" s="33">
        <v>0.65785799999999905</v>
      </c>
      <c r="L174" s="33">
        <v>16.847459999999899</v>
      </c>
      <c r="M174" s="33">
        <v>21.987857999999999</v>
      </c>
      <c r="N174" s="34">
        <v>1.3053855569155399</v>
      </c>
      <c r="O174" s="34">
        <v>1.3062602516891499</v>
      </c>
      <c r="P174" s="34">
        <v>1.30631852138098</v>
      </c>
      <c r="Q174" s="34">
        <v>1.30641014748125</v>
      </c>
      <c r="R174" s="33">
        <v>21.344292512600699</v>
      </c>
      <c r="S174" s="33">
        <v>21.354644155103799</v>
      </c>
      <c r="T174" s="33">
        <v>21.346880698732502</v>
      </c>
      <c r="U174" s="15">
        <v>6.6984183186781304E-4</v>
      </c>
      <c r="V174" s="15">
        <v>1.1547083654969001E-3</v>
      </c>
      <c r="W174" s="15">
        <v>7.9109341341361203E-4</v>
      </c>
      <c r="X174" s="34">
        <v>1.30511412402819</v>
      </c>
      <c r="Y174" s="34">
        <v>1.3045124660331</v>
      </c>
      <c r="Z174" s="34">
        <v>1.3045525831828799</v>
      </c>
      <c r="AA174" s="34">
        <v>1.3046843895223399</v>
      </c>
      <c r="AB174" s="33">
        <v>21.977721590994001</v>
      </c>
      <c r="AC174" s="33">
        <v>21.979571267787101</v>
      </c>
      <c r="AD174" s="33">
        <v>21.980859985940501</v>
      </c>
      <c r="AE174" s="15">
        <v>-4.6110658746354501E-4</v>
      </c>
      <c r="AF174" s="15">
        <v>-3.7694868446853599E-4</v>
      </c>
      <c r="AG174" s="15">
        <v>-3.1831786047324098E-4</v>
      </c>
      <c r="AI174" s="12"/>
      <c r="AJ174">
        <f t="shared" si="46"/>
        <v>0</v>
      </c>
      <c r="AK174">
        <f t="shared" si="47"/>
        <v>0</v>
      </c>
      <c r="AL174">
        <f t="shared" si="54"/>
        <v>0</v>
      </c>
      <c r="AM174">
        <f t="shared" si="44"/>
        <v>1</v>
      </c>
      <c r="AN174">
        <f t="shared" si="55"/>
        <v>0</v>
      </c>
      <c r="AO174" s="28">
        <f t="shared" si="48"/>
        <v>0</v>
      </c>
      <c r="AP174" s="28">
        <f t="shared" si="49"/>
        <v>0</v>
      </c>
      <c r="AQ174" s="28">
        <f t="shared" si="56"/>
        <v>0</v>
      </c>
      <c r="AR174" s="29">
        <f t="shared" si="57"/>
        <v>1.6646952644800981E-3</v>
      </c>
      <c r="AT174" s="12"/>
      <c r="AU174">
        <f t="shared" si="50"/>
        <v>0</v>
      </c>
      <c r="AV174">
        <f t="shared" si="51"/>
        <v>1</v>
      </c>
      <c r="AW174">
        <f t="shared" si="58"/>
        <v>0</v>
      </c>
      <c r="AX174">
        <f t="shared" si="45"/>
        <v>1</v>
      </c>
      <c r="AY174">
        <f t="shared" si="59"/>
        <v>0</v>
      </c>
      <c r="AZ174" s="28">
        <f t="shared" si="52"/>
        <v>0</v>
      </c>
      <c r="BA174" s="28">
        <f t="shared" si="53"/>
        <v>0</v>
      </c>
      <c r="BB174" s="28">
        <f t="shared" si="60"/>
        <v>0</v>
      </c>
      <c r="BC174" s="29">
        <f t="shared" si="61"/>
        <v>1.1662806753571799E-3</v>
      </c>
      <c r="BE174" s="29">
        <f t="shared" si="62"/>
        <v>0</v>
      </c>
      <c r="BF174" s="29">
        <f t="shared" si="63"/>
        <v>2.8309759398372778E-3</v>
      </c>
      <c r="BH174" s="29"/>
    </row>
    <row r="175" spans="1:60" x14ac:dyDescent="0.25">
      <c r="A175" s="1">
        <v>46276</v>
      </c>
      <c r="B175" s="33">
        <v>16.34</v>
      </c>
      <c r="C175" s="33">
        <v>21.31</v>
      </c>
      <c r="D175" s="15">
        <v>0</v>
      </c>
      <c r="E175" s="15">
        <v>-9.3808637273335598E-4</v>
      </c>
      <c r="F175" s="33">
        <v>0</v>
      </c>
      <c r="G175" s="33">
        <v>0.50746000000000002</v>
      </c>
      <c r="H175" s="33">
        <v>0</v>
      </c>
      <c r="I175" s="33">
        <v>0.65785799999999905</v>
      </c>
      <c r="J175" s="33">
        <v>0.50746000000000002</v>
      </c>
      <c r="K175" s="33">
        <v>0.65785799999999905</v>
      </c>
      <c r="L175" s="33">
        <v>16.847459999999899</v>
      </c>
      <c r="M175" s="33">
        <v>21.967858</v>
      </c>
      <c r="N175" s="34">
        <v>1.30416156670746</v>
      </c>
      <c r="O175" s="34">
        <v>1.3062602516891499</v>
      </c>
      <c r="P175" s="34">
        <v>1.30574194197425</v>
      </c>
      <c r="Q175" s="34">
        <v>1.3063379364857</v>
      </c>
      <c r="R175" s="33">
        <v>21.344292512600699</v>
      </c>
      <c r="S175" s="33">
        <v>21.345244639365198</v>
      </c>
      <c r="T175" s="33">
        <v>21.3467418098436</v>
      </c>
      <c r="U175" s="15">
        <v>1.60792820460133E-3</v>
      </c>
      <c r="V175" s="15">
        <v>1.6525352361238799E-3</v>
      </c>
      <c r="W175" s="15">
        <v>1.72267348001843E-3</v>
      </c>
      <c r="X175" s="34">
        <v>1.3039270014589699</v>
      </c>
      <c r="Y175" s="34">
        <v>1.3045124660331</v>
      </c>
      <c r="Z175" s="34">
        <v>1.3044816557530801</v>
      </c>
      <c r="AA175" s="34">
        <v>1.3046082139731701</v>
      </c>
      <c r="AB175" s="33">
        <v>21.977721590994001</v>
      </c>
      <c r="AC175" s="33">
        <v>21.978397463070198</v>
      </c>
      <c r="AD175" s="33">
        <v>21.980618065102099</v>
      </c>
      <c r="AE175" s="15">
        <v>4.4890026489608701E-4</v>
      </c>
      <c r="AF175" s="15">
        <v>4.7965239182712902E-4</v>
      </c>
      <c r="AG175" s="15">
        <v>5.80682954367145E-4</v>
      </c>
      <c r="AI175" s="12"/>
      <c r="AJ175">
        <f t="shared" si="46"/>
        <v>0</v>
      </c>
      <c r="AK175">
        <f t="shared" si="47"/>
        <v>1</v>
      </c>
      <c r="AL175">
        <f t="shared" si="54"/>
        <v>0</v>
      </c>
      <c r="AM175">
        <f t="shared" si="44"/>
        <v>1</v>
      </c>
      <c r="AN175">
        <f t="shared" si="55"/>
        <v>0</v>
      </c>
      <c r="AO175" s="28">
        <f t="shared" si="48"/>
        <v>0</v>
      </c>
      <c r="AP175" s="28">
        <f t="shared" si="49"/>
        <v>0</v>
      </c>
      <c r="AQ175" s="28">
        <f t="shared" si="56"/>
        <v>0</v>
      </c>
      <c r="AR175" s="29">
        <f t="shared" si="57"/>
        <v>1.6646952644800981E-3</v>
      </c>
      <c r="AT175" s="12"/>
      <c r="AU175">
        <f t="shared" si="50"/>
        <v>0</v>
      </c>
      <c r="AV175">
        <f t="shared" si="51"/>
        <v>0</v>
      </c>
      <c r="AW175">
        <f t="shared" si="58"/>
        <v>0</v>
      </c>
      <c r="AX175">
        <f t="shared" si="45"/>
        <v>1</v>
      </c>
      <c r="AY175">
        <f t="shared" si="59"/>
        <v>0</v>
      </c>
      <c r="AZ175" s="28">
        <f t="shared" si="52"/>
        <v>0</v>
      </c>
      <c r="BA175" s="28">
        <f t="shared" si="53"/>
        <v>0</v>
      </c>
      <c r="BB175" s="28">
        <f t="shared" si="60"/>
        <v>0</v>
      </c>
      <c r="BC175" s="29">
        <f t="shared" si="61"/>
        <v>1.1662806753571799E-3</v>
      </c>
      <c r="BE175" s="29">
        <f t="shared" si="62"/>
        <v>0</v>
      </c>
      <c r="BF175" s="29">
        <f t="shared" si="63"/>
        <v>2.8309759398372778E-3</v>
      </c>
      <c r="BH175" s="29"/>
    </row>
    <row r="176" spans="1:60" x14ac:dyDescent="0.25">
      <c r="A176" s="1">
        <v>46279</v>
      </c>
      <c r="B176" s="33">
        <v>16.32</v>
      </c>
      <c r="C176" s="33">
        <v>21.3</v>
      </c>
      <c r="D176" s="15">
        <v>-1.2247398958958201E-3</v>
      </c>
      <c r="E176" s="15">
        <v>-4.6937339514628698E-4</v>
      </c>
      <c r="F176" s="33">
        <v>0</v>
      </c>
      <c r="G176" s="33">
        <v>0.50746000000000002</v>
      </c>
      <c r="H176" s="33">
        <v>0</v>
      </c>
      <c r="I176" s="33">
        <v>0.65785799999999905</v>
      </c>
      <c r="J176" s="33">
        <v>0.50746000000000002</v>
      </c>
      <c r="K176" s="33">
        <v>0.65785799999999905</v>
      </c>
      <c r="L176" s="33">
        <v>16.827459999999999</v>
      </c>
      <c r="M176" s="33">
        <v>21.957858000000002</v>
      </c>
      <c r="N176" s="34">
        <v>1.3051470588235199</v>
      </c>
      <c r="O176" s="34">
        <v>1.3062602516891499</v>
      </c>
      <c r="P176" s="34">
        <v>1.3052493663032001</v>
      </c>
      <c r="Q176" s="34">
        <v>1.30632673179259</v>
      </c>
      <c r="R176" s="33">
        <v>21.318167307566899</v>
      </c>
      <c r="S176" s="33">
        <v>21.309708493019698</v>
      </c>
      <c r="T176" s="33">
        <v>21.319435123446599</v>
      </c>
      <c r="U176" s="15">
        <v>8.5256170385166396E-4</v>
      </c>
      <c r="V176" s="15">
        <v>4.5569395009368397E-4</v>
      </c>
      <c r="W176" s="15">
        <v>9.1203108335622296E-4</v>
      </c>
      <c r="X176" s="34">
        <v>1.3048824956351099</v>
      </c>
      <c r="Y176" s="34">
        <v>1.3045124660331</v>
      </c>
      <c r="Z176" s="34">
        <v>1.30449341265671</v>
      </c>
      <c r="AA176" s="34">
        <v>1.30459124904028</v>
      </c>
      <c r="AB176" s="33">
        <v>21.951631341673401</v>
      </c>
      <c r="AC176" s="33">
        <v>21.9511128829188</v>
      </c>
      <c r="AD176" s="33">
        <v>21.953242536305101</v>
      </c>
      <c r="AE176" s="15">
        <v>-2.8361333559932399E-4</v>
      </c>
      <c r="AF176" s="15">
        <v>-3.07231848006107E-4</v>
      </c>
      <c r="AG176" s="15">
        <v>-2.1021853952767701E-4</v>
      </c>
      <c r="AI176" s="12"/>
      <c r="AJ176">
        <f t="shared" si="46"/>
        <v>0</v>
      </c>
      <c r="AK176">
        <f t="shared" si="47"/>
        <v>0</v>
      </c>
      <c r="AL176">
        <f t="shared" si="54"/>
        <v>0</v>
      </c>
      <c r="AM176">
        <f t="shared" si="44"/>
        <v>1</v>
      </c>
      <c r="AN176">
        <f t="shared" si="55"/>
        <v>0</v>
      </c>
      <c r="AO176" s="28">
        <f t="shared" si="48"/>
        <v>0</v>
      </c>
      <c r="AP176" s="28">
        <f t="shared" si="49"/>
        <v>0</v>
      </c>
      <c r="AQ176" s="28">
        <f t="shared" si="56"/>
        <v>0</v>
      </c>
      <c r="AR176" s="29">
        <f t="shared" si="57"/>
        <v>1.6646952644800981E-3</v>
      </c>
      <c r="AT176" s="12"/>
      <c r="AU176">
        <f t="shared" si="50"/>
        <v>0</v>
      </c>
      <c r="AV176">
        <f t="shared" si="51"/>
        <v>1</v>
      </c>
      <c r="AW176">
        <f t="shared" si="58"/>
        <v>0</v>
      </c>
      <c r="AX176">
        <f t="shared" si="45"/>
        <v>1</v>
      </c>
      <c r="AY176">
        <f t="shared" si="59"/>
        <v>0</v>
      </c>
      <c r="AZ176" s="28">
        <f t="shared" si="52"/>
        <v>0</v>
      </c>
      <c r="BA176" s="28">
        <f t="shared" si="53"/>
        <v>0</v>
      </c>
      <c r="BB176" s="28">
        <f t="shared" si="60"/>
        <v>0</v>
      </c>
      <c r="BC176" s="29">
        <f t="shared" si="61"/>
        <v>1.1662806753571799E-3</v>
      </c>
      <c r="BE176" s="29">
        <f t="shared" si="62"/>
        <v>0</v>
      </c>
      <c r="BF176" s="29">
        <f t="shared" si="63"/>
        <v>2.8309759398372778E-3</v>
      </c>
      <c r="BH176" s="29"/>
    </row>
    <row r="177" spans="1:100" x14ac:dyDescent="0.25">
      <c r="A177">
        <v>46280</v>
      </c>
      <c r="B177" s="33">
        <v>16.32</v>
      </c>
      <c r="C177" s="33">
        <v>21.3</v>
      </c>
      <c r="D177" s="15">
        <v>0</v>
      </c>
      <c r="E177" s="15">
        <v>0</v>
      </c>
      <c r="F177" s="33">
        <v>0</v>
      </c>
      <c r="G177" s="33">
        <v>0.50746000000000002</v>
      </c>
      <c r="H177" s="33">
        <v>0</v>
      </c>
      <c r="I177" s="33">
        <v>0.65785799999999905</v>
      </c>
      <c r="J177" s="33">
        <v>0.50746000000000002</v>
      </c>
      <c r="K177" s="33">
        <v>0.65785799999999905</v>
      </c>
      <c r="L177" s="33">
        <v>16.827459999999999</v>
      </c>
      <c r="M177" s="33">
        <v>21.957858000000002</v>
      </c>
      <c r="N177" s="34">
        <v>1.3051470588235199</v>
      </c>
      <c r="O177" s="34">
        <v>1.3062602516891499</v>
      </c>
      <c r="P177" s="34">
        <v>1.30475679063215</v>
      </c>
      <c r="Q177" s="34">
        <v>1.3063758771296701</v>
      </c>
      <c r="R177" s="33">
        <v>21.318167307566899</v>
      </c>
      <c r="S177" s="33">
        <v>21.301669658068299</v>
      </c>
      <c r="T177" s="33">
        <v>21.319252262855201</v>
      </c>
      <c r="U177" s="15">
        <v>8.5256170385166396E-4</v>
      </c>
      <c r="V177" s="15">
        <v>7.8384630581845204E-5</v>
      </c>
      <c r="W177" s="15">
        <v>9.0345386850101603E-4</v>
      </c>
      <c r="X177" s="34">
        <v>1.3048824956351099</v>
      </c>
      <c r="Y177" s="34">
        <v>1.3045124660331</v>
      </c>
      <c r="Z177" s="34">
        <v>1.30450516956035</v>
      </c>
      <c r="AA177" s="34">
        <v>1.3046330655907401</v>
      </c>
      <c r="AB177" s="33">
        <v>21.951631341673401</v>
      </c>
      <c r="AC177" s="33">
        <v>21.951310721744399</v>
      </c>
      <c r="AD177" s="33">
        <v>21.9529570595754</v>
      </c>
      <c r="AE177" s="15">
        <v>-2.8361333559932399E-4</v>
      </c>
      <c r="AF177" s="15">
        <v>-2.9821918723073798E-4</v>
      </c>
      <c r="AG177" s="15">
        <v>-2.2322247666328799E-4</v>
      </c>
      <c r="CG177" s="28"/>
      <c r="CH177" s="28"/>
      <c r="CI177" s="28"/>
      <c r="CJ177" s="29"/>
      <c r="CL177" s="28"/>
      <c r="CS177" s="28"/>
      <c r="CT177" s="28"/>
      <c r="CU177" s="28"/>
      <c r="CV177" s="29"/>
    </row>
    <row r="178" spans="1:100" x14ac:dyDescent="0.25">
      <c r="A178">
        <v>46281</v>
      </c>
      <c r="B178" s="33">
        <v>16.32</v>
      </c>
      <c r="C178" s="33">
        <v>21.29</v>
      </c>
      <c r="D178" s="15">
        <v>0</v>
      </c>
      <c r="E178" s="15">
        <v>-4.6959380999139901E-4</v>
      </c>
      <c r="F178" s="33">
        <v>0</v>
      </c>
      <c r="G178" s="33">
        <v>0.50746000000000002</v>
      </c>
      <c r="H178" s="33">
        <v>0</v>
      </c>
      <c r="I178" s="33">
        <v>0.65785799999999905</v>
      </c>
      <c r="J178" s="33">
        <v>0.50746000000000002</v>
      </c>
      <c r="K178" s="33">
        <v>0.65785799999999905</v>
      </c>
      <c r="L178" s="33">
        <v>16.827459999999999</v>
      </c>
      <c r="M178" s="33">
        <v>21.947858</v>
      </c>
      <c r="N178" s="34">
        <v>1.3045343137254899</v>
      </c>
      <c r="O178" s="34">
        <v>1.3062602516891499</v>
      </c>
      <c r="P178" s="34">
        <v>1.3047172213960601</v>
      </c>
      <c r="Q178" s="34">
        <v>1.3063642101967501</v>
      </c>
      <c r="R178" s="33">
        <v>21.318167307566899</v>
      </c>
      <c r="S178" s="33">
        <v>21.2936308231168</v>
      </c>
      <c r="T178" s="33">
        <v>21.320054314756199</v>
      </c>
      <c r="U178" s="15">
        <v>1.32215551384309E-3</v>
      </c>
      <c r="V178" s="15">
        <v>1.7052670500202001E-4</v>
      </c>
      <c r="W178" s="15">
        <v>1.41066798545772E-3</v>
      </c>
      <c r="X178" s="34">
        <v>1.30428822888302</v>
      </c>
      <c r="Y178" s="34">
        <v>1.3045124660331</v>
      </c>
      <c r="Z178" s="34">
        <v>1.3044666260312501</v>
      </c>
      <c r="AA178" s="34">
        <v>1.3046157780619301</v>
      </c>
      <c r="AB178" s="33">
        <v>21.951631341673401</v>
      </c>
      <c r="AC178" s="33">
        <v>21.951508560570002</v>
      </c>
      <c r="AD178" s="33">
        <v>21.953660725905699</v>
      </c>
      <c r="AE178" s="15">
        <v>1.7190822669205499E-4</v>
      </c>
      <c r="AF178" s="15">
        <v>1.6631495460883299E-4</v>
      </c>
      <c r="AG178" s="15">
        <v>2.6435194535038501E-4</v>
      </c>
      <c r="CG178" s="28"/>
      <c r="CH178" s="28"/>
      <c r="CI178" s="28"/>
      <c r="CJ178" s="29"/>
      <c r="CL178" s="28"/>
      <c r="CS178" s="28"/>
      <c r="CT178" s="28"/>
      <c r="CU178" s="28"/>
      <c r="CV178" s="29"/>
    </row>
    <row r="179" spans="1:100" x14ac:dyDescent="0.25">
      <c r="A179">
        <v>46282</v>
      </c>
      <c r="B179" s="33">
        <v>16.36</v>
      </c>
      <c r="C179" s="33">
        <v>21.34</v>
      </c>
      <c r="D179" s="15">
        <v>2.4479816386400299E-3</v>
      </c>
      <c r="E179" s="15">
        <v>2.3457669682192899E-3</v>
      </c>
      <c r="F179" s="33">
        <v>0</v>
      </c>
      <c r="G179" s="33">
        <v>0.50746000000000002</v>
      </c>
      <c r="H179" s="33">
        <v>0</v>
      </c>
      <c r="I179" s="33">
        <v>0.65785799999999905</v>
      </c>
      <c r="J179" s="33">
        <v>0.50746000000000002</v>
      </c>
      <c r="K179" s="33">
        <v>0.65785799999999905</v>
      </c>
      <c r="L179" s="33">
        <v>16.867460000000001</v>
      </c>
      <c r="M179" s="33">
        <v>21.997858000000001</v>
      </c>
      <c r="N179" s="34">
        <v>1.30440097799511</v>
      </c>
      <c r="O179" s="34">
        <v>1.3062602516891499</v>
      </c>
      <c r="P179" s="34">
        <v>1.30476218241746</v>
      </c>
      <c r="Q179" s="34">
        <v>1.30633410840332</v>
      </c>
      <c r="R179" s="33">
        <v>21.370417717634499</v>
      </c>
      <c r="S179" s="33">
        <v>21.345173742039599</v>
      </c>
      <c r="T179" s="33">
        <v>21.372118478818901</v>
      </c>
      <c r="U179" s="15">
        <v>1.42437018426392E-3</v>
      </c>
      <c r="V179" s="15">
        <v>2.4241400989713101E-4</v>
      </c>
      <c r="W179" s="15">
        <v>1.50395185332876E-3</v>
      </c>
      <c r="X179" s="34">
        <v>1.3041594881505501</v>
      </c>
      <c r="Y179" s="34">
        <v>1.3045124660331</v>
      </c>
      <c r="Z179" s="34">
        <v>1.30451011340456</v>
      </c>
      <c r="AA179" s="34">
        <v>1.3045805830769599</v>
      </c>
      <c r="AB179" s="33">
        <v>22.0038118403147</v>
      </c>
      <c r="AC179" s="33">
        <v>22.0030386359171</v>
      </c>
      <c r="AD179" s="33">
        <v>22.005554451828498</v>
      </c>
      <c r="AE179" s="15">
        <v>2.70618836634016E-4</v>
      </c>
      <c r="AF179" s="15">
        <v>2.3547865326417399E-4</v>
      </c>
      <c r="AG179" s="15">
        <v>3.4981159315332702E-4</v>
      </c>
      <c r="CG179" s="28"/>
      <c r="CH179" s="28"/>
      <c r="CI179" s="28"/>
      <c r="CJ179" s="29"/>
      <c r="CL179" s="28"/>
      <c r="CS179" s="28"/>
      <c r="CT179" s="28"/>
      <c r="CU179" s="28"/>
      <c r="CV179" s="29"/>
    </row>
    <row r="180" spans="1:100" x14ac:dyDescent="0.25">
      <c r="A180">
        <v>46283</v>
      </c>
      <c r="B180" s="33">
        <v>16.32</v>
      </c>
      <c r="C180" s="33">
        <v>21.3</v>
      </c>
      <c r="D180" s="15">
        <v>-2.4479816386399999E-3</v>
      </c>
      <c r="E180" s="15">
        <v>-1.87617315822785E-3</v>
      </c>
      <c r="F180" s="33">
        <v>0</v>
      </c>
      <c r="G180" s="33">
        <v>0.50746000000000002</v>
      </c>
      <c r="H180" s="33">
        <v>0</v>
      </c>
      <c r="I180" s="33">
        <v>0.65785799999999905</v>
      </c>
      <c r="J180" s="33">
        <v>0.50746000000000002</v>
      </c>
      <c r="K180" s="33">
        <v>0.65785799999999905</v>
      </c>
      <c r="L180" s="33">
        <v>16.827459999999999</v>
      </c>
      <c r="M180" s="33">
        <v>21.957858000000002</v>
      </c>
      <c r="N180" s="34">
        <v>1.3051470588235199</v>
      </c>
      <c r="O180" s="34">
        <v>1.3062602516891499</v>
      </c>
      <c r="P180" s="34">
        <v>1.3047787109000499</v>
      </c>
      <c r="Q180" s="34">
        <v>1.3063530787252999</v>
      </c>
      <c r="R180" s="33">
        <v>21.318167307566899</v>
      </c>
      <c r="S180" s="33">
        <v>21.293718817052898</v>
      </c>
      <c r="T180" s="33">
        <v>21.319372649142199</v>
      </c>
      <c r="U180" s="15">
        <v>8.5256170385166396E-4</v>
      </c>
      <c r="V180" s="15">
        <v>-2.94934707135442E-4</v>
      </c>
      <c r="W180" s="15">
        <v>9.0910068695474204E-4</v>
      </c>
      <c r="X180" s="34">
        <v>1.3048824956351099</v>
      </c>
      <c r="Y180" s="34">
        <v>1.3045124660331</v>
      </c>
      <c r="Z180" s="34">
        <v>1.3045259292626099</v>
      </c>
      <c r="AA180" s="34">
        <v>1.30459300888575</v>
      </c>
      <c r="AB180" s="33">
        <v>21.951631341673401</v>
      </c>
      <c r="AC180" s="33">
        <v>21.951591752910701</v>
      </c>
      <c r="AD180" s="33">
        <v>21.9527775785043</v>
      </c>
      <c r="AE180" s="15">
        <v>-2.8361333559932399E-4</v>
      </c>
      <c r="AF180" s="15">
        <v>-2.8541679146695201E-4</v>
      </c>
      <c r="AG180" s="15">
        <v>-2.31398222839271E-4</v>
      </c>
    </row>
    <row r="181" spans="1:100" x14ac:dyDescent="0.25">
      <c r="A181">
        <v>46286</v>
      </c>
      <c r="B181" s="33">
        <v>16.27</v>
      </c>
      <c r="C181" s="33">
        <v>21.32</v>
      </c>
      <c r="D181" s="15">
        <v>-3.0684283050145E-3</v>
      </c>
      <c r="E181" s="15">
        <v>9.3852658226428601E-4</v>
      </c>
      <c r="F181" s="33">
        <v>6.2899999999999998E-2</v>
      </c>
      <c r="G181" s="33">
        <v>0.57035999999999998</v>
      </c>
      <c r="H181" s="33">
        <v>0</v>
      </c>
      <c r="I181" s="33">
        <v>0.65785799999999905</v>
      </c>
      <c r="J181" s="33">
        <v>0.57035999999999998</v>
      </c>
      <c r="K181" s="33">
        <v>0.65785799999999905</v>
      </c>
      <c r="L181" s="33">
        <v>16.84036</v>
      </c>
      <c r="M181" s="33">
        <v>21.977858000000001</v>
      </c>
      <c r="N181" s="34">
        <v>1.31038721573448</v>
      </c>
      <c r="O181" s="34">
        <v>1.3062602516891499</v>
      </c>
      <c r="P181" s="34">
        <v>1.3053800084151801</v>
      </c>
      <c r="Q181" s="34">
        <v>1.3066156419289401</v>
      </c>
      <c r="R181" s="33">
        <v>21.252854294982502</v>
      </c>
      <c r="S181" s="33">
        <v>21.228749626343902</v>
      </c>
      <c r="T181" s="33">
        <v>21.2543645908607</v>
      </c>
      <c r="U181" s="15">
        <v>-3.1543931834270901E-3</v>
      </c>
      <c r="V181" s="15">
        <v>-4.2892218622179899E-3</v>
      </c>
      <c r="W181" s="15">
        <v>-3.0833325062776802E-3</v>
      </c>
      <c r="X181" s="34">
        <v>1.30507055668643</v>
      </c>
      <c r="Y181" s="34">
        <v>1.3045124660331</v>
      </c>
      <c r="Z181" s="34">
        <v>1.3046194875663</v>
      </c>
      <c r="AA181" s="34">
        <v>1.3045969098333201</v>
      </c>
      <c r="AB181" s="33">
        <v>21.9684595524852</v>
      </c>
      <c r="AC181" s="33">
        <v>21.968686278117001</v>
      </c>
      <c r="AD181" s="33">
        <v>21.969815923119299</v>
      </c>
      <c r="AE181" s="15">
        <v>-4.2772401336367799E-4</v>
      </c>
      <c r="AF181" s="15">
        <v>-4.1740356002104701E-4</v>
      </c>
      <c r="AG181" s="15">
        <v>-3.6598419222521499E-4</v>
      </c>
    </row>
    <row r="182" spans="1:100" x14ac:dyDescent="0.25">
      <c r="A182">
        <v>46287</v>
      </c>
      <c r="B182" s="33">
        <v>16.29</v>
      </c>
      <c r="C182" s="33">
        <v>21.32</v>
      </c>
      <c r="D182" s="15">
        <v>1.22850138300732E-3</v>
      </c>
      <c r="E182" s="15">
        <v>0</v>
      </c>
      <c r="F182" s="33">
        <v>0</v>
      </c>
      <c r="G182" s="33">
        <v>0.57035999999999998</v>
      </c>
      <c r="H182" s="33">
        <v>0</v>
      </c>
      <c r="I182" s="33">
        <v>0.65785799999999905</v>
      </c>
      <c r="J182" s="33">
        <v>0.57035999999999998</v>
      </c>
      <c r="K182" s="33">
        <v>0.65785799999999905</v>
      </c>
      <c r="L182" s="33">
        <v>16.86036</v>
      </c>
      <c r="M182" s="33">
        <v>21.977858000000001</v>
      </c>
      <c r="N182" s="34">
        <v>1.30877839165131</v>
      </c>
      <c r="O182" s="34">
        <v>1.3062602516891499</v>
      </c>
      <c r="P182" s="34">
        <v>1.30580192052864</v>
      </c>
      <c r="Q182" s="34">
        <v>1.3065394099963601</v>
      </c>
      <c r="R182" s="33">
        <v>21.278979500016199</v>
      </c>
      <c r="S182" s="33">
        <v>21.2646403370833</v>
      </c>
      <c r="T182" s="33">
        <v>21.284768807022498</v>
      </c>
      <c r="U182" s="15">
        <v>-1.9258918004198199E-3</v>
      </c>
      <c r="V182" s="15">
        <v>-2.5999841099529101E-3</v>
      </c>
      <c r="W182" s="15">
        <v>-1.65386185605304E-3</v>
      </c>
      <c r="X182" s="34">
        <v>1.30352246334004</v>
      </c>
      <c r="Y182" s="34">
        <v>1.3045124660331</v>
      </c>
      <c r="Z182" s="34">
        <v>1.30454030136265</v>
      </c>
      <c r="AA182" s="34">
        <v>1.3045233072917199</v>
      </c>
      <c r="AB182" s="33">
        <v>21.994549801805899</v>
      </c>
      <c r="AC182" s="33">
        <v>21.996354223383399</v>
      </c>
      <c r="AD182" s="33">
        <v>21.995973554677299</v>
      </c>
      <c r="AE182" s="15">
        <v>7.5919438766509104E-4</v>
      </c>
      <c r="AF182" s="15">
        <v>8.4123050938260402E-4</v>
      </c>
      <c r="AG182" s="15">
        <v>8.2392436873095698E-4</v>
      </c>
    </row>
    <row r="183" spans="1:100" x14ac:dyDescent="0.25">
      <c r="A183">
        <v>46288</v>
      </c>
      <c r="B183" s="33">
        <v>16.18</v>
      </c>
      <c r="C183" s="33">
        <v>21.21</v>
      </c>
      <c r="D183" s="15">
        <v>-6.7755109836081101E-3</v>
      </c>
      <c r="E183" s="15">
        <v>-5.1728307210526896E-3</v>
      </c>
      <c r="F183" s="33">
        <v>0</v>
      </c>
      <c r="G183" s="33">
        <v>0.57035999999999998</v>
      </c>
      <c r="H183" s="33">
        <v>0</v>
      </c>
      <c r="I183" s="33">
        <v>0.65785799999999905</v>
      </c>
      <c r="J183" s="33">
        <v>0.57035999999999998</v>
      </c>
      <c r="K183" s="33">
        <v>0.65785799999999905</v>
      </c>
      <c r="L183" s="33">
        <v>16.750360000000001</v>
      </c>
      <c r="M183" s="33">
        <v>21.867857999999998</v>
      </c>
      <c r="N183" s="34">
        <v>1.31087762669962</v>
      </c>
      <c r="O183" s="34">
        <v>1.3062602516891499</v>
      </c>
      <c r="P183" s="34">
        <v>1.30639668258996</v>
      </c>
      <c r="Q183" s="34">
        <v>1.30664522486608</v>
      </c>
      <c r="R183" s="33">
        <v>21.135290872330401</v>
      </c>
      <c r="S183" s="33">
        <v>21.127875074153401</v>
      </c>
      <c r="T183" s="33">
        <v>21.139807653741101</v>
      </c>
      <c r="U183" s="15">
        <v>-3.52857206297519E-3</v>
      </c>
      <c r="V183" s="15">
        <v>-3.8795064090930702E-3</v>
      </c>
      <c r="W183" s="15">
        <v>-3.31488686363306E-3</v>
      </c>
      <c r="X183" s="34">
        <v>1.30551570234908</v>
      </c>
      <c r="Y183" s="34">
        <v>1.3045124660331</v>
      </c>
      <c r="Z183" s="34">
        <v>1.3046245051801599</v>
      </c>
      <c r="AA183" s="34">
        <v>1.3046233804333001</v>
      </c>
      <c r="AB183" s="33">
        <v>21.851053430542201</v>
      </c>
      <c r="AC183" s="33">
        <v>21.851519682332899</v>
      </c>
      <c r="AD183" s="33">
        <v>21.851235025527</v>
      </c>
      <c r="AE183" s="15">
        <v>-7.6875520160395595E-4</v>
      </c>
      <c r="AF183" s="15">
        <v>-7.4741770326083E-4</v>
      </c>
      <c r="AG183" s="15">
        <v>-7.6044465352149699E-4</v>
      </c>
    </row>
  </sheetData>
  <conditionalFormatting sqref="AJ2:AQ9">
    <cfRule type="top10" dxfId="2" priority="3" rank="3"/>
  </conditionalFormatting>
  <conditionalFormatting sqref="AU2:BB9">
    <cfRule type="top10" dxfId="1" priority="2" rank="3"/>
  </conditionalFormatting>
  <conditionalFormatting sqref="DM33:DT33 DM26:DP32 DR26:DT32">
    <cfRule type="top10" dxfId="0" priority="1" rank="3"/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Michael Hyland</cp:lastModifiedBy>
  <dcterms:created xsi:type="dcterms:W3CDTF">2026-09-28T01:57:09Z</dcterms:created>
  <dcterms:modified xsi:type="dcterms:W3CDTF">2026-09-28T01:58:30Z</dcterms:modified>
</cp:coreProperties>
</file>