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623B42E4-D641-4BF2-996C-52D996508A6B}" xr6:coauthVersionLast="47" xr6:coauthVersionMax="47" xr10:uidLastSave="{00000000-0000-0000-0000-000000000000}"/>
  <bookViews>
    <workbookView xWindow="28680" yWindow="-120" windowWidth="29040" windowHeight="15720" xr2:uid="{C44069CE-9317-4D74-9093-1929FF5F5E61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T4" i="1" l="1"/>
  <c r="AT5" i="1"/>
  <c r="AT6" i="1"/>
  <c r="AT7" i="1"/>
  <c r="AT8" i="1"/>
  <c r="AT9" i="1"/>
  <c r="AT3" i="1"/>
  <c r="AX176" i="1"/>
  <c r="AV176" i="1"/>
  <c r="AU176" i="1"/>
  <c r="AM176" i="1"/>
  <c r="AK176" i="1"/>
  <c r="AJ176" i="1"/>
  <c r="AX175" i="1"/>
  <c r="AV175" i="1"/>
  <c r="AU175" i="1"/>
  <c r="AM175" i="1"/>
  <c r="AK175" i="1"/>
  <c r="AJ175" i="1"/>
  <c r="AN176" i="1" s="1"/>
  <c r="AX174" i="1"/>
  <c r="AV174" i="1"/>
  <c r="AU174" i="1"/>
  <c r="AM174" i="1"/>
  <c r="AK174" i="1"/>
  <c r="AJ174" i="1"/>
  <c r="AX173" i="1"/>
  <c r="AV173" i="1"/>
  <c r="AU173" i="1"/>
  <c r="AM173" i="1"/>
  <c r="AK173" i="1"/>
  <c r="AJ173" i="1"/>
  <c r="AN174" i="1" s="1"/>
  <c r="AX172" i="1"/>
  <c r="AV172" i="1"/>
  <c r="AU172" i="1"/>
  <c r="AM172" i="1"/>
  <c r="AK172" i="1"/>
  <c r="AJ172" i="1"/>
  <c r="AN173" i="1" s="1"/>
  <c r="AX171" i="1"/>
  <c r="AV171" i="1"/>
  <c r="AU171" i="1"/>
  <c r="AM171" i="1"/>
  <c r="AK171" i="1"/>
  <c r="AJ171" i="1"/>
  <c r="AN172" i="1" s="1"/>
  <c r="AX170" i="1"/>
  <c r="AV170" i="1"/>
  <c r="AU170" i="1"/>
  <c r="AM170" i="1"/>
  <c r="AK170" i="1"/>
  <c r="AJ170" i="1"/>
  <c r="AN171" i="1" s="1"/>
  <c r="AX169" i="1"/>
  <c r="AV169" i="1"/>
  <c r="AU169" i="1"/>
  <c r="AM169" i="1"/>
  <c r="AK169" i="1"/>
  <c r="AJ169" i="1"/>
  <c r="AN170" i="1" s="1"/>
  <c r="AX168" i="1"/>
  <c r="AV168" i="1"/>
  <c r="AU168" i="1"/>
  <c r="AM168" i="1"/>
  <c r="AK168" i="1"/>
  <c r="AJ168" i="1"/>
  <c r="AN169" i="1" s="1"/>
  <c r="AX167" i="1"/>
  <c r="AV167" i="1"/>
  <c r="AU167" i="1"/>
  <c r="AM167" i="1"/>
  <c r="AK167" i="1"/>
  <c r="AJ167" i="1"/>
  <c r="AN168" i="1" s="1"/>
  <c r="AX166" i="1"/>
  <c r="AV166" i="1"/>
  <c r="AU166" i="1"/>
  <c r="AM166" i="1"/>
  <c r="AK166" i="1"/>
  <c r="AJ166" i="1"/>
  <c r="AN167" i="1" s="1"/>
  <c r="AX165" i="1"/>
  <c r="AV165" i="1"/>
  <c r="AU165" i="1"/>
  <c r="AM165" i="1"/>
  <c r="AK165" i="1"/>
  <c r="AJ165" i="1"/>
  <c r="AN166" i="1" s="1"/>
  <c r="AX164" i="1"/>
  <c r="AV164" i="1"/>
  <c r="AU164" i="1"/>
  <c r="AM164" i="1"/>
  <c r="AK164" i="1"/>
  <c r="AJ164" i="1"/>
  <c r="AN165" i="1" s="1"/>
  <c r="AX163" i="1"/>
  <c r="AV163" i="1"/>
  <c r="AU163" i="1"/>
  <c r="AM163" i="1"/>
  <c r="AK163" i="1"/>
  <c r="AJ163" i="1"/>
  <c r="AN164" i="1" s="1"/>
  <c r="AX162" i="1"/>
  <c r="AV162" i="1"/>
  <c r="AU162" i="1"/>
  <c r="AY163" i="1" s="1"/>
  <c r="AM162" i="1"/>
  <c r="AK162" i="1"/>
  <c r="AJ162" i="1"/>
  <c r="AX161" i="1"/>
  <c r="AV161" i="1"/>
  <c r="AU161" i="1"/>
  <c r="AM161" i="1"/>
  <c r="AK161" i="1"/>
  <c r="AJ161" i="1"/>
  <c r="AN162" i="1" s="1"/>
  <c r="AX160" i="1"/>
  <c r="AV160" i="1"/>
  <c r="AU160" i="1"/>
  <c r="AM160" i="1"/>
  <c r="AK160" i="1"/>
  <c r="AJ160" i="1"/>
  <c r="AN161" i="1" s="1"/>
  <c r="AX159" i="1"/>
  <c r="AV159" i="1"/>
  <c r="AU159" i="1"/>
  <c r="AM159" i="1"/>
  <c r="AK159" i="1"/>
  <c r="AJ159" i="1"/>
  <c r="AX158" i="1"/>
  <c r="AV158" i="1"/>
  <c r="AU158" i="1"/>
  <c r="AY159" i="1" s="1"/>
  <c r="AM158" i="1"/>
  <c r="AK158" i="1"/>
  <c r="AJ158" i="1"/>
  <c r="AX157" i="1"/>
  <c r="AV157" i="1"/>
  <c r="AU157" i="1"/>
  <c r="AM157" i="1"/>
  <c r="AK157" i="1"/>
  <c r="AJ157" i="1"/>
  <c r="AX156" i="1"/>
  <c r="AV156" i="1"/>
  <c r="AU156" i="1"/>
  <c r="AM156" i="1"/>
  <c r="AK156" i="1"/>
  <c r="AJ156" i="1"/>
  <c r="AX155" i="1"/>
  <c r="AV155" i="1"/>
  <c r="AU155" i="1"/>
  <c r="AY156" i="1" s="1"/>
  <c r="AM155" i="1"/>
  <c r="AK155" i="1"/>
  <c r="AJ155" i="1"/>
  <c r="AX154" i="1"/>
  <c r="AV154" i="1"/>
  <c r="AU154" i="1"/>
  <c r="AY155" i="1" s="1"/>
  <c r="AM154" i="1"/>
  <c r="AK154" i="1"/>
  <c r="AJ154" i="1"/>
  <c r="AX153" i="1"/>
  <c r="AV153" i="1"/>
  <c r="AU153" i="1"/>
  <c r="AY154" i="1" s="1"/>
  <c r="AM153" i="1"/>
  <c r="AK153" i="1"/>
  <c r="AJ153" i="1"/>
  <c r="AX152" i="1"/>
  <c r="AV152" i="1"/>
  <c r="AU152" i="1"/>
  <c r="AY153" i="1" s="1"/>
  <c r="AM152" i="1"/>
  <c r="AK152" i="1"/>
  <c r="AJ152" i="1"/>
  <c r="AX151" i="1"/>
  <c r="AV151" i="1"/>
  <c r="AU151" i="1"/>
  <c r="AY152" i="1" s="1"/>
  <c r="AM151" i="1"/>
  <c r="AK151" i="1"/>
  <c r="AJ151" i="1"/>
  <c r="AX150" i="1"/>
  <c r="AV150" i="1"/>
  <c r="AU150" i="1"/>
  <c r="AY151" i="1" s="1"/>
  <c r="AM150" i="1"/>
  <c r="AK150" i="1"/>
  <c r="AJ150" i="1"/>
  <c r="AX149" i="1"/>
  <c r="AV149" i="1"/>
  <c r="AU149" i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M147" i="1"/>
  <c r="AK147" i="1"/>
  <c r="AJ147" i="1"/>
  <c r="AX146" i="1"/>
  <c r="AV146" i="1"/>
  <c r="AU146" i="1"/>
  <c r="AM146" i="1"/>
  <c r="AK146" i="1"/>
  <c r="AJ146" i="1"/>
  <c r="AX145" i="1"/>
  <c r="AV145" i="1"/>
  <c r="AU145" i="1"/>
  <c r="AY146" i="1" s="1"/>
  <c r="AM145" i="1"/>
  <c r="AK145" i="1"/>
  <c r="AJ145" i="1"/>
  <c r="AX144" i="1"/>
  <c r="AV144" i="1"/>
  <c r="AU144" i="1"/>
  <c r="AM144" i="1"/>
  <c r="AK144" i="1"/>
  <c r="AJ144" i="1"/>
  <c r="AN145" i="1" s="1"/>
  <c r="AX143" i="1"/>
  <c r="AV143" i="1"/>
  <c r="AU143" i="1"/>
  <c r="AM143" i="1"/>
  <c r="AK143" i="1"/>
  <c r="AJ143" i="1"/>
  <c r="AX142" i="1"/>
  <c r="AV142" i="1"/>
  <c r="AU142" i="1"/>
  <c r="AM142" i="1"/>
  <c r="AK142" i="1"/>
  <c r="AJ142" i="1"/>
  <c r="AX141" i="1"/>
  <c r="AV141" i="1"/>
  <c r="AU141" i="1"/>
  <c r="AM141" i="1"/>
  <c r="AK141" i="1"/>
  <c r="AJ141" i="1"/>
  <c r="AX140" i="1"/>
  <c r="AV140" i="1"/>
  <c r="AU140" i="1"/>
  <c r="AM140" i="1"/>
  <c r="AK140" i="1"/>
  <c r="AJ140" i="1"/>
  <c r="AN141" i="1" s="1"/>
  <c r="AX139" i="1"/>
  <c r="AV139" i="1"/>
  <c r="AU139" i="1"/>
  <c r="AM139" i="1"/>
  <c r="AK139" i="1"/>
  <c r="AJ139" i="1"/>
  <c r="AN140" i="1" s="1"/>
  <c r="AX138" i="1"/>
  <c r="AV138" i="1"/>
  <c r="AU138" i="1"/>
  <c r="AM138" i="1"/>
  <c r="AK138" i="1"/>
  <c r="AJ138" i="1"/>
  <c r="AN139" i="1" s="1"/>
  <c r="AX137" i="1"/>
  <c r="AV137" i="1"/>
  <c r="AU137" i="1"/>
  <c r="AM137" i="1"/>
  <c r="AK137" i="1"/>
  <c r="AJ137" i="1"/>
  <c r="AN138" i="1" s="1"/>
  <c r="AX136" i="1"/>
  <c r="AV136" i="1"/>
  <c r="AU136" i="1"/>
  <c r="AM136" i="1"/>
  <c r="AK136" i="1"/>
  <c r="AJ136" i="1"/>
  <c r="AN137" i="1" s="1"/>
  <c r="AX135" i="1"/>
  <c r="AV135" i="1"/>
  <c r="AU135" i="1"/>
  <c r="AM135" i="1"/>
  <c r="AK135" i="1"/>
  <c r="AJ135" i="1"/>
  <c r="AN136" i="1" s="1"/>
  <c r="AX134" i="1"/>
  <c r="AV134" i="1"/>
  <c r="AU134" i="1"/>
  <c r="AM134" i="1"/>
  <c r="AK134" i="1"/>
  <c r="AJ134" i="1"/>
  <c r="AN135" i="1" s="1"/>
  <c r="AX133" i="1"/>
  <c r="AV133" i="1"/>
  <c r="AU133" i="1"/>
  <c r="AM133" i="1"/>
  <c r="AK133" i="1"/>
  <c r="AJ133" i="1"/>
  <c r="AN134" i="1" s="1"/>
  <c r="AX132" i="1"/>
  <c r="AV132" i="1"/>
  <c r="AU132" i="1"/>
  <c r="AM132" i="1"/>
  <c r="AK132" i="1"/>
  <c r="AJ132" i="1"/>
  <c r="AN133" i="1" s="1"/>
  <c r="AX131" i="1"/>
  <c r="AV131" i="1"/>
  <c r="AU131" i="1"/>
  <c r="AM131" i="1"/>
  <c r="AK131" i="1"/>
  <c r="AJ131" i="1"/>
  <c r="AN132" i="1" s="1"/>
  <c r="AX130" i="1"/>
  <c r="AV130" i="1"/>
  <c r="AU130" i="1"/>
  <c r="AM130" i="1"/>
  <c r="AK130" i="1"/>
  <c r="AJ130" i="1"/>
  <c r="AN131" i="1" s="1"/>
  <c r="AX129" i="1"/>
  <c r="AV129" i="1"/>
  <c r="AU129" i="1"/>
  <c r="AM129" i="1"/>
  <c r="AK129" i="1"/>
  <c r="AJ129" i="1"/>
  <c r="AN130" i="1" s="1"/>
  <c r="AX128" i="1"/>
  <c r="AV128" i="1"/>
  <c r="AU128" i="1"/>
  <c r="AY129" i="1" s="1"/>
  <c r="AM128" i="1"/>
  <c r="AK128" i="1"/>
  <c r="AJ128" i="1"/>
  <c r="AN129" i="1" s="1"/>
  <c r="AX127" i="1"/>
  <c r="AV127" i="1"/>
  <c r="AU127" i="1"/>
  <c r="AM127" i="1"/>
  <c r="AK127" i="1"/>
  <c r="AJ127" i="1"/>
  <c r="AN128" i="1" s="1"/>
  <c r="AX126" i="1"/>
  <c r="AV126" i="1"/>
  <c r="AU126" i="1"/>
  <c r="AM126" i="1"/>
  <c r="AK126" i="1"/>
  <c r="AJ126" i="1"/>
  <c r="AX125" i="1"/>
  <c r="AV125" i="1"/>
  <c r="AU125" i="1"/>
  <c r="AM125" i="1"/>
  <c r="AK125" i="1"/>
  <c r="AJ125" i="1"/>
  <c r="AN126" i="1" s="1"/>
  <c r="AX124" i="1"/>
  <c r="AV124" i="1"/>
  <c r="AU124" i="1"/>
  <c r="AM124" i="1"/>
  <c r="AK124" i="1"/>
  <c r="AJ124" i="1"/>
  <c r="AX123" i="1"/>
  <c r="AV123" i="1"/>
  <c r="AU123" i="1"/>
  <c r="AM123" i="1"/>
  <c r="AK123" i="1"/>
  <c r="AJ123" i="1"/>
  <c r="AX122" i="1"/>
  <c r="AV122" i="1"/>
  <c r="AU122" i="1"/>
  <c r="AM122" i="1"/>
  <c r="AK122" i="1"/>
  <c r="AJ122" i="1"/>
  <c r="AX121" i="1"/>
  <c r="AV121" i="1"/>
  <c r="AU121" i="1"/>
  <c r="AM121" i="1"/>
  <c r="AK121" i="1"/>
  <c r="AJ121" i="1"/>
  <c r="AX120" i="1"/>
  <c r="AV120" i="1"/>
  <c r="AU120" i="1"/>
  <c r="AY121" i="1" s="1"/>
  <c r="AM120" i="1"/>
  <c r="AK120" i="1"/>
  <c r="AJ120" i="1"/>
  <c r="AN121" i="1" s="1"/>
  <c r="AX119" i="1"/>
  <c r="AV119" i="1"/>
  <c r="AU119" i="1"/>
  <c r="AM119" i="1"/>
  <c r="AK119" i="1"/>
  <c r="AJ119" i="1"/>
  <c r="AN120" i="1" s="1"/>
  <c r="AX118" i="1"/>
  <c r="AV118" i="1"/>
  <c r="AU118" i="1"/>
  <c r="AM118" i="1"/>
  <c r="AK118" i="1"/>
  <c r="AJ118" i="1"/>
  <c r="AN119" i="1" s="1"/>
  <c r="AX117" i="1"/>
  <c r="AV117" i="1"/>
  <c r="AU117" i="1"/>
  <c r="AM117" i="1"/>
  <c r="AK117" i="1"/>
  <c r="AJ117" i="1"/>
  <c r="AN118" i="1" s="1"/>
  <c r="AX116" i="1"/>
  <c r="AV116" i="1"/>
  <c r="AU116" i="1"/>
  <c r="AM116" i="1"/>
  <c r="AK116" i="1"/>
  <c r="AJ116" i="1"/>
  <c r="AN117" i="1" s="1"/>
  <c r="AX115" i="1"/>
  <c r="AV115" i="1"/>
  <c r="AU115" i="1"/>
  <c r="AM115" i="1"/>
  <c r="AK115" i="1"/>
  <c r="AJ115" i="1"/>
  <c r="AN116" i="1" s="1"/>
  <c r="AX114" i="1"/>
  <c r="AV114" i="1"/>
  <c r="AU114" i="1"/>
  <c r="AM114" i="1"/>
  <c r="AK114" i="1"/>
  <c r="AJ114" i="1"/>
  <c r="AN115" i="1" s="1"/>
  <c r="AX113" i="1"/>
  <c r="AV113" i="1"/>
  <c r="AU113" i="1"/>
  <c r="AM113" i="1"/>
  <c r="AK113" i="1"/>
  <c r="AJ113" i="1"/>
  <c r="AX112" i="1"/>
  <c r="AV112" i="1"/>
  <c r="AU112" i="1"/>
  <c r="AM112" i="1"/>
  <c r="AK112" i="1"/>
  <c r="AJ112" i="1"/>
  <c r="AN113" i="1" s="1"/>
  <c r="AX111" i="1"/>
  <c r="AV111" i="1"/>
  <c r="AU111" i="1"/>
  <c r="AM111" i="1"/>
  <c r="AK111" i="1"/>
  <c r="AJ111" i="1"/>
  <c r="AN112" i="1" s="1"/>
  <c r="AX110" i="1"/>
  <c r="AV110" i="1"/>
  <c r="AU110" i="1"/>
  <c r="AM110" i="1"/>
  <c r="AK110" i="1"/>
  <c r="AJ110" i="1"/>
  <c r="AN111" i="1" s="1"/>
  <c r="AX109" i="1"/>
  <c r="AV109" i="1"/>
  <c r="AU109" i="1"/>
  <c r="AM109" i="1"/>
  <c r="AK109" i="1"/>
  <c r="AJ109" i="1"/>
  <c r="AN110" i="1" s="1"/>
  <c r="AX108" i="1"/>
  <c r="AV108" i="1"/>
  <c r="AU108" i="1"/>
  <c r="AM108" i="1"/>
  <c r="AK108" i="1"/>
  <c r="AJ108" i="1"/>
  <c r="AX107" i="1"/>
  <c r="AV107" i="1"/>
  <c r="AU107" i="1"/>
  <c r="AY108" i="1" s="1"/>
  <c r="AM107" i="1"/>
  <c r="AK107" i="1"/>
  <c r="AJ107" i="1"/>
  <c r="AX106" i="1"/>
  <c r="AV106" i="1"/>
  <c r="AU106" i="1"/>
  <c r="AM106" i="1"/>
  <c r="AK106" i="1"/>
  <c r="AJ106" i="1"/>
  <c r="AN107" i="1" s="1"/>
  <c r="AX105" i="1"/>
  <c r="AV105" i="1"/>
  <c r="AU105" i="1"/>
  <c r="AM105" i="1"/>
  <c r="AK105" i="1"/>
  <c r="AJ105" i="1"/>
  <c r="AN106" i="1" s="1"/>
  <c r="AX104" i="1"/>
  <c r="AV104" i="1"/>
  <c r="AU104" i="1"/>
  <c r="AM104" i="1"/>
  <c r="AK104" i="1"/>
  <c r="AJ104" i="1"/>
  <c r="AX103" i="1"/>
  <c r="AV103" i="1"/>
  <c r="AU103" i="1"/>
  <c r="AM103" i="1"/>
  <c r="AK103" i="1"/>
  <c r="AJ103" i="1"/>
  <c r="AX102" i="1"/>
  <c r="AV102" i="1"/>
  <c r="AU102" i="1"/>
  <c r="AY103" i="1" s="1"/>
  <c r="AM102" i="1"/>
  <c r="AK102" i="1"/>
  <c r="AJ102" i="1"/>
  <c r="AN103" i="1" s="1"/>
  <c r="AX101" i="1"/>
  <c r="AV101" i="1"/>
  <c r="AU101" i="1"/>
  <c r="AM101" i="1"/>
  <c r="AK101" i="1"/>
  <c r="AJ101" i="1"/>
  <c r="AX100" i="1"/>
  <c r="AV100" i="1"/>
  <c r="AU100" i="1"/>
  <c r="AM100" i="1"/>
  <c r="AK100" i="1"/>
  <c r="AJ100" i="1"/>
  <c r="AX99" i="1"/>
  <c r="AV99" i="1"/>
  <c r="AU99" i="1"/>
  <c r="AM99" i="1"/>
  <c r="AK99" i="1"/>
  <c r="AJ99" i="1"/>
  <c r="AX98" i="1"/>
  <c r="AV98" i="1"/>
  <c r="AU98" i="1"/>
  <c r="AM98" i="1"/>
  <c r="AK98" i="1"/>
  <c r="AJ98" i="1"/>
  <c r="AN99" i="1" s="1"/>
  <c r="AX97" i="1"/>
  <c r="AV97" i="1"/>
  <c r="AU97" i="1"/>
  <c r="AY98" i="1" s="1"/>
  <c r="AM97" i="1"/>
  <c r="AK97" i="1"/>
  <c r="AJ97" i="1"/>
  <c r="AX96" i="1"/>
  <c r="AV96" i="1"/>
  <c r="AU96" i="1"/>
  <c r="AY97" i="1" s="1"/>
  <c r="AM96" i="1"/>
  <c r="AK96" i="1"/>
  <c r="AJ96" i="1"/>
  <c r="AX95" i="1"/>
  <c r="AV95" i="1"/>
  <c r="AU95" i="1"/>
  <c r="AM95" i="1"/>
  <c r="AK95" i="1"/>
  <c r="AJ95" i="1"/>
  <c r="AX94" i="1"/>
  <c r="AV94" i="1"/>
  <c r="AU94" i="1"/>
  <c r="AM94" i="1"/>
  <c r="AK94" i="1"/>
  <c r="AJ94" i="1"/>
  <c r="AX93" i="1"/>
  <c r="AV93" i="1"/>
  <c r="AU93" i="1"/>
  <c r="AM93" i="1"/>
  <c r="AK93" i="1"/>
  <c r="AJ93" i="1"/>
  <c r="AX92" i="1"/>
  <c r="AV92" i="1"/>
  <c r="AU92" i="1"/>
  <c r="AM92" i="1"/>
  <c r="AK92" i="1"/>
  <c r="AJ92" i="1"/>
  <c r="AX91" i="1"/>
  <c r="AV91" i="1"/>
  <c r="AU91" i="1"/>
  <c r="AM91" i="1"/>
  <c r="AK91" i="1"/>
  <c r="AJ91" i="1"/>
  <c r="AX90" i="1"/>
  <c r="AV90" i="1"/>
  <c r="AU90" i="1"/>
  <c r="AM90" i="1"/>
  <c r="AK90" i="1"/>
  <c r="AJ90" i="1"/>
  <c r="AX89" i="1"/>
  <c r="AV89" i="1"/>
  <c r="AU89" i="1"/>
  <c r="AM89" i="1"/>
  <c r="AK89" i="1"/>
  <c r="AJ89" i="1"/>
  <c r="AX88" i="1"/>
  <c r="AV88" i="1"/>
  <c r="AU88" i="1"/>
  <c r="AM88" i="1"/>
  <c r="AK88" i="1"/>
  <c r="AJ88" i="1"/>
  <c r="AX87" i="1"/>
  <c r="AV87" i="1"/>
  <c r="AU87" i="1"/>
  <c r="AM87" i="1"/>
  <c r="AK87" i="1"/>
  <c r="AJ87" i="1"/>
  <c r="AX86" i="1"/>
  <c r="AV86" i="1"/>
  <c r="AU86" i="1"/>
  <c r="AY87" i="1" s="1"/>
  <c r="AM86" i="1"/>
  <c r="AK86" i="1"/>
  <c r="AJ86" i="1"/>
  <c r="AX85" i="1"/>
  <c r="AV85" i="1"/>
  <c r="AU85" i="1"/>
  <c r="AM85" i="1"/>
  <c r="AK85" i="1"/>
  <c r="AJ85" i="1"/>
  <c r="AN86" i="1" s="1"/>
  <c r="AX84" i="1"/>
  <c r="AV84" i="1"/>
  <c r="AU84" i="1"/>
  <c r="AM84" i="1"/>
  <c r="AK84" i="1"/>
  <c r="AJ84" i="1"/>
  <c r="AN85" i="1" s="1"/>
  <c r="AX83" i="1"/>
  <c r="AV83" i="1"/>
  <c r="AU83" i="1"/>
  <c r="AM83" i="1"/>
  <c r="AK83" i="1"/>
  <c r="AJ83" i="1"/>
  <c r="AN84" i="1" s="1"/>
  <c r="AX82" i="1"/>
  <c r="AV82" i="1"/>
  <c r="AU82" i="1"/>
  <c r="AM82" i="1"/>
  <c r="AK82" i="1"/>
  <c r="AJ82" i="1"/>
  <c r="AX81" i="1"/>
  <c r="AV81" i="1"/>
  <c r="AU81" i="1"/>
  <c r="AM81" i="1"/>
  <c r="AK81" i="1"/>
  <c r="AJ81" i="1"/>
  <c r="AX80" i="1"/>
  <c r="AV80" i="1"/>
  <c r="AU80" i="1"/>
  <c r="AY81" i="1" s="1"/>
  <c r="AM80" i="1"/>
  <c r="AK80" i="1"/>
  <c r="AJ80" i="1"/>
  <c r="AX79" i="1"/>
  <c r="AV79" i="1"/>
  <c r="AU79" i="1"/>
  <c r="AY80" i="1" s="1"/>
  <c r="AM79" i="1"/>
  <c r="AK79" i="1"/>
  <c r="AJ79" i="1"/>
  <c r="AX78" i="1"/>
  <c r="AV78" i="1"/>
  <c r="AU78" i="1"/>
  <c r="AY79" i="1" s="1"/>
  <c r="AM78" i="1"/>
  <c r="AK78" i="1"/>
  <c r="AJ78" i="1"/>
  <c r="AX77" i="1"/>
  <c r="AV77" i="1"/>
  <c r="AU77" i="1"/>
  <c r="AM77" i="1"/>
  <c r="AK77" i="1"/>
  <c r="AJ77" i="1"/>
  <c r="AX76" i="1"/>
  <c r="AV76" i="1"/>
  <c r="AU76" i="1"/>
  <c r="AM76" i="1"/>
  <c r="AK76" i="1"/>
  <c r="AJ76" i="1"/>
  <c r="AX75" i="1"/>
  <c r="AV75" i="1"/>
  <c r="AU75" i="1"/>
  <c r="AY76" i="1" s="1"/>
  <c r="AM75" i="1"/>
  <c r="AK75" i="1"/>
  <c r="AJ75" i="1"/>
  <c r="AX74" i="1"/>
  <c r="AV74" i="1"/>
  <c r="AU74" i="1"/>
  <c r="AY75" i="1" s="1"/>
  <c r="AM74" i="1"/>
  <c r="AK74" i="1"/>
  <c r="AJ74" i="1"/>
  <c r="AX73" i="1"/>
  <c r="AV73" i="1"/>
  <c r="AU73" i="1"/>
  <c r="AM73" i="1"/>
  <c r="AK73" i="1"/>
  <c r="AJ73" i="1"/>
  <c r="AX72" i="1"/>
  <c r="AV72" i="1"/>
  <c r="AU72" i="1"/>
  <c r="AY73" i="1" s="1"/>
  <c r="AM72" i="1"/>
  <c r="AK72" i="1"/>
  <c r="AJ72" i="1"/>
  <c r="AX71" i="1"/>
  <c r="AV71" i="1"/>
  <c r="AU71" i="1"/>
  <c r="AY72" i="1" s="1"/>
  <c r="AM71" i="1"/>
  <c r="AK71" i="1"/>
  <c r="AJ71" i="1"/>
  <c r="AN72" i="1" s="1"/>
  <c r="AX70" i="1"/>
  <c r="AV70" i="1"/>
  <c r="AU70" i="1"/>
  <c r="AM70" i="1"/>
  <c r="AK70" i="1"/>
  <c r="AJ70" i="1"/>
  <c r="AN71" i="1" s="1"/>
  <c r="AX69" i="1"/>
  <c r="AV69" i="1"/>
  <c r="AU69" i="1"/>
  <c r="AM69" i="1"/>
  <c r="AK69" i="1"/>
  <c r="AJ69" i="1"/>
  <c r="AX68" i="1"/>
  <c r="AV68" i="1"/>
  <c r="AU68" i="1"/>
  <c r="AM68" i="1"/>
  <c r="AK68" i="1"/>
  <c r="AJ68" i="1"/>
  <c r="AX67" i="1"/>
  <c r="AV67" i="1"/>
  <c r="AU67" i="1"/>
  <c r="AM67" i="1"/>
  <c r="AK67" i="1"/>
  <c r="AJ67" i="1"/>
  <c r="AN68" i="1" s="1"/>
  <c r="AX66" i="1"/>
  <c r="AV66" i="1"/>
  <c r="AU66" i="1"/>
  <c r="AY67" i="1" s="1"/>
  <c r="AM66" i="1"/>
  <c r="AK66" i="1"/>
  <c r="AJ66" i="1"/>
  <c r="AN67" i="1" s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M60" i="1"/>
  <c r="AK60" i="1"/>
  <c r="AJ60" i="1"/>
  <c r="AX59" i="1"/>
  <c r="AV59" i="1"/>
  <c r="AU59" i="1"/>
  <c r="AY60" i="1" s="1"/>
  <c r="AM59" i="1"/>
  <c r="AK59" i="1"/>
  <c r="AJ59" i="1"/>
  <c r="AX58" i="1"/>
  <c r="AV58" i="1"/>
  <c r="AU58" i="1"/>
  <c r="AY59" i="1" s="1"/>
  <c r="AM58" i="1"/>
  <c r="AK58" i="1"/>
  <c r="AJ58" i="1"/>
  <c r="AN59" i="1" s="1"/>
  <c r="AX57" i="1"/>
  <c r="AV57" i="1"/>
  <c r="AU57" i="1"/>
  <c r="AY58" i="1" s="1"/>
  <c r="AM57" i="1"/>
  <c r="AK57" i="1"/>
  <c r="AJ57" i="1"/>
  <c r="AX56" i="1"/>
  <c r="AV56" i="1"/>
  <c r="AU56" i="1"/>
  <c r="AY57" i="1" s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M54" i="1"/>
  <c r="AK54" i="1"/>
  <c r="AJ54" i="1"/>
  <c r="AX53" i="1"/>
  <c r="AV53" i="1"/>
  <c r="AU53" i="1"/>
  <c r="AY54" i="1" s="1"/>
  <c r="AM53" i="1"/>
  <c r="AK53" i="1"/>
  <c r="AJ53" i="1"/>
  <c r="AX52" i="1"/>
  <c r="AV52" i="1"/>
  <c r="AU52" i="1"/>
  <c r="AM52" i="1"/>
  <c r="AK52" i="1"/>
  <c r="AJ52" i="1"/>
  <c r="AX51" i="1"/>
  <c r="AV51" i="1"/>
  <c r="AU51" i="1"/>
  <c r="AY52" i="1" s="1"/>
  <c r="AM51" i="1"/>
  <c r="AK51" i="1"/>
  <c r="AJ51" i="1"/>
  <c r="AN52" i="1" s="1"/>
  <c r="AX50" i="1"/>
  <c r="AV50" i="1"/>
  <c r="AU50" i="1"/>
  <c r="AY51" i="1" s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Y49" i="1" s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Y47" i="1" s="1"/>
  <c r="AM46" i="1"/>
  <c r="AK46" i="1"/>
  <c r="AJ46" i="1"/>
  <c r="AX45" i="1"/>
  <c r="AV45" i="1"/>
  <c r="AU45" i="1"/>
  <c r="AY46" i="1" s="1"/>
  <c r="AM45" i="1"/>
  <c r="AK45" i="1"/>
  <c r="AJ45" i="1"/>
  <c r="AX44" i="1"/>
  <c r="AV44" i="1"/>
  <c r="AU44" i="1"/>
  <c r="AM44" i="1"/>
  <c r="AK44" i="1"/>
  <c r="AJ44" i="1"/>
  <c r="AX43" i="1"/>
  <c r="AV43" i="1"/>
  <c r="AU43" i="1"/>
  <c r="AY44" i="1" s="1"/>
  <c r="AM43" i="1"/>
  <c r="AK43" i="1"/>
  <c r="AJ43" i="1"/>
  <c r="AX42" i="1"/>
  <c r="AV42" i="1"/>
  <c r="AU42" i="1"/>
  <c r="AM42" i="1"/>
  <c r="AK42" i="1"/>
  <c r="AJ42" i="1"/>
  <c r="AX41" i="1"/>
  <c r="AV41" i="1"/>
  <c r="AU41" i="1"/>
  <c r="AM41" i="1"/>
  <c r="AK41" i="1"/>
  <c r="AJ41" i="1"/>
  <c r="AX40" i="1"/>
  <c r="AV40" i="1"/>
  <c r="AU40" i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M34" i="1"/>
  <c r="AK34" i="1"/>
  <c r="AJ34" i="1"/>
  <c r="AN35" i="1" s="1"/>
  <c r="AX33" i="1"/>
  <c r="AV33" i="1"/>
  <c r="AU33" i="1"/>
  <c r="AM33" i="1"/>
  <c r="AK33" i="1"/>
  <c r="AJ33" i="1"/>
  <c r="AX32" i="1"/>
  <c r="AV32" i="1"/>
  <c r="AU32" i="1"/>
  <c r="AM32" i="1"/>
  <c r="AK32" i="1"/>
  <c r="AJ32" i="1"/>
  <c r="AN33" i="1" s="1"/>
  <c r="AX31" i="1"/>
  <c r="AV31" i="1"/>
  <c r="AU31" i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M27" i="1"/>
  <c r="AK27" i="1"/>
  <c r="AJ27" i="1"/>
  <c r="AX26" i="1"/>
  <c r="AV26" i="1"/>
  <c r="AU26" i="1"/>
  <c r="AM26" i="1"/>
  <c r="AK26" i="1"/>
  <c r="AJ26" i="1"/>
  <c r="AX25" i="1"/>
  <c r="AV25" i="1"/>
  <c r="AU25" i="1"/>
  <c r="AM25" i="1"/>
  <c r="AK25" i="1"/>
  <c r="AJ25" i="1"/>
  <c r="AN26" i="1" s="1"/>
  <c r="AX24" i="1"/>
  <c r="AV24" i="1"/>
  <c r="AU24" i="1"/>
  <c r="AM24" i="1"/>
  <c r="AK24" i="1"/>
  <c r="AJ24" i="1"/>
  <c r="AX23" i="1"/>
  <c r="AV23" i="1"/>
  <c r="AU23" i="1"/>
  <c r="AM23" i="1"/>
  <c r="AK23" i="1"/>
  <c r="AJ23" i="1"/>
  <c r="AN24" i="1" s="1"/>
  <c r="AX22" i="1"/>
  <c r="AW22" i="1"/>
  <c r="AV22" i="1"/>
  <c r="AU22" i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122" i="1" l="1"/>
  <c r="AN109" i="1"/>
  <c r="AN108" i="1"/>
  <c r="AN100" i="1"/>
  <c r="AN58" i="1"/>
  <c r="AN55" i="1"/>
  <c r="AN53" i="1"/>
  <c r="AN43" i="1"/>
  <c r="AN40" i="1"/>
  <c r="AN38" i="1"/>
  <c r="AN127" i="1"/>
  <c r="AN124" i="1"/>
  <c r="AN114" i="1"/>
  <c r="AN104" i="1"/>
  <c r="AN102" i="1"/>
  <c r="AN83" i="1"/>
  <c r="AN82" i="1"/>
  <c r="AN74" i="1"/>
  <c r="AN70" i="1"/>
  <c r="AN65" i="1"/>
  <c r="AN51" i="1"/>
  <c r="AN31" i="1"/>
  <c r="AN44" i="1"/>
  <c r="AN37" i="1"/>
  <c r="AN50" i="1"/>
  <c r="AN47" i="1"/>
  <c r="AN45" i="1"/>
  <c r="AN41" i="1"/>
  <c r="AN39" i="1"/>
  <c r="AN42" i="1"/>
  <c r="AN34" i="1"/>
  <c r="AN27" i="1"/>
  <c r="AN49" i="1"/>
  <c r="AN146" i="1"/>
  <c r="AN125" i="1"/>
  <c r="AN123" i="1"/>
  <c r="AN105" i="1"/>
  <c r="AN101" i="1"/>
  <c r="AN94" i="1"/>
  <c r="AN81" i="1"/>
  <c r="AN36" i="1"/>
  <c r="AN29" i="1"/>
  <c r="AN28" i="1"/>
  <c r="AP28" i="1" s="1"/>
  <c r="AY145" i="1"/>
  <c r="AY160" i="1"/>
  <c r="AY157" i="1"/>
  <c r="AY89" i="1"/>
  <c r="AY85" i="1"/>
  <c r="AY66" i="1"/>
  <c r="AY63" i="1"/>
  <c r="AY32" i="1"/>
  <c r="AY94" i="1"/>
  <c r="AY90" i="1"/>
  <c r="AY88" i="1"/>
  <c r="AY78" i="1"/>
  <c r="AY56" i="1"/>
  <c r="AY45" i="1"/>
  <c r="AY31" i="1"/>
  <c r="AY93" i="1"/>
  <c r="AY77" i="1"/>
  <c r="AY96" i="1"/>
  <c r="AY86" i="1"/>
  <c r="AY25" i="1"/>
  <c r="AY161" i="1"/>
  <c r="AY84" i="1"/>
  <c r="AY61" i="1"/>
  <c r="AZ61" i="1" s="1"/>
  <c r="AY68" i="1"/>
  <c r="AY138" i="1"/>
  <c r="AY24" i="1"/>
  <c r="AY33" i="1"/>
  <c r="AY158" i="1"/>
  <c r="AY147" i="1"/>
  <c r="AY83" i="1"/>
  <c r="AY53" i="1"/>
  <c r="AY69" i="1"/>
  <c r="AY55" i="1"/>
  <c r="AY74" i="1"/>
  <c r="AY64" i="1"/>
  <c r="AY162" i="1"/>
  <c r="AY62" i="1"/>
  <c r="AY23" i="1"/>
  <c r="AN175" i="1"/>
  <c r="AN142" i="1"/>
  <c r="AN143" i="1"/>
  <c r="AN144" i="1"/>
  <c r="AN48" i="1"/>
  <c r="AN95" i="1"/>
  <c r="AY148" i="1"/>
  <c r="AY95" i="1"/>
  <c r="AY50" i="1"/>
  <c r="AY48" i="1"/>
  <c r="AY150" i="1"/>
  <c r="AY34" i="1"/>
  <c r="AN91" i="1"/>
  <c r="AN73" i="1"/>
  <c r="AN147" i="1"/>
  <c r="AN92" i="1"/>
  <c r="AN93" i="1"/>
  <c r="AY65" i="1"/>
  <c r="AY70" i="1"/>
  <c r="AN30" i="1"/>
  <c r="AN23" i="1"/>
  <c r="AO176" i="1"/>
  <c r="AP176" i="1"/>
  <c r="AL176" i="1"/>
  <c r="AO174" i="1"/>
  <c r="AP174" i="1"/>
  <c r="AL174" i="1"/>
  <c r="AO173" i="1"/>
  <c r="AP173" i="1"/>
  <c r="AL173" i="1"/>
  <c r="AP172" i="1"/>
  <c r="AO172" i="1"/>
  <c r="AQ172" i="1" s="1"/>
  <c r="AL172" i="1"/>
  <c r="AO171" i="1"/>
  <c r="AP171" i="1"/>
  <c r="AL171" i="1"/>
  <c r="AL170" i="1"/>
  <c r="AO170" i="1"/>
  <c r="AP170" i="1"/>
  <c r="AP169" i="1"/>
  <c r="AL169" i="1"/>
  <c r="AO169" i="1"/>
  <c r="AQ169" i="1" s="1"/>
  <c r="AL168" i="1"/>
  <c r="AP168" i="1"/>
  <c r="AO168" i="1"/>
  <c r="AQ168" i="1" s="1"/>
  <c r="AO167" i="1"/>
  <c r="AL167" i="1"/>
  <c r="AP167" i="1"/>
  <c r="AO166" i="1"/>
  <c r="AL166" i="1"/>
  <c r="AP166" i="1"/>
  <c r="AP165" i="1"/>
  <c r="AO165" i="1"/>
  <c r="AQ165" i="1" s="1"/>
  <c r="AL165" i="1"/>
  <c r="AP164" i="1"/>
  <c r="AO164" i="1"/>
  <c r="AQ164" i="1" s="1"/>
  <c r="AL164" i="1"/>
  <c r="AW163" i="1"/>
  <c r="AY164" i="1" s="1"/>
  <c r="BA163" i="1"/>
  <c r="AZ163" i="1"/>
  <c r="AO162" i="1"/>
  <c r="AL162" i="1"/>
  <c r="AN163" i="1" s="1"/>
  <c r="AP162" i="1"/>
  <c r="AP161" i="1"/>
  <c r="AL161" i="1"/>
  <c r="AO161" i="1"/>
  <c r="AQ161" i="1" s="1"/>
  <c r="AZ159" i="1"/>
  <c r="BA159" i="1"/>
  <c r="AW159" i="1"/>
  <c r="AW156" i="1"/>
  <c r="BA156" i="1"/>
  <c r="AZ156" i="1"/>
  <c r="AZ155" i="1"/>
  <c r="BA155" i="1"/>
  <c r="AW155" i="1"/>
  <c r="AW154" i="1"/>
  <c r="AZ154" i="1"/>
  <c r="BA154" i="1"/>
  <c r="AW153" i="1"/>
  <c r="AZ153" i="1"/>
  <c r="BA153" i="1"/>
  <c r="BA152" i="1"/>
  <c r="AZ152" i="1"/>
  <c r="BB152" i="1" s="1"/>
  <c r="AW152" i="1"/>
  <c r="AZ151" i="1"/>
  <c r="AW151" i="1"/>
  <c r="BA151" i="1"/>
  <c r="AW149" i="1"/>
  <c r="AZ149" i="1"/>
  <c r="BA149" i="1"/>
  <c r="AZ146" i="1"/>
  <c r="AW146" i="1"/>
  <c r="BA146" i="1"/>
  <c r="AL145" i="1"/>
  <c r="AP145" i="1"/>
  <c r="AO145" i="1"/>
  <c r="AO141" i="1"/>
  <c r="AP141" i="1"/>
  <c r="AL141" i="1"/>
  <c r="AO140" i="1"/>
  <c r="AL140" i="1"/>
  <c r="AP140" i="1"/>
  <c r="AP139" i="1"/>
  <c r="AO139" i="1"/>
  <c r="AQ139" i="1" s="1"/>
  <c r="AL139" i="1"/>
  <c r="AP138" i="1"/>
  <c r="AO138" i="1"/>
  <c r="AQ138" i="1" s="1"/>
  <c r="AL138" i="1"/>
  <c r="AO137" i="1"/>
  <c r="AP137" i="1"/>
  <c r="AL137" i="1"/>
  <c r="AL136" i="1"/>
  <c r="AP136" i="1"/>
  <c r="AO136" i="1"/>
  <c r="AQ136" i="1" s="1"/>
  <c r="AO135" i="1"/>
  <c r="AP135" i="1"/>
  <c r="AL135" i="1"/>
  <c r="AO134" i="1"/>
  <c r="AP134" i="1"/>
  <c r="AL134" i="1"/>
  <c r="AP133" i="1"/>
  <c r="AL133" i="1"/>
  <c r="AO133" i="1"/>
  <c r="AQ133" i="1" s="1"/>
  <c r="AL132" i="1"/>
  <c r="AP132" i="1"/>
  <c r="AO132" i="1"/>
  <c r="AQ132" i="1" s="1"/>
  <c r="AP131" i="1"/>
  <c r="AL131" i="1"/>
  <c r="AO131" i="1"/>
  <c r="AQ131" i="1" s="1"/>
  <c r="AP130" i="1"/>
  <c r="AL130" i="1"/>
  <c r="AO130" i="1"/>
  <c r="AQ130" i="1" s="1"/>
  <c r="AW129" i="1"/>
  <c r="AY130" i="1" s="1"/>
  <c r="BA129" i="1"/>
  <c r="AZ129" i="1"/>
  <c r="BB129" i="1" s="1"/>
  <c r="AO129" i="1"/>
  <c r="AP129" i="1"/>
  <c r="AL129" i="1"/>
  <c r="AP128" i="1"/>
  <c r="AO128" i="1"/>
  <c r="AQ128" i="1" s="1"/>
  <c r="AL128" i="1"/>
  <c r="AL126" i="1"/>
  <c r="AP126" i="1"/>
  <c r="AO126" i="1"/>
  <c r="AZ121" i="1"/>
  <c r="AW121" i="1"/>
  <c r="AY122" i="1" s="1"/>
  <c r="BA121" i="1"/>
  <c r="AL121" i="1"/>
  <c r="AO121" i="1"/>
  <c r="AP121" i="1"/>
  <c r="AP120" i="1"/>
  <c r="AO120" i="1"/>
  <c r="AQ120" i="1" s="1"/>
  <c r="AL120" i="1"/>
  <c r="AP119" i="1"/>
  <c r="AL119" i="1"/>
  <c r="AO119" i="1"/>
  <c r="AQ119" i="1" s="1"/>
  <c r="AO118" i="1"/>
  <c r="AL118" i="1"/>
  <c r="AP118" i="1"/>
  <c r="AL117" i="1"/>
  <c r="AP117" i="1"/>
  <c r="AO117" i="1"/>
  <c r="AL116" i="1"/>
  <c r="AO116" i="1"/>
  <c r="AP116" i="1"/>
  <c r="AL115" i="1"/>
  <c r="AP115" i="1"/>
  <c r="AO115" i="1"/>
  <c r="AQ115" i="1" s="1"/>
  <c r="AO113" i="1"/>
  <c r="AP113" i="1"/>
  <c r="AL113" i="1"/>
  <c r="AO112" i="1"/>
  <c r="AL112" i="1"/>
  <c r="AP112" i="1"/>
  <c r="AO111" i="1"/>
  <c r="AP111" i="1"/>
  <c r="AL111" i="1"/>
  <c r="AL110" i="1"/>
  <c r="AO110" i="1"/>
  <c r="AP110" i="1"/>
  <c r="AW108" i="1"/>
  <c r="AY109" i="1" s="1"/>
  <c r="AZ108" i="1"/>
  <c r="BA108" i="1"/>
  <c r="AO107" i="1"/>
  <c r="AP107" i="1"/>
  <c r="AL107" i="1"/>
  <c r="AL106" i="1"/>
  <c r="AP106" i="1"/>
  <c r="AO106" i="1"/>
  <c r="AW103" i="1"/>
  <c r="AY104" i="1" s="1"/>
  <c r="BA103" i="1"/>
  <c r="AZ103" i="1"/>
  <c r="BB103" i="1" s="1"/>
  <c r="AP103" i="1"/>
  <c r="AO103" i="1"/>
  <c r="AQ103" i="1" s="1"/>
  <c r="AL103" i="1"/>
  <c r="AO99" i="1"/>
  <c r="AL99" i="1"/>
  <c r="AP99" i="1"/>
  <c r="BA98" i="1"/>
  <c r="AZ98" i="1"/>
  <c r="AW98" i="1"/>
  <c r="AY99" i="1" s="1"/>
  <c r="BA97" i="1"/>
  <c r="AZ97" i="1"/>
  <c r="BB97" i="1" s="1"/>
  <c r="AW97" i="1"/>
  <c r="BA87" i="1"/>
  <c r="AZ87" i="1"/>
  <c r="BB87" i="1" s="1"/>
  <c r="AW87" i="1"/>
  <c r="AL86" i="1"/>
  <c r="AN87" i="1" s="1"/>
  <c r="AO86" i="1"/>
  <c r="AP86" i="1"/>
  <c r="AL85" i="1"/>
  <c r="AP85" i="1"/>
  <c r="AO85" i="1"/>
  <c r="AQ85" i="1" s="1"/>
  <c r="AL84" i="1"/>
  <c r="AO84" i="1"/>
  <c r="AP84" i="1"/>
  <c r="BA81" i="1"/>
  <c r="AW81" i="1"/>
  <c r="AY82" i="1" s="1"/>
  <c r="AZ81" i="1"/>
  <c r="BB81" i="1" s="1"/>
  <c r="BA80" i="1"/>
  <c r="AW80" i="1"/>
  <c r="AZ80" i="1"/>
  <c r="BB80" i="1" s="1"/>
  <c r="AW79" i="1"/>
  <c r="AZ79" i="1"/>
  <c r="BA79" i="1"/>
  <c r="AW76" i="1"/>
  <c r="AZ76" i="1"/>
  <c r="BA76" i="1"/>
  <c r="AW75" i="1"/>
  <c r="AZ75" i="1"/>
  <c r="BA75" i="1"/>
  <c r="AZ73" i="1"/>
  <c r="BA73" i="1"/>
  <c r="AW73" i="1"/>
  <c r="BA72" i="1"/>
  <c r="AW72" i="1"/>
  <c r="AZ72" i="1"/>
  <c r="BB72" i="1" s="1"/>
  <c r="AL72" i="1"/>
  <c r="AP72" i="1"/>
  <c r="AO72" i="1"/>
  <c r="AQ72" i="1" s="1"/>
  <c r="AP71" i="1"/>
  <c r="AL71" i="1"/>
  <c r="AO71" i="1"/>
  <c r="AQ71" i="1" s="1"/>
  <c r="AO68" i="1"/>
  <c r="AP68" i="1"/>
  <c r="AL68" i="1"/>
  <c r="AN69" i="1" s="1"/>
  <c r="BA67" i="1"/>
  <c r="AW67" i="1"/>
  <c r="AZ67" i="1"/>
  <c r="AP67" i="1"/>
  <c r="AL67" i="1"/>
  <c r="AO67" i="1"/>
  <c r="AQ67" i="1" s="1"/>
  <c r="AW60" i="1"/>
  <c r="BA60" i="1"/>
  <c r="AZ60" i="1"/>
  <c r="AZ59" i="1"/>
  <c r="AW59" i="1"/>
  <c r="BA59" i="1"/>
  <c r="AL59" i="1"/>
  <c r="AN60" i="1" s="1"/>
  <c r="AO59" i="1"/>
  <c r="AP59" i="1"/>
  <c r="AW58" i="1"/>
  <c r="BA58" i="1"/>
  <c r="AZ58" i="1"/>
  <c r="BB58" i="1" s="1"/>
  <c r="BA57" i="1"/>
  <c r="AW57" i="1"/>
  <c r="AZ57" i="1"/>
  <c r="BB57" i="1" s="1"/>
  <c r="AZ54" i="1"/>
  <c r="AW54" i="1"/>
  <c r="BA54" i="1"/>
  <c r="AW52" i="1"/>
  <c r="BA52" i="1"/>
  <c r="AZ52" i="1"/>
  <c r="BB52" i="1" s="1"/>
  <c r="AO52" i="1"/>
  <c r="AL52" i="1"/>
  <c r="AP52" i="1"/>
  <c r="BA51" i="1"/>
  <c r="AW51" i="1"/>
  <c r="AZ51" i="1"/>
  <c r="BB51" i="1" s="1"/>
  <c r="BA49" i="1"/>
  <c r="AZ49" i="1"/>
  <c r="BB49" i="1" s="1"/>
  <c r="AW49" i="1"/>
  <c r="AW47" i="1"/>
  <c r="BA47" i="1"/>
  <c r="AZ47" i="1"/>
  <c r="BB47" i="1" s="1"/>
  <c r="AW46" i="1"/>
  <c r="BA46" i="1"/>
  <c r="AZ46" i="1"/>
  <c r="AW44" i="1"/>
  <c r="AZ44" i="1"/>
  <c r="BA44" i="1"/>
  <c r="AO43" i="1"/>
  <c r="AL43" i="1"/>
  <c r="AP43" i="1"/>
  <c r="AO40" i="1"/>
  <c r="AL40" i="1"/>
  <c r="AP40" i="1"/>
  <c r="AO38" i="1"/>
  <c r="AL38" i="1"/>
  <c r="AP38" i="1"/>
  <c r="AL37" i="1"/>
  <c r="AO37" i="1"/>
  <c r="AP37" i="1"/>
  <c r="AO35" i="1"/>
  <c r="AP35" i="1"/>
  <c r="AL35" i="1"/>
  <c r="AP34" i="1"/>
  <c r="AO34" i="1"/>
  <c r="AQ34" i="1" s="1"/>
  <c r="AL34" i="1"/>
  <c r="AO33" i="1"/>
  <c r="AL33" i="1"/>
  <c r="AP33" i="1"/>
  <c r="AO31" i="1"/>
  <c r="AL31" i="1"/>
  <c r="AN32" i="1" s="1"/>
  <c r="AP31" i="1"/>
  <c r="AO29" i="1"/>
  <c r="AL29" i="1"/>
  <c r="AP29" i="1"/>
  <c r="AO28" i="1"/>
  <c r="AL28" i="1"/>
  <c r="AO27" i="1"/>
  <c r="AL27" i="1"/>
  <c r="AP27" i="1"/>
  <c r="AO26" i="1"/>
  <c r="AP26" i="1"/>
  <c r="AL26" i="1"/>
  <c r="AL24" i="1"/>
  <c r="AN25" i="1" s="1"/>
  <c r="AP24" i="1"/>
  <c r="AO24" i="1"/>
  <c r="AQ24" i="1" s="1"/>
  <c r="AZ22" i="1"/>
  <c r="BA22" i="1"/>
  <c r="AO22" i="1"/>
  <c r="AP22" i="1"/>
  <c r="AQ145" i="1" l="1"/>
  <c r="AL122" i="1"/>
  <c r="AP122" i="1"/>
  <c r="AO122" i="1"/>
  <c r="AQ122" i="1" s="1"/>
  <c r="AO109" i="1"/>
  <c r="AL109" i="1"/>
  <c r="AP109" i="1"/>
  <c r="AP108" i="1"/>
  <c r="AL108" i="1"/>
  <c r="AO108" i="1"/>
  <c r="AQ108" i="1" s="1"/>
  <c r="AO100" i="1"/>
  <c r="AL100" i="1"/>
  <c r="AP100" i="1"/>
  <c r="AL58" i="1"/>
  <c r="AP58" i="1"/>
  <c r="AO58" i="1"/>
  <c r="AO55" i="1"/>
  <c r="AL55" i="1"/>
  <c r="AN56" i="1" s="1"/>
  <c r="AP55" i="1"/>
  <c r="AP53" i="1"/>
  <c r="AO53" i="1"/>
  <c r="AQ53" i="1" s="1"/>
  <c r="AL53" i="1"/>
  <c r="AN54" i="1" s="1"/>
  <c r="AO127" i="1"/>
  <c r="AP127" i="1"/>
  <c r="AL127" i="1"/>
  <c r="AP124" i="1"/>
  <c r="AO124" i="1"/>
  <c r="AL124" i="1"/>
  <c r="AP114" i="1"/>
  <c r="AO114" i="1"/>
  <c r="AQ114" i="1" s="1"/>
  <c r="AL114" i="1"/>
  <c r="AP104" i="1"/>
  <c r="AO104" i="1"/>
  <c r="AL104" i="1"/>
  <c r="AL102" i="1"/>
  <c r="AO102" i="1"/>
  <c r="AP102" i="1"/>
  <c r="AO83" i="1"/>
  <c r="AP83" i="1"/>
  <c r="AL83" i="1"/>
  <c r="AP82" i="1"/>
  <c r="AO82" i="1"/>
  <c r="AL82" i="1"/>
  <c r="AL74" i="1"/>
  <c r="AN75" i="1" s="1"/>
  <c r="AO74" i="1"/>
  <c r="AQ74" i="1" s="1"/>
  <c r="AP74" i="1"/>
  <c r="AL70" i="1"/>
  <c r="AO70" i="1"/>
  <c r="AP70" i="1"/>
  <c r="AP65" i="1"/>
  <c r="AO65" i="1"/>
  <c r="AQ65" i="1" s="1"/>
  <c r="BE65" i="1" s="1"/>
  <c r="AL65" i="1"/>
  <c r="AN66" i="1" s="1"/>
  <c r="AO51" i="1"/>
  <c r="AQ51" i="1" s="1"/>
  <c r="BE51" i="1" s="1"/>
  <c r="AL51" i="1"/>
  <c r="AP51" i="1"/>
  <c r="AP44" i="1"/>
  <c r="AL44" i="1"/>
  <c r="AO44" i="1"/>
  <c r="AQ44" i="1" s="1"/>
  <c r="BE44" i="1" s="1"/>
  <c r="AL50" i="1"/>
  <c r="AP50" i="1"/>
  <c r="AO50" i="1"/>
  <c r="AP47" i="1"/>
  <c r="AL47" i="1"/>
  <c r="AO47" i="1"/>
  <c r="AQ47" i="1" s="1"/>
  <c r="AO45" i="1"/>
  <c r="AL45" i="1"/>
  <c r="AN46" i="1" s="1"/>
  <c r="AP45" i="1"/>
  <c r="AP41" i="1"/>
  <c r="AL41" i="1"/>
  <c r="AO41" i="1"/>
  <c r="AQ41" i="1" s="1"/>
  <c r="AO39" i="1"/>
  <c r="AL39" i="1"/>
  <c r="AP39" i="1"/>
  <c r="AO42" i="1"/>
  <c r="AQ42" i="1" s="1"/>
  <c r="AL42" i="1"/>
  <c r="AP42" i="1"/>
  <c r="AL49" i="1"/>
  <c r="AO49" i="1"/>
  <c r="AP49" i="1"/>
  <c r="AP146" i="1"/>
  <c r="AL146" i="1"/>
  <c r="AO146" i="1"/>
  <c r="AQ146" i="1" s="1"/>
  <c r="AP125" i="1"/>
  <c r="AL125" i="1"/>
  <c r="AO125" i="1"/>
  <c r="AQ125" i="1" s="1"/>
  <c r="AL123" i="1"/>
  <c r="AO123" i="1"/>
  <c r="AQ123" i="1" s="1"/>
  <c r="AP123" i="1"/>
  <c r="AL105" i="1"/>
  <c r="AP105" i="1"/>
  <c r="AO105" i="1"/>
  <c r="AP101" i="1"/>
  <c r="AO101" i="1"/>
  <c r="AQ101" i="1" s="1"/>
  <c r="AL101" i="1"/>
  <c r="AP94" i="1"/>
  <c r="AL94" i="1"/>
  <c r="AO94" i="1"/>
  <c r="AQ94" i="1" s="1"/>
  <c r="AP81" i="1"/>
  <c r="AL81" i="1"/>
  <c r="AO81" i="1"/>
  <c r="AQ81" i="1" s="1"/>
  <c r="AP36" i="1"/>
  <c r="AL36" i="1"/>
  <c r="AO36" i="1"/>
  <c r="AQ36" i="1" s="1"/>
  <c r="AO48" i="1"/>
  <c r="AP48" i="1"/>
  <c r="AL48" i="1"/>
  <c r="AO95" i="1"/>
  <c r="AP95" i="1"/>
  <c r="AL95" i="1"/>
  <c r="AN96" i="1" s="1"/>
  <c r="AO91" i="1"/>
  <c r="AL91" i="1"/>
  <c r="AP91" i="1"/>
  <c r="AO73" i="1"/>
  <c r="AQ73" i="1" s="1"/>
  <c r="AL73" i="1"/>
  <c r="AP73" i="1"/>
  <c r="AL92" i="1"/>
  <c r="AP92" i="1"/>
  <c r="AO92" i="1"/>
  <c r="AQ92" i="1" s="1"/>
  <c r="AL93" i="1"/>
  <c r="AO93" i="1"/>
  <c r="AP93" i="1"/>
  <c r="AL30" i="1"/>
  <c r="AO30" i="1"/>
  <c r="AQ30" i="1" s="1"/>
  <c r="AP30" i="1"/>
  <c r="AL23" i="1"/>
  <c r="AP23" i="1"/>
  <c r="AO23" i="1"/>
  <c r="AQ23" i="1" s="1"/>
  <c r="AL163" i="1"/>
  <c r="AP163" i="1"/>
  <c r="AO163" i="1"/>
  <c r="AQ163" i="1" s="1"/>
  <c r="AP87" i="1"/>
  <c r="AL87" i="1"/>
  <c r="AN88" i="1" s="1"/>
  <c r="AO87" i="1"/>
  <c r="AQ87" i="1" s="1"/>
  <c r="BE87" i="1" s="1"/>
  <c r="AP69" i="1"/>
  <c r="AL69" i="1"/>
  <c r="AO69" i="1"/>
  <c r="AQ69" i="1" s="1"/>
  <c r="AP60" i="1"/>
  <c r="AL60" i="1"/>
  <c r="AN61" i="1" s="1"/>
  <c r="AO60" i="1"/>
  <c r="AQ60" i="1" s="1"/>
  <c r="AP32" i="1"/>
  <c r="AO32" i="1"/>
  <c r="AQ32" i="1" s="1"/>
  <c r="AL32" i="1"/>
  <c r="AQ50" i="1"/>
  <c r="AO175" i="1"/>
  <c r="AQ175" i="1" s="1"/>
  <c r="AP175" i="1"/>
  <c r="AL175" i="1"/>
  <c r="AO142" i="1"/>
  <c r="AL142" i="1"/>
  <c r="AP142" i="1"/>
  <c r="AO143" i="1"/>
  <c r="AQ143" i="1" s="1"/>
  <c r="AL143" i="1"/>
  <c r="AP143" i="1"/>
  <c r="AO144" i="1"/>
  <c r="AQ144" i="1" s="1"/>
  <c r="AP144" i="1"/>
  <c r="AL144" i="1"/>
  <c r="AW145" i="1"/>
  <c r="AZ145" i="1"/>
  <c r="BA145" i="1"/>
  <c r="BA32" i="1"/>
  <c r="AW32" i="1"/>
  <c r="AZ32" i="1"/>
  <c r="AZ56" i="1"/>
  <c r="BA56" i="1"/>
  <c r="AW56" i="1"/>
  <c r="AW45" i="1"/>
  <c r="AZ45" i="1"/>
  <c r="BA45" i="1"/>
  <c r="AW31" i="1"/>
  <c r="BA31" i="1"/>
  <c r="AZ31" i="1"/>
  <c r="BB31" i="1" s="1"/>
  <c r="BA25" i="1"/>
  <c r="AZ25" i="1"/>
  <c r="BB25" i="1" s="1"/>
  <c r="AW25" i="1"/>
  <c r="AY26" i="1" s="1"/>
  <c r="AZ160" i="1"/>
  <c r="AW160" i="1"/>
  <c r="BA160" i="1"/>
  <c r="AW157" i="1"/>
  <c r="AZ157" i="1"/>
  <c r="BA157" i="1"/>
  <c r="AZ89" i="1"/>
  <c r="BA89" i="1"/>
  <c r="AW89" i="1"/>
  <c r="BA85" i="1"/>
  <c r="AW85" i="1"/>
  <c r="AZ85" i="1"/>
  <c r="AZ66" i="1"/>
  <c r="BA66" i="1"/>
  <c r="AW66" i="1"/>
  <c r="AZ63" i="1"/>
  <c r="BA63" i="1"/>
  <c r="AW63" i="1"/>
  <c r="BA94" i="1"/>
  <c r="AW94" i="1"/>
  <c r="AZ94" i="1"/>
  <c r="AZ90" i="1"/>
  <c r="BA90" i="1"/>
  <c r="AW90" i="1"/>
  <c r="AY91" i="1" s="1"/>
  <c r="BA88" i="1"/>
  <c r="AW88" i="1"/>
  <c r="AZ88" i="1"/>
  <c r="BB88" i="1" s="1"/>
  <c r="AW78" i="1"/>
  <c r="AZ78" i="1"/>
  <c r="BA78" i="1"/>
  <c r="AW93" i="1"/>
  <c r="BA93" i="1"/>
  <c r="AZ93" i="1"/>
  <c r="BA77" i="1"/>
  <c r="AZ77" i="1"/>
  <c r="AW77" i="1"/>
  <c r="AW96" i="1"/>
  <c r="BA96" i="1"/>
  <c r="AZ96" i="1"/>
  <c r="BB96" i="1" s="1"/>
  <c r="AZ86" i="1"/>
  <c r="BA86" i="1"/>
  <c r="AW86" i="1"/>
  <c r="BA161" i="1"/>
  <c r="AZ161" i="1"/>
  <c r="BB161" i="1" s="1"/>
  <c r="AW161" i="1"/>
  <c r="AZ84" i="1"/>
  <c r="BA84" i="1"/>
  <c r="AW84" i="1"/>
  <c r="AW61" i="1"/>
  <c r="BA61" i="1"/>
  <c r="BB61" i="1" s="1"/>
  <c r="AZ68" i="1"/>
  <c r="AW68" i="1"/>
  <c r="BA68" i="1"/>
  <c r="AZ164" i="1"/>
  <c r="BA164" i="1"/>
  <c r="AW164" i="1"/>
  <c r="AY165" i="1" s="1"/>
  <c r="BA82" i="1"/>
  <c r="AZ82" i="1"/>
  <c r="BB82" i="1" s="1"/>
  <c r="AW82" i="1"/>
  <c r="BB156" i="1"/>
  <c r="BB67" i="1"/>
  <c r="BA138" i="1"/>
  <c r="AZ138" i="1"/>
  <c r="BB138" i="1" s="1"/>
  <c r="AW138" i="1"/>
  <c r="AY139" i="1" s="1"/>
  <c r="AZ24" i="1"/>
  <c r="AW24" i="1"/>
  <c r="BA24" i="1"/>
  <c r="AW33" i="1"/>
  <c r="AZ33" i="1"/>
  <c r="BA33" i="1"/>
  <c r="BA158" i="1"/>
  <c r="AZ158" i="1"/>
  <c r="AW158" i="1"/>
  <c r="AW147" i="1"/>
  <c r="AZ147" i="1"/>
  <c r="BA147" i="1"/>
  <c r="AZ83" i="1"/>
  <c r="AW83" i="1"/>
  <c r="BA83" i="1"/>
  <c r="AW53" i="1"/>
  <c r="AZ53" i="1"/>
  <c r="BA53" i="1"/>
  <c r="AZ69" i="1"/>
  <c r="BA69" i="1"/>
  <c r="AW69" i="1"/>
  <c r="BA55" i="1"/>
  <c r="AZ55" i="1"/>
  <c r="BB55" i="1" s="1"/>
  <c r="AW55" i="1"/>
  <c r="BA74" i="1"/>
  <c r="AW74" i="1"/>
  <c r="AZ74" i="1"/>
  <c r="AW64" i="1"/>
  <c r="AZ64" i="1"/>
  <c r="BA64" i="1"/>
  <c r="BA162" i="1"/>
  <c r="AZ162" i="1"/>
  <c r="AW162" i="1"/>
  <c r="AW62" i="1"/>
  <c r="BA62" i="1"/>
  <c r="AZ62" i="1"/>
  <c r="BB62" i="1" s="1"/>
  <c r="AZ23" i="1"/>
  <c r="BA23" i="1"/>
  <c r="AW23" i="1"/>
  <c r="BA50" i="1"/>
  <c r="AZ50" i="1"/>
  <c r="AW50" i="1"/>
  <c r="BA48" i="1"/>
  <c r="AW48" i="1"/>
  <c r="AZ48" i="1"/>
  <c r="BA34" i="1"/>
  <c r="AW34" i="1"/>
  <c r="AY35" i="1" s="1"/>
  <c r="AZ34" i="1"/>
  <c r="BA65" i="1"/>
  <c r="AZ65" i="1"/>
  <c r="BB65" i="1" s="1"/>
  <c r="AW65" i="1"/>
  <c r="AW70" i="1"/>
  <c r="AY71" i="1" s="1"/>
  <c r="AZ70" i="1"/>
  <c r="BA70" i="1"/>
  <c r="BB77" i="1"/>
  <c r="BB56" i="1"/>
  <c r="BB164" i="1"/>
  <c r="AQ106" i="1"/>
  <c r="AQ95" i="1"/>
  <c r="AQ126" i="1"/>
  <c r="BB163" i="1"/>
  <c r="BB94" i="1"/>
  <c r="AZ148" i="1"/>
  <c r="BA148" i="1"/>
  <c r="AW148" i="1"/>
  <c r="BA95" i="1"/>
  <c r="AW95" i="1"/>
  <c r="AZ95" i="1"/>
  <c r="BB95" i="1" s="1"/>
  <c r="BE95" i="1" s="1"/>
  <c r="BA150" i="1"/>
  <c r="AW150" i="1"/>
  <c r="AZ150" i="1"/>
  <c r="BB150" i="1" s="1"/>
  <c r="BB98" i="1"/>
  <c r="BE94" i="1"/>
  <c r="BE164" i="1"/>
  <c r="BB60" i="1"/>
  <c r="BB23" i="1"/>
  <c r="BE23" i="1" s="1"/>
  <c r="BE103" i="1"/>
  <c r="AQ117" i="1"/>
  <c r="AO147" i="1"/>
  <c r="AL147" i="1"/>
  <c r="AN148" i="1" s="1"/>
  <c r="AP147" i="1"/>
  <c r="AQ147" i="1" s="1"/>
  <c r="BB70" i="1"/>
  <c r="BE67" i="1"/>
  <c r="BB162" i="1"/>
  <c r="BE138" i="1"/>
  <c r="BB73" i="1"/>
  <c r="BE161" i="1"/>
  <c r="AQ28" i="1"/>
  <c r="AQ91" i="1"/>
  <c r="BB86" i="1"/>
  <c r="BB78" i="1"/>
  <c r="BE47" i="1"/>
  <c r="BB46" i="1"/>
  <c r="BE81" i="1"/>
  <c r="BB84" i="1"/>
  <c r="BB83" i="1"/>
  <c r="BE72" i="1"/>
  <c r="BB32" i="1"/>
  <c r="BE32" i="1" s="1"/>
  <c r="AQ86" i="1"/>
  <c r="BE86" i="1" s="1"/>
  <c r="AQ83" i="1"/>
  <c r="BE83" i="1" s="1"/>
  <c r="AQ84" i="1"/>
  <c r="AZ130" i="1"/>
  <c r="BA130" i="1"/>
  <c r="AW130" i="1"/>
  <c r="AY131" i="1" s="1"/>
  <c r="AW122" i="1"/>
  <c r="AY123" i="1" s="1"/>
  <c r="BA122" i="1"/>
  <c r="AZ122" i="1"/>
  <c r="BB122" i="1" s="1"/>
  <c r="BA109" i="1"/>
  <c r="AZ109" i="1"/>
  <c r="AW109" i="1"/>
  <c r="AY110" i="1" s="1"/>
  <c r="AW104" i="1"/>
  <c r="AY105" i="1" s="1"/>
  <c r="AZ104" i="1"/>
  <c r="BA104" i="1"/>
  <c r="AZ99" i="1"/>
  <c r="AW99" i="1"/>
  <c r="AY100" i="1" s="1"/>
  <c r="BA99" i="1"/>
  <c r="AW26" i="1"/>
  <c r="AY27" i="1" s="1"/>
  <c r="AZ26" i="1"/>
  <c r="BA26" i="1"/>
  <c r="AP25" i="1"/>
  <c r="AL25" i="1"/>
  <c r="AO25" i="1"/>
  <c r="AQ25" i="1" s="1"/>
  <c r="BE25" i="1" s="1"/>
  <c r="AQ176" i="1"/>
  <c r="AQ174" i="1"/>
  <c r="AQ173" i="1"/>
  <c r="AQ171" i="1"/>
  <c r="AQ170" i="1"/>
  <c r="AQ167" i="1"/>
  <c r="AQ166" i="1"/>
  <c r="AQ162" i="1"/>
  <c r="BB160" i="1"/>
  <c r="BB159" i="1"/>
  <c r="BB157" i="1"/>
  <c r="BB155" i="1"/>
  <c r="BB154" i="1"/>
  <c r="BB153" i="1"/>
  <c r="BB151" i="1"/>
  <c r="BB149" i="1"/>
  <c r="BB146" i="1"/>
  <c r="BB145" i="1"/>
  <c r="BE145" i="1" s="1"/>
  <c r="AQ141" i="1"/>
  <c r="AQ140" i="1"/>
  <c r="AQ137" i="1"/>
  <c r="AQ135" i="1"/>
  <c r="AQ134" i="1"/>
  <c r="AQ129" i="1"/>
  <c r="BE129" i="1" s="1"/>
  <c r="AQ127" i="1"/>
  <c r="AQ124" i="1"/>
  <c r="BB121" i="1"/>
  <c r="AQ121" i="1"/>
  <c r="AQ118" i="1"/>
  <c r="AQ116" i="1"/>
  <c r="AQ113" i="1"/>
  <c r="AQ112" i="1"/>
  <c r="AQ111" i="1"/>
  <c r="AQ110" i="1"/>
  <c r="BB108" i="1"/>
  <c r="BE108" i="1" s="1"/>
  <c r="AQ107" i="1"/>
  <c r="AQ104" i="1"/>
  <c r="AQ102" i="1"/>
  <c r="AQ100" i="1"/>
  <c r="AQ99" i="1"/>
  <c r="BB93" i="1"/>
  <c r="AQ82" i="1"/>
  <c r="BB74" i="1"/>
  <c r="AQ55" i="1"/>
  <c r="BE55" i="1" s="1"/>
  <c r="BB54" i="1"/>
  <c r="AQ52" i="1"/>
  <c r="BE52" i="1" s="1"/>
  <c r="BB50" i="1"/>
  <c r="BB48" i="1"/>
  <c r="BB45" i="1"/>
  <c r="BB44" i="1"/>
  <c r="AQ43" i="1"/>
  <c r="AQ40" i="1"/>
  <c r="AQ38" i="1"/>
  <c r="AQ37" i="1"/>
  <c r="AQ35" i="1"/>
  <c r="BB34" i="1"/>
  <c r="BE34" i="1" s="1"/>
  <c r="BB33" i="1"/>
  <c r="AQ33" i="1"/>
  <c r="AQ31" i="1"/>
  <c r="BE31" i="1" s="1"/>
  <c r="AQ29" i="1"/>
  <c r="AQ27" i="1"/>
  <c r="AQ26" i="1"/>
  <c r="BB24" i="1"/>
  <c r="BE24" i="1" s="1"/>
  <c r="BB22" i="1"/>
  <c r="AQ22" i="1"/>
  <c r="BB75" i="1"/>
  <c r="BB85" i="1"/>
  <c r="BE85" i="1" s="1"/>
  <c r="BB76" i="1"/>
  <c r="AQ68" i="1"/>
  <c r="AQ58" i="1"/>
  <c r="BE58" i="1" s="1"/>
  <c r="BB79" i="1"/>
  <c r="AQ59" i="1"/>
  <c r="BB59" i="1"/>
  <c r="AQ49" i="1" l="1"/>
  <c r="BE49" i="1" s="1"/>
  <c r="AQ93" i="1"/>
  <c r="AQ105" i="1"/>
  <c r="AO56" i="1"/>
  <c r="AL56" i="1"/>
  <c r="AN57" i="1" s="1"/>
  <c r="AP56" i="1"/>
  <c r="AP54" i="1"/>
  <c r="AO54" i="1"/>
  <c r="AQ54" i="1" s="1"/>
  <c r="BE54" i="1" s="1"/>
  <c r="AL54" i="1"/>
  <c r="AL75" i="1"/>
  <c r="AN76" i="1" s="1"/>
  <c r="AO75" i="1"/>
  <c r="AP75" i="1"/>
  <c r="AO46" i="1"/>
  <c r="AL46" i="1"/>
  <c r="AP46" i="1"/>
  <c r="AL96" i="1"/>
  <c r="AN97" i="1" s="1"/>
  <c r="AP96" i="1"/>
  <c r="AO96" i="1"/>
  <c r="AQ96" i="1" s="1"/>
  <c r="BE96" i="1" s="1"/>
  <c r="AP88" i="1"/>
  <c r="AO88" i="1"/>
  <c r="AQ88" i="1" s="1"/>
  <c r="BE88" i="1" s="1"/>
  <c r="AL88" i="1"/>
  <c r="AN89" i="1" s="1"/>
  <c r="AQ109" i="1"/>
  <c r="AQ70" i="1"/>
  <c r="BE70" i="1" s="1"/>
  <c r="AQ45" i="1"/>
  <c r="BE45" i="1" s="1"/>
  <c r="AQ39" i="1"/>
  <c r="AQ48" i="1"/>
  <c r="BE48" i="1" s="1"/>
  <c r="BE122" i="1"/>
  <c r="BE146" i="1"/>
  <c r="BE50" i="1"/>
  <c r="AO66" i="1"/>
  <c r="AP66" i="1"/>
  <c r="AL66" i="1"/>
  <c r="AO61" i="1"/>
  <c r="AP61" i="1"/>
  <c r="AL61" i="1"/>
  <c r="AN62" i="1" s="1"/>
  <c r="AQ142" i="1"/>
  <c r="BB66" i="1"/>
  <c r="BB63" i="1"/>
  <c r="BB64" i="1"/>
  <c r="AW91" i="1"/>
  <c r="AY92" i="1" s="1"/>
  <c r="AZ91" i="1"/>
  <c r="BA91" i="1"/>
  <c r="BE84" i="1"/>
  <c r="BB89" i="1"/>
  <c r="BB90" i="1"/>
  <c r="BB68" i="1"/>
  <c r="BE68" i="1" s="1"/>
  <c r="AZ165" i="1"/>
  <c r="BA165" i="1"/>
  <c r="AW165" i="1"/>
  <c r="AY166" i="1" s="1"/>
  <c r="AZ139" i="1"/>
  <c r="BA139" i="1"/>
  <c r="AW139" i="1"/>
  <c r="AY140" i="1" s="1"/>
  <c r="AZ105" i="1"/>
  <c r="BA105" i="1"/>
  <c r="AW105" i="1"/>
  <c r="AY106" i="1" s="1"/>
  <c r="BA35" i="1"/>
  <c r="AZ35" i="1"/>
  <c r="AW35" i="1"/>
  <c r="AY36" i="1" s="1"/>
  <c r="BB69" i="1"/>
  <c r="BE69" i="1" s="1"/>
  <c r="AZ71" i="1"/>
  <c r="AW71" i="1"/>
  <c r="BA71" i="1"/>
  <c r="BB158" i="1"/>
  <c r="BB147" i="1"/>
  <c r="BE147" i="1" s="1"/>
  <c r="BB53" i="1"/>
  <c r="BE53" i="1" s="1"/>
  <c r="BE163" i="1"/>
  <c r="BE73" i="1"/>
  <c r="BE60" i="1"/>
  <c r="BB109" i="1"/>
  <c r="BE109" i="1" s="1"/>
  <c r="BE162" i="1"/>
  <c r="BE82" i="1"/>
  <c r="BE74" i="1"/>
  <c r="AL148" i="1"/>
  <c r="AN149" i="1" s="1"/>
  <c r="AP148" i="1"/>
  <c r="AO148" i="1"/>
  <c r="AQ148" i="1" s="1"/>
  <c r="BB148" i="1"/>
  <c r="BB35" i="1"/>
  <c r="BE35" i="1" s="1"/>
  <c r="BE121" i="1"/>
  <c r="BE33" i="1"/>
  <c r="BE93" i="1"/>
  <c r="BE59" i="1"/>
  <c r="BB104" i="1"/>
  <c r="BE104" i="1" s="1"/>
  <c r="AQ66" i="1"/>
  <c r="BE66" i="1" s="1"/>
  <c r="BB26" i="1"/>
  <c r="BE26" i="1" s="1"/>
  <c r="BA131" i="1"/>
  <c r="AW131" i="1"/>
  <c r="AY132" i="1" s="1"/>
  <c r="AZ131" i="1"/>
  <c r="BB131" i="1" s="1"/>
  <c r="BE131" i="1" s="1"/>
  <c r="AZ123" i="1"/>
  <c r="AW123" i="1"/>
  <c r="AY124" i="1" s="1"/>
  <c r="BA123" i="1"/>
  <c r="BA110" i="1"/>
  <c r="AW110" i="1"/>
  <c r="AY111" i="1" s="1"/>
  <c r="AZ110" i="1"/>
  <c r="BB110" i="1" s="1"/>
  <c r="BE110" i="1" s="1"/>
  <c r="AZ100" i="1"/>
  <c r="BA100" i="1"/>
  <c r="AW100" i="1"/>
  <c r="AY101" i="1" s="1"/>
  <c r="AZ27" i="1"/>
  <c r="BA27" i="1"/>
  <c r="AW27" i="1"/>
  <c r="AY28" i="1" s="1"/>
  <c r="BC22" i="1"/>
  <c r="BC23" i="1" s="1"/>
  <c r="BC24" i="1" s="1"/>
  <c r="BC25" i="1" s="1"/>
  <c r="BE22" i="1"/>
  <c r="AR22" i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BB130" i="1"/>
  <c r="BE130" i="1" s="1"/>
  <c r="BB99" i="1"/>
  <c r="BE99" i="1" s="1"/>
  <c r="AQ61" i="1"/>
  <c r="BB165" i="1"/>
  <c r="BE165" i="1" s="1"/>
  <c r="BB139" i="1"/>
  <c r="BE139" i="1" s="1"/>
  <c r="AL57" i="1" l="1"/>
  <c r="AO57" i="1"/>
  <c r="AP57" i="1"/>
  <c r="AO76" i="1"/>
  <c r="AL76" i="1"/>
  <c r="AN77" i="1" s="1"/>
  <c r="AP76" i="1"/>
  <c r="AL97" i="1"/>
  <c r="AN98" i="1" s="1"/>
  <c r="AO97" i="1"/>
  <c r="AP97" i="1"/>
  <c r="AO89" i="1"/>
  <c r="AL89" i="1"/>
  <c r="AN90" i="1" s="1"/>
  <c r="AP89" i="1"/>
  <c r="AP62" i="1"/>
  <c r="AL62" i="1"/>
  <c r="AN63" i="1" s="1"/>
  <c r="AO62" i="1"/>
  <c r="AQ62" i="1" s="1"/>
  <c r="BE62" i="1" s="1"/>
  <c r="AQ56" i="1"/>
  <c r="BE56" i="1" s="1"/>
  <c r="AQ75" i="1"/>
  <c r="BE75" i="1" s="1"/>
  <c r="AQ46" i="1"/>
  <c r="BE148" i="1"/>
  <c r="BA140" i="1"/>
  <c r="AZ140" i="1"/>
  <c r="BB140" i="1" s="1"/>
  <c r="BE140" i="1" s="1"/>
  <c r="AW140" i="1"/>
  <c r="AY141" i="1" s="1"/>
  <c r="BA36" i="1"/>
  <c r="AW36" i="1"/>
  <c r="AY37" i="1" s="1"/>
  <c r="AZ36" i="1"/>
  <c r="BB36" i="1" s="1"/>
  <c r="BE36" i="1" s="1"/>
  <c r="AW92" i="1"/>
  <c r="AZ92" i="1"/>
  <c r="BA92" i="1"/>
  <c r="BA166" i="1"/>
  <c r="AW166" i="1"/>
  <c r="AY167" i="1" s="1"/>
  <c r="AZ166" i="1"/>
  <c r="BB166" i="1" s="1"/>
  <c r="BE166" i="1" s="1"/>
  <c r="BA106" i="1"/>
  <c r="AW106" i="1"/>
  <c r="AY107" i="1" s="1"/>
  <c r="AZ106" i="1"/>
  <c r="BB106" i="1" s="1"/>
  <c r="BE106" i="1" s="1"/>
  <c r="BB91" i="1"/>
  <c r="BE91" i="1" s="1"/>
  <c r="BB105" i="1"/>
  <c r="BE105" i="1" s="1"/>
  <c r="AZ28" i="1"/>
  <c r="AW28" i="1"/>
  <c r="AY29" i="1" s="1"/>
  <c r="BA28" i="1"/>
  <c r="BB71" i="1"/>
  <c r="BE71" i="1" s="1"/>
  <c r="AP149" i="1"/>
  <c r="AL149" i="1"/>
  <c r="AN150" i="1" s="1"/>
  <c r="AO149" i="1"/>
  <c r="AQ149" i="1" s="1"/>
  <c r="BE149" i="1" s="1"/>
  <c r="BC26" i="1"/>
  <c r="AW141" i="1"/>
  <c r="AY142" i="1" s="1"/>
  <c r="AZ141" i="1"/>
  <c r="BA141" i="1"/>
  <c r="AW132" i="1"/>
  <c r="AY133" i="1" s="1"/>
  <c r="BA132" i="1"/>
  <c r="AZ132" i="1"/>
  <c r="BB132" i="1" s="1"/>
  <c r="BE132" i="1" s="1"/>
  <c r="AZ124" i="1"/>
  <c r="AW124" i="1"/>
  <c r="AY125" i="1" s="1"/>
  <c r="BA124" i="1"/>
  <c r="BA111" i="1"/>
  <c r="AZ111" i="1"/>
  <c r="BB111" i="1" s="1"/>
  <c r="BE111" i="1" s="1"/>
  <c r="AW111" i="1"/>
  <c r="AY112" i="1" s="1"/>
  <c r="AZ101" i="1"/>
  <c r="BA101" i="1"/>
  <c r="AW101" i="1"/>
  <c r="AY102" i="1" s="1"/>
  <c r="AW37" i="1"/>
  <c r="AY38" i="1" s="1"/>
  <c r="AZ37" i="1"/>
  <c r="BA37" i="1"/>
  <c r="BF22" i="1"/>
  <c r="BF23" i="1" s="1"/>
  <c r="BF24" i="1" s="1"/>
  <c r="BF25" i="1" s="1"/>
  <c r="BF26" i="1" s="1"/>
  <c r="BB123" i="1"/>
  <c r="BE123" i="1" s="1"/>
  <c r="BB100" i="1"/>
  <c r="BE100" i="1" s="1"/>
  <c r="BB27" i="1"/>
  <c r="BE61" i="1"/>
  <c r="AP77" i="1" l="1"/>
  <c r="AL77" i="1"/>
  <c r="AN78" i="1" s="1"/>
  <c r="AO77" i="1"/>
  <c r="AQ77" i="1" s="1"/>
  <c r="AO98" i="1"/>
  <c r="AL98" i="1"/>
  <c r="AP98" i="1"/>
  <c r="AL90" i="1"/>
  <c r="AP90" i="1"/>
  <c r="AO90" i="1"/>
  <c r="AQ90" i="1" s="1"/>
  <c r="BE90" i="1" s="1"/>
  <c r="AP63" i="1"/>
  <c r="AL63" i="1"/>
  <c r="AN64" i="1" s="1"/>
  <c r="AO63" i="1"/>
  <c r="AQ63" i="1" s="1"/>
  <c r="BE63" i="1" s="1"/>
  <c r="AR46" i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BE46" i="1"/>
  <c r="AQ57" i="1"/>
  <c r="BE57" i="1" s="1"/>
  <c r="AQ76" i="1"/>
  <c r="BE76" i="1" s="1"/>
  <c r="AQ97" i="1"/>
  <c r="BE97" i="1" s="1"/>
  <c r="AQ89" i="1"/>
  <c r="BE89" i="1" s="1"/>
  <c r="AO150" i="1"/>
  <c r="AL150" i="1"/>
  <c r="AN151" i="1" s="1"/>
  <c r="AP150" i="1"/>
  <c r="AZ167" i="1"/>
  <c r="BA167" i="1"/>
  <c r="AW167" i="1"/>
  <c r="AY168" i="1" s="1"/>
  <c r="BA107" i="1"/>
  <c r="AZ107" i="1"/>
  <c r="BB107" i="1" s="1"/>
  <c r="BE107" i="1" s="1"/>
  <c r="AW107" i="1"/>
  <c r="BA29" i="1"/>
  <c r="AZ29" i="1"/>
  <c r="BB29" i="1" s="1"/>
  <c r="BE29" i="1" s="1"/>
  <c r="AW29" i="1"/>
  <c r="AY30" i="1" s="1"/>
  <c r="BB92" i="1"/>
  <c r="BE92" i="1" s="1"/>
  <c r="BB28" i="1"/>
  <c r="BE28" i="1" s="1"/>
  <c r="AZ38" i="1"/>
  <c r="BA38" i="1"/>
  <c r="AW38" i="1"/>
  <c r="AY39" i="1" s="1"/>
  <c r="AW142" i="1"/>
  <c r="AY143" i="1" s="1"/>
  <c r="BA142" i="1"/>
  <c r="AZ142" i="1"/>
  <c r="AW133" i="1"/>
  <c r="AY134" i="1" s="1"/>
  <c r="AZ133" i="1"/>
  <c r="BA133" i="1"/>
  <c r="BA125" i="1"/>
  <c r="AW125" i="1"/>
  <c r="AY126" i="1" s="1"/>
  <c r="AZ125" i="1"/>
  <c r="AZ112" i="1"/>
  <c r="BA112" i="1"/>
  <c r="AW112" i="1"/>
  <c r="AY113" i="1" s="1"/>
  <c r="AZ102" i="1"/>
  <c r="AW102" i="1"/>
  <c r="BA102" i="1"/>
  <c r="BE77" i="1"/>
  <c r="BC27" i="1"/>
  <c r="BC28" i="1" s="1"/>
  <c r="BC29" i="1" s="1"/>
  <c r="BE27" i="1"/>
  <c r="BB141" i="1"/>
  <c r="BE141" i="1" s="1"/>
  <c r="BB101" i="1"/>
  <c r="BE101" i="1" s="1"/>
  <c r="BB37" i="1"/>
  <c r="BB124" i="1"/>
  <c r="BE124" i="1" s="1"/>
  <c r="AP78" i="1" l="1"/>
  <c r="AL78" i="1"/>
  <c r="AN79" i="1" s="1"/>
  <c r="AO78" i="1"/>
  <c r="AQ78" i="1" s="1"/>
  <c r="AP64" i="1"/>
  <c r="AL64" i="1"/>
  <c r="AO64" i="1"/>
  <c r="AQ64" i="1" s="1"/>
  <c r="BE64" i="1" s="1"/>
  <c r="AO151" i="1"/>
  <c r="AP151" i="1"/>
  <c r="AL151" i="1"/>
  <c r="AN152" i="1" s="1"/>
  <c r="AQ98" i="1"/>
  <c r="BE98" i="1" s="1"/>
  <c r="AR57" i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Q150" i="1"/>
  <c r="BE150" i="1" s="1"/>
  <c r="BA168" i="1"/>
  <c r="AW168" i="1"/>
  <c r="AY169" i="1" s="1"/>
  <c r="AZ168" i="1"/>
  <c r="BB168" i="1" s="1"/>
  <c r="BE168" i="1" s="1"/>
  <c r="AZ30" i="1"/>
  <c r="AW30" i="1"/>
  <c r="BA30" i="1"/>
  <c r="BA39" i="1"/>
  <c r="AZ39" i="1"/>
  <c r="BB39" i="1" s="1"/>
  <c r="BE39" i="1" s="1"/>
  <c r="AW39" i="1"/>
  <c r="AY40" i="1" s="1"/>
  <c r="BB167" i="1"/>
  <c r="BE167" i="1" s="1"/>
  <c r="BB38" i="1"/>
  <c r="BE38" i="1" s="1"/>
  <c r="BB142" i="1"/>
  <c r="BE142" i="1" s="1"/>
  <c r="AW143" i="1"/>
  <c r="AY144" i="1" s="1"/>
  <c r="AZ143" i="1"/>
  <c r="BA143" i="1"/>
  <c r="BB133" i="1"/>
  <c r="BE133" i="1" s="1"/>
  <c r="BB125" i="1"/>
  <c r="BE125" i="1" s="1"/>
  <c r="AR78" i="1"/>
  <c r="BA134" i="1"/>
  <c r="AZ134" i="1"/>
  <c r="BB134" i="1" s="1"/>
  <c r="BE134" i="1" s="1"/>
  <c r="AW134" i="1"/>
  <c r="AY135" i="1" s="1"/>
  <c r="BA126" i="1"/>
  <c r="AZ126" i="1"/>
  <c r="BB126" i="1" s="1"/>
  <c r="BE126" i="1" s="1"/>
  <c r="AW126" i="1"/>
  <c r="AY127" i="1" s="1"/>
  <c r="BA113" i="1"/>
  <c r="AW113" i="1"/>
  <c r="AY114" i="1" s="1"/>
  <c r="AZ113" i="1"/>
  <c r="BB113" i="1" s="1"/>
  <c r="BE113" i="1" s="1"/>
  <c r="BF27" i="1"/>
  <c r="BF28" i="1" s="1"/>
  <c r="BF29" i="1" s="1"/>
  <c r="BE78" i="1"/>
  <c r="BB112" i="1"/>
  <c r="BE112" i="1" s="1"/>
  <c r="BB102" i="1"/>
  <c r="BE102" i="1" s="1"/>
  <c r="BE37" i="1"/>
  <c r="AP79" i="1" l="1"/>
  <c r="AL79" i="1"/>
  <c r="AN80" i="1" s="1"/>
  <c r="AO79" i="1"/>
  <c r="AQ79" i="1" s="1"/>
  <c r="AL152" i="1"/>
  <c r="AN153" i="1" s="1"/>
  <c r="AO152" i="1"/>
  <c r="AP152" i="1"/>
  <c r="AQ151" i="1"/>
  <c r="BE151" i="1" s="1"/>
  <c r="AW169" i="1"/>
  <c r="AY170" i="1" s="1"/>
  <c r="AZ169" i="1"/>
  <c r="BA169" i="1"/>
  <c r="BA40" i="1"/>
  <c r="AW40" i="1"/>
  <c r="AY41" i="1" s="1"/>
  <c r="AZ40" i="1"/>
  <c r="BB40" i="1" s="1"/>
  <c r="BE40" i="1" s="1"/>
  <c r="AZ144" i="1"/>
  <c r="AW144" i="1"/>
  <c r="BA144" i="1"/>
  <c r="BB30" i="1"/>
  <c r="BB143" i="1"/>
  <c r="BE143" i="1" s="1"/>
  <c r="BA135" i="1"/>
  <c r="AW135" i="1"/>
  <c r="AY136" i="1" s="1"/>
  <c r="AZ135" i="1"/>
  <c r="BB135" i="1" s="1"/>
  <c r="BE135" i="1" s="1"/>
  <c r="BA127" i="1"/>
  <c r="AZ127" i="1"/>
  <c r="AW127" i="1"/>
  <c r="AY128" i="1" s="1"/>
  <c r="AW114" i="1"/>
  <c r="AY115" i="1" s="1"/>
  <c r="AZ114" i="1"/>
  <c r="BA114" i="1"/>
  <c r="AR79" i="1" l="1"/>
  <c r="BE79" i="1"/>
  <c r="AL80" i="1"/>
  <c r="AO80" i="1"/>
  <c r="AP80" i="1"/>
  <c r="AP153" i="1"/>
  <c r="AO153" i="1"/>
  <c r="AQ153" i="1" s="1"/>
  <c r="BE153" i="1" s="1"/>
  <c r="AL153" i="1"/>
  <c r="AN154" i="1" s="1"/>
  <c r="AQ152" i="1"/>
  <c r="BE152" i="1" s="1"/>
  <c r="AZ170" i="1"/>
  <c r="AW170" i="1"/>
  <c r="AY171" i="1" s="1"/>
  <c r="BA170" i="1"/>
  <c r="AZ41" i="1"/>
  <c r="AW41" i="1"/>
  <c r="AY42" i="1" s="1"/>
  <c r="BA41" i="1"/>
  <c r="BE30" i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C30" i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AW136" i="1"/>
  <c r="AY137" i="1" s="1"/>
  <c r="AZ136" i="1"/>
  <c r="BA136" i="1"/>
  <c r="BB169" i="1"/>
  <c r="BE169" i="1" s="1"/>
  <c r="BB144" i="1"/>
  <c r="BE144" i="1" s="1"/>
  <c r="BA115" i="1"/>
  <c r="AW115" i="1"/>
  <c r="AY116" i="1" s="1"/>
  <c r="AZ115" i="1"/>
  <c r="BB115" i="1" s="1"/>
  <c r="BE115" i="1" s="1"/>
  <c r="BB127" i="1"/>
  <c r="BE127" i="1" s="1"/>
  <c r="AW128" i="1"/>
  <c r="AZ128" i="1"/>
  <c r="BA128" i="1"/>
  <c r="BB114" i="1"/>
  <c r="AP154" i="1" l="1"/>
  <c r="AO154" i="1"/>
  <c r="AQ154" i="1" s="1"/>
  <c r="BE154" i="1" s="1"/>
  <c r="AL154" i="1"/>
  <c r="AN155" i="1" s="1"/>
  <c r="AQ80" i="1"/>
  <c r="BA171" i="1"/>
  <c r="AZ171" i="1"/>
  <c r="BB171" i="1" s="1"/>
  <c r="BE171" i="1" s="1"/>
  <c r="AW171" i="1"/>
  <c r="AY172" i="1" s="1"/>
  <c r="AW42" i="1"/>
  <c r="AY43" i="1" s="1"/>
  <c r="AZ42" i="1"/>
  <c r="BA42" i="1"/>
  <c r="BA137" i="1"/>
  <c r="AW137" i="1"/>
  <c r="AZ137" i="1"/>
  <c r="BB137" i="1" s="1"/>
  <c r="BE137" i="1" s="1"/>
  <c r="AW116" i="1"/>
  <c r="AY117" i="1" s="1"/>
  <c r="BA116" i="1"/>
  <c r="AZ116" i="1"/>
  <c r="BB116" i="1" s="1"/>
  <c r="BE116" i="1" s="1"/>
  <c r="BB170" i="1"/>
  <c r="BE170" i="1" s="1"/>
  <c r="BB41" i="1"/>
  <c r="BB136" i="1"/>
  <c r="BE136" i="1" s="1"/>
  <c r="BE114" i="1"/>
  <c r="BB128" i="1"/>
  <c r="BE128" i="1" s="1"/>
  <c r="AO155" i="1" l="1"/>
  <c r="AP155" i="1"/>
  <c r="AL155" i="1"/>
  <c r="AN156" i="1" s="1"/>
  <c r="BE80" i="1"/>
  <c r="AR80" i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Z172" i="1"/>
  <c r="BA172" i="1"/>
  <c r="AW172" i="1"/>
  <c r="AY173" i="1" s="1"/>
  <c r="AZ43" i="1"/>
  <c r="AW43" i="1"/>
  <c r="BA43" i="1"/>
  <c r="AZ117" i="1"/>
  <c r="AW117" i="1"/>
  <c r="AY118" i="1" s="1"/>
  <c r="BA117" i="1"/>
  <c r="BC41" i="1"/>
  <c r="BE41" i="1"/>
  <c r="BF41" i="1" s="1"/>
  <c r="BB42" i="1"/>
  <c r="BE42" i="1" s="1"/>
  <c r="AP156" i="1" l="1"/>
  <c r="AO156" i="1"/>
  <c r="AQ156" i="1" s="1"/>
  <c r="BE156" i="1" s="1"/>
  <c r="AL156" i="1"/>
  <c r="AN157" i="1" s="1"/>
  <c r="AQ155" i="1"/>
  <c r="AZ173" i="1"/>
  <c r="BA173" i="1"/>
  <c r="AW173" i="1"/>
  <c r="AY174" i="1" s="1"/>
  <c r="BA118" i="1"/>
  <c r="AW118" i="1"/>
  <c r="AY119" i="1" s="1"/>
  <c r="AZ118" i="1"/>
  <c r="BB118" i="1" s="1"/>
  <c r="BE118" i="1" s="1"/>
  <c r="BB172" i="1"/>
  <c r="BE172" i="1" s="1"/>
  <c r="BB43" i="1"/>
  <c r="BE43" i="1" s="1"/>
  <c r="BB117" i="1"/>
  <c r="BE117" i="1" s="1"/>
  <c r="BC42" i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F42" i="1"/>
  <c r="AL157" i="1" l="1"/>
  <c r="AN158" i="1" s="1"/>
  <c r="AP157" i="1"/>
  <c r="AO157" i="1"/>
  <c r="AQ157" i="1" s="1"/>
  <c r="BE157" i="1" s="1"/>
  <c r="BE155" i="1"/>
  <c r="AR155" i="1"/>
  <c r="AR156" i="1" s="1"/>
  <c r="AR157" i="1" s="1"/>
  <c r="BF43" i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AZ174" i="1"/>
  <c r="BA174" i="1"/>
  <c r="AW174" i="1"/>
  <c r="AY175" i="1" s="1"/>
  <c r="BA119" i="1"/>
  <c r="AZ119" i="1"/>
  <c r="BB119" i="1" s="1"/>
  <c r="AW119" i="1"/>
  <c r="AY120" i="1" s="1"/>
  <c r="BB173" i="1"/>
  <c r="BE173" i="1" s="1"/>
  <c r="AO158" i="1" l="1"/>
  <c r="AP158" i="1"/>
  <c r="AL158" i="1"/>
  <c r="AN159" i="1" s="1"/>
  <c r="AZ175" i="1"/>
  <c r="BA175" i="1"/>
  <c r="AW175" i="1"/>
  <c r="AY176" i="1" s="1"/>
  <c r="BC119" i="1"/>
  <c r="BE119" i="1"/>
  <c r="AZ120" i="1"/>
  <c r="BA120" i="1"/>
  <c r="AW120" i="1"/>
  <c r="BB174" i="1"/>
  <c r="BE174" i="1" s="1"/>
  <c r="AQ158" i="1" l="1"/>
  <c r="AR158" i="1"/>
  <c r="BE158" i="1"/>
  <c r="AO159" i="1"/>
  <c r="AL159" i="1"/>
  <c r="AN160" i="1" s="1"/>
  <c r="AP159" i="1"/>
  <c r="AZ176" i="1"/>
  <c r="BA176" i="1"/>
  <c r="AW176" i="1"/>
  <c r="BB175" i="1"/>
  <c r="BE175" i="1" s="1"/>
  <c r="BB120" i="1"/>
  <c r="BF119" i="1"/>
  <c r="AO160" i="1" l="1"/>
  <c r="AP160" i="1"/>
  <c r="AL160" i="1"/>
  <c r="AQ159" i="1"/>
  <c r="BC120" i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E120" i="1"/>
  <c r="BB15" i="1"/>
  <c r="BB176" i="1"/>
  <c r="AR159" i="1" l="1"/>
  <c r="BE159" i="1"/>
  <c r="AQ160" i="1"/>
  <c r="BB14" i="1"/>
  <c r="BB16" i="1" s="1"/>
  <c r="AT1" i="1" s="1"/>
  <c r="BB19" i="1"/>
  <c r="BF120" i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C176" i="1"/>
  <c r="BC19" i="1" s="1"/>
  <c r="BE176" i="1"/>
  <c r="AR160" i="1" l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160" i="1"/>
  <c r="AQ19" i="1"/>
  <c r="AQ14" i="1"/>
  <c r="AQ15" i="1"/>
  <c r="BE15" i="1"/>
  <c r="BE18" i="1"/>
  <c r="BE14" i="1" l="1"/>
  <c r="BE16" i="1" s="1"/>
  <c r="BF160" i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AQ16" i="1"/>
  <c r="AI1" i="1" s="1"/>
</calcChain>
</file>

<file path=xl/sharedStrings.xml><?xml version="1.0" encoding="utf-8"?>
<sst xmlns="http://schemas.openxmlformats.org/spreadsheetml/2006/main" count="74" uniqueCount="53">
  <si>
    <t>date</t>
  </si>
  <si>
    <t>IYK</t>
  </si>
  <si>
    <t>XLP</t>
  </si>
  <si>
    <t>IYK log rtn</t>
  </si>
  <si>
    <t>XLP log rtn</t>
  </si>
  <si>
    <t>IYK div</t>
  </si>
  <si>
    <t>IYK div cumsum</t>
  </si>
  <si>
    <t>XLP div</t>
  </si>
  <si>
    <t>XLP div cumsum</t>
  </si>
  <si>
    <t>IYK div adjustment</t>
  </si>
  <si>
    <t>XLP div adjustment</t>
  </si>
  <si>
    <t>IYK*</t>
  </si>
  <si>
    <t>XLP*</t>
  </si>
  <si>
    <t>XLP/IYK</t>
  </si>
  <si>
    <t>XLP/IYK avg</t>
  </si>
  <si>
    <t>XLP/IYK 10 dma</t>
  </si>
  <si>
    <t>XLP/IYK 20 dma</t>
  </si>
  <si>
    <t>IYK x avg</t>
  </si>
  <si>
    <t>IYK x 10 dma</t>
  </si>
  <si>
    <t>IYK x 20 dma</t>
  </si>
  <si>
    <t>log diff IYK x avg / XLP</t>
  </si>
  <si>
    <t>log diff IYK x 10 dma / XLP</t>
  </si>
  <si>
    <t>log diff IYK x 20 dma / XLP</t>
  </si>
  <si>
    <t>XLP*/IYK*</t>
  </si>
  <si>
    <t>XLP*/IYK* avg</t>
  </si>
  <si>
    <t>XLP*/IYK* 10 dma</t>
  </si>
  <si>
    <t>XLP*/IYK* 20 dma</t>
  </si>
  <si>
    <t>IYK* x avg</t>
  </si>
  <si>
    <t>IYK* x 10 dma</t>
  </si>
  <si>
    <t>IYK* x 20 dma</t>
  </si>
  <si>
    <t>log diff IYK* x avg / XLP*</t>
  </si>
  <si>
    <t>log diff IYK* x 10 dma / XLP*</t>
  </si>
  <si>
    <t>log diff IYK* x 20 dma / XLP*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</si>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</sst>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7030A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  <xf numFmtId="10" fontId="22" fillId="0" borderId="0" xfId="3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XLP/IYK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1.16085801049043</c:v>
                </c:pt>
                <c:pt idx="1">
                  <c:v>1.16085801049043</c:v>
                </c:pt>
                <c:pt idx="2">
                  <c:v>1.16085801049043</c:v>
                </c:pt>
                <c:pt idx="3">
                  <c:v>1.16085801049043</c:v>
                </c:pt>
                <c:pt idx="4">
                  <c:v>1.16085801049043</c:v>
                </c:pt>
                <c:pt idx="5">
                  <c:v>1.16085801049043</c:v>
                </c:pt>
                <c:pt idx="6">
                  <c:v>1.16085801049043</c:v>
                </c:pt>
                <c:pt idx="7">
                  <c:v>1.16085801049043</c:v>
                </c:pt>
                <c:pt idx="8">
                  <c:v>1.16085801049043</c:v>
                </c:pt>
                <c:pt idx="9">
                  <c:v>1.16085801049043</c:v>
                </c:pt>
                <c:pt idx="10">
                  <c:v>1.16085801049043</c:v>
                </c:pt>
                <c:pt idx="11">
                  <c:v>1.16085801049043</c:v>
                </c:pt>
                <c:pt idx="12">
                  <c:v>1.16085801049043</c:v>
                </c:pt>
                <c:pt idx="13">
                  <c:v>1.16085801049043</c:v>
                </c:pt>
                <c:pt idx="14">
                  <c:v>1.16085801049043</c:v>
                </c:pt>
                <c:pt idx="15">
                  <c:v>1.16085801049043</c:v>
                </c:pt>
                <c:pt idx="16">
                  <c:v>1.16085801049043</c:v>
                </c:pt>
                <c:pt idx="17">
                  <c:v>1.16085801049043</c:v>
                </c:pt>
                <c:pt idx="18">
                  <c:v>1.16085801049043</c:v>
                </c:pt>
                <c:pt idx="19">
                  <c:v>1.16085801049043</c:v>
                </c:pt>
                <c:pt idx="20">
                  <c:v>1.16085801049043</c:v>
                </c:pt>
                <c:pt idx="21">
                  <c:v>1.16085801049043</c:v>
                </c:pt>
                <c:pt idx="22">
                  <c:v>1.16085801049043</c:v>
                </c:pt>
                <c:pt idx="23">
                  <c:v>1.16085801049043</c:v>
                </c:pt>
                <c:pt idx="24">
                  <c:v>1.16085801049043</c:v>
                </c:pt>
                <c:pt idx="25">
                  <c:v>1.16085801049043</c:v>
                </c:pt>
                <c:pt idx="26">
                  <c:v>1.16085801049043</c:v>
                </c:pt>
                <c:pt idx="27">
                  <c:v>1.16085801049043</c:v>
                </c:pt>
                <c:pt idx="28">
                  <c:v>1.16085801049043</c:v>
                </c:pt>
                <c:pt idx="29">
                  <c:v>1.16085801049043</c:v>
                </c:pt>
                <c:pt idx="30">
                  <c:v>1.16085801049043</c:v>
                </c:pt>
                <c:pt idx="31">
                  <c:v>1.16085801049043</c:v>
                </c:pt>
                <c:pt idx="32">
                  <c:v>1.16085801049043</c:v>
                </c:pt>
                <c:pt idx="33">
                  <c:v>1.16085801049043</c:v>
                </c:pt>
                <c:pt idx="34">
                  <c:v>1.16085801049043</c:v>
                </c:pt>
                <c:pt idx="35">
                  <c:v>1.16085801049043</c:v>
                </c:pt>
                <c:pt idx="36">
                  <c:v>1.16085801049043</c:v>
                </c:pt>
                <c:pt idx="37">
                  <c:v>1.16085801049043</c:v>
                </c:pt>
                <c:pt idx="38">
                  <c:v>1.16085801049043</c:v>
                </c:pt>
                <c:pt idx="39">
                  <c:v>1.16085801049043</c:v>
                </c:pt>
                <c:pt idx="40">
                  <c:v>1.16085801049043</c:v>
                </c:pt>
                <c:pt idx="41">
                  <c:v>1.16085801049043</c:v>
                </c:pt>
                <c:pt idx="42">
                  <c:v>1.16085801049043</c:v>
                </c:pt>
                <c:pt idx="43">
                  <c:v>1.16085801049043</c:v>
                </c:pt>
                <c:pt idx="44">
                  <c:v>1.16085801049043</c:v>
                </c:pt>
                <c:pt idx="45">
                  <c:v>1.16085801049043</c:v>
                </c:pt>
                <c:pt idx="46">
                  <c:v>1.16085801049043</c:v>
                </c:pt>
                <c:pt idx="47">
                  <c:v>1.16085801049043</c:v>
                </c:pt>
                <c:pt idx="48">
                  <c:v>1.16085801049043</c:v>
                </c:pt>
                <c:pt idx="49">
                  <c:v>1.16085801049043</c:v>
                </c:pt>
                <c:pt idx="50">
                  <c:v>1.16085801049043</c:v>
                </c:pt>
                <c:pt idx="51">
                  <c:v>1.16085801049043</c:v>
                </c:pt>
                <c:pt idx="52">
                  <c:v>1.16085801049043</c:v>
                </c:pt>
                <c:pt idx="53">
                  <c:v>1.16085801049043</c:v>
                </c:pt>
                <c:pt idx="54">
                  <c:v>1.16085801049043</c:v>
                </c:pt>
                <c:pt idx="55">
                  <c:v>1.16085801049043</c:v>
                </c:pt>
                <c:pt idx="56">
                  <c:v>1.16085801049043</c:v>
                </c:pt>
                <c:pt idx="57">
                  <c:v>1.16085801049043</c:v>
                </c:pt>
                <c:pt idx="58">
                  <c:v>1.16085801049043</c:v>
                </c:pt>
                <c:pt idx="59">
                  <c:v>1.16085801049043</c:v>
                </c:pt>
                <c:pt idx="60">
                  <c:v>1.16085801049043</c:v>
                </c:pt>
                <c:pt idx="61">
                  <c:v>1.16085801049043</c:v>
                </c:pt>
                <c:pt idx="62">
                  <c:v>1.16085801049043</c:v>
                </c:pt>
                <c:pt idx="63">
                  <c:v>1.16085801049043</c:v>
                </c:pt>
                <c:pt idx="64">
                  <c:v>1.16085801049043</c:v>
                </c:pt>
                <c:pt idx="65">
                  <c:v>1.16085801049043</c:v>
                </c:pt>
                <c:pt idx="66">
                  <c:v>1.16085801049043</c:v>
                </c:pt>
                <c:pt idx="67">
                  <c:v>1.16085801049043</c:v>
                </c:pt>
                <c:pt idx="68">
                  <c:v>1.16085801049043</c:v>
                </c:pt>
                <c:pt idx="69">
                  <c:v>1.16085801049043</c:v>
                </c:pt>
                <c:pt idx="70">
                  <c:v>1.16085801049043</c:v>
                </c:pt>
                <c:pt idx="71">
                  <c:v>1.16085801049043</c:v>
                </c:pt>
                <c:pt idx="72">
                  <c:v>1.16085801049043</c:v>
                </c:pt>
                <c:pt idx="73">
                  <c:v>1.16085801049043</c:v>
                </c:pt>
                <c:pt idx="74">
                  <c:v>1.16085801049043</c:v>
                </c:pt>
                <c:pt idx="75">
                  <c:v>1.16085801049043</c:v>
                </c:pt>
                <c:pt idx="76">
                  <c:v>1.16085801049043</c:v>
                </c:pt>
                <c:pt idx="77">
                  <c:v>1.16085801049043</c:v>
                </c:pt>
                <c:pt idx="78">
                  <c:v>1.16085801049043</c:v>
                </c:pt>
                <c:pt idx="79">
                  <c:v>1.16085801049043</c:v>
                </c:pt>
                <c:pt idx="80">
                  <c:v>1.16085801049043</c:v>
                </c:pt>
                <c:pt idx="81">
                  <c:v>1.16085801049043</c:v>
                </c:pt>
                <c:pt idx="82">
                  <c:v>1.16085801049043</c:v>
                </c:pt>
                <c:pt idx="83">
                  <c:v>1.16085801049043</c:v>
                </c:pt>
                <c:pt idx="84">
                  <c:v>1.16085801049043</c:v>
                </c:pt>
                <c:pt idx="85">
                  <c:v>1.16085801049043</c:v>
                </c:pt>
                <c:pt idx="86">
                  <c:v>1.16085801049043</c:v>
                </c:pt>
                <c:pt idx="87">
                  <c:v>1.16085801049043</c:v>
                </c:pt>
                <c:pt idx="88">
                  <c:v>1.16085801049043</c:v>
                </c:pt>
                <c:pt idx="89">
                  <c:v>1.16085801049043</c:v>
                </c:pt>
                <c:pt idx="90">
                  <c:v>1.16085801049043</c:v>
                </c:pt>
                <c:pt idx="91">
                  <c:v>1.16085801049043</c:v>
                </c:pt>
                <c:pt idx="92">
                  <c:v>1.16085801049043</c:v>
                </c:pt>
                <c:pt idx="93">
                  <c:v>1.16085801049043</c:v>
                </c:pt>
                <c:pt idx="94">
                  <c:v>1.16085801049043</c:v>
                </c:pt>
                <c:pt idx="95">
                  <c:v>1.16085801049043</c:v>
                </c:pt>
                <c:pt idx="96">
                  <c:v>1.16085801049043</c:v>
                </c:pt>
                <c:pt idx="97">
                  <c:v>1.16085801049043</c:v>
                </c:pt>
                <c:pt idx="98">
                  <c:v>1.16085801049043</c:v>
                </c:pt>
                <c:pt idx="99">
                  <c:v>1.16085801049043</c:v>
                </c:pt>
                <c:pt idx="100">
                  <c:v>1.16085801049043</c:v>
                </c:pt>
                <c:pt idx="101">
                  <c:v>1.16085801049043</c:v>
                </c:pt>
                <c:pt idx="102">
                  <c:v>1.16085801049043</c:v>
                </c:pt>
                <c:pt idx="103">
                  <c:v>1.16085801049043</c:v>
                </c:pt>
                <c:pt idx="104">
                  <c:v>1.16085801049043</c:v>
                </c:pt>
                <c:pt idx="105">
                  <c:v>1.16085801049043</c:v>
                </c:pt>
                <c:pt idx="106">
                  <c:v>1.16085801049043</c:v>
                </c:pt>
                <c:pt idx="107">
                  <c:v>1.16085801049043</c:v>
                </c:pt>
                <c:pt idx="108">
                  <c:v>1.16085801049043</c:v>
                </c:pt>
                <c:pt idx="109">
                  <c:v>1.16085801049043</c:v>
                </c:pt>
                <c:pt idx="110">
                  <c:v>1.16085801049043</c:v>
                </c:pt>
                <c:pt idx="111">
                  <c:v>1.16085801049043</c:v>
                </c:pt>
                <c:pt idx="112">
                  <c:v>1.16085801049043</c:v>
                </c:pt>
                <c:pt idx="113">
                  <c:v>1.16085801049043</c:v>
                </c:pt>
                <c:pt idx="114">
                  <c:v>1.16085801049043</c:v>
                </c:pt>
                <c:pt idx="115">
                  <c:v>1.16085801049043</c:v>
                </c:pt>
                <c:pt idx="116">
                  <c:v>1.16085801049043</c:v>
                </c:pt>
                <c:pt idx="117">
                  <c:v>1.16085801049043</c:v>
                </c:pt>
                <c:pt idx="118">
                  <c:v>1.16085801049043</c:v>
                </c:pt>
                <c:pt idx="119">
                  <c:v>1.16085801049043</c:v>
                </c:pt>
                <c:pt idx="120">
                  <c:v>1.16085801049043</c:v>
                </c:pt>
                <c:pt idx="121">
                  <c:v>1.16085801049043</c:v>
                </c:pt>
                <c:pt idx="122">
                  <c:v>1.16085801049043</c:v>
                </c:pt>
                <c:pt idx="123">
                  <c:v>1.16085801049043</c:v>
                </c:pt>
                <c:pt idx="124">
                  <c:v>1.16085801049043</c:v>
                </c:pt>
                <c:pt idx="125">
                  <c:v>1.16085801049043</c:v>
                </c:pt>
                <c:pt idx="126">
                  <c:v>1.16085801049043</c:v>
                </c:pt>
                <c:pt idx="127">
                  <c:v>1.16085801049043</c:v>
                </c:pt>
                <c:pt idx="128">
                  <c:v>1.16085801049043</c:v>
                </c:pt>
                <c:pt idx="129">
                  <c:v>1.16085801049043</c:v>
                </c:pt>
                <c:pt idx="130">
                  <c:v>1.16085801049043</c:v>
                </c:pt>
                <c:pt idx="131">
                  <c:v>1.16085801049043</c:v>
                </c:pt>
                <c:pt idx="132">
                  <c:v>1.16085801049043</c:v>
                </c:pt>
                <c:pt idx="133">
                  <c:v>1.16085801049043</c:v>
                </c:pt>
                <c:pt idx="134">
                  <c:v>1.16085801049043</c:v>
                </c:pt>
                <c:pt idx="135">
                  <c:v>1.16085801049043</c:v>
                </c:pt>
                <c:pt idx="136">
                  <c:v>1.16085801049043</c:v>
                </c:pt>
                <c:pt idx="137">
                  <c:v>1.16085801049043</c:v>
                </c:pt>
                <c:pt idx="138">
                  <c:v>1.16085801049043</c:v>
                </c:pt>
                <c:pt idx="139">
                  <c:v>1.16085801049043</c:v>
                </c:pt>
                <c:pt idx="140">
                  <c:v>1.16085801049043</c:v>
                </c:pt>
                <c:pt idx="141">
                  <c:v>1.16085801049043</c:v>
                </c:pt>
                <c:pt idx="142">
                  <c:v>1.16085801049043</c:v>
                </c:pt>
                <c:pt idx="143">
                  <c:v>1.16085801049043</c:v>
                </c:pt>
                <c:pt idx="144">
                  <c:v>1.16085801049043</c:v>
                </c:pt>
                <c:pt idx="145">
                  <c:v>1.16085801049043</c:v>
                </c:pt>
                <c:pt idx="146">
                  <c:v>1.16085801049043</c:v>
                </c:pt>
                <c:pt idx="147">
                  <c:v>1.16085801049043</c:v>
                </c:pt>
                <c:pt idx="148">
                  <c:v>1.16085801049043</c:v>
                </c:pt>
                <c:pt idx="149">
                  <c:v>1.16085801049043</c:v>
                </c:pt>
                <c:pt idx="150">
                  <c:v>1.16085801049043</c:v>
                </c:pt>
                <c:pt idx="151">
                  <c:v>1.16085801049043</c:v>
                </c:pt>
                <c:pt idx="152">
                  <c:v>1.16085801049043</c:v>
                </c:pt>
                <c:pt idx="153">
                  <c:v>1.16085801049043</c:v>
                </c:pt>
                <c:pt idx="154">
                  <c:v>1.16085801049043</c:v>
                </c:pt>
                <c:pt idx="155">
                  <c:v>1.16085801049043</c:v>
                </c:pt>
                <c:pt idx="156">
                  <c:v>1.16085801049043</c:v>
                </c:pt>
                <c:pt idx="157">
                  <c:v>1.16085801049043</c:v>
                </c:pt>
                <c:pt idx="158">
                  <c:v>1.16085801049043</c:v>
                </c:pt>
                <c:pt idx="159">
                  <c:v>1.16085801049043</c:v>
                </c:pt>
                <c:pt idx="160">
                  <c:v>1.16085801049043</c:v>
                </c:pt>
                <c:pt idx="161">
                  <c:v>1.16085801049043</c:v>
                </c:pt>
                <c:pt idx="162">
                  <c:v>1.16085801049043</c:v>
                </c:pt>
                <c:pt idx="163">
                  <c:v>1.16085801049043</c:v>
                </c:pt>
                <c:pt idx="164">
                  <c:v>1.16085801049043</c:v>
                </c:pt>
                <c:pt idx="165">
                  <c:v>1.16085801049043</c:v>
                </c:pt>
                <c:pt idx="166">
                  <c:v>1.16085801049043</c:v>
                </c:pt>
                <c:pt idx="167">
                  <c:v>1.16085801049043</c:v>
                </c:pt>
                <c:pt idx="168">
                  <c:v>1.16085801049043</c:v>
                </c:pt>
                <c:pt idx="169">
                  <c:v>1.16085801049043</c:v>
                </c:pt>
                <c:pt idx="170">
                  <c:v>1.16085801049043</c:v>
                </c:pt>
                <c:pt idx="171">
                  <c:v>1.16085801049043</c:v>
                </c:pt>
                <c:pt idx="172">
                  <c:v>1.16085801049043</c:v>
                </c:pt>
                <c:pt idx="173">
                  <c:v>1.16085801049043</c:v>
                </c:pt>
                <c:pt idx="174">
                  <c:v>1.16085801049043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D9-4E02-9D0F-AF9480DD9F53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XLP/IYK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1.17786688328375</c:v>
                </c:pt>
                <c:pt idx="10">
                  <c:v>1.1798411603671199</c:v>
                </c:pt>
                <c:pt idx="11">
                  <c:v>1.1812779551330801</c:v>
                </c:pt>
                <c:pt idx="12">
                  <c:v>1.1820128974687201</c:v>
                </c:pt>
                <c:pt idx="13">
                  <c:v>1.1823494302484101</c:v>
                </c:pt>
                <c:pt idx="14">
                  <c:v>1.1823592205303699</c:v>
                </c:pt>
                <c:pt idx="15">
                  <c:v>1.18174626701563</c:v>
                </c:pt>
                <c:pt idx="16">
                  <c:v>1.18090768575564</c:v>
                </c:pt>
                <c:pt idx="17">
                  <c:v>1.17935597762391</c:v>
                </c:pt>
                <c:pt idx="18">
                  <c:v>1.17767975091594</c:v>
                </c:pt>
                <c:pt idx="19">
                  <c:v>1.1762632378201701</c:v>
                </c:pt>
                <c:pt idx="20">
                  <c:v>1.17533765538899</c:v>
                </c:pt>
                <c:pt idx="21">
                  <c:v>1.1747465058481901</c:v>
                </c:pt>
                <c:pt idx="22">
                  <c:v>1.1748982474287999</c:v>
                </c:pt>
                <c:pt idx="23">
                  <c:v>1.1738028942938801</c:v>
                </c:pt>
                <c:pt idx="24">
                  <c:v>1.17313021165861</c:v>
                </c:pt>
                <c:pt idx="25">
                  <c:v>1.17302572132156</c:v>
                </c:pt>
                <c:pt idx="26">
                  <c:v>1.1724833749160399</c:v>
                </c:pt>
                <c:pt idx="27">
                  <c:v>1.17241164655153</c:v>
                </c:pt>
                <c:pt idx="28">
                  <c:v>1.1732284976759999</c:v>
                </c:pt>
                <c:pt idx="29">
                  <c:v>1.1744537630147101</c:v>
                </c:pt>
                <c:pt idx="30">
                  <c:v>1.1744361092556099</c:v>
                </c:pt>
                <c:pt idx="31">
                  <c:v>1.1738916728017199</c:v>
                </c:pt>
                <c:pt idx="32">
                  <c:v>1.17220770987986</c:v>
                </c:pt>
                <c:pt idx="33">
                  <c:v>1.17199297964331</c:v>
                </c:pt>
                <c:pt idx="34">
                  <c:v>1.1711356504903301</c:v>
                </c:pt>
                <c:pt idx="35">
                  <c:v>1.1706185558258</c:v>
                </c:pt>
                <c:pt idx="36">
                  <c:v>1.1700078192460499</c:v>
                </c:pt>
                <c:pt idx="37">
                  <c:v>1.16883847595955</c:v>
                </c:pt>
                <c:pt idx="38">
                  <c:v>1.1671262533389699</c:v>
                </c:pt>
                <c:pt idx="39">
                  <c:v>1.16460770918442</c:v>
                </c:pt>
                <c:pt idx="40">
                  <c:v>1.1633908892332501</c:v>
                </c:pt>
                <c:pt idx="41">
                  <c:v>1.16266905386827</c:v>
                </c:pt>
                <c:pt idx="42">
                  <c:v>1.1625024205247501</c:v>
                </c:pt>
                <c:pt idx="43">
                  <c:v>1.1631364716702699</c:v>
                </c:pt>
                <c:pt idx="44">
                  <c:v>1.1635926741954701</c:v>
                </c:pt>
                <c:pt idx="45">
                  <c:v>1.1637759487033199</c:v>
                </c:pt>
                <c:pt idx="46">
                  <c:v>1.16404973974977</c:v>
                </c:pt>
                <c:pt idx="47">
                  <c:v>1.1645612314853599</c:v>
                </c:pt>
                <c:pt idx="48">
                  <c:v>1.1650778086312601</c:v>
                </c:pt>
                <c:pt idx="49">
                  <c:v>1.1661595000387801</c:v>
                </c:pt>
                <c:pt idx="50">
                  <c:v>1.1670529440282</c:v>
                </c:pt>
                <c:pt idx="51">
                  <c:v>1.1678297878773101</c:v>
                </c:pt>
                <c:pt idx="52">
                  <c:v>1.1683658553017</c:v>
                </c:pt>
                <c:pt idx="53">
                  <c:v>1.1686133968791701</c:v>
                </c:pt>
                <c:pt idx="54">
                  <c:v>1.1688408398707699</c:v>
                </c:pt>
                <c:pt idx="55">
                  <c:v>1.16871599026047</c:v>
                </c:pt>
                <c:pt idx="56">
                  <c:v>1.1688308009703701</c:v>
                </c:pt>
                <c:pt idx="57">
                  <c:v>1.1695637785900199</c:v>
                </c:pt>
                <c:pt idx="58">
                  <c:v>1.1704461128011701</c:v>
                </c:pt>
                <c:pt idx="59">
                  <c:v>1.17084977862676</c:v>
                </c:pt>
                <c:pt idx="60">
                  <c:v>1.17074692762049</c:v>
                </c:pt>
                <c:pt idx="61">
                  <c:v>1.17056786745323</c:v>
                </c:pt>
                <c:pt idx="62">
                  <c:v>1.1704367451576501</c:v>
                </c:pt>
                <c:pt idx="63">
                  <c:v>1.17073289263639</c:v>
                </c:pt>
                <c:pt idx="64">
                  <c:v>1.1706293840450701</c:v>
                </c:pt>
                <c:pt idx="65">
                  <c:v>1.1710099341964799</c:v>
                </c:pt>
                <c:pt idx="66">
                  <c:v>1.1715380599598999</c:v>
                </c:pt>
                <c:pt idx="67">
                  <c:v>1.1710256386778299</c:v>
                </c:pt>
                <c:pt idx="68">
                  <c:v>1.16994510925277</c:v>
                </c:pt>
                <c:pt idx="69">
                  <c:v>1.16942568036696</c:v>
                </c:pt>
                <c:pt idx="70">
                  <c:v>1.16946644796963</c:v>
                </c:pt>
                <c:pt idx="71">
                  <c:v>1.16937287439204</c:v>
                </c:pt>
                <c:pt idx="72">
                  <c:v>1.1697010334578199</c:v>
                </c:pt>
                <c:pt idx="73">
                  <c:v>1.16992080127802</c:v>
                </c:pt>
                <c:pt idx="74">
                  <c:v>1.1716579388427799</c:v>
                </c:pt>
                <c:pt idx="75">
                  <c:v>1.1728190300404699</c:v>
                </c:pt>
                <c:pt idx="76">
                  <c:v>1.17364094795758</c:v>
                </c:pt>
                <c:pt idx="77">
                  <c:v>1.1749078884259501</c:v>
                </c:pt>
                <c:pt idx="78">
                  <c:v>1.1761010140234101</c:v>
                </c:pt>
                <c:pt idx="79">
                  <c:v>1.1763167144814899</c:v>
                </c:pt>
                <c:pt idx="80">
                  <c:v>1.17606639745234</c:v>
                </c:pt>
                <c:pt idx="81">
                  <c:v>1.17654175255381</c:v>
                </c:pt>
                <c:pt idx="82">
                  <c:v>1.1766180893720899</c:v>
                </c:pt>
                <c:pt idx="83">
                  <c:v>1.1762128017492199</c:v>
                </c:pt>
                <c:pt idx="84">
                  <c:v>1.1753537764584501</c:v>
                </c:pt>
                <c:pt idx="85">
                  <c:v>1.17497383436776</c:v>
                </c:pt>
                <c:pt idx="86">
                  <c:v>1.1750460202984701</c:v>
                </c:pt>
                <c:pt idx="87">
                  <c:v>1.17525466473132</c:v>
                </c:pt>
                <c:pt idx="88">
                  <c:v>1.1747391194341399</c:v>
                </c:pt>
                <c:pt idx="89">
                  <c:v>1.17494125262423</c:v>
                </c:pt>
                <c:pt idx="90">
                  <c:v>1.17529753337883</c:v>
                </c:pt>
                <c:pt idx="91">
                  <c:v>1.1750550145940699</c:v>
                </c:pt>
                <c:pt idx="92">
                  <c:v>1.1747624101076799</c:v>
                </c:pt>
                <c:pt idx="93">
                  <c:v>1.1751474330178699</c:v>
                </c:pt>
                <c:pt idx="94">
                  <c:v>1.17586746605182</c:v>
                </c:pt>
                <c:pt idx="95">
                  <c:v>1.1759903603983899</c:v>
                </c:pt>
                <c:pt idx="96">
                  <c:v>1.1746142091943099</c:v>
                </c:pt>
                <c:pt idx="97">
                  <c:v>1.17293845458297</c:v>
                </c:pt>
                <c:pt idx="98">
                  <c:v>1.17261622984895</c:v>
                </c:pt>
                <c:pt idx="99">
                  <c:v>1.17216485008106</c:v>
                </c:pt>
                <c:pt idx="100">
                  <c:v>1.1719254636120999</c:v>
                </c:pt>
                <c:pt idx="101">
                  <c:v>1.17128951014001</c:v>
                </c:pt>
                <c:pt idx="102">
                  <c:v>1.1709434921626201</c:v>
                </c:pt>
                <c:pt idx="103">
                  <c:v>1.16961225969611</c:v>
                </c:pt>
                <c:pt idx="104">
                  <c:v>1.1679152280471301</c:v>
                </c:pt>
                <c:pt idx="105">
                  <c:v>1.16665811859135</c:v>
                </c:pt>
                <c:pt idx="106">
                  <c:v>1.1659519170669901</c:v>
                </c:pt>
                <c:pt idx="107">
                  <c:v>1.1659897065615099</c:v>
                </c:pt>
                <c:pt idx="108">
                  <c:v>1.1653834600472901</c:v>
                </c:pt>
                <c:pt idx="109">
                  <c:v>1.16484821560798</c:v>
                </c:pt>
                <c:pt idx="110">
                  <c:v>1.1640959185153801</c:v>
                </c:pt>
                <c:pt idx="111">
                  <c:v>1.1636632519519099</c:v>
                </c:pt>
                <c:pt idx="112">
                  <c:v>1.1636678464633099</c:v>
                </c:pt>
                <c:pt idx="113">
                  <c:v>1.1638371223927799</c:v>
                </c:pt>
                <c:pt idx="114">
                  <c:v>1.1632253353764299</c:v>
                </c:pt>
                <c:pt idx="115">
                  <c:v>1.1628319659205499</c:v>
                </c:pt>
                <c:pt idx="116">
                  <c:v>1.16238196074241</c:v>
                </c:pt>
                <c:pt idx="117">
                  <c:v>1.1615919425878301</c:v>
                </c:pt>
                <c:pt idx="118">
                  <c:v>1.1614218465658901</c:v>
                </c:pt>
                <c:pt idx="119">
                  <c:v>1.1606157913282</c:v>
                </c:pt>
                <c:pt idx="120">
                  <c:v>1.1594136003481399</c:v>
                </c:pt>
                <c:pt idx="121">
                  <c:v>1.1580101466400201</c:v>
                </c:pt>
                <c:pt idx="122">
                  <c:v>1.1554973459461799</c:v>
                </c:pt>
                <c:pt idx="123">
                  <c:v>1.15245238962676</c:v>
                </c:pt>
                <c:pt idx="124">
                  <c:v>1.14995085792628</c:v>
                </c:pt>
                <c:pt idx="125">
                  <c:v>1.14699535293379</c:v>
                </c:pt>
                <c:pt idx="126">
                  <c:v>1.1444353675325101</c:v>
                </c:pt>
                <c:pt idx="127">
                  <c:v>1.14238145867231</c:v>
                </c:pt>
                <c:pt idx="128">
                  <c:v>1.14029044738052</c:v>
                </c:pt>
                <c:pt idx="129">
                  <c:v>1.1391610525720199</c:v>
                </c:pt>
                <c:pt idx="130">
                  <c:v>1.13817751259834</c:v>
                </c:pt>
                <c:pt idx="131">
                  <c:v>1.13755288395248</c:v>
                </c:pt>
                <c:pt idx="132">
                  <c:v>1.13739630959719</c:v>
                </c:pt>
                <c:pt idx="133">
                  <c:v>1.13777146151043</c:v>
                </c:pt>
                <c:pt idx="134">
                  <c:v>1.1380844895151501</c:v>
                </c:pt>
                <c:pt idx="135">
                  <c:v>1.1385870730965399</c:v>
                </c:pt>
                <c:pt idx="136">
                  <c:v>1.13900277365344</c:v>
                </c:pt>
                <c:pt idx="137">
                  <c:v>1.13874541701411</c:v>
                </c:pt>
                <c:pt idx="138">
                  <c:v>1.13792550926475</c:v>
                </c:pt>
                <c:pt idx="139">
                  <c:v>1.13686736954027</c:v>
                </c:pt>
                <c:pt idx="140">
                  <c:v>1.1360885479360701</c:v>
                </c:pt>
                <c:pt idx="141">
                  <c:v>1.1349615181017301</c:v>
                </c:pt>
                <c:pt idx="142">
                  <c:v>1.13446708217231</c:v>
                </c:pt>
                <c:pt idx="143">
                  <c:v>1.1338795723497299</c:v>
                </c:pt>
                <c:pt idx="144">
                  <c:v>1.13378368436882</c:v>
                </c:pt>
                <c:pt idx="145">
                  <c:v>1.13421363390574</c:v>
                </c:pt>
                <c:pt idx="146">
                  <c:v>1.1351633709545199</c:v>
                </c:pt>
                <c:pt idx="147">
                  <c:v>1.1360250581395099</c:v>
                </c:pt>
                <c:pt idx="148">
                  <c:v>1.13727106314225</c:v>
                </c:pt>
                <c:pt idx="149">
                  <c:v>1.1386463310395201</c:v>
                </c:pt>
                <c:pt idx="150">
                  <c:v>1.1398950227836</c:v>
                </c:pt>
                <c:pt idx="151">
                  <c:v>1.1411802902297199</c:v>
                </c:pt>
                <c:pt idx="152">
                  <c:v>1.1426796060105999</c:v>
                </c:pt>
                <c:pt idx="153">
                  <c:v>1.1447787004432199</c:v>
                </c:pt>
                <c:pt idx="154">
                  <c:v>1.14598582238902</c:v>
                </c:pt>
                <c:pt idx="155">
                  <c:v>1.14661109782382</c:v>
                </c:pt>
                <c:pt idx="156">
                  <c:v>1.14715451107047</c:v>
                </c:pt>
                <c:pt idx="157">
                  <c:v>1.14827973778195</c:v>
                </c:pt>
                <c:pt idx="158">
                  <c:v>1.1479050919340701</c:v>
                </c:pt>
                <c:pt idx="159">
                  <c:v>1.14773954975843</c:v>
                </c:pt>
                <c:pt idx="160">
                  <c:v>1.1479548621452</c:v>
                </c:pt>
                <c:pt idx="161">
                  <c:v>1.1475054694326401</c:v>
                </c:pt>
                <c:pt idx="162">
                  <c:v>1.1461878887918999</c:v>
                </c:pt>
                <c:pt idx="163">
                  <c:v>1.1445539130271001</c:v>
                </c:pt>
                <c:pt idx="164">
                  <c:v>1.14321263758948</c:v>
                </c:pt>
                <c:pt idx="165">
                  <c:v>1.1420434480730099</c:v>
                </c:pt>
                <c:pt idx="166">
                  <c:v>1.1406239269431899</c:v>
                </c:pt>
                <c:pt idx="167">
                  <c:v>1.1385696356505499</c:v>
                </c:pt>
                <c:pt idx="168">
                  <c:v>1.1382625871797101</c:v>
                </c:pt>
                <c:pt idx="169">
                  <c:v>1.13767229968802</c:v>
                </c:pt>
                <c:pt idx="170">
                  <c:v>1.1363256995423401</c:v>
                </c:pt>
                <c:pt idx="171">
                  <c:v>1.1357232997605</c:v>
                </c:pt>
                <c:pt idx="172">
                  <c:v>1.1350055506412899</c:v>
                </c:pt>
                <c:pt idx="173">
                  <c:v>1.13429048352725</c:v>
                </c:pt>
                <c:pt idx="174">
                  <c:v>1.13406743248775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D9-4E02-9D0F-AF9480DD9F53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XLP/IYK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1.1770650605519599</c:v>
                </c:pt>
                <c:pt idx="20">
                  <c:v>1.17758940787805</c:v>
                </c:pt>
                <c:pt idx="21">
                  <c:v>1.17801223049063</c:v>
                </c:pt>
                <c:pt idx="22">
                  <c:v>1.17845557244876</c:v>
                </c:pt>
                <c:pt idx="23">
                  <c:v>1.17807616227114</c:v>
                </c:pt>
                <c:pt idx="24">
                  <c:v>1.1777447160944901</c:v>
                </c:pt>
                <c:pt idx="25">
                  <c:v>1.1773859941686</c:v>
                </c:pt>
                <c:pt idx="26">
                  <c:v>1.17669553033584</c:v>
                </c:pt>
                <c:pt idx="27">
                  <c:v>1.17588381208772</c:v>
                </c:pt>
                <c:pt idx="28">
                  <c:v>1.17545412429597</c:v>
                </c:pt>
                <c:pt idx="29">
                  <c:v>1.1753585004174401</c:v>
                </c:pt>
                <c:pt idx="30">
                  <c:v>1.1748868823223</c:v>
                </c:pt>
                <c:pt idx="31">
                  <c:v>1.17431908932496</c:v>
                </c:pt>
                <c:pt idx="32">
                  <c:v>1.1735529786543299</c:v>
                </c:pt>
                <c:pt idx="33">
                  <c:v>1.1728979369685899</c:v>
                </c:pt>
                <c:pt idx="34">
                  <c:v>1.1721329310744699</c:v>
                </c:pt>
                <c:pt idx="35">
                  <c:v>1.17182213857368</c:v>
                </c:pt>
                <c:pt idx="36">
                  <c:v>1.17124559708104</c:v>
                </c:pt>
                <c:pt idx="37">
                  <c:v>1.17062506125554</c:v>
                </c:pt>
                <c:pt idx="38">
                  <c:v>1.17017737550748</c:v>
                </c:pt>
                <c:pt idx="39">
                  <c:v>1.1695307360995699</c:v>
                </c:pt>
                <c:pt idx="40">
                  <c:v>1.1689134992444301</c:v>
                </c:pt>
                <c:pt idx="41">
                  <c:v>1.1682803633350001</c:v>
                </c:pt>
                <c:pt idx="42">
                  <c:v>1.1673550652023099</c:v>
                </c:pt>
                <c:pt idx="43">
                  <c:v>1.16756472565679</c:v>
                </c:pt>
                <c:pt idx="44">
                  <c:v>1.1673641623429001</c:v>
                </c:pt>
                <c:pt idx="45">
                  <c:v>1.1671972522645599</c:v>
                </c:pt>
                <c:pt idx="46">
                  <c:v>1.16702877949791</c:v>
                </c:pt>
                <c:pt idx="47">
                  <c:v>1.16669985372245</c:v>
                </c:pt>
                <c:pt idx="48">
                  <c:v>1.16610203098512</c:v>
                </c:pt>
                <c:pt idx="49">
                  <c:v>1.1653836046116</c:v>
                </c:pt>
                <c:pt idx="50">
                  <c:v>1.1652219166307201</c:v>
                </c:pt>
                <c:pt idx="51">
                  <c:v>1.1652494208727899</c:v>
                </c:pt>
                <c:pt idx="52">
                  <c:v>1.16543413791322</c:v>
                </c:pt>
                <c:pt idx="53">
                  <c:v>1.1658749342747201</c:v>
                </c:pt>
                <c:pt idx="54">
                  <c:v>1.1662167570331201</c:v>
                </c:pt>
                <c:pt idx="55">
                  <c:v>1.1662459694819001</c:v>
                </c:pt>
                <c:pt idx="56">
                  <c:v>1.16644027036007</c:v>
                </c:pt>
                <c:pt idx="57">
                  <c:v>1.1670625050376899</c:v>
                </c:pt>
                <c:pt idx="58">
                  <c:v>1.16776196071622</c:v>
                </c:pt>
                <c:pt idx="59">
                  <c:v>1.16850463933277</c:v>
                </c:pt>
                <c:pt idx="60">
                  <c:v>1.1688999358243499</c:v>
                </c:pt>
                <c:pt idx="61">
                  <c:v>1.1691988276652701</c:v>
                </c:pt>
                <c:pt idx="62">
                  <c:v>1.1694013002296799</c:v>
                </c:pt>
                <c:pt idx="63">
                  <c:v>1.1696731447577799</c:v>
                </c:pt>
                <c:pt idx="64">
                  <c:v>1.16973511195792</c:v>
                </c:pt>
                <c:pt idx="65">
                  <c:v>1.16986296222848</c:v>
                </c:pt>
                <c:pt idx="66">
                  <c:v>1.1701844304651301</c:v>
                </c:pt>
                <c:pt idx="67">
                  <c:v>1.1702947086339199</c:v>
                </c:pt>
                <c:pt idx="68">
                  <c:v>1.17019561102697</c:v>
                </c:pt>
                <c:pt idx="69">
                  <c:v>1.17013772949686</c:v>
                </c:pt>
                <c:pt idx="70">
                  <c:v>1.1701066877950601</c:v>
                </c:pt>
                <c:pt idx="71">
                  <c:v>1.1699703709226299</c:v>
                </c:pt>
                <c:pt idx="72">
                  <c:v>1.17006888930774</c:v>
                </c:pt>
                <c:pt idx="73">
                  <c:v>1.1703268469572099</c:v>
                </c:pt>
                <c:pt idx="74">
                  <c:v>1.1711436614439299</c:v>
                </c:pt>
                <c:pt idx="75">
                  <c:v>1.1719144821184699</c:v>
                </c:pt>
                <c:pt idx="76">
                  <c:v>1.17258950395874</c:v>
                </c:pt>
                <c:pt idx="77">
                  <c:v>1.1729667635518899</c:v>
                </c:pt>
                <c:pt idx="78">
                  <c:v>1.1730230616380899</c:v>
                </c:pt>
                <c:pt idx="79">
                  <c:v>1.1728711974242201</c:v>
                </c:pt>
                <c:pt idx="80">
                  <c:v>1.17276642271099</c:v>
                </c:pt>
                <c:pt idx="81">
                  <c:v>1.1729573134729201</c:v>
                </c:pt>
                <c:pt idx="82">
                  <c:v>1.1731595614149499</c:v>
                </c:pt>
                <c:pt idx="83">
                  <c:v>1.1730668015136201</c:v>
                </c:pt>
                <c:pt idx="84">
                  <c:v>1.1735058576506201</c:v>
                </c:pt>
                <c:pt idx="85">
                  <c:v>1.1738964322041101</c:v>
                </c:pt>
                <c:pt idx="86">
                  <c:v>1.17434348412803</c:v>
                </c:pt>
                <c:pt idx="87">
                  <c:v>1.17508127657864</c:v>
                </c:pt>
                <c:pt idx="88">
                  <c:v>1.17542006672877</c:v>
                </c:pt>
                <c:pt idx="89">
                  <c:v>1.1756289835528599</c:v>
                </c:pt>
                <c:pt idx="90">
                  <c:v>1.1756819654155899</c:v>
                </c:pt>
                <c:pt idx="91">
                  <c:v>1.1757983835739401</c:v>
                </c:pt>
                <c:pt idx="92">
                  <c:v>1.17569024973988</c:v>
                </c:pt>
                <c:pt idx="93">
                  <c:v>1.17568011738355</c:v>
                </c:pt>
                <c:pt idx="94">
                  <c:v>1.17561062125514</c:v>
                </c:pt>
                <c:pt idx="95">
                  <c:v>1.17548209738308</c:v>
                </c:pt>
                <c:pt idx="96">
                  <c:v>1.17483011474639</c:v>
                </c:pt>
                <c:pt idx="97">
                  <c:v>1.17409655965715</c:v>
                </c:pt>
                <c:pt idx="98">
                  <c:v>1.17367767464155</c:v>
                </c:pt>
                <c:pt idx="99">
                  <c:v>1.17355305135264</c:v>
                </c:pt>
                <c:pt idx="100">
                  <c:v>1.17361149849547</c:v>
                </c:pt>
                <c:pt idx="101">
                  <c:v>1.17317226236704</c:v>
                </c:pt>
                <c:pt idx="102">
                  <c:v>1.17285295113515</c:v>
                </c:pt>
                <c:pt idx="103">
                  <c:v>1.1723798463569901</c:v>
                </c:pt>
                <c:pt idx="104">
                  <c:v>1.1718913470494801</c:v>
                </c:pt>
                <c:pt idx="105">
                  <c:v>1.17132423949487</c:v>
                </c:pt>
                <c:pt idx="106">
                  <c:v>1.17028306313065</c:v>
                </c:pt>
                <c:pt idx="107">
                  <c:v>1.1694640805722401</c:v>
                </c:pt>
                <c:pt idx="108">
                  <c:v>1.16899984494812</c:v>
                </c:pt>
                <c:pt idx="109">
                  <c:v>1.1685065328445201</c:v>
                </c:pt>
                <c:pt idx="110">
                  <c:v>1.16801069106374</c:v>
                </c:pt>
                <c:pt idx="111">
                  <c:v>1.1674763810459601</c:v>
                </c:pt>
                <c:pt idx="112">
                  <c:v>1.16730566931296</c:v>
                </c:pt>
                <c:pt idx="113">
                  <c:v>1.16672469104444</c:v>
                </c:pt>
                <c:pt idx="114">
                  <c:v>1.1655702817117799</c:v>
                </c:pt>
                <c:pt idx="115">
                  <c:v>1.16474504225595</c:v>
                </c:pt>
                <c:pt idx="116">
                  <c:v>1.1641669389047</c:v>
                </c:pt>
                <c:pt idx="117">
                  <c:v>1.16379082457467</c:v>
                </c:pt>
                <c:pt idx="118">
                  <c:v>1.16340265330659</c:v>
                </c:pt>
                <c:pt idx="119">
                  <c:v>1.1627320034680899</c:v>
                </c:pt>
                <c:pt idx="120">
                  <c:v>1.1617547594317601</c:v>
                </c:pt>
                <c:pt idx="121">
                  <c:v>1.16083669929596</c:v>
                </c:pt>
                <c:pt idx="122">
                  <c:v>1.1595825962047399</c:v>
                </c:pt>
                <c:pt idx="123">
                  <c:v>1.15814475600977</c:v>
                </c:pt>
                <c:pt idx="124">
                  <c:v>1.15658809665135</c:v>
                </c:pt>
                <c:pt idx="125">
                  <c:v>1.1549136594271701</c:v>
                </c:pt>
                <c:pt idx="126">
                  <c:v>1.1534086641374599</c:v>
                </c:pt>
                <c:pt idx="127">
                  <c:v>1.1519867006300699</c:v>
                </c:pt>
                <c:pt idx="128">
                  <c:v>1.1508561469731999</c:v>
                </c:pt>
                <c:pt idx="129">
                  <c:v>1.14988842195011</c:v>
                </c:pt>
                <c:pt idx="130">
                  <c:v>1.1487955564732399</c:v>
                </c:pt>
                <c:pt idx="131">
                  <c:v>1.1477815152962501</c:v>
                </c:pt>
                <c:pt idx="132">
                  <c:v>1.1464468277716799</c:v>
                </c:pt>
                <c:pt idx="133">
                  <c:v>1.14511192556859</c:v>
                </c:pt>
                <c:pt idx="134">
                  <c:v>1.1440176737207099</c:v>
                </c:pt>
                <c:pt idx="135">
                  <c:v>1.1427912130151701</c:v>
                </c:pt>
                <c:pt idx="136">
                  <c:v>1.1417190705929801</c:v>
                </c:pt>
                <c:pt idx="137">
                  <c:v>1.1405634378432099</c:v>
                </c:pt>
                <c:pt idx="138">
                  <c:v>1.1391079783226301</c:v>
                </c:pt>
                <c:pt idx="139">
                  <c:v>1.13801421105614</c:v>
                </c:pt>
                <c:pt idx="140">
                  <c:v>1.1371330302672</c:v>
                </c:pt>
                <c:pt idx="141">
                  <c:v>1.1362572010270999</c:v>
                </c:pt>
                <c:pt idx="142">
                  <c:v>1.1359316958847501</c:v>
                </c:pt>
                <c:pt idx="143">
                  <c:v>1.1358255169300799</c:v>
                </c:pt>
                <c:pt idx="144">
                  <c:v>1.1359340869419901</c:v>
                </c:pt>
                <c:pt idx="145">
                  <c:v>1.13640035350114</c:v>
                </c:pt>
                <c:pt idx="146">
                  <c:v>1.13708307230398</c:v>
                </c:pt>
                <c:pt idx="147">
                  <c:v>1.1373852375768101</c:v>
                </c:pt>
                <c:pt idx="148">
                  <c:v>1.1375982862034999</c:v>
                </c:pt>
                <c:pt idx="149">
                  <c:v>1.13775685028989</c:v>
                </c:pt>
                <c:pt idx="150">
                  <c:v>1.13799178535984</c:v>
                </c:pt>
                <c:pt idx="151">
                  <c:v>1.13807090416572</c:v>
                </c:pt>
                <c:pt idx="152">
                  <c:v>1.1385733440914501</c:v>
                </c:pt>
                <c:pt idx="153">
                  <c:v>1.1393291363964699</c:v>
                </c:pt>
                <c:pt idx="154">
                  <c:v>1.13988475337892</c:v>
                </c:pt>
                <c:pt idx="155">
                  <c:v>1.14041236586478</c:v>
                </c:pt>
                <c:pt idx="156">
                  <c:v>1.14115894101249</c:v>
                </c:pt>
                <c:pt idx="157">
                  <c:v>1.14215239796073</c:v>
                </c:pt>
                <c:pt idx="158">
                  <c:v>1.1425880775381601</c:v>
                </c:pt>
                <c:pt idx="159">
                  <c:v>1.14319294039898</c:v>
                </c:pt>
                <c:pt idx="160">
                  <c:v>1.1439249424644</c:v>
                </c:pt>
                <c:pt idx="161">
                  <c:v>1.1443428798311801</c:v>
                </c:pt>
                <c:pt idx="162">
                  <c:v>1.14443374740125</c:v>
                </c:pt>
                <c:pt idx="163">
                  <c:v>1.1446663067351599</c:v>
                </c:pt>
                <c:pt idx="164">
                  <c:v>1.14459922998925</c:v>
                </c:pt>
                <c:pt idx="165">
                  <c:v>1.14432727294842</c:v>
                </c:pt>
                <c:pt idx="166">
                  <c:v>1.1438892190068299</c:v>
                </c:pt>
                <c:pt idx="167">
                  <c:v>1.1434246867162501</c:v>
                </c:pt>
                <c:pt idx="168">
                  <c:v>1.1430838395568901</c:v>
                </c:pt>
                <c:pt idx="169">
                  <c:v>1.1427059247232301</c:v>
                </c:pt>
                <c:pt idx="170">
                  <c:v>1.14214028084377</c:v>
                </c:pt>
                <c:pt idx="171">
                  <c:v>1.1416143845965701</c:v>
                </c:pt>
                <c:pt idx="172">
                  <c:v>1.14059671971659</c:v>
                </c:pt>
                <c:pt idx="173">
                  <c:v>1.1394221982771799</c:v>
                </c:pt>
                <c:pt idx="174">
                  <c:v>1.1386400350386101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D9-4E02-9D0F-AF9480DD9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IYK* x 10 dma / XLP*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-5.4770222279580099E-3</c:v>
                </c:pt>
                <c:pt idx="11">
                  <c:v>-3.0991837443434902E-3</c:v>
                </c:pt>
                <c:pt idx="12">
                  <c:v>-1.9911905295268099E-3</c:v>
                </c:pt>
                <c:pt idx="13">
                  <c:v>3.4192208389510199E-3</c:v>
                </c:pt>
                <c:pt idx="14">
                  <c:v>3.94108259863255E-3</c:v>
                </c:pt>
                <c:pt idx="15">
                  <c:v>7.7887072690006297E-3</c:v>
                </c:pt>
                <c:pt idx="16">
                  <c:v>5.8032437524079602E-3</c:v>
                </c:pt>
                <c:pt idx="17">
                  <c:v>8.7255298432672608E-3</c:v>
                </c:pt>
                <c:pt idx="18">
                  <c:v>9.4369488744139203E-3</c:v>
                </c:pt>
                <c:pt idx="19">
                  <c:v>7.8575860303301704E-3</c:v>
                </c:pt>
                <c:pt idx="20">
                  <c:v>1.0064688627224401E-3</c:v>
                </c:pt>
                <c:pt idx="21">
                  <c:v>-1.91610227108868E-3</c:v>
                </c:pt>
                <c:pt idx="22">
                  <c:v>-8.8168492816796899E-3</c:v>
                </c:pt>
                <c:pt idx="23">
                  <c:v>6.7240234939597004E-3</c:v>
                </c:pt>
                <c:pt idx="24">
                  <c:v>2.41460990353079E-3</c:v>
                </c:pt>
                <c:pt idx="25">
                  <c:v>8.4354766634273798E-4</c:v>
                </c:pt>
                <c:pt idx="26">
                  <c:v>3.0232710086556302E-3</c:v>
                </c:pt>
                <c:pt idx="27">
                  <c:v>2.1791150513987599E-3</c:v>
                </c:pt>
                <c:pt idx="28">
                  <c:v>-3.4362844673479901E-3</c:v>
                </c:pt>
                <c:pt idx="29">
                  <c:v>-6.3607924361491104E-3</c:v>
                </c:pt>
                <c:pt idx="30">
                  <c:v>-3.8279446376625499E-4</c:v>
                </c:pt>
                <c:pt idx="31">
                  <c:v>1.9505744270584299E-3</c:v>
                </c:pt>
                <c:pt idx="32">
                  <c:v>4.7659843565693201E-3</c:v>
                </c:pt>
                <c:pt idx="33">
                  <c:v>6.2730549492539603E-3</c:v>
                </c:pt>
                <c:pt idx="34">
                  <c:v>8.2199468123265208E-3</c:v>
                </c:pt>
                <c:pt idx="35">
                  <c:v>3.5631954503558198E-3</c:v>
                </c:pt>
                <c:pt idx="36">
                  <c:v>6.2050175734433798E-3</c:v>
                </c:pt>
                <c:pt idx="37">
                  <c:v>1.0110764971039901E-2</c:v>
                </c:pt>
                <c:pt idx="38">
                  <c:v>8.1724831431426899E-3</c:v>
                </c:pt>
                <c:pt idx="39">
                  <c:v>9.9858499973587093E-3</c:v>
                </c:pt>
                <c:pt idx="40">
                  <c:v>1.6091187955782501E-3</c:v>
                </c:pt>
                <c:pt idx="41">
                  <c:v>-1.3213598484364099E-3</c:v>
                </c:pt>
                <c:pt idx="42">
                  <c:v>-3.4128957105980899E-3</c:v>
                </c:pt>
                <c:pt idx="43">
                  <c:v>-7.4692186333850203E-3</c:v>
                </c:pt>
                <c:pt idx="44">
                  <c:v>-3.2825263250067702E-3</c:v>
                </c:pt>
                <c:pt idx="45">
                  <c:v>-4.4676561531134503E-3</c:v>
                </c:pt>
                <c:pt idx="46">
                  <c:v>-2.0080756111815899E-3</c:v>
                </c:pt>
                <c:pt idx="47">
                  <c:v>5.9901524508804095E-4</c:v>
                </c:pt>
                <c:pt idx="48">
                  <c:v>6.04279026578344E-5</c:v>
                </c:pt>
                <c:pt idx="49">
                  <c:v>-1.08826979414319E-3</c:v>
                </c:pt>
                <c:pt idx="50">
                  <c:v>-7.4437458499302897E-4</c:v>
                </c:pt>
                <c:pt idx="51">
                  <c:v>-1.1509714661683101E-3</c:v>
                </c:pt>
                <c:pt idx="52">
                  <c:v>-2.71644554349197E-4</c:v>
                </c:pt>
                <c:pt idx="53">
                  <c:v>-1.62314362176056E-3</c:v>
                </c:pt>
                <c:pt idx="54">
                  <c:v>-2.1640975338666798E-3</c:v>
                </c:pt>
                <c:pt idx="55">
                  <c:v>-5.30564968684007E-4</c:v>
                </c:pt>
                <c:pt idx="56">
                  <c:v>-3.8830190379314598E-4</c:v>
                </c:pt>
                <c:pt idx="57">
                  <c:v>-3.21477626945668E-3</c:v>
                </c:pt>
                <c:pt idx="58">
                  <c:v>-4.8323813358377796E-3</c:v>
                </c:pt>
                <c:pt idx="59">
                  <c:v>-1.5757357659181999E-3</c:v>
                </c:pt>
                <c:pt idx="60">
                  <c:v>-1.45083368321805E-3</c:v>
                </c:pt>
                <c:pt idx="61">
                  <c:v>-1.36884473992845E-3</c:v>
                </c:pt>
                <c:pt idx="62">
                  <c:v>-9.3199371893016799E-4</c:v>
                </c:pt>
                <c:pt idx="63">
                  <c:v>-5.7131995845711098E-3</c:v>
                </c:pt>
                <c:pt idx="64">
                  <c:v>2.1657555898259399E-3</c:v>
                </c:pt>
                <c:pt idx="65">
                  <c:v>-6.2379236210394803E-4</c:v>
                </c:pt>
                <c:pt idx="66">
                  <c:v>-1.30970070171344E-3</c:v>
                </c:pt>
                <c:pt idx="67">
                  <c:v>5.11732841627282E-3</c:v>
                </c:pt>
                <c:pt idx="68">
                  <c:v>7.2994565437917497E-3</c:v>
                </c:pt>
                <c:pt idx="69">
                  <c:v>4.0737095652739804E-3</c:v>
                </c:pt>
                <c:pt idx="70">
                  <c:v>-1.3870261813730899E-3</c:v>
                </c:pt>
                <c:pt idx="71">
                  <c:v>-4.31570717486191E-4</c:v>
                </c:pt>
                <c:pt idx="72">
                  <c:v>-3.92777763727278E-3</c:v>
                </c:pt>
                <c:pt idx="73">
                  <c:v>-7.7933036404936196E-3</c:v>
                </c:pt>
                <c:pt idx="74">
                  <c:v>-1.3288873624837E-2</c:v>
                </c:pt>
                <c:pt idx="75">
                  <c:v>-9.6090748697523608E-3</c:v>
                </c:pt>
                <c:pt idx="76">
                  <c:v>-6.7512311278464599E-3</c:v>
                </c:pt>
                <c:pt idx="77">
                  <c:v>-3.9004653265970698E-3</c:v>
                </c:pt>
                <c:pt idx="78">
                  <c:v>3.9817257138373701E-4</c:v>
                </c:pt>
                <c:pt idx="79">
                  <c:v>7.4721243692399304E-3</c:v>
                </c:pt>
                <c:pt idx="80">
                  <c:v>6.6281786866807602E-3</c:v>
                </c:pt>
                <c:pt idx="81">
                  <c:v>1.1413878086643601E-3</c:v>
                </c:pt>
                <c:pt idx="82">
                  <c:v>1.5340083897854499E-3</c:v>
                </c:pt>
                <c:pt idx="83">
                  <c:v>1.5467124315395699E-3</c:v>
                </c:pt>
                <c:pt idx="84">
                  <c:v>-6.5310043601687505E-4</c:v>
                </c:pt>
                <c:pt idx="85">
                  <c:v>-3.2427426311275901E-3</c:v>
                </c:pt>
                <c:pt idx="86">
                  <c:v>-5.5267932446032304E-3</c:v>
                </c:pt>
                <c:pt idx="87">
                  <c:v>-4.4732573068729199E-3</c:v>
                </c:pt>
                <c:pt idx="88">
                  <c:v>5.0926550515655901E-3</c:v>
                </c:pt>
                <c:pt idx="89">
                  <c:v>4.5834144141764597E-3</c:v>
                </c:pt>
                <c:pt idx="90">
                  <c:v>2.4139130104612601E-3</c:v>
                </c:pt>
                <c:pt idx="91">
                  <c:v>2.55402206437776E-3</c:v>
                </c:pt>
                <c:pt idx="92">
                  <c:v>2.76347138394822E-3</c:v>
                </c:pt>
                <c:pt idx="93">
                  <c:v>-3.3036530520740202E-3</c:v>
                </c:pt>
                <c:pt idx="94">
                  <c:v>-7.65826149675208E-3</c:v>
                </c:pt>
                <c:pt idx="95">
                  <c:v>-3.8474537601847101E-3</c:v>
                </c:pt>
                <c:pt idx="96">
                  <c:v>7.0539792705517999E-3</c:v>
                </c:pt>
                <c:pt idx="97">
                  <c:v>9.45847123643365E-3</c:v>
                </c:pt>
                <c:pt idx="98">
                  <c:v>5.8794412521149799E-3</c:v>
                </c:pt>
                <c:pt idx="99">
                  <c:v>6.6421677082046399E-3</c:v>
                </c:pt>
                <c:pt idx="100">
                  <c:v>2.0925488625290101E-3</c:v>
                </c:pt>
                <c:pt idx="101">
                  <c:v>5.1203832991134797E-3</c:v>
                </c:pt>
                <c:pt idx="102">
                  <c:v>2.5110043266182202E-3</c:v>
                </c:pt>
                <c:pt idx="103">
                  <c:v>4.7990735997989796E-3</c:v>
                </c:pt>
                <c:pt idx="104">
                  <c:v>2.05493391450143E-3</c:v>
                </c:pt>
                <c:pt idx="105">
                  <c:v>7.3678054979500006E-5</c:v>
                </c:pt>
                <c:pt idx="106">
                  <c:v>5.1527151819850802E-3</c:v>
                </c:pt>
                <c:pt idx="107">
                  <c:v>1.73183670314344E-3</c:v>
                </c:pt>
                <c:pt idx="108">
                  <c:v>5.1502547792228398E-3</c:v>
                </c:pt>
                <c:pt idx="109">
                  <c:v>5.0605450782086102E-3</c:v>
                </c:pt>
                <c:pt idx="110">
                  <c:v>2.2832314697399602E-3</c:v>
                </c:pt>
                <c:pt idx="111">
                  <c:v>2.1348259047066498E-3</c:v>
                </c:pt>
                <c:pt idx="112">
                  <c:v>1.49345092623408E-3</c:v>
                </c:pt>
                <c:pt idx="113">
                  <c:v>2.0988493131877798E-3</c:v>
                </c:pt>
                <c:pt idx="114">
                  <c:v>6.8874132778377504E-3</c:v>
                </c:pt>
                <c:pt idx="115">
                  <c:v>3.4279290558935399E-3</c:v>
                </c:pt>
                <c:pt idx="116">
                  <c:v>3.51091026372828E-3</c:v>
                </c:pt>
                <c:pt idx="117">
                  <c:v>3.2335428205573398E-3</c:v>
                </c:pt>
                <c:pt idx="118">
                  <c:v>5.9493971336929403E-4</c:v>
                </c:pt>
                <c:pt idx="119">
                  <c:v>6.3871315239880204E-3</c:v>
                </c:pt>
                <c:pt idx="120">
                  <c:v>6.79540902853824E-3</c:v>
                </c:pt>
                <c:pt idx="121">
                  <c:v>8.0118246614448406E-3</c:v>
                </c:pt>
                <c:pt idx="122">
                  <c:v>1.05596890056369E-2</c:v>
                </c:pt>
                <c:pt idx="123">
                  <c:v>1.48118817495968E-2</c:v>
                </c:pt>
                <c:pt idx="124">
                  <c:v>1.31713671925995E-2</c:v>
                </c:pt>
                <c:pt idx="125">
                  <c:v>1.30947102693681E-2</c:v>
                </c:pt>
                <c:pt idx="126">
                  <c:v>1.4430740575470899E-2</c:v>
                </c:pt>
                <c:pt idx="127">
                  <c:v>7.8425699213553694E-3</c:v>
                </c:pt>
                <c:pt idx="128">
                  <c:v>4.3798619566566797E-3</c:v>
                </c:pt>
                <c:pt idx="129">
                  <c:v>1.2634969389695001E-4</c:v>
                </c:pt>
                <c:pt idx="130">
                  <c:v>-1.0294115657083899E-3</c:v>
                </c:pt>
                <c:pt idx="131">
                  <c:v>-2.7682202709551598E-3</c:v>
                </c:pt>
                <c:pt idx="132">
                  <c:v>-3.6427674083460699E-3</c:v>
                </c:pt>
                <c:pt idx="133">
                  <c:v>-2.5779349001405901E-3</c:v>
                </c:pt>
                <c:pt idx="134">
                  <c:v>-1.2620956528946799E-3</c:v>
                </c:pt>
                <c:pt idx="135">
                  <c:v>-1.1256299949905901E-3</c:v>
                </c:pt>
                <c:pt idx="136">
                  <c:v>3.4028448996622799E-3</c:v>
                </c:pt>
                <c:pt idx="137">
                  <c:v>5.35334590014961E-3</c:v>
                </c:pt>
                <c:pt idx="138">
                  <c:v>8.4267168745350094E-3</c:v>
                </c:pt>
                <c:pt idx="139">
                  <c:v>7.3742873796980597E-3</c:v>
                </c:pt>
                <c:pt idx="140">
                  <c:v>3.80826934534996E-3</c:v>
                </c:pt>
                <c:pt idx="141">
                  <c:v>5.3184957537852403E-3</c:v>
                </c:pt>
                <c:pt idx="142">
                  <c:v>-1.5832964095837E-3</c:v>
                </c:pt>
                <c:pt idx="143">
                  <c:v>8.7746293613626003E-6</c:v>
                </c:pt>
                <c:pt idx="144">
                  <c:v>-3.84652247750816E-3</c:v>
                </c:pt>
                <c:pt idx="145">
                  <c:v>-8.6782570160868992E-3</c:v>
                </c:pt>
                <c:pt idx="146">
                  <c:v>-8.7806272887383397E-3</c:v>
                </c:pt>
                <c:pt idx="147">
                  <c:v>-5.6003005356004797E-3</c:v>
                </c:pt>
                <c:pt idx="148">
                  <c:v>-4.93911800103599E-3</c:v>
                </c:pt>
                <c:pt idx="149">
                  <c:v>-5.3026780481404499E-3</c:v>
                </c:pt>
                <c:pt idx="150">
                  <c:v>-5.5933499750948296E-3</c:v>
                </c:pt>
                <c:pt idx="151">
                  <c:v>-2.6458257427075002E-3</c:v>
                </c:pt>
                <c:pt idx="152">
                  <c:v>-9.2221296754051597E-3</c:v>
                </c:pt>
                <c:pt idx="153">
                  <c:v>-1.11121740651287E-2</c:v>
                </c:pt>
                <c:pt idx="154">
                  <c:v>-4.8294156598138998E-3</c:v>
                </c:pt>
                <c:pt idx="155">
                  <c:v>-3.4258430740496501E-3</c:v>
                </c:pt>
                <c:pt idx="156">
                  <c:v>-2.6474588718541502E-3</c:v>
                </c:pt>
                <c:pt idx="157">
                  <c:v>-4.9011852699981798E-3</c:v>
                </c:pt>
                <c:pt idx="158">
                  <c:v>9.0774599443881401E-3</c:v>
                </c:pt>
                <c:pt idx="159">
                  <c:v>5.4533153146633997E-3</c:v>
                </c:pt>
                <c:pt idx="160">
                  <c:v>4.8228366064525602E-4</c:v>
                </c:pt>
                <c:pt idx="161">
                  <c:v>8.3397176369981608E-3</c:v>
                </c:pt>
                <c:pt idx="162">
                  <c:v>7.8109521861074302E-3</c:v>
                </c:pt>
                <c:pt idx="163">
                  <c:v>6.19578071624811E-3</c:v>
                </c:pt>
                <c:pt idx="164">
                  <c:v>6.7027304682680602E-3</c:v>
                </c:pt>
                <c:pt idx="165">
                  <c:v>4.3709409466148597E-3</c:v>
                </c:pt>
                <c:pt idx="166">
                  <c:v>5.7852516628723802E-3</c:v>
                </c:pt>
                <c:pt idx="167">
                  <c:v>7.3705427177700898E-3</c:v>
                </c:pt>
                <c:pt idx="168">
                  <c:v>3.2873040786403599E-3</c:v>
                </c:pt>
                <c:pt idx="169">
                  <c:v>2.2015812110929098E-3</c:v>
                </c:pt>
                <c:pt idx="170">
                  <c:v>3.4799428474465901E-3</c:v>
                </c:pt>
                <c:pt idx="171">
                  <c:v>3.4633131337520602E-3</c:v>
                </c:pt>
                <c:pt idx="172">
                  <c:v>3.8141051108181402E-3</c:v>
                </c:pt>
                <c:pt idx="173">
                  <c:v>2.6889799185361601E-3</c:v>
                </c:pt>
                <c:pt idx="174">
                  <c:v>-3.41067699409881E-4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CB-463B-80A3-0A8C7B0BC782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IYK* x 20 dma / XLP*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1.6879060964220499E-3</c:v>
                </c:pt>
                <c:pt idx="21">
                  <c:v>-2.10059067629439E-6</c:v>
                </c:pt>
                <c:pt idx="22">
                  <c:v>-6.0407663035838399E-3</c:v>
                </c:pt>
                <c:pt idx="23">
                  <c:v>9.7472218752031603E-3</c:v>
                </c:pt>
                <c:pt idx="24">
                  <c:v>6.0485320372797103E-3</c:v>
                </c:pt>
                <c:pt idx="25">
                  <c:v>4.7693289215465402E-3</c:v>
                </c:pt>
                <c:pt idx="26">
                  <c:v>6.7334957494322003E-3</c:v>
                </c:pt>
                <c:pt idx="27">
                  <c:v>5.7651849964140004E-3</c:v>
                </c:pt>
                <c:pt idx="28">
                  <c:v>-4.7910286250873698E-4</c:v>
                </c:pt>
                <c:pt idx="29">
                  <c:v>-4.4655791235238603E-3</c:v>
                </c:pt>
                <c:pt idx="30">
                  <c:v>3.8725637094607501E-4</c:v>
                </c:pt>
                <c:pt idx="31">
                  <c:v>2.3343216374971799E-3</c:v>
                </c:pt>
                <c:pt idx="32">
                  <c:v>5.1300202726341001E-3</c:v>
                </c:pt>
                <c:pt idx="33">
                  <c:v>7.4200337766589398E-3</c:v>
                </c:pt>
                <c:pt idx="34">
                  <c:v>8.9918013696577703E-3</c:v>
                </c:pt>
                <c:pt idx="35">
                  <c:v>4.4143831052383198E-3</c:v>
                </c:pt>
                <c:pt idx="36">
                  <c:v>7.2326490150210103E-3</c:v>
                </c:pt>
                <c:pt idx="37">
                  <c:v>1.11681284684575E-2</c:v>
                </c:pt>
                <c:pt idx="38">
                  <c:v>9.6998295752463298E-3</c:v>
                </c:pt>
                <c:pt idx="39">
                  <c:v>1.25966566242559E-2</c:v>
                </c:pt>
                <c:pt idx="40">
                  <c:v>5.8274068967850597E-3</c:v>
                </c:pt>
                <c:pt idx="41">
                  <c:v>3.4144030819666001E-3</c:v>
                </c:pt>
                <c:pt idx="42">
                  <c:v>1.4017264041196801E-3</c:v>
                </c:pt>
                <c:pt idx="43">
                  <c:v>-3.3035975819978199E-3</c:v>
                </c:pt>
                <c:pt idx="44">
                  <c:v>5.1741106729802496E-4</c:v>
                </c:pt>
                <c:pt idx="45">
                  <c:v>-1.23165334133023E-3</c:v>
                </c:pt>
                <c:pt idx="46">
                  <c:v>9.2744163687087904E-4</c:v>
                </c:pt>
                <c:pt idx="47">
                  <c:v>3.1549492004062599E-3</c:v>
                </c:pt>
                <c:pt idx="48">
                  <c:v>1.8951626310810201E-3</c:v>
                </c:pt>
                <c:pt idx="49">
                  <c:v>-2.0955387326109599E-4</c:v>
                </c:pt>
                <c:pt idx="50">
                  <c:v>-1.4099384806592599E-3</c:v>
                </c:pt>
                <c:pt idx="51">
                  <c:v>-2.5225217064905299E-3</c:v>
                </c:pt>
                <c:pt idx="52">
                  <c:v>-2.0815169471791999E-3</c:v>
                </c:pt>
                <c:pt idx="53">
                  <c:v>-3.52859186212622E-3</c:v>
                </c:pt>
                <c:pt idx="54">
                  <c:v>-3.6956988057753001E-3</c:v>
                </c:pt>
                <c:pt idx="55">
                  <c:v>-1.96370484952874E-3</c:v>
                </c:pt>
                <c:pt idx="56">
                  <c:v>-1.6893776492835301E-3</c:v>
                </c:pt>
                <c:pt idx="57">
                  <c:v>-4.4475182246135796E-3</c:v>
                </c:pt>
                <c:pt idx="58">
                  <c:v>-6.1593123390702303E-3</c:v>
                </c:pt>
                <c:pt idx="59">
                  <c:v>-3.05838579046233E-3</c:v>
                </c:pt>
                <c:pt idx="60">
                  <c:v>-2.6425670548388398E-3</c:v>
                </c:pt>
                <c:pt idx="61">
                  <c:v>-2.5311245178230302E-3</c:v>
                </c:pt>
                <c:pt idx="62">
                  <c:v>-2.0927649904158799E-3</c:v>
                </c:pt>
                <c:pt idx="63">
                  <c:v>-6.9987854002340104E-3</c:v>
                </c:pt>
                <c:pt idx="64">
                  <c:v>4.4514162193502998E-4</c:v>
                </c:pt>
                <c:pt idx="65">
                  <c:v>-2.2029689138339599E-3</c:v>
                </c:pt>
                <c:pt idx="66">
                  <c:v>-3.10452448412075E-3</c:v>
                </c:pt>
                <c:pt idx="67">
                  <c:v>3.14658362514366E-3</c:v>
                </c:pt>
                <c:pt idx="68">
                  <c:v>5.8605117028759299E-3</c:v>
                </c:pt>
                <c:pt idx="69">
                  <c:v>3.4731611709400601E-3</c:v>
                </c:pt>
                <c:pt idx="70">
                  <c:v>-1.5930035066955301E-3</c:v>
                </c:pt>
                <c:pt idx="71">
                  <c:v>-5.0046828208141802E-4</c:v>
                </c:pt>
                <c:pt idx="72">
                  <c:v>-3.8294787378826598E-3</c:v>
                </c:pt>
                <c:pt idx="73">
                  <c:v>-7.6862418663990401E-3</c:v>
                </c:pt>
                <c:pt idx="74">
                  <c:v>-1.2941862757363899E-2</c:v>
                </c:pt>
                <c:pt idx="75">
                  <c:v>-1.00481025766249E-2</c:v>
                </c:pt>
                <c:pt idx="76">
                  <c:v>-7.5227882896109601E-3</c:v>
                </c:pt>
                <c:pt idx="77">
                  <c:v>-4.7967490385152E-3</c:v>
                </c:pt>
                <c:pt idx="78">
                  <c:v>-1.25534442084267E-3</c:v>
                </c:pt>
                <c:pt idx="79">
                  <c:v>4.8516121718744304E-3</c:v>
                </c:pt>
                <c:pt idx="80">
                  <c:v>3.6948079584988901E-3</c:v>
                </c:pt>
                <c:pt idx="81">
                  <c:v>-1.66849877352359E-3</c:v>
                </c:pt>
                <c:pt idx="82">
                  <c:v>-1.5172308412990201E-3</c:v>
                </c:pt>
                <c:pt idx="83">
                  <c:v>-1.39699626654886E-3</c:v>
                </c:pt>
                <c:pt idx="84">
                  <c:v>-3.33137007389812E-3</c:v>
                </c:pt>
                <c:pt idx="85">
                  <c:v>-4.8162033541558E-3</c:v>
                </c:pt>
                <c:pt idx="86">
                  <c:v>-6.4441723391750498E-3</c:v>
                </c:pt>
                <c:pt idx="87">
                  <c:v>-5.0713158153139898E-3</c:v>
                </c:pt>
                <c:pt idx="88">
                  <c:v>4.9451117578978698E-3</c:v>
                </c:pt>
                <c:pt idx="89">
                  <c:v>5.1629047888685498E-3</c:v>
                </c:pt>
                <c:pt idx="90">
                  <c:v>2.9990739536815201E-3</c:v>
                </c:pt>
                <c:pt idx="91">
                  <c:v>2.8810619559456801E-3</c:v>
                </c:pt>
                <c:pt idx="92">
                  <c:v>3.3958961920846501E-3</c:v>
                </c:pt>
                <c:pt idx="93">
                  <c:v>-2.5141543344471902E-3</c:v>
                </c:pt>
                <c:pt idx="94">
                  <c:v>-7.2050726827096101E-3</c:v>
                </c:pt>
                <c:pt idx="95">
                  <c:v>-4.0659076756966502E-3</c:v>
                </c:pt>
                <c:pt idx="96">
                  <c:v>6.6216858609064004E-3</c:v>
                </c:pt>
                <c:pt idx="97">
                  <c:v>9.6422641022505997E-3</c:v>
                </c:pt>
                <c:pt idx="98">
                  <c:v>6.8663077974699602E-3</c:v>
                </c:pt>
                <c:pt idx="99">
                  <c:v>7.5469519408846598E-3</c:v>
                </c:pt>
                <c:pt idx="100">
                  <c:v>3.27615361977841E-3</c:v>
                </c:pt>
                <c:pt idx="101">
                  <c:v>6.5580371932983297E-3</c:v>
                </c:pt>
                <c:pt idx="102">
                  <c:v>4.1171321414048704E-3</c:v>
                </c:pt>
                <c:pt idx="103">
                  <c:v>6.4284466628379304E-3</c:v>
                </c:pt>
                <c:pt idx="104">
                  <c:v>4.4183816323773197E-3</c:v>
                </c:pt>
                <c:pt idx="105">
                  <c:v>3.4723545712455899E-3</c:v>
                </c:pt>
                <c:pt idx="106">
                  <c:v>9.1442997059000899E-3</c:v>
                </c:pt>
                <c:pt idx="107">
                  <c:v>5.4396409799823001E-3</c:v>
                </c:pt>
                <c:pt idx="108">
                  <c:v>8.1255879611310897E-3</c:v>
                </c:pt>
                <c:pt idx="109">
                  <c:v>8.1589118170047898E-3</c:v>
                </c:pt>
                <c:pt idx="110">
                  <c:v>5.4189057485738703E-3</c:v>
                </c:pt>
                <c:pt idx="111">
                  <c:v>5.4921134398062304E-3</c:v>
                </c:pt>
                <c:pt idx="112">
                  <c:v>4.7649259086201996E-3</c:v>
                </c:pt>
                <c:pt idx="113">
                  <c:v>5.4991838349016404E-3</c:v>
                </c:pt>
                <c:pt idx="114">
                  <c:v>9.9222867146461207E-3</c:v>
                </c:pt>
                <c:pt idx="115">
                  <c:v>6.2804402621352501E-3</c:v>
                </c:pt>
                <c:pt idx="116">
                  <c:v>6.2779692329883703E-3</c:v>
                </c:pt>
                <c:pt idx="117">
                  <c:v>5.8915226418956102E-3</c:v>
                </c:pt>
                <c:pt idx="118">
                  <c:v>3.6108419847708101E-3</c:v>
                </c:pt>
                <c:pt idx="119">
                  <c:v>9.2158373798974895E-3</c:v>
                </c:pt>
                <c:pt idx="120">
                  <c:v>9.7426729182017099E-3</c:v>
                </c:pt>
                <c:pt idx="121">
                  <c:v>1.11560097954683E-2</c:v>
                </c:pt>
                <c:pt idx="122">
                  <c:v>1.41263855398935E-2</c:v>
                </c:pt>
                <c:pt idx="123">
                  <c:v>1.8912467063853699E-2</c:v>
                </c:pt>
                <c:pt idx="124">
                  <c:v>1.8112677371025801E-2</c:v>
                </c:pt>
                <c:pt idx="125">
                  <c:v>1.8296828685964401E-2</c:v>
                </c:pt>
                <c:pt idx="126">
                  <c:v>2.0182730600587701E-2</c:v>
                </c:pt>
                <c:pt idx="127">
                  <c:v>1.4523514135636101E-2</c:v>
                </c:pt>
                <c:pt idx="128">
                  <c:v>1.16221193317366E-2</c:v>
                </c:pt>
                <c:pt idx="129">
                  <c:v>8.2176930710067802E-3</c:v>
                </c:pt>
                <c:pt idx="130">
                  <c:v>7.2106867069740401E-3</c:v>
                </c:pt>
                <c:pt idx="131">
                  <c:v>5.3837005351296298E-3</c:v>
                </c:pt>
                <c:pt idx="132">
                  <c:v>4.1740097452712399E-3</c:v>
                </c:pt>
                <c:pt idx="133">
                  <c:v>4.4941697689769803E-3</c:v>
                </c:pt>
                <c:pt idx="134">
                  <c:v>4.5959191193949804E-3</c:v>
                </c:pt>
                <c:pt idx="135">
                  <c:v>3.7861250963168E-3</c:v>
                </c:pt>
                <c:pt idx="136">
                  <c:v>7.08846310969882E-3</c:v>
                </c:pt>
                <c:pt idx="137">
                  <c:v>7.7353095145934504E-3</c:v>
                </c:pt>
                <c:pt idx="138">
                  <c:v>1.00219558968938E-2</c:v>
                </c:pt>
                <c:pt idx="139">
                  <c:v>8.4128923634407497E-3</c:v>
                </c:pt>
                <c:pt idx="140">
                  <c:v>4.8165342351034002E-3</c:v>
                </c:pt>
                <c:pt idx="141">
                  <c:v>6.2374404045396001E-3</c:v>
                </c:pt>
                <c:pt idx="142">
                  <c:v>-4.4233798491126198E-4</c:v>
                </c:pt>
                <c:pt idx="143">
                  <c:v>1.2989567152236301E-3</c:v>
                </c:pt>
                <c:pt idx="144">
                  <c:v>-2.1318106708181702E-3</c:v>
                </c:pt>
                <c:pt idx="145">
                  <c:v>-6.7833930433353904E-3</c:v>
                </c:pt>
                <c:pt idx="146">
                  <c:v>-6.85452246989418E-3</c:v>
                </c:pt>
                <c:pt idx="147">
                  <c:v>-3.9106054658610504E-3</c:v>
                </c:pt>
                <c:pt idx="148">
                  <c:v>-3.74251956725502E-3</c:v>
                </c:pt>
                <c:pt idx="149">
                  <c:v>-5.0149928994529403E-3</c:v>
                </c:pt>
                <c:pt idx="150">
                  <c:v>-6.3748291104157202E-3</c:v>
                </c:pt>
                <c:pt idx="151">
                  <c:v>-4.3168814420960298E-3</c:v>
                </c:pt>
                <c:pt idx="152">
                  <c:v>-1.19505590829052E-2</c:v>
                </c:pt>
                <c:pt idx="153">
                  <c:v>-1.47121837473082E-2</c:v>
                </c:pt>
                <c:pt idx="154">
                  <c:v>-9.6011469232263006E-3</c:v>
                </c:pt>
                <c:pt idx="155">
                  <c:v>-8.7639261329360407E-3</c:v>
                </c:pt>
                <c:pt idx="156">
                  <c:v>-8.06825777193672E-3</c:v>
                </c:pt>
                <c:pt idx="157">
                  <c:v>-1.01413622851726E-2</c:v>
                </c:pt>
                <c:pt idx="158">
                  <c:v>3.7270683368715299E-3</c:v>
                </c:pt>
                <c:pt idx="159">
                  <c:v>8.1062611806297395E-4</c:v>
                </c:pt>
                <c:pt idx="160">
                  <c:v>-3.4869431482772899E-3</c:v>
                </c:pt>
                <c:pt idx="161">
                  <c:v>4.8230202727548403E-3</c:v>
                </c:pt>
                <c:pt idx="162">
                  <c:v>5.0510910374506604E-3</c:v>
                </c:pt>
                <c:pt idx="163">
                  <c:v>4.6641949616833501E-3</c:v>
                </c:pt>
                <c:pt idx="164">
                  <c:v>6.8009243485921004E-3</c:v>
                </c:pt>
                <c:pt idx="165">
                  <c:v>5.5830970589263703E-3</c:v>
                </c:pt>
                <c:pt idx="166">
                  <c:v>7.7830253519681298E-3</c:v>
                </c:pt>
                <c:pt idx="167">
                  <c:v>1.0229177427780799E-2</c:v>
                </c:pt>
                <c:pt idx="168">
                  <c:v>7.5424052798392796E-3</c:v>
                </c:pt>
                <c:pt idx="169">
                  <c:v>6.4282602443498102E-3</c:v>
                </c:pt>
                <c:pt idx="170">
                  <c:v>7.89467822486495E-3</c:v>
                </c:pt>
                <c:pt idx="171">
                  <c:v>8.5672681404422805E-3</c:v>
                </c:pt>
                <c:pt idx="172">
                  <c:v>8.9877761188766701E-3</c:v>
                </c:pt>
                <c:pt idx="173">
                  <c:v>7.6030023725001299E-3</c:v>
                </c:pt>
                <c:pt idx="174">
                  <c:v>4.1728917859464804E-3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CB-463B-80A3-0A8C7B0BC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XLP*/IYK*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1.16060033170917</c:v>
                </c:pt>
                <c:pt idx="1">
                  <c:v>1.16060033170917</c:v>
                </c:pt>
                <c:pt idx="2">
                  <c:v>1.16060033170917</c:v>
                </c:pt>
                <c:pt idx="3">
                  <c:v>1.16060033170917</c:v>
                </c:pt>
                <c:pt idx="4">
                  <c:v>1.16060033170917</c:v>
                </c:pt>
                <c:pt idx="5">
                  <c:v>1.16060033170917</c:v>
                </c:pt>
                <c:pt idx="6">
                  <c:v>1.16060033170917</c:v>
                </c:pt>
                <c:pt idx="7">
                  <c:v>1.16060033170917</c:v>
                </c:pt>
                <c:pt idx="8">
                  <c:v>1.16060033170917</c:v>
                </c:pt>
                <c:pt idx="9">
                  <c:v>1.16060033170917</c:v>
                </c:pt>
                <c:pt idx="10">
                  <c:v>1.16060033170917</c:v>
                </c:pt>
                <c:pt idx="11">
                  <c:v>1.16060033170917</c:v>
                </c:pt>
                <c:pt idx="12">
                  <c:v>1.16060033170917</c:v>
                </c:pt>
                <c:pt idx="13">
                  <c:v>1.16060033170917</c:v>
                </c:pt>
                <c:pt idx="14">
                  <c:v>1.16060033170917</c:v>
                </c:pt>
                <c:pt idx="15">
                  <c:v>1.16060033170917</c:v>
                </c:pt>
                <c:pt idx="16">
                  <c:v>1.16060033170917</c:v>
                </c:pt>
                <c:pt idx="17">
                  <c:v>1.16060033170917</c:v>
                </c:pt>
                <c:pt idx="18">
                  <c:v>1.16060033170917</c:v>
                </c:pt>
                <c:pt idx="19">
                  <c:v>1.16060033170917</c:v>
                </c:pt>
                <c:pt idx="20">
                  <c:v>1.16060033170917</c:v>
                </c:pt>
                <c:pt idx="21">
                  <c:v>1.16060033170917</c:v>
                </c:pt>
                <c:pt idx="22">
                  <c:v>1.16060033170917</c:v>
                </c:pt>
                <c:pt idx="23">
                  <c:v>1.16060033170917</c:v>
                </c:pt>
                <c:pt idx="24">
                  <c:v>1.16060033170917</c:v>
                </c:pt>
                <c:pt idx="25">
                  <c:v>1.16060033170917</c:v>
                </c:pt>
                <c:pt idx="26">
                  <c:v>1.16060033170917</c:v>
                </c:pt>
                <c:pt idx="27">
                  <c:v>1.16060033170917</c:v>
                </c:pt>
                <c:pt idx="28">
                  <c:v>1.16060033170917</c:v>
                </c:pt>
                <c:pt idx="29">
                  <c:v>1.16060033170917</c:v>
                </c:pt>
                <c:pt idx="30">
                  <c:v>1.16060033170917</c:v>
                </c:pt>
                <c:pt idx="31">
                  <c:v>1.16060033170917</c:v>
                </c:pt>
                <c:pt idx="32">
                  <c:v>1.16060033170917</c:v>
                </c:pt>
                <c:pt idx="33">
                  <c:v>1.16060033170917</c:v>
                </c:pt>
                <c:pt idx="34">
                  <c:v>1.16060033170917</c:v>
                </c:pt>
                <c:pt idx="35">
                  <c:v>1.16060033170917</c:v>
                </c:pt>
                <c:pt idx="36">
                  <c:v>1.16060033170917</c:v>
                </c:pt>
                <c:pt idx="37">
                  <c:v>1.16060033170917</c:v>
                </c:pt>
                <c:pt idx="38">
                  <c:v>1.16060033170917</c:v>
                </c:pt>
                <c:pt idx="39">
                  <c:v>1.16060033170917</c:v>
                </c:pt>
                <c:pt idx="40">
                  <c:v>1.16060033170917</c:v>
                </c:pt>
                <c:pt idx="41">
                  <c:v>1.16060033170917</c:v>
                </c:pt>
                <c:pt idx="42">
                  <c:v>1.16060033170917</c:v>
                </c:pt>
                <c:pt idx="43">
                  <c:v>1.16060033170917</c:v>
                </c:pt>
                <c:pt idx="44">
                  <c:v>1.16060033170917</c:v>
                </c:pt>
                <c:pt idx="45">
                  <c:v>1.16060033170917</c:v>
                </c:pt>
                <c:pt idx="46">
                  <c:v>1.16060033170917</c:v>
                </c:pt>
                <c:pt idx="47">
                  <c:v>1.16060033170917</c:v>
                </c:pt>
                <c:pt idx="48">
                  <c:v>1.16060033170917</c:v>
                </c:pt>
                <c:pt idx="49">
                  <c:v>1.16060033170917</c:v>
                </c:pt>
                <c:pt idx="50">
                  <c:v>1.16060033170917</c:v>
                </c:pt>
                <c:pt idx="51">
                  <c:v>1.16060033170917</c:v>
                </c:pt>
                <c:pt idx="52">
                  <c:v>1.16060033170917</c:v>
                </c:pt>
                <c:pt idx="53">
                  <c:v>1.16060033170917</c:v>
                </c:pt>
                <c:pt idx="54">
                  <c:v>1.16060033170917</c:v>
                </c:pt>
                <c:pt idx="55">
                  <c:v>1.16060033170917</c:v>
                </c:pt>
                <c:pt idx="56">
                  <c:v>1.16060033170917</c:v>
                </c:pt>
                <c:pt idx="57">
                  <c:v>1.16060033170917</c:v>
                </c:pt>
                <c:pt idx="58">
                  <c:v>1.16060033170917</c:v>
                </c:pt>
                <c:pt idx="59">
                  <c:v>1.16060033170917</c:v>
                </c:pt>
                <c:pt idx="60">
                  <c:v>1.16060033170917</c:v>
                </c:pt>
                <c:pt idx="61">
                  <c:v>1.16060033170917</c:v>
                </c:pt>
                <c:pt idx="62">
                  <c:v>1.16060033170917</c:v>
                </c:pt>
                <c:pt idx="63">
                  <c:v>1.16060033170917</c:v>
                </c:pt>
                <c:pt idx="64">
                  <c:v>1.16060033170917</c:v>
                </c:pt>
                <c:pt idx="65">
                  <c:v>1.16060033170917</c:v>
                </c:pt>
                <c:pt idx="66">
                  <c:v>1.16060033170917</c:v>
                </c:pt>
                <c:pt idx="67">
                  <c:v>1.16060033170917</c:v>
                </c:pt>
                <c:pt idx="68">
                  <c:v>1.16060033170917</c:v>
                </c:pt>
                <c:pt idx="69">
                  <c:v>1.16060033170917</c:v>
                </c:pt>
                <c:pt idx="70">
                  <c:v>1.16060033170917</c:v>
                </c:pt>
                <c:pt idx="71">
                  <c:v>1.16060033170917</c:v>
                </c:pt>
                <c:pt idx="72">
                  <c:v>1.16060033170917</c:v>
                </c:pt>
                <c:pt idx="73">
                  <c:v>1.16060033170917</c:v>
                </c:pt>
                <c:pt idx="74">
                  <c:v>1.16060033170917</c:v>
                </c:pt>
                <c:pt idx="75">
                  <c:v>1.16060033170917</c:v>
                </c:pt>
                <c:pt idx="76">
                  <c:v>1.16060033170917</c:v>
                </c:pt>
                <c:pt idx="77">
                  <c:v>1.16060033170917</c:v>
                </c:pt>
                <c:pt idx="78">
                  <c:v>1.16060033170917</c:v>
                </c:pt>
                <c:pt idx="79">
                  <c:v>1.16060033170917</c:v>
                </c:pt>
                <c:pt idx="80">
                  <c:v>1.16060033170917</c:v>
                </c:pt>
                <c:pt idx="81">
                  <c:v>1.16060033170917</c:v>
                </c:pt>
                <c:pt idx="82">
                  <c:v>1.16060033170917</c:v>
                </c:pt>
                <c:pt idx="83">
                  <c:v>1.16060033170917</c:v>
                </c:pt>
                <c:pt idx="84">
                  <c:v>1.16060033170917</c:v>
                </c:pt>
                <c:pt idx="85">
                  <c:v>1.16060033170917</c:v>
                </c:pt>
                <c:pt idx="86">
                  <c:v>1.16060033170917</c:v>
                </c:pt>
                <c:pt idx="87">
                  <c:v>1.16060033170917</c:v>
                </c:pt>
                <c:pt idx="88">
                  <c:v>1.16060033170917</c:v>
                </c:pt>
                <c:pt idx="89">
                  <c:v>1.16060033170917</c:v>
                </c:pt>
                <c:pt idx="90">
                  <c:v>1.16060033170917</c:v>
                </c:pt>
                <c:pt idx="91">
                  <c:v>1.16060033170917</c:v>
                </c:pt>
                <c:pt idx="92">
                  <c:v>1.16060033170917</c:v>
                </c:pt>
                <c:pt idx="93">
                  <c:v>1.16060033170917</c:v>
                </c:pt>
                <c:pt idx="94">
                  <c:v>1.16060033170917</c:v>
                </c:pt>
                <c:pt idx="95">
                  <c:v>1.16060033170917</c:v>
                </c:pt>
                <c:pt idx="96">
                  <c:v>1.16060033170917</c:v>
                </c:pt>
                <c:pt idx="97">
                  <c:v>1.16060033170917</c:v>
                </c:pt>
                <c:pt idx="98">
                  <c:v>1.16060033170917</c:v>
                </c:pt>
                <c:pt idx="99">
                  <c:v>1.16060033170917</c:v>
                </c:pt>
                <c:pt idx="100">
                  <c:v>1.16060033170917</c:v>
                </c:pt>
                <c:pt idx="101">
                  <c:v>1.16060033170917</c:v>
                </c:pt>
                <c:pt idx="102">
                  <c:v>1.16060033170917</c:v>
                </c:pt>
                <c:pt idx="103">
                  <c:v>1.16060033170917</c:v>
                </c:pt>
                <c:pt idx="104">
                  <c:v>1.16060033170917</c:v>
                </c:pt>
                <c:pt idx="105">
                  <c:v>1.16060033170917</c:v>
                </c:pt>
                <c:pt idx="106">
                  <c:v>1.16060033170917</c:v>
                </c:pt>
                <c:pt idx="107">
                  <c:v>1.16060033170917</c:v>
                </c:pt>
                <c:pt idx="108">
                  <c:v>1.16060033170917</c:v>
                </c:pt>
                <c:pt idx="109">
                  <c:v>1.16060033170917</c:v>
                </c:pt>
                <c:pt idx="110">
                  <c:v>1.16060033170917</c:v>
                </c:pt>
                <c:pt idx="111">
                  <c:v>1.16060033170917</c:v>
                </c:pt>
                <c:pt idx="112">
                  <c:v>1.16060033170917</c:v>
                </c:pt>
                <c:pt idx="113">
                  <c:v>1.16060033170917</c:v>
                </c:pt>
                <c:pt idx="114">
                  <c:v>1.16060033170917</c:v>
                </c:pt>
                <c:pt idx="115">
                  <c:v>1.16060033170917</c:v>
                </c:pt>
                <c:pt idx="116">
                  <c:v>1.16060033170917</c:v>
                </c:pt>
                <c:pt idx="117">
                  <c:v>1.16060033170917</c:v>
                </c:pt>
                <c:pt idx="118">
                  <c:v>1.16060033170917</c:v>
                </c:pt>
                <c:pt idx="119">
                  <c:v>1.16060033170917</c:v>
                </c:pt>
                <c:pt idx="120">
                  <c:v>1.16060033170917</c:v>
                </c:pt>
                <c:pt idx="121">
                  <c:v>1.16060033170917</c:v>
                </c:pt>
                <c:pt idx="122">
                  <c:v>1.16060033170917</c:v>
                </c:pt>
                <c:pt idx="123">
                  <c:v>1.16060033170917</c:v>
                </c:pt>
                <c:pt idx="124">
                  <c:v>1.16060033170917</c:v>
                </c:pt>
                <c:pt idx="125">
                  <c:v>1.16060033170917</c:v>
                </c:pt>
                <c:pt idx="126">
                  <c:v>1.16060033170917</c:v>
                </c:pt>
                <c:pt idx="127">
                  <c:v>1.16060033170917</c:v>
                </c:pt>
                <c:pt idx="128">
                  <c:v>1.16060033170917</c:v>
                </c:pt>
                <c:pt idx="129">
                  <c:v>1.16060033170917</c:v>
                </c:pt>
                <c:pt idx="130">
                  <c:v>1.16060033170917</c:v>
                </c:pt>
                <c:pt idx="131">
                  <c:v>1.16060033170917</c:v>
                </c:pt>
                <c:pt idx="132">
                  <c:v>1.16060033170917</c:v>
                </c:pt>
                <c:pt idx="133">
                  <c:v>1.16060033170917</c:v>
                </c:pt>
                <c:pt idx="134">
                  <c:v>1.16060033170917</c:v>
                </c:pt>
                <c:pt idx="135">
                  <c:v>1.16060033170917</c:v>
                </c:pt>
                <c:pt idx="136">
                  <c:v>1.16060033170917</c:v>
                </c:pt>
                <c:pt idx="137">
                  <c:v>1.16060033170917</c:v>
                </c:pt>
                <c:pt idx="138">
                  <c:v>1.16060033170917</c:v>
                </c:pt>
                <c:pt idx="139">
                  <c:v>1.16060033170917</c:v>
                </c:pt>
                <c:pt idx="140">
                  <c:v>1.16060033170917</c:v>
                </c:pt>
                <c:pt idx="141">
                  <c:v>1.16060033170917</c:v>
                </c:pt>
                <c:pt idx="142">
                  <c:v>1.16060033170917</c:v>
                </c:pt>
                <c:pt idx="143">
                  <c:v>1.16060033170917</c:v>
                </c:pt>
                <c:pt idx="144">
                  <c:v>1.16060033170917</c:v>
                </c:pt>
                <c:pt idx="145">
                  <c:v>1.16060033170917</c:v>
                </c:pt>
                <c:pt idx="146">
                  <c:v>1.16060033170917</c:v>
                </c:pt>
                <c:pt idx="147">
                  <c:v>1.16060033170917</c:v>
                </c:pt>
                <c:pt idx="148">
                  <c:v>1.16060033170917</c:v>
                </c:pt>
                <c:pt idx="149">
                  <c:v>1.16060033170917</c:v>
                </c:pt>
                <c:pt idx="150">
                  <c:v>1.16060033170917</c:v>
                </c:pt>
                <c:pt idx="151">
                  <c:v>1.16060033170917</c:v>
                </c:pt>
                <c:pt idx="152">
                  <c:v>1.16060033170917</c:v>
                </c:pt>
                <c:pt idx="153">
                  <c:v>1.16060033170917</c:v>
                </c:pt>
                <c:pt idx="154">
                  <c:v>1.16060033170917</c:v>
                </c:pt>
                <c:pt idx="155">
                  <c:v>1.16060033170917</c:v>
                </c:pt>
                <c:pt idx="156">
                  <c:v>1.16060033170917</c:v>
                </c:pt>
                <c:pt idx="157">
                  <c:v>1.16060033170917</c:v>
                </c:pt>
                <c:pt idx="158">
                  <c:v>1.16060033170917</c:v>
                </c:pt>
                <c:pt idx="159">
                  <c:v>1.16060033170917</c:v>
                </c:pt>
                <c:pt idx="160">
                  <c:v>1.16060033170917</c:v>
                </c:pt>
                <c:pt idx="161">
                  <c:v>1.16060033170917</c:v>
                </c:pt>
                <c:pt idx="162">
                  <c:v>1.16060033170917</c:v>
                </c:pt>
                <c:pt idx="163">
                  <c:v>1.16060033170917</c:v>
                </c:pt>
                <c:pt idx="164">
                  <c:v>1.16060033170917</c:v>
                </c:pt>
                <c:pt idx="165">
                  <c:v>1.16060033170917</c:v>
                </c:pt>
                <c:pt idx="166">
                  <c:v>1.16060033170917</c:v>
                </c:pt>
                <c:pt idx="167">
                  <c:v>1.16060033170917</c:v>
                </c:pt>
                <c:pt idx="168">
                  <c:v>1.16060033170917</c:v>
                </c:pt>
                <c:pt idx="169">
                  <c:v>1.16060033170917</c:v>
                </c:pt>
                <c:pt idx="170">
                  <c:v>1.16060033170917</c:v>
                </c:pt>
                <c:pt idx="171">
                  <c:v>1.16060033170917</c:v>
                </c:pt>
                <c:pt idx="172">
                  <c:v>1.16060033170917</c:v>
                </c:pt>
                <c:pt idx="173">
                  <c:v>1.16060033170917</c:v>
                </c:pt>
                <c:pt idx="174">
                  <c:v>1.16060033170917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7E-4E9A-B4E2-BC08DA60E2FC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XLP*/IYK*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1.17786688328375</c:v>
                </c:pt>
                <c:pt idx="10">
                  <c:v>1.1798411603671199</c:v>
                </c:pt>
                <c:pt idx="11">
                  <c:v>1.1812779551330801</c:v>
                </c:pt>
                <c:pt idx="12">
                  <c:v>1.1820128974687201</c:v>
                </c:pt>
                <c:pt idx="13">
                  <c:v>1.1823494302484101</c:v>
                </c:pt>
                <c:pt idx="14">
                  <c:v>1.1823592205303699</c:v>
                </c:pt>
                <c:pt idx="15">
                  <c:v>1.18174626701563</c:v>
                </c:pt>
                <c:pt idx="16">
                  <c:v>1.18090768575564</c:v>
                </c:pt>
                <c:pt idx="17">
                  <c:v>1.17935597762391</c:v>
                </c:pt>
                <c:pt idx="18">
                  <c:v>1.17767975091594</c:v>
                </c:pt>
                <c:pt idx="19">
                  <c:v>1.1762632378201701</c:v>
                </c:pt>
                <c:pt idx="20">
                  <c:v>1.17533765538899</c:v>
                </c:pt>
                <c:pt idx="21">
                  <c:v>1.1747465058481901</c:v>
                </c:pt>
                <c:pt idx="22">
                  <c:v>1.1748982474287999</c:v>
                </c:pt>
                <c:pt idx="23">
                  <c:v>1.1738028942938801</c:v>
                </c:pt>
                <c:pt idx="24">
                  <c:v>1.17313021165861</c:v>
                </c:pt>
                <c:pt idx="25">
                  <c:v>1.17302572132156</c:v>
                </c:pt>
                <c:pt idx="26">
                  <c:v>1.1724833749160399</c:v>
                </c:pt>
                <c:pt idx="27">
                  <c:v>1.17241164655153</c:v>
                </c:pt>
                <c:pt idx="28">
                  <c:v>1.1732284976759999</c:v>
                </c:pt>
                <c:pt idx="29">
                  <c:v>1.1744537630147101</c:v>
                </c:pt>
                <c:pt idx="30">
                  <c:v>1.1744361092556099</c:v>
                </c:pt>
                <c:pt idx="31">
                  <c:v>1.1738916728017199</c:v>
                </c:pt>
                <c:pt idx="32">
                  <c:v>1.17220770987986</c:v>
                </c:pt>
                <c:pt idx="33">
                  <c:v>1.17199297964331</c:v>
                </c:pt>
                <c:pt idx="34">
                  <c:v>1.1711356504903301</c:v>
                </c:pt>
                <c:pt idx="35">
                  <c:v>1.1706185558258</c:v>
                </c:pt>
                <c:pt idx="36">
                  <c:v>1.1700078192460499</c:v>
                </c:pt>
                <c:pt idx="37">
                  <c:v>1.16883847595955</c:v>
                </c:pt>
                <c:pt idx="38">
                  <c:v>1.1671262533389699</c:v>
                </c:pt>
                <c:pt idx="39">
                  <c:v>1.16460770918442</c:v>
                </c:pt>
                <c:pt idx="40">
                  <c:v>1.1633908892332501</c:v>
                </c:pt>
                <c:pt idx="41">
                  <c:v>1.16266905386827</c:v>
                </c:pt>
                <c:pt idx="42">
                  <c:v>1.1625024205247501</c:v>
                </c:pt>
                <c:pt idx="43">
                  <c:v>1.1631364716702699</c:v>
                </c:pt>
                <c:pt idx="44">
                  <c:v>1.1635926741954701</c:v>
                </c:pt>
                <c:pt idx="45">
                  <c:v>1.1637759487033199</c:v>
                </c:pt>
                <c:pt idx="46">
                  <c:v>1.16404973974977</c:v>
                </c:pt>
                <c:pt idx="47">
                  <c:v>1.1645612314853599</c:v>
                </c:pt>
                <c:pt idx="48">
                  <c:v>1.1650778086312601</c:v>
                </c:pt>
                <c:pt idx="49">
                  <c:v>1.1661595000387801</c:v>
                </c:pt>
                <c:pt idx="50">
                  <c:v>1.1665887659121601</c:v>
                </c:pt>
                <c:pt idx="51">
                  <c:v>1.1668890745098</c:v>
                </c:pt>
                <c:pt idx="52">
                  <c:v>1.1669452940620799</c:v>
                </c:pt>
                <c:pt idx="53">
                  <c:v>1.16670759788318</c:v>
                </c:pt>
                <c:pt idx="54">
                  <c:v>1.1669350408747701</c:v>
                </c:pt>
                <c:pt idx="55">
                  <c:v>1.1668101912644799</c:v>
                </c:pt>
                <c:pt idx="56">
                  <c:v>1.16692500197438</c:v>
                </c:pt>
                <c:pt idx="57">
                  <c:v>1.1676579795940301</c:v>
                </c:pt>
                <c:pt idx="58">
                  <c:v>1.16854031380517</c:v>
                </c:pt>
                <c:pt idx="59">
                  <c:v>1.1689439796307699</c:v>
                </c:pt>
                <c:pt idx="60">
                  <c:v>1.1693053067405299</c:v>
                </c:pt>
                <c:pt idx="61">
                  <c:v>1.1696027818247401</c:v>
                </c:pt>
                <c:pt idx="62">
                  <c:v>1.1699515074012801</c:v>
                </c:pt>
                <c:pt idx="63">
                  <c:v>1.17073289263639</c:v>
                </c:pt>
                <c:pt idx="64">
                  <c:v>1.1706293840450701</c:v>
                </c:pt>
                <c:pt idx="65">
                  <c:v>1.1710099341964799</c:v>
                </c:pt>
                <c:pt idx="66">
                  <c:v>1.1715380599598999</c:v>
                </c:pt>
                <c:pt idx="67">
                  <c:v>1.1710256386778299</c:v>
                </c:pt>
                <c:pt idx="68">
                  <c:v>1.16994510925277</c:v>
                </c:pt>
                <c:pt idx="69">
                  <c:v>1.16942568036696</c:v>
                </c:pt>
                <c:pt idx="70">
                  <c:v>1.16946644796963</c:v>
                </c:pt>
                <c:pt idx="71">
                  <c:v>1.16937287439204</c:v>
                </c:pt>
                <c:pt idx="72">
                  <c:v>1.1697010334578199</c:v>
                </c:pt>
                <c:pt idx="73">
                  <c:v>1.16992080127802</c:v>
                </c:pt>
                <c:pt idx="74">
                  <c:v>1.1716579388427799</c:v>
                </c:pt>
                <c:pt idx="75">
                  <c:v>1.1728190300404699</c:v>
                </c:pt>
                <c:pt idx="76">
                  <c:v>1.17364094795758</c:v>
                </c:pt>
                <c:pt idx="77">
                  <c:v>1.1749078884259501</c:v>
                </c:pt>
                <c:pt idx="78">
                  <c:v>1.1761010140234101</c:v>
                </c:pt>
                <c:pt idx="79">
                  <c:v>1.1763167144814899</c:v>
                </c:pt>
                <c:pt idx="80">
                  <c:v>1.17606639745234</c:v>
                </c:pt>
                <c:pt idx="81">
                  <c:v>1.17654175255381</c:v>
                </c:pt>
                <c:pt idx="82">
                  <c:v>1.1766180893720899</c:v>
                </c:pt>
                <c:pt idx="83">
                  <c:v>1.1762128017492199</c:v>
                </c:pt>
                <c:pt idx="84">
                  <c:v>1.1753537764584501</c:v>
                </c:pt>
                <c:pt idx="85">
                  <c:v>1.17497383436776</c:v>
                </c:pt>
                <c:pt idx="86">
                  <c:v>1.1750460202984701</c:v>
                </c:pt>
                <c:pt idx="87">
                  <c:v>1.17525466473132</c:v>
                </c:pt>
                <c:pt idx="88">
                  <c:v>1.1747391194341399</c:v>
                </c:pt>
                <c:pt idx="89">
                  <c:v>1.17494125262423</c:v>
                </c:pt>
                <c:pt idx="90">
                  <c:v>1.17529753337883</c:v>
                </c:pt>
                <c:pt idx="91">
                  <c:v>1.1750550145940699</c:v>
                </c:pt>
                <c:pt idx="92">
                  <c:v>1.1747624101076799</c:v>
                </c:pt>
                <c:pt idx="93">
                  <c:v>1.1751474330178699</c:v>
                </c:pt>
                <c:pt idx="94">
                  <c:v>1.17586746605182</c:v>
                </c:pt>
                <c:pt idx="95">
                  <c:v>1.1759903603983899</c:v>
                </c:pt>
                <c:pt idx="96">
                  <c:v>1.1746142091943099</c:v>
                </c:pt>
                <c:pt idx="97">
                  <c:v>1.17293845458297</c:v>
                </c:pt>
                <c:pt idx="98">
                  <c:v>1.17261622984895</c:v>
                </c:pt>
                <c:pt idx="99">
                  <c:v>1.17216485008106</c:v>
                </c:pt>
                <c:pt idx="100">
                  <c:v>1.1719254636120999</c:v>
                </c:pt>
                <c:pt idx="101">
                  <c:v>1.17128951014001</c:v>
                </c:pt>
                <c:pt idx="102">
                  <c:v>1.1709434921626201</c:v>
                </c:pt>
                <c:pt idx="103">
                  <c:v>1.16961225969611</c:v>
                </c:pt>
                <c:pt idx="104">
                  <c:v>1.1679152280471301</c:v>
                </c:pt>
                <c:pt idx="105">
                  <c:v>1.16665811859135</c:v>
                </c:pt>
                <c:pt idx="106">
                  <c:v>1.1659519170669901</c:v>
                </c:pt>
                <c:pt idx="107">
                  <c:v>1.1659897065615099</c:v>
                </c:pt>
                <c:pt idx="108">
                  <c:v>1.1653834600472901</c:v>
                </c:pt>
                <c:pt idx="109">
                  <c:v>1.16484821560798</c:v>
                </c:pt>
                <c:pt idx="110">
                  <c:v>1.1640959185153801</c:v>
                </c:pt>
                <c:pt idx="111">
                  <c:v>1.1636632519519099</c:v>
                </c:pt>
                <c:pt idx="112">
                  <c:v>1.1630207107981101</c:v>
                </c:pt>
                <c:pt idx="113">
                  <c:v>1.1625451862738301</c:v>
                </c:pt>
                <c:pt idx="114">
                  <c:v>1.1612806378582401</c:v>
                </c:pt>
                <c:pt idx="115">
                  <c:v>1.16022838624447</c:v>
                </c:pt>
                <c:pt idx="116">
                  <c:v>1.15977838106633</c:v>
                </c:pt>
                <c:pt idx="117">
                  <c:v>1.1589883629117601</c:v>
                </c:pt>
                <c:pt idx="118">
                  <c:v>1.1588182668898099</c:v>
                </c:pt>
                <c:pt idx="119">
                  <c:v>1.1580122116521201</c:v>
                </c:pt>
                <c:pt idx="120">
                  <c:v>1.1568100206720699</c:v>
                </c:pt>
                <c:pt idx="121">
                  <c:v>1.15540656696394</c:v>
                </c:pt>
                <c:pt idx="122">
                  <c:v>1.15354090193529</c:v>
                </c:pt>
                <c:pt idx="123">
                  <c:v>1.1511407460696299</c:v>
                </c:pt>
                <c:pt idx="124">
                  <c:v>1.1492919757683899</c:v>
                </c:pt>
                <c:pt idx="125">
                  <c:v>1.14699535293379</c:v>
                </c:pt>
                <c:pt idx="126">
                  <c:v>1.1444353675325101</c:v>
                </c:pt>
                <c:pt idx="127">
                  <c:v>1.14238145867231</c:v>
                </c:pt>
                <c:pt idx="128">
                  <c:v>1.14029044738052</c:v>
                </c:pt>
                <c:pt idx="129">
                  <c:v>1.1391610525720199</c:v>
                </c:pt>
                <c:pt idx="130">
                  <c:v>1.13817751259834</c:v>
                </c:pt>
                <c:pt idx="131">
                  <c:v>1.13755288395248</c:v>
                </c:pt>
                <c:pt idx="132">
                  <c:v>1.13739630959719</c:v>
                </c:pt>
                <c:pt idx="133">
                  <c:v>1.13777146151043</c:v>
                </c:pt>
                <c:pt idx="134">
                  <c:v>1.1380844895151501</c:v>
                </c:pt>
                <c:pt idx="135">
                  <c:v>1.1385870730965399</c:v>
                </c:pt>
                <c:pt idx="136">
                  <c:v>1.13900277365344</c:v>
                </c:pt>
                <c:pt idx="137">
                  <c:v>1.13874541701411</c:v>
                </c:pt>
                <c:pt idx="138">
                  <c:v>1.13792550926475</c:v>
                </c:pt>
                <c:pt idx="139">
                  <c:v>1.13686736954027</c:v>
                </c:pt>
                <c:pt idx="140">
                  <c:v>1.1360885479360701</c:v>
                </c:pt>
                <c:pt idx="141">
                  <c:v>1.1349615181017301</c:v>
                </c:pt>
                <c:pt idx="142">
                  <c:v>1.13446708217231</c:v>
                </c:pt>
                <c:pt idx="143">
                  <c:v>1.1338795723497199</c:v>
                </c:pt>
                <c:pt idx="144">
                  <c:v>1.13378368436882</c:v>
                </c:pt>
                <c:pt idx="145">
                  <c:v>1.13421363390574</c:v>
                </c:pt>
                <c:pt idx="146">
                  <c:v>1.1351633709545199</c:v>
                </c:pt>
                <c:pt idx="147">
                  <c:v>1.1360250581395099</c:v>
                </c:pt>
                <c:pt idx="148">
                  <c:v>1.13727106314225</c:v>
                </c:pt>
                <c:pt idx="149">
                  <c:v>1.1386463310395201</c:v>
                </c:pt>
                <c:pt idx="150">
                  <c:v>1.1398950227836</c:v>
                </c:pt>
                <c:pt idx="151">
                  <c:v>1.1411802902297199</c:v>
                </c:pt>
                <c:pt idx="152">
                  <c:v>1.1426796060105999</c:v>
                </c:pt>
                <c:pt idx="153">
                  <c:v>1.1447787004432199</c:v>
                </c:pt>
                <c:pt idx="154">
                  <c:v>1.14598582238902</c:v>
                </c:pt>
                <c:pt idx="155">
                  <c:v>1.14661109782382</c:v>
                </c:pt>
                <c:pt idx="156">
                  <c:v>1.14715451107047</c:v>
                </c:pt>
                <c:pt idx="157">
                  <c:v>1.14827973778195</c:v>
                </c:pt>
                <c:pt idx="158">
                  <c:v>1.1479050919340701</c:v>
                </c:pt>
                <c:pt idx="159">
                  <c:v>1.14773954975843</c:v>
                </c:pt>
                <c:pt idx="160">
                  <c:v>1.1479548621452</c:v>
                </c:pt>
                <c:pt idx="161">
                  <c:v>1.1475054694326401</c:v>
                </c:pt>
                <c:pt idx="162">
                  <c:v>1.1461878887918999</c:v>
                </c:pt>
                <c:pt idx="163">
                  <c:v>1.1445539130271001</c:v>
                </c:pt>
                <c:pt idx="164">
                  <c:v>1.14321263758948</c:v>
                </c:pt>
                <c:pt idx="165">
                  <c:v>1.1420434480730099</c:v>
                </c:pt>
                <c:pt idx="166">
                  <c:v>1.1406239269431899</c:v>
                </c:pt>
                <c:pt idx="167">
                  <c:v>1.1385696356505499</c:v>
                </c:pt>
                <c:pt idx="168">
                  <c:v>1.1382625871797101</c:v>
                </c:pt>
                <c:pt idx="169">
                  <c:v>1.13767229968802</c:v>
                </c:pt>
                <c:pt idx="170">
                  <c:v>1.1363256995423401</c:v>
                </c:pt>
                <c:pt idx="171">
                  <c:v>1.1357232997605</c:v>
                </c:pt>
                <c:pt idx="172">
                  <c:v>1.1350055506412899</c:v>
                </c:pt>
                <c:pt idx="173">
                  <c:v>1.13429048352725</c:v>
                </c:pt>
                <c:pt idx="174">
                  <c:v>1.13406743248775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7E-4E9A-B4E2-BC08DA60E2FC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XLP*/IYK*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1.1770650605519599</c:v>
                </c:pt>
                <c:pt idx="20">
                  <c:v>1.17758940787805</c:v>
                </c:pt>
                <c:pt idx="21">
                  <c:v>1.17801223049063</c:v>
                </c:pt>
                <c:pt idx="22">
                  <c:v>1.17845557244876</c:v>
                </c:pt>
                <c:pt idx="23">
                  <c:v>1.17807616227114</c:v>
                </c:pt>
                <c:pt idx="24">
                  <c:v>1.1777447160944901</c:v>
                </c:pt>
                <c:pt idx="25">
                  <c:v>1.1773859941686</c:v>
                </c:pt>
                <c:pt idx="26">
                  <c:v>1.17669553033584</c:v>
                </c:pt>
                <c:pt idx="27">
                  <c:v>1.17588381208772</c:v>
                </c:pt>
                <c:pt idx="28">
                  <c:v>1.17545412429597</c:v>
                </c:pt>
                <c:pt idx="29">
                  <c:v>1.1753585004174401</c:v>
                </c:pt>
                <c:pt idx="30">
                  <c:v>1.1748868823223</c:v>
                </c:pt>
                <c:pt idx="31">
                  <c:v>1.17431908932496</c:v>
                </c:pt>
                <c:pt idx="32">
                  <c:v>1.1735529786543299</c:v>
                </c:pt>
                <c:pt idx="33">
                  <c:v>1.1728979369685899</c:v>
                </c:pt>
                <c:pt idx="34">
                  <c:v>1.1721329310744699</c:v>
                </c:pt>
                <c:pt idx="35">
                  <c:v>1.17182213857368</c:v>
                </c:pt>
                <c:pt idx="36">
                  <c:v>1.17124559708104</c:v>
                </c:pt>
                <c:pt idx="37">
                  <c:v>1.17062506125554</c:v>
                </c:pt>
                <c:pt idx="38">
                  <c:v>1.17017737550748</c:v>
                </c:pt>
                <c:pt idx="39">
                  <c:v>1.1695307360995699</c:v>
                </c:pt>
                <c:pt idx="40">
                  <c:v>1.1689134992444301</c:v>
                </c:pt>
                <c:pt idx="41">
                  <c:v>1.1682803633350001</c:v>
                </c:pt>
                <c:pt idx="42">
                  <c:v>1.1673550652023099</c:v>
                </c:pt>
                <c:pt idx="43">
                  <c:v>1.16756472565679</c:v>
                </c:pt>
                <c:pt idx="44">
                  <c:v>1.1673641623429001</c:v>
                </c:pt>
                <c:pt idx="45">
                  <c:v>1.1671972522645599</c:v>
                </c:pt>
                <c:pt idx="46">
                  <c:v>1.16702877949791</c:v>
                </c:pt>
                <c:pt idx="47">
                  <c:v>1.16669985372245</c:v>
                </c:pt>
                <c:pt idx="48">
                  <c:v>1.16610203098512</c:v>
                </c:pt>
                <c:pt idx="49">
                  <c:v>1.1653836046116</c:v>
                </c:pt>
                <c:pt idx="50">
                  <c:v>1.16498982757271</c:v>
                </c:pt>
                <c:pt idx="51">
                  <c:v>1.1647790641890301</c:v>
                </c:pt>
                <c:pt idx="52">
                  <c:v>1.16472385729341</c:v>
                </c:pt>
                <c:pt idx="53">
                  <c:v>1.16492203477672</c:v>
                </c:pt>
                <c:pt idx="54">
                  <c:v>1.16526385753512</c:v>
                </c:pt>
                <c:pt idx="55">
                  <c:v>1.1652930699838999</c:v>
                </c:pt>
                <c:pt idx="56">
                  <c:v>1.1654873708620701</c:v>
                </c:pt>
                <c:pt idx="57">
                  <c:v>1.16610960553969</c:v>
                </c:pt>
                <c:pt idx="58">
                  <c:v>1.16680906121822</c:v>
                </c:pt>
                <c:pt idx="59">
                  <c:v>1.1675517398347699</c:v>
                </c:pt>
                <c:pt idx="60">
                  <c:v>1.16794703632635</c:v>
                </c:pt>
                <c:pt idx="61">
                  <c:v>1.1682459281672699</c:v>
                </c:pt>
                <c:pt idx="62">
                  <c:v>1.16844840073168</c:v>
                </c:pt>
                <c:pt idx="63">
                  <c:v>1.16872024525978</c:v>
                </c:pt>
                <c:pt idx="64">
                  <c:v>1.1687822124599201</c:v>
                </c:pt>
                <c:pt idx="65">
                  <c:v>1.16891006273048</c:v>
                </c:pt>
                <c:pt idx="66">
                  <c:v>1.1692315309671399</c:v>
                </c:pt>
                <c:pt idx="67">
                  <c:v>1.16934180913593</c:v>
                </c:pt>
                <c:pt idx="68">
                  <c:v>1.1692427115289701</c:v>
                </c:pt>
                <c:pt idx="69">
                  <c:v>1.1691848299988601</c:v>
                </c:pt>
                <c:pt idx="70">
                  <c:v>1.16938587735508</c:v>
                </c:pt>
                <c:pt idx="71">
                  <c:v>1.16948782810839</c:v>
                </c:pt>
                <c:pt idx="72">
                  <c:v>1.1698262704295499</c:v>
                </c:pt>
                <c:pt idx="73">
                  <c:v>1.1703268469572099</c:v>
                </c:pt>
                <c:pt idx="74">
                  <c:v>1.1711436614439299</c:v>
                </c:pt>
                <c:pt idx="75">
                  <c:v>1.1719144821184699</c:v>
                </c:pt>
                <c:pt idx="76">
                  <c:v>1.17258950395874</c:v>
                </c:pt>
                <c:pt idx="77">
                  <c:v>1.1729667635518899</c:v>
                </c:pt>
                <c:pt idx="78">
                  <c:v>1.1730230616380899</c:v>
                </c:pt>
                <c:pt idx="79">
                  <c:v>1.1728711974242201</c:v>
                </c:pt>
                <c:pt idx="80">
                  <c:v>1.17276642271099</c:v>
                </c:pt>
                <c:pt idx="81">
                  <c:v>1.1729573134729201</c:v>
                </c:pt>
                <c:pt idx="82">
                  <c:v>1.1731595614149499</c:v>
                </c:pt>
                <c:pt idx="83">
                  <c:v>1.1730668015136201</c:v>
                </c:pt>
                <c:pt idx="84">
                  <c:v>1.1735058576506201</c:v>
                </c:pt>
                <c:pt idx="85">
                  <c:v>1.1738964322041101</c:v>
                </c:pt>
                <c:pt idx="86">
                  <c:v>1.17434348412803</c:v>
                </c:pt>
                <c:pt idx="87">
                  <c:v>1.17508127657863</c:v>
                </c:pt>
                <c:pt idx="88">
                  <c:v>1.17542006672877</c:v>
                </c:pt>
                <c:pt idx="89">
                  <c:v>1.1756289835528599</c:v>
                </c:pt>
                <c:pt idx="90">
                  <c:v>1.1756819654155899</c:v>
                </c:pt>
                <c:pt idx="91">
                  <c:v>1.1757983835739401</c:v>
                </c:pt>
                <c:pt idx="92">
                  <c:v>1.17569024973988</c:v>
                </c:pt>
                <c:pt idx="93">
                  <c:v>1.17568011738355</c:v>
                </c:pt>
                <c:pt idx="94">
                  <c:v>1.17561062125514</c:v>
                </c:pt>
                <c:pt idx="95">
                  <c:v>1.17548209738308</c:v>
                </c:pt>
                <c:pt idx="96">
                  <c:v>1.17483011474639</c:v>
                </c:pt>
                <c:pt idx="97">
                  <c:v>1.17409655965715</c:v>
                </c:pt>
                <c:pt idx="98">
                  <c:v>1.17367767464155</c:v>
                </c:pt>
                <c:pt idx="99">
                  <c:v>1.17355305135264</c:v>
                </c:pt>
                <c:pt idx="100">
                  <c:v>1.17361149849547</c:v>
                </c:pt>
                <c:pt idx="101">
                  <c:v>1.17317226236704</c:v>
                </c:pt>
                <c:pt idx="102">
                  <c:v>1.17285295113515</c:v>
                </c:pt>
                <c:pt idx="103">
                  <c:v>1.1723798463569901</c:v>
                </c:pt>
                <c:pt idx="104">
                  <c:v>1.1718913470494801</c:v>
                </c:pt>
                <c:pt idx="105">
                  <c:v>1.17132423949487</c:v>
                </c:pt>
                <c:pt idx="106">
                  <c:v>1.17028306313065</c:v>
                </c:pt>
                <c:pt idx="107">
                  <c:v>1.1694640805722401</c:v>
                </c:pt>
                <c:pt idx="108">
                  <c:v>1.16899984494812</c:v>
                </c:pt>
                <c:pt idx="109">
                  <c:v>1.1685065328445201</c:v>
                </c:pt>
                <c:pt idx="110">
                  <c:v>1.16801069106374</c:v>
                </c:pt>
                <c:pt idx="111">
                  <c:v>1.1674763810459601</c:v>
                </c:pt>
                <c:pt idx="112">
                  <c:v>1.1669821014803701</c:v>
                </c:pt>
                <c:pt idx="113">
                  <c:v>1.1660787229849701</c:v>
                </c:pt>
                <c:pt idx="114">
                  <c:v>1.1645979329526801</c:v>
                </c:pt>
                <c:pt idx="115">
                  <c:v>1.1634432524179099</c:v>
                </c:pt>
                <c:pt idx="116">
                  <c:v>1.1628651490666599</c:v>
                </c:pt>
                <c:pt idx="117">
                  <c:v>1.1624890347366399</c:v>
                </c:pt>
                <c:pt idx="118">
                  <c:v>1.1621008634685499</c:v>
                </c:pt>
                <c:pt idx="119">
                  <c:v>1.1614302136300501</c:v>
                </c:pt>
                <c:pt idx="120">
                  <c:v>1.16045296959373</c:v>
                </c:pt>
                <c:pt idx="121">
                  <c:v>1.1595349094579299</c:v>
                </c:pt>
                <c:pt idx="122">
                  <c:v>1.1582808063667001</c:v>
                </c:pt>
                <c:pt idx="123">
                  <c:v>1.1568429661717301</c:v>
                </c:pt>
                <c:pt idx="124">
                  <c:v>1.1552863068133099</c:v>
                </c:pt>
                <c:pt idx="125">
                  <c:v>1.15361186958913</c:v>
                </c:pt>
                <c:pt idx="126">
                  <c:v>1.15210687429942</c:v>
                </c:pt>
                <c:pt idx="127">
                  <c:v>1.1506849107920301</c:v>
                </c:pt>
                <c:pt idx="128">
                  <c:v>1.1495543571351701</c:v>
                </c:pt>
                <c:pt idx="129">
                  <c:v>1.1485866321120699</c:v>
                </c:pt>
                <c:pt idx="130">
                  <c:v>1.1474937666352001</c:v>
                </c:pt>
                <c:pt idx="131">
                  <c:v>1.14647972545821</c:v>
                </c:pt>
                <c:pt idx="132">
                  <c:v>1.14546860576624</c:v>
                </c:pt>
                <c:pt idx="133">
                  <c:v>1.14445610379003</c:v>
                </c:pt>
                <c:pt idx="134">
                  <c:v>1.1436882326417701</c:v>
                </c:pt>
                <c:pt idx="135">
                  <c:v>1.1427912130151701</c:v>
                </c:pt>
                <c:pt idx="136">
                  <c:v>1.1417190705929801</c:v>
                </c:pt>
                <c:pt idx="137">
                  <c:v>1.1405634378432099</c:v>
                </c:pt>
                <c:pt idx="138">
                  <c:v>1.1391079783226301</c:v>
                </c:pt>
                <c:pt idx="139">
                  <c:v>1.13801421105614</c:v>
                </c:pt>
                <c:pt idx="140">
                  <c:v>1.1371330302672</c:v>
                </c:pt>
                <c:pt idx="141">
                  <c:v>1.1362572010270999</c:v>
                </c:pt>
                <c:pt idx="142">
                  <c:v>1.1359316958847501</c:v>
                </c:pt>
                <c:pt idx="143">
                  <c:v>1.1358255169300799</c:v>
                </c:pt>
                <c:pt idx="144">
                  <c:v>1.1359340869419901</c:v>
                </c:pt>
                <c:pt idx="145">
                  <c:v>1.13640035350114</c:v>
                </c:pt>
                <c:pt idx="146">
                  <c:v>1.13708307230398</c:v>
                </c:pt>
                <c:pt idx="147">
                  <c:v>1.1373852375768101</c:v>
                </c:pt>
                <c:pt idx="148">
                  <c:v>1.1375982862034999</c:v>
                </c:pt>
                <c:pt idx="149">
                  <c:v>1.13775685028989</c:v>
                </c:pt>
                <c:pt idx="150">
                  <c:v>1.13799178535984</c:v>
                </c:pt>
                <c:pt idx="151">
                  <c:v>1.13807090416572</c:v>
                </c:pt>
                <c:pt idx="152">
                  <c:v>1.1385733440914501</c:v>
                </c:pt>
                <c:pt idx="153">
                  <c:v>1.1393291363964699</c:v>
                </c:pt>
                <c:pt idx="154">
                  <c:v>1.13988475337892</c:v>
                </c:pt>
                <c:pt idx="155">
                  <c:v>1.14041236586478</c:v>
                </c:pt>
                <c:pt idx="156">
                  <c:v>1.14115894101249</c:v>
                </c:pt>
                <c:pt idx="157">
                  <c:v>1.14215239796073</c:v>
                </c:pt>
                <c:pt idx="158">
                  <c:v>1.1425880775381601</c:v>
                </c:pt>
                <c:pt idx="159">
                  <c:v>1.14319294039898</c:v>
                </c:pt>
                <c:pt idx="160">
                  <c:v>1.1439249424644</c:v>
                </c:pt>
                <c:pt idx="161">
                  <c:v>1.1443428798311801</c:v>
                </c:pt>
                <c:pt idx="162">
                  <c:v>1.14443374740125</c:v>
                </c:pt>
                <c:pt idx="163">
                  <c:v>1.1446663067351599</c:v>
                </c:pt>
                <c:pt idx="164">
                  <c:v>1.14459922998925</c:v>
                </c:pt>
                <c:pt idx="165">
                  <c:v>1.14432727294842</c:v>
                </c:pt>
                <c:pt idx="166">
                  <c:v>1.1438892190068299</c:v>
                </c:pt>
                <c:pt idx="167">
                  <c:v>1.1434246867162501</c:v>
                </c:pt>
                <c:pt idx="168">
                  <c:v>1.1430838395568901</c:v>
                </c:pt>
                <c:pt idx="169">
                  <c:v>1.1427059247232301</c:v>
                </c:pt>
                <c:pt idx="170">
                  <c:v>1.14214028084377</c:v>
                </c:pt>
                <c:pt idx="171">
                  <c:v>1.1416143845965701</c:v>
                </c:pt>
                <c:pt idx="172">
                  <c:v>1.14059671971659</c:v>
                </c:pt>
                <c:pt idx="173">
                  <c:v>1.1394221982771799</c:v>
                </c:pt>
                <c:pt idx="174">
                  <c:v>1.1386400350386101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7E-4E9A-B4E2-BC08DA60E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IYK x avg / XLP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-7.1051303862318498E-3</c:v>
                </c:pt>
                <c:pt idx="2">
                  <c:v>-1.32000917781856E-2</c:v>
                </c:pt>
                <c:pt idx="3">
                  <c:v>-1.1779257547091001E-2</c:v>
                </c:pt>
                <c:pt idx="4">
                  <c:v>-1.43198889856502E-2</c:v>
                </c:pt>
                <c:pt idx="5">
                  <c:v>-1.5774769310878699E-2</c:v>
                </c:pt>
                <c:pt idx="6">
                  <c:v>-1.91426609531547E-2</c:v>
                </c:pt>
                <c:pt idx="7">
                  <c:v>-2.1566477953690901E-2</c:v>
                </c:pt>
                <c:pt idx="8">
                  <c:v>-2.0618038153939401E-2</c:v>
                </c:pt>
                <c:pt idx="9">
                  <c:v>-1.8579196809935299E-2</c:v>
                </c:pt>
                <c:pt idx="10">
                  <c:v>-2.0022702848890999E-2</c:v>
                </c:pt>
                <c:pt idx="11">
                  <c:v>-1.93196073854227E-2</c:v>
                </c:pt>
                <c:pt idx="12">
                  <c:v>-1.9428659879036098E-2</c:v>
                </c:pt>
                <c:pt idx="13">
                  <c:v>-1.46402137320846E-2</c:v>
                </c:pt>
                <c:pt idx="14">
                  <c:v>-1.44030230467231E-2</c:v>
                </c:pt>
                <c:pt idx="15">
                  <c:v>-1.0563678704643101E-2</c:v>
                </c:pt>
                <c:pt idx="16">
                  <c:v>-1.20305921550875E-2</c:v>
                </c:pt>
                <c:pt idx="17">
                  <c:v>-8.3984422314652904E-3</c:v>
                </c:pt>
                <c:pt idx="18">
                  <c:v>-6.3721630180744102E-3</c:v>
                </c:pt>
                <c:pt idx="19">
                  <c:v>-6.52920801584333E-3</c:v>
                </c:pt>
                <c:pt idx="20">
                  <c:v>-1.2176801331318101E-2</c:v>
                </c:pt>
                <c:pt idx="21">
                  <c:v>-1.4312178956523701E-2</c:v>
                </c:pt>
                <c:pt idx="22">
                  <c:v>-2.0709837981571999E-2</c:v>
                </c:pt>
                <c:pt idx="23">
                  <c:v>-5.2981265020099399E-3</c:v>
                </c:pt>
                <c:pt idx="24">
                  <c:v>-8.6748090651677604E-3</c:v>
                </c:pt>
                <c:pt idx="25">
                  <c:v>-9.6726273083205198E-3</c:v>
                </c:pt>
                <c:pt idx="26">
                  <c:v>-7.4038303152350101E-3</c:v>
                </c:pt>
                <c:pt idx="27">
                  <c:v>-7.7855310928815896E-3</c:v>
                </c:pt>
                <c:pt idx="28">
                  <c:v>-1.33397522954405E-2</c:v>
                </c:pt>
                <c:pt idx="29">
                  <c:v>-1.6960744897227702E-2</c:v>
                </c:pt>
                <c:pt idx="30">
                  <c:v>-1.20265555104274E-2</c:v>
                </c:pt>
                <c:pt idx="31">
                  <c:v>-9.6781550429333504E-3</c:v>
                </c:pt>
                <c:pt idx="32">
                  <c:v>-6.3990649851176596E-3</c:v>
                </c:pt>
                <c:pt idx="33">
                  <c:v>-3.4564514452884898E-3</c:v>
                </c:pt>
                <c:pt idx="34">
                  <c:v>-1.32635834171234E-3</c:v>
                </c:pt>
                <c:pt idx="35">
                  <c:v>-5.2513281188316698E-3</c:v>
                </c:pt>
                <c:pt idx="36">
                  <c:v>-2.1678758096723102E-3</c:v>
                </c:pt>
                <c:pt idx="37">
                  <c:v>2.2597289848277401E-3</c:v>
                </c:pt>
                <c:pt idx="38">
                  <c:v>1.3213789492228501E-3</c:v>
                </c:pt>
                <c:pt idx="39">
                  <c:v>4.6007122247187799E-3</c:v>
                </c:pt>
                <c:pt idx="40">
                  <c:v>-1.61578528449613E-3</c:v>
                </c:pt>
                <c:pt idx="41">
                  <c:v>-3.5008852390117301E-3</c:v>
                </c:pt>
                <c:pt idx="42">
                  <c:v>-4.9717703820972899E-3</c:v>
                </c:pt>
                <c:pt idx="43">
                  <c:v>-8.8847633650172408E-3</c:v>
                </c:pt>
                <c:pt idx="44">
                  <c:v>-5.2433415742231398E-3</c:v>
                </c:pt>
                <c:pt idx="45">
                  <c:v>-6.8206120447889401E-3</c:v>
                </c:pt>
                <c:pt idx="46">
                  <c:v>-4.5185265437593701E-3</c:v>
                </c:pt>
                <c:pt idx="47">
                  <c:v>-2.1466689775686098E-3</c:v>
                </c:pt>
                <c:pt idx="48">
                  <c:v>-3.1245669220107998E-3</c:v>
                </c:pt>
                <c:pt idx="49">
                  <c:v>-4.7167471888405104E-3</c:v>
                </c:pt>
                <c:pt idx="50">
                  <c:v>-9.2703987283955895E-3</c:v>
                </c:pt>
                <c:pt idx="51">
                  <c:v>-1.01473415550447E-2</c:v>
                </c:pt>
                <c:pt idx="52">
                  <c:v>-9.5561991123021793E-3</c:v>
                </c:pt>
                <c:pt idx="53">
                  <c:v>-1.09960728667976E-2</c:v>
                </c:pt>
                <c:pt idx="54">
                  <c:v>-7.1904647281623097E-3</c:v>
                </c:pt>
                <c:pt idx="55">
                  <c:v>-5.75185746005642E-3</c:v>
                </c:pt>
                <c:pt idx="56">
                  <c:v>-5.5025993310149702E-3</c:v>
                </c:pt>
                <c:pt idx="57">
                  <c:v>-8.4274659310005495E-3</c:v>
                </c:pt>
                <c:pt idx="58">
                  <c:v>-1.06730012526105E-2</c:v>
                </c:pt>
                <c:pt idx="59">
                  <c:v>-8.1717147252801693E-3</c:v>
                </c:pt>
                <c:pt idx="60">
                  <c:v>-8.3921974913579098E-3</c:v>
                </c:pt>
                <c:pt idx="61">
                  <c:v>-8.6192663673091592E-3</c:v>
                </c:pt>
                <c:pt idx="62">
                  <c:v>-8.4367862531993295E-3</c:v>
                </c:pt>
                <c:pt idx="63">
                  <c:v>-1.3516104952323801E-2</c:v>
                </c:pt>
                <c:pt idx="64">
                  <c:v>-6.3048051560911401E-3</c:v>
                </c:pt>
                <c:pt idx="65">
                  <c:v>-9.0059357004161292E-3</c:v>
                </c:pt>
                <c:pt idx="66">
                  <c:v>-1.0016872879257E-2</c:v>
                </c:pt>
                <c:pt idx="67">
                  <c:v>-4.0407423329872003E-3</c:v>
                </c:pt>
                <c:pt idx="68">
                  <c:v>-1.4211266011455101E-3</c:v>
                </c:pt>
                <c:pt idx="69">
                  <c:v>-3.7237270578630902E-3</c:v>
                </c:pt>
                <c:pt idx="70">
                  <c:v>-8.7403870755570507E-3</c:v>
                </c:pt>
                <c:pt idx="71">
                  <c:v>-7.8197922212589303E-3</c:v>
                </c:pt>
                <c:pt idx="72">
                  <c:v>-1.12359820344855E-2</c:v>
                </c:pt>
                <c:pt idx="73">
                  <c:v>-1.53820969210537E-2</c:v>
                </c:pt>
                <c:pt idx="74">
                  <c:v>-2.10655330105795E-2</c:v>
                </c:pt>
                <c:pt idx="75">
                  <c:v>-1.8869466451797798E-2</c:v>
                </c:pt>
                <c:pt idx="76">
                  <c:v>-1.7002113389065598E-2</c:v>
                </c:pt>
                <c:pt idx="77">
                  <c:v>-1.4851907544892001E-2</c:v>
                </c:pt>
                <c:pt idx="78">
                  <c:v>-1.1632183205475001E-2</c:v>
                </c:pt>
                <c:pt idx="79">
                  <c:v>-5.5732217793244701E-3</c:v>
                </c:pt>
                <c:pt idx="80">
                  <c:v>-6.6005536488475602E-3</c:v>
                </c:pt>
                <c:pt idx="81">
                  <c:v>-1.18745245751964E-2</c:v>
                </c:pt>
                <c:pt idx="82">
                  <c:v>-1.18860130318965E-2</c:v>
                </c:pt>
                <c:pt idx="83">
                  <c:v>-1.19381892561954E-2</c:v>
                </c:pt>
                <c:pt idx="84">
                  <c:v>-1.3793491493260999E-2</c:v>
                </c:pt>
                <c:pt idx="85">
                  <c:v>-1.56525353400691E-2</c:v>
                </c:pt>
                <c:pt idx="86">
                  <c:v>-1.7613276052189399E-2</c:v>
                </c:pt>
                <c:pt idx="87">
                  <c:v>-1.6621174430077799E-2</c:v>
                </c:pt>
                <c:pt idx="88">
                  <c:v>-7.23280908486457E-3</c:v>
                </c:pt>
                <c:pt idx="89">
                  <c:v>-7.3032865996222503E-3</c:v>
                </c:pt>
                <c:pt idx="90">
                  <c:v>-9.6448396517159508E-3</c:v>
                </c:pt>
                <c:pt idx="91">
                  <c:v>-9.8079174564718805E-3</c:v>
                </c:pt>
                <c:pt idx="92">
                  <c:v>-9.3921001298265406E-3</c:v>
                </c:pt>
                <c:pt idx="93">
                  <c:v>-1.52101801210997E-2</c:v>
                </c:pt>
                <c:pt idx="94">
                  <c:v>-1.9892480212982198E-2</c:v>
                </c:pt>
                <c:pt idx="95">
                  <c:v>-1.66942020326909E-2</c:v>
                </c:pt>
                <c:pt idx="96">
                  <c:v>-5.89727731474119E-3</c:v>
                </c:pt>
                <c:pt idx="97">
                  <c:v>-2.3218939287472698E-3</c:v>
                </c:pt>
                <c:pt idx="98">
                  <c:v>-4.4732627390949003E-3</c:v>
                </c:pt>
                <c:pt idx="99">
                  <c:v>-3.4357827347797302E-3</c:v>
                </c:pt>
                <c:pt idx="100">
                  <c:v>-7.6003935493586701E-3</c:v>
                </c:pt>
                <c:pt idx="101">
                  <c:v>-4.3683123152934303E-3</c:v>
                </c:pt>
                <c:pt idx="102">
                  <c:v>-6.4348870680937496E-3</c:v>
                </c:pt>
                <c:pt idx="103">
                  <c:v>-3.8513578815968499E-3</c:v>
                </c:pt>
                <c:pt idx="104">
                  <c:v>-5.45796208285517E-3</c:v>
                </c:pt>
                <c:pt idx="105">
                  <c:v>-5.9872290729174301E-3</c:v>
                </c:pt>
                <c:pt idx="106">
                  <c:v>1.6875822067053301E-4</c:v>
                </c:pt>
                <c:pt idx="107">
                  <c:v>-2.6466169505967199E-3</c:v>
                </c:pt>
                <c:pt idx="108">
                  <c:v>7.3939079913405996E-4</c:v>
                </c:pt>
                <c:pt idx="109">
                  <c:v>1.1697578808243601E-3</c:v>
                </c:pt>
                <c:pt idx="110">
                  <c:v>-1.1481641106478801E-3</c:v>
                </c:pt>
                <c:pt idx="111">
                  <c:v>-6.5052831493209802E-4</c:v>
                </c:pt>
                <c:pt idx="112">
                  <c:v>-6.4742110108746897E-3</c:v>
                </c:pt>
                <c:pt idx="113">
                  <c:v>-5.3028953329310501E-3</c:v>
                </c:pt>
                <c:pt idx="114">
                  <c:v>-2.02735462856065E-4</c:v>
                </c:pt>
                <c:pt idx="115">
                  <c:v>-2.61316150488357E-3</c:v>
                </c:pt>
                <c:pt idx="116">
                  <c:v>4.0534357485939899E-3</c:v>
                </c:pt>
                <c:pt idx="117">
                  <c:v>4.1640026771035902E-3</c:v>
                </c:pt>
                <c:pt idx="118">
                  <c:v>2.20681195189988E-3</c:v>
                </c:pt>
                <c:pt idx="119">
                  <c:v>8.1457770265749904E-3</c:v>
                </c:pt>
                <c:pt idx="120">
                  <c:v>9.2498803825871393E-3</c:v>
                </c:pt>
                <c:pt idx="121">
                  <c:v>1.15049857873033E-2</c:v>
                </c:pt>
                <c:pt idx="122">
                  <c:v>1.5266796859483E-2</c:v>
                </c:pt>
                <c:pt idx="123">
                  <c:v>2.11350206823691E-2</c:v>
                </c:pt>
                <c:pt idx="124">
                  <c:v>2.15773592911861E-2</c:v>
                </c:pt>
                <c:pt idx="125">
                  <c:v>2.3108026661091199E-2</c:v>
                </c:pt>
                <c:pt idx="126">
                  <c:v>2.6444349850103199E-2</c:v>
                </c:pt>
                <c:pt idx="127">
                  <c:v>2.2090579253115101E-2</c:v>
                </c:pt>
                <c:pt idx="128">
                  <c:v>2.0424175556377901E-2</c:v>
                </c:pt>
                <c:pt idx="129">
                  <c:v>1.8002737251437799E-2</c:v>
                </c:pt>
                <c:pt idx="130">
                  <c:v>1.7837911662929001E-2</c:v>
                </c:pt>
                <c:pt idx="131">
                  <c:v>1.6962865640908601E-2</c:v>
                </c:pt>
                <c:pt idx="132">
                  <c:v>1.66372663599865E-2</c:v>
                </c:pt>
                <c:pt idx="133">
                  <c:v>1.78397497273628E-2</c:v>
                </c:pt>
                <c:pt idx="134">
                  <c:v>1.8825809411625899E-2</c:v>
                </c:pt>
                <c:pt idx="135">
                  <c:v>1.8687189112040099E-2</c:v>
                </c:pt>
                <c:pt idx="136">
                  <c:v>2.27741566783605E-2</c:v>
                </c:pt>
                <c:pt idx="137">
                  <c:v>2.4359622190026398E-2</c:v>
                </c:pt>
                <c:pt idx="138">
                  <c:v>2.7658967783976501E-2</c:v>
                </c:pt>
                <c:pt idx="139">
                  <c:v>2.7326807323496901E-2</c:v>
                </c:pt>
                <c:pt idx="140">
                  <c:v>2.4691106779287798E-2</c:v>
                </c:pt>
                <c:pt idx="141">
                  <c:v>2.6886627283126099E-2</c:v>
                </c:pt>
                <c:pt idx="142">
                  <c:v>2.09773539054171E-2</c:v>
                </c:pt>
                <c:pt idx="143">
                  <c:v>2.3005161003375602E-2</c:v>
                </c:pt>
                <c:pt idx="144">
                  <c:v>1.9667870996123701E-2</c:v>
                </c:pt>
                <c:pt idx="145">
                  <c:v>1.4920706316563399E-2</c:v>
                </c:pt>
                <c:pt idx="146">
                  <c:v>1.44391913786152E-2</c:v>
                </c:pt>
                <c:pt idx="147">
                  <c:v>1.67825156397097E-2</c:v>
                </c:pt>
                <c:pt idx="148">
                  <c:v>1.66848996392851E-2</c:v>
                </c:pt>
                <c:pt idx="149">
                  <c:v>1.52251294540911E-2</c:v>
                </c:pt>
                <c:pt idx="150">
                  <c:v>1.37259180009007E-2</c:v>
                </c:pt>
                <c:pt idx="151">
                  <c:v>1.5577397285940899E-2</c:v>
                </c:pt>
                <c:pt idx="152">
                  <c:v>7.8741971260174407E-3</c:v>
                </c:pt>
                <c:pt idx="153">
                  <c:v>4.6711860357189399E-3</c:v>
                </c:pt>
                <c:pt idx="154">
                  <c:v>9.1186366534328402E-3</c:v>
                </c:pt>
                <c:pt idx="155">
                  <c:v>9.4683060156199195E-3</c:v>
                </c:pt>
                <c:pt idx="156">
                  <c:v>9.7012167027866296E-3</c:v>
                </c:pt>
                <c:pt idx="157">
                  <c:v>6.9736727055793703E-3</c:v>
                </c:pt>
                <c:pt idx="158">
                  <c:v>1.99719136220236E-2</c:v>
                </c:pt>
                <c:pt idx="159">
                  <c:v>1.6674089283553802E-2</c:v>
                </c:pt>
                <c:pt idx="160">
                  <c:v>1.1847280452978601E-2</c:v>
                </c:pt>
                <c:pt idx="161">
                  <c:v>1.9517135118880501E-2</c:v>
                </c:pt>
                <c:pt idx="162">
                  <c:v>1.9379918772201899E-2</c:v>
                </c:pt>
                <c:pt idx="163">
                  <c:v>1.8913619954346102E-2</c:v>
                </c:pt>
                <c:pt idx="164">
                  <c:v>2.0847160901071901E-2</c:v>
                </c:pt>
                <c:pt idx="165">
                  <c:v>1.96879347171794E-2</c:v>
                </c:pt>
                <c:pt idx="166">
                  <c:v>2.2125491472089202E-2</c:v>
                </c:pt>
                <c:pt idx="167">
                  <c:v>2.49545216090277E-2</c:v>
                </c:pt>
                <c:pt idx="168">
                  <c:v>2.2673930961412202E-2</c:v>
                </c:pt>
                <c:pt idx="169">
                  <c:v>2.1857923595619E-2</c:v>
                </c:pt>
                <c:pt idx="170">
                  <c:v>2.3655006139438699E-2</c:v>
                </c:pt>
                <c:pt idx="171">
                  <c:v>2.4822722501283399E-2</c:v>
                </c:pt>
                <c:pt idx="172">
                  <c:v>2.5703784552752199E-2</c:v>
                </c:pt>
                <c:pt idx="173">
                  <c:v>2.5210834481675701E-2</c:v>
                </c:pt>
                <c:pt idx="174">
                  <c:v>2.2810997402100901E-2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CE-4887-92F6-03BDC6041678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IYK x 10 dma / XLP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-5.4770222279580099E-3</c:v>
                </c:pt>
                <c:pt idx="11">
                  <c:v>-3.0991837443434902E-3</c:v>
                </c:pt>
                <c:pt idx="12">
                  <c:v>-1.9911905295268099E-3</c:v>
                </c:pt>
                <c:pt idx="13">
                  <c:v>3.4192208389510199E-3</c:v>
                </c:pt>
                <c:pt idx="14">
                  <c:v>3.94108259863255E-3</c:v>
                </c:pt>
                <c:pt idx="15">
                  <c:v>7.7887072690006297E-3</c:v>
                </c:pt>
                <c:pt idx="16">
                  <c:v>5.8032437524079602E-3</c:v>
                </c:pt>
                <c:pt idx="17">
                  <c:v>8.7255298432672608E-3</c:v>
                </c:pt>
                <c:pt idx="18">
                  <c:v>9.4369488744139203E-3</c:v>
                </c:pt>
                <c:pt idx="19">
                  <c:v>7.8575860303301704E-3</c:v>
                </c:pt>
                <c:pt idx="20">
                  <c:v>1.0064688627224401E-3</c:v>
                </c:pt>
                <c:pt idx="21">
                  <c:v>-1.91610227108868E-3</c:v>
                </c:pt>
                <c:pt idx="22">
                  <c:v>-8.8168492816796899E-3</c:v>
                </c:pt>
                <c:pt idx="23">
                  <c:v>6.7240234939597004E-3</c:v>
                </c:pt>
                <c:pt idx="24">
                  <c:v>2.41460990353079E-3</c:v>
                </c:pt>
                <c:pt idx="25">
                  <c:v>8.4354766634273798E-4</c:v>
                </c:pt>
                <c:pt idx="26">
                  <c:v>3.0232710086556302E-3</c:v>
                </c:pt>
                <c:pt idx="27">
                  <c:v>2.1791150513987599E-3</c:v>
                </c:pt>
                <c:pt idx="28">
                  <c:v>-3.4362844673479901E-3</c:v>
                </c:pt>
                <c:pt idx="29">
                  <c:v>-6.3607924361491104E-3</c:v>
                </c:pt>
                <c:pt idx="30">
                  <c:v>-3.8279446376625499E-4</c:v>
                </c:pt>
                <c:pt idx="31">
                  <c:v>1.9505744270584299E-3</c:v>
                </c:pt>
                <c:pt idx="32">
                  <c:v>4.7659843565693201E-3</c:v>
                </c:pt>
                <c:pt idx="33">
                  <c:v>6.2730549492539603E-3</c:v>
                </c:pt>
                <c:pt idx="34">
                  <c:v>8.2199468123265208E-3</c:v>
                </c:pt>
                <c:pt idx="35">
                  <c:v>3.5631954503558198E-3</c:v>
                </c:pt>
                <c:pt idx="36">
                  <c:v>6.2050175734433798E-3</c:v>
                </c:pt>
                <c:pt idx="37">
                  <c:v>1.0110764971039901E-2</c:v>
                </c:pt>
                <c:pt idx="38">
                  <c:v>8.1724831431426899E-3</c:v>
                </c:pt>
                <c:pt idx="39">
                  <c:v>9.9858499973587093E-3</c:v>
                </c:pt>
                <c:pt idx="40">
                  <c:v>1.6091187955782501E-3</c:v>
                </c:pt>
                <c:pt idx="41">
                  <c:v>-1.3213598484364099E-3</c:v>
                </c:pt>
                <c:pt idx="42">
                  <c:v>-3.4128957105980899E-3</c:v>
                </c:pt>
                <c:pt idx="43">
                  <c:v>-7.4692186333850203E-3</c:v>
                </c:pt>
                <c:pt idx="44">
                  <c:v>-3.2825263250067702E-3</c:v>
                </c:pt>
                <c:pt idx="45">
                  <c:v>-4.4676561531134503E-3</c:v>
                </c:pt>
                <c:pt idx="46">
                  <c:v>-2.0080756111815899E-3</c:v>
                </c:pt>
                <c:pt idx="47">
                  <c:v>5.9901524508804095E-4</c:v>
                </c:pt>
                <c:pt idx="48">
                  <c:v>6.04279026578344E-5</c:v>
                </c:pt>
                <c:pt idx="49">
                  <c:v>-1.08826979414319E-3</c:v>
                </c:pt>
                <c:pt idx="50">
                  <c:v>-4.71392358664827E-3</c:v>
                </c:pt>
                <c:pt idx="51">
                  <c:v>-4.8250175636894198E-3</c:v>
                </c:pt>
                <c:pt idx="52">
                  <c:v>-3.5684508003541102E-3</c:v>
                </c:pt>
                <c:pt idx="53">
                  <c:v>-4.5494011463045898E-3</c:v>
                </c:pt>
                <c:pt idx="54">
                  <c:v>-5.3194553134277005E-4</c:v>
                </c:pt>
                <c:pt idx="55">
                  <c:v>1.1012691765473401E-3</c:v>
                </c:pt>
                <c:pt idx="56">
                  <c:v>1.2437067065750099E-3</c:v>
                </c:pt>
                <c:pt idx="57">
                  <c:v>-1.58292809722187E-3</c:v>
                </c:pt>
                <c:pt idx="58">
                  <c:v>-3.2015566939674598E-3</c:v>
                </c:pt>
                <c:pt idx="59">
                  <c:v>5.3858485732772897E-5</c:v>
                </c:pt>
                <c:pt idx="60">
                  <c:v>1.7819828656696099E-4</c:v>
                </c:pt>
                <c:pt idx="61">
                  <c:v>-1.3671748980103899E-4</c:v>
                </c:pt>
                <c:pt idx="62">
                  <c:v>-1.07194310819641E-4</c:v>
                </c:pt>
                <c:pt idx="63">
                  <c:v>-5.2985352545857302E-3</c:v>
                </c:pt>
                <c:pt idx="64">
                  <c:v>2.1657555898259399E-3</c:v>
                </c:pt>
                <c:pt idx="65">
                  <c:v>-6.2379236210394803E-4</c:v>
                </c:pt>
                <c:pt idx="66">
                  <c:v>-1.30970070171344E-3</c:v>
                </c:pt>
                <c:pt idx="67">
                  <c:v>5.11732841627282E-3</c:v>
                </c:pt>
                <c:pt idx="68">
                  <c:v>7.2994565437917497E-3</c:v>
                </c:pt>
                <c:pt idx="69">
                  <c:v>4.0737095652739804E-3</c:v>
                </c:pt>
                <c:pt idx="70">
                  <c:v>-1.38702618137298E-3</c:v>
                </c:pt>
                <c:pt idx="71">
                  <c:v>-4.31570717486191E-4</c:v>
                </c:pt>
                <c:pt idx="72">
                  <c:v>-3.92777763727278E-3</c:v>
                </c:pt>
                <c:pt idx="73">
                  <c:v>-7.7933036404936196E-3</c:v>
                </c:pt>
                <c:pt idx="74">
                  <c:v>-1.3288873624837201E-2</c:v>
                </c:pt>
                <c:pt idx="75">
                  <c:v>-9.6090748697523608E-3</c:v>
                </c:pt>
                <c:pt idx="76">
                  <c:v>-6.7512311278461303E-3</c:v>
                </c:pt>
                <c:pt idx="77">
                  <c:v>-3.9004653265970698E-3</c:v>
                </c:pt>
                <c:pt idx="78">
                  <c:v>3.9817257138351501E-4</c:v>
                </c:pt>
                <c:pt idx="79">
                  <c:v>7.4721243692401499E-3</c:v>
                </c:pt>
                <c:pt idx="80">
                  <c:v>6.6281786866807602E-3</c:v>
                </c:pt>
                <c:pt idx="81">
                  <c:v>1.1413878086643601E-3</c:v>
                </c:pt>
                <c:pt idx="82">
                  <c:v>1.5340083897854499E-3</c:v>
                </c:pt>
                <c:pt idx="83">
                  <c:v>1.5467124315395699E-3</c:v>
                </c:pt>
                <c:pt idx="84">
                  <c:v>-6.5310043601687505E-4</c:v>
                </c:pt>
                <c:pt idx="85">
                  <c:v>-3.2427426311275901E-3</c:v>
                </c:pt>
                <c:pt idx="86">
                  <c:v>-5.5267932446030101E-3</c:v>
                </c:pt>
                <c:pt idx="87">
                  <c:v>-4.4732573068729199E-3</c:v>
                </c:pt>
                <c:pt idx="88">
                  <c:v>5.0926550515658104E-3</c:v>
                </c:pt>
                <c:pt idx="89">
                  <c:v>4.5834144141764597E-3</c:v>
                </c:pt>
                <c:pt idx="90">
                  <c:v>2.4139130104610302E-3</c:v>
                </c:pt>
                <c:pt idx="91">
                  <c:v>2.55402206437776E-3</c:v>
                </c:pt>
                <c:pt idx="92">
                  <c:v>2.76347138394822E-3</c:v>
                </c:pt>
                <c:pt idx="93">
                  <c:v>-3.3036530520740202E-3</c:v>
                </c:pt>
                <c:pt idx="94">
                  <c:v>-7.6582614967521997E-3</c:v>
                </c:pt>
                <c:pt idx="95">
                  <c:v>-3.8474537601847101E-3</c:v>
                </c:pt>
                <c:pt idx="96">
                  <c:v>7.0539792705517999E-3</c:v>
                </c:pt>
                <c:pt idx="97">
                  <c:v>9.45847123643365E-3</c:v>
                </c:pt>
                <c:pt idx="98">
                  <c:v>5.8794412521147596E-3</c:v>
                </c:pt>
                <c:pt idx="99">
                  <c:v>6.6421677082046399E-3</c:v>
                </c:pt>
                <c:pt idx="100">
                  <c:v>2.09254886252923E-3</c:v>
                </c:pt>
                <c:pt idx="101">
                  <c:v>5.1203832991137E-3</c:v>
                </c:pt>
                <c:pt idx="102">
                  <c:v>2.5110043266182202E-3</c:v>
                </c:pt>
                <c:pt idx="103">
                  <c:v>4.7990735997989796E-3</c:v>
                </c:pt>
                <c:pt idx="104">
                  <c:v>2.05493391450143E-3</c:v>
                </c:pt>
                <c:pt idx="105">
                  <c:v>7.3678054979500006E-5</c:v>
                </c:pt>
                <c:pt idx="106">
                  <c:v>5.1527151819850802E-3</c:v>
                </c:pt>
                <c:pt idx="107">
                  <c:v>1.73183670314344E-3</c:v>
                </c:pt>
                <c:pt idx="108">
                  <c:v>5.1502547792230602E-3</c:v>
                </c:pt>
                <c:pt idx="109">
                  <c:v>5.0605450782086102E-3</c:v>
                </c:pt>
                <c:pt idx="110">
                  <c:v>2.2832314697399602E-3</c:v>
                </c:pt>
                <c:pt idx="111">
                  <c:v>2.1348259047066498E-3</c:v>
                </c:pt>
                <c:pt idx="112">
                  <c:v>-4.0606019218714998E-3</c:v>
                </c:pt>
                <c:pt idx="113">
                  <c:v>-2.88533793472537E-3</c:v>
                </c:pt>
                <c:pt idx="114">
                  <c:v>2.36027892215528E-3</c:v>
                </c:pt>
                <c:pt idx="115">
                  <c:v>-5.7594910546542098E-4</c:v>
                </c:pt>
                <c:pt idx="116">
                  <c:v>5.7524196276655896E-3</c:v>
                </c:pt>
                <c:pt idx="117">
                  <c:v>5.4759209373086296E-3</c:v>
                </c:pt>
                <c:pt idx="118">
                  <c:v>2.8388446214180898E-3</c:v>
                </c:pt>
                <c:pt idx="119">
                  <c:v>8.6313654321406603E-3</c:v>
                </c:pt>
                <c:pt idx="120">
                  <c:v>9.0412033232760997E-3</c:v>
                </c:pt>
                <c:pt idx="121">
                  <c:v>1.0259950230152101E-2</c:v>
                </c:pt>
                <c:pt idx="122">
                  <c:v>1.28105422652177E-2</c:v>
                </c:pt>
                <c:pt idx="123">
                  <c:v>1.65064786068519E-2</c:v>
                </c:pt>
                <c:pt idx="124">
                  <c:v>1.43101478900647E-2</c:v>
                </c:pt>
                <c:pt idx="125">
                  <c:v>1.36678399677775E-2</c:v>
                </c:pt>
                <c:pt idx="126">
                  <c:v>1.4430740575470899E-2</c:v>
                </c:pt>
                <c:pt idx="127">
                  <c:v>7.8425699213553694E-3</c:v>
                </c:pt>
                <c:pt idx="128">
                  <c:v>4.3798619566569E-3</c:v>
                </c:pt>
                <c:pt idx="129">
                  <c:v>1.2634969389695001E-4</c:v>
                </c:pt>
                <c:pt idx="130">
                  <c:v>-1.02941156570816E-3</c:v>
                </c:pt>
                <c:pt idx="131">
                  <c:v>-2.7682202709553802E-3</c:v>
                </c:pt>
                <c:pt idx="132">
                  <c:v>-3.6427674083460699E-3</c:v>
                </c:pt>
                <c:pt idx="133">
                  <c:v>-2.5779349001406999E-3</c:v>
                </c:pt>
                <c:pt idx="134">
                  <c:v>-1.26209565289491E-3</c:v>
                </c:pt>
                <c:pt idx="135">
                  <c:v>-1.1256299949905901E-3</c:v>
                </c:pt>
                <c:pt idx="136">
                  <c:v>3.4028448996622799E-3</c:v>
                </c:pt>
                <c:pt idx="137">
                  <c:v>5.35334590014961E-3</c:v>
                </c:pt>
                <c:pt idx="138">
                  <c:v>8.4267168745350094E-3</c:v>
                </c:pt>
                <c:pt idx="139">
                  <c:v>7.3742873796978402E-3</c:v>
                </c:pt>
                <c:pt idx="140">
                  <c:v>3.80826934534996E-3</c:v>
                </c:pt>
                <c:pt idx="141">
                  <c:v>5.3184957537856896E-3</c:v>
                </c:pt>
                <c:pt idx="142">
                  <c:v>-1.5832964095837E-3</c:v>
                </c:pt>
                <c:pt idx="143">
                  <c:v>8.7746293613626003E-6</c:v>
                </c:pt>
                <c:pt idx="144">
                  <c:v>-3.8465224775079401E-3</c:v>
                </c:pt>
                <c:pt idx="145">
                  <c:v>-8.6782570160868992E-3</c:v>
                </c:pt>
                <c:pt idx="146">
                  <c:v>-8.7806272887383397E-3</c:v>
                </c:pt>
                <c:pt idx="147">
                  <c:v>-5.6003005356004797E-3</c:v>
                </c:pt>
                <c:pt idx="148">
                  <c:v>-4.93911800103599E-3</c:v>
                </c:pt>
                <c:pt idx="149">
                  <c:v>-5.3026780481402304E-3</c:v>
                </c:pt>
                <c:pt idx="150">
                  <c:v>-5.5933499750948296E-3</c:v>
                </c:pt>
                <c:pt idx="151">
                  <c:v>-2.6458257427075002E-3</c:v>
                </c:pt>
                <c:pt idx="152">
                  <c:v>-9.2221296754051597E-3</c:v>
                </c:pt>
                <c:pt idx="153">
                  <c:v>-1.11121740651287E-2</c:v>
                </c:pt>
                <c:pt idx="154">
                  <c:v>-4.8294156598138998E-3</c:v>
                </c:pt>
                <c:pt idx="155">
                  <c:v>-3.4258430740497598E-3</c:v>
                </c:pt>
                <c:pt idx="156">
                  <c:v>-2.64745887185404E-3</c:v>
                </c:pt>
                <c:pt idx="157">
                  <c:v>-4.9011852699981798E-3</c:v>
                </c:pt>
                <c:pt idx="158">
                  <c:v>9.0774599443883604E-3</c:v>
                </c:pt>
                <c:pt idx="159">
                  <c:v>5.4533153146631803E-3</c:v>
                </c:pt>
                <c:pt idx="160">
                  <c:v>4.8228366064547801E-4</c:v>
                </c:pt>
                <c:pt idx="161">
                  <c:v>8.3397176369981608E-3</c:v>
                </c:pt>
                <c:pt idx="162">
                  <c:v>7.8109521861074302E-3</c:v>
                </c:pt>
                <c:pt idx="163">
                  <c:v>6.19578071624811E-3</c:v>
                </c:pt>
                <c:pt idx="164">
                  <c:v>6.7027304682680602E-3</c:v>
                </c:pt>
                <c:pt idx="165">
                  <c:v>4.3709409466148597E-3</c:v>
                </c:pt>
                <c:pt idx="166">
                  <c:v>5.7852516628723802E-3</c:v>
                </c:pt>
                <c:pt idx="167">
                  <c:v>7.3705427177700898E-3</c:v>
                </c:pt>
                <c:pt idx="168">
                  <c:v>3.2873040786403599E-3</c:v>
                </c:pt>
                <c:pt idx="169">
                  <c:v>2.2015812110929098E-3</c:v>
                </c:pt>
                <c:pt idx="170">
                  <c:v>3.4799428474463702E-3</c:v>
                </c:pt>
                <c:pt idx="171">
                  <c:v>3.4633131337520602E-3</c:v>
                </c:pt>
                <c:pt idx="172">
                  <c:v>3.8141051108181402E-3</c:v>
                </c:pt>
                <c:pt idx="173">
                  <c:v>2.6889799185361601E-3</c:v>
                </c:pt>
                <c:pt idx="174">
                  <c:v>-3.4106769940965901E-4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CE-4887-92F6-03BDC6041678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IYK x 20 dma / XLP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1.6879060964220499E-3</c:v>
                </c:pt>
                <c:pt idx="21">
                  <c:v>-2.10059067629439E-6</c:v>
                </c:pt>
                <c:pt idx="22">
                  <c:v>-6.0407663035838399E-3</c:v>
                </c:pt>
                <c:pt idx="23">
                  <c:v>9.7472218752031603E-3</c:v>
                </c:pt>
                <c:pt idx="24">
                  <c:v>6.0485320372797103E-3</c:v>
                </c:pt>
                <c:pt idx="25">
                  <c:v>4.7693289215465402E-3</c:v>
                </c:pt>
                <c:pt idx="26">
                  <c:v>6.7334957494322003E-3</c:v>
                </c:pt>
                <c:pt idx="27">
                  <c:v>5.7651849964140004E-3</c:v>
                </c:pt>
                <c:pt idx="28">
                  <c:v>-4.7910286250873698E-4</c:v>
                </c:pt>
                <c:pt idx="29">
                  <c:v>-4.4655791235238603E-3</c:v>
                </c:pt>
                <c:pt idx="30">
                  <c:v>3.8725637094607501E-4</c:v>
                </c:pt>
                <c:pt idx="31">
                  <c:v>2.3343216374971799E-3</c:v>
                </c:pt>
                <c:pt idx="32">
                  <c:v>5.1300202726341001E-3</c:v>
                </c:pt>
                <c:pt idx="33">
                  <c:v>7.4200337766589398E-3</c:v>
                </c:pt>
                <c:pt idx="34">
                  <c:v>8.9918013696577703E-3</c:v>
                </c:pt>
                <c:pt idx="35">
                  <c:v>4.4143831052383198E-3</c:v>
                </c:pt>
                <c:pt idx="36">
                  <c:v>7.2326490150210103E-3</c:v>
                </c:pt>
                <c:pt idx="37">
                  <c:v>1.11681284684575E-2</c:v>
                </c:pt>
                <c:pt idx="38">
                  <c:v>9.6998295752463298E-3</c:v>
                </c:pt>
                <c:pt idx="39">
                  <c:v>1.25966566242559E-2</c:v>
                </c:pt>
                <c:pt idx="40">
                  <c:v>5.8274068967850597E-3</c:v>
                </c:pt>
                <c:pt idx="41">
                  <c:v>3.4144030819666001E-3</c:v>
                </c:pt>
                <c:pt idx="42">
                  <c:v>1.4017264041196801E-3</c:v>
                </c:pt>
                <c:pt idx="43">
                  <c:v>-3.3035975819978199E-3</c:v>
                </c:pt>
                <c:pt idx="44">
                  <c:v>5.1741106729802496E-4</c:v>
                </c:pt>
                <c:pt idx="45">
                  <c:v>-1.23165334133023E-3</c:v>
                </c:pt>
                <c:pt idx="46">
                  <c:v>9.2744163687087904E-4</c:v>
                </c:pt>
                <c:pt idx="47">
                  <c:v>3.1549492004062599E-3</c:v>
                </c:pt>
                <c:pt idx="48">
                  <c:v>1.8951626310810201E-3</c:v>
                </c:pt>
                <c:pt idx="49">
                  <c:v>-2.0955387326109599E-4</c:v>
                </c:pt>
                <c:pt idx="50">
                  <c:v>-5.3794874823144701E-3</c:v>
                </c:pt>
                <c:pt idx="51">
                  <c:v>-6.3951822167067802E-3</c:v>
                </c:pt>
                <c:pt idx="52">
                  <c:v>-5.78043575736695E-3</c:v>
                </c:pt>
                <c:pt idx="53">
                  <c:v>-7.0618006142248498E-3</c:v>
                </c:pt>
                <c:pt idx="54">
                  <c:v>-2.8780389548835402E-3</c:v>
                </c:pt>
                <c:pt idx="55">
                  <c:v>-1.1462847559612101E-3</c:v>
                </c:pt>
                <c:pt idx="56">
                  <c:v>-8.7197803904893697E-4</c:v>
                </c:pt>
                <c:pt idx="57">
                  <c:v>-3.6302548291373398E-3</c:v>
                </c:pt>
                <c:pt idx="58">
                  <c:v>-5.3424848562979204E-3</c:v>
                </c:pt>
                <c:pt idx="59">
                  <c:v>-2.2420477635081699E-3</c:v>
                </c:pt>
                <c:pt idx="60">
                  <c:v>-1.8267480880143599E-3</c:v>
                </c:pt>
                <c:pt idx="61">
                  <c:v>-1.7155815557307499E-3</c:v>
                </c:pt>
                <c:pt idx="62">
                  <c:v>-1.2774305972434001E-3</c:v>
                </c:pt>
                <c:pt idx="63">
                  <c:v>-6.1835922333038302E-3</c:v>
                </c:pt>
                <c:pt idx="64">
                  <c:v>1.26014525204302E-3</c:v>
                </c:pt>
                <c:pt idx="65">
                  <c:v>-1.3880084764773099E-3</c:v>
                </c:pt>
                <c:pt idx="66">
                  <c:v>-2.28965314726472E-3</c:v>
                </c:pt>
                <c:pt idx="67">
                  <c:v>3.9612310127018499E-3</c:v>
                </c:pt>
                <c:pt idx="68">
                  <c:v>6.6750822940330997E-3</c:v>
                </c:pt>
                <c:pt idx="69">
                  <c:v>4.2878007718290499E-3</c:v>
                </c:pt>
                <c:pt idx="70">
                  <c:v>-7.7832359277532897E-4</c:v>
                </c:pt>
                <c:pt idx="71">
                  <c:v>1.15742663424372E-4</c:v>
                </c:pt>
                <c:pt idx="72">
                  <c:v>-3.4169534606303198E-3</c:v>
                </c:pt>
                <c:pt idx="73">
                  <c:v>-7.4788660119325502E-3</c:v>
                </c:pt>
                <c:pt idx="74">
                  <c:v>-1.29418627573637E-2</c:v>
                </c:pt>
                <c:pt idx="75">
                  <c:v>-1.00481025766246E-2</c:v>
                </c:pt>
                <c:pt idx="76">
                  <c:v>-7.5227882896109601E-3</c:v>
                </c:pt>
                <c:pt idx="77">
                  <c:v>-4.7967490385152E-3</c:v>
                </c:pt>
                <c:pt idx="78">
                  <c:v>-1.2553444208425601E-3</c:v>
                </c:pt>
                <c:pt idx="79">
                  <c:v>4.8516121718742101E-3</c:v>
                </c:pt>
                <c:pt idx="80">
                  <c:v>3.6948079584988901E-3</c:v>
                </c:pt>
                <c:pt idx="81">
                  <c:v>-1.6684987735234801E-3</c:v>
                </c:pt>
                <c:pt idx="82">
                  <c:v>-1.51723084129913E-3</c:v>
                </c:pt>
                <c:pt idx="83">
                  <c:v>-1.3969962665486299E-3</c:v>
                </c:pt>
                <c:pt idx="84">
                  <c:v>-3.33137007389812E-3</c:v>
                </c:pt>
                <c:pt idx="85">
                  <c:v>-4.8162033541560298E-3</c:v>
                </c:pt>
                <c:pt idx="86">
                  <c:v>-6.4441723391750498E-3</c:v>
                </c:pt>
                <c:pt idx="87">
                  <c:v>-5.0713158153139898E-3</c:v>
                </c:pt>
                <c:pt idx="88">
                  <c:v>4.9451117578978698E-3</c:v>
                </c:pt>
                <c:pt idx="89">
                  <c:v>5.1629047888683303E-3</c:v>
                </c:pt>
                <c:pt idx="90">
                  <c:v>2.9990739536815201E-3</c:v>
                </c:pt>
                <c:pt idx="91">
                  <c:v>2.8810619559459E-3</c:v>
                </c:pt>
                <c:pt idx="92">
                  <c:v>3.3958961920846501E-3</c:v>
                </c:pt>
                <c:pt idx="93">
                  <c:v>-2.5141543344470801E-3</c:v>
                </c:pt>
                <c:pt idx="94">
                  <c:v>-7.2050726827098399E-3</c:v>
                </c:pt>
                <c:pt idx="95">
                  <c:v>-4.0659076756967699E-3</c:v>
                </c:pt>
                <c:pt idx="96">
                  <c:v>6.6216858609064004E-3</c:v>
                </c:pt>
                <c:pt idx="97">
                  <c:v>9.6422641022505997E-3</c:v>
                </c:pt>
                <c:pt idx="98">
                  <c:v>6.8663077974699602E-3</c:v>
                </c:pt>
                <c:pt idx="99">
                  <c:v>7.5469519408846598E-3</c:v>
                </c:pt>
                <c:pt idx="100">
                  <c:v>3.2761536197781901E-3</c:v>
                </c:pt>
                <c:pt idx="101">
                  <c:v>6.5580371932983297E-3</c:v>
                </c:pt>
                <c:pt idx="102">
                  <c:v>4.1171321414051002E-3</c:v>
                </c:pt>
                <c:pt idx="103">
                  <c:v>6.4284466628374897E-3</c:v>
                </c:pt>
                <c:pt idx="104">
                  <c:v>4.4183816323773197E-3</c:v>
                </c:pt>
                <c:pt idx="105">
                  <c:v>3.4723545712455899E-3</c:v>
                </c:pt>
                <c:pt idx="106">
                  <c:v>9.1442997058998696E-3</c:v>
                </c:pt>
                <c:pt idx="107">
                  <c:v>5.4396409799825204E-3</c:v>
                </c:pt>
                <c:pt idx="108">
                  <c:v>8.1255879611310897E-3</c:v>
                </c:pt>
                <c:pt idx="109">
                  <c:v>8.1589118170047898E-3</c:v>
                </c:pt>
                <c:pt idx="110">
                  <c:v>5.4189057485738703E-3</c:v>
                </c:pt>
                <c:pt idx="111">
                  <c:v>5.4921134398062304E-3</c:v>
                </c:pt>
                <c:pt idx="112">
                  <c:v>-7.8912693948520103E-4</c:v>
                </c:pt>
                <c:pt idx="113">
                  <c:v>2.3595518892626001E-4</c:v>
                </c:pt>
                <c:pt idx="114">
                  <c:v>4.8382823911985104E-3</c:v>
                </c:pt>
                <c:pt idx="115">
                  <c:v>1.4379220223171799E-3</c:v>
                </c:pt>
                <c:pt idx="116">
                  <c:v>7.3962550491994301E-3</c:v>
                </c:pt>
                <c:pt idx="117">
                  <c:v>7.0103640885305404E-3</c:v>
                </c:pt>
                <c:pt idx="118">
                  <c:v>4.7300452214006396E-3</c:v>
                </c:pt>
                <c:pt idx="119">
                  <c:v>1.0335414249701001E-2</c:v>
                </c:pt>
                <c:pt idx="120">
                  <c:v>1.0862895908313699E-2</c:v>
                </c:pt>
                <c:pt idx="121">
                  <c:v>1.2277175622391801E-2</c:v>
                </c:pt>
                <c:pt idx="122">
                  <c:v>1.52484385504592E-2</c:v>
                </c:pt>
                <c:pt idx="123">
                  <c:v>2.0035734270599601E-2</c:v>
                </c:pt>
                <c:pt idx="124">
                  <c:v>1.9237339901871799E-2</c:v>
                </c:pt>
                <c:pt idx="125">
                  <c:v>1.9423005760005701E-2</c:v>
                </c:pt>
                <c:pt idx="126">
                  <c:v>2.1310541369547902E-2</c:v>
                </c:pt>
                <c:pt idx="127">
                  <c:v>1.5652797330374599E-2</c:v>
                </c:pt>
                <c:pt idx="128">
                  <c:v>1.2752797254083501E-2</c:v>
                </c:pt>
                <c:pt idx="129">
                  <c:v>9.3494823535477702E-3</c:v>
                </c:pt>
                <c:pt idx="130">
                  <c:v>8.3434290223024492E-3</c:v>
                </c:pt>
                <c:pt idx="131">
                  <c:v>6.5175210553889903E-3</c:v>
                </c:pt>
                <c:pt idx="132">
                  <c:v>5.3088325410531002E-3</c:v>
                </c:pt>
                <c:pt idx="133">
                  <c:v>5.3477981799810196E-3</c:v>
                </c:pt>
                <c:pt idx="134">
                  <c:v>5.1687973113413903E-3</c:v>
                </c:pt>
                <c:pt idx="135">
                  <c:v>4.0741350894757996E-3</c:v>
                </c:pt>
                <c:pt idx="136">
                  <c:v>7.08846310969882E-3</c:v>
                </c:pt>
                <c:pt idx="137">
                  <c:v>7.7353095145936699E-3</c:v>
                </c:pt>
                <c:pt idx="138">
                  <c:v>1.00219558968938E-2</c:v>
                </c:pt>
                <c:pt idx="139">
                  <c:v>8.4128923634407497E-3</c:v>
                </c:pt>
                <c:pt idx="140">
                  <c:v>4.8165342351034002E-3</c:v>
                </c:pt>
                <c:pt idx="141">
                  <c:v>6.2374404045396001E-3</c:v>
                </c:pt>
                <c:pt idx="142">
                  <c:v>-4.4233798491126198E-4</c:v>
                </c:pt>
                <c:pt idx="143">
                  <c:v>1.2989567152236301E-3</c:v>
                </c:pt>
                <c:pt idx="144">
                  <c:v>-2.1318106708181702E-3</c:v>
                </c:pt>
                <c:pt idx="145">
                  <c:v>-6.7833930433353904E-3</c:v>
                </c:pt>
                <c:pt idx="146">
                  <c:v>-6.85452246989418E-3</c:v>
                </c:pt>
                <c:pt idx="147">
                  <c:v>-3.91060546586138E-3</c:v>
                </c:pt>
                <c:pt idx="148">
                  <c:v>-3.74251956725502E-3</c:v>
                </c:pt>
                <c:pt idx="149">
                  <c:v>-5.0149928994529403E-3</c:v>
                </c:pt>
                <c:pt idx="150">
                  <c:v>-6.3748291104160602E-3</c:v>
                </c:pt>
                <c:pt idx="151">
                  <c:v>-4.3168814420958103E-3</c:v>
                </c:pt>
                <c:pt idx="152">
                  <c:v>-1.19505590829052E-2</c:v>
                </c:pt>
                <c:pt idx="153">
                  <c:v>-1.47121837473082E-2</c:v>
                </c:pt>
                <c:pt idx="154">
                  <c:v>-9.6011469232263006E-3</c:v>
                </c:pt>
                <c:pt idx="155">
                  <c:v>-8.7639261329360407E-3</c:v>
                </c:pt>
                <c:pt idx="156">
                  <c:v>-8.06825777193672E-3</c:v>
                </c:pt>
                <c:pt idx="157">
                  <c:v>-1.01413622851726E-2</c:v>
                </c:pt>
                <c:pt idx="158">
                  <c:v>3.72706833687131E-3</c:v>
                </c:pt>
                <c:pt idx="159">
                  <c:v>8.1062611806297395E-4</c:v>
                </c:pt>
                <c:pt idx="160">
                  <c:v>-3.48694314827741E-3</c:v>
                </c:pt>
                <c:pt idx="161">
                  <c:v>4.8230202727548403E-3</c:v>
                </c:pt>
                <c:pt idx="162">
                  <c:v>5.0510910374504401E-3</c:v>
                </c:pt>
                <c:pt idx="163">
                  <c:v>4.6641949616833501E-3</c:v>
                </c:pt>
                <c:pt idx="164">
                  <c:v>6.8009243485923198E-3</c:v>
                </c:pt>
                <c:pt idx="165">
                  <c:v>5.5830970589263703E-3</c:v>
                </c:pt>
                <c:pt idx="166">
                  <c:v>7.7830253519679104E-3</c:v>
                </c:pt>
                <c:pt idx="167">
                  <c:v>1.0229177427780799E-2</c:v>
                </c:pt>
                <c:pt idx="168">
                  <c:v>7.5424052798392796E-3</c:v>
                </c:pt>
                <c:pt idx="169">
                  <c:v>6.4282602443498102E-3</c:v>
                </c:pt>
                <c:pt idx="170">
                  <c:v>7.89467822486495E-3</c:v>
                </c:pt>
                <c:pt idx="171">
                  <c:v>8.5672681404422805E-3</c:v>
                </c:pt>
                <c:pt idx="172">
                  <c:v>8.9877761188766701E-3</c:v>
                </c:pt>
                <c:pt idx="173">
                  <c:v>7.6030023725001299E-3</c:v>
                </c:pt>
                <c:pt idx="174">
                  <c:v>4.1728917859464804E-3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CE-4887-92F6-03BDC6041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1.5411711479561987E-2</c:v>
                </c:pt>
                <c:pt idx="4">
                  <c:v>1.5411711479561987E-2</c:v>
                </c:pt>
                <c:pt idx="5">
                  <c:v>1.5411711479561987E-2</c:v>
                </c:pt>
                <c:pt idx="6">
                  <c:v>1.5411711479561987E-2</c:v>
                </c:pt>
                <c:pt idx="7">
                  <c:v>1.5411711479561987E-2</c:v>
                </c:pt>
                <c:pt idx="8">
                  <c:v>1.5411711479561987E-2</c:v>
                </c:pt>
                <c:pt idx="9">
                  <c:v>1.5411711479561987E-2</c:v>
                </c:pt>
                <c:pt idx="10">
                  <c:v>1.5411711479561987E-2</c:v>
                </c:pt>
                <c:pt idx="11">
                  <c:v>1.5411711479561987E-2</c:v>
                </c:pt>
                <c:pt idx="12">
                  <c:v>1.5411711479561987E-2</c:v>
                </c:pt>
                <c:pt idx="13">
                  <c:v>1.5411711479561987E-2</c:v>
                </c:pt>
                <c:pt idx="14">
                  <c:v>1.5411711479561987E-2</c:v>
                </c:pt>
                <c:pt idx="15">
                  <c:v>1.5411711479561987E-2</c:v>
                </c:pt>
                <c:pt idx="16">
                  <c:v>1.5411711479561987E-2</c:v>
                </c:pt>
                <c:pt idx="17">
                  <c:v>1.5411711479561987E-2</c:v>
                </c:pt>
                <c:pt idx="18">
                  <c:v>1.5411711479561987E-2</c:v>
                </c:pt>
                <c:pt idx="19">
                  <c:v>1.5411711479561987E-2</c:v>
                </c:pt>
                <c:pt idx="20">
                  <c:v>1.5411711479561987E-2</c:v>
                </c:pt>
                <c:pt idx="21">
                  <c:v>1.5411711479561987E-2</c:v>
                </c:pt>
                <c:pt idx="22">
                  <c:v>1.5411711479561987E-2</c:v>
                </c:pt>
                <c:pt idx="23">
                  <c:v>1.5411711479561987E-2</c:v>
                </c:pt>
                <c:pt idx="24">
                  <c:v>1.5411711479561987E-2</c:v>
                </c:pt>
                <c:pt idx="25">
                  <c:v>1.5411711479561987E-2</c:v>
                </c:pt>
                <c:pt idx="26">
                  <c:v>1.5411711479561987E-2</c:v>
                </c:pt>
                <c:pt idx="27">
                  <c:v>1.5411711479561987E-2</c:v>
                </c:pt>
                <c:pt idx="28">
                  <c:v>1.5411711479561987E-2</c:v>
                </c:pt>
                <c:pt idx="29">
                  <c:v>1.5411711479561987E-2</c:v>
                </c:pt>
                <c:pt idx="30">
                  <c:v>1.5411711479561987E-2</c:v>
                </c:pt>
                <c:pt idx="31">
                  <c:v>1.5411711479561987E-2</c:v>
                </c:pt>
                <c:pt idx="32">
                  <c:v>1.5411711479561987E-2</c:v>
                </c:pt>
                <c:pt idx="33">
                  <c:v>1.5411711479561987E-2</c:v>
                </c:pt>
                <c:pt idx="34">
                  <c:v>1.5411711479561987E-2</c:v>
                </c:pt>
                <c:pt idx="35">
                  <c:v>1.5411711479561987E-2</c:v>
                </c:pt>
                <c:pt idx="36">
                  <c:v>1.5411711479561987E-2</c:v>
                </c:pt>
                <c:pt idx="37">
                  <c:v>1.5411711479561987E-2</c:v>
                </c:pt>
                <c:pt idx="38">
                  <c:v>1.5411711479561987E-2</c:v>
                </c:pt>
                <c:pt idx="39">
                  <c:v>1.7912998006892507E-2</c:v>
                </c:pt>
                <c:pt idx="40">
                  <c:v>1.7692515240814718E-2</c:v>
                </c:pt>
                <c:pt idx="41">
                  <c:v>1.746544636486342E-2</c:v>
                </c:pt>
                <c:pt idx="42">
                  <c:v>1.764792647897331E-2</c:v>
                </c:pt>
                <c:pt idx="43">
                  <c:v>1.764792647897331E-2</c:v>
                </c:pt>
                <c:pt idx="44">
                  <c:v>2.485922627520594E-2</c:v>
                </c:pt>
                <c:pt idx="45">
                  <c:v>2.485922627520594E-2</c:v>
                </c:pt>
                <c:pt idx="46">
                  <c:v>2.485922627520594E-2</c:v>
                </c:pt>
                <c:pt idx="47">
                  <c:v>2.485922627520594E-2</c:v>
                </c:pt>
                <c:pt idx="48">
                  <c:v>2.485922627520594E-2</c:v>
                </c:pt>
                <c:pt idx="49">
                  <c:v>2.485922627520594E-2</c:v>
                </c:pt>
                <c:pt idx="50">
                  <c:v>2.485922627520594E-2</c:v>
                </c:pt>
                <c:pt idx="51">
                  <c:v>2.485922627520594E-2</c:v>
                </c:pt>
                <c:pt idx="52">
                  <c:v>2.485922627520594E-2</c:v>
                </c:pt>
                <c:pt idx="53">
                  <c:v>2.485922627520594E-2</c:v>
                </c:pt>
                <c:pt idx="54">
                  <c:v>1.9175790185680119E-2</c:v>
                </c:pt>
                <c:pt idx="55">
                  <c:v>2.1371856744461858E-2</c:v>
                </c:pt>
                <c:pt idx="56">
                  <c:v>2.3239209807193857E-2</c:v>
                </c:pt>
                <c:pt idx="57">
                  <c:v>2.5389415651367563E-2</c:v>
                </c:pt>
                <c:pt idx="58">
                  <c:v>2.8609139990784332E-2</c:v>
                </c:pt>
                <c:pt idx="59">
                  <c:v>2.8609139990784332E-2</c:v>
                </c:pt>
                <c:pt idx="60">
                  <c:v>2.8609139990784332E-2</c:v>
                </c:pt>
                <c:pt idx="61">
                  <c:v>2.8609139990784332E-2</c:v>
                </c:pt>
                <c:pt idx="62">
                  <c:v>2.8609139990784332E-2</c:v>
                </c:pt>
                <c:pt idx="63">
                  <c:v>2.8609139990784332E-2</c:v>
                </c:pt>
                <c:pt idx="64">
                  <c:v>2.8609139990784332E-2</c:v>
                </c:pt>
                <c:pt idx="65">
                  <c:v>2.8609139990784332E-2</c:v>
                </c:pt>
                <c:pt idx="66">
                  <c:v>2.8609139990784332E-2</c:v>
                </c:pt>
                <c:pt idx="67">
                  <c:v>2.9601241612895911E-2</c:v>
                </c:pt>
                <c:pt idx="68">
                  <c:v>3.8989606958109164E-2</c:v>
                </c:pt>
                <c:pt idx="69">
                  <c:v>3.8989606958109164E-2</c:v>
                </c:pt>
                <c:pt idx="70">
                  <c:v>3.8989606958109164E-2</c:v>
                </c:pt>
                <c:pt idx="71">
                  <c:v>3.8989606958109164E-2</c:v>
                </c:pt>
                <c:pt idx="72">
                  <c:v>3.8989606958109164E-2</c:v>
                </c:pt>
                <c:pt idx="73">
                  <c:v>3.8989606958109164E-2</c:v>
                </c:pt>
                <c:pt idx="74">
                  <c:v>3.8989606958109164E-2</c:v>
                </c:pt>
                <c:pt idx="75">
                  <c:v>4.2187885138400397E-2</c:v>
                </c:pt>
                <c:pt idx="76">
                  <c:v>5.2984809856350144E-2</c:v>
                </c:pt>
                <c:pt idx="77">
                  <c:v>5.2984809856350144E-2</c:v>
                </c:pt>
                <c:pt idx="78">
                  <c:v>5.2984809856350144E-2</c:v>
                </c:pt>
                <c:pt idx="79">
                  <c:v>5.2984809856350144E-2</c:v>
                </c:pt>
                <c:pt idx="80">
                  <c:v>5.2984809856350144E-2</c:v>
                </c:pt>
                <c:pt idx="81">
                  <c:v>5.2984809856350144E-2</c:v>
                </c:pt>
                <c:pt idx="82">
                  <c:v>5.2984809856350144E-2</c:v>
                </c:pt>
                <c:pt idx="83">
                  <c:v>5.2984809856350144E-2</c:v>
                </c:pt>
                <c:pt idx="84">
                  <c:v>5.2984809856350144E-2</c:v>
                </c:pt>
                <c:pt idx="85">
                  <c:v>5.2984809856350144E-2</c:v>
                </c:pt>
                <c:pt idx="86">
                  <c:v>5.2984809856350144E-2</c:v>
                </c:pt>
                <c:pt idx="87">
                  <c:v>5.2984809856350144E-2</c:v>
                </c:pt>
                <c:pt idx="88">
                  <c:v>5.2984809856350144E-2</c:v>
                </c:pt>
                <c:pt idx="89">
                  <c:v>5.2984809856350144E-2</c:v>
                </c:pt>
                <c:pt idx="90">
                  <c:v>5.2984809856350144E-2</c:v>
                </c:pt>
                <c:pt idx="91">
                  <c:v>5.2984809856350144E-2</c:v>
                </c:pt>
                <c:pt idx="92">
                  <c:v>5.2984809856350144E-2</c:v>
                </c:pt>
                <c:pt idx="93">
                  <c:v>5.2984809856350144E-2</c:v>
                </c:pt>
                <c:pt idx="94">
                  <c:v>5.2984809856350144E-2</c:v>
                </c:pt>
                <c:pt idx="95">
                  <c:v>5.2984809856350144E-2</c:v>
                </c:pt>
                <c:pt idx="96">
                  <c:v>5.2984809856350144E-2</c:v>
                </c:pt>
                <c:pt idx="97">
                  <c:v>5.2984809856350144E-2</c:v>
                </c:pt>
                <c:pt idx="98">
                  <c:v>5.2984809856350144E-2</c:v>
                </c:pt>
                <c:pt idx="99">
                  <c:v>5.2984809856350144E-2</c:v>
                </c:pt>
                <c:pt idx="100">
                  <c:v>5.2984809856350144E-2</c:v>
                </c:pt>
                <c:pt idx="101">
                  <c:v>5.2984809856350144E-2</c:v>
                </c:pt>
                <c:pt idx="102">
                  <c:v>5.2984809856350144E-2</c:v>
                </c:pt>
                <c:pt idx="103">
                  <c:v>5.2984809856350144E-2</c:v>
                </c:pt>
                <c:pt idx="104">
                  <c:v>5.2984809856350144E-2</c:v>
                </c:pt>
                <c:pt idx="105">
                  <c:v>5.2984809856350144E-2</c:v>
                </c:pt>
                <c:pt idx="106">
                  <c:v>5.2984809856350144E-2</c:v>
                </c:pt>
                <c:pt idx="107">
                  <c:v>5.2984809856350144E-2</c:v>
                </c:pt>
                <c:pt idx="108">
                  <c:v>5.2984809856350144E-2</c:v>
                </c:pt>
                <c:pt idx="109">
                  <c:v>5.2984809856350144E-2</c:v>
                </c:pt>
                <c:pt idx="110">
                  <c:v>5.2984809856350144E-2</c:v>
                </c:pt>
                <c:pt idx="111">
                  <c:v>5.2984809856350144E-2</c:v>
                </c:pt>
                <c:pt idx="112">
                  <c:v>5.2984809856350144E-2</c:v>
                </c:pt>
                <c:pt idx="113">
                  <c:v>5.2984809856350144E-2</c:v>
                </c:pt>
                <c:pt idx="114">
                  <c:v>5.2984809856350144E-2</c:v>
                </c:pt>
                <c:pt idx="115">
                  <c:v>5.2984809856350144E-2</c:v>
                </c:pt>
                <c:pt idx="116">
                  <c:v>5.2984809856350144E-2</c:v>
                </c:pt>
                <c:pt idx="117">
                  <c:v>5.2984809856350144E-2</c:v>
                </c:pt>
                <c:pt idx="118">
                  <c:v>5.2984809856350144E-2</c:v>
                </c:pt>
                <c:pt idx="119">
                  <c:v>5.2984809856350144E-2</c:v>
                </c:pt>
                <c:pt idx="120">
                  <c:v>5.2984809856350144E-2</c:v>
                </c:pt>
                <c:pt idx="121">
                  <c:v>5.2984809856350144E-2</c:v>
                </c:pt>
                <c:pt idx="122">
                  <c:v>5.2984809856350144E-2</c:v>
                </c:pt>
                <c:pt idx="123">
                  <c:v>5.2984809856350144E-2</c:v>
                </c:pt>
                <c:pt idx="124">
                  <c:v>5.2984809856350144E-2</c:v>
                </c:pt>
                <c:pt idx="125">
                  <c:v>5.2984809856350144E-2</c:v>
                </c:pt>
                <c:pt idx="126">
                  <c:v>5.2503294918401847E-2</c:v>
                </c:pt>
                <c:pt idx="127">
                  <c:v>5.484661917949632E-2</c:v>
                </c:pt>
                <c:pt idx="128">
                  <c:v>5.4749003179071651E-2</c:v>
                </c:pt>
                <c:pt idx="129">
                  <c:v>5.3289232993877708E-2</c:v>
                </c:pt>
                <c:pt idx="130">
                  <c:v>5.1790021540687445E-2</c:v>
                </c:pt>
                <c:pt idx="131">
                  <c:v>5.3641500825727453E-2</c:v>
                </c:pt>
                <c:pt idx="132">
                  <c:v>4.5938300665804045E-2</c:v>
                </c:pt>
                <c:pt idx="133">
                  <c:v>4.2735289575505805E-2</c:v>
                </c:pt>
                <c:pt idx="134">
                  <c:v>4.7182740193219823E-2</c:v>
                </c:pt>
                <c:pt idx="135">
                  <c:v>4.7532409555406822E-2</c:v>
                </c:pt>
                <c:pt idx="136">
                  <c:v>4.7765320242573524E-2</c:v>
                </c:pt>
                <c:pt idx="137">
                  <c:v>4.5037776245366423E-2</c:v>
                </c:pt>
                <c:pt idx="138">
                  <c:v>5.8036017161810491E-2</c:v>
                </c:pt>
                <c:pt idx="139">
                  <c:v>5.8036017161810491E-2</c:v>
                </c:pt>
                <c:pt idx="140">
                  <c:v>5.8036017161810491E-2</c:v>
                </c:pt>
                <c:pt idx="141">
                  <c:v>5.8036017161810491E-2</c:v>
                </c:pt>
                <c:pt idx="142">
                  <c:v>5.8036017161810491E-2</c:v>
                </c:pt>
                <c:pt idx="143">
                  <c:v>5.8036017161810491E-2</c:v>
                </c:pt>
                <c:pt idx="144">
                  <c:v>5.8036017161810491E-2</c:v>
                </c:pt>
                <c:pt idx="145">
                  <c:v>5.8036017161810491E-2</c:v>
                </c:pt>
                <c:pt idx="146">
                  <c:v>5.8036017161810491E-2</c:v>
                </c:pt>
                <c:pt idx="147">
                  <c:v>5.8036017161810491E-2</c:v>
                </c:pt>
                <c:pt idx="148">
                  <c:v>5.8036017161810491E-2</c:v>
                </c:pt>
                <c:pt idx="149">
                  <c:v>5.8036017161810491E-2</c:v>
                </c:pt>
                <c:pt idx="150">
                  <c:v>5.8036017161810491E-2</c:v>
                </c:pt>
                <c:pt idx="151">
                  <c:v>5.8036017161810491E-2</c:v>
                </c:pt>
                <c:pt idx="152">
                  <c:v>5.8036017161810491E-2</c:v>
                </c:pt>
                <c:pt idx="153">
                  <c:v>5.8036017161810491E-2</c:v>
                </c:pt>
                <c:pt idx="154">
                  <c:v>5.8036017161810491E-2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1-40A1-BB55-C8E716546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3.37668256315783E-3</c:v>
                </c:pt>
                <c:pt idx="5">
                  <c:v>4.37450080631052E-3</c:v>
                </c:pt>
                <c:pt idx="6">
                  <c:v>2.1057038132250702E-3</c:v>
                </c:pt>
                <c:pt idx="7">
                  <c:v>2.4874045908716705E-3</c:v>
                </c:pt>
                <c:pt idx="8">
                  <c:v>8.0416257934306998E-3</c:v>
                </c:pt>
                <c:pt idx="9">
                  <c:v>8.0416257934306998E-3</c:v>
                </c:pt>
                <c:pt idx="10">
                  <c:v>8.0416257934306998E-3</c:v>
                </c:pt>
                <c:pt idx="11">
                  <c:v>8.0416257934306998E-3</c:v>
                </c:pt>
                <c:pt idx="12">
                  <c:v>8.0416257934306998E-3</c:v>
                </c:pt>
                <c:pt idx="13">
                  <c:v>8.0416257934306998E-3</c:v>
                </c:pt>
                <c:pt idx="14">
                  <c:v>8.0416257934306998E-3</c:v>
                </c:pt>
                <c:pt idx="15">
                  <c:v>1.1966595570549901E-2</c:v>
                </c:pt>
                <c:pt idx="16">
                  <c:v>8.8831432613906396E-3</c:v>
                </c:pt>
                <c:pt idx="17">
                  <c:v>4.45553846689066E-3</c:v>
                </c:pt>
                <c:pt idx="18">
                  <c:v>5.3938885024956591E-3</c:v>
                </c:pt>
                <c:pt idx="19">
                  <c:v>2.1145552269994598E-3</c:v>
                </c:pt>
                <c:pt idx="20">
                  <c:v>8.3310527362145583E-3</c:v>
                </c:pt>
                <c:pt idx="21">
                  <c:v>1.0216152690730078E-2</c:v>
                </c:pt>
                <c:pt idx="22">
                  <c:v>1.0216152690730078E-2</c:v>
                </c:pt>
                <c:pt idx="23">
                  <c:v>1.0216152690730078E-2</c:v>
                </c:pt>
                <c:pt idx="24">
                  <c:v>1.0216152690730078E-2</c:v>
                </c:pt>
                <c:pt idx="25">
                  <c:v>1.0216152690730078E-2</c:v>
                </c:pt>
                <c:pt idx="26">
                  <c:v>1.0216152690730078E-2</c:v>
                </c:pt>
                <c:pt idx="27">
                  <c:v>1.0216152690730078E-2</c:v>
                </c:pt>
                <c:pt idx="28">
                  <c:v>1.0216152690730078E-2</c:v>
                </c:pt>
                <c:pt idx="29">
                  <c:v>1.0216152690730078E-2</c:v>
                </c:pt>
                <c:pt idx="30">
                  <c:v>1.0216152690730078E-2</c:v>
                </c:pt>
                <c:pt idx="31">
                  <c:v>1.0216152690730078E-2</c:v>
                </c:pt>
                <c:pt idx="32">
                  <c:v>1.0216152690730078E-2</c:v>
                </c:pt>
                <c:pt idx="33">
                  <c:v>1.0216152690730078E-2</c:v>
                </c:pt>
                <c:pt idx="34">
                  <c:v>1.0216152690730078E-2</c:v>
                </c:pt>
                <c:pt idx="35">
                  <c:v>1.0216152690730078E-2</c:v>
                </c:pt>
                <c:pt idx="36">
                  <c:v>1.0216152690730078E-2</c:v>
                </c:pt>
                <c:pt idx="37">
                  <c:v>1.0216152690730078E-2</c:v>
                </c:pt>
                <c:pt idx="38">
                  <c:v>1.0216152690730078E-2</c:v>
                </c:pt>
                <c:pt idx="39">
                  <c:v>1.0216152690730078E-2</c:v>
                </c:pt>
                <c:pt idx="40">
                  <c:v>1.0216152690730078E-2</c:v>
                </c:pt>
                <c:pt idx="41">
                  <c:v>1.0216152690730078E-2</c:v>
                </c:pt>
                <c:pt idx="42">
                  <c:v>1.0216152690730078E-2</c:v>
                </c:pt>
                <c:pt idx="43">
                  <c:v>1.0216152690730078E-2</c:v>
                </c:pt>
                <c:pt idx="44">
                  <c:v>1.0216152690730078E-2</c:v>
                </c:pt>
                <c:pt idx="45">
                  <c:v>1.0216152690730078E-2</c:v>
                </c:pt>
                <c:pt idx="46">
                  <c:v>1.0216152690730078E-2</c:v>
                </c:pt>
                <c:pt idx="47">
                  <c:v>1.0216152690730078E-2</c:v>
                </c:pt>
                <c:pt idx="48">
                  <c:v>1.0216152690730078E-2</c:v>
                </c:pt>
                <c:pt idx="49">
                  <c:v>1.0216152690730078E-2</c:v>
                </c:pt>
                <c:pt idx="50">
                  <c:v>1.0216152690730078E-2</c:v>
                </c:pt>
                <c:pt idx="51">
                  <c:v>1.0216152690730078E-2</c:v>
                </c:pt>
                <c:pt idx="52">
                  <c:v>1.0216152690730078E-2</c:v>
                </c:pt>
                <c:pt idx="53">
                  <c:v>1.0216152690730078E-2</c:v>
                </c:pt>
                <c:pt idx="54">
                  <c:v>1.0216152690730078E-2</c:v>
                </c:pt>
                <c:pt idx="55">
                  <c:v>1.0216152690730078E-2</c:v>
                </c:pt>
                <c:pt idx="56">
                  <c:v>1.0216152690730078E-2</c:v>
                </c:pt>
                <c:pt idx="57">
                  <c:v>1.0216152690730078E-2</c:v>
                </c:pt>
                <c:pt idx="58">
                  <c:v>1.0216152690730078E-2</c:v>
                </c:pt>
                <c:pt idx="59">
                  <c:v>1.0216152690730078E-2</c:v>
                </c:pt>
                <c:pt idx="60">
                  <c:v>1.0216152690730078E-2</c:v>
                </c:pt>
                <c:pt idx="61">
                  <c:v>1.0216152690730078E-2</c:v>
                </c:pt>
                <c:pt idx="62">
                  <c:v>1.0216152690730078E-2</c:v>
                </c:pt>
                <c:pt idx="63">
                  <c:v>1.0216152690730078E-2</c:v>
                </c:pt>
                <c:pt idx="64">
                  <c:v>1.0216152690730078E-2</c:v>
                </c:pt>
                <c:pt idx="65">
                  <c:v>1.0216152690730078E-2</c:v>
                </c:pt>
                <c:pt idx="66">
                  <c:v>1.0216152690730078E-2</c:v>
                </c:pt>
                <c:pt idx="67">
                  <c:v>1.0216152690730078E-2</c:v>
                </c:pt>
                <c:pt idx="68">
                  <c:v>1.0216152690730078E-2</c:v>
                </c:pt>
                <c:pt idx="69">
                  <c:v>1.0216152690730078E-2</c:v>
                </c:pt>
                <c:pt idx="70">
                  <c:v>1.0216152690730078E-2</c:v>
                </c:pt>
                <c:pt idx="71">
                  <c:v>1.0216152690730078E-2</c:v>
                </c:pt>
                <c:pt idx="72">
                  <c:v>1.0216152690730078E-2</c:v>
                </c:pt>
                <c:pt idx="73">
                  <c:v>1.0216152690730078E-2</c:v>
                </c:pt>
                <c:pt idx="74">
                  <c:v>1.0216152690730078E-2</c:v>
                </c:pt>
                <c:pt idx="75">
                  <c:v>1.0216152690730078E-2</c:v>
                </c:pt>
                <c:pt idx="76">
                  <c:v>1.0216152690730078E-2</c:v>
                </c:pt>
                <c:pt idx="77">
                  <c:v>1.0216152690730078E-2</c:v>
                </c:pt>
                <c:pt idx="78">
                  <c:v>1.236752150107788E-2</c:v>
                </c:pt>
                <c:pt idx="79">
                  <c:v>1.133004149676288E-2</c:v>
                </c:pt>
                <c:pt idx="80">
                  <c:v>1.5494652311341891E-2</c:v>
                </c:pt>
                <c:pt idx="81">
                  <c:v>1.5494652311341891E-2</c:v>
                </c:pt>
                <c:pt idx="82">
                  <c:v>1.5494652311341891E-2</c:v>
                </c:pt>
                <c:pt idx="83">
                  <c:v>1.5494652311341891E-2</c:v>
                </c:pt>
                <c:pt idx="84">
                  <c:v>1.5494652311341891E-2</c:v>
                </c:pt>
                <c:pt idx="85">
                  <c:v>1.5494652311341891E-2</c:v>
                </c:pt>
                <c:pt idx="86">
                  <c:v>1.5494652311341891E-2</c:v>
                </c:pt>
                <c:pt idx="87">
                  <c:v>1.8310027482609102E-2</c:v>
                </c:pt>
                <c:pt idx="88">
                  <c:v>1.4924019732878302E-2</c:v>
                </c:pt>
                <c:pt idx="89">
                  <c:v>1.4493652651187903E-2</c:v>
                </c:pt>
                <c:pt idx="90">
                  <c:v>1.6811574642660025E-2</c:v>
                </c:pt>
                <c:pt idx="91">
                  <c:v>1.6313938846944195E-2</c:v>
                </c:pt>
                <c:pt idx="92">
                  <c:v>1.6313938846944195E-2</c:v>
                </c:pt>
                <c:pt idx="93">
                  <c:v>1.6313938846944195E-2</c:v>
                </c:pt>
                <c:pt idx="94">
                  <c:v>1.6313938846944195E-2</c:v>
                </c:pt>
                <c:pt idx="95">
                  <c:v>1.8724364888971935E-2</c:v>
                </c:pt>
                <c:pt idx="96">
                  <c:v>1.8724364888971935E-2</c:v>
                </c:pt>
                <c:pt idx="97">
                  <c:v>1.8724364888971935E-2</c:v>
                </c:pt>
                <c:pt idx="98">
                  <c:v>1.8724364888971935E-2</c:v>
                </c:pt>
                <c:pt idx="99">
                  <c:v>1.8724364888971935E-2</c:v>
                </c:pt>
                <c:pt idx="100">
                  <c:v>1.7620261532959876E-2</c:v>
                </c:pt>
                <c:pt idx="101">
                  <c:v>1.5365156128243605E-2</c:v>
                </c:pt>
                <c:pt idx="102">
                  <c:v>1.1603345056063905E-2</c:v>
                </c:pt>
                <c:pt idx="103">
                  <c:v>5.7351212331776535E-3</c:v>
                </c:pt>
                <c:pt idx="104">
                  <c:v>5.2927826243606528E-3</c:v>
                </c:pt>
                <c:pt idx="105">
                  <c:v>3.7621152544555728E-3</c:v>
                </c:pt>
                <c:pt idx="106">
                  <c:v>4.2579206544358233E-4</c:v>
                </c:pt>
                <c:pt idx="107">
                  <c:v>4.7795626624318023E-3</c:v>
                </c:pt>
                <c:pt idx="108">
                  <c:v>6.4459663591691025E-3</c:v>
                </c:pt>
                <c:pt idx="109">
                  <c:v>8.8674046641091034E-3</c:v>
                </c:pt>
                <c:pt idx="110">
                  <c:v>9.0322302526179427E-3</c:v>
                </c:pt>
                <c:pt idx="111">
                  <c:v>9.9072762746383429E-3</c:v>
                </c:pt>
                <c:pt idx="112">
                  <c:v>1.0232875555560184E-2</c:v>
                </c:pt>
                <c:pt idx="113">
                  <c:v>9.0303921881837827E-3</c:v>
                </c:pt>
                <c:pt idx="114">
                  <c:v>8.0443325039206426E-3</c:v>
                </c:pt>
                <c:pt idx="115">
                  <c:v>8.1829528035063832E-3</c:v>
                </c:pt>
                <c:pt idx="116">
                  <c:v>8.1829528035063832E-3</c:v>
                </c:pt>
                <c:pt idx="117">
                  <c:v>8.1829528035063832E-3</c:v>
                </c:pt>
                <c:pt idx="118">
                  <c:v>4.8836072095559836E-3</c:v>
                </c:pt>
                <c:pt idx="119">
                  <c:v>5.2157676700358823E-3</c:v>
                </c:pt>
                <c:pt idx="120">
                  <c:v>7.8514682142446814E-3</c:v>
                </c:pt>
                <c:pt idx="121">
                  <c:v>5.6559477104066794E-3</c:v>
                </c:pt>
                <c:pt idx="122">
                  <c:v>1.156522108811554E-2</c:v>
                </c:pt>
                <c:pt idx="123">
                  <c:v>1.156522108811554E-2</c:v>
                </c:pt>
                <c:pt idx="124">
                  <c:v>1.156522108811554E-2</c:v>
                </c:pt>
                <c:pt idx="125">
                  <c:v>1.156522108811554E-2</c:v>
                </c:pt>
                <c:pt idx="126">
                  <c:v>1.156522108811554E-2</c:v>
                </c:pt>
                <c:pt idx="127">
                  <c:v>1.156522108811554E-2</c:v>
                </c:pt>
                <c:pt idx="128">
                  <c:v>1.156522108811554E-2</c:v>
                </c:pt>
                <c:pt idx="129">
                  <c:v>1.156522108811554E-2</c:v>
                </c:pt>
                <c:pt idx="130">
                  <c:v>1.156522108811554E-2</c:v>
                </c:pt>
                <c:pt idx="131">
                  <c:v>1.156522108811554E-2</c:v>
                </c:pt>
                <c:pt idx="132">
                  <c:v>1.156522108811554E-2</c:v>
                </c:pt>
                <c:pt idx="133">
                  <c:v>1.156522108811554E-2</c:v>
                </c:pt>
                <c:pt idx="134">
                  <c:v>1.156522108811554E-2</c:v>
                </c:pt>
                <c:pt idx="135">
                  <c:v>1.156522108811554E-2</c:v>
                </c:pt>
                <c:pt idx="136">
                  <c:v>1.156522108811554E-2</c:v>
                </c:pt>
                <c:pt idx="137">
                  <c:v>1.156522108811554E-2</c:v>
                </c:pt>
                <c:pt idx="138">
                  <c:v>1.156522108811554E-2</c:v>
                </c:pt>
                <c:pt idx="139">
                  <c:v>1.156522108811554E-2</c:v>
                </c:pt>
                <c:pt idx="140">
                  <c:v>1.156522108811554E-2</c:v>
                </c:pt>
                <c:pt idx="141">
                  <c:v>1.156522108811554E-2</c:v>
                </c:pt>
                <c:pt idx="142">
                  <c:v>1.156522108811554E-2</c:v>
                </c:pt>
                <c:pt idx="143">
                  <c:v>1.156522108811554E-2</c:v>
                </c:pt>
                <c:pt idx="144">
                  <c:v>1.156522108811554E-2</c:v>
                </c:pt>
                <c:pt idx="145">
                  <c:v>1.156522108811554E-2</c:v>
                </c:pt>
                <c:pt idx="146">
                  <c:v>1.156522108811554E-2</c:v>
                </c:pt>
                <c:pt idx="147">
                  <c:v>8.7361909511770308E-3</c:v>
                </c:pt>
                <c:pt idx="148">
                  <c:v>1.1016781598792671E-2</c:v>
                </c:pt>
                <c:pt idx="149">
                  <c:v>1.1832788964585851E-2</c:v>
                </c:pt>
                <c:pt idx="150">
                  <c:v>1.0035706420765969E-2</c:v>
                </c:pt>
                <c:pt idx="151">
                  <c:v>8.8679900589213687E-3</c:v>
                </c:pt>
                <c:pt idx="152">
                  <c:v>7.9869280074526417E-3</c:v>
                </c:pt>
                <c:pt idx="153">
                  <c:v>8.4798780785292523E-3</c:v>
                </c:pt>
                <c:pt idx="154">
                  <c:v>1.0879715158104023E-2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9-44A9-9DD7-A1EB18EF8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1.5411711479561987E-2</c:v>
                </c:pt>
                <c:pt idx="4">
                  <c:v>1.8788394042719817E-2</c:v>
                </c:pt>
                <c:pt idx="5">
                  <c:v>1.9786212285872507E-2</c:v>
                </c:pt>
                <c:pt idx="6">
                  <c:v>1.7517415292787056E-2</c:v>
                </c:pt>
                <c:pt idx="7">
                  <c:v>1.7899116070433659E-2</c:v>
                </c:pt>
                <c:pt idx="8">
                  <c:v>2.3453337272992689E-2</c:v>
                </c:pt>
                <c:pt idx="9">
                  <c:v>2.3453337272992689E-2</c:v>
                </c:pt>
                <c:pt idx="10">
                  <c:v>2.3453337272992689E-2</c:v>
                </c:pt>
                <c:pt idx="11">
                  <c:v>2.3453337272992689E-2</c:v>
                </c:pt>
                <c:pt idx="12">
                  <c:v>2.3453337272992689E-2</c:v>
                </c:pt>
                <c:pt idx="13">
                  <c:v>2.3453337272992689E-2</c:v>
                </c:pt>
                <c:pt idx="14">
                  <c:v>2.3453337272992689E-2</c:v>
                </c:pt>
                <c:pt idx="15">
                  <c:v>2.7378307050111891E-2</c:v>
                </c:pt>
                <c:pt idx="16">
                  <c:v>2.429485474095263E-2</c:v>
                </c:pt>
                <c:pt idx="17">
                  <c:v>1.9867249946452649E-2</c:v>
                </c:pt>
                <c:pt idx="18">
                  <c:v>2.0805599982057648E-2</c:v>
                </c:pt>
                <c:pt idx="19">
                  <c:v>1.7526266706561447E-2</c:v>
                </c:pt>
                <c:pt idx="20">
                  <c:v>2.3742764215776545E-2</c:v>
                </c:pt>
                <c:pt idx="21">
                  <c:v>2.5627864170292065E-2</c:v>
                </c:pt>
                <c:pt idx="22">
                  <c:v>2.5627864170292065E-2</c:v>
                </c:pt>
                <c:pt idx="23">
                  <c:v>2.5627864170292065E-2</c:v>
                </c:pt>
                <c:pt idx="24">
                  <c:v>2.5627864170292065E-2</c:v>
                </c:pt>
                <c:pt idx="25">
                  <c:v>2.5627864170292065E-2</c:v>
                </c:pt>
                <c:pt idx="26">
                  <c:v>2.5627864170292065E-2</c:v>
                </c:pt>
                <c:pt idx="27">
                  <c:v>2.5627864170292065E-2</c:v>
                </c:pt>
                <c:pt idx="28">
                  <c:v>2.5627864170292065E-2</c:v>
                </c:pt>
                <c:pt idx="29">
                  <c:v>2.5627864170292065E-2</c:v>
                </c:pt>
                <c:pt idx="30">
                  <c:v>2.5627864170292065E-2</c:v>
                </c:pt>
                <c:pt idx="31">
                  <c:v>2.5627864170292065E-2</c:v>
                </c:pt>
                <c:pt idx="32">
                  <c:v>2.5627864170292065E-2</c:v>
                </c:pt>
                <c:pt idx="33">
                  <c:v>2.5627864170292065E-2</c:v>
                </c:pt>
                <c:pt idx="34">
                  <c:v>2.5627864170292065E-2</c:v>
                </c:pt>
                <c:pt idx="35">
                  <c:v>2.5627864170292065E-2</c:v>
                </c:pt>
                <c:pt idx="36">
                  <c:v>2.5627864170292065E-2</c:v>
                </c:pt>
                <c:pt idx="37">
                  <c:v>2.5627864170292065E-2</c:v>
                </c:pt>
                <c:pt idx="38">
                  <c:v>2.5627864170292065E-2</c:v>
                </c:pt>
                <c:pt idx="39">
                  <c:v>2.8129150697622583E-2</c:v>
                </c:pt>
                <c:pt idx="40">
                  <c:v>2.7908667931544794E-2</c:v>
                </c:pt>
                <c:pt idx="41">
                  <c:v>2.7681599055593496E-2</c:v>
                </c:pt>
                <c:pt idx="42">
                  <c:v>2.7864079169703387E-2</c:v>
                </c:pt>
                <c:pt idx="43">
                  <c:v>2.7864079169703387E-2</c:v>
                </c:pt>
                <c:pt idx="44">
                  <c:v>3.5075378965936016E-2</c:v>
                </c:pt>
                <c:pt idx="45">
                  <c:v>3.5075378965936016E-2</c:v>
                </c:pt>
                <c:pt idx="46">
                  <c:v>3.5075378965936016E-2</c:v>
                </c:pt>
                <c:pt idx="47">
                  <c:v>3.5075378965936016E-2</c:v>
                </c:pt>
                <c:pt idx="48">
                  <c:v>3.5075378965936016E-2</c:v>
                </c:pt>
                <c:pt idx="49">
                  <c:v>3.5075378965936016E-2</c:v>
                </c:pt>
                <c:pt idx="50">
                  <c:v>3.5075378965936016E-2</c:v>
                </c:pt>
                <c:pt idx="51">
                  <c:v>3.5075378965936016E-2</c:v>
                </c:pt>
                <c:pt idx="52">
                  <c:v>3.5075378965936016E-2</c:v>
                </c:pt>
                <c:pt idx="53">
                  <c:v>3.5075378965936016E-2</c:v>
                </c:pt>
                <c:pt idx="54">
                  <c:v>2.9391942876410195E-2</c:v>
                </c:pt>
                <c:pt idx="55">
                  <c:v>3.1588009435191938E-2</c:v>
                </c:pt>
                <c:pt idx="56">
                  <c:v>3.3455362497923941E-2</c:v>
                </c:pt>
                <c:pt idx="57">
                  <c:v>3.5605568342097646E-2</c:v>
                </c:pt>
                <c:pt idx="58">
                  <c:v>3.8825292681514419E-2</c:v>
                </c:pt>
                <c:pt idx="59">
                  <c:v>3.8825292681514419E-2</c:v>
                </c:pt>
                <c:pt idx="60">
                  <c:v>3.8825292681514419E-2</c:v>
                </c:pt>
                <c:pt idx="61">
                  <c:v>3.8825292681514419E-2</c:v>
                </c:pt>
                <c:pt idx="62">
                  <c:v>3.8825292681514419E-2</c:v>
                </c:pt>
                <c:pt idx="63">
                  <c:v>3.8825292681514419E-2</c:v>
                </c:pt>
                <c:pt idx="64">
                  <c:v>3.8825292681514419E-2</c:v>
                </c:pt>
                <c:pt idx="65">
                  <c:v>3.8825292681514419E-2</c:v>
                </c:pt>
                <c:pt idx="66">
                  <c:v>3.8825292681514419E-2</c:v>
                </c:pt>
                <c:pt idx="67">
                  <c:v>3.9817394303625998E-2</c:v>
                </c:pt>
                <c:pt idx="68">
                  <c:v>4.9205759648839255E-2</c:v>
                </c:pt>
                <c:pt idx="69">
                  <c:v>4.9205759648839255E-2</c:v>
                </c:pt>
                <c:pt idx="70">
                  <c:v>4.9205759648839255E-2</c:v>
                </c:pt>
                <c:pt idx="71">
                  <c:v>4.9205759648839255E-2</c:v>
                </c:pt>
                <c:pt idx="72">
                  <c:v>4.9205759648839255E-2</c:v>
                </c:pt>
                <c:pt idx="73">
                  <c:v>4.9205759648839255E-2</c:v>
                </c:pt>
                <c:pt idx="74">
                  <c:v>4.9205759648839255E-2</c:v>
                </c:pt>
                <c:pt idx="75">
                  <c:v>5.2404037829130487E-2</c:v>
                </c:pt>
                <c:pt idx="76">
                  <c:v>6.3200962547080228E-2</c:v>
                </c:pt>
                <c:pt idx="77">
                  <c:v>6.3200962547080228E-2</c:v>
                </c:pt>
                <c:pt idx="78">
                  <c:v>6.5352331357428031E-2</c:v>
                </c:pt>
                <c:pt idx="79">
                  <c:v>6.4314851353113031E-2</c:v>
                </c:pt>
                <c:pt idx="80">
                  <c:v>6.8479462167692046E-2</c:v>
                </c:pt>
                <c:pt idx="81">
                  <c:v>6.8479462167692046E-2</c:v>
                </c:pt>
                <c:pt idx="82">
                  <c:v>6.8479462167692046E-2</c:v>
                </c:pt>
                <c:pt idx="83">
                  <c:v>6.8479462167692046E-2</c:v>
                </c:pt>
                <c:pt idx="84">
                  <c:v>6.8479462167692046E-2</c:v>
                </c:pt>
                <c:pt idx="85">
                  <c:v>6.8479462167692046E-2</c:v>
                </c:pt>
                <c:pt idx="86">
                  <c:v>6.8479462167692046E-2</c:v>
                </c:pt>
                <c:pt idx="87">
                  <c:v>7.1294837338959249E-2</c:v>
                </c:pt>
                <c:pt idx="88">
                  <c:v>6.7908829589228448E-2</c:v>
                </c:pt>
                <c:pt idx="89">
                  <c:v>6.7478462507538056E-2</c:v>
                </c:pt>
                <c:pt idx="90">
                  <c:v>6.9796384499010183E-2</c:v>
                </c:pt>
                <c:pt idx="91">
                  <c:v>6.9298748703294347E-2</c:v>
                </c:pt>
                <c:pt idx="92">
                  <c:v>6.9298748703294347E-2</c:v>
                </c:pt>
                <c:pt idx="93">
                  <c:v>6.9298748703294347E-2</c:v>
                </c:pt>
                <c:pt idx="94">
                  <c:v>6.9298748703294347E-2</c:v>
                </c:pt>
                <c:pt idx="95">
                  <c:v>7.1709174745322082E-2</c:v>
                </c:pt>
                <c:pt idx="96">
                  <c:v>7.1709174745322082E-2</c:v>
                </c:pt>
                <c:pt idx="97">
                  <c:v>7.1709174745322082E-2</c:v>
                </c:pt>
                <c:pt idx="98">
                  <c:v>7.1709174745322082E-2</c:v>
                </c:pt>
                <c:pt idx="99">
                  <c:v>7.1709174745322082E-2</c:v>
                </c:pt>
                <c:pt idx="100">
                  <c:v>7.060507138931002E-2</c:v>
                </c:pt>
                <c:pt idx="101">
                  <c:v>6.8349965984593752E-2</c:v>
                </c:pt>
                <c:pt idx="102">
                  <c:v>6.4588154912414056E-2</c:v>
                </c:pt>
                <c:pt idx="103">
                  <c:v>5.8719931089527805E-2</c:v>
                </c:pt>
                <c:pt idx="104">
                  <c:v>5.8277592480710808E-2</c:v>
                </c:pt>
                <c:pt idx="105">
                  <c:v>5.6746925110805729E-2</c:v>
                </c:pt>
                <c:pt idx="106">
                  <c:v>5.3410601921793741E-2</c:v>
                </c:pt>
                <c:pt idx="107">
                  <c:v>5.7764372518781963E-2</c:v>
                </c:pt>
                <c:pt idx="108">
                  <c:v>5.943077621551926E-2</c:v>
                </c:pt>
                <c:pt idx="109">
                  <c:v>6.1852214520459262E-2</c:v>
                </c:pt>
                <c:pt idx="110">
                  <c:v>6.2017040108968101E-2</c:v>
                </c:pt>
                <c:pt idx="111">
                  <c:v>6.2892086130988498E-2</c:v>
                </c:pt>
                <c:pt idx="112">
                  <c:v>6.3217685411910335E-2</c:v>
                </c:pt>
                <c:pt idx="113">
                  <c:v>6.2015202044533937E-2</c:v>
                </c:pt>
                <c:pt idx="114">
                  <c:v>6.1029142360270794E-2</c:v>
                </c:pt>
                <c:pt idx="115">
                  <c:v>6.1167762659856531E-2</c:v>
                </c:pt>
                <c:pt idx="116">
                  <c:v>6.1167762659856531E-2</c:v>
                </c:pt>
                <c:pt idx="117">
                  <c:v>6.1167762659856531E-2</c:v>
                </c:pt>
                <c:pt idx="118">
                  <c:v>5.7868417065906133E-2</c:v>
                </c:pt>
                <c:pt idx="119">
                  <c:v>5.8200577526386035E-2</c:v>
                </c:pt>
                <c:pt idx="120">
                  <c:v>6.0836278070594836E-2</c:v>
                </c:pt>
                <c:pt idx="121">
                  <c:v>5.8640757566756838E-2</c:v>
                </c:pt>
                <c:pt idx="122">
                  <c:v>6.4550030944465694E-2</c:v>
                </c:pt>
                <c:pt idx="123">
                  <c:v>6.4550030944465694E-2</c:v>
                </c:pt>
                <c:pt idx="124">
                  <c:v>6.4550030944465694E-2</c:v>
                </c:pt>
                <c:pt idx="125">
                  <c:v>6.4550030944465694E-2</c:v>
                </c:pt>
                <c:pt idx="126">
                  <c:v>6.406851600651739E-2</c:v>
                </c:pt>
                <c:pt idx="127">
                  <c:v>6.6411840267611863E-2</c:v>
                </c:pt>
                <c:pt idx="128">
                  <c:v>6.6314224267187194E-2</c:v>
                </c:pt>
                <c:pt idx="129">
                  <c:v>6.4854454081993251E-2</c:v>
                </c:pt>
                <c:pt idx="130">
                  <c:v>6.3355242628802988E-2</c:v>
                </c:pt>
                <c:pt idx="131">
                  <c:v>6.5206721913842997E-2</c:v>
                </c:pt>
                <c:pt idx="132">
                  <c:v>5.7503521753919588E-2</c:v>
                </c:pt>
                <c:pt idx="133">
                  <c:v>5.4300510663621349E-2</c:v>
                </c:pt>
                <c:pt idx="134">
                  <c:v>5.8747961281335366E-2</c:v>
                </c:pt>
                <c:pt idx="135">
                  <c:v>5.9097630643522366E-2</c:v>
                </c:pt>
                <c:pt idx="136">
                  <c:v>5.9330541330689067E-2</c:v>
                </c:pt>
                <c:pt idx="137">
                  <c:v>5.6602997333481966E-2</c:v>
                </c:pt>
                <c:pt idx="138">
                  <c:v>6.9601238249926034E-2</c:v>
                </c:pt>
                <c:pt idx="139">
                  <c:v>6.9601238249926034E-2</c:v>
                </c:pt>
                <c:pt idx="140">
                  <c:v>6.9601238249926034E-2</c:v>
                </c:pt>
                <c:pt idx="141">
                  <c:v>6.9601238249926034E-2</c:v>
                </c:pt>
                <c:pt idx="142">
                  <c:v>6.9601238249926034E-2</c:v>
                </c:pt>
                <c:pt idx="143">
                  <c:v>6.9601238249926034E-2</c:v>
                </c:pt>
                <c:pt idx="144">
                  <c:v>6.9601238249926034E-2</c:v>
                </c:pt>
                <c:pt idx="145">
                  <c:v>6.9601238249926034E-2</c:v>
                </c:pt>
                <c:pt idx="146">
                  <c:v>6.9601238249926034E-2</c:v>
                </c:pt>
                <c:pt idx="147">
                  <c:v>6.6772208112987522E-2</c:v>
                </c:pt>
                <c:pt idx="148">
                  <c:v>6.9052798760603162E-2</c:v>
                </c:pt>
                <c:pt idx="149">
                  <c:v>6.9868806126396343E-2</c:v>
                </c:pt>
                <c:pt idx="150">
                  <c:v>6.807172358257646E-2</c:v>
                </c:pt>
                <c:pt idx="151">
                  <c:v>6.6904007220731865E-2</c:v>
                </c:pt>
                <c:pt idx="152">
                  <c:v>6.6022945169263131E-2</c:v>
                </c:pt>
                <c:pt idx="153">
                  <c:v>6.651589524033974E-2</c:v>
                </c:pt>
                <c:pt idx="154">
                  <c:v>6.8915732319914505E-2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9-4395-A744-54AA721CD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282B6-3B22-4B8C-B663-6168270C65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29B0B6-FF96-475E-A7A5-520856A1F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E36A67-5724-45BA-B30F-6226881F9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FFD41F-DBD1-4FF0-B084-CBD342D19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AF4DBD-1C79-459E-97ED-80FE8CF62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6F1CC1-D7BC-41DC-9904-073977022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D95EF4-7616-4A60-87D5-E3B028A54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KBE_KBWB_0.xlsx" TargetMode="External"/><Relationship Id="rId1" Type="http://schemas.openxmlformats.org/officeDocument/2006/relationships/externalLinkPath" Target="KBE_KBWB_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 xml:space="preserve"> KBWB/KBE avg </v>
          </cell>
          <cell r="P1" t="str">
            <v xml:space="preserve"> KBWB/KBE 10 dma </v>
          </cell>
          <cell r="Q1" t="str">
            <v xml:space="preserve"> KBWB/KBE 20 dma </v>
          </cell>
          <cell r="U1" t="str">
            <v>log diff KBE x avg / KBWB</v>
          </cell>
          <cell r="V1" t="str">
            <v>log diff KBE x 10 dma / KBWB</v>
          </cell>
          <cell r="W1" t="str">
            <v>log diff KBE x 20 dma / KBWB</v>
          </cell>
          <cell r="Y1" t="str">
            <v xml:space="preserve"> KBWB*/KBE* avg </v>
          </cell>
          <cell r="Z1" t="str">
            <v xml:space="preserve"> KBWB*/KBE* 10 dma </v>
          </cell>
          <cell r="AA1" t="str">
            <v xml:space="preserve"> KBWB*/KBE* 20 dma </v>
          </cell>
          <cell r="AE1" t="str">
            <v>log diff KBE* x avg / KBWB*</v>
          </cell>
          <cell r="AF1" t="str">
            <v>log diff KBE* x 10 dma / KBWB*</v>
          </cell>
          <cell r="AG1" t="str">
            <v>log diff KBE* x 20 dma / KBWB*</v>
          </cell>
        </row>
        <row r="2">
          <cell r="O2">
            <v>1.3664000000000001</v>
          </cell>
          <cell r="Y2">
            <v>1.3664000000000001</v>
          </cell>
        </row>
        <row r="3">
          <cell r="O3">
            <v>1.3664000000000001</v>
          </cell>
          <cell r="U3">
            <v>-2.9739999999999999E-2</v>
          </cell>
          <cell r="Y3">
            <v>1.3664000000000001</v>
          </cell>
          <cell r="AE3">
            <v>-2.9739999999999999E-2</v>
          </cell>
        </row>
        <row r="4">
          <cell r="O4">
            <v>1.3664000000000001</v>
          </cell>
          <cell r="U4">
            <v>-2.9964999999999999E-2</v>
          </cell>
          <cell r="Y4">
            <v>1.3664000000000001</v>
          </cell>
          <cell r="AE4">
            <v>-2.9964999999999999E-2</v>
          </cell>
        </row>
        <row r="5">
          <cell r="O5">
            <v>1.3664000000000001</v>
          </cell>
          <cell r="U5">
            <v>-2.2520999999999999E-2</v>
          </cell>
          <cell r="Y5">
            <v>1.3664000000000001</v>
          </cell>
          <cell r="AE5">
            <v>-2.2520999999999999E-2</v>
          </cell>
        </row>
        <row r="6">
          <cell r="O6">
            <v>1.3664000000000001</v>
          </cell>
          <cell r="U6">
            <v>-1.2663000000000001E-2</v>
          </cell>
          <cell r="Y6">
            <v>1.3664000000000001</v>
          </cell>
          <cell r="AE6">
            <v>-1.2663000000000001E-2</v>
          </cell>
        </row>
        <row r="7">
          <cell r="O7">
            <v>1.3664000000000001</v>
          </cell>
          <cell r="U7">
            <v>-1.3635E-2</v>
          </cell>
          <cell r="Y7">
            <v>1.3664000000000001</v>
          </cell>
          <cell r="AE7">
            <v>-1.3635E-2</v>
          </cell>
        </row>
        <row r="8">
          <cell r="O8">
            <v>1.3664000000000001</v>
          </cell>
          <cell r="U8">
            <v>-1.7075E-2</v>
          </cell>
          <cell r="Y8">
            <v>1.3664000000000001</v>
          </cell>
          <cell r="AE8">
            <v>-1.7075E-2</v>
          </cell>
        </row>
        <row r="9">
          <cell r="O9">
            <v>1.3664000000000001</v>
          </cell>
          <cell r="U9">
            <v>-1.3346999999999999E-2</v>
          </cell>
          <cell r="Y9">
            <v>1.3664000000000001</v>
          </cell>
          <cell r="AE9">
            <v>-1.3346999999999999E-2</v>
          </cell>
        </row>
        <row r="10">
          <cell r="O10">
            <v>1.3664000000000001</v>
          </cell>
          <cell r="U10">
            <v>2.4689999999999998E-3</v>
          </cell>
          <cell r="Y10">
            <v>1.3664000000000001</v>
          </cell>
          <cell r="AE10">
            <v>2.4689999999999998E-3</v>
          </cell>
        </row>
        <row r="11">
          <cell r="O11">
            <v>1.3664000000000001</v>
          </cell>
          <cell r="P11">
            <v>1.3882000000000001</v>
          </cell>
          <cell r="U11">
            <v>4.1200000000000004E-3</v>
          </cell>
          <cell r="Y11">
            <v>1.3664000000000001</v>
          </cell>
          <cell r="Z11">
            <v>1.3882000000000001</v>
          </cell>
          <cell r="AE11">
            <v>4.1200000000000004E-3</v>
          </cell>
        </row>
        <row r="12">
          <cell r="O12">
            <v>1.3664000000000001</v>
          </cell>
          <cell r="P12">
            <v>1.3842000000000001</v>
          </cell>
          <cell r="U12">
            <v>3.444E-3</v>
          </cell>
          <cell r="V12">
            <v>1.9317999999999998E-2</v>
          </cell>
          <cell r="Y12">
            <v>1.3664000000000001</v>
          </cell>
          <cell r="Z12">
            <v>1.3842000000000001</v>
          </cell>
          <cell r="AE12">
            <v>3.444E-3</v>
          </cell>
          <cell r="AF12">
            <v>1.9317999999999998E-2</v>
          </cell>
        </row>
        <row r="13">
          <cell r="O13">
            <v>1.3664000000000001</v>
          </cell>
          <cell r="P13">
            <v>1.3793</v>
          </cell>
          <cell r="U13">
            <v>5.4920000000000004E-3</v>
          </cell>
          <cell r="V13">
            <v>1.8457000000000001E-2</v>
          </cell>
          <cell r="Y13">
            <v>1.3664000000000001</v>
          </cell>
          <cell r="Z13">
            <v>1.3793</v>
          </cell>
          <cell r="AE13">
            <v>5.4920000000000004E-3</v>
          </cell>
          <cell r="AF13">
            <v>1.8457000000000001E-2</v>
          </cell>
        </row>
        <row r="14">
          <cell r="O14">
            <v>1.3664000000000001</v>
          </cell>
          <cell r="P14">
            <v>1.3716999999999999</v>
          </cell>
          <cell r="U14">
            <v>2.6144000000000001E-2</v>
          </cell>
          <cell r="V14">
            <v>3.5582000000000003E-2</v>
          </cell>
          <cell r="Y14">
            <v>1.3664000000000001</v>
          </cell>
          <cell r="Z14">
            <v>1.3716999999999999</v>
          </cell>
          <cell r="AE14">
            <v>2.6144000000000001E-2</v>
          </cell>
          <cell r="AF14">
            <v>3.5582000000000003E-2</v>
          </cell>
        </row>
        <row r="15">
          <cell r="O15">
            <v>1.3664000000000001</v>
          </cell>
          <cell r="P15">
            <v>1.365</v>
          </cell>
          <cell r="U15">
            <v>2.622E-2</v>
          </cell>
          <cell r="V15">
            <v>3.0072999999999999E-2</v>
          </cell>
          <cell r="Y15">
            <v>1.3664000000000001</v>
          </cell>
          <cell r="Z15">
            <v>1.365</v>
          </cell>
          <cell r="AE15">
            <v>2.622E-2</v>
          </cell>
          <cell r="AF15">
            <v>3.0072999999999999E-2</v>
          </cell>
        </row>
        <row r="16">
          <cell r="O16">
            <v>1.3664000000000001</v>
          </cell>
          <cell r="P16">
            <v>1.3611</v>
          </cell>
          <cell r="U16">
            <v>1.6275000000000001E-2</v>
          </cell>
          <cell r="V16">
            <v>1.5270000000000001E-2</v>
          </cell>
          <cell r="Y16">
            <v>1.3664000000000001</v>
          </cell>
          <cell r="Z16">
            <v>1.3611</v>
          </cell>
          <cell r="AE16">
            <v>1.6275000000000001E-2</v>
          </cell>
          <cell r="AF16">
            <v>1.5270000000000001E-2</v>
          </cell>
        </row>
        <row r="17">
          <cell r="O17">
            <v>1.3664000000000001</v>
          </cell>
          <cell r="P17">
            <v>1.3573999999999999</v>
          </cell>
          <cell r="U17">
            <v>1.3339999999999999E-2</v>
          </cell>
          <cell r="V17">
            <v>9.4389999999999995E-3</v>
          </cell>
          <cell r="Y17">
            <v>1.3664000000000001</v>
          </cell>
          <cell r="Z17">
            <v>1.3573999999999999</v>
          </cell>
          <cell r="AE17">
            <v>1.3339999999999999E-2</v>
          </cell>
          <cell r="AF17">
            <v>9.4389999999999995E-3</v>
          </cell>
        </row>
        <row r="18">
          <cell r="O18">
            <v>1.3664000000000001</v>
          </cell>
          <cell r="P18">
            <v>1.3533999999999999</v>
          </cell>
          <cell r="U18">
            <v>1.1967E-2</v>
          </cell>
          <cell r="V18">
            <v>5.3540000000000003E-3</v>
          </cell>
          <cell r="Y18">
            <v>1.3664000000000001</v>
          </cell>
          <cell r="Z18">
            <v>1.3533999999999999</v>
          </cell>
          <cell r="AE18">
            <v>1.1967E-2</v>
          </cell>
          <cell r="AF18">
            <v>5.3540000000000003E-3</v>
          </cell>
        </row>
        <row r="19">
          <cell r="O19">
            <v>1.3664000000000001</v>
          </cell>
          <cell r="P19">
            <v>1.35</v>
          </cell>
          <cell r="U19">
            <v>1.159E-2</v>
          </cell>
          <cell r="V19">
            <v>2.042E-3</v>
          </cell>
          <cell r="Y19">
            <v>1.3664000000000001</v>
          </cell>
          <cell r="Z19">
            <v>1.35</v>
          </cell>
          <cell r="AE19">
            <v>1.159E-2</v>
          </cell>
          <cell r="AF19">
            <v>2.042E-3</v>
          </cell>
        </row>
        <row r="20">
          <cell r="O20">
            <v>1.3664000000000001</v>
          </cell>
          <cell r="P20">
            <v>1.3483000000000001</v>
          </cell>
          <cell r="U20">
            <v>1.4926999999999999E-2</v>
          </cell>
          <cell r="V20">
            <v>2.8549999999999999E-3</v>
          </cell>
          <cell r="Y20">
            <v>1.3664000000000001</v>
          </cell>
          <cell r="Z20">
            <v>1.3483000000000001</v>
          </cell>
          <cell r="AE20">
            <v>1.4926999999999999E-2</v>
          </cell>
          <cell r="AF20">
            <v>2.8549999999999999E-3</v>
          </cell>
        </row>
        <row r="21">
          <cell r="O21">
            <v>1.3664000000000001</v>
          </cell>
          <cell r="P21">
            <v>1.3478000000000001</v>
          </cell>
          <cell r="Q21">
            <v>1.3680000000000001</v>
          </cell>
          <cell r="U21">
            <v>7.6360000000000004E-3</v>
          </cell>
          <cell r="V21">
            <v>-5.6860000000000001E-3</v>
          </cell>
          <cell r="Y21">
            <v>1.3664000000000001</v>
          </cell>
          <cell r="Z21">
            <v>1.3478000000000001</v>
          </cell>
          <cell r="AA21">
            <v>1.3680000000000001</v>
          </cell>
          <cell r="AE21">
            <v>7.6360000000000004E-3</v>
          </cell>
          <cell r="AF21">
            <v>-5.6860000000000001E-3</v>
          </cell>
        </row>
        <row r="22">
          <cell r="O22">
            <v>1.3664000000000001</v>
          </cell>
          <cell r="P22">
            <v>1.3474999999999999</v>
          </cell>
          <cell r="Q22">
            <v>1.3658999999999999</v>
          </cell>
          <cell r="U22">
            <v>5.5929999999999999E-3</v>
          </cell>
          <cell r="V22">
            <v>-8.0839999999999992E-3</v>
          </cell>
          <cell r="W22">
            <v>6.7999999999999996E-3</v>
          </cell>
          <cell r="Y22">
            <v>1.3664000000000001</v>
          </cell>
          <cell r="Z22">
            <v>1.3474999999999999</v>
          </cell>
          <cell r="AA22">
            <v>1.3658999999999999</v>
          </cell>
          <cell r="AE22">
            <v>5.5929999999999999E-3</v>
          </cell>
          <cell r="AF22">
            <v>-8.0839999999999992E-3</v>
          </cell>
          <cell r="AG22">
            <v>6.7999999999999996E-3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1.3664000000000001</v>
          </cell>
          <cell r="P23">
            <v>1.3471</v>
          </cell>
          <cell r="Q23">
            <v>1.3632</v>
          </cell>
          <cell r="U23">
            <v>8.7779999999999993E-3</v>
          </cell>
          <cell r="V23">
            <v>-5.1149999999999998E-3</v>
          </cell>
          <cell r="W23">
            <v>8.404E-3</v>
          </cell>
          <cell r="Y23">
            <v>1.3664000000000001</v>
          </cell>
          <cell r="Z23">
            <v>1.3471</v>
          </cell>
          <cell r="AA23">
            <v>1.3632</v>
          </cell>
          <cell r="AE23">
            <v>8.7779999999999993E-3</v>
          </cell>
          <cell r="AF23">
            <v>-5.1149999999999998E-3</v>
          </cell>
          <cell r="AG23">
            <v>8.404E-3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1.3664000000000001</v>
          </cell>
          <cell r="P24">
            <v>1.3484</v>
          </cell>
          <cell r="Q24">
            <v>1.36</v>
          </cell>
          <cell r="U24">
            <v>1.6293999999999999E-2</v>
          </cell>
          <cell r="V24">
            <v>2.0690000000000001E-3</v>
          </cell>
          <cell r="W24">
            <v>1.3971000000000001E-2</v>
          </cell>
          <cell r="Y24">
            <v>1.3664000000000001</v>
          </cell>
          <cell r="Z24">
            <v>1.3484</v>
          </cell>
          <cell r="AA24">
            <v>1.36</v>
          </cell>
          <cell r="AE24">
            <v>1.6293999999999999E-2</v>
          </cell>
          <cell r="AF24">
            <v>2.0690000000000001E-3</v>
          </cell>
          <cell r="AG24">
            <v>1.3971000000000001E-2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1.3664000000000001</v>
          </cell>
          <cell r="P25">
            <v>1.3486</v>
          </cell>
          <cell r="Q25">
            <v>1.3568</v>
          </cell>
          <cell r="U25">
            <v>2.4974E-2</v>
          </cell>
          <cell r="V25">
            <v>1.1728000000000001E-2</v>
          </cell>
          <cell r="W25">
            <v>2.0313999999999999E-2</v>
          </cell>
          <cell r="Y25">
            <v>1.3664000000000001</v>
          </cell>
          <cell r="Z25">
            <v>1.3486</v>
          </cell>
          <cell r="AA25">
            <v>1.3568</v>
          </cell>
          <cell r="AE25">
            <v>2.4974E-2</v>
          </cell>
          <cell r="AF25">
            <v>1.1728000000000001E-2</v>
          </cell>
          <cell r="AG25">
            <v>2.0313999999999999E-2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1.3664000000000001</v>
          </cell>
          <cell r="P26">
            <v>1.3485</v>
          </cell>
          <cell r="Q26">
            <v>1.3548</v>
          </cell>
          <cell r="U26">
            <v>1.6504000000000001E-2</v>
          </cell>
          <cell r="V26">
            <v>3.3800000000000002E-3</v>
          </cell>
          <cell r="W26">
            <v>9.4579999999999994E-3</v>
          </cell>
          <cell r="Y26">
            <v>1.3664000000000001</v>
          </cell>
          <cell r="Z26">
            <v>1.3485</v>
          </cell>
          <cell r="AA26">
            <v>1.3548</v>
          </cell>
          <cell r="AE26">
            <v>1.6504000000000001E-2</v>
          </cell>
          <cell r="AF26">
            <v>3.3800000000000002E-3</v>
          </cell>
          <cell r="AG26">
            <v>9.4579999999999994E-3</v>
          </cell>
          <cell r="AR26">
            <v>0</v>
          </cell>
          <cell r="BC26">
            <v>8.4699999999999984E-3</v>
          </cell>
          <cell r="BF26">
            <v>8.4699999999999984E-3</v>
          </cell>
        </row>
        <row r="27">
          <cell r="O27">
            <v>1.3664000000000001</v>
          </cell>
          <cell r="P27">
            <v>1.3486</v>
          </cell>
          <cell r="Q27">
            <v>1.353</v>
          </cell>
          <cell r="U27">
            <v>1.3025E-2</v>
          </cell>
          <cell r="V27">
            <v>-1.22E-4</v>
          </cell>
          <cell r="W27">
            <v>4.5120000000000004E-3</v>
          </cell>
          <cell r="Y27">
            <v>1.3664000000000001</v>
          </cell>
          <cell r="Z27">
            <v>1.3486</v>
          </cell>
          <cell r="AA27">
            <v>1.353</v>
          </cell>
          <cell r="AE27">
            <v>1.3025E-2</v>
          </cell>
          <cell r="AF27">
            <v>-1.22E-4</v>
          </cell>
          <cell r="AG27">
            <v>4.5120000000000004E-3</v>
          </cell>
          <cell r="AR27">
            <v>0</v>
          </cell>
          <cell r="BC27">
            <v>1.1948999999999998E-2</v>
          </cell>
          <cell r="BF27">
            <v>1.1948999999999998E-2</v>
          </cell>
        </row>
        <row r="28">
          <cell r="O28">
            <v>1.3664000000000001</v>
          </cell>
          <cell r="P28">
            <v>1.3482000000000001</v>
          </cell>
          <cell r="Q28">
            <v>1.3508</v>
          </cell>
          <cell r="U28">
            <v>1.4446000000000001E-2</v>
          </cell>
          <cell r="V28">
            <v>1.3309999999999999E-3</v>
          </cell>
          <cell r="W28">
            <v>4.5880000000000001E-3</v>
          </cell>
          <cell r="Y28">
            <v>1.3664000000000001</v>
          </cell>
          <cell r="Z28">
            <v>1.3482000000000001</v>
          </cell>
          <cell r="AA28">
            <v>1.3508</v>
          </cell>
          <cell r="AE28">
            <v>1.4446000000000001E-2</v>
          </cell>
          <cell r="AF28">
            <v>1.3309999999999999E-3</v>
          </cell>
          <cell r="AG28">
            <v>4.5880000000000001E-3</v>
          </cell>
          <cell r="AR28">
            <v>0</v>
          </cell>
          <cell r="BC28">
            <v>1.1948999999999998E-2</v>
          </cell>
          <cell r="BF28">
            <v>1.1948999999999998E-2</v>
          </cell>
        </row>
        <row r="29">
          <cell r="O29">
            <v>1.3664000000000001</v>
          </cell>
          <cell r="P29">
            <v>1.3472999999999999</v>
          </cell>
          <cell r="Q29">
            <v>1.3487</v>
          </cell>
          <cell r="U29">
            <v>1.8454000000000002E-2</v>
          </cell>
          <cell r="V29">
            <v>5.091E-3</v>
          </cell>
          <cell r="W29">
            <v>7.0000000000000001E-3</v>
          </cell>
          <cell r="Y29">
            <v>1.3664000000000001</v>
          </cell>
          <cell r="Z29">
            <v>1.3472999999999999</v>
          </cell>
          <cell r="AA29">
            <v>1.3487</v>
          </cell>
          <cell r="AE29">
            <v>1.8454000000000002E-2</v>
          </cell>
          <cell r="AF29">
            <v>5.091E-3</v>
          </cell>
          <cell r="AG29">
            <v>7.0000000000000001E-3</v>
          </cell>
          <cell r="AR29">
            <v>0</v>
          </cell>
          <cell r="BC29">
            <v>1.1948999999999998E-2</v>
          </cell>
          <cell r="BF29">
            <v>1.1948999999999998E-2</v>
          </cell>
        </row>
        <row r="30">
          <cell r="O30">
            <v>1.3664000000000001</v>
          </cell>
          <cell r="P30">
            <v>1.3446</v>
          </cell>
          <cell r="Q30">
            <v>1.3464</v>
          </cell>
          <cell r="U30">
            <v>3.5437000000000003E-2</v>
          </cell>
          <cell r="V30">
            <v>2.1388999999999998E-2</v>
          </cell>
          <cell r="W30">
            <v>2.2377999999999999E-2</v>
          </cell>
          <cell r="Y30">
            <v>1.3664000000000001</v>
          </cell>
          <cell r="Z30">
            <v>1.3446</v>
          </cell>
          <cell r="AA30">
            <v>1.3464</v>
          </cell>
          <cell r="AE30">
            <v>3.5437000000000003E-2</v>
          </cell>
          <cell r="AF30">
            <v>2.1388999999999998E-2</v>
          </cell>
          <cell r="AG30">
            <v>2.2377999999999999E-2</v>
          </cell>
          <cell r="AR30">
            <v>0</v>
          </cell>
          <cell r="BC30">
            <v>1.1948999999999998E-2</v>
          </cell>
          <cell r="BF30">
            <v>1.1948999999999998E-2</v>
          </cell>
        </row>
        <row r="31">
          <cell r="O31">
            <v>1.3664000000000001</v>
          </cell>
          <cell r="P31">
            <v>1.3405</v>
          </cell>
          <cell r="Q31">
            <v>1.3442000000000001</v>
          </cell>
          <cell r="U31">
            <v>3.8134000000000001E-2</v>
          </cell>
          <cell r="V31">
            <v>2.2055000000000002E-2</v>
          </cell>
          <cell r="W31">
            <v>2.3434E-2</v>
          </cell>
          <cell r="Y31">
            <v>1.3664000000000001</v>
          </cell>
          <cell r="Z31">
            <v>1.3405</v>
          </cell>
          <cell r="AA31">
            <v>1.3442000000000001</v>
          </cell>
          <cell r="AE31">
            <v>3.8134000000000001E-2</v>
          </cell>
          <cell r="AF31">
            <v>2.2055000000000002E-2</v>
          </cell>
          <cell r="AG31">
            <v>2.3434E-2</v>
          </cell>
          <cell r="AR31">
            <v>0</v>
          </cell>
          <cell r="BC31">
            <v>9.2529999999999973E-3</v>
          </cell>
          <cell r="BF31">
            <v>9.2529999999999973E-3</v>
          </cell>
        </row>
        <row r="32">
          <cell r="O32">
            <v>1.3664000000000001</v>
          </cell>
          <cell r="P32">
            <v>1.3365</v>
          </cell>
          <cell r="Q32">
            <v>1.3420000000000001</v>
          </cell>
          <cell r="U32">
            <v>3.5673999999999997E-2</v>
          </cell>
          <cell r="V32">
            <v>1.6562E-2</v>
          </cell>
          <cell r="W32">
            <v>1.9283000000000002E-2</v>
          </cell>
          <cell r="Y32">
            <v>1.3664000000000001</v>
          </cell>
          <cell r="Z32">
            <v>1.3365</v>
          </cell>
          <cell r="AA32">
            <v>1.3420000000000001</v>
          </cell>
          <cell r="AE32">
            <v>3.5673999999999997E-2</v>
          </cell>
          <cell r="AF32">
            <v>1.6562E-2</v>
          </cell>
          <cell r="AG32">
            <v>1.9283000000000002E-2</v>
          </cell>
          <cell r="AR32">
            <v>0</v>
          </cell>
          <cell r="BC32">
            <v>1.1711999999999997E-2</v>
          </cell>
          <cell r="BF32">
            <v>1.1711999999999997E-2</v>
          </cell>
        </row>
        <row r="33">
          <cell r="O33">
            <v>1.3664000000000001</v>
          </cell>
          <cell r="P33">
            <v>1.3347</v>
          </cell>
          <cell r="Q33">
            <v>1.3409</v>
          </cell>
          <cell r="U33">
            <v>2.2380000000000001E-2</v>
          </cell>
          <cell r="V33">
            <v>2.5900000000000001E-4</v>
          </cell>
          <cell r="W33">
            <v>4.3819999999999996E-3</v>
          </cell>
          <cell r="Y33">
            <v>1.3664000000000001</v>
          </cell>
          <cell r="Z33">
            <v>1.3347</v>
          </cell>
          <cell r="AA33">
            <v>1.3409</v>
          </cell>
          <cell r="AE33">
            <v>2.2380000000000001E-2</v>
          </cell>
          <cell r="AF33">
            <v>2.5900000000000001E-4</v>
          </cell>
          <cell r="AG33">
            <v>4.3819999999999996E-3</v>
          </cell>
          <cell r="AR33">
            <v>0</v>
          </cell>
          <cell r="BC33">
            <v>2.5005999999999997E-2</v>
          </cell>
          <cell r="BF33">
            <v>2.5005999999999997E-2</v>
          </cell>
        </row>
        <row r="34">
          <cell r="O34">
            <v>1.3664000000000001</v>
          </cell>
          <cell r="P34">
            <v>1.3331</v>
          </cell>
          <cell r="Q34">
            <v>1.3407</v>
          </cell>
          <cell r="U34">
            <v>2.8187E-2</v>
          </cell>
          <cell r="V34">
            <v>4.6959999999999997E-3</v>
          </cell>
          <cell r="W34">
            <v>9.3399999999999993E-3</v>
          </cell>
          <cell r="Y34">
            <v>1.3664000000000001</v>
          </cell>
          <cell r="Z34">
            <v>1.3331</v>
          </cell>
          <cell r="AA34">
            <v>1.3407</v>
          </cell>
          <cell r="AE34">
            <v>2.8187E-2</v>
          </cell>
          <cell r="AF34">
            <v>4.6959999999999997E-3</v>
          </cell>
          <cell r="AG34">
            <v>9.3399999999999993E-3</v>
          </cell>
          <cell r="AR34">
            <v>0</v>
          </cell>
          <cell r="BC34">
            <v>2.5005999999999997E-2</v>
          </cell>
          <cell r="BF34">
            <v>2.5005999999999997E-2</v>
          </cell>
        </row>
        <row r="35">
          <cell r="O35">
            <v>1.3664000000000001</v>
          </cell>
          <cell r="P35">
            <v>1.3327</v>
          </cell>
          <cell r="Q35">
            <v>1.3406</v>
          </cell>
          <cell r="U35">
            <v>2.7692999999999999E-2</v>
          </cell>
          <cell r="V35">
            <v>3.0109999999999998E-3</v>
          </cell>
          <cell r="W35">
            <v>8.7449999999999993E-3</v>
          </cell>
          <cell r="Y35">
            <v>1.3664000000000001</v>
          </cell>
          <cell r="Z35">
            <v>1.3327</v>
          </cell>
          <cell r="AA35">
            <v>1.3406</v>
          </cell>
          <cell r="AE35">
            <v>2.7692999999999999E-2</v>
          </cell>
          <cell r="AF35">
            <v>3.0109999999999998E-3</v>
          </cell>
          <cell r="AG35">
            <v>8.7449999999999993E-3</v>
          </cell>
          <cell r="AR35">
            <v>0</v>
          </cell>
          <cell r="BC35">
            <v>2.5005999999999997E-2</v>
          </cell>
          <cell r="BF35">
            <v>2.5005999999999997E-2</v>
          </cell>
        </row>
        <row r="36">
          <cell r="O36">
            <v>1.3664000000000001</v>
          </cell>
          <cell r="P36">
            <v>1.3310999999999999</v>
          </cell>
          <cell r="Q36">
            <v>1.3398000000000001</v>
          </cell>
          <cell r="U36">
            <v>2.8199999999999999E-2</v>
          </cell>
          <cell r="V36">
            <v>3.2460000000000002E-3</v>
          </cell>
          <cell r="W36">
            <v>9.1780000000000004E-3</v>
          </cell>
          <cell r="Y36">
            <v>1.3664000000000001</v>
          </cell>
          <cell r="Z36">
            <v>1.3310999999999999</v>
          </cell>
          <cell r="AA36">
            <v>1.3398000000000001</v>
          </cell>
          <cell r="AE36">
            <v>2.8199999999999999E-2</v>
          </cell>
          <cell r="AF36">
            <v>3.2460000000000002E-3</v>
          </cell>
          <cell r="AG36">
            <v>9.1780000000000004E-3</v>
          </cell>
          <cell r="AR36">
            <v>0</v>
          </cell>
          <cell r="BC36">
            <v>2.5005999999999997E-2</v>
          </cell>
          <cell r="BF36">
            <v>2.5005999999999997E-2</v>
          </cell>
        </row>
        <row r="37">
          <cell r="O37">
            <v>1.3664000000000001</v>
          </cell>
          <cell r="P37">
            <v>1.3288</v>
          </cell>
          <cell r="Q37">
            <v>1.3387</v>
          </cell>
          <cell r="U37">
            <v>3.0481999999999999E-2</v>
          </cell>
          <cell r="V37">
            <v>4.3540000000000002E-3</v>
          </cell>
          <cell r="W37">
            <v>1.0866000000000001E-2</v>
          </cell>
          <cell r="Y37">
            <v>1.3664000000000001</v>
          </cell>
          <cell r="Z37">
            <v>1.3288</v>
          </cell>
          <cell r="AA37">
            <v>1.3387</v>
          </cell>
          <cell r="AE37">
            <v>3.0481999999999999E-2</v>
          </cell>
          <cell r="AF37">
            <v>4.3540000000000002E-3</v>
          </cell>
          <cell r="AG37">
            <v>1.0866000000000001E-2</v>
          </cell>
          <cell r="AR37">
            <v>0</v>
          </cell>
          <cell r="BC37">
            <v>2.5005999999999997E-2</v>
          </cell>
          <cell r="BF37">
            <v>2.5005999999999997E-2</v>
          </cell>
        </row>
        <row r="38">
          <cell r="O38">
            <v>1.3664000000000001</v>
          </cell>
          <cell r="P38">
            <v>1.3275999999999999</v>
          </cell>
          <cell r="Q38">
            <v>1.3379000000000001</v>
          </cell>
          <cell r="U38">
            <v>2.3817000000000001E-2</v>
          </cell>
          <cell r="V38">
            <v>-4.065E-3</v>
          </cell>
          <cell r="W38">
            <v>3.3449999999999999E-3</v>
          </cell>
          <cell r="Y38">
            <v>1.3664000000000001</v>
          </cell>
          <cell r="Z38">
            <v>1.3275999999999999</v>
          </cell>
          <cell r="AA38">
            <v>1.3379000000000001</v>
          </cell>
          <cell r="AE38">
            <v>2.3817000000000001E-2</v>
          </cell>
          <cell r="AF38">
            <v>-4.065E-3</v>
          </cell>
          <cell r="AG38">
            <v>3.3449999999999999E-3</v>
          </cell>
          <cell r="AR38">
            <v>0</v>
          </cell>
          <cell r="BC38">
            <v>2.5005999999999997E-2</v>
          </cell>
          <cell r="BF38">
            <v>2.5005999999999997E-2</v>
          </cell>
        </row>
        <row r="39">
          <cell r="O39">
            <v>1.3664000000000001</v>
          </cell>
          <cell r="P39">
            <v>1.3273999999999999</v>
          </cell>
          <cell r="Q39">
            <v>1.3373999999999999</v>
          </cell>
          <cell r="U39">
            <v>1.9474000000000002E-2</v>
          </cell>
          <cell r="V39">
            <v>-9.3539999999999995E-3</v>
          </cell>
          <cell r="W39">
            <v>-1.591E-3</v>
          </cell>
          <cell r="Y39">
            <v>1.3664000000000001</v>
          </cell>
          <cell r="Z39">
            <v>1.3273999999999999</v>
          </cell>
          <cell r="AA39">
            <v>1.3373999999999999</v>
          </cell>
          <cell r="AE39">
            <v>1.9474000000000002E-2</v>
          </cell>
          <cell r="AF39">
            <v>-9.3539999999999995E-3</v>
          </cell>
          <cell r="AG39">
            <v>-1.591E-3</v>
          </cell>
          <cell r="AR39">
            <v>0</v>
          </cell>
          <cell r="BC39">
            <v>2.5005999999999997E-2</v>
          </cell>
          <cell r="BF39">
            <v>2.5005999999999997E-2</v>
          </cell>
        </row>
        <row r="40">
          <cell r="O40">
            <v>1.3664000000000001</v>
          </cell>
          <cell r="P40">
            <v>1.3295999999999999</v>
          </cell>
          <cell r="Q40">
            <v>1.3371</v>
          </cell>
          <cell r="U40">
            <v>1.8848E-2</v>
          </cell>
          <cell r="V40">
            <v>-1.0083E-2</v>
          </cell>
          <cell r="W40">
            <v>-2.614E-3</v>
          </cell>
          <cell r="Y40">
            <v>1.3664000000000001</v>
          </cell>
          <cell r="Z40">
            <v>1.3295999999999999</v>
          </cell>
          <cell r="AA40">
            <v>1.3371</v>
          </cell>
          <cell r="AE40">
            <v>1.8848E-2</v>
          </cell>
          <cell r="AF40">
            <v>-1.0083E-2</v>
          </cell>
          <cell r="AG40">
            <v>-2.614E-3</v>
          </cell>
          <cell r="AR40">
            <v>0</v>
          </cell>
          <cell r="BC40">
            <v>2.5005999999999997E-2</v>
          </cell>
          <cell r="BF40">
            <v>2.5005999999999997E-2</v>
          </cell>
        </row>
        <row r="41">
          <cell r="O41">
            <v>1.3664000000000001</v>
          </cell>
          <cell r="P41">
            <v>1.3312999999999999</v>
          </cell>
          <cell r="Q41">
            <v>1.3359000000000001</v>
          </cell>
          <cell r="U41">
            <v>2.5574E-2</v>
          </cell>
          <cell r="V41">
            <v>-1.696E-3</v>
          </cell>
          <cell r="W41">
            <v>3.9150000000000001E-3</v>
          </cell>
          <cell r="Y41">
            <v>1.3664000000000001</v>
          </cell>
          <cell r="Z41">
            <v>1.3312999999999999</v>
          </cell>
          <cell r="AA41">
            <v>1.3359000000000001</v>
          </cell>
          <cell r="AE41">
            <v>2.5574E-2</v>
          </cell>
          <cell r="AF41">
            <v>-1.696E-3</v>
          </cell>
          <cell r="AG41">
            <v>3.9150000000000001E-3</v>
          </cell>
          <cell r="AR41">
            <v>0</v>
          </cell>
          <cell r="BC41">
            <v>2.5005999999999997E-2</v>
          </cell>
          <cell r="BF41">
            <v>2.5005999999999997E-2</v>
          </cell>
        </row>
        <row r="42">
          <cell r="O42">
            <v>1.3664000000000001</v>
          </cell>
          <cell r="P42">
            <v>1.3326</v>
          </cell>
          <cell r="Q42">
            <v>1.3346</v>
          </cell>
          <cell r="U42">
            <v>2.5377E-2</v>
          </cell>
          <cell r="V42">
            <v>-6.4400000000000004E-4</v>
          </cell>
          <cell r="W42">
            <v>2.8170000000000001E-3</v>
          </cell>
          <cell r="Y42">
            <v>1.3664000000000001</v>
          </cell>
          <cell r="Z42">
            <v>1.3326</v>
          </cell>
          <cell r="AA42">
            <v>1.3346</v>
          </cell>
          <cell r="AE42">
            <v>2.5377E-2</v>
          </cell>
          <cell r="AF42">
            <v>-6.4400000000000004E-4</v>
          </cell>
          <cell r="AG42">
            <v>2.8170000000000001E-3</v>
          </cell>
          <cell r="AR42">
            <v>0</v>
          </cell>
          <cell r="BC42">
            <v>2.5005999999999997E-2</v>
          </cell>
          <cell r="BF42">
            <v>2.5005999999999997E-2</v>
          </cell>
        </row>
        <row r="43">
          <cell r="O43">
            <v>1.3664000000000001</v>
          </cell>
          <cell r="P43">
            <v>1.3324</v>
          </cell>
          <cell r="Q43">
            <v>1.3334999999999999</v>
          </cell>
          <cell r="U43">
            <v>2.4362000000000002E-2</v>
          </cell>
          <cell r="V43">
            <v>-6.3500000000000004E-4</v>
          </cell>
          <cell r="W43">
            <v>8.0400000000000003E-4</v>
          </cell>
          <cell r="Y43">
            <v>1.3664000000000001</v>
          </cell>
          <cell r="Z43">
            <v>1.3324</v>
          </cell>
          <cell r="AA43">
            <v>1.3334999999999999</v>
          </cell>
          <cell r="AE43">
            <v>2.4362000000000002E-2</v>
          </cell>
          <cell r="AF43">
            <v>-6.3500000000000004E-4</v>
          </cell>
          <cell r="AG43">
            <v>8.0400000000000003E-4</v>
          </cell>
          <cell r="AR43">
            <v>0</v>
          </cell>
          <cell r="BC43">
            <v>2.5005999999999997E-2</v>
          </cell>
          <cell r="BF43">
            <v>2.5005999999999997E-2</v>
          </cell>
        </row>
        <row r="44">
          <cell r="O44">
            <v>1.3664000000000001</v>
          </cell>
          <cell r="P44">
            <v>1.3325</v>
          </cell>
          <cell r="Q44">
            <v>1.3328</v>
          </cell>
          <cell r="U44">
            <v>2.7029000000000001E-2</v>
          </cell>
          <cell r="V44">
            <v>1.8339999999999999E-3</v>
          </cell>
          <cell r="W44">
            <v>2.6870000000000002E-3</v>
          </cell>
          <cell r="Y44">
            <v>1.3664000000000001</v>
          </cell>
          <cell r="Z44">
            <v>1.3325</v>
          </cell>
          <cell r="AA44">
            <v>1.3328</v>
          </cell>
          <cell r="AE44">
            <v>2.7029000000000001E-2</v>
          </cell>
          <cell r="AF44">
            <v>1.8339999999999999E-3</v>
          </cell>
          <cell r="AG44">
            <v>2.6870000000000002E-3</v>
          </cell>
          <cell r="AR44">
            <v>0</v>
          </cell>
          <cell r="BC44">
            <v>2.5005999999999997E-2</v>
          </cell>
          <cell r="BF44">
            <v>2.5005999999999997E-2</v>
          </cell>
        </row>
        <row r="45">
          <cell r="O45">
            <v>1.3664000000000001</v>
          </cell>
          <cell r="P45">
            <v>1.3324</v>
          </cell>
          <cell r="Q45">
            <v>1.3326</v>
          </cell>
          <cell r="U45">
            <v>2.8395E-2</v>
          </cell>
          <cell r="V45">
            <v>3.3149999999999998E-3</v>
          </cell>
          <cell r="W45">
            <v>3.5140000000000002E-3</v>
          </cell>
          <cell r="Y45">
            <v>1.3664000000000001</v>
          </cell>
          <cell r="Z45">
            <v>1.3324</v>
          </cell>
          <cell r="AA45">
            <v>1.3326</v>
          </cell>
          <cell r="AE45">
            <v>2.8395E-2</v>
          </cell>
          <cell r="AF45">
            <v>3.3149999999999998E-3</v>
          </cell>
          <cell r="AG45">
            <v>3.5140000000000002E-3</v>
          </cell>
          <cell r="AR45">
            <v>0</v>
          </cell>
          <cell r="BC45">
            <v>2.5005999999999997E-2</v>
          </cell>
          <cell r="BF45">
            <v>2.5005999999999997E-2</v>
          </cell>
        </row>
        <row r="46">
          <cell r="O46">
            <v>1.3664000000000001</v>
          </cell>
          <cell r="P46">
            <v>1.3324</v>
          </cell>
          <cell r="Q46">
            <v>1.3318000000000001</v>
          </cell>
          <cell r="U46">
            <v>2.8740999999999999E-2</v>
          </cell>
          <cell r="V46">
            <v>3.5920000000000001E-3</v>
          </cell>
          <cell r="W46">
            <v>3.6900000000000001E-3</v>
          </cell>
          <cell r="Y46">
            <v>1.3664000000000001</v>
          </cell>
          <cell r="Z46">
            <v>1.3324</v>
          </cell>
          <cell r="AA46">
            <v>1.3318000000000001</v>
          </cell>
          <cell r="AE46">
            <v>2.8740999999999999E-2</v>
          </cell>
          <cell r="AF46">
            <v>3.5920000000000001E-3</v>
          </cell>
          <cell r="AG46">
            <v>3.6900000000000001E-3</v>
          </cell>
          <cell r="AR46">
            <v>0</v>
          </cell>
          <cell r="BC46">
            <v>2.5005999999999997E-2</v>
          </cell>
          <cell r="BF46">
            <v>2.5005999999999997E-2</v>
          </cell>
        </row>
        <row r="47">
          <cell r="O47">
            <v>1.3664000000000001</v>
          </cell>
          <cell r="P47">
            <v>1.3328</v>
          </cell>
          <cell r="Q47">
            <v>1.3308</v>
          </cell>
          <cell r="U47">
            <v>2.7352000000000001E-2</v>
          </cell>
          <cell r="V47">
            <v>2.1489999999999999E-3</v>
          </cell>
          <cell r="W47">
            <v>1.6869999999999999E-3</v>
          </cell>
          <cell r="Y47">
            <v>1.3664000000000001</v>
          </cell>
          <cell r="Z47">
            <v>1.3328</v>
          </cell>
          <cell r="AA47">
            <v>1.3308</v>
          </cell>
          <cell r="AE47">
            <v>2.7352000000000001E-2</v>
          </cell>
          <cell r="AF47">
            <v>2.1489999999999999E-3</v>
          </cell>
          <cell r="AG47">
            <v>1.6869999999999999E-3</v>
          </cell>
          <cell r="AR47">
            <v>0</v>
          </cell>
          <cell r="BC47">
            <v>2.5005999999999997E-2</v>
          </cell>
          <cell r="BF47">
            <v>2.5005999999999997E-2</v>
          </cell>
        </row>
        <row r="48">
          <cell r="O48">
            <v>1.3664000000000001</v>
          </cell>
          <cell r="P48">
            <v>1.3329</v>
          </cell>
          <cell r="Q48">
            <v>1.3302</v>
          </cell>
          <cell r="U48">
            <v>2.2865E-2</v>
          </cell>
          <cell r="V48">
            <v>-2.0270000000000002E-3</v>
          </cell>
          <cell r="W48">
            <v>-3.5209999999999998E-3</v>
          </cell>
          <cell r="Y48">
            <v>1.3664000000000001</v>
          </cell>
          <cell r="Z48">
            <v>1.3329</v>
          </cell>
          <cell r="AA48">
            <v>1.3302</v>
          </cell>
          <cell r="AE48">
            <v>2.2865E-2</v>
          </cell>
          <cell r="AF48">
            <v>-2.0270000000000002E-3</v>
          </cell>
          <cell r="AG48">
            <v>-3.5209999999999998E-3</v>
          </cell>
          <cell r="AR48">
            <v>0</v>
          </cell>
          <cell r="BC48">
            <v>2.5005999999999997E-2</v>
          </cell>
          <cell r="BF48">
            <v>2.5005999999999997E-2</v>
          </cell>
        </row>
        <row r="49">
          <cell r="O49">
            <v>1.3664000000000001</v>
          </cell>
          <cell r="P49">
            <v>1.3304</v>
          </cell>
          <cell r="Q49">
            <v>1.3289</v>
          </cell>
          <cell r="U49">
            <v>3.8093000000000002E-2</v>
          </cell>
          <cell r="V49">
            <v>1.3297E-2</v>
          </cell>
          <cell r="W49">
            <v>1.1283E-2</v>
          </cell>
          <cell r="Y49">
            <v>1.3664000000000001</v>
          </cell>
          <cell r="Z49">
            <v>1.3304</v>
          </cell>
          <cell r="AA49">
            <v>1.3289</v>
          </cell>
          <cell r="AE49">
            <v>3.8093000000000002E-2</v>
          </cell>
          <cell r="AF49">
            <v>1.3297E-2</v>
          </cell>
          <cell r="AG49">
            <v>1.1283E-2</v>
          </cell>
          <cell r="AR49">
            <v>0</v>
          </cell>
          <cell r="BC49">
            <v>2.5005999999999997E-2</v>
          </cell>
          <cell r="BF49">
            <v>2.5005999999999997E-2</v>
          </cell>
        </row>
        <row r="50">
          <cell r="O50">
            <v>1.3664000000000001</v>
          </cell>
          <cell r="P50">
            <v>1.3274999999999999</v>
          </cell>
          <cell r="Q50">
            <v>1.3286</v>
          </cell>
          <cell r="U50">
            <v>4.0874000000000001E-2</v>
          </cell>
          <cell r="V50">
            <v>1.4220999999999999E-2</v>
          </cell>
          <cell r="W50">
            <v>1.3082999999999999E-2</v>
          </cell>
          <cell r="Y50">
            <v>1.3664000000000001</v>
          </cell>
          <cell r="Z50">
            <v>1.3274999999999999</v>
          </cell>
          <cell r="AA50">
            <v>1.3286</v>
          </cell>
          <cell r="AE50">
            <v>4.0874000000000001E-2</v>
          </cell>
          <cell r="AF50">
            <v>1.4220999999999999E-2</v>
          </cell>
          <cell r="AG50">
            <v>1.3082999999999999E-2</v>
          </cell>
          <cell r="AR50">
            <v>0</v>
          </cell>
          <cell r="BC50">
            <v>2.5005999999999997E-2</v>
          </cell>
          <cell r="BF50">
            <v>2.5005999999999997E-2</v>
          </cell>
        </row>
        <row r="51">
          <cell r="O51">
            <v>1.3664000000000001</v>
          </cell>
          <cell r="P51">
            <v>1.3257000000000001</v>
          </cell>
          <cell r="Q51">
            <v>1.3285</v>
          </cell>
          <cell r="U51">
            <v>3.9118E-2</v>
          </cell>
          <cell r="V51">
            <v>1.0267999999999999E-2</v>
          </cell>
          <cell r="W51">
            <v>1.1058E-2</v>
          </cell>
          <cell r="Y51">
            <v>1.3664000000000001</v>
          </cell>
          <cell r="Z51">
            <v>1.3257000000000001</v>
          </cell>
          <cell r="AA51">
            <v>1.3285</v>
          </cell>
          <cell r="AE51">
            <v>3.9118E-2</v>
          </cell>
          <cell r="AF51">
            <v>1.0267999999999999E-2</v>
          </cell>
          <cell r="AG51">
            <v>1.1058E-2</v>
          </cell>
          <cell r="AR51">
            <v>0</v>
          </cell>
          <cell r="BC51">
            <v>2.5005999999999997E-2</v>
          </cell>
          <cell r="BF51">
            <v>2.5005999999999997E-2</v>
          </cell>
        </row>
        <row r="52">
          <cell r="O52">
            <v>1.3664000000000001</v>
          </cell>
          <cell r="P52">
            <v>1.3248</v>
          </cell>
          <cell r="Q52">
            <v>1.3287</v>
          </cell>
          <cell r="U52">
            <v>3.2198999999999998E-2</v>
          </cell>
          <cell r="V52">
            <v>1.9980000000000002E-3</v>
          </cell>
          <cell r="W52">
            <v>4.0899999999999999E-3</v>
          </cell>
          <cell r="Y52">
            <v>1.3664000000000001</v>
          </cell>
          <cell r="Z52">
            <v>1.3248</v>
          </cell>
          <cell r="AA52">
            <v>1.3287</v>
          </cell>
          <cell r="AE52">
            <v>3.2198999999999998E-2</v>
          </cell>
          <cell r="AF52">
            <v>1.9980000000000002E-3</v>
          </cell>
          <cell r="AG52">
            <v>4.0899999999999999E-3</v>
          </cell>
          <cell r="AR52">
            <v>0</v>
          </cell>
          <cell r="BC52">
            <v>2.5005999999999997E-2</v>
          </cell>
          <cell r="BF52">
            <v>2.5005999999999997E-2</v>
          </cell>
        </row>
        <row r="53">
          <cell r="O53">
            <v>1.3664000000000001</v>
          </cell>
          <cell r="P53">
            <v>1.3245</v>
          </cell>
          <cell r="Q53">
            <v>1.3285</v>
          </cell>
          <cell r="U53">
            <v>2.6613999999999999E-2</v>
          </cell>
          <cell r="V53">
            <v>-4.2709999999999996E-3</v>
          </cell>
          <cell r="W53">
            <v>-1.322E-3</v>
          </cell>
          <cell r="Y53">
            <v>1.3664000000000001</v>
          </cell>
          <cell r="Z53">
            <v>1.3245</v>
          </cell>
          <cell r="AA53">
            <v>1.3285</v>
          </cell>
          <cell r="AE53">
            <v>2.6613999999999999E-2</v>
          </cell>
          <cell r="AF53">
            <v>-4.2709999999999996E-3</v>
          </cell>
          <cell r="AG53">
            <v>-1.322E-3</v>
          </cell>
          <cell r="AR53">
            <v>0</v>
          </cell>
          <cell r="BC53">
            <v>2.5005999999999997E-2</v>
          </cell>
          <cell r="BF53">
            <v>2.5005999999999997E-2</v>
          </cell>
        </row>
        <row r="54">
          <cell r="O54">
            <v>1.3664000000000001</v>
          </cell>
          <cell r="P54">
            <v>1.3240000000000001</v>
          </cell>
          <cell r="Q54">
            <v>1.3283</v>
          </cell>
          <cell r="U54">
            <v>3.0759000000000002E-2</v>
          </cell>
          <cell r="V54">
            <v>-3.5199999999999999E-4</v>
          </cell>
          <cell r="W54">
            <v>2.6099999999999999E-3</v>
          </cell>
          <cell r="Y54">
            <v>1.3664000000000001</v>
          </cell>
          <cell r="Z54">
            <v>1.3240000000000001</v>
          </cell>
          <cell r="AA54">
            <v>1.3283</v>
          </cell>
          <cell r="AE54">
            <v>3.0759000000000002E-2</v>
          </cell>
          <cell r="AF54">
            <v>-3.5199999999999999E-4</v>
          </cell>
          <cell r="AG54">
            <v>2.6099999999999999E-3</v>
          </cell>
          <cell r="AR54">
            <v>0</v>
          </cell>
          <cell r="BC54">
            <v>2.5005999999999997E-2</v>
          </cell>
          <cell r="BF54">
            <v>2.5005999999999997E-2</v>
          </cell>
        </row>
        <row r="55">
          <cell r="O55">
            <v>1.3664000000000001</v>
          </cell>
          <cell r="P55">
            <v>1.3245</v>
          </cell>
          <cell r="Q55">
            <v>1.3285</v>
          </cell>
          <cell r="U55">
            <v>2.5174999999999999E-2</v>
          </cell>
          <cell r="V55">
            <v>-6.3099999999999996E-3</v>
          </cell>
          <cell r="W55">
            <v>-3.1020000000000002E-3</v>
          </cell>
          <cell r="Y55">
            <v>1.3664000000000001</v>
          </cell>
          <cell r="Z55">
            <v>1.3245</v>
          </cell>
          <cell r="AA55">
            <v>1.3285</v>
          </cell>
          <cell r="AE55">
            <v>2.5174999999999999E-2</v>
          </cell>
          <cell r="AF55">
            <v>-6.3099999999999996E-3</v>
          </cell>
          <cell r="AG55">
            <v>-3.1020000000000002E-3</v>
          </cell>
          <cell r="AR55">
            <v>0</v>
          </cell>
          <cell r="BC55">
            <v>2.5005999999999997E-2</v>
          </cell>
          <cell r="BF55">
            <v>2.5005999999999997E-2</v>
          </cell>
        </row>
        <row r="56">
          <cell r="O56">
            <v>1.3664000000000001</v>
          </cell>
          <cell r="P56">
            <v>1.3245</v>
          </cell>
          <cell r="Q56">
            <v>1.3285</v>
          </cell>
          <cell r="U56">
            <v>2.8080999999999998E-2</v>
          </cell>
          <cell r="V56">
            <v>-3.0799999999999998E-3</v>
          </cell>
          <cell r="W56">
            <v>-6.9999999999999994E-5</v>
          </cell>
          <cell r="Y56">
            <v>1.3664000000000001</v>
          </cell>
          <cell r="Z56">
            <v>1.3245</v>
          </cell>
          <cell r="AA56">
            <v>1.3285</v>
          </cell>
          <cell r="AE56">
            <v>2.8080999999999998E-2</v>
          </cell>
          <cell r="AF56">
            <v>-3.0799999999999998E-3</v>
          </cell>
          <cell r="AG56">
            <v>-6.9999999999999994E-5</v>
          </cell>
          <cell r="AR56">
            <v>0</v>
          </cell>
          <cell r="BC56">
            <v>2.5005999999999997E-2</v>
          </cell>
          <cell r="BF56">
            <v>2.5005999999999997E-2</v>
          </cell>
        </row>
        <row r="57">
          <cell r="O57">
            <v>1.3664000000000001</v>
          </cell>
          <cell r="P57">
            <v>1.3250999999999999</v>
          </cell>
          <cell r="Q57">
            <v>1.3289</v>
          </cell>
          <cell r="U57">
            <v>2.3507E-2</v>
          </cell>
          <cell r="V57">
            <v>-7.5880000000000001E-3</v>
          </cell>
          <cell r="W57">
            <v>-4.6379999999999998E-3</v>
          </cell>
          <cell r="Y57">
            <v>1.3664000000000001</v>
          </cell>
          <cell r="Z57">
            <v>1.3250999999999999</v>
          </cell>
          <cell r="AA57">
            <v>1.3289</v>
          </cell>
          <cell r="AE57">
            <v>2.3507E-2</v>
          </cell>
          <cell r="AF57">
            <v>-7.5880000000000001E-3</v>
          </cell>
          <cell r="AG57">
            <v>-4.6379999999999998E-3</v>
          </cell>
          <cell r="AR57">
            <v>0</v>
          </cell>
          <cell r="BC57">
            <v>2.5005999999999997E-2</v>
          </cell>
          <cell r="BF57">
            <v>2.5005999999999997E-2</v>
          </cell>
        </row>
        <row r="58">
          <cell r="O58">
            <v>1.3664000000000001</v>
          </cell>
          <cell r="P58">
            <v>1.325</v>
          </cell>
          <cell r="Q58">
            <v>1.3289</v>
          </cell>
          <cell r="U58">
            <v>2.3470000000000001E-2</v>
          </cell>
          <cell r="V58">
            <v>-7.2389999999999998E-3</v>
          </cell>
          <cell r="W58">
            <v>-4.326E-3</v>
          </cell>
          <cell r="Y58">
            <v>1.3664000000000001</v>
          </cell>
          <cell r="Z58">
            <v>1.325</v>
          </cell>
          <cell r="AA58">
            <v>1.3289</v>
          </cell>
          <cell r="AE58">
            <v>2.3470000000000001E-2</v>
          </cell>
          <cell r="AF58">
            <v>-7.2389999999999998E-3</v>
          </cell>
          <cell r="AG58">
            <v>-4.326E-3</v>
          </cell>
          <cell r="AR58">
            <v>0</v>
          </cell>
          <cell r="BC58">
            <v>2.5005999999999997E-2</v>
          </cell>
          <cell r="BF58">
            <v>2.5005999999999997E-2</v>
          </cell>
        </row>
        <row r="59">
          <cell r="O59">
            <v>1.3664000000000001</v>
          </cell>
          <cell r="P59">
            <v>1.3255999999999999</v>
          </cell>
          <cell r="Q59">
            <v>1.3280000000000001</v>
          </cell>
          <cell r="U59">
            <v>3.3620999999999998E-2</v>
          </cell>
          <cell r="V59">
            <v>2.8509999999999998E-3</v>
          </cell>
          <cell r="W59">
            <v>5.842E-3</v>
          </cell>
          <cell r="Y59">
            <v>1.3664000000000001</v>
          </cell>
          <cell r="Z59">
            <v>1.3255999999999999</v>
          </cell>
          <cell r="AA59">
            <v>1.3280000000000001</v>
          </cell>
          <cell r="AE59">
            <v>3.3620999999999998E-2</v>
          </cell>
          <cell r="AF59">
            <v>2.8509999999999998E-3</v>
          </cell>
          <cell r="AG59">
            <v>5.842E-3</v>
          </cell>
          <cell r="AR59">
            <v>0</v>
          </cell>
          <cell r="BC59">
            <v>2.5005999999999997E-2</v>
          </cell>
          <cell r="BF59">
            <v>2.5005999999999997E-2</v>
          </cell>
        </row>
        <row r="60">
          <cell r="O60">
            <v>1.3664000000000001</v>
          </cell>
          <cell r="P60">
            <v>1.3261000000000001</v>
          </cell>
          <cell r="Q60">
            <v>1.3268</v>
          </cell>
          <cell r="U60">
            <v>3.7044000000000001E-2</v>
          </cell>
          <cell r="V60">
            <v>6.7200000000000003E-3</v>
          </cell>
          <cell r="W60">
            <v>8.5570000000000004E-3</v>
          </cell>
          <cell r="Y60">
            <v>1.3664000000000001</v>
          </cell>
          <cell r="Z60">
            <v>1.3261000000000001</v>
          </cell>
          <cell r="AA60">
            <v>1.3268</v>
          </cell>
          <cell r="AE60">
            <v>3.7044000000000001E-2</v>
          </cell>
          <cell r="AF60">
            <v>6.7200000000000003E-3</v>
          </cell>
          <cell r="AG60">
            <v>8.5570000000000004E-3</v>
          </cell>
          <cell r="AR60">
            <v>0</v>
          </cell>
          <cell r="BC60">
            <v>2.5005999999999997E-2</v>
          </cell>
          <cell r="BF60">
            <v>2.5005999999999997E-2</v>
          </cell>
        </row>
        <row r="61">
          <cell r="O61">
            <v>1.3664000000000001</v>
          </cell>
          <cell r="P61">
            <v>1.3262</v>
          </cell>
          <cell r="Q61">
            <v>1.3260000000000001</v>
          </cell>
          <cell r="U61">
            <v>3.8176000000000002E-2</v>
          </cell>
          <cell r="V61">
            <v>8.2310000000000005E-3</v>
          </cell>
          <cell r="W61">
            <v>8.7779999999999993E-3</v>
          </cell>
          <cell r="Y61">
            <v>1.3664000000000001</v>
          </cell>
          <cell r="Z61">
            <v>1.3262</v>
          </cell>
          <cell r="AA61">
            <v>1.3260000000000001</v>
          </cell>
          <cell r="AE61">
            <v>3.8176000000000002E-2</v>
          </cell>
          <cell r="AF61">
            <v>8.2310000000000005E-3</v>
          </cell>
          <cell r="AG61">
            <v>8.7779999999999993E-3</v>
          </cell>
          <cell r="AR61">
            <v>0</v>
          </cell>
          <cell r="BC61">
            <v>2.5005999999999997E-2</v>
          </cell>
          <cell r="BF61">
            <v>2.5005999999999997E-2</v>
          </cell>
        </row>
        <row r="62">
          <cell r="O62">
            <v>1.3664000000000001</v>
          </cell>
          <cell r="P62">
            <v>1.3267</v>
          </cell>
          <cell r="Q62">
            <v>1.3258000000000001</v>
          </cell>
          <cell r="U62">
            <v>2.8015999999999999E-2</v>
          </cell>
          <cell r="V62">
            <v>-1.836E-3</v>
          </cell>
          <cell r="W62">
            <v>-2.0110000000000002E-3</v>
          </cell>
          <cell r="Y62">
            <v>1.3664000000000001</v>
          </cell>
          <cell r="Z62">
            <v>1.3267</v>
          </cell>
          <cell r="AA62">
            <v>1.3258000000000001</v>
          </cell>
          <cell r="AE62">
            <v>2.8015999999999999E-2</v>
          </cell>
          <cell r="AF62">
            <v>-1.836E-3</v>
          </cell>
          <cell r="AG62">
            <v>-2.0110000000000002E-3</v>
          </cell>
          <cell r="AR62">
            <v>0</v>
          </cell>
          <cell r="BC62">
            <v>2.5005999999999997E-2</v>
          </cell>
          <cell r="BF62">
            <v>2.5005999999999997E-2</v>
          </cell>
        </row>
        <row r="63">
          <cell r="O63">
            <v>1.3664000000000001</v>
          </cell>
          <cell r="P63">
            <v>1.327</v>
          </cell>
          <cell r="Q63">
            <v>1.3258000000000001</v>
          </cell>
          <cell r="U63">
            <v>2.4400000000000002E-2</v>
          </cell>
          <cell r="V63">
            <v>-5.0340000000000003E-3</v>
          </cell>
          <cell r="W63">
            <v>-5.7590000000000002E-3</v>
          </cell>
          <cell r="Y63">
            <v>1.3664000000000001</v>
          </cell>
          <cell r="Z63">
            <v>1.327</v>
          </cell>
          <cell r="AA63">
            <v>1.3258000000000001</v>
          </cell>
          <cell r="AE63">
            <v>2.4400000000000002E-2</v>
          </cell>
          <cell r="AF63">
            <v>-5.0340000000000003E-3</v>
          </cell>
          <cell r="AG63">
            <v>-5.7590000000000002E-3</v>
          </cell>
          <cell r="AR63">
            <v>0</v>
          </cell>
          <cell r="BC63">
            <v>2.5005999999999997E-2</v>
          </cell>
          <cell r="BF63">
            <v>2.5005999999999997E-2</v>
          </cell>
        </row>
        <row r="64">
          <cell r="O64">
            <v>1.3664000000000001</v>
          </cell>
          <cell r="P64">
            <v>1.3278000000000001</v>
          </cell>
          <cell r="Q64">
            <v>1.3259000000000001</v>
          </cell>
          <cell r="U64">
            <v>2.4856E-2</v>
          </cell>
          <cell r="V64">
            <v>-4.3550000000000004E-3</v>
          </cell>
          <cell r="W64">
            <v>-5.3039999999999997E-3</v>
          </cell>
          <cell r="Y64">
            <v>1.3664000000000001</v>
          </cell>
          <cell r="Z64">
            <v>1.3278000000000001</v>
          </cell>
          <cell r="AA64">
            <v>1.3259000000000001</v>
          </cell>
          <cell r="AE64">
            <v>2.4856E-2</v>
          </cell>
          <cell r="AF64">
            <v>-4.3550000000000004E-3</v>
          </cell>
          <cell r="AG64">
            <v>-5.3039999999999997E-3</v>
          </cell>
          <cell r="AR64">
            <v>0</v>
          </cell>
          <cell r="BC64">
            <v>2.5005999999999997E-2</v>
          </cell>
          <cell r="BF64">
            <v>2.5005999999999997E-2</v>
          </cell>
        </row>
        <row r="65">
          <cell r="O65">
            <v>1.3664000000000001</v>
          </cell>
          <cell r="P65">
            <v>1.3278000000000001</v>
          </cell>
          <cell r="Q65">
            <v>1.3261000000000001</v>
          </cell>
          <cell r="U65">
            <v>2.5592E-2</v>
          </cell>
          <cell r="V65">
            <v>-3.0279999999999999E-3</v>
          </cell>
          <cell r="W65">
            <v>-4.4590000000000003E-3</v>
          </cell>
          <cell r="Y65">
            <v>1.3664000000000001</v>
          </cell>
          <cell r="Z65">
            <v>1.3278000000000001</v>
          </cell>
          <cell r="AA65">
            <v>1.3261000000000001</v>
          </cell>
          <cell r="AE65">
            <v>2.5592E-2</v>
          </cell>
          <cell r="AF65">
            <v>-3.0279999999999999E-3</v>
          </cell>
          <cell r="AG65">
            <v>-4.4590000000000003E-3</v>
          </cell>
          <cell r="AR65">
            <v>0</v>
          </cell>
          <cell r="BC65">
            <v>2.5005999999999997E-2</v>
          </cell>
          <cell r="BF65">
            <v>2.5005999999999997E-2</v>
          </cell>
        </row>
        <row r="66">
          <cell r="O66">
            <v>1.3664000000000001</v>
          </cell>
          <cell r="P66">
            <v>1.3283</v>
          </cell>
          <cell r="Q66">
            <v>1.3264</v>
          </cell>
          <cell r="U66">
            <v>2.4441999999999998E-2</v>
          </cell>
          <cell r="V66">
            <v>-4.2199999999999998E-3</v>
          </cell>
          <cell r="W66">
            <v>-5.4689999999999999E-3</v>
          </cell>
          <cell r="Y66">
            <v>1.3664000000000001</v>
          </cell>
          <cell r="Z66">
            <v>1.3283</v>
          </cell>
          <cell r="AA66">
            <v>1.3264</v>
          </cell>
          <cell r="AE66">
            <v>2.4441999999999998E-2</v>
          </cell>
          <cell r="AF66">
            <v>-4.2199999999999998E-3</v>
          </cell>
          <cell r="AG66">
            <v>-5.4689999999999999E-3</v>
          </cell>
          <cell r="AR66">
            <v>0</v>
          </cell>
          <cell r="BC66">
            <v>2.5005999999999997E-2</v>
          </cell>
          <cell r="BF66">
            <v>2.5005999999999997E-2</v>
          </cell>
        </row>
        <row r="67">
          <cell r="O67">
            <v>1.3664000000000001</v>
          </cell>
          <cell r="P67">
            <v>1.3292999999999999</v>
          </cell>
          <cell r="Q67">
            <v>1.3271999999999999</v>
          </cell>
          <cell r="U67">
            <v>1.5907000000000001E-2</v>
          </cell>
          <cell r="V67">
            <v>-1.239E-2</v>
          </cell>
          <cell r="W67">
            <v>-1.3788E-2</v>
          </cell>
          <cell r="Y67">
            <v>1.3664000000000001</v>
          </cell>
          <cell r="Z67">
            <v>1.3292999999999999</v>
          </cell>
          <cell r="AA67">
            <v>1.3271999999999999</v>
          </cell>
          <cell r="AE67">
            <v>1.5907000000000001E-2</v>
          </cell>
          <cell r="AF67">
            <v>-1.239E-2</v>
          </cell>
          <cell r="AG67">
            <v>-1.3788E-2</v>
          </cell>
          <cell r="AR67">
            <v>0</v>
          </cell>
          <cell r="BC67">
            <v>2.5005999999999997E-2</v>
          </cell>
          <cell r="BF67">
            <v>2.5005999999999997E-2</v>
          </cell>
        </row>
        <row r="68">
          <cell r="O68">
            <v>1.3664000000000001</v>
          </cell>
          <cell r="P68">
            <v>1.3301000000000001</v>
          </cell>
          <cell r="Q68">
            <v>1.3275999999999999</v>
          </cell>
          <cell r="U68">
            <v>1.7080999999999999E-2</v>
          </cell>
          <cell r="V68">
            <v>-1.0449999999999999E-2</v>
          </cell>
          <cell r="W68">
            <v>-1.2038E-2</v>
          </cell>
          <cell r="Y68">
            <v>1.3664000000000001</v>
          </cell>
          <cell r="Z68">
            <v>1.3301000000000001</v>
          </cell>
          <cell r="AA68">
            <v>1.3275999999999999</v>
          </cell>
          <cell r="AE68">
            <v>1.7080999999999999E-2</v>
          </cell>
          <cell r="AF68">
            <v>-1.0449999999999999E-2</v>
          </cell>
          <cell r="AG68">
            <v>-1.2038E-2</v>
          </cell>
          <cell r="AR68">
            <v>0</v>
          </cell>
          <cell r="BC68">
            <v>2.5005999999999997E-2</v>
          </cell>
          <cell r="BF68">
            <v>2.5005999999999997E-2</v>
          </cell>
        </row>
        <row r="69">
          <cell r="O69">
            <v>1.3664000000000001</v>
          </cell>
          <cell r="P69">
            <v>1.333</v>
          </cell>
          <cell r="Q69">
            <v>1.3292999999999999</v>
          </cell>
          <cell r="U69">
            <v>1.1872000000000001E-2</v>
          </cell>
          <cell r="V69">
            <v>-1.5016E-2</v>
          </cell>
          <cell r="W69">
            <v>-1.6955000000000001E-2</v>
          </cell>
          <cell r="Y69">
            <v>1.3664000000000001</v>
          </cell>
          <cell r="Z69">
            <v>1.333</v>
          </cell>
          <cell r="AA69">
            <v>1.3292999999999999</v>
          </cell>
          <cell r="AE69">
            <v>1.1872000000000001E-2</v>
          </cell>
          <cell r="AF69">
            <v>-1.5016E-2</v>
          </cell>
          <cell r="AG69">
            <v>-1.6955000000000001E-2</v>
          </cell>
          <cell r="AR69">
            <v>0</v>
          </cell>
          <cell r="BC69">
            <v>2.5005999999999997E-2</v>
          </cell>
          <cell r="BF69">
            <v>2.5005999999999997E-2</v>
          </cell>
        </row>
        <row r="70">
          <cell r="O70">
            <v>1.3664000000000001</v>
          </cell>
          <cell r="P70">
            <v>1.3367</v>
          </cell>
          <cell r="Q70">
            <v>1.3313999999999999</v>
          </cell>
          <cell r="U70">
            <v>9.6030000000000004E-3</v>
          </cell>
          <cell r="V70">
            <v>-1.5103999999999999E-2</v>
          </cell>
          <cell r="W70">
            <v>-1.7909000000000001E-2</v>
          </cell>
          <cell r="Y70">
            <v>1.3664000000000001</v>
          </cell>
          <cell r="Z70">
            <v>1.3367</v>
          </cell>
          <cell r="AA70">
            <v>1.3313999999999999</v>
          </cell>
          <cell r="AE70">
            <v>9.6030000000000004E-3</v>
          </cell>
          <cell r="AF70">
            <v>-1.5103999999999999E-2</v>
          </cell>
          <cell r="AG70">
            <v>-1.7909000000000001E-2</v>
          </cell>
          <cell r="AR70">
            <v>0</v>
          </cell>
          <cell r="BC70">
            <v>2.5005999999999997E-2</v>
          </cell>
          <cell r="BF70">
            <v>2.5005999999999997E-2</v>
          </cell>
        </row>
        <row r="71">
          <cell r="O71">
            <v>1.3664000000000001</v>
          </cell>
          <cell r="P71">
            <v>1.3404</v>
          </cell>
          <cell r="Q71">
            <v>1.3332999999999999</v>
          </cell>
          <cell r="U71">
            <v>1.0104E-2</v>
          </cell>
          <cell r="V71">
            <v>-1.1858E-2</v>
          </cell>
          <cell r="W71">
            <v>-1.5841999999999998E-2</v>
          </cell>
          <cell r="Y71">
            <v>1.3664000000000001</v>
          </cell>
          <cell r="Z71">
            <v>1.3404</v>
          </cell>
          <cell r="AA71">
            <v>1.3332999999999999</v>
          </cell>
          <cell r="AE71">
            <v>1.0104E-2</v>
          </cell>
          <cell r="AF71">
            <v>-1.1858E-2</v>
          </cell>
          <cell r="AG71">
            <v>-1.5841999999999998E-2</v>
          </cell>
          <cell r="AR71">
            <v>0</v>
          </cell>
          <cell r="BC71">
            <v>2.5005999999999997E-2</v>
          </cell>
          <cell r="BF71">
            <v>2.5005999999999997E-2</v>
          </cell>
        </row>
        <row r="72">
          <cell r="O72">
            <v>1.3664000000000001</v>
          </cell>
          <cell r="P72">
            <v>1.3433999999999999</v>
          </cell>
          <cell r="Q72">
            <v>1.3351</v>
          </cell>
          <cell r="U72">
            <v>5.7949999999999998E-3</v>
          </cell>
          <cell r="V72">
            <v>-1.337E-2</v>
          </cell>
          <cell r="W72">
            <v>-1.8699E-2</v>
          </cell>
          <cell r="Y72">
            <v>1.3664000000000001</v>
          </cell>
          <cell r="Z72">
            <v>1.3433999999999999</v>
          </cell>
          <cell r="AA72">
            <v>1.3351</v>
          </cell>
          <cell r="AE72">
            <v>5.7949999999999998E-3</v>
          </cell>
          <cell r="AF72">
            <v>-1.337E-2</v>
          </cell>
          <cell r="AG72">
            <v>-1.8699E-2</v>
          </cell>
          <cell r="AR72">
            <v>0</v>
          </cell>
          <cell r="BC72">
            <v>2.5005999999999997E-2</v>
          </cell>
          <cell r="BF72">
            <v>2.5005999999999997E-2</v>
          </cell>
        </row>
        <row r="73">
          <cell r="O73">
            <v>1.3664000000000001</v>
          </cell>
          <cell r="P73">
            <v>1.3458000000000001</v>
          </cell>
          <cell r="Q73">
            <v>1.3364</v>
          </cell>
          <cell r="U73">
            <v>6.6579999999999999E-3</v>
          </cell>
          <cell r="V73">
            <v>-1.0281999999999999E-2</v>
          </cell>
          <cell r="W73">
            <v>-1.6508999999999999E-2</v>
          </cell>
          <cell r="Y73">
            <v>1.3664000000000001</v>
          </cell>
          <cell r="Z73">
            <v>1.3458000000000001</v>
          </cell>
          <cell r="AA73">
            <v>1.3364</v>
          </cell>
          <cell r="AE73">
            <v>6.6579999999999999E-3</v>
          </cell>
          <cell r="AF73">
            <v>-1.0281999999999999E-2</v>
          </cell>
          <cell r="AG73">
            <v>-1.6508999999999999E-2</v>
          </cell>
          <cell r="AR73">
            <v>0</v>
          </cell>
          <cell r="BC73">
            <v>2.5005999999999997E-2</v>
          </cell>
          <cell r="BF73">
            <v>2.5005999999999997E-2</v>
          </cell>
        </row>
        <row r="74">
          <cell r="O74">
            <v>1.3664000000000001</v>
          </cell>
          <cell r="P74">
            <v>1.3471</v>
          </cell>
          <cell r="Q74">
            <v>1.3374999999999999</v>
          </cell>
          <cell r="U74">
            <v>1.5117E-2</v>
          </cell>
          <cell r="V74">
            <v>-4.8000000000000001E-5</v>
          </cell>
          <cell r="W74">
            <v>-7.0460000000000002E-3</v>
          </cell>
          <cell r="Y74">
            <v>1.3664000000000001</v>
          </cell>
          <cell r="Z74">
            <v>1.3471</v>
          </cell>
          <cell r="AA74">
            <v>1.3374999999999999</v>
          </cell>
          <cell r="AE74">
            <v>1.5117E-2</v>
          </cell>
          <cell r="AF74">
            <v>-4.8000000000000001E-5</v>
          </cell>
          <cell r="AG74">
            <v>-7.0460000000000002E-3</v>
          </cell>
          <cell r="AR74">
            <v>0</v>
          </cell>
          <cell r="BC74">
            <v>2.5005999999999997E-2</v>
          </cell>
          <cell r="BF74">
            <v>2.5005999999999997E-2</v>
          </cell>
        </row>
        <row r="75">
          <cell r="O75">
            <v>1.3664000000000001</v>
          </cell>
          <cell r="P75">
            <v>1.3492999999999999</v>
          </cell>
          <cell r="Q75">
            <v>1.3386</v>
          </cell>
          <cell r="U75">
            <v>9.1000000000000004E-3</v>
          </cell>
          <cell r="V75">
            <v>-5.097E-3</v>
          </cell>
          <cell r="W75">
            <v>-1.2283000000000001E-2</v>
          </cell>
          <cell r="Y75">
            <v>1.3664000000000001</v>
          </cell>
          <cell r="Z75">
            <v>1.3492999999999999</v>
          </cell>
          <cell r="AA75">
            <v>1.3386</v>
          </cell>
          <cell r="AE75">
            <v>9.1000000000000004E-3</v>
          </cell>
          <cell r="AF75">
            <v>-5.097E-3</v>
          </cell>
          <cell r="AG75">
            <v>-1.2283000000000001E-2</v>
          </cell>
          <cell r="AR75">
            <v>0</v>
          </cell>
          <cell r="BC75">
            <v>2.5005999999999997E-2</v>
          </cell>
          <cell r="BF75">
            <v>2.5005999999999997E-2</v>
          </cell>
        </row>
        <row r="76">
          <cell r="O76">
            <v>1.3664000000000001</v>
          </cell>
          <cell r="P76">
            <v>1.3526</v>
          </cell>
          <cell r="Q76">
            <v>1.3404</v>
          </cell>
          <cell r="U76">
            <v>3.6999999999999998E-5</v>
          </cell>
          <cell r="V76">
            <v>-1.2515999999999999E-2</v>
          </cell>
          <cell r="W76">
            <v>-2.0538000000000001E-2</v>
          </cell>
          <cell r="Y76">
            <v>1.3664000000000001</v>
          </cell>
          <cell r="Z76">
            <v>1.3526</v>
          </cell>
          <cell r="AA76">
            <v>1.3404</v>
          </cell>
          <cell r="AE76">
            <v>3.6999999999999998E-5</v>
          </cell>
          <cell r="AF76">
            <v>-1.2515999999999999E-2</v>
          </cell>
          <cell r="AG76">
            <v>-2.0538000000000001E-2</v>
          </cell>
          <cell r="AR76">
            <v>0</v>
          </cell>
          <cell r="BC76">
            <v>2.5005999999999997E-2</v>
          </cell>
          <cell r="BF76">
            <v>2.5005999999999997E-2</v>
          </cell>
        </row>
        <row r="77">
          <cell r="O77">
            <v>1.3664000000000001</v>
          </cell>
          <cell r="P77">
            <v>1.3549</v>
          </cell>
          <cell r="Q77">
            <v>1.3421000000000001</v>
          </cell>
          <cell r="U77">
            <v>-6.4199999999999999E-4</v>
          </cell>
          <cell r="V77">
            <v>-1.0756999999999999E-2</v>
          </cell>
          <cell r="W77">
            <v>-1.9807000000000002E-2</v>
          </cell>
          <cell r="Y77">
            <v>1.3664000000000001</v>
          </cell>
          <cell r="Z77">
            <v>1.3549</v>
          </cell>
          <cell r="AA77">
            <v>1.3421000000000001</v>
          </cell>
          <cell r="AE77">
            <v>-6.4199999999999999E-4</v>
          </cell>
          <cell r="AF77">
            <v>-1.0756999999999999E-2</v>
          </cell>
          <cell r="AG77">
            <v>-1.9807000000000002E-2</v>
          </cell>
          <cell r="AR77">
            <v>-6.7899999999999992E-4</v>
          </cell>
          <cell r="BC77">
            <v>2.5005999999999997E-2</v>
          </cell>
          <cell r="BF77">
            <v>2.4326999999999998E-2</v>
          </cell>
        </row>
        <row r="78">
          <cell r="O78">
            <v>1.3664000000000001</v>
          </cell>
          <cell r="P78">
            <v>1.3556999999999999</v>
          </cell>
          <cell r="Q78">
            <v>1.3429</v>
          </cell>
          <cell r="U78">
            <v>1.0628E-2</v>
          </cell>
          <cell r="V78">
            <v>2.1700000000000001E-3</v>
          </cell>
          <cell r="W78">
            <v>-7.3210000000000003E-3</v>
          </cell>
          <cell r="Y78">
            <v>1.3664000000000001</v>
          </cell>
          <cell r="Z78">
            <v>1.3556999999999999</v>
          </cell>
          <cell r="AA78">
            <v>1.3429</v>
          </cell>
          <cell r="AE78">
            <v>1.0628E-2</v>
          </cell>
          <cell r="AF78">
            <v>2.1700000000000001E-3</v>
          </cell>
          <cell r="AG78">
            <v>-7.3210000000000003E-3</v>
          </cell>
          <cell r="AR78">
            <v>1.0590000000000002E-2</v>
          </cell>
          <cell r="BC78">
            <v>2.5005999999999997E-2</v>
          </cell>
          <cell r="BF78">
            <v>3.5596000000000003E-2</v>
          </cell>
        </row>
        <row r="79">
          <cell r="O79">
            <v>1.3664000000000001</v>
          </cell>
          <cell r="P79">
            <v>1.3557999999999999</v>
          </cell>
          <cell r="Q79">
            <v>1.3444</v>
          </cell>
          <cell r="U79">
            <v>1.1419E-2</v>
          </cell>
          <cell r="V79">
            <v>3.6029999999999999E-3</v>
          </cell>
          <cell r="W79">
            <v>-5.8869999999999999E-3</v>
          </cell>
          <cell r="Y79">
            <v>1.3664000000000001</v>
          </cell>
          <cell r="Z79">
            <v>1.3557999999999999</v>
          </cell>
          <cell r="AA79">
            <v>1.3444</v>
          </cell>
          <cell r="AE79">
            <v>1.1419E-2</v>
          </cell>
          <cell r="AF79">
            <v>3.6029999999999999E-3</v>
          </cell>
          <cell r="AG79">
            <v>-5.8869999999999999E-3</v>
          </cell>
          <cell r="AR79">
            <v>1.1381000000000002E-2</v>
          </cell>
          <cell r="BC79">
            <v>2.5005999999999997E-2</v>
          </cell>
          <cell r="BF79">
            <v>3.6387000000000003E-2</v>
          </cell>
        </row>
        <row r="80">
          <cell r="O80">
            <v>1.3664000000000001</v>
          </cell>
          <cell r="P80">
            <v>1.3555999999999999</v>
          </cell>
          <cell r="Q80">
            <v>1.3461000000000001</v>
          </cell>
          <cell r="U80">
            <v>1.1405E-2</v>
          </cell>
          <cell r="V80">
            <v>3.6340000000000001E-3</v>
          </cell>
          <cell r="W80">
            <v>-4.7980000000000002E-3</v>
          </cell>
          <cell r="Y80">
            <v>1.3664000000000001</v>
          </cell>
          <cell r="Z80">
            <v>1.3555999999999999</v>
          </cell>
          <cell r="AA80">
            <v>1.3461000000000001</v>
          </cell>
          <cell r="AE80">
            <v>1.1405E-2</v>
          </cell>
          <cell r="AF80">
            <v>3.6340000000000001E-3</v>
          </cell>
          <cell r="AG80">
            <v>-4.7980000000000002E-3</v>
          </cell>
          <cell r="AR80">
            <v>1.1367000000000002E-2</v>
          </cell>
          <cell r="BC80">
            <v>2.5005999999999997E-2</v>
          </cell>
          <cell r="BF80">
            <v>3.6373000000000003E-2</v>
          </cell>
        </row>
        <row r="81">
          <cell r="O81">
            <v>1.3664000000000001</v>
          </cell>
          <cell r="P81">
            <v>1.3547</v>
          </cell>
          <cell r="Q81">
            <v>1.3475999999999999</v>
          </cell>
          <cell r="U81">
            <v>1.6121E-2</v>
          </cell>
          <cell r="V81">
            <v>8.1709999999999994E-3</v>
          </cell>
          <cell r="W81">
            <v>1.1900000000000001E-3</v>
          </cell>
          <cell r="Y81">
            <v>1.3664000000000001</v>
          </cell>
          <cell r="Z81">
            <v>1.3547</v>
          </cell>
          <cell r="AA81">
            <v>1.3475999999999999</v>
          </cell>
          <cell r="AE81">
            <v>1.6121E-2</v>
          </cell>
          <cell r="AF81">
            <v>8.1709999999999994E-3</v>
          </cell>
          <cell r="AG81">
            <v>1.1900000000000001E-3</v>
          </cell>
          <cell r="AR81">
            <v>1.1367000000000002E-2</v>
          </cell>
          <cell r="BC81">
            <v>2.5005999999999997E-2</v>
          </cell>
          <cell r="BF81">
            <v>3.6373000000000003E-2</v>
          </cell>
        </row>
        <row r="82">
          <cell r="O82">
            <v>1.3664000000000001</v>
          </cell>
          <cell r="P82">
            <v>1.3541000000000001</v>
          </cell>
          <cell r="Q82">
            <v>1.3488</v>
          </cell>
          <cell r="U82">
            <v>1.0240000000000001E-2</v>
          </cell>
          <cell r="V82">
            <v>1.6900000000000001E-3</v>
          </cell>
          <cell r="W82">
            <v>-3.6029999999999999E-3</v>
          </cell>
          <cell r="Y82">
            <v>1.3664000000000001</v>
          </cell>
          <cell r="Z82">
            <v>1.3541000000000001</v>
          </cell>
          <cell r="AA82">
            <v>1.3488</v>
          </cell>
          <cell r="AE82">
            <v>1.0240000000000001E-2</v>
          </cell>
          <cell r="AF82">
            <v>1.6900000000000001E-3</v>
          </cell>
          <cell r="AG82">
            <v>-3.6029999999999999E-3</v>
          </cell>
          <cell r="AR82">
            <v>1.1367000000000002E-2</v>
          </cell>
          <cell r="BC82">
            <v>2.5005999999999997E-2</v>
          </cell>
          <cell r="BF82">
            <v>3.6373000000000003E-2</v>
          </cell>
        </row>
        <row r="83">
          <cell r="O83">
            <v>1.3664000000000001</v>
          </cell>
          <cell r="P83">
            <v>1.3545</v>
          </cell>
          <cell r="Q83">
            <v>1.3501000000000001</v>
          </cell>
          <cell r="U83">
            <v>4.3179999999999998E-3</v>
          </cell>
          <cell r="V83">
            <v>-4.6759999999999996E-3</v>
          </cell>
          <cell r="W83">
            <v>-8.6409999999999994E-3</v>
          </cell>
          <cell r="Y83">
            <v>1.3664000000000001</v>
          </cell>
          <cell r="Z83">
            <v>1.3545</v>
          </cell>
          <cell r="AA83">
            <v>1.3501000000000001</v>
          </cell>
          <cell r="AE83">
            <v>4.3179999999999998E-3</v>
          </cell>
          <cell r="AF83">
            <v>-4.6759999999999996E-3</v>
          </cell>
          <cell r="AG83">
            <v>-8.6409999999999994E-3</v>
          </cell>
          <cell r="AR83">
            <v>1.1367000000000002E-2</v>
          </cell>
          <cell r="BC83">
            <v>2.5005999999999997E-2</v>
          </cell>
          <cell r="BF83">
            <v>3.6373000000000003E-2</v>
          </cell>
        </row>
        <row r="84">
          <cell r="O84">
            <v>1.3664000000000001</v>
          </cell>
          <cell r="P84">
            <v>1.3553999999999999</v>
          </cell>
          <cell r="Q84">
            <v>1.3512</v>
          </cell>
          <cell r="U84">
            <v>8.5349999999999992E-3</v>
          </cell>
          <cell r="V84">
            <v>-2.2499999999999999E-4</v>
          </cell>
          <cell r="W84">
            <v>-3.4229999999999998E-3</v>
          </cell>
          <cell r="Y84">
            <v>1.3664000000000001</v>
          </cell>
          <cell r="Z84">
            <v>1.3553999999999999</v>
          </cell>
          <cell r="AA84">
            <v>1.3512</v>
          </cell>
          <cell r="AE84">
            <v>8.5349999999999992E-3</v>
          </cell>
          <cell r="AF84">
            <v>-2.2499999999999999E-4</v>
          </cell>
          <cell r="AG84">
            <v>-3.4229999999999998E-3</v>
          </cell>
          <cell r="AR84">
            <v>1.1367000000000002E-2</v>
          </cell>
          <cell r="BC84">
            <v>2.5005999999999997E-2</v>
          </cell>
          <cell r="BF84">
            <v>3.6373000000000003E-2</v>
          </cell>
        </row>
        <row r="85">
          <cell r="O85">
            <v>1.3664000000000001</v>
          </cell>
          <cell r="P85">
            <v>1.3548</v>
          </cell>
          <cell r="Q85">
            <v>1.3520000000000001</v>
          </cell>
          <cell r="U85">
            <v>1.3524E-2</v>
          </cell>
          <cell r="V85">
            <v>5.4209999999999996E-3</v>
          </cell>
          <cell r="W85">
            <v>2.379E-3</v>
          </cell>
          <cell r="Y85">
            <v>1.3664000000000001</v>
          </cell>
          <cell r="Z85">
            <v>1.3548</v>
          </cell>
          <cell r="AA85">
            <v>1.3520000000000001</v>
          </cell>
          <cell r="AE85">
            <v>1.3524E-2</v>
          </cell>
          <cell r="AF85">
            <v>5.4209999999999996E-3</v>
          </cell>
          <cell r="AG85">
            <v>2.379E-3</v>
          </cell>
          <cell r="AR85">
            <v>1.1367000000000002E-2</v>
          </cell>
          <cell r="BC85">
            <v>2.5005999999999997E-2</v>
          </cell>
          <cell r="BF85">
            <v>3.6373000000000003E-2</v>
          </cell>
        </row>
        <row r="86">
          <cell r="O86">
            <v>1.3664000000000001</v>
          </cell>
          <cell r="P86">
            <v>1.3527</v>
          </cell>
          <cell r="Q86">
            <v>1.3527</v>
          </cell>
          <cell r="U86">
            <v>1.5395000000000001E-2</v>
          </cell>
          <cell r="V86">
            <v>6.8510000000000003E-3</v>
          </cell>
          <cell r="W86">
            <v>4.8479999999999999E-3</v>
          </cell>
          <cell r="Y86">
            <v>1.3664000000000001</v>
          </cell>
          <cell r="Z86">
            <v>1.3527</v>
          </cell>
          <cell r="AA86">
            <v>1.3527</v>
          </cell>
          <cell r="AE86">
            <v>1.5395000000000001E-2</v>
          </cell>
          <cell r="AF86">
            <v>6.8510000000000003E-3</v>
          </cell>
          <cell r="AG86">
            <v>4.8479999999999999E-3</v>
          </cell>
          <cell r="AR86">
            <v>1.1367000000000002E-2</v>
          </cell>
          <cell r="BC86">
            <v>2.5005999999999997E-2</v>
          </cell>
          <cell r="BF86">
            <v>3.6373000000000003E-2</v>
          </cell>
        </row>
        <row r="87">
          <cell r="O87">
            <v>1.3664000000000001</v>
          </cell>
          <cell r="P87">
            <v>1.3508</v>
          </cell>
          <cell r="Q87">
            <v>1.3529</v>
          </cell>
          <cell r="U87">
            <v>1.2885000000000001E-2</v>
          </cell>
          <cell r="V87">
            <v>2.8019999999999998E-3</v>
          </cell>
          <cell r="W87">
            <v>2.7859999999999998E-3</v>
          </cell>
          <cell r="Y87">
            <v>1.3664000000000001</v>
          </cell>
          <cell r="Z87">
            <v>1.3508</v>
          </cell>
          <cell r="AA87">
            <v>1.3529</v>
          </cell>
          <cell r="AE87">
            <v>1.2885000000000001E-2</v>
          </cell>
          <cell r="AF87">
            <v>2.8019999999999998E-3</v>
          </cell>
          <cell r="AG87">
            <v>2.7859999999999998E-3</v>
          </cell>
          <cell r="AR87">
            <v>1.1367000000000002E-2</v>
          </cell>
          <cell r="BC87">
            <v>2.5005999999999997E-2</v>
          </cell>
          <cell r="BF87">
            <v>3.6373000000000003E-2</v>
          </cell>
        </row>
        <row r="88">
          <cell r="O88">
            <v>1.3664000000000001</v>
          </cell>
          <cell r="P88">
            <v>1.3495999999999999</v>
          </cell>
          <cell r="Q88">
            <v>1.3527</v>
          </cell>
          <cell r="U88">
            <v>2.0046999999999999E-2</v>
          </cell>
          <cell r="V88">
            <v>8.6060000000000008E-3</v>
          </cell>
          <cell r="W88">
            <v>1.0099E-2</v>
          </cell>
          <cell r="Y88">
            <v>1.3664000000000001</v>
          </cell>
          <cell r="Z88">
            <v>1.3495999999999999</v>
          </cell>
          <cell r="AA88">
            <v>1.3527</v>
          </cell>
          <cell r="AE88">
            <v>2.0046999999999999E-2</v>
          </cell>
          <cell r="AF88">
            <v>8.6060000000000008E-3</v>
          </cell>
          <cell r="AG88">
            <v>1.0099E-2</v>
          </cell>
          <cell r="AR88">
            <v>1.1367000000000002E-2</v>
          </cell>
          <cell r="BC88">
            <v>2.5005999999999997E-2</v>
          </cell>
          <cell r="BF88">
            <v>3.6373000000000003E-2</v>
          </cell>
        </row>
        <row r="89">
          <cell r="O89">
            <v>1.3664000000000001</v>
          </cell>
          <cell r="P89">
            <v>1.3475999999999999</v>
          </cell>
          <cell r="Q89">
            <v>1.3516999999999999</v>
          </cell>
          <cell r="U89">
            <v>2.6357999999999999E-2</v>
          </cell>
          <cell r="V89">
            <v>1.3978000000000001E-2</v>
          </cell>
          <cell r="W89">
            <v>1.6263E-2</v>
          </cell>
          <cell r="Y89">
            <v>1.3664000000000001</v>
          </cell>
          <cell r="Z89">
            <v>1.3475999999999999</v>
          </cell>
          <cell r="AA89">
            <v>1.3516999999999999</v>
          </cell>
          <cell r="AE89">
            <v>2.6357999999999999E-2</v>
          </cell>
          <cell r="AF89">
            <v>1.3978000000000001E-2</v>
          </cell>
          <cell r="AG89">
            <v>1.6263E-2</v>
          </cell>
          <cell r="AR89">
            <v>1.1367000000000002E-2</v>
          </cell>
          <cell r="BC89">
            <v>2.5005999999999997E-2</v>
          </cell>
          <cell r="BF89">
            <v>3.6373000000000003E-2</v>
          </cell>
        </row>
        <row r="90">
          <cell r="O90">
            <v>1.3664000000000001</v>
          </cell>
          <cell r="P90">
            <v>1.3464</v>
          </cell>
          <cell r="Q90">
            <v>1.351</v>
          </cell>
          <cell r="U90">
            <v>2.0358999999999999E-2</v>
          </cell>
          <cell r="V90">
            <v>6.4929999999999996E-3</v>
          </cell>
          <cell r="W90">
            <v>9.5460000000000007E-3</v>
          </cell>
          <cell r="Y90">
            <v>1.3664000000000001</v>
          </cell>
          <cell r="Z90">
            <v>1.3464</v>
          </cell>
          <cell r="AA90">
            <v>1.351</v>
          </cell>
          <cell r="AE90">
            <v>2.0358999999999999E-2</v>
          </cell>
          <cell r="AF90">
            <v>6.4929999999999996E-3</v>
          </cell>
          <cell r="AG90">
            <v>9.5460000000000007E-3</v>
          </cell>
          <cell r="AR90">
            <v>1.1367000000000002E-2</v>
          </cell>
          <cell r="BC90">
            <v>2.5005999999999997E-2</v>
          </cell>
          <cell r="BF90">
            <v>3.6373000000000003E-2</v>
          </cell>
        </row>
        <row r="91">
          <cell r="O91">
            <v>1.3664000000000001</v>
          </cell>
          <cell r="P91">
            <v>1.3469</v>
          </cell>
          <cell r="Q91">
            <v>1.3508</v>
          </cell>
          <cell r="U91">
            <v>1.1764999999999999E-2</v>
          </cell>
          <cell r="V91">
            <v>-2.9949999999999998E-3</v>
          </cell>
          <cell r="W91">
            <v>4.1599999999999997E-4</v>
          </cell>
          <cell r="Y91">
            <v>1.3664000000000001</v>
          </cell>
          <cell r="Z91">
            <v>1.3469</v>
          </cell>
          <cell r="AA91">
            <v>1.3508</v>
          </cell>
          <cell r="AE91">
            <v>1.1764999999999999E-2</v>
          </cell>
          <cell r="AF91">
            <v>-2.9949999999999998E-3</v>
          </cell>
          <cell r="AG91">
            <v>4.1599999999999997E-4</v>
          </cell>
          <cell r="AR91">
            <v>1.1367000000000002E-2</v>
          </cell>
          <cell r="BC91">
            <v>2.5005999999999997E-2</v>
          </cell>
          <cell r="BF91">
            <v>3.6373000000000003E-2</v>
          </cell>
        </row>
        <row r="92">
          <cell r="O92">
            <v>1.3664000000000001</v>
          </cell>
          <cell r="P92">
            <v>1.347</v>
          </cell>
          <cell r="Q92">
            <v>1.3506</v>
          </cell>
          <cell r="U92">
            <v>1.018E-2</v>
          </cell>
          <cell r="V92">
            <v>-4.1440000000000001E-3</v>
          </cell>
          <cell r="W92">
            <v>-1.253E-3</v>
          </cell>
          <cell r="Y92">
            <v>1.3664000000000001</v>
          </cell>
          <cell r="Z92">
            <v>1.347</v>
          </cell>
          <cell r="AA92">
            <v>1.3506</v>
          </cell>
          <cell r="AE92">
            <v>1.018E-2</v>
          </cell>
          <cell r="AF92">
            <v>-4.1440000000000001E-3</v>
          </cell>
          <cell r="AG92">
            <v>-1.253E-3</v>
          </cell>
          <cell r="AR92">
            <v>1.1367000000000002E-2</v>
          </cell>
          <cell r="BC92">
            <v>2.5005999999999997E-2</v>
          </cell>
          <cell r="BF92">
            <v>3.6373000000000003E-2</v>
          </cell>
        </row>
        <row r="93">
          <cell r="O93">
            <v>1.3664000000000001</v>
          </cell>
          <cell r="P93">
            <v>1.3461000000000001</v>
          </cell>
          <cell r="Q93">
            <v>1.3503000000000001</v>
          </cell>
          <cell r="U93">
            <v>1.0553E-2</v>
          </cell>
          <cell r="V93">
            <v>-3.764E-3</v>
          </cell>
          <cell r="W93">
            <v>-1.0989999999999999E-3</v>
          </cell>
          <cell r="Y93">
            <v>1.3664000000000001</v>
          </cell>
          <cell r="Z93">
            <v>1.3461000000000001</v>
          </cell>
          <cell r="AA93">
            <v>1.3503000000000001</v>
          </cell>
          <cell r="AE93">
            <v>1.0553E-2</v>
          </cell>
          <cell r="AF93">
            <v>-3.764E-3</v>
          </cell>
          <cell r="AG93">
            <v>-1.0989999999999999E-3</v>
          </cell>
          <cell r="AR93">
            <v>1.1367000000000002E-2</v>
          </cell>
          <cell r="BC93">
            <v>2.5005999999999997E-2</v>
          </cell>
          <cell r="BF93">
            <v>3.6373000000000003E-2</v>
          </cell>
        </row>
        <row r="94">
          <cell r="O94">
            <v>1.3664000000000001</v>
          </cell>
          <cell r="P94">
            <v>1.3463000000000001</v>
          </cell>
          <cell r="Q94">
            <v>1.3509</v>
          </cell>
          <cell r="U94">
            <v>6.7660000000000003E-3</v>
          </cell>
          <cell r="V94">
            <v>-8.1799999999999998E-3</v>
          </cell>
          <cell r="W94">
            <v>-5.0819999999999997E-3</v>
          </cell>
          <cell r="Y94">
            <v>1.3664000000000001</v>
          </cell>
          <cell r="Z94">
            <v>1.3463000000000001</v>
          </cell>
          <cell r="AA94">
            <v>1.3509</v>
          </cell>
          <cell r="AE94">
            <v>6.7660000000000003E-3</v>
          </cell>
          <cell r="AF94">
            <v>-8.1799999999999998E-3</v>
          </cell>
          <cell r="AG94">
            <v>-5.0819999999999997E-3</v>
          </cell>
          <cell r="AR94">
            <v>1.1367000000000002E-2</v>
          </cell>
          <cell r="BC94">
            <v>2.5005999999999997E-2</v>
          </cell>
          <cell r="BF94">
            <v>3.6373000000000003E-2</v>
          </cell>
        </row>
        <row r="95">
          <cell r="O95">
            <v>1.3664000000000001</v>
          </cell>
          <cell r="P95">
            <v>1.3465</v>
          </cell>
          <cell r="Q95">
            <v>1.3506</v>
          </cell>
          <cell r="U95">
            <v>1.2468999999999999E-2</v>
          </cell>
          <cell r="V95">
            <v>-2.2980000000000001E-3</v>
          </cell>
          <cell r="W95">
            <v>1.0399999999999999E-3</v>
          </cell>
          <cell r="Y95">
            <v>1.3664000000000001</v>
          </cell>
          <cell r="Z95">
            <v>1.3465</v>
          </cell>
          <cell r="AA95">
            <v>1.3506</v>
          </cell>
          <cell r="AE95">
            <v>1.2468999999999999E-2</v>
          </cell>
          <cell r="AF95">
            <v>-2.2980000000000001E-3</v>
          </cell>
          <cell r="AG95">
            <v>1.0399999999999999E-3</v>
          </cell>
          <cell r="AR95">
            <v>1.1367000000000002E-2</v>
          </cell>
          <cell r="BC95">
            <v>2.5005999999999997E-2</v>
          </cell>
          <cell r="BF95">
            <v>3.6373000000000003E-2</v>
          </cell>
        </row>
        <row r="96">
          <cell r="O96">
            <v>1.3664000000000001</v>
          </cell>
          <cell r="P96">
            <v>1.3468</v>
          </cell>
          <cell r="Q96">
            <v>1.3496999999999999</v>
          </cell>
          <cell r="U96">
            <v>1.3053E-2</v>
          </cell>
          <cell r="V96">
            <v>-1.609E-3</v>
          </cell>
          <cell r="W96">
            <v>1.454E-3</v>
          </cell>
          <cell r="Y96">
            <v>1.3664000000000001</v>
          </cell>
          <cell r="Z96">
            <v>1.3468</v>
          </cell>
          <cell r="AA96">
            <v>1.3496999999999999</v>
          </cell>
          <cell r="AE96">
            <v>1.3053E-2</v>
          </cell>
          <cell r="AF96">
            <v>-1.609E-3</v>
          </cell>
          <cell r="AG96">
            <v>1.454E-3</v>
          </cell>
          <cell r="AR96">
            <v>1.1367000000000002E-2</v>
          </cell>
          <cell r="BC96">
            <v>2.5005999999999997E-2</v>
          </cell>
          <cell r="BF96">
            <v>3.6373000000000003E-2</v>
          </cell>
        </row>
        <row r="97">
          <cell r="O97">
            <v>1.3664000000000001</v>
          </cell>
          <cell r="P97">
            <v>1.3471</v>
          </cell>
          <cell r="Q97">
            <v>1.349</v>
          </cell>
          <cell r="U97">
            <v>1.0612E-2</v>
          </cell>
          <cell r="V97">
            <v>-3.8159999999999999E-3</v>
          </cell>
          <cell r="W97">
            <v>-1.6410000000000001E-3</v>
          </cell>
          <cell r="Y97">
            <v>1.3664000000000001</v>
          </cell>
          <cell r="Z97">
            <v>1.3471</v>
          </cell>
          <cell r="AA97">
            <v>1.349</v>
          </cell>
          <cell r="AE97">
            <v>1.0612E-2</v>
          </cell>
          <cell r="AF97">
            <v>-3.8159999999999999E-3</v>
          </cell>
          <cell r="AG97">
            <v>-1.6410000000000001E-3</v>
          </cell>
          <cell r="AR97">
            <v>1.1367000000000002E-2</v>
          </cell>
          <cell r="BC97">
            <v>2.5005999999999997E-2</v>
          </cell>
          <cell r="BF97">
            <v>3.6373000000000003E-2</v>
          </cell>
        </row>
        <row r="98">
          <cell r="O98">
            <v>1.3664000000000001</v>
          </cell>
          <cell r="P98">
            <v>1.3489</v>
          </cell>
          <cell r="Q98">
            <v>1.3492</v>
          </cell>
          <cell r="U98">
            <v>7.0650000000000001E-3</v>
          </cell>
          <cell r="V98">
            <v>-7.1349999999999998E-3</v>
          </cell>
          <cell r="W98">
            <v>-5.7549999999999997E-3</v>
          </cell>
          <cell r="Y98">
            <v>1.3664000000000001</v>
          </cell>
          <cell r="Z98">
            <v>1.3489</v>
          </cell>
          <cell r="AA98">
            <v>1.3492</v>
          </cell>
          <cell r="AE98">
            <v>7.0650000000000001E-3</v>
          </cell>
          <cell r="AF98">
            <v>-7.1349999999999998E-3</v>
          </cell>
          <cell r="AG98">
            <v>-5.7549999999999997E-3</v>
          </cell>
          <cell r="AR98">
            <v>1.1367000000000002E-2</v>
          </cell>
          <cell r="BC98">
            <v>2.5005999999999997E-2</v>
          </cell>
          <cell r="BF98">
            <v>3.6373000000000003E-2</v>
          </cell>
        </row>
        <row r="99">
          <cell r="O99">
            <v>1.3664000000000001</v>
          </cell>
          <cell r="P99">
            <v>1.3520000000000001</v>
          </cell>
          <cell r="Q99">
            <v>1.3498000000000001</v>
          </cell>
          <cell r="U99">
            <v>3.3430000000000001E-3</v>
          </cell>
          <cell r="V99">
            <v>-9.5580000000000005E-3</v>
          </cell>
          <cell r="W99">
            <v>-9.2980000000000007E-3</v>
          </cell>
          <cell r="Y99">
            <v>1.3664000000000001</v>
          </cell>
          <cell r="Z99">
            <v>1.3520000000000001</v>
          </cell>
          <cell r="AA99">
            <v>1.3498000000000001</v>
          </cell>
          <cell r="AE99">
            <v>3.3430000000000001E-3</v>
          </cell>
          <cell r="AF99">
            <v>-9.5580000000000005E-3</v>
          </cell>
          <cell r="AG99">
            <v>-9.2980000000000007E-3</v>
          </cell>
          <cell r="AR99">
            <v>1.1367000000000002E-2</v>
          </cell>
          <cell r="BC99">
            <v>2.5005999999999997E-2</v>
          </cell>
          <cell r="BF99">
            <v>3.6373000000000003E-2</v>
          </cell>
        </row>
        <row r="100">
          <cell r="O100">
            <v>1.3664000000000001</v>
          </cell>
          <cell r="P100">
            <v>1.3539000000000001</v>
          </cell>
          <cell r="Q100">
            <v>1.3501000000000001</v>
          </cell>
          <cell r="U100">
            <v>5.7840000000000001E-3</v>
          </cell>
          <cell r="V100">
            <v>-4.823E-3</v>
          </cell>
          <cell r="W100">
            <v>-6.4510000000000001E-3</v>
          </cell>
          <cell r="Y100">
            <v>1.3664000000000001</v>
          </cell>
          <cell r="Z100">
            <v>1.3539000000000001</v>
          </cell>
          <cell r="AA100">
            <v>1.3501000000000001</v>
          </cell>
          <cell r="AE100">
            <v>5.7840000000000001E-3</v>
          </cell>
          <cell r="AF100">
            <v>-4.823E-3</v>
          </cell>
          <cell r="AG100">
            <v>-6.4510000000000001E-3</v>
          </cell>
          <cell r="AR100">
            <v>1.1367000000000002E-2</v>
          </cell>
          <cell r="BC100">
            <v>2.5005999999999997E-2</v>
          </cell>
          <cell r="BF100">
            <v>3.6373000000000003E-2</v>
          </cell>
        </row>
        <row r="101">
          <cell r="O101">
            <v>1.3664000000000001</v>
          </cell>
          <cell r="P101">
            <v>1.355</v>
          </cell>
          <cell r="Q101">
            <v>1.351</v>
          </cell>
          <cell r="U101">
            <v>3.7100000000000002E-3</v>
          </cell>
          <cell r="V101">
            <v>-5.4450000000000002E-3</v>
          </cell>
          <cell r="W101">
            <v>-8.2439999999999996E-3</v>
          </cell>
          <cell r="Y101">
            <v>1.3664000000000001</v>
          </cell>
          <cell r="Z101">
            <v>1.355</v>
          </cell>
          <cell r="AA101">
            <v>1.351</v>
          </cell>
          <cell r="AE101">
            <v>3.7100000000000002E-3</v>
          </cell>
          <cell r="AF101">
            <v>-5.4450000000000002E-3</v>
          </cell>
          <cell r="AG101">
            <v>-8.2439999999999996E-3</v>
          </cell>
          <cell r="AR101">
            <v>1.1367000000000002E-2</v>
          </cell>
          <cell r="BC101">
            <v>2.5005999999999997E-2</v>
          </cell>
          <cell r="BF101">
            <v>3.6373000000000003E-2</v>
          </cell>
        </row>
        <row r="102">
          <cell r="O102">
            <v>1.3664000000000001</v>
          </cell>
          <cell r="P102">
            <v>1.3560000000000001</v>
          </cell>
          <cell r="Q102">
            <v>1.3514999999999999</v>
          </cell>
          <cell r="U102">
            <v>2.8609999999999998E-3</v>
          </cell>
          <cell r="V102">
            <v>-5.4869999999999997E-3</v>
          </cell>
          <cell r="W102">
            <v>-8.4700000000000001E-3</v>
          </cell>
          <cell r="Y102">
            <v>1.3664000000000001</v>
          </cell>
          <cell r="Z102">
            <v>1.3560000000000001</v>
          </cell>
          <cell r="AA102">
            <v>1.3514999999999999</v>
          </cell>
          <cell r="AE102">
            <v>2.8609999999999998E-3</v>
          </cell>
          <cell r="AF102">
            <v>-5.4869999999999997E-3</v>
          </cell>
          <cell r="AG102">
            <v>-8.4700000000000001E-3</v>
          </cell>
          <cell r="AR102">
            <v>1.1367000000000002E-2</v>
          </cell>
          <cell r="BC102">
            <v>2.5005999999999997E-2</v>
          </cell>
          <cell r="BF102">
            <v>3.6373000000000003E-2</v>
          </cell>
        </row>
        <row r="103">
          <cell r="O103">
            <v>1.3664000000000001</v>
          </cell>
          <cell r="P103">
            <v>1.3581000000000001</v>
          </cell>
          <cell r="Q103">
            <v>1.3521000000000001</v>
          </cell>
          <cell r="U103">
            <v>-4.4689999999999999E-3</v>
          </cell>
          <cell r="V103">
            <v>-1.2083999999999999E-2</v>
          </cell>
          <cell r="W103">
            <v>-1.5429999999999999E-2</v>
          </cell>
          <cell r="Y103">
            <v>1.3664000000000001</v>
          </cell>
          <cell r="Z103">
            <v>1.3581000000000001</v>
          </cell>
          <cell r="AA103">
            <v>1.3521000000000001</v>
          </cell>
          <cell r="AE103">
            <v>-4.4689999999999999E-3</v>
          </cell>
          <cell r="AF103">
            <v>-1.2083999999999999E-2</v>
          </cell>
          <cell r="AG103">
            <v>-1.5429999999999999E-2</v>
          </cell>
          <cell r="AR103">
            <v>1.1367000000000002E-2</v>
          </cell>
          <cell r="BC103">
            <v>2.5005999999999997E-2</v>
          </cell>
          <cell r="BF103">
            <v>3.6373000000000003E-2</v>
          </cell>
        </row>
        <row r="104">
          <cell r="O104">
            <v>1.3664000000000001</v>
          </cell>
          <cell r="P104">
            <v>1.3613</v>
          </cell>
          <cell r="Q104">
            <v>1.3537999999999999</v>
          </cell>
          <cell r="U104">
            <v>-1.6716999999999999E-2</v>
          </cell>
          <cell r="V104">
            <v>-2.2824000000000001E-2</v>
          </cell>
          <cell r="W104">
            <v>-2.7233E-2</v>
          </cell>
          <cell r="Y104">
            <v>1.3664000000000001</v>
          </cell>
          <cell r="Z104">
            <v>1.3613</v>
          </cell>
          <cell r="AA104">
            <v>1.3537999999999999</v>
          </cell>
          <cell r="AE104">
            <v>-1.6716999999999999E-2</v>
          </cell>
          <cell r="AF104">
            <v>-2.2824000000000001E-2</v>
          </cell>
          <cell r="AG104">
            <v>-2.7233E-2</v>
          </cell>
          <cell r="AR104">
            <v>1.1367000000000002E-2</v>
          </cell>
          <cell r="BC104">
            <v>2.5005999999999997E-2</v>
          </cell>
          <cell r="BF104">
            <v>3.6373000000000003E-2</v>
          </cell>
        </row>
        <row r="105">
          <cell r="O105">
            <v>1.3664000000000001</v>
          </cell>
          <cell r="P105">
            <v>1.3654999999999999</v>
          </cell>
          <cell r="Q105">
            <v>1.3560000000000001</v>
          </cell>
          <cell r="U105">
            <v>-1.8238999999999998E-2</v>
          </cell>
          <cell r="V105">
            <v>-2.1975000000000001E-2</v>
          </cell>
          <cell r="W105">
            <v>-2.7476E-2</v>
          </cell>
          <cell r="Y105">
            <v>1.3664000000000001</v>
          </cell>
          <cell r="Z105">
            <v>1.3654999999999999</v>
          </cell>
          <cell r="AA105">
            <v>1.3560000000000001</v>
          </cell>
          <cell r="AE105">
            <v>-1.8238999999999998E-2</v>
          </cell>
          <cell r="AF105">
            <v>-2.1975000000000001E-2</v>
          </cell>
          <cell r="AG105">
            <v>-2.7476E-2</v>
          </cell>
          <cell r="AR105">
            <v>9.8440000000000021E-3</v>
          </cell>
          <cell r="BC105">
            <v>2.5005999999999997E-2</v>
          </cell>
          <cell r="BF105">
            <v>3.4850000000000006E-2</v>
          </cell>
        </row>
        <row r="106">
          <cell r="O106">
            <v>1.3664000000000001</v>
          </cell>
          <cell r="P106">
            <v>1.371</v>
          </cell>
          <cell r="Q106">
            <v>1.3589</v>
          </cell>
          <cell r="U106">
            <v>-2.7317999999999999E-2</v>
          </cell>
          <cell r="V106">
            <v>-2.7966999999999999E-2</v>
          </cell>
          <cell r="W106">
            <v>-3.4949000000000001E-2</v>
          </cell>
          <cell r="Y106">
            <v>1.3664000000000001</v>
          </cell>
          <cell r="Z106">
            <v>1.371</v>
          </cell>
          <cell r="AA106">
            <v>1.3589</v>
          </cell>
          <cell r="AE106">
            <v>-2.7317999999999999E-2</v>
          </cell>
          <cell r="AF106">
            <v>-2.7966999999999999E-2</v>
          </cell>
          <cell r="AG106">
            <v>-3.4949000000000001E-2</v>
          </cell>
          <cell r="AR106">
            <v>7.6500000000000005E-4</v>
          </cell>
          <cell r="BC106">
            <v>2.5005999999999997E-2</v>
          </cell>
          <cell r="BF106">
            <v>2.5771000000000002E-2</v>
          </cell>
        </row>
        <row r="107">
          <cell r="O107">
            <v>1.3664000000000001</v>
          </cell>
          <cell r="P107">
            <v>1.3771</v>
          </cell>
          <cell r="Q107">
            <v>1.3621000000000001</v>
          </cell>
          <cell r="U107">
            <v>-3.347E-2</v>
          </cell>
          <cell r="V107">
            <v>-3.0058999999999999E-2</v>
          </cell>
          <cell r="W107">
            <v>-3.8939000000000001E-2</v>
          </cell>
          <cell r="Y107">
            <v>1.3664000000000001</v>
          </cell>
          <cell r="Z107">
            <v>1.3771</v>
          </cell>
          <cell r="AA107">
            <v>1.3621000000000001</v>
          </cell>
          <cell r="AE107">
            <v>-3.347E-2</v>
          </cell>
          <cell r="AF107">
            <v>-3.0058999999999999E-2</v>
          </cell>
          <cell r="AG107">
            <v>-3.8939000000000001E-2</v>
          </cell>
          <cell r="AR107">
            <v>-5.3879999999999987E-3</v>
          </cell>
          <cell r="BC107">
            <v>2.5005999999999997E-2</v>
          </cell>
          <cell r="BF107">
            <v>1.9618000000000003E-2</v>
          </cell>
        </row>
        <row r="108">
          <cell r="O108">
            <v>1.3664000000000001</v>
          </cell>
          <cell r="P108">
            <v>1.3811</v>
          </cell>
          <cell r="Q108">
            <v>1.365</v>
          </cell>
          <cell r="U108">
            <v>-2.1988000000000001E-2</v>
          </cell>
          <cell r="V108">
            <v>-1.4142E-2</v>
          </cell>
          <cell r="W108">
            <v>-2.5104000000000001E-2</v>
          </cell>
          <cell r="Y108">
            <v>1.3664000000000001</v>
          </cell>
          <cell r="Z108">
            <v>1.3811</v>
          </cell>
          <cell r="AA108">
            <v>1.365</v>
          </cell>
          <cell r="AE108">
            <v>-2.1988000000000001E-2</v>
          </cell>
          <cell r="AF108">
            <v>-1.4142E-2</v>
          </cell>
          <cell r="AG108">
            <v>-2.5104000000000001E-2</v>
          </cell>
          <cell r="AR108">
            <v>6.0950000000000015E-3</v>
          </cell>
          <cell r="BC108">
            <v>2.5005999999999997E-2</v>
          </cell>
          <cell r="BF108">
            <v>3.1101000000000004E-2</v>
          </cell>
        </row>
        <row r="109">
          <cell r="O109">
            <v>1.3664000000000001</v>
          </cell>
          <cell r="P109">
            <v>1.3843000000000001</v>
          </cell>
          <cell r="Q109">
            <v>1.3681000000000001</v>
          </cell>
          <cell r="U109">
            <v>-1.9244000000000001E-2</v>
          </cell>
          <cell r="V109">
            <v>-8.4980000000000003E-3</v>
          </cell>
          <cell r="W109">
            <v>-2.0251999999999999E-2</v>
          </cell>
          <cell r="Y109">
            <v>1.3664000000000001</v>
          </cell>
          <cell r="Z109">
            <v>1.3843000000000001</v>
          </cell>
          <cell r="AA109">
            <v>1.3681000000000001</v>
          </cell>
          <cell r="AE109">
            <v>-1.9244000000000001E-2</v>
          </cell>
          <cell r="AF109">
            <v>-8.4980000000000003E-3</v>
          </cell>
          <cell r="AG109">
            <v>-2.0251999999999999E-2</v>
          </cell>
          <cell r="AR109">
            <v>8.8390000000000014E-3</v>
          </cell>
          <cell r="BC109">
            <v>2.5005999999999997E-2</v>
          </cell>
          <cell r="BF109">
            <v>3.3845E-2</v>
          </cell>
        </row>
        <row r="110">
          <cell r="O110">
            <v>1.3664000000000001</v>
          </cell>
          <cell r="P110">
            <v>1.387</v>
          </cell>
          <cell r="Q110">
            <v>1.3704000000000001</v>
          </cell>
          <cell r="U110">
            <v>-1.3983000000000001E-2</v>
          </cell>
          <cell r="V110">
            <v>-9.8700000000000003E-4</v>
          </cell>
          <cell r="W110">
            <v>-1.2718999999999999E-2</v>
          </cell>
          <cell r="Y110">
            <v>1.3664000000000001</v>
          </cell>
          <cell r="Z110">
            <v>1.387</v>
          </cell>
          <cell r="AA110">
            <v>1.3704000000000001</v>
          </cell>
          <cell r="AE110">
            <v>-1.3983000000000001E-2</v>
          </cell>
          <cell r="AF110">
            <v>-9.8700000000000003E-4</v>
          </cell>
          <cell r="AG110">
            <v>-1.2718999999999999E-2</v>
          </cell>
          <cell r="AR110">
            <v>1.4100000000000001E-2</v>
          </cell>
          <cell r="BC110">
            <v>2.5005999999999997E-2</v>
          </cell>
          <cell r="BF110">
            <v>3.9106000000000002E-2</v>
          </cell>
        </row>
        <row r="111">
          <cell r="O111">
            <v>1.3664000000000001</v>
          </cell>
          <cell r="P111">
            <v>1.3876999999999999</v>
          </cell>
          <cell r="Q111">
            <v>1.3714</v>
          </cell>
          <cell r="U111">
            <v>-1.864E-3</v>
          </cell>
          <cell r="V111">
            <v>1.3089E-2</v>
          </cell>
          <cell r="W111">
            <v>1.108E-3</v>
          </cell>
          <cell r="Y111">
            <v>1.3664000000000001</v>
          </cell>
          <cell r="Z111">
            <v>1.3876999999999999</v>
          </cell>
          <cell r="AA111">
            <v>1.3714</v>
          </cell>
          <cell r="AE111">
            <v>-1.864E-3</v>
          </cell>
          <cell r="AF111">
            <v>1.3089E-2</v>
          </cell>
          <cell r="AG111">
            <v>1.108E-3</v>
          </cell>
          <cell r="AR111">
            <v>2.6219000000000003E-2</v>
          </cell>
          <cell r="BC111">
            <v>2.5005999999999997E-2</v>
          </cell>
          <cell r="BF111">
            <v>5.1225000000000007E-2</v>
          </cell>
        </row>
        <row r="112">
          <cell r="O112">
            <v>1.3664000000000001</v>
          </cell>
          <cell r="P112">
            <v>1.3895</v>
          </cell>
          <cell r="Q112">
            <v>1.3727</v>
          </cell>
          <cell r="U112">
            <v>-9.7409999999999997E-3</v>
          </cell>
          <cell r="V112">
            <v>5.7609999999999996E-3</v>
          </cell>
          <cell r="W112">
            <v>-6.0930000000000003E-3</v>
          </cell>
          <cell r="Y112">
            <v>1.3664000000000001</v>
          </cell>
          <cell r="Z112">
            <v>1.3895</v>
          </cell>
          <cell r="AA112">
            <v>1.3727</v>
          </cell>
          <cell r="AE112">
            <v>-9.7409999999999997E-3</v>
          </cell>
          <cell r="AF112">
            <v>5.7609999999999996E-3</v>
          </cell>
          <cell r="AG112">
            <v>-6.0930000000000003E-3</v>
          </cell>
          <cell r="AR112">
            <v>2.6219000000000003E-2</v>
          </cell>
          <cell r="BC112">
            <v>2.5005999999999997E-2</v>
          </cell>
          <cell r="BF112">
            <v>5.1225000000000007E-2</v>
          </cell>
        </row>
        <row r="113">
          <cell r="O113">
            <v>1.3664000000000001</v>
          </cell>
          <cell r="P113">
            <v>1.3905000000000001</v>
          </cell>
          <cell r="Q113">
            <v>1.3743000000000001</v>
          </cell>
          <cell r="U113">
            <v>-1.2328E-2</v>
          </cell>
          <cell r="V113">
            <v>4.4180000000000001E-3</v>
          </cell>
          <cell r="W113">
            <v>-7.6880000000000004E-3</v>
          </cell>
          <cell r="Y113">
            <v>1.3664000000000001</v>
          </cell>
          <cell r="Z113">
            <v>1.3905000000000001</v>
          </cell>
          <cell r="AA113">
            <v>1.3743000000000001</v>
          </cell>
          <cell r="AE113">
            <v>-1.2328E-2</v>
          </cell>
          <cell r="AF113">
            <v>4.4180000000000001E-3</v>
          </cell>
          <cell r="AG113">
            <v>-7.6880000000000004E-3</v>
          </cell>
          <cell r="AR113">
            <v>2.6219000000000003E-2</v>
          </cell>
          <cell r="BC113">
            <v>2.5005999999999997E-2</v>
          </cell>
          <cell r="BF113">
            <v>5.1225000000000007E-2</v>
          </cell>
        </row>
        <row r="114">
          <cell r="O114">
            <v>1.3664000000000001</v>
          </cell>
          <cell r="P114">
            <v>1.3909</v>
          </cell>
          <cell r="Q114">
            <v>1.3761000000000001</v>
          </cell>
          <cell r="U114">
            <v>-1.9366999999999999E-2</v>
          </cell>
          <cell r="V114">
            <v>-1.8420000000000001E-3</v>
          </cell>
          <cell r="W114">
            <v>-1.3587999999999999E-2</v>
          </cell>
          <cell r="Y114">
            <v>1.3664000000000001</v>
          </cell>
          <cell r="Z114">
            <v>1.3909</v>
          </cell>
          <cell r="AA114">
            <v>1.3761000000000001</v>
          </cell>
          <cell r="AE114">
            <v>-1.9366999999999999E-2</v>
          </cell>
          <cell r="AF114">
            <v>-1.8420000000000001E-3</v>
          </cell>
          <cell r="AG114">
            <v>-1.3587999999999999E-2</v>
          </cell>
          <cell r="AR114">
            <v>2.6219000000000003E-2</v>
          </cell>
          <cell r="BC114">
            <v>2.5005999999999997E-2</v>
          </cell>
          <cell r="BF114">
            <v>5.1225000000000007E-2</v>
          </cell>
        </row>
        <row r="115">
          <cell r="O115">
            <v>1.3664000000000001</v>
          </cell>
          <cell r="P115">
            <v>1.3925000000000001</v>
          </cell>
          <cell r="Q115">
            <v>1.379</v>
          </cell>
          <cell r="U115">
            <v>-2.9579999999999999E-2</v>
          </cell>
          <cell r="V115">
            <v>-1.179E-2</v>
          </cell>
          <cell r="W115">
            <v>-2.2495000000000001E-2</v>
          </cell>
          <cell r="Y115">
            <v>1.3664000000000001</v>
          </cell>
          <cell r="Z115">
            <v>1.3925000000000001</v>
          </cell>
          <cell r="AA115">
            <v>1.379</v>
          </cell>
          <cell r="AE115">
            <v>-2.9579999999999999E-2</v>
          </cell>
          <cell r="AF115">
            <v>-1.179E-2</v>
          </cell>
          <cell r="AG115">
            <v>-2.2495000000000001E-2</v>
          </cell>
          <cell r="AR115">
            <v>2.6219000000000003E-2</v>
          </cell>
          <cell r="BC115">
            <v>2.5005999999999997E-2</v>
          </cell>
          <cell r="BF115">
            <v>5.1225000000000007E-2</v>
          </cell>
        </row>
        <row r="116">
          <cell r="O116">
            <v>1.3664000000000001</v>
          </cell>
          <cell r="P116">
            <v>1.3947000000000001</v>
          </cell>
          <cell r="Q116">
            <v>1.3829</v>
          </cell>
          <cell r="U116">
            <v>-4.2993999999999997E-2</v>
          </cell>
          <cell r="V116">
            <v>-2.4063999999999999E-2</v>
          </cell>
          <cell r="W116">
            <v>-3.3805000000000002E-2</v>
          </cell>
          <cell r="Y116">
            <v>1.3664000000000001</v>
          </cell>
          <cell r="Z116">
            <v>1.3947000000000001</v>
          </cell>
          <cell r="AA116">
            <v>1.3829</v>
          </cell>
          <cell r="AE116">
            <v>-4.2993999999999997E-2</v>
          </cell>
          <cell r="AF116">
            <v>-2.4063999999999999E-2</v>
          </cell>
          <cell r="AG116">
            <v>-3.3805000000000002E-2</v>
          </cell>
          <cell r="AR116">
            <v>1.2805000000000002E-2</v>
          </cell>
          <cell r="BC116">
            <v>2.5005999999999997E-2</v>
          </cell>
          <cell r="BF116">
            <v>3.7811000000000004E-2</v>
          </cell>
        </row>
        <row r="117">
          <cell r="O117">
            <v>1.3664000000000001</v>
          </cell>
          <cell r="P117">
            <v>1.3944000000000001</v>
          </cell>
          <cell r="Q117">
            <v>1.3857999999999999</v>
          </cell>
          <cell r="U117">
            <v>-3.1304999999999999E-2</v>
          </cell>
          <cell r="V117">
            <v>-1.0782E-2</v>
          </cell>
          <cell r="W117">
            <v>-1.9300999999999999E-2</v>
          </cell>
          <cell r="Y117">
            <v>1.3664000000000001</v>
          </cell>
          <cell r="Z117">
            <v>1.3944000000000001</v>
          </cell>
          <cell r="AA117">
            <v>1.3857999999999999</v>
          </cell>
          <cell r="AE117">
            <v>-3.1304999999999999E-2</v>
          </cell>
          <cell r="AF117">
            <v>-1.0782E-2</v>
          </cell>
          <cell r="AG117">
            <v>-1.9300999999999999E-2</v>
          </cell>
          <cell r="AR117">
            <v>2.4495000000000003E-2</v>
          </cell>
          <cell r="BC117">
            <v>2.5005999999999997E-2</v>
          </cell>
          <cell r="BF117">
            <v>4.9501000000000003E-2</v>
          </cell>
        </row>
        <row r="118">
          <cell r="O118">
            <v>1.3664000000000001</v>
          </cell>
          <cell r="P118">
            <v>1.3965000000000001</v>
          </cell>
          <cell r="Q118">
            <v>1.3888</v>
          </cell>
          <cell r="U118">
            <v>-3.6533999999999997E-2</v>
          </cell>
          <cell r="V118">
            <v>-1.6230999999999999E-2</v>
          </cell>
          <cell r="W118">
            <v>-2.2440000000000002E-2</v>
          </cell>
          <cell r="Y118">
            <v>1.3664000000000001</v>
          </cell>
          <cell r="Z118">
            <v>1.3965000000000001</v>
          </cell>
          <cell r="AA118">
            <v>1.3888</v>
          </cell>
          <cell r="AE118">
            <v>-3.6533999999999997E-2</v>
          </cell>
          <cell r="AF118">
            <v>-1.6230999999999999E-2</v>
          </cell>
          <cell r="AG118">
            <v>-2.2440000000000002E-2</v>
          </cell>
          <cell r="AR118">
            <v>2.4495000000000003E-2</v>
          </cell>
          <cell r="BC118">
            <v>2.5005999999999997E-2</v>
          </cell>
          <cell r="BF118">
            <v>4.9501000000000003E-2</v>
          </cell>
        </row>
        <row r="119">
          <cell r="O119">
            <v>1.3664000000000001</v>
          </cell>
          <cell r="P119">
            <v>1.3979999999999999</v>
          </cell>
          <cell r="Q119">
            <v>1.3911</v>
          </cell>
          <cell r="U119">
            <v>-3.0103999999999999E-2</v>
          </cell>
          <cell r="V119">
            <v>-8.3339999999999994E-3</v>
          </cell>
          <cell r="W119">
            <v>-1.3831E-2</v>
          </cell>
          <cell r="Y119">
            <v>1.3664000000000001</v>
          </cell>
          <cell r="Z119">
            <v>1.3979999999999999</v>
          </cell>
          <cell r="AA119">
            <v>1.3911</v>
          </cell>
          <cell r="AE119">
            <v>-3.0103999999999999E-2</v>
          </cell>
          <cell r="AF119">
            <v>-8.3339999999999994E-3</v>
          </cell>
          <cell r="AG119">
            <v>-1.3831E-2</v>
          </cell>
          <cell r="AR119">
            <v>3.0925000000000001E-2</v>
          </cell>
          <cell r="BC119">
            <v>2.5005999999999997E-2</v>
          </cell>
          <cell r="BF119">
            <v>5.5931000000000002E-2</v>
          </cell>
        </row>
        <row r="120">
          <cell r="O120">
            <v>1.3664000000000001</v>
          </cell>
          <cell r="P120">
            <v>1.3983000000000001</v>
          </cell>
          <cell r="Q120">
            <v>1.3926000000000001</v>
          </cell>
          <cell r="U120">
            <v>-1.6274E-2</v>
          </cell>
          <cell r="V120">
            <v>6.5849999999999997E-3</v>
          </cell>
          <cell r="W120">
            <v>1.6659999999999999E-3</v>
          </cell>
          <cell r="Y120">
            <v>1.3664000000000001</v>
          </cell>
          <cell r="Z120">
            <v>1.3983000000000001</v>
          </cell>
          <cell r="AA120">
            <v>1.3926000000000001</v>
          </cell>
          <cell r="AE120">
            <v>-1.6274E-2</v>
          </cell>
          <cell r="AF120">
            <v>6.5849999999999997E-3</v>
          </cell>
          <cell r="AG120">
            <v>1.6659999999999999E-3</v>
          </cell>
          <cell r="AR120">
            <v>4.4755000000000003E-2</v>
          </cell>
          <cell r="BC120">
            <v>2.5005999999999997E-2</v>
          </cell>
          <cell r="BF120">
            <v>6.9761000000000004E-2</v>
          </cell>
        </row>
        <row r="121">
          <cell r="O121">
            <v>1.3664000000000001</v>
          </cell>
          <cell r="P121">
            <v>1.4001999999999999</v>
          </cell>
          <cell r="Q121">
            <v>1.3939999999999999</v>
          </cell>
          <cell r="U121">
            <v>-1.5706000000000001E-2</v>
          </cell>
          <cell r="V121">
            <v>7.3800000000000003E-3</v>
          </cell>
          <cell r="W121">
            <v>3.3219999999999999E-3</v>
          </cell>
          <cell r="Y121">
            <v>1.3664000000000001</v>
          </cell>
          <cell r="Z121">
            <v>1.4001999999999999</v>
          </cell>
          <cell r="AA121">
            <v>1.3939999999999999</v>
          </cell>
          <cell r="AE121">
            <v>-1.5706000000000001E-2</v>
          </cell>
          <cell r="AF121">
            <v>7.3800000000000003E-3</v>
          </cell>
          <cell r="AG121">
            <v>3.3219999999999999E-3</v>
          </cell>
          <cell r="AR121">
            <v>4.4755000000000003E-2</v>
          </cell>
          <cell r="BC121">
            <v>2.5005999999999997E-2</v>
          </cell>
          <cell r="BF121">
            <v>6.9761000000000004E-2</v>
          </cell>
        </row>
        <row r="122">
          <cell r="O122">
            <v>1.3664000000000001</v>
          </cell>
          <cell r="P122">
            <v>1.3988</v>
          </cell>
          <cell r="Q122">
            <v>1.3940999999999999</v>
          </cell>
          <cell r="U122">
            <v>2.9700000000000001E-4</v>
          </cell>
          <cell r="V122">
            <v>2.4746000000000001E-2</v>
          </cell>
          <cell r="W122">
            <v>2.0282000000000001E-2</v>
          </cell>
          <cell r="Y122">
            <v>1.3664000000000001</v>
          </cell>
          <cell r="Z122">
            <v>1.3988</v>
          </cell>
          <cell r="AA122">
            <v>1.3940999999999999</v>
          </cell>
          <cell r="AE122">
            <v>2.9700000000000001E-4</v>
          </cell>
          <cell r="AF122">
            <v>2.4746000000000001E-2</v>
          </cell>
          <cell r="AG122">
            <v>2.0282000000000001E-2</v>
          </cell>
          <cell r="AR122">
            <v>4.4755000000000003E-2</v>
          </cell>
          <cell r="BC122">
            <v>2.5005999999999997E-2</v>
          </cell>
          <cell r="BF122">
            <v>6.9761000000000004E-2</v>
          </cell>
        </row>
        <row r="123">
          <cell r="O123">
            <v>1.3664000000000001</v>
          </cell>
          <cell r="P123">
            <v>1.3977999999999999</v>
          </cell>
          <cell r="Q123">
            <v>1.3942000000000001</v>
          </cell>
          <cell r="U123">
            <v>-5.1289999999999999E-3</v>
          </cell>
          <cell r="V123">
            <v>1.8336000000000002E-2</v>
          </cell>
          <cell r="W123">
            <v>1.4983E-2</v>
          </cell>
          <cell r="Y123">
            <v>1.3664000000000001</v>
          </cell>
          <cell r="Z123">
            <v>1.3977999999999999</v>
          </cell>
          <cell r="AA123">
            <v>1.3942000000000001</v>
          </cell>
          <cell r="AE123">
            <v>-5.1289999999999999E-3</v>
          </cell>
          <cell r="AF123">
            <v>1.8336000000000002E-2</v>
          </cell>
          <cell r="AG123">
            <v>1.4983E-2</v>
          </cell>
          <cell r="AR123">
            <v>4.4755000000000003E-2</v>
          </cell>
          <cell r="BC123">
            <v>3.0430999999999996E-2</v>
          </cell>
          <cell r="BF123">
            <v>7.5186000000000003E-2</v>
          </cell>
        </row>
        <row r="124">
          <cell r="O124">
            <v>1.3664000000000001</v>
          </cell>
          <cell r="P124">
            <v>1.3948</v>
          </cell>
          <cell r="Q124">
            <v>1.3929</v>
          </cell>
          <cell r="U124">
            <v>2.5179999999999998E-3</v>
          </cell>
          <cell r="V124">
            <v>2.5274000000000001E-2</v>
          </cell>
          <cell r="W124">
            <v>2.2662000000000002E-2</v>
          </cell>
          <cell r="Y124">
            <v>1.3664000000000001</v>
          </cell>
          <cell r="Z124">
            <v>1.3948</v>
          </cell>
          <cell r="AA124">
            <v>1.3929</v>
          </cell>
          <cell r="AE124">
            <v>2.5179999999999998E-3</v>
          </cell>
          <cell r="AF124">
            <v>2.5274000000000001E-2</v>
          </cell>
          <cell r="AG124">
            <v>2.2662000000000002E-2</v>
          </cell>
          <cell r="AR124">
            <v>4.4755000000000003E-2</v>
          </cell>
          <cell r="BC124">
            <v>2.2783999999999999E-2</v>
          </cell>
          <cell r="BF124">
            <v>6.7539000000000002E-2</v>
          </cell>
        </row>
        <row r="125">
          <cell r="O125">
            <v>1.3664000000000001</v>
          </cell>
          <cell r="P125">
            <v>1.3906000000000001</v>
          </cell>
          <cell r="Q125">
            <v>1.3915</v>
          </cell>
          <cell r="U125">
            <v>9.4399999999999996E-4</v>
          </cell>
          <cell r="V125">
            <v>2.154E-2</v>
          </cell>
          <cell r="W125">
            <v>2.0138E-2</v>
          </cell>
          <cell r="Y125">
            <v>1.3664000000000001</v>
          </cell>
          <cell r="Z125">
            <v>1.3906000000000001</v>
          </cell>
          <cell r="AA125">
            <v>1.3915</v>
          </cell>
          <cell r="AE125">
            <v>9.4399999999999996E-4</v>
          </cell>
          <cell r="AF125">
            <v>2.154E-2</v>
          </cell>
          <cell r="AG125">
            <v>2.0138E-2</v>
          </cell>
          <cell r="AR125">
            <v>4.4755000000000003E-2</v>
          </cell>
          <cell r="BC125">
            <v>2.4357999999999998E-2</v>
          </cell>
          <cell r="BF125">
            <v>6.9113000000000008E-2</v>
          </cell>
        </row>
        <row r="126">
          <cell r="O126">
            <v>1.3664000000000001</v>
          </cell>
          <cell r="P126">
            <v>1.3855999999999999</v>
          </cell>
          <cell r="Q126">
            <v>1.3900999999999999</v>
          </cell>
          <cell r="U126">
            <v>-7.2160000000000002E-3</v>
          </cell>
          <cell r="V126">
            <v>1.0342E-2</v>
          </cell>
          <cell r="W126">
            <v>1.1029000000000001E-2</v>
          </cell>
          <cell r="Y126">
            <v>1.3664000000000001</v>
          </cell>
          <cell r="Z126">
            <v>1.3855999999999999</v>
          </cell>
          <cell r="AA126">
            <v>1.3900999999999999</v>
          </cell>
          <cell r="AE126">
            <v>-7.2160000000000002E-3</v>
          </cell>
          <cell r="AF126">
            <v>1.0342E-2</v>
          </cell>
          <cell r="AG126">
            <v>1.1029000000000001E-2</v>
          </cell>
          <cell r="AR126">
            <v>4.4755000000000003E-2</v>
          </cell>
          <cell r="BC126">
            <v>3.2517999999999998E-2</v>
          </cell>
          <cell r="BF126">
            <v>7.7273000000000008E-2</v>
          </cell>
        </row>
        <row r="127">
          <cell r="O127">
            <v>1.3664000000000001</v>
          </cell>
          <cell r="P127">
            <v>1.3836999999999999</v>
          </cell>
          <cell r="Q127">
            <v>1.389</v>
          </cell>
          <cell r="U127">
            <v>-1.7783E-2</v>
          </cell>
          <cell r="V127">
            <v>-3.8370000000000001E-3</v>
          </cell>
          <cell r="W127">
            <v>-5.4299999999999997E-4</v>
          </cell>
          <cell r="Y127">
            <v>1.3664000000000001</v>
          </cell>
          <cell r="Z127">
            <v>1.3836999999999999</v>
          </cell>
          <cell r="AA127">
            <v>1.389</v>
          </cell>
          <cell r="AE127">
            <v>-1.7783E-2</v>
          </cell>
          <cell r="AF127">
            <v>-3.8370000000000001E-3</v>
          </cell>
          <cell r="AG127">
            <v>-5.4299999999999997E-4</v>
          </cell>
          <cell r="AR127">
            <v>4.4755000000000003E-2</v>
          </cell>
          <cell r="BC127">
            <v>4.3084999999999998E-2</v>
          </cell>
          <cell r="BF127">
            <v>8.7840000000000015E-2</v>
          </cell>
        </row>
        <row r="128">
          <cell r="O128">
            <v>1.3664000000000001</v>
          </cell>
          <cell r="P128">
            <v>1.3817999999999999</v>
          </cell>
          <cell r="Q128">
            <v>1.3891</v>
          </cell>
          <cell r="U128">
            <v>-2.3372E-2</v>
          </cell>
          <cell r="V128">
            <v>-1.0793000000000001E-2</v>
          </cell>
          <cell r="W128">
            <v>-6.9230000000000003E-3</v>
          </cell>
          <cell r="Y128">
            <v>1.3664000000000001</v>
          </cell>
          <cell r="Z128">
            <v>1.3817999999999999</v>
          </cell>
          <cell r="AA128">
            <v>1.3891</v>
          </cell>
          <cell r="AE128">
            <v>-2.3372E-2</v>
          </cell>
          <cell r="AF128">
            <v>-1.0793000000000001E-2</v>
          </cell>
          <cell r="AG128">
            <v>-6.9230000000000003E-3</v>
          </cell>
          <cell r="AR128">
            <v>4.4755000000000003E-2</v>
          </cell>
          <cell r="BC128">
            <v>4.3084999999999998E-2</v>
          </cell>
          <cell r="BF128">
            <v>8.7840000000000015E-2</v>
          </cell>
        </row>
        <row r="129">
          <cell r="O129">
            <v>1.3664000000000001</v>
          </cell>
          <cell r="P129">
            <v>1.3805000000000001</v>
          </cell>
          <cell r="Q129">
            <v>1.3893</v>
          </cell>
          <cell r="U129">
            <v>-2.1007000000000001E-2</v>
          </cell>
          <cell r="V129">
            <v>-9.7689999999999999E-3</v>
          </cell>
          <cell r="W129">
            <v>-4.4889999999999999E-3</v>
          </cell>
          <cell r="Y129">
            <v>1.3664000000000001</v>
          </cell>
          <cell r="Z129">
            <v>1.3805000000000001</v>
          </cell>
          <cell r="AA129">
            <v>1.3893</v>
          </cell>
          <cell r="AE129">
            <v>-2.1007000000000001E-2</v>
          </cell>
          <cell r="AF129">
            <v>-9.7689999999999999E-3</v>
          </cell>
          <cell r="AG129">
            <v>-4.4889999999999999E-3</v>
          </cell>
          <cell r="AR129">
            <v>4.4755000000000003E-2</v>
          </cell>
          <cell r="BC129">
            <v>4.3084999999999998E-2</v>
          </cell>
          <cell r="BF129">
            <v>8.7840000000000015E-2</v>
          </cell>
        </row>
        <row r="130">
          <cell r="O130">
            <v>1.3664000000000001</v>
          </cell>
          <cell r="P130">
            <v>1.3815999999999999</v>
          </cell>
          <cell r="Q130">
            <v>1.3898999999999999</v>
          </cell>
          <cell r="U130">
            <v>-2.3491999999999999E-2</v>
          </cell>
          <cell r="V130">
            <v>-1.3176999999999999E-2</v>
          </cell>
          <cell r="W130">
            <v>-6.8849999999999996E-3</v>
          </cell>
          <cell r="Y130">
            <v>1.3664000000000001</v>
          </cell>
          <cell r="Z130">
            <v>1.3815999999999999</v>
          </cell>
          <cell r="AA130">
            <v>1.3898999999999999</v>
          </cell>
          <cell r="AE130">
            <v>-2.3491999999999999E-2</v>
          </cell>
          <cell r="AF130">
            <v>-1.3176999999999999E-2</v>
          </cell>
          <cell r="AG130">
            <v>-6.8849999999999996E-3</v>
          </cell>
          <cell r="AR130">
            <v>4.4755000000000003E-2</v>
          </cell>
          <cell r="BC130">
            <v>4.3084999999999998E-2</v>
          </cell>
          <cell r="BF130">
            <v>8.7840000000000015E-2</v>
          </cell>
        </row>
        <row r="131">
          <cell r="O131">
            <v>1.3664000000000001</v>
          </cell>
          <cell r="P131">
            <v>1.3825000000000001</v>
          </cell>
          <cell r="Q131">
            <v>1.3913</v>
          </cell>
          <cell r="U131">
            <v>-2.2227E-2</v>
          </cell>
          <cell r="V131">
            <v>-1.1183999999999999E-2</v>
          </cell>
          <cell r="W131">
            <v>-5.1440000000000001E-3</v>
          </cell>
          <cell r="Y131">
            <v>1.3664000000000001</v>
          </cell>
          <cell r="Z131">
            <v>1.3825000000000001</v>
          </cell>
          <cell r="AA131">
            <v>1.3913</v>
          </cell>
          <cell r="AE131">
            <v>-2.2227E-2</v>
          </cell>
          <cell r="AF131">
            <v>-1.1183999999999999E-2</v>
          </cell>
          <cell r="AG131">
            <v>-5.1440000000000001E-3</v>
          </cell>
          <cell r="AR131">
            <v>4.4755000000000003E-2</v>
          </cell>
          <cell r="BC131">
            <v>4.3084999999999998E-2</v>
          </cell>
          <cell r="BF131">
            <v>8.7840000000000015E-2</v>
          </cell>
        </row>
        <row r="132">
          <cell r="O132">
            <v>1.3664000000000001</v>
          </cell>
          <cell r="P132">
            <v>1.3853</v>
          </cell>
          <cell r="Q132">
            <v>1.3920999999999999</v>
          </cell>
          <cell r="U132">
            <v>-2.0271999999999998E-2</v>
          </cell>
          <cell r="V132">
            <v>-8.5719999999999998E-3</v>
          </cell>
          <cell r="W132">
            <v>-2.1770000000000001E-3</v>
          </cell>
          <cell r="Y132">
            <v>1.3664000000000001</v>
          </cell>
          <cell r="Z132">
            <v>1.3853</v>
          </cell>
          <cell r="AA132">
            <v>1.3920999999999999</v>
          </cell>
          <cell r="AE132">
            <v>-2.0271999999999998E-2</v>
          </cell>
          <cell r="AF132">
            <v>-8.5719999999999998E-3</v>
          </cell>
          <cell r="AG132">
            <v>-2.1770000000000001E-3</v>
          </cell>
          <cell r="AR132">
            <v>4.4755000000000003E-2</v>
          </cell>
          <cell r="BC132">
            <v>4.3084999999999998E-2</v>
          </cell>
          <cell r="BF132">
            <v>8.7840000000000015E-2</v>
          </cell>
        </row>
        <row r="133">
          <cell r="O133">
            <v>1.3664000000000001</v>
          </cell>
          <cell r="P133">
            <v>1.3889</v>
          </cell>
          <cell r="Q133">
            <v>1.3934</v>
          </cell>
          <cell r="U133">
            <v>-3.1220999999999999E-2</v>
          </cell>
          <cell r="V133">
            <v>-1.7468999999999998E-2</v>
          </cell>
          <cell r="W133">
            <v>-1.26E-2</v>
          </cell>
          <cell r="Y133">
            <v>1.3664000000000001</v>
          </cell>
          <cell r="Z133">
            <v>1.3889</v>
          </cell>
          <cell r="AA133">
            <v>1.3934</v>
          </cell>
          <cell r="AE133">
            <v>-3.1220999999999999E-2</v>
          </cell>
          <cell r="AF133">
            <v>-1.7468999999999998E-2</v>
          </cell>
          <cell r="AG133">
            <v>-1.26E-2</v>
          </cell>
          <cell r="AR133">
            <v>4.4755000000000003E-2</v>
          </cell>
          <cell r="BC133">
            <v>4.3084999999999998E-2</v>
          </cell>
          <cell r="BF133">
            <v>8.7840000000000015E-2</v>
          </cell>
        </row>
        <row r="134">
          <cell r="O134">
            <v>1.3664000000000001</v>
          </cell>
          <cell r="P134">
            <v>1.3940999999999999</v>
          </cell>
          <cell r="Q134">
            <v>1.3945000000000001</v>
          </cell>
          <cell r="U134">
            <v>-3.4660999999999997E-2</v>
          </cell>
          <cell r="V134">
            <v>-1.8291999999999999E-2</v>
          </cell>
          <cell r="W134">
            <v>-1.5094E-2</v>
          </cell>
          <cell r="Y134">
            <v>1.3664000000000001</v>
          </cell>
          <cell r="Z134">
            <v>1.3940999999999999</v>
          </cell>
          <cell r="AA134">
            <v>1.3945000000000001</v>
          </cell>
          <cell r="AE134">
            <v>-3.4660999999999997E-2</v>
          </cell>
          <cell r="AF134">
            <v>-1.8291999999999999E-2</v>
          </cell>
          <cell r="AG134">
            <v>-1.5094E-2</v>
          </cell>
          <cell r="AR134">
            <v>4.4755000000000003E-2</v>
          </cell>
          <cell r="BC134">
            <v>4.3084999999999998E-2</v>
          </cell>
          <cell r="BF134">
            <v>8.7840000000000015E-2</v>
          </cell>
        </row>
        <row r="135">
          <cell r="O135">
            <v>1.3664000000000001</v>
          </cell>
          <cell r="P135">
            <v>1.3956</v>
          </cell>
          <cell r="Q135">
            <v>1.3931</v>
          </cell>
          <cell r="U135">
            <v>-9.8150000000000008E-3</v>
          </cell>
          <cell r="V135">
            <v>1.0265E-2</v>
          </cell>
          <cell r="W135">
            <v>1.0522999999999999E-2</v>
          </cell>
          <cell r="Y135">
            <v>1.3664000000000001</v>
          </cell>
          <cell r="Z135">
            <v>1.3956</v>
          </cell>
          <cell r="AA135">
            <v>1.3931</v>
          </cell>
          <cell r="AE135">
            <v>-9.8150000000000008E-3</v>
          </cell>
          <cell r="AF135">
            <v>1.0265E-2</v>
          </cell>
          <cell r="AG135">
            <v>1.0522999999999999E-2</v>
          </cell>
          <cell r="AR135">
            <v>4.4755000000000003E-2</v>
          </cell>
          <cell r="BC135">
            <v>4.3084999999999998E-2</v>
          </cell>
          <cell r="BF135">
            <v>8.7840000000000015E-2</v>
          </cell>
        </row>
        <row r="136">
          <cell r="O136">
            <v>1.3664000000000001</v>
          </cell>
          <cell r="P136">
            <v>1.3958999999999999</v>
          </cell>
          <cell r="Q136">
            <v>1.3907</v>
          </cell>
          <cell r="U136">
            <v>-9.8029999999999992E-3</v>
          </cell>
          <cell r="V136">
            <v>1.1335E-2</v>
          </cell>
          <cell r="W136">
            <v>9.5460000000000007E-3</v>
          </cell>
          <cell r="Y136">
            <v>1.3664000000000001</v>
          </cell>
          <cell r="Z136">
            <v>1.3958999999999999</v>
          </cell>
          <cell r="AA136">
            <v>1.3907</v>
          </cell>
          <cell r="AE136">
            <v>-9.8029999999999992E-3</v>
          </cell>
          <cell r="AF136">
            <v>1.1335E-2</v>
          </cell>
          <cell r="AG136">
            <v>9.5460000000000007E-3</v>
          </cell>
          <cell r="AR136">
            <v>4.4755000000000003E-2</v>
          </cell>
          <cell r="BC136">
            <v>4.3084999999999998E-2</v>
          </cell>
          <cell r="BF136">
            <v>8.7840000000000015E-2</v>
          </cell>
        </row>
        <row r="137">
          <cell r="O137">
            <v>1.3664000000000001</v>
          </cell>
          <cell r="P137">
            <v>1.3949</v>
          </cell>
          <cell r="Q137">
            <v>1.3893</v>
          </cell>
          <cell r="U137">
            <v>-1.0479E-2</v>
          </cell>
          <cell r="V137">
            <v>1.0914E-2</v>
          </cell>
          <cell r="W137">
            <v>7.1970000000000003E-3</v>
          </cell>
          <cell r="Y137">
            <v>1.3664000000000001</v>
          </cell>
          <cell r="Z137">
            <v>1.3949</v>
          </cell>
          <cell r="AA137">
            <v>1.3893</v>
          </cell>
          <cell r="AE137">
            <v>-1.0479E-2</v>
          </cell>
          <cell r="AF137">
            <v>1.0914E-2</v>
          </cell>
          <cell r="AG137">
            <v>7.1970000000000003E-3</v>
          </cell>
          <cell r="AR137">
            <v>4.4755000000000003E-2</v>
          </cell>
          <cell r="BC137">
            <v>4.3084999999999998E-2</v>
          </cell>
          <cell r="BF137">
            <v>8.7840000000000015E-2</v>
          </cell>
        </row>
        <row r="138">
          <cell r="O138">
            <v>1.3664000000000001</v>
          </cell>
          <cell r="P138">
            <v>1.3943000000000001</v>
          </cell>
          <cell r="Q138">
            <v>1.3880999999999999</v>
          </cell>
          <cell r="U138">
            <v>-1.9056E-2</v>
          </cell>
          <cell r="V138">
            <v>1.6119999999999999E-3</v>
          </cell>
          <cell r="W138">
            <v>-2.4239999999999999E-3</v>
          </cell>
          <cell r="Y138">
            <v>1.3664000000000001</v>
          </cell>
          <cell r="Z138">
            <v>1.3943000000000001</v>
          </cell>
          <cell r="AA138">
            <v>1.3880999999999999</v>
          </cell>
          <cell r="AE138">
            <v>-1.9056E-2</v>
          </cell>
          <cell r="AF138">
            <v>1.6119999999999999E-3</v>
          </cell>
          <cell r="AG138">
            <v>-2.4239999999999999E-3</v>
          </cell>
          <cell r="AR138">
            <v>4.4755000000000003E-2</v>
          </cell>
          <cell r="BC138">
            <v>4.3084999999999998E-2</v>
          </cell>
          <cell r="BF138">
            <v>8.7840000000000015E-2</v>
          </cell>
        </row>
        <row r="139">
          <cell r="O139">
            <v>1.3664000000000001</v>
          </cell>
          <cell r="P139">
            <v>1.3949</v>
          </cell>
          <cell r="Q139">
            <v>1.3876999999999999</v>
          </cell>
          <cell r="U139">
            <v>-2.4905E-2</v>
          </cell>
          <cell r="V139">
            <v>-4.6680000000000003E-3</v>
          </cell>
          <cell r="W139">
            <v>-9.1570000000000002E-3</v>
          </cell>
          <cell r="Y139">
            <v>1.3664000000000001</v>
          </cell>
          <cell r="Z139">
            <v>1.3949</v>
          </cell>
          <cell r="AA139">
            <v>1.3876999999999999</v>
          </cell>
          <cell r="AE139">
            <v>-2.4905E-2</v>
          </cell>
          <cell r="AF139">
            <v>-4.6680000000000003E-3</v>
          </cell>
          <cell r="AG139">
            <v>-9.1570000000000002E-3</v>
          </cell>
          <cell r="AR139">
            <v>4.4755000000000003E-2</v>
          </cell>
          <cell r="BC139">
            <v>4.3084999999999998E-2</v>
          </cell>
          <cell r="BF139">
            <v>8.7840000000000015E-2</v>
          </cell>
        </row>
        <row r="140">
          <cell r="O140">
            <v>1.3664000000000001</v>
          </cell>
          <cell r="P140">
            <v>1.3948</v>
          </cell>
          <cell r="Q140">
            <v>1.3882000000000001</v>
          </cell>
          <cell r="U140">
            <v>-2.3393000000000001E-2</v>
          </cell>
          <cell r="V140">
            <v>-2.7659999999999998E-3</v>
          </cell>
          <cell r="W140">
            <v>-7.9089999999999994E-3</v>
          </cell>
          <cell r="Y140">
            <v>1.3664000000000001</v>
          </cell>
          <cell r="Z140">
            <v>1.3948</v>
          </cell>
          <cell r="AA140">
            <v>1.3882000000000001</v>
          </cell>
          <cell r="AE140">
            <v>-2.3393000000000001E-2</v>
          </cell>
          <cell r="AF140">
            <v>-2.7659999999999998E-3</v>
          </cell>
          <cell r="AG140">
            <v>-7.9089999999999994E-3</v>
          </cell>
          <cell r="AR140">
            <v>4.4755000000000003E-2</v>
          </cell>
          <cell r="BC140">
            <v>4.3084999999999998E-2</v>
          </cell>
          <cell r="BF140">
            <v>8.7840000000000015E-2</v>
          </cell>
        </row>
        <row r="141">
          <cell r="O141">
            <v>1.3664000000000001</v>
          </cell>
          <cell r="P141">
            <v>1.3944000000000001</v>
          </cell>
          <cell r="Q141">
            <v>1.3884000000000001</v>
          </cell>
          <cell r="U141">
            <v>-1.9310999999999998E-2</v>
          </cell>
          <cell r="V141">
            <v>1.307E-3</v>
          </cell>
          <cell r="W141">
            <v>-3.4689999999999999E-3</v>
          </cell>
          <cell r="Y141">
            <v>1.3664000000000001</v>
          </cell>
          <cell r="Z141">
            <v>1.3944000000000001</v>
          </cell>
          <cell r="AA141">
            <v>1.3884000000000001</v>
          </cell>
          <cell r="AE141">
            <v>-1.9310999999999998E-2</v>
          </cell>
          <cell r="AF141">
            <v>1.307E-3</v>
          </cell>
          <cell r="AG141">
            <v>-3.4689999999999999E-3</v>
          </cell>
          <cell r="AR141">
            <v>4.4755000000000003E-2</v>
          </cell>
          <cell r="BC141">
            <v>4.3084999999999998E-2</v>
          </cell>
          <cell r="BF141">
            <v>8.7840000000000015E-2</v>
          </cell>
        </row>
        <row r="142">
          <cell r="O142">
            <v>1.3664000000000001</v>
          </cell>
          <cell r="P142">
            <v>1.3945000000000001</v>
          </cell>
          <cell r="Q142">
            <v>1.3898999999999999</v>
          </cell>
          <cell r="U142">
            <v>-2.0813000000000002E-2</v>
          </cell>
          <cell r="V142">
            <v>-4.8799999999999999E-4</v>
          </cell>
          <cell r="W142">
            <v>-4.7910000000000001E-3</v>
          </cell>
          <cell r="Y142">
            <v>1.3664000000000001</v>
          </cell>
          <cell r="Z142">
            <v>1.3945000000000001</v>
          </cell>
          <cell r="AA142">
            <v>1.3898999999999999</v>
          </cell>
          <cell r="AE142">
            <v>-2.0813000000000002E-2</v>
          </cell>
          <cell r="AF142">
            <v>-4.8799999999999999E-4</v>
          </cell>
          <cell r="AG142">
            <v>-4.7910000000000001E-3</v>
          </cell>
          <cell r="AR142">
            <v>4.4755000000000003E-2</v>
          </cell>
          <cell r="BC142">
            <v>4.3084999999999998E-2</v>
          </cell>
          <cell r="BF142">
            <v>8.7840000000000015E-2</v>
          </cell>
        </row>
        <row r="143">
          <cell r="O143">
            <v>1.3664000000000001</v>
          </cell>
          <cell r="P143">
            <v>1.3915</v>
          </cell>
          <cell r="Q143">
            <v>1.3902000000000001</v>
          </cell>
          <cell r="U143">
            <v>-9.5680000000000001E-3</v>
          </cell>
          <cell r="V143">
            <v>1.0810999999999999E-2</v>
          </cell>
          <cell r="W143">
            <v>7.5030000000000001E-3</v>
          </cell>
          <cell r="Y143">
            <v>1.3664000000000001</v>
          </cell>
          <cell r="Z143">
            <v>1.3915</v>
          </cell>
          <cell r="AA143">
            <v>1.3902000000000001</v>
          </cell>
          <cell r="AE143">
            <v>-9.5680000000000001E-3</v>
          </cell>
          <cell r="AF143">
            <v>1.0810999999999999E-2</v>
          </cell>
          <cell r="AG143">
            <v>7.5030000000000001E-3</v>
          </cell>
          <cell r="AR143">
            <v>4.4755000000000003E-2</v>
          </cell>
          <cell r="BC143">
            <v>4.3084999999999998E-2</v>
          </cell>
          <cell r="BF143">
            <v>8.7840000000000015E-2</v>
          </cell>
        </row>
        <row r="144">
          <cell r="O144">
            <v>1.3664000000000001</v>
          </cell>
          <cell r="P144">
            <v>1.3855999999999999</v>
          </cell>
          <cell r="Q144">
            <v>1.3898999999999999</v>
          </cell>
          <cell r="U144">
            <v>7.7889999999999999E-3</v>
          </cell>
          <cell r="V144">
            <v>2.6001E-2</v>
          </cell>
          <cell r="W144">
            <v>2.5080000000000002E-2</v>
          </cell>
          <cell r="Y144">
            <v>1.3664000000000001</v>
          </cell>
          <cell r="Z144">
            <v>1.3855999999999999</v>
          </cell>
          <cell r="AA144">
            <v>1.3898999999999999</v>
          </cell>
          <cell r="AE144">
            <v>7.7889999999999999E-3</v>
          </cell>
          <cell r="AF144">
            <v>2.6001E-2</v>
          </cell>
          <cell r="AG144">
            <v>2.5080000000000002E-2</v>
          </cell>
          <cell r="AR144">
            <v>4.4755000000000003E-2</v>
          </cell>
          <cell r="BC144">
            <v>4.3084999999999998E-2</v>
          </cell>
          <cell r="BF144">
            <v>8.7840000000000015E-2</v>
          </cell>
        </row>
        <row r="145">
          <cell r="O145">
            <v>1.3664000000000001</v>
          </cell>
          <cell r="P145">
            <v>1.3855999999999999</v>
          </cell>
          <cell r="Q145">
            <v>1.3906000000000001</v>
          </cell>
          <cell r="U145">
            <v>-9.894E-3</v>
          </cell>
          <cell r="V145">
            <v>4.084E-3</v>
          </cell>
          <cell r="W145">
            <v>7.1399999999999996E-3</v>
          </cell>
          <cell r="Y145">
            <v>1.3664000000000001</v>
          </cell>
          <cell r="Z145">
            <v>1.3855999999999999</v>
          </cell>
          <cell r="AA145">
            <v>1.3906000000000001</v>
          </cell>
          <cell r="AE145">
            <v>-9.894E-3</v>
          </cell>
          <cell r="AF145">
            <v>4.084E-3</v>
          </cell>
          <cell r="AG145">
            <v>7.1399999999999996E-3</v>
          </cell>
          <cell r="AR145">
            <v>4.4755000000000003E-2</v>
          </cell>
          <cell r="BC145">
            <v>6.0768000000000003E-2</v>
          </cell>
          <cell r="BF145">
            <v>0.10552300000000002</v>
          </cell>
        </row>
        <row r="146">
          <cell r="O146">
            <v>1.3664000000000001</v>
          </cell>
          <cell r="P146">
            <v>1.3855999999999999</v>
          </cell>
          <cell r="Q146">
            <v>1.3907</v>
          </cell>
          <cell r="U146">
            <v>-9.4289999999999999E-3</v>
          </cell>
          <cell r="V146">
            <v>4.5560000000000002E-3</v>
          </cell>
          <cell r="W146">
            <v>8.1390000000000004E-3</v>
          </cell>
          <cell r="Y146">
            <v>1.3664000000000001</v>
          </cell>
          <cell r="Z146">
            <v>1.3855999999999999</v>
          </cell>
          <cell r="AA146">
            <v>1.3907</v>
          </cell>
          <cell r="AE146">
            <v>-9.4289999999999999E-3</v>
          </cell>
          <cell r="AF146">
            <v>4.5560000000000002E-3</v>
          </cell>
          <cell r="AG146">
            <v>8.1390000000000004E-3</v>
          </cell>
          <cell r="AR146">
            <v>4.4755000000000003E-2</v>
          </cell>
          <cell r="BC146">
            <v>6.0304000000000003E-2</v>
          </cell>
          <cell r="BF146">
            <v>0.10505900000000001</v>
          </cell>
        </row>
        <row r="147">
          <cell r="O147">
            <v>1.3664000000000001</v>
          </cell>
          <cell r="P147">
            <v>1.3851</v>
          </cell>
          <cell r="Q147">
            <v>1.39</v>
          </cell>
          <cell r="U147">
            <v>-7.1650000000000004E-3</v>
          </cell>
          <cell r="V147">
            <v>6.783E-3</v>
          </cell>
          <cell r="W147">
            <v>1.0513E-2</v>
          </cell>
          <cell r="Y147">
            <v>1.3664000000000001</v>
          </cell>
          <cell r="Z147">
            <v>1.3851</v>
          </cell>
          <cell r="AA147">
            <v>1.39</v>
          </cell>
          <cell r="AE147">
            <v>-7.1650000000000004E-3</v>
          </cell>
          <cell r="AF147">
            <v>6.783E-3</v>
          </cell>
          <cell r="AG147">
            <v>1.0513E-2</v>
          </cell>
          <cell r="AR147">
            <v>4.4755000000000003E-2</v>
          </cell>
          <cell r="BC147">
            <v>5.8039000000000007E-2</v>
          </cell>
          <cell r="BF147">
            <v>0.10279400000000001</v>
          </cell>
        </row>
        <row r="148">
          <cell r="O148">
            <v>1.3664000000000001</v>
          </cell>
          <cell r="P148">
            <v>1.3837999999999999</v>
          </cell>
          <cell r="Q148">
            <v>1.389</v>
          </cell>
          <cell r="U148">
            <v>-9.2680000000000002E-3</v>
          </cell>
          <cell r="V148">
            <v>4.3509999999999998E-3</v>
          </cell>
          <cell r="W148">
            <v>7.8820000000000001E-3</v>
          </cell>
          <cell r="Y148">
            <v>1.3664000000000001</v>
          </cell>
          <cell r="Z148">
            <v>1.3837999999999999</v>
          </cell>
          <cell r="AA148">
            <v>1.389</v>
          </cell>
          <cell r="AE148">
            <v>-9.2680000000000002E-3</v>
          </cell>
          <cell r="AF148">
            <v>4.3509999999999998E-3</v>
          </cell>
          <cell r="AG148">
            <v>7.8820000000000001E-3</v>
          </cell>
          <cell r="AR148">
            <v>4.4755000000000003E-2</v>
          </cell>
          <cell r="BC148">
            <v>6.0142000000000008E-2</v>
          </cell>
          <cell r="BF148">
            <v>0.10489700000000002</v>
          </cell>
        </row>
        <row r="149">
          <cell r="O149">
            <v>1.3664000000000001</v>
          </cell>
          <cell r="P149">
            <v>1.3826000000000001</v>
          </cell>
          <cell r="Q149">
            <v>1.3888</v>
          </cell>
          <cell r="U149">
            <v>-1.6936E-2</v>
          </cell>
          <cell r="V149">
            <v>-4.2969999999999996E-3</v>
          </cell>
          <cell r="W149">
            <v>-4.9100000000000001E-4</v>
          </cell>
          <cell r="Y149">
            <v>1.3664000000000001</v>
          </cell>
          <cell r="Z149">
            <v>1.3826000000000001</v>
          </cell>
          <cell r="AA149">
            <v>1.3888</v>
          </cell>
          <cell r="AE149">
            <v>-1.6936E-2</v>
          </cell>
          <cell r="AF149">
            <v>-4.2969999999999996E-3</v>
          </cell>
          <cell r="AG149">
            <v>-4.9100000000000001E-4</v>
          </cell>
          <cell r="AR149">
            <v>4.4755000000000003E-2</v>
          </cell>
          <cell r="BC149">
            <v>6.7810000000000009E-2</v>
          </cell>
          <cell r="BF149">
            <v>0.11256500000000001</v>
          </cell>
        </row>
        <row r="150">
          <cell r="O150">
            <v>1.3664000000000001</v>
          </cell>
          <cell r="P150">
            <v>1.3816999999999999</v>
          </cell>
          <cell r="Q150">
            <v>1.3883000000000001</v>
          </cell>
          <cell r="U150">
            <v>-1.6743999999999998E-2</v>
          </cell>
          <cell r="V150">
            <v>-4.9090000000000002E-3</v>
          </cell>
          <cell r="W150">
            <v>-5.0299999999999997E-4</v>
          </cell>
          <cell r="Y150">
            <v>1.3664000000000001</v>
          </cell>
          <cell r="Z150">
            <v>1.3816999999999999</v>
          </cell>
          <cell r="AA150">
            <v>1.3883000000000001</v>
          </cell>
          <cell r="AE150">
            <v>-1.6743999999999998E-2</v>
          </cell>
          <cell r="AF150">
            <v>-4.9090000000000002E-3</v>
          </cell>
          <cell r="AG150">
            <v>-5.0299999999999997E-4</v>
          </cell>
          <cell r="AR150">
            <v>4.4755000000000003E-2</v>
          </cell>
          <cell r="BC150">
            <v>6.7810000000000009E-2</v>
          </cell>
          <cell r="BF150">
            <v>0.11256500000000001</v>
          </cell>
        </row>
        <row r="151">
          <cell r="O151">
            <v>1.3664000000000001</v>
          </cell>
          <cell r="P151">
            <v>1.3818999999999999</v>
          </cell>
          <cell r="Q151">
            <v>1.3882000000000001</v>
          </cell>
          <cell r="U151">
            <v>-2.0747999999999999E-2</v>
          </cell>
          <cell r="V151">
            <v>-9.5840000000000005E-3</v>
          </cell>
          <cell r="W151">
            <v>-4.8469999999999997E-3</v>
          </cell>
          <cell r="Y151">
            <v>1.3664000000000001</v>
          </cell>
          <cell r="Z151">
            <v>1.3818999999999999</v>
          </cell>
          <cell r="AA151">
            <v>1.3882000000000001</v>
          </cell>
          <cell r="AE151">
            <v>-2.0747999999999999E-2</v>
          </cell>
          <cell r="AF151">
            <v>-9.5840000000000005E-3</v>
          </cell>
          <cell r="AG151">
            <v>-4.8469999999999997E-3</v>
          </cell>
          <cell r="AR151">
            <v>4.4755000000000003E-2</v>
          </cell>
          <cell r="BC151">
            <v>6.7810000000000009E-2</v>
          </cell>
          <cell r="BF151">
            <v>0.11256500000000001</v>
          </cell>
        </row>
        <row r="152">
          <cell r="O152">
            <v>1.3664000000000001</v>
          </cell>
          <cell r="P152">
            <v>1.3823000000000001</v>
          </cell>
          <cell r="Q152">
            <v>1.3884000000000001</v>
          </cell>
          <cell r="U152">
            <v>-2.3837000000000001E-2</v>
          </cell>
          <cell r="V152">
            <v>-1.2527999999999999E-2</v>
          </cell>
          <cell r="W152">
            <v>-8.0099999999999998E-3</v>
          </cell>
          <cell r="Y152">
            <v>1.3664000000000001</v>
          </cell>
          <cell r="Z152">
            <v>1.3823000000000001</v>
          </cell>
          <cell r="AA152">
            <v>1.3884000000000001</v>
          </cell>
          <cell r="AE152">
            <v>-2.3837000000000001E-2</v>
          </cell>
          <cell r="AF152">
            <v>-1.2527999999999999E-2</v>
          </cell>
          <cell r="AG152">
            <v>-8.0099999999999998E-3</v>
          </cell>
          <cell r="AR152">
            <v>4.4755000000000003E-2</v>
          </cell>
          <cell r="BC152">
            <v>6.7810000000000009E-2</v>
          </cell>
          <cell r="BF152">
            <v>0.11256500000000001</v>
          </cell>
        </row>
        <row r="153">
          <cell r="O153">
            <v>1.3664000000000001</v>
          </cell>
          <cell r="P153">
            <v>1.3836999999999999</v>
          </cell>
          <cell r="Q153">
            <v>1.3875999999999999</v>
          </cell>
          <cell r="U153">
            <v>-1.9698E-2</v>
          </cell>
          <cell r="V153">
            <v>-8.0820000000000006E-3</v>
          </cell>
          <cell r="W153">
            <v>-3.6909999999999998E-3</v>
          </cell>
          <cell r="Y153">
            <v>1.3664000000000001</v>
          </cell>
          <cell r="Z153">
            <v>1.3836999999999999</v>
          </cell>
          <cell r="AA153">
            <v>1.3875999999999999</v>
          </cell>
          <cell r="AE153">
            <v>-1.9698E-2</v>
          </cell>
          <cell r="AF153">
            <v>-8.0820000000000006E-3</v>
          </cell>
          <cell r="AG153">
            <v>-3.6909999999999998E-3</v>
          </cell>
          <cell r="AR153">
            <v>4.4755000000000003E-2</v>
          </cell>
          <cell r="BC153">
            <v>6.7810000000000009E-2</v>
          </cell>
          <cell r="BF153">
            <v>0.11256500000000001</v>
          </cell>
        </row>
        <row r="154">
          <cell r="O154">
            <v>1.3664000000000001</v>
          </cell>
          <cell r="P154">
            <v>1.3879999999999999</v>
          </cell>
          <cell r="Q154">
            <v>1.3868</v>
          </cell>
          <cell r="U154">
            <v>-2.3220999999999999E-2</v>
          </cell>
          <cell r="V154">
            <v>-1.059E-2</v>
          </cell>
          <cell r="W154">
            <v>-7.7949999999999998E-3</v>
          </cell>
          <cell r="Y154">
            <v>1.3664000000000001</v>
          </cell>
          <cell r="Z154">
            <v>1.3879999999999999</v>
          </cell>
          <cell r="AA154">
            <v>1.3868</v>
          </cell>
          <cell r="AE154">
            <v>-2.3220999999999999E-2</v>
          </cell>
          <cell r="AF154">
            <v>-1.059E-2</v>
          </cell>
          <cell r="AG154">
            <v>-7.7949999999999998E-3</v>
          </cell>
          <cell r="AR154">
            <v>4.4755000000000003E-2</v>
          </cell>
          <cell r="BC154">
            <v>6.7810000000000009E-2</v>
          </cell>
          <cell r="BF154">
            <v>0.11256500000000001</v>
          </cell>
        </row>
        <row r="155">
          <cell r="O155">
            <v>1.3664000000000001</v>
          </cell>
          <cell r="P155">
            <v>1.389</v>
          </cell>
          <cell r="Q155">
            <v>1.3873</v>
          </cell>
          <cell r="U155">
            <v>-1.6636000000000001E-2</v>
          </cell>
          <cell r="V155">
            <v>-9.2400000000000002E-4</v>
          </cell>
          <cell r="W155">
            <v>-1.7910000000000001E-3</v>
          </cell>
          <cell r="Y155">
            <v>1.3664000000000001</v>
          </cell>
          <cell r="Z155">
            <v>1.389</v>
          </cell>
          <cell r="AA155">
            <v>1.3873</v>
          </cell>
          <cell r="AE155">
            <v>-1.6636000000000001E-2</v>
          </cell>
          <cell r="AF155">
            <v>-9.2400000000000002E-4</v>
          </cell>
          <cell r="AG155">
            <v>-1.7910000000000001E-3</v>
          </cell>
          <cell r="AR155">
            <v>4.4755000000000003E-2</v>
          </cell>
          <cell r="BC155">
            <v>6.7810000000000009E-2</v>
          </cell>
          <cell r="BF155">
            <v>0.11256500000000001</v>
          </cell>
        </row>
        <row r="156">
          <cell r="O156">
            <v>1.3664000000000001</v>
          </cell>
          <cell r="P156">
            <v>1.3900999999999999</v>
          </cell>
          <cell r="Q156">
            <v>1.3877999999999999</v>
          </cell>
          <cell r="U156">
            <v>-1.7828E-2</v>
          </cell>
          <cell r="V156">
            <v>-1.444E-3</v>
          </cell>
          <cell r="W156">
            <v>-2.643E-3</v>
          </cell>
          <cell r="Y156">
            <v>1.3664000000000001</v>
          </cell>
          <cell r="Z156">
            <v>1.3900999999999999</v>
          </cell>
          <cell r="AA156">
            <v>1.3877999999999999</v>
          </cell>
          <cell r="AE156">
            <v>-1.7828E-2</v>
          </cell>
          <cell r="AF156">
            <v>-1.444E-3</v>
          </cell>
          <cell r="AG156">
            <v>-2.643E-3</v>
          </cell>
          <cell r="AR156">
            <v>4.4755000000000003E-2</v>
          </cell>
          <cell r="BC156">
            <v>6.7810000000000009E-2</v>
          </cell>
          <cell r="BF156">
            <v>0.11256500000000001</v>
          </cell>
        </row>
        <row r="157">
          <cell r="O157">
            <v>1.3664000000000001</v>
          </cell>
          <cell r="P157">
            <v>1.3922000000000001</v>
          </cell>
          <cell r="Q157">
            <v>1.3887</v>
          </cell>
          <cell r="U157">
            <v>-2.2154E-2</v>
          </cell>
          <cell r="V157">
            <v>-4.9329999999999999E-3</v>
          </cell>
          <cell r="W157">
            <v>-6.5680000000000001E-3</v>
          </cell>
          <cell r="Y157">
            <v>1.3664000000000001</v>
          </cell>
          <cell r="Z157">
            <v>1.3922000000000001</v>
          </cell>
          <cell r="AA157">
            <v>1.3887</v>
          </cell>
          <cell r="AE157">
            <v>-2.2154E-2</v>
          </cell>
          <cell r="AF157">
            <v>-4.9329999999999999E-3</v>
          </cell>
          <cell r="AG157">
            <v>-6.5680000000000001E-3</v>
          </cell>
          <cell r="AR157">
            <v>4.4755000000000003E-2</v>
          </cell>
          <cell r="BC157">
            <v>6.7810000000000009E-2</v>
          </cell>
          <cell r="BF157">
            <v>0.11256500000000001</v>
          </cell>
        </row>
        <row r="158">
          <cell r="O158">
            <v>1.3664000000000001</v>
          </cell>
          <cell r="P158">
            <v>1.3944000000000001</v>
          </cell>
          <cell r="Q158">
            <v>1.3891</v>
          </cell>
          <cell r="U158">
            <v>-2.4813000000000002E-2</v>
          </cell>
          <cell r="V158">
            <v>-6.0980000000000001E-3</v>
          </cell>
          <cell r="W158">
            <v>-8.6429999999999996E-3</v>
          </cell>
          <cell r="Y158">
            <v>1.3664000000000001</v>
          </cell>
          <cell r="Z158">
            <v>1.3944000000000001</v>
          </cell>
          <cell r="AA158">
            <v>1.3891</v>
          </cell>
          <cell r="AE158">
            <v>-2.4813000000000002E-2</v>
          </cell>
          <cell r="AF158">
            <v>-6.0980000000000001E-3</v>
          </cell>
          <cell r="AG158">
            <v>-8.6429999999999996E-3</v>
          </cell>
          <cell r="AR158">
            <v>4.4755000000000003E-2</v>
          </cell>
          <cell r="BC158">
            <v>6.7810000000000009E-2</v>
          </cell>
          <cell r="BF158">
            <v>0.11256500000000001</v>
          </cell>
        </row>
        <row r="159">
          <cell r="O159">
            <v>1.3664000000000001</v>
          </cell>
          <cell r="P159">
            <v>1.395</v>
          </cell>
          <cell r="Q159">
            <v>1.3888</v>
          </cell>
          <cell r="U159">
            <v>-2.1638000000000001E-2</v>
          </cell>
          <cell r="V159">
            <v>-1.372E-3</v>
          </cell>
          <cell r="W159">
            <v>-5.1780000000000003E-3</v>
          </cell>
          <cell r="Y159">
            <v>1.3664000000000001</v>
          </cell>
          <cell r="Z159">
            <v>1.395</v>
          </cell>
          <cell r="AA159">
            <v>1.3888</v>
          </cell>
          <cell r="AE159">
            <v>-2.1638000000000001E-2</v>
          </cell>
          <cell r="AF159">
            <v>-1.372E-3</v>
          </cell>
          <cell r="AG159">
            <v>-5.1780000000000003E-3</v>
          </cell>
          <cell r="AR159">
            <v>4.4755000000000003E-2</v>
          </cell>
          <cell r="BC159">
            <v>6.7810000000000009E-2</v>
          </cell>
          <cell r="BF159">
            <v>0.11256500000000001</v>
          </cell>
        </row>
        <row r="160">
          <cell r="O160">
            <v>1.3664000000000001</v>
          </cell>
          <cell r="P160">
            <v>1.3942000000000001</v>
          </cell>
          <cell r="Q160">
            <v>1.3879999999999999</v>
          </cell>
          <cell r="U160">
            <v>-1.0808999999999999E-2</v>
          </cell>
          <cell r="V160">
            <v>9.9260000000000008E-3</v>
          </cell>
          <cell r="W160">
            <v>5.4860000000000004E-3</v>
          </cell>
          <cell r="Y160">
            <v>1.3664000000000001</v>
          </cell>
          <cell r="Z160">
            <v>1.3942000000000001</v>
          </cell>
          <cell r="AA160">
            <v>1.3879999999999999</v>
          </cell>
          <cell r="AE160">
            <v>-1.0808999999999999E-2</v>
          </cell>
          <cell r="AF160">
            <v>9.9260000000000008E-3</v>
          </cell>
          <cell r="AG160">
            <v>5.4860000000000004E-3</v>
          </cell>
          <cell r="AR160">
            <v>4.4755000000000003E-2</v>
          </cell>
          <cell r="BC160">
            <v>6.7810000000000009E-2</v>
          </cell>
          <cell r="BF160">
            <v>0.11256500000000001</v>
          </cell>
        </row>
        <row r="161">
          <cell r="O161">
            <v>1.3664000000000001</v>
          </cell>
          <cell r="P161">
            <v>1.3937999999999999</v>
          </cell>
          <cell r="Q161">
            <v>1.3878999999999999</v>
          </cell>
          <cell r="U161">
            <v>-1.7885999999999999E-2</v>
          </cell>
          <cell r="V161">
            <v>2.2599999999999999E-3</v>
          </cell>
          <cell r="W161">
            <v>-2.2209999999999999E-3</v>
          </cell>
          <cell r="Y161">
            <v>1.3664000000000001</v>
          </cell>
          <cell r="Z161">
            <v>1.3937999999999999</v>
          </cell>
          <cell r="AA161">
            <v>1.3878999999999999</v>
          </cell>
          <cell r="AE161">
            <v>-1.7885999999999999E-2</v>
          </cell>
          <cell r="AF161">
            <v>2.2599999999999999E-3</v>
          </cell>
          <cell r="AG161">
            <v>-2.2209999999999999E-3</v>
          </cell>
          <cell r="AR161">
            <v>4.4755000000000003E-2</v>
          </cell>
          <cell r="BC161">
            <v>6.7810000000000009E-2</v>
          </cell>
          <cell r="BF161">
            <v>0.11256500000000001</v>
          </cell>
        </row>
        <row r="162">
          <cell r="O162">
            <v>1.3664000000000001</v>
          </cell>
          <cell r="P162">
            <v>1.3935999999999999</v>
          </cell>
          <cell r="Q162">
            <v>1.3879999999999999</v>
          </cell>
          <cell r="U162">
            <v>-2.2686000000000001E-2</v>
          </cell>
          <cell r="V162">
            <v>-2.826E-3</v>
          </cell>
          <cell r="W162">
            <v>-7.0920000000000002E-3</v>
          </cell>
          <cell r="Y162">
            <v>1.3664000000000001</v>
          </cell>
          <cell r="Z162">
            <v>1.3935999999999999</v>
          </cell>
          <cell r="AA162">
            <v>1.3879999999999999</v>
          </cell>
          <cell r="AE162">
            <v>-2.2686000000000001E-2</v>
          </cell>
          <cell r="AF162">
            <v>-2.826E-3</v>
          </cell>
          <cell r="AG162">
            <v>-7.0920000000000002E-3</v>
          </cell>
          <cell r="AR162">
            <v>4.4755000000000003E-2</v>
          </cell>
          <cell r="BC162">
            <v>6.7810000000000009E-2</v>
          </cell>
          <cell r="BF162">
            <v>0.11256500000000001</v>
          </cell>
        </row>
        <row r="163">
          <cell r="O163">
            <v>1.3664000000000001</v>
          </cell>
          <cell r="P163">
            <v>1.3952</v>
          </cell>
          <cell r="Q163">
            <v>1.3895</v>
          </cell>
          <cell r="U163">
            <v>-3.1213000000000001E-2</v>
          </cell>
          <cell r="V163">
            <v>-1.1469E-2</v>
          </cell>
          <cell r="W163">
            <v>-1.5525000000000001E-2</v>
          </cell>
          <cell r="Y163">
            <v>1.3664000000000001</v>
          </cell>
          <cell r="Z163">
            <v>1.3952</v>
          </cell>
          <cell r="AA163">
            <v>1.3895</v>
          </cell>
          <cell r="AE163">
            <v>-3.1213000000000001E-2</v>
          </cell>
          <cell r="AF163">
            <v>-1.1469E-2</v>
          </cell>
          <cell r="AG163">
            <v>-1.5525000000000001E-2</v>
          </cell>
          <cell r="AR163">
            <v>4.4755000000000003E-2</v>
          </cell>
          <cell r="BC163">
            <v>6.7810000000000009E-2</v>
          </cell>
          <cell r="BF163">
            <v>0.11256500000000001</v>
          </cell>
        </row>
        <row r="164">
          <cell r="O164">
            <v>1.3664000000000001</v>
          </cell>
          <cell r="P164">
            <v>1.3958999999999999</v>
          </cell>
          <cell r="Q164">
            <v>1.3919999999999999</v>
          </cell>
          <cell r="U164">
            <v>-2.7836E-2</v>
          </cell>
          <cell r="V164">
            <v>-6.9340000000000001E-3</v>
          </cell>
          <cell r="W164">
            <v>-1.1061E-2</v>
          </cell>
          <cell r="Y164">
            <v>1.3664000000000001</v>
          </cell>
          <cell r="Z164">
            <v>1.3958999999999999</v>
          </cell>
          <cell r="AA164">
            <v>1.3919999999999999</v>
          </cell>
          <cell r="AE164">
            <v>-2.7836E-2</v>
          </cell>
          <cell r="AF164">
            <v>-6.9340000000000001E-3</v>
          </cell>
          <cell r="AG164">
            <v>-1.1061E-2</v>
          </cell>
          <cell r="AR164">
            <v>4.4755000000000003E-2</v>
          </cell>
          <cell r="BC164">
            <v>6.7810000000000009E-2</v>
          </cell>
          <cell r="BF164">
            <v>0.11256500000000001</v>
          </cell>
        </row>
        <row r="165">
          <cell r="O165">
            <v>1.3664000000000001</v>
          </cell>
          <cell r="P165">
            <v>1.3972</v>
          </cell>
          <cell r="Q165">
            <v>1.3931</v>
          </cell>
          <cell r="U165">
            <v>-2.631E-2</v>
          </cell>
          <cell r="V165">
            <v>-4.9439999999999996E-3</v>
          </cell>
          <cell r="W165">
            <v>-7.7669999999999996E-3</v>
          </cell>
          <cell r="Y165">
            <v>1.3664000000000001</v>
          </cell>
          <cell r="Z165">
            <v>1.3972</v>
          </cell>
          <cell r="AA165">
            <v>1.3931</v>
          </cell>
          <cell r="AE165">
            <v>-2.631E-2</v>
          </cell>
          <cell r="AF165">
            <v>-4.9439999999999996E-3</v>
          </cell>
          <cell r="AG165">
            <v>-7.7669999999999996E-3</v>
          </cell>
          <cell r="AR165">
            <v>4.4755000000000003E-2</v>
          </cell>
          <cell r="BC165">
            <v>6.7810000000000009E-2</v>
          </cell>
          <cell r="BF165">
            <v>0.11256500000000001</v>
          </cell>
        </row>
        <row r="166">
          <cell r="O166">
            <v>1.3664000000000001</v>
          </cell>
          <cell r="P166">
            <v>1.3988</v>
          </cell>
          <cell r="Q166">
            <v>1.3944000000000001</v>
          </cell>
          <cell r="U166">
            <v>-2.8846E-2</v>
          </cell>
          <cell r="V166">
            <v>-6.5139999999999998E-3</v>
          </cell>
          <cell r="W166">
            <v>-9.4830000000000001E-3</v>
          </cell>
          <cell r="Y166">
            <v>1.3664000000000001</v>
          </cell>
          <cell r="Z166">
            <v>1.3988</v>
          </cell>
          <cell r="AA166">
            <v>1.3944000000000001</v>
          </cell>
          <cell r="AE166">
            <v>-2.8846E-2</v>
          </cell>
          <cell r="AF166">
            <v>-6.5139999999999998E-3</v>
          </cell>
          <cell r="AG166">
            <v>-9.4830000000000001E-3</v>
          </cell>
          <cell r="AR166">
            <v>4.4755000000000003E-2</v>
          </cell>
          <cell r="BC166">
            <v>6.7810000000000009E-2</v>
          </cell>
          <cell r="BF166">
            <v>0.11256500000000001</v>
          </cell>
        </row>
        <row r="167">
          <cell r="O167">
            <v>1.3664000000000001</v>
          </cell>
          <cell r="P167">
            <v>1.3996999999999999</v>
          </cell>
          <cell r="Q167">
            <v>1.3959999999999999</v>
          </cell>
          <cell r="U167">
            <v>-2.8993999999999999E-2</v>
          </cell>
          <cell r="V167">
            <v>-5.5589999999999997E-3</v>
          </cell>
          <cell r="W167">
            <v>-8.6610000000000003E-3</v>
          </cell>
          <cell r="Y167">
            <v>1.3664000000000001</v>
          </cell>
          <cell r="Z167">
            <v>1.3996999999999999</v>
          </cell>
          <cell r="AA167">
            <v>1.3959999999999999</v>
          </cell>
          <cell r="AE167">
            <v>-2.8993999999999999E-2</v>
          </cell>
          <cell r="AF167">
            <v>-5.5589999999999997E-3</v>
          </cell>
          <cell r="AG167">
            <v>-8.6610000000000003E-3</v>
          </cell>
          <cell r="AR167">
            <v>4.4755000000000003E-2</v>
          </cell>
          <cell r="BC167">
            <v>6.7810000000000009E-2</v>
          </cell>
          <cell r="BF167">
            <v>0.11256500000000001</v>
          </cell>
        </row>
        <row r="168">
          <cell r="O168">
            <v>1.3664000000000001</v>
          </cell>
          <cell r="P168">
            <v>1.4011</v>
          </cell>
          <cell r="Q168">
            <v>1.3976999999999999</v>
          </cell>
          <cell r="U168">
            <v>-3.4285999999999997E-2</v>
          </cell>
          <cell r="V168">
            <v>-1.0166E-2</v>
          </cell>
          <cell r="W168">
            <v>-1.2865E-2</v>
          </cell>
          <cell r="Y168">
            <v>1.3664000000000001</v>
          </cell>
          <cell r="Z168">
            <v>1.4011</v>
          </cell>
          <cell r="AA168">
            <v>1.3976999999999999</v>
          </cell>
          <cell r="AE168">
            <v>-3.4285999999999997E-2</v>
          </cell>
          <cell r="AF168">
            <v>-1.0166E-2</v>
          </cell>
          <cell r="AG168">
            <v>-1.2865E-2</v>
          </cell>
          <cell r="AR168">
            <v>4.4755000000000003E-2</v>
          </cell>
          <cell r="BC168">
            <v>6.7810000000000009E-2</v>
          </cell>
          <cell r="BF168">
            <v>0.11256500000000001</v>
          </cell>
        </row>
        <row r="169">
          <cell r="O169">
            <v>1.3664000000000001</v>
          </cell>
          <cell r="P169">
            <v>1.4020999999999999</v>
          </cell>
          <cell r="Q169">
            <v>1.3986000000000001</v>
          </cell>
          <cell r="U169">
            <v>-2.9207E-2</v>
          </cell>
          <cell r="V169">
            <v>-4.1349999999999998E-3</v>
          </cell>
          <cell r="W169">
            <v>-6.535E-3</v>
          </cell>
          <cell r="Y169">
            <v>1.3664000000000001</v>
          </cell>
          <cell r="Z169">
            <v>1.4020999999999999</v>
          </cell>
          <cell r="AA169">
            <v>1.3986000000000001</v>
          </cell>
          <cell r="AE169">
            <v>-2.9207E-2</v>
          </cell>
          <cell r="AF169">
            <v>-4.1349999999999998E-3</v>
          </cell>
          <cell r="AG169">
            <v>-6.535E-3</v>
          </cell>
          <cell r="AR169">
            <v>4.4755000000000003E-2</v>
          </cell>
          <cell r="BC169">
            <v>6.7810000000000009E-2</v>
          </cell>
          <cell r="BF169">
            <v>0.11256500000000001</v>
          </cell>
        </row>
        <row r="170">
          <cell r="O170">
            <v>1.3664000000000001</v>
          </cell>
          <cell r="P170">
            <v>1.4053</v>
          </cell>
          <cell r="Q170">
            <v>1.3997999999999999</v>
          </cell>
          <cell r="U170">
            <v>-3.3627999999999998E-2</v>
          </cell>
          <cell r="V170">
            <v>-7.7990000000000004E-3</v>
          </cell>
          <cell r="W170">
            <v>-1.0342E-2</v>
          </cell>
          <cell r="Y170">
            <v>1.3664000000000001</v>
          </cell>
          <cell r="Z170">
            <v>1.4053</v>
          </cell>
          <cell r="AA170">
            <v>1.3997999999999999</v>
          </cell>
          <cell r="AE170">
            <v>-3.3627999999999998E-2</v>
          </cell>
          <cell r="AF170">
            <v>-7.7990000000000004E-3</v>
          </cell>
          <cell r="AG170">
            <v>-1.0342E-2</v>
          </cell>
          <cell r="AR170">
            <v>4.4755000000000003E-2</v>
          </cell>
          <cell r="BC170">
            <v>6.7810000000000009E-2</v>
          </cell>
          <cell r="BF170">
            <v>0.11256500000000001</v>
          </cell>
        </row>
        <row r="171">
          <cell r="O171">
            <v>1.3664000000000001</v>
          </cell>
          <cell r="P171">
            <v>1.407</v>
          </cell>
          <cell r="Q171">
            <v>1.4004000000000001</v>
          </cell>
          <cell r="U171">
            <v>-3.0203000000000001E-2</v>
          </cell>
          <cell r="V171">
            <v>-2.1029999999999998E-3</v>
          </cell>
          <cell r="W171">
            <v>-6.0720000000000001E-3</v>
          </cell>
          <cell r="Y171">
            <v>1.3664000000000001</v>
          </cell>
          <cell r="Z171">
            <v>1.407</v>
          </cell>
          <cell r="AA171">
            <v>1.4004000000000001</v>
          </cell>
          <cell r="AE171">
            <v>-3.0203000000000001E-2</v>
          </cell>
          <cell r="AF171">
            <v>-2.1029999999999998E-3</v>
          </cell>
          <cell r="AG171">
            <v>-6.0720000000000001E-3</v>
          </cell>
          <cell r="AR171">
            <v>4.4755000000000003E-2</v>
          </cell>
          <cell r="BC171">
            <v>6.7810000000000009E-2</v>
          </cell>
          <cell r="BF171">
            <v>0.11256500000000001</v>
          </cell>
        </row>
        <row r="172">
          <cell r="O172">
            <v>1.3664000000000001</v>
          </cell>
          <cell r="P172">
            <v>1.4085000000000001</v>
          </cell>
          <cell r="Q172">
            <v>1.4011</v>
          </cell>
          <cell r="U172">
            <v>-3.3248E-2</v>
          </cell>
          <cell r="V172">
            <v>-3.9220000000000001E-3</v>
          </cell>
          <cell r="W172">
            <v>-8.6440000000000006E-3</v>
          </cell>
          <cell r="Y172">
            <v>1.3664000000000001</v>
          </cell>
          <cell r="Z172">
            <v>1.4085000000000001</v>
          </cell>
          <cell r="AA172">
            <v>1.4011</v>
          </cell>
          <cell r="AE172">
            <v>-3.3248E-2</v>
          </cell>
          <cell r="AF172">
            <v>-3.9220000000000001E-3</v>
          </cell>
          <cell r="AG172">
            <v>-8.6440000000000006E-3</v>
          </cell>
          <cell r="AR172">
            <v>4.4755000000000003E-2</v>
          </cell>
          <cell r="BC172">
            <v>6.7810000000000009E-2</v>
          </cell>
          <cell r="BF172">
            <v>0.11256500000000001</v>
          </cell>
        </row>
        <row r="173">
          <cell r="O173">
            <v>1.3664000000000001</v>
          </cell>
          <cell r="P173">
            <v>1.41</v>
          </cell>
          <cell r="Q173">
            <v>1.4026000000000001</v>
          </cell>
          <cell r="U173">
            <v>-4.1387E-2</v>
          </cell>
          <cell r="V173">
            <v>-1.1006999999999999E-2</v>
          </cell>
          <cell r="W173">
            <v>-1.6310999999999999E-2</v>
          </cell>
          <cell r="Y173">
            <v>1.3664000000000001</v>
          </cell>
          <cell r="Z173">
            <v>1.41</v>
          </cell>
          <cell r="AA173">
            <v>1.4026000000000001</v>
          </cell>
          <cell r="AE173">
            <v>-4.1387E-2</v>
          </cell>
          <cell r="AF173">
            <v>-1.1006999999999999E-2</v>
          </cell>
          <cell r="AG173">
            <v>-1.6310999999999999E-2</v>
          </cell>
          <cell r="AR173">
            <v>4.4755000000000003E-2</v>
          </cell>
          <cell r="BC173">
            <v>6.7810000000000009E-2</v>
          </cell>
          <cell r="BF173">
            <v>0.11256500000000001</v>
          </cell>
        </row>
        <row r="174">
          <cell r="O174">
            <v>1.3664000000000001</v>
          </cell>
          <cell r="P174">
            <v>1.4111</v>
          </cell>
          <cell r="Q174">
            <v>1.4035</v>
          </cell>
          <cell r="U174">
            <v>-3.6176E-2</v>
          </cell>
          <cell r="V174">
            <v>-4.7730000000000003E-3</v>
          </cell>
          <cell r="W174">
            <v>-1.001E-2</v>
          </cell>
          <cell r="Y174">
            <v>1.3664000000000001</v>
          </cell>
          <cell r="Z174">
            <v>1.4111</v>
          </cell>
          <cell r="AA174">
            <v>1.4035</v>
          </cell>
          <cell r="AE174">
            <v>-3.6176E-2</v>
          </cell>
          <cell r="AF174">
            <v>-4.7730000000000003E-3</v>
          </cell>
          <cell r="AG174">
            <v>-1.001E-2</v>
          </cell>
          <cell r="AR174">
            <v>4.4755000000000003E-2</v>
          </cell>
          <cell r="BC174">
            <v>6.7810000000000009E-2</v>
          </cell>
          <cell r="BF174">
            <v>0.11256500000000001</v>
          </cell>
        </row>
        <row r="175">
          <cell r="O175">
            <v>1.3664000000000001</v>
          </cell>
          <cell r="P175">
            <v>1.4132</v>
          </cell>
          <cell r="Q175">
            <v>1.4052</v>
          </cell>
          <cell r="U175">
            <v>-4.0903000000000002E-2</v>
          </cell>
          <cell r="V175">
            <v>-8.6650000000000008E-3</v>
          </cell>
          <cell r="W175">
            <v>-1.4086E-2</v>
          </cell>
          <cell r="Y175">
            <v>1.3664000000000001</v>
          </cell>
          <cell r="Z175">
            <v>1.4132</v>
          </cell>
          <cell r="AA175">
            <v>1.4052</v>
          </cell>
          <cell r="AE175">
            <v>-4.0903000000000002E-2</v>
          </cell>
          <cell r="AF175">
            <v>-8.6650000000000008E-3</v>
          </cell>
          <cell r="AG175">
            <v>-1.4086E-2</v>
          </cell>
          <cell r="AR175">
            <v>4.4755000000000003E-2</v>
          </cell>
          <cell r="BC175">
            <v>6.7810000000000009E-2</v>
          </cell>
          <cell r="BF175">
            <v>0.11256500000000001</v>
          </cell>
        </row>
        <row r="176">
          <cell r="O176">
            <v>1.3664000000000001</v>
          </cell>
          <cell r="P176">
            <v>1.4119999999999999</v>
          </cell>
          <cell r="Q176">
            <v>1.4054</v>
          </cell>
          <cell r="U176">
            <v>-2.0358000000000001E-2</v>
          </cell>
          <cell r="V176">
            <v>1.3339999999999999E-2</v>
          </cell>
          <cell r="W176">
            <v>7.6730000000000001E-3</v>
          </cell>
          <cell r="Y176">
            <v>1.3664000000000001</v>
          </cell>
          <cell r="Z176">
            <v>1.4119999999999999</v>
          </cell>
          <cell r="AA176">
            <v>1.4054</v>
          </cell>
          <cell r="AE176">
            <v>-2.0358000000000001E-2</v>
          </cell>
          <cell r="AF176">
            <v>1.3339999999999999E-2</v>
          </cell>
          <cell r="AG176">
            <v>7.6730000000000001E-3</v>
          </cell>
          <cell r="AR176">
            <v>4.4755000000000003E-2</v>
          </cell>
          <cell r="BC176">
            <v>6.7810000000000009E-2</v>
          </cell>
          <cell r="BF176">
            <v>0.11256500000000001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3A92-74E9-4523-9D8C-C1B3122AA74D}">
  <dimension ref="A1:DZ179"/>
  <sheetViews>
    <sheetView tabSelected="1" topLeftCell="AG1" workbookViewId="0">
      <selection activeCell="AV16" sqref="AV16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85546875" style="15" bestFit="1" customWidth="1"/>
    <col min="5" max="5" width="10.28515625" style="15" bestFit="1" customWidth="1"/>
    <col min="6" max="6" width="10.28515625" style="33" bestFit="1" customWidth="1"/>
    <col min="7" max="7" width="18.7109375" style="33" bestFit="1" customWidth="1"/>
    <col min="8" max="8" width="9" style="33" bestFit="1" customWidth="1"/>
    <col min="9" max="9" width="17" style="33" bestFit="1" customWidth="1"/>
    <col min="10" max="10" width="21.42578125" style="33" bestFit="1" customWidth="1"/>
    <col min="11" max="11" width="19.7109375" style="33" bestFit="1" customWidth="1"/>
    <col min="12" max="13" width="11" style="33" bestFit="1" customWidth="1"/>
    <col min="14" max="14" width="11" style="34" bestFit="1" customWidth="1"/>
    <col min="15" max="15" width="14.5703125" style="34" bestFit="1" customWidth="1"/>
    <col min="16" max="17" width="18" style="34" bestFit="1" customWidth="1"/>
    <col min="18" max="18" width="12" style="33" bestFit="1" customWidth="1"/>
    <col min="19" max="20" width="15.42578125" style="33" bestFit="1" customWidth="1"/>
    <col min="21" max="21" width="22.42578125" style="15" bestFit="1" customWidth="1"/>
    <col min="22" max="23" width="25.85546875" style="15" bestFit="1" customWidth="1"/>
    <col min="24" max="24" width="13.140625" style="34" bestFit="1" customWidth="1"/>
    <col min="25" max="25" width="16.5703125" style="34" bestFit="1" customWidth="1"/>
    <col min="26" max="27" width="20" style="34" bestFit="1" customWidth="1"/>
    <col min="28" max="28" width="13.140625" style="33" bestFit="1" customWidth="1"/>
    <col min="29" max="30" width="16.42578125" style="33" bestFit="1" customWidth="1"/>
    <col min="31" max="31" width="24.42578125" style="15" bestFit="1" customWidth="1"/>
    <col min="32" max="33" width="27.85546875" style="15" bestFit="1" customWidth="1"/>
    <col min="34" max="34" width="1.7109375" style="9" customWidth="1"/>
    <col min="35" max="35" width="8.42578125" style="15" bestFit="1" customWidth="1"/>
    <col min="36" max="36" width="8.140625" style="15" bestFit="1" customWidth="1"/>
    <col min="37" max="38" width="7.42578125" style="15" bestFit="1" customWidth="1"/>
    <col min="39" max="39" width="7.85546875" style="15" bestFit="1" customWidth="1"/>
    <col min="40" max="40" width="8.42578125" style="15" bestFit="1" customWidth="1"/>
    <col min="41" max="41" width="11.85546875" style="15" bestFit="1" customWidth="1"/>
    <col min="42" max="42" width="10.28515625" style="15" bestFit="1" customWidth="1"/>
    <col min="43" max="43" width="7.4257812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9" width="7.42578125" style="15" bestFit="1" customWidth="1"/>
    <col min="50" max="50" width="7.85546875" style="15" bestFit="1" customWidth="1"/>
    <col min="51" max="51" width="8.42578125" style="15" bestFit="1" customWidth="1"/>
    <col min="52" max="52" width="11.85546875" style="15" bestFit="1" customWidth="1"/>
    <col min="53" max="53" width="10.28515625" style="15" bestFit="1" customWidth="1"/>
    <col min="54" max="54" width="7.42578125" style="15" bestFit="1" customWidth="1"/>
    <col min="55" max="55" width="8.7109375" style="15" bestFit="1" customWidth="1"/>
    <col min="56" max="56" width="1.7109375" style="9" customWidth="1"/>
    <col min="57" max="57" width="7.1406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2.5677147153796551</v>
      </c>
      <c r="AJ1" s="4">
        <v>0</v>
      </c>
      <c r="AK1" s="4">
        <f t="shared" ref="AK1:AQ1" si="0">AJ1-$AK12</f>
        <v>-1E-3</v>
      </c>
      <c r="AL1" s="4">
        <f t="shared" si="0"/>
        <v>-2E-3</v>
      </c>
      <c r="AM1" s="4">
        <f t="shared" si="0"/>
        <v>-3.0000000000000001E-3</v>
      </c>
      <c r="AN1" s="4">
        <f t="shared" si="0"/>
        <v>-4.0000000000000001E-3</v>
      </c>
      <c r="AO1" s="4">
        <f t="shared" si="0"/>
        <v>-5.0000000000000001E-3</v>
      </c>
      <c r="AP1" s="4">
        <f t="shared" si="0"/>
        <v>-6.0000000000000001E-3</v>
      </c>
      <c r="AQ1" s="4">
        <f t="shared" si="0"/>
        <v>-7.0000000000000001E-3</v>
      </c>
      <c r="AR1" s="5" t="s">
        <v>33</v>
      </c>
      <c r="AS1" s="2"/>
      <c r="AT1" s="3">
        <f>BB16</f>
        <v>0.70692584105224843</v>
      </c>
      <c r="AU1" s="4">
        <v>0</v>
      </c>
      <c r="AV1" s="6">
        <f>AU1+$AV12</f>
        <v>2.5000000000000001E-3</v>
      </c>
      <c r="AW1" s="6">
        <f t="shared" ref="AW1:BB1" si="1">AV1+$AV12</f>
        <v>5.0000000000000001E-3</v>
      </c>
      <c r="AX1" s="6">
        <f t="shared" si="1"/>
        <v>7.4999999999999997E-3</v>
      </c>
      <c r="AY1" s="6">
        <f t="shared" si="1"/>
        <v>0.01</v>
      </c>
      <c r="AZ1" s="6">
        <f t="shared" si="1"/>
        <v>1.2500000000000001E-2</v>
      </c>
      <c r="BA1" s="6">
        <f t="shared" si="1"/>
        <v>1.5000000000000001E-2</v>
      </c>
      <c r="BB1" s="6">
        <f t="shared" si="1"/>
        <v>1.7500000000000002E-2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66.709999999999994</v>
      </c>
      <c r="C2" s="33">
        <v>77.69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66.709999999999994</v>
      </c>
      <c r="M2" s="33">
        <v>77.69</v>
      </c>
      <c r="N2" s="34">
        <v>1.1645930145405401</v>
      </c>
      <c r="O2" s="34">
        <v>1.16085801049043</v>
      </c>
      <c r="X2" s="34">
        <v>1.1645930145405401</v>
      </c>
      <c r="Y2" s="34">
        <v>1.16060033170917</v>
      </c>
      <c r="AI2" s="4">
        <v>0</v>
      </c>
      <c r="AJ2" s="10">
        <f t="dataTable" ref="AJ2:AQ9" dt2D="1" dtr="1" r1="AI21" r2="AI22"/>
        <v>1.7468530301286143</v>
      </c>
      <c r="AK2" s="10">
        <v>2.0970325568513677</v>
      </c>
      <c r="AL2" s="10">
        <v>2.2340065600922498</v>
      </c>
      <c r="AM2" s="10">
        <v>2.7367832795744613</v>
      </c>
      <c r="AN2" s="10">
        <v>2.5038575351435415</v>
      </c>
      <c r="AO2" s="10">
        <v>2.5184969098327796</v>
      </c>
      <c r="AP2" s="10">
        <v>2.5184969098327796</v>
      </c>
      <c r="AQ2" s="10">
        <v>2.2333896583317903</v>
      </c>
      <c r="AR2"/>
      <c r="AT2" s="4">
        <v>0</v>
      </c>
      <c r="AU2" s="10">
        <f t="dataTable" ref="AU2:BB9" dt2D="1" dtr="1" r1="AT21" r2="AT22"/>
        <v>0.57619169406037052</v>
      </c>
      <c r="AV2" s="11">
        <v>0.51204662013186908</v>
      </c>
      <c r="AW2" s="11">
        <v>-0.12608461418526687</v>
      </c>
      <c r="AX2" s="11">
        <v>0.16334072857303847</v>
      </c>
      <c r="AY2" s="11">
        <v>0.30160072508746433</v>
      </c>
      <c r="AZ2" s="11">
        <v>0.67356973057876823</v>
      </c>
      <c r="BA2" s="11">
        <v>1.8179368856912074E-2</v>
      </c>
      <c r="BB2" s="11">
        <v>1.8179368856912074E-2</v>
      </c>
      <c r="BC2"/>
    </row>
    <row r="3" spans="1:130" x14ac:dyDescent="0.25">
      <c r="A3" s="1">
        <v>46027</v>
      </c>
      <c r="B3" s="33">
        <v>66.16</v>
      </c>
      <c r="C3" s="33">
        <v>77.349999999999994</v>
      </c>
      <c r="D3" s="15">
        <v>-8.2788160059881107E-3</v>
      </c>
      <c r="E3" s="15">
        <v>-4.3859719432543199E-3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66.16</v>
      </c>
      <c r="M3" s="33">
        <v>77.349999999999994</v>
      </c>
      <c r="N3" s="34">
        <v>1.1691354292623899</v>
      </c>
      <c r="O3" s="34">
        <v>1.16085801049043</v>
      </c>
      <c r="R3" s="33">
        <v>76.802365974047305</v>
      </c>
      <c r="U3" s="15">
        <v>-7.1051303862318498E-3</v>
      </c>
      <c r="X3" s="34">
        <v>1.1691354292623899</v>
      </c>
      <c r="Y3" s="34">
        <v>1.16060033170917</v>
      </c>
      <c r="AB3" s="33">
        <v>76.7853179458791</v>
      </c>
      <c r="AE3" s="15">
        <v>-7.3271277209546598E-3</v>
      </c>
      <c r="AI3" s="4">
        <f t="shared" ref="AI3:AI9" si="2">AI2-AK$12</f>
        <v>-1E-3</v>
      </c>
      <c r="AJ3" s="10">
        <v>1.7468530301286143</v>
      </c>
      <c r="AK3" s="10">
        <v>2.2401764438450842</v>
      </c>
      <c r="AL3" s="10">
        <v>2.2340065600922498</v>
      </c>
      <c r="AM3" s="10">
        <v>2.7367832795744613</v>
      </c>
      <c r="AN3" s="10">
        <v>2.5038575351435415</v>
      </c>
      <c r="AO3" s="11">
        <v>2.5184969098327796</v>
      </c>
      <c r="AP3" s="10">
        <v>2.5184969098327796</v>
      </c>
      <c r="AQ3" s="10">
        <v>2.2333896583317903</v>
      </c>
      <c r="AR3"/>
      <c r="AT3" s="35">
        <f>AT2+0.001</f>
        <v>1E-3</v>
      </c>
      <c r="AU3" s="10">
        <v>0.57619169406037052</v>
      </c>
      <c r="AV3" s="11">
        <v>0.2893300913503582</v>
      </c>
      <c r="AW3" s="11">
        <v>-0.12608461418526687</v>
      </c>
      <c r="AX3" s="11">
        <v>0.16334072857303847</v>
      </c>
      <c r="AY3" s="11">
        <v>0.30160072508746433</v>
      </c>
      <c r="AZ3" s="11">
        <v>0.67356973057876823</v>
      </c>
      <c r="BA3" s="11">
        <v>1.8179368856912074E-2</v>
      </c>
      <c r="BB3" s="11">
        <v>1.8179368856912074E-2</v>
      </c>
      <c r="BC3"/>
    </row>
    <row r="4" spans="1:130" x14ac:dyDescent="0.25">
      <c r="A4" s="1">
        <v>46028</v>
      </c>
      <c r="B4" s="33">
        <v>65.86</v>
      </c>
      <c r="C4" s="33">
        <v>77.47</v>
      </c>
      <c r="D4" s="15">
        <v>-4.5447737672175701E-3</v>
      </c>
      <c r="E4" s="15">
        <v>1.55018762473602E-3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65.86</v>
      </c>
      <c r="M4" s="33">
        <v>77.47</v>
      </c>
      <c r="N4" s="34">
        <v>1.1762830245976299</v>
      </c>
      <c r="O4" s="34">
        <v>1.16085801049043</v>
      </c>
      <c r="R4" s="33">
        <v>76.454108570900104</v>
      </c>
      <c r="U4" s="15">
        <v>-1.32000917781856E-2</v>
      </c>
      <c r="X4" s="34">
        <v>1.1762830245976299</v>
      </c>
      <c r="Y4" s="34">
        <v>1.16060033170917</v>
      </c>
      <c r="AB4" s="33">
        <v>76.437137846366298</v>
      </c>
      <c r="AE4" s="15">
        <v>-1.34220891129084E-2</v>
      </c>
      <c r="AG4"/>
      <c r="AI4" s="4">
        <f t="shared" si="2"/>
        <v>-2E-3</v>
      </c>
      <c r="AJ4" s="10">
        <v>1.7468530301286143</v>
      </c>
      <c r="AK4" s="11">
        <v>2.2401764438450842</v>
      </c>
      <c r="AL4" s="11">
        <v>2.1467338092134973</v>
      </c>
      <c r="AM4" s="11">
        <v>2.6582507023749269</v>
      </c>
      <c r="AN4" s="10">
        <v>2.2904798328600422</v>
      </c>
      <c r="AO4" s="11">
        <v>2.3022841311484612</v>
      </c>
      <c r="AP4" s="11">
        <v>2.3022841311484612</v>
      </c>
      <c r="AQ4" s="11">
        <v>1.9373945568630462</v>
      </c>
      <c r="AR4"/>
      <c r="AT4" s="35">
        <f t="shared" ref="AT4:AT9" si="3">AT3+0.001</f>
        <v>2E-3</v>
      </c>
      <c r="AU4" s="10">
        <v>0.57619169406037052</v>
      </c>
      <c r="AV4" s="11">
        <v>2.6296980559270849E-2</v>
      </c>
      <c r="AW4" s="11">
        <v>-0.32435026837491776</v>
      </c>
      <c r="AX4" s="11">
        <v>-6.4171495293073449E-2</v>
      </c>
      <c r="AY4" s="11">
        <v>-7.931374309971366E-3</v>
      </c>
      <c r="AZ4" s="11">
        <v>0.34689446587192913</v>
      </c>
      <c r="BA4" s="11">
        <v>1.8179368856912074E-2</v>
      </c>
      <c r="BB4" s="11">
        <v>1.8179368856912074E-2</v>
      </c>
      <c r="BC4"/>
      <c r="BE4" s="8"/>
      <c r="BF4" s="8"/>
    </row>
    <row r="5" spans="1:130" x14ac:dyDescent="0.25">
      <c r="A5" s="1">
        <v>46029</v>
      </c>
      <c r="B5" s="33">
        <v>65.23</v>
      </c>
      <c r="C5" s="33">
        <v>76.62</v>
      </c>
      <c r="D5" s="15">
        <v>-9.6117911402134708E-3</v>
      </c>
      <c r="E5" s="15">
        <v>-1.10326253713081E-2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65.23</v>
      </c>
      <c r="M5" s="33">
        <v>76.62</v>
      </c>
      <c r="N5" s="34">
        <v>1.1746129081710801</v>
      </c>
      <c r="O5" s="34">
        <v>1.16085801049043</v>
      </c>
      <c r="R5" s="33">
        <v>75.722768024291199</v>
      </c>
      <c r="U5" s="15">
        <v>-1.1779257547091001E-2</v>
      </c>
      <c r="X5" s="34">
        <v>1.1746129081710801</v>
      </c>
      <c r="Y5" s="34">
        <v>1.16060033170917</v>
      </c>
      <c r="AB5" s="33">
        <v>75.705959637389498</v>
      </c>
      <c r="AE5" s="15">
        <v>-1.20012548818137E-2</v>
      </c>
      <c r="AG5" s="29"/>
      <c r="AI5" s="4">
        <f t="shared" si="2"/>
        <v>-3.0000000000000001E-3</v>
      </c>
      <c r="AJ5" s="10">
        <v>1.7468530301286143</v>
      </c>
      <c r="AK5" s="11">
        <v>2.2401764438450842</v>
      </c>
      <c r="AL5" s="11">
        <v>2.1467338092134973</v>
      </c>
      <c r="AM5" s="11">
        <v>2.9076075846097287</v>
      </c>
      <c r="AN5" s="11">
        <v>2.5520232466702573</v>
      </c>
      <c r="AO5" s="11">
        <v>2.5698716322542823</v>
      </c>
      <c r="AP5" s="10">
        <v>2.5698716322542823</v>
      </c>
      <c r="AQ5" s="11">
        <v>1.9373945568630462</v>
      </c>
      <c r="AR5"/>
      <c r="AT5" s="35">
        <f t="shared" si="3"/>
        <v>3.0000000000000001E-3</v>
      </c>
      <c r="AU5" s="10">
        <v>0.57619169406037052</v>
      </c>
      <c r="AV5" s="11">
        <v>2.6296980559270849E-2</v>
      </c>
      <c r="AW5" s="11">
        <v>-0.62128205736426068</v>
      </c>
      <c r="AX5" s="11">
        <v>-6.4171495293073449E-2</v>
      </c>
      <c r="AY5" s="11">
        <v>-7.931374309971366E-3</v>
      </c>
      <c r="AZ5" s="11">
        <v>0.34689446587192913</v>
      </c>
      <c r="BA5" s="11">
        <v>1.8179368856912074E-2</v>
      </c>
      <c r="BB5" s="11">
        <v>1.8179368856912074E-2</v>
      </c>
      <c r="BC5"/>
    </row>
    <row r="6" spans="1:130" x14ac:dyDescent="0.25">
      <c r="A6" s="1">
        <v>46030</v>
      </c>
      <c r="B6" s="33">
        <v>66.61</v>
      </c>
      <c r="C6" s="33">
        <v>78.44</v>
      </c>
      <c r="D6" s="15">
        <v>2.09352306170833E-2</v>
      </c>
      <c r="E6" s="15">
        <v>2.3475862055642598E-2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66.61</v>
      </c>
      <c r="M6" s="33">
        <v>78.44</v>
      </c>
      <c r="N6" s="34">
        <v>1.17760096081669</v>
      </c>
      <c r="O6" s="34">
        <v>1.16085801049043</v>
      </c>
      <c r="R6" s="33">
        <v>77.324752078768</v>
      </c>
      <c r="U6" s="15">
        <v>-1.43198889856502E-2</v>
      </c>
      <c r="X6" s="34">
        <v>1.17760096081669</v>
      </c>
      <c r="Y6" s="34">
        <v>1.16060033170917</v>
      </c>
      <c r="AB6" s="33">
        <v>77.307588095148205</v>
      </c>
      <c r="AE6" s="15">
        <v>-1.45418863203729E-2</v>
      </c>
      <c r="AG6" s="29"/>
      <c r="AI6" s="4">
        <f t="shared" si="2"/>
        <v>-4.0000000000000001E-3</v>
      </c>
      <c r="AJ6" s="10">
        <v>1.7468530301286143</v>
      </c>
      <c r="AK6" s="11">
        <v>2.2401764438450842</v>
      </c>
      <c r="AL6" s="11">
        <v>2.1467338092134973</v>
      </c>
      <c r="AM6" s="11">
        <v>2.9076075846097287</v>
      </c>
      <c r="AN6" s="11">
        <v>2.6346454499228966</v>
      </c>
      <c r="AO6" s="11">
        <v>2.6542394373174307</v>
      </c>
      <c r="AP6" s="11">
        <v>2.7263982697385973</v>
      </c>
      <c r="AQ6" s="11">
        <v>1.9373945568630462</v>
      </c>
      <c r="AR6"/>
      <c r="AT6" s="35">
        <f t="shared" si="3"/>
        <v>4.0000000000000001E-3</v>
      </c>
      <c r="AU6" s="10">
        <v>0.57619169406037052</v>
      </c>
      <c r="AV6" s="11">
        <v>2.6296980559270849E-2</v>
      </c>
      <c r="AW6" s="11">
        <v>5.293263985158303E-2</v>
      </c>
      <c r="AX6" s="11">
        <v>0.70692584105224843</v>
      </c>
      <c r="AY6" s="11">
        <v>0.64823529699444737</v>
      </c>
      <c r="AZ6" s="11">
        <v>0.54065966647033281</v>
      </c>
      <c r="BA6" s="11">
        <v>0.46604023365757152</v>
      </c>
      <c r="BB6" s="11">
        <v>0.46604023365757152</v>
      </c>
      <c r="BC6"/>
    </row>
    <row r="7" spans="1:130" x14ac:dyDescent="0.25">
      <c r="A7" s="1">
        <v>46031</v>
      </c>
      <c r="B7" s="33">
        <v>67.2</v>
      </c>
      <c r="C7" s="33">
        <v>79.25</v>
      </c>
      <c r="D7" s="15">
        <v>8.8185311040158698E-3</v>
      </c>
      <c r="E7" s="15">
        <v>1.0273411429244501E-2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67.2</v>
      </c>
      <c r="M7" s="33">
        <v>79.25</v>
      </c>
      <c r="N7" s="34">
        <v>1.1793154761904701</v>
      </c>
      <c r="O7" s="34">
        <v>1.16085801049043</v>
      </c>
      <c r="R7" s="33">
        <v>78.009658304957298</v>
      </c>
      <c r="U7" s="15">
        <v>-1.5774769310878699E-2</v>
      </c>
      <c r="X7" s="34">
        <v>1.1793154761904701</v>
      </c>
      <c r="Y7" s="34">
        <v>1.16060033170917</v>
      </c>
      <c r="AB7" s="33">
        <v>77.992342290856598</v>
      </c>
      <c r="AE7" s="15">
        <v>-1.5996766645601599E-2</v>
      </c>
      <c r="AG7"/>
      <c r="AI7" s="4">
        <f t="shared" si="2"/>
        <v>-5.0000000000000001E-3</v>
      </c>
      <c r="AJ7" s="10">
        <v>1.7468530301286143</v>
      </c>
      <c r="AK7" s="11">
        <v>2.2401764438450842</v>
      </c>
      <c r="AL7" s="11">
        <v>2.1467338092134973</v>
      </c>
      <c r="AM7" s="11">
        <v>2.9076075846097287</v>
      </c>
      <c r="AN7" s="11">
        <v>2.6346454499228966</v>
      </c>
      <c r="AO7" s="11">
        <v>2.6902879013593828</v>
      </c>
      <c r="AP7" s="11">
        <v>2.7727681503537354</v>
      </c>
      <c r="AQ7" s="11">
        <v>1.2463417459055952</v>
      </c>
      <c r="AR7"/>
      <c r="AT7" s="35">
        <f t="shared" si="3"/>
        <v>5.0000000000000001E-3</v>
      </c>
      <c r="AU7" s="10">
        <v>0.57619169406037052</v>
      </c>
      <c r="AV7" s="11">
        <v>2.6296980559270849E-2</v>
      </c>
      <c r="AW7" s="11">
        <v>0.8747386060717891</v>
      </c>
      <c r="AX7" s="11">
        <v>1.0012260455826041</v>
      </c>
      <c r="AY7" s="11">
        <v>0.56169910029498193</v>
      </c>
      <c r="AZ7" s="11">
        <v>0.78586154150812138</v>
      </c>
      <c r="BA7" s="11">
        <v>0.88171106828207602</v>
      </c>
      <c r="BB7" s="11">
        <v>0.88171106828207602</v>
      </c>
      <c r="BC7"/>
    </row>
    <row r="8" spans="1:130" x14ac:dyDescent="0.25">
      <c r="A8" s="1">
        <v>46034</v>
      </c>
      <c r="B8" s="33">
        <v>67.760000000000005</v>
      </c>
      <c r="C8" s="33">
        <v>80.180000000000007</v>
      </c>
      <c r="D8" s="15">
        <v>8.2988028146950606E-3</v>
      </c>
      <c r="E8" s="15">
        <v>1.1666694456970999E-2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67.760000000000005</v>
      </c>
      <c r="M8" s="33">
        <v>80.180000000000007</v>
      </c>
      <c r="N8" s="34">
        <v>1.1832939787485199</v>
      </c>
      <c r="O8" s="34">
        <v>1.16085801049043</v>
      </c>
      <c r="R8" s="33">
        <v>78.659738790831994</v>
      </c>
      <c r="U8" s="15">
        <v>-1.91426609531547E-2</v>
      </c>
      <c r="X8" s="34">
        <v>1.1832939787485199</v>
      </c>
      <c r="Y8" s="34">
        <v>1.16060033170917</v>
      </c>
      <c r="AB8" s="33">
        <v>78.642278476613697</v>
      </c>
      <c r="AE8" s="15">
        <v>-1.9364658287877499E-2</v>
      </c>
      <c r="AG8"/>
      <c r="AI8" s="4">
        <f t="shared" si="2"/>
        <v>-6.0000000000000001E-3</v>
      </c>
      <c r="AJ8" s="10">
        <v>1.7468530301286143</v>
      </c>
      <c r="AK8" s="11">
        <v>2.2401764438450842</v>
      </c>
      <c r="AL8" s="11">
        <v>2.1467338092134973</v>
      </c>
      <c r="AM8" s="11">
        <v>2.9076075846097287</v>
      </c>
      <c r="AN8" s="11">
        <v>2.6346454499228966</v>
      </c>
      <c r="AO8" s="11">
        <v>2.6902879013593828</v>
      </c>
      <c r="AP8" s="11">
        <v>2.4641041777832751</v>
      </c>
      <c r="AQ8" s="11">
        <v>1.2463417459055952</v>
      </c>
      <c r="AR8"/>
      <c r="AT8" s="35">
        <f t="shared" si="3"/>
        <v>6.0000000000000001E-3</v>
      </c>
      <c r="AU8" s="10">
        <v>0.57619169406037052</v>
      </c>
      <c r="AV8" s="11">
        <v>2.6296980559270849E-2</v>
      </c>
      <c r="AW8" s="11">
        <v>0.8747386060717891</v>
      </c>
      <c r="AX8" s="11">
        <v>1.1631322046233508</v>
      </c>
      <c r="AY8" s="11">
        <v>0.34902508227641083</v>
      </c>
      <c r="AZ8" s="11">
        <v>0.53573015853001715</v>
      </c>
      <c r="BA8" s="11">
        <v>0.81873822575727728</v>
      </c>
      <c r="BB8" s="11">
        <v>0.81873822575727728</v>
      </c>
      <c r="BC8"/>
    </row>
    <row r="9" spans="1:130" x14ac:dyDescent="0.25">
      <c r="A9" s="1">
        <v>46035</v>
      </c>
      <c r="B9" s="33">
        <v>68.38</v>
      </c>
      <c r="C9" s="33">
        <v>81.11</v>
      </c>
      <c r="D9" s="15">
        <v>9.1083338673560894E-3</v>
      </c>
      <c r="E9" s="15">
        <v>1.1532150867892299E-2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68.38</v>
      </c>
      <c r="M9" s="33">
        <v>81.11</v>
      </c>
      <c r="N9" s="34">
        <v>1.18616554548113</v>
      </c>
      <c r="O9" s="34">
        <v>1.16085801049043</v>
      </c>
      <c r="R9" s="33">
        <v>79.379470757335994</v>
      </c>
      <c r="U9" s="15">
        <v>-2.1566477953690901E-2</v>
      </c>
      <c r="X9" s="34">
        <v>1.18616554548113</v>
      </c>
      <c r="Y9" s="34">
        <v>1.16060033170917</v>
      </c>
      <c r="AB9" s="33">
        <v>79.361850682273399</v>
      </c>
      <c r="AE9" s="15">
        <v>-2.17884752884135E-2</v>
      </c>
      <c r="AF9"/>
      <c r="AI9" s="4">
        <f t="shared" si="2"/>
        <v>-7.0000000000000001E-3</v>
      </c>
      <c r="AJ9" s="10">
        <v>1.7468530301286143</v>
      </c>
      <c r="AK9" s="11">
        <v>2.2401764438450842</v>
      </c>
      <c r="AL9" s="11">
        <v>2.1467338092134973</v>
      </c>
      <c r="AM9" s="11">
        <v>2.9076075846097287</v>
      </c>
      <c r="AN9" s="11">
        <v>2.6346454499228966</v>
      </c>
      <c r="AO9" s="11">
        <v>2.6902879013593828</v>
      </c>
      <c r="AP9" s="11">
        <v>2.4641041777832751</v>
      </c>
      <c r="AQ9" s="11">
        <v>1.2463417459055952</v>
      </c>
      <c r="AR9"/>
      <c r="AT9" s="35">
        <f t="shared" si="3"/>
        <v>7.0000000000000001E-3</v>
      </c>
      <c r="AU9" s="10">
        <v>0.57619169406037052</v>
      </c>
      <c r="AV9" s="10">
        <v>2.6296980559270849E-2</v>
      </c>
      <c r="AW9" s="10">
        <v>0.8747386060717891</v>
      </c>
      <c r="AX9" s="10">
        <v>1.322696302459397</v>
      </c>
      <c r="AY9" s="10">
        <v>0.45945772290913361</v>
      </c>
      <c r="AZ9" s="10">
        <v>0.53573015853001715</v>
      </c>
      <c r="BA9" s="10">
        <v>0.81873822575727728</v>
      </c>
      <c r="BB9" s="10">
        <v>0.81873822575727728</v>
      </c>
      <c r="BC9"/>
    </row>
    <row r="10" spans="1:130" x14ac:dyDescent="0.25">
      <c r="A10" s="1">
        <v>46036</v>
      </c>
      <c r="B10" s="33">
        <v>69.39</v>
      </c>
      <c r="C10" s="33">
        <v>82.23</v>
      </c>
      <c r="D10" s="15">
        <v>1.46623807003024E-2</v>
      </c>
      <c r="E10" s="15">
        <v>1.37139409005508E-2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69.39</v>
      </c>
      <c r="M10" s="33">
        <v>82.23</v>
      </c>
      <c r="N10" s="34">
        <v>1.1850410722006</v>
      </c>
      <c r="O10" s="34">
        <v>1.16085801049043</v>
      </c>
      <c r="R10" s="33">
        <v>80.5519373479314</v>
      </c>
      <c r="U10" s="15">
        <v>-2.0618038153939401E-2</v>
      </c>
      <c r="X10" s="34">
        <v>1.1850410722006</v>
      </c>
      <c r="Y10" s="34">
        <v>1.16060033170917</v>
      </c>
      <c r="AB10" s="33">
        <v>80.534057017299702</v>
      </c>
      <c r="AE10" s="15">
        <v>-2.0840035488662201E-2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69.650000000000006</v>
      </c>
      <c r="C11" s="33">
        <v>82.37</v>
      </c>
      <c r="D11" s="15">
        <v>3.7399353143572601E-3</v>
      </c>
      <c r="E11" s="15">
        <v>1.7010939703531801E-3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69.650000000000006</v>
      </c>
      <c r="M11" s="33">
        <v>82.37</v>
      </c>
      <c r="N11" s="34">
        <v>1.1826274228284199</v>
      </c>
      <c r="O11" s="34">
        <v>1.16085801049043</v>
      </c>
      <c r="P11" s="34">
        <v>1.17786688328375</v>
      </c>
      <c r="R11" s="33">
        <v>80.853760430658895</v>
      </c>
      <c r="U11" s="15">
        <v>-1.8579196809935299E-2</v>
      </c>
      <c r="X11" s="34">
        <v>1.1826274228284199</v>
      </c>
      <c r="Y11" s="34">
        <v>1.16060033170917</v>
      </c>
      <c r="Z11" s="34">
        <v>1.17786688328375</v>
      </c>
      <c r="AB11" s="33">
        <v>80.835813103544098</v>
      </c>
      <c r="AE11" s="15">
        <v>-1.8801194144658199E-2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69.33</v>
      </c>
      <c r="C12" s="33">
        <v>82.11</v>
      </c>
      <c r="D12" s="15">
        <v>-4.6049872714157402E-3</v>
      </c>
      <c r="E12" s="15">
        <v>-3.1614812324600602E-3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69.33</v>
      </c>
      <c r="M12" s="33">
        <v>82.11</v>
      </c>
      <c r="N12" s="34">
        <v>1.18433578537429</v>
      </c>
      <c r="O12" s="34">
        <v>1.16085801049043</v>
      </c>
      <c r="P12" s="34">
        <v>1.1798411603671199</v>
      </c>
      <c r="R12" s="33">
        <v>80.482285867301997</v>
      </c>
      <c r="S12" s="33">
        <v>81.661511018062498</v>
      </c>
      <c r="U12" s="15">
        <v>-2.0022702848890999E-2</v>
      </c>
      <c r="V12" s="15">
        <v>-5.4770222279580099E-3</v>
      </c>
      <c r="X12" s="34">
        <v>1.18433578537429</v>
      </c>
      <c r="Y12" s="34">
        <v>1.16060033170917</v>
      </c>
      <c r="Z12" s="34">
        <v>1.1798411603671199</v>
      </c>
      <c r="AB12" s="33">
        <v>80.464420997397099</v>
      </c>
      <c r="AC12" s="33">
        <v>81.661511018062498</v>
      </c>
      <c r="AE12" s="15">
        <v>-2.0244700183613799E-2</v>
      </c>
      <c r="AF12" s="15">
        <v>-5.4770222279580099E-3</v>
      </c>
      <c r="AK12" s="17">
        <v>1E-3</v>
      </c>
      <c r="AL12" s="18" t="s">
        <v>37</v>
      </c>
      <c r="AM12" s="19" t="s">
        <v>38</v>
      </c>
      <c r="AV12" s="17">
        <v>2.5000000000000001E-3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69.59</v>
      </c>
      <c r="C13" s="33">
        <v>82.36</v>
      </c>
      <c r="D13" s="15">
        <v>3.7431659023597699E-3</v>
      </c>
      <c r="E13" s="15">
        <v>3.0400704388913401E-3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69.59</v>
      </c>
      <c r="M13" s="33">
        <v>82.36</v>
      </c>
      <c r="N13" s="34">
        <v>1.1835033769219701</v>
      </c>
      <c r="O13" s="34">
        <v>1.16085801049043</v>
      </c>
      <c r="P13" s="34">
        <v>1.1812779551330801</v>
      </c>
      <c r="R13" s="33">
        <v>80.784108950029506</v>
      </c>
      <c r="S13" s="33">
        <v>82.105146349948299</v>
      </c>
      <c r="U13" s="15">
        <v>-1.93196073854227E-2</v>
      </c>
      <c r="V13" s="15">
        <v>-3.0991837443434902E-3</v>
      </c>
      <c r="X13" s="34">
        <v>1.1835033769219701</v>
      </c>
      <c r="Y13" s="34">
        <v>1.16060033170917</v>
      </c>
      <c r="Z13" s="34">
        <v>1.1812779551330801</v>
      </c>
      <c r="AB13" s="33">
        <v>80.766177083641495</v>
      </c>
      <c r="AC13" s="33">
        <v>82.105146349948299</v>
      </c>
      <c r="AE13" s="15">
        <v>-1.9541604720145399E-2</v>
      </c>
      <c r="AF13" s="15">
        <v>-3.0991837443434902E-3</v>
      </c>
    </row>
    <row r="14" spans="1:130" x14ac:dyDescent="0.25">
      <c r="A14" s="1">
        <v>46043</v>
      </c>
      <c r="B14" s="33">
        <v>69.650000000000006</v>
      </c>
      <c r="C14" s="33">
        <v>82.44</v>
      </c>
      <c r="D14" s="15">
        <v>8.6182136905613995E-4</v>
      </c>
      <c r="E14" s="15">
        <v>9.7087386266965004E-4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69.650000000000006</v>
      </c>
      <c r="M14" s="33">
        <v>82.44</v>
      </c>
      <c r="N14" s="34">
        <v>1.1836324479540501</v>
      </c>
      <c r="O14" s="34">
        <v>1.16085801049043</v>
      </c>
      <c r="P14" s="34">
        <v>1.1820128974687201</v>
      </c>
      <c r="R14" s="33">
        <v>80.853760430658895</v>
      </c>
      <c r="S14" s="33">
        <v>82.276009575019302</v>
      </c>
      <c r="U14" s="15">
        <v>-1.9428659879036098E-2</v>
      </c>
      <c r="V14" s="15">
        <v>-1.9911905295268099E-3</v>
      </c>
      <c r="X14" s="34">
        <v>1.1836324479540501</v>
      </c>
      <c r="Y14" s="34">
        <v>1.16060033170917</v>
      </c>
      <c r="Z14" s="34">
        <v>1.1820128974687201</v>
      </c>
      <c r="AB14" s="33">
        <v>80.835813103544098</v>
      </c>
      <c r="AC14" s="33">
        <v>82.276009575019302</v>
      </c>
      <c r="AE14" s="15">
        <v>-1.9650657213758901E-2</v>
      </c>
      <c r="AF14" s="15">
        <v>-1.9911905295268099E-3</v>
      </c>
      <c r="AQ14" s="20">
        <f>AVERAGE(AQ22:AQ176)</f>
        <v>3.7442591717297093E-4</v>
      </c>
      <c r="AR14" s="21" t="s">
        <v>41</v>
      </c>
      <c r="BB14" s="20">
        <f>AVERAGE(BB22:BB176)</f>
        <v>7.0191710697445304E-5</v>
      </c>
      <c r="BC14" s="21" t="s">
        <v>41</v>
      </c>
      <c r="BD14" s="22"/>
      <c r="BE14" s="20">
        <f>AVERAGE(BE22:BE176)</f>
        <v>4.4461762787041616E-4</v>
      </c>
      <c r="BF14" s="21" t="s">
        <v>41</v>
      </c>
    </row>
    <row r="15" spans="1:130" x14ac:dyDescent="0.25">
      <c r="A15" s="1">
        <v>46044</v>
      </c>
      <c r="B15" s="33">
        <v>69.84</v>
      </c>
      <c r="C15" s="33">
        <v>82.27</v>
      </c>
      <c r="D15" s="15">
        <v>2.7242113055320301E-3</v>
      </c>
      <c r="E15" s="15">
        <v>-2.0642348414193802E-3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69.84</v>
      </c>
      <c r="M15" s="33">
        <v>82.27</v>
      </c>
      <c r="N15" s="34">
        <v>1.1779782359679201</v>
      </c>
      <c r="O15" s="34">
        <v>1.16085801049043</v>
      </c>
      <c r="P15" s="34">
        <v>1.1823494302484101</v>
      </c>
      <c r="R15" s="33">
        <v>81.074323452652095</v>
      </c>
      <c r="S15" s="33">
        <v>82.551780759215902</v>
      </c>
      <c r="U15" s="15">
        <v>-1.46402137320846E-2</v>
      </c>
      <c r="V15" s="15">
        <v>3.4192208389510199E-3</v>
      </c>
      <c r="X15" s="34">
        <v>1.1779782359679201</v>
      </c>
      <c r="Y15" s="34">
        <v>1.16060033170917</v>
      </c>
      <c r="Z15" s="34">
        <v>1.1823494302484101</v>
      </c>
      <c r="AB15" s="33">
        <v>81.056327166568806</v>
      </c>
      <c r="AC15" s="33">
        <v>82.551780759215902</v>
      </c>
      <c r="AE15" s="15">
        <v>-1.48622110668076E-2</v>
      </c>
      <c r="AF15" s="15">
        <v>3.4192208389510199E-3</v>
      </c>
      <c r="AQ15" s="20">
        <f>STDEV(AQ22:AQ176)</f>
        <v>2.3148316017898665E-3</v>
      </c>
      <c r="AR15" s="21" t="s">
        <v>42</v>
      </c>
      <c r="BB15" s="20">
        <f>STDEV(BB22:BB176)</f>
        <v>1.5762033284329184E-3</v>
      </c>
      <c r="BC15" s="21" t="s">
        <v>42</v>
      </c>
      <c r="BD15" s="22"/>
      <c r="BE15" s="20">
        <f>STDEV(BE22:BE176)</f>
        <v>2.7910495815145053E-3</v>
      </c>
      <c r="BF15" s="21" t="s">
        <v>42</v>
      </c>
    </row>
    <row r="16" spans="1:130" x14ac:dyDescent="0.25">
      <c r="A16" s="1">
        <v>46045</v>
      </c>
      <c r="B16" s="33">
        <v>70.400000000000006</v>
      </c>
      <c r="C16" s="33">
        <v>82.91</v>
      </c>
      <c r="D16" s="15">
        <v>7.9863516326499195E-3</v>
      </c>
      <c r="E16" s="15">
        <v>7.7491609472884497E-3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70.400000000000006</v>
      </c>
      <c r="M16" s="33">
        <v>82.91</v>
      </c>
      <c r="N16" s="34">
        <v>1.1776988636363599</v>
      </c>
      <c r="O16" s="34">
        <v>1.16085801049043</v>
      </c>
      <c r="P16" s="34">
        <v>1.1823592205303699</v>
      </c>
      <c r="R16" s="33">
        <v>81.724403938526706</v>
      </c>
      <c r="S16" s="33">
        <v>83.237399889488103</v>
      </c>
      <c r="U16" s="15">
        <v>-1.44030230467231E-2</v>
      </c>
      <c r="V16" s="15">
        <v>3.94108259863255E-3</v>
      </c>
      <c r="X16" s="34">
        <v>1.1776988636363599</v>
      </c>
      <c r="Y16" s="34">
        <v>1.16060033170917</v>
      </c>
      <c r="Z16" s="34">
        <v>1.1823592205303699</v>
      </c>
      <c r="AB16" s="33">
        <v>81.706263352326005</v>
      </c>
      <c r="AC16" s="33">
        <v>83.237399889488103</v>
      </c>
      <c r="AE16" s="15">
        <v>-1.4625020381446099E-2</v>
      </c>
      <c r="AF16" s="15">
        <v>3.94108259863255E-3</v>
      </c>
      <c r="AQ16" s="23">
        <f>SQRT(252)*AQ14/AQ15</f>
        <v>2.5677147153796551</v>
      </c>
      <c r="AR16" s="21" t="s">
        <v>43</v>
      </c>
      <c r="BB16" s="23">
        <f>SQRT(252)*BB14/BB15</f>
        <v>0.70692584105224843</v>
      </c>
      <c r="BC16" s="21" t="s">
        <v>43</v>
      </c>
      <c r="BD16" s="22"/>
      <c r="BE16" s="23">
        <f>SQRT(252)*BE14/BE15</f>
        <v>2.5288286091046674</v>
      </c>
      <c r="BF16" s="21" t="s">
        <v>43</v>
      </c>
    </row>
    <row r="17" spans="1:124" x14ac:dyDescent="0.25">
      <c r="A17" s="1">
        <v>46048</v>
      </c>
      <c r="B17" s="33">
        <v>70.56</v>
      </c>
      <c r="C17" s="33">
        <v>82.78</v>
      </c>
      <c r="D17" s="15">
        <v>2.2701485345390702E-3</v>
      </c>
      <c r="E17" s="15">
        <v>-1.5691958075409601E-3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70.56</v>
      </c>
      <c r="M17" s="33">
        <v>82.78</v>
      </c>
      <c r="N17" s="34">
        <v>1.17318594104308</v>
      </c>
      <c r="O17" s="34">
        <v>1.16085801049043</v>
      </c>
      <c r="P17" s="34">
        <v>1.18174626701563</v>
      </c>
      <c r="R17" s="33">
        <v>81.910141220205205</v>
      </c>
      <c r="S17" s="33">
        <v>83.427266600623497</v>
      </c>
      <c r="U17" s="15">
        <v>-1.0563678704643101E-2</v>
      </c>
      <c r="V17" s="15">
        <v>7.7887072690006297E-3</v>
      </c>
      <c r="X17" s="34">
        <v>1.17318594104308</v>
      </c>
      <c r="Y17" s="34">
        <v>1.16060033170917</v>
      </c>
      <c r="Z17" s="34">
        <v>1.18174626701563</v>
      </c>
      <c r="AB17" s="33">
        <v>81.891959405399405</v>
      </c>
      <c r="AC17" s="33">
        <v>83.427266600623497</v>
      </c>
      <c r="AE17" s="15">
        <v>-1.07856760393659E-2</v>
      </c>
      <c r="AF17" s="15">
        <v>7.7887072690006297E-3</v>
      </c>
    </row>
    <row r="18" spans="1:124" x14ac:dyDescent="0.25">
      <c r="A18" s="1">
        <v>46049</v>
      </c>
      <c r="B18" s="33">
        <v>70.78</v>
      </c>
      <c r="C18" s="33">
        <v>83.16</v>
      </c>
      <c r="D18" s="15">
        <v>3.1130632187814102E-3</v>
      </c>
      <c r="E18" s="15">
        <v>4.5799766692258097E-3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70.78</v>
      </c>
      <c r="M18" s="33">
        <v>83.16</v>
      </c>
      <c r="N18" s="34">
        <v>1.17490816614862</v>
      </c>
      <c r="O18" s="34">
        <v>1.16085801049043</v>
      </c>
      <c r="P18" s="34">
        <v>1.18090768575564</v>
      </c>
      <c r="R18" s="33">
        <v>82.165529982513107</v>
      </c>
      <c r="S18" s="33">
        <v>83.644000779366905</v>
      </c>
      <c r="U18" s="15">
        <v>-1.20305921550875E-2</v>
      </c>
      <c r="V18" s="15">
        <v>5.8032437524079602E-3</v>
      </c>
      <c r="X18" s="34">
        <v>1.17490816614862</v>
      </c>
      <c r="Y18" s="34">
        <v>1.16060033170917</v>
      </c>
      <c r="Z18" s="34">
        <v>1.18090768575564</v>
      </c>
      <c r="AB18" s="33">
        <v>82.147291478375493</v>
      </c>
      <c r="AC18" s="33">
        <v>83.644000779366905</v>
      </c>
      <c r="AE18" s="15">
        <v>-1.2252589489810299E-2</v>
      </c>
      <c r="AF18" s="15">
        <v>5.8032437524079602E-3</v>
      </c>
      <c r="BE18" s="24">
        <f>SUM(BE22:BE176)</f>
        <v>6.8915732319914505E-2</v>
      </c>
      <c r="BF18" s="20">
        <f>BF176</f>
        <v>6.8915732319914505E-2</v>
      </c>
    </row>
    <row r="19" spans="1:124" x14ac:dyDescent="0.25">
      <c r="A19" s="1">
        <v>46050</v>
      </c>
      <c r="B19" s="33">
        <v>70.319999999999993</v>
      </c>
      <c r="C19" s="33">
        <v>82.32</v>
      </c>
      <c r="D19" s="15">
        <v>-6.5202215403958198E-3</v>
      </c>
      <c r="E19" s="15">
        <v>-1.0152371464018E-2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70.319999999999993</v>
      </c>
      <c r="M19" s="33">
        <v>82.32</v>
      </c>
      <c r="N19" s="34">
        <v>1.17064846416382</v>
      </c>
      <c r="O19" s="34">
        <v>1.16085801049043</v>
      </c>
      <c r="P19" s="34">
        <v>1.17935597762391</v>
      </c>
      <c r="R19" s="33">
        <v>81.631535297687506</v>
      </c>
      <c r="S19" s="33">
        <v>83.041428462337194</v>
      </c>
      <c r="U19" s="15">
        <v>-8.3984422314652904E-3</v>
      </c>
      <c r="V19" s="15">
        <v>8.7255298432672608E-3</v>
      </c>
      <c r="X19" s="34">
        <v>1.17064846416382</v>
      </c>
      <c r="Y19" s="34">
        <v>1.16060033170917</v>
      </c>
      <c r="Z19" s="34">
        <v>1.17935597762391</v>
      </c>
      <c r="AB19" s="33">
        <v>81.613415325789205</v>
      </c>
      <c r="AC19" s="33">
        <v>83.041428462337194</v>
      </c>
      <c r="AE19" s="15">
        <v>-8.6204395661881109E-3</v>
      </c>
      <c r="AF19" s="15">
        <v>8.7255298432672608E-3</v>
      </c>
      <c r="AI19" s="12"/>
      <c r="AJ19"/>
      <c r="AK19"/>
      <c r="AL19"/>
      <c r="AM19"/>
      <c r="AN19"/>
      <c r="AO19"/>
      <c r="AP19"/>
      <c r="AQ19" s="24">
        <f>SUM(AQ22:AQ176)</f>
        <v>5.8036017161810491E-2</v>
      </c>
      <c r="AR19" s="24">
        <f>AR176</f>
        <v>5.8036017161810491E-2</v>
      </c>
      <c r="AU19"/>
      <c r="AV19"/>
      <c r="AW19"/>
      <c r="AX19"/>
      <c r="AY19"/>
      <c r="AZ19"/>
      <c r="BA19"/>
      <c r="BB19" s="24">
        <f>SUM(BB22:BB176)</f>
        <v>1.0879715158104023E-2</v>
      </c>
      <c r="BC19" s="24">
        <f>BC176</f>
        <v>1.0879715158104023E-2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70.3</v>
      </c>
      <c r="C20" s="33">
        <v>82.13</v>
      </c>
      <c r="D20" s="15">
        <v>-2.8445456030232202E-4</v>
      </c>
      <c r="E20" s="15">
        <v>-2.3107337736931999E-3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70.3</v>
      </c>
      <c r="M20" s="33">
        <v>82.13</v>
      </c>
      <c r="N20" s="34">
        <v>1.1682788051209101</v>
      </c>
      <c r="O20" s="34">
        <v>1.16085801049043</v>
      </c>
      <c r="P20" s="34">
        <v>1.17767975091594</v>
      </c>
      <c r="R20" s="33">
        <v>81.608318137477696</v>
      </c>
      <c r="S20" s="33">
        <v>82.908725226961394</v>
      </c>
      <c r="U20" s="15">
        <v>-6.3721630180744102E-3</v>
      </c>
      <c r="V20" s="15">
        <v>9.4369488744139203E-3</v>
      </c>
      <c r="X20" s="34">
        <v>1.1682788051209101</v>
      </c>
      <c r="Y20" s="34">
        <v>1.16060033170917</v>
      </c>
      <c r="Z20" s="34">
        <v>1.17767975091594</v>
      </c>
      <c r="AB20" s="33">
        <v>81.590203319154995</v>
      </c>
      <c r="AC20" s="33">
        <v>82.908725226961394</v>
      </c>
      <c r="AE20" s="15">
        <v>-6.5941603527972402E-3</v>
      </c>
      <c r="AF20" s="15">
        <v>9.4369488744139203E-3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IYK log rtn</v>
      </c>
      <c r="AP20" s="7" t="str">
        <f>E1</f>
        <v>XLP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IYK log rtn</v>
      </c>
      <c r="BA20" s="24" t="str">
        <f>E1</f>
        <v>XLP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71.47</v>
      </c>
      <c r="C21" s="33">
        <v>83.51</v>
      </c>
      <c r="D21" s="15">
        <v>1.6505982415268301E-2</v>
      </c>
      <c r="E21" s="15">
        <v>1.6663027413037101E-2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71.47</v>
      </c>
      <c r="M21" s="33">
        <v>83.51</v>
      </c>
      <c r="N21" s="34">
        <v>1.1684622918707099</v>
      </c>
      <c r="O21" s="34">
        <v>1.16085801049043</v>
      </c>
      <c r="P21" s="34">
        <v>1.1762632378201701</v>
      </c>
      <c r="Q21" s="34">
        <v>1.1770650605519599</v>
      </c>
      <c r="R21" s="33">
        <v>82.9665220097515</v>
      </c>
      <c r="S21" s="33">
        <v>84.168771797962805</v>
      </c>
      <c r="U21" s="15">
        <v>-6.52920801584333E-3</v>
      </c>
      <c r="V21" s="15">
        <v>7.8575860303301704E-3</v>
      </c>
      <c r="X21" s="34">
        <v>1.1684622918707099</v>
      </c>
      <c r="Y21" s="34">
        <v>1.16060033170917</v>
      </c>
      <c r="Z21" s="34">
        <v>1.1762632378201701</v>
      </c>
      <c r="AA21" s="34">
        <v>1.1770650605519599</v>
      </c>
      <c r="AB21" s="33">
        <v>82.948105707254797</v>
      </c>
      <c r="AC21" s="33">
        <v>84.168771797962805</v>
      </c>
      <c r="AE21" s="15">
        <v>-6.7512053505660499E-3</v>
      </c>
      <c r="AF21" s="15">
        <v>7.8575860303301704E-3</v>
      </c>
      <c r="AI21" s="26">
        <v>-5.0000000000000001E-3</v>
      </c>
      <c r="AJ21"/>
      <c r="AK21"/>
      <c r="AL21"/>
      <c r="AM21">
        <f t="shared" ref="AM21:AM84" si="4">IF(F22+H22&gt;0,0,1)</f>
        <v>1</v>
      </c>
      <c r="AN21" s="27">
        <v>0</v>
      </c>
      <c r="AO21"/>
      <c r="AP21"/>
      <c r="AQ21"/>
      <c r="AR21"/>
      <c r="AT21" s="26">
        <v>7.4999999999999997E-3</v>
      </c>
      <c r="AU21"/>
      <c r="AV21"/>
      <c r="AW21"/>
      <c r="AX21">
        <f t="shared" ref="AX21:AX84" si="5">IF(F22+H22&gt;0,0,1)</f>
        <v>1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71.91</v>
      </c>
      <c r="C22" s="33">
        <v>84.5</v>
      </c>
      <c r="D22" s="15">
        <v>6.1375558825151602E-3</v>
      </c>
      <c r="E22" s="15">
        <v>1.1785149197989999E-2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71.91</v>
      </c>
      <c r="M22" s="33">
        <v>84.5</v>
      </c>
      <c r="N22" s="34">
        <v>1.1750799610624301</v>
      </c>
      <c r="O22" s="34">
        <v>1.16085801049043</v>
      </c>
      <c r="P22" s="34">
        <v>1.17533765538899</v>
      </c>
      <c r="Q22" s="34">
        <v>1.17758940787805</v>
      </c>
      <c r="R22" s="33">
        <v>83.477299534367305</v>
      </c>
      <c r="S22" s="33">
        <v>84.585089431648896</v>
      </c>
      <c r="T22" s="33">
        <v>84.642748504291802</v>
      </c>
      <c r="U22" s="15">
        <v>-1.2176801331318101E-2</v>
      </c>
      <c r="V22" s="15">
        <v>1.0064688627224401E-3</v>
      </c>
      <c r="W22" s="15">
        <v>1.6879060964220499E-3</v>
      </c>
      <c r="X22" s="34">
        <v>1.1750799610624301</v>
      </c>
      <c r="Y22" s="34">
        <v>1.16060033170917</v>
      </c>
      <c r="Z22" s="34">
        <v>1.17533765538899</v>
      </c>
      <c r="AA22" s="34">
        <v>1.17758940787805</v>
      </c>
      <c r="AB22" s="33">
        <v>83.458769853206803</v>
      </c>
      <c r="AC22" s="33">
        <v>84.585089431648896</v>
      </c>
      <c r="AD22" s="33">
        <v>84.642748504291802</v>
      </c>
      <c r="AE22" s="15">
        <v>-1.2398798666040999E-2</v>
      </c>
      <c r="AF22" s="15">
        <v>1.0064688627224401E-3</v>
      </c>
      <c r="AG22" s="15">
        <v>1.6879060964220499E-3</v>
      </c>
      <c r="AI22" s="26">
        <v>-2.5000000000000001E-3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4.0000000000000001E-3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72.92</v>
      </c>
      <c r="C23" s="33">
        <v>85.87</v>
      </c>
      <c r="D23" s="15">
        <v>1.39476126960596E-2</v>
      </c>
      <c r="E23" s="15">
        <v>1.6082990321265301E-2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72.92</v>
      </c>
      <c r="M23" s="33">
        <v>85.87</v>
      </c>
      <c r="N23" s="34">
        <v>1.1775918815139801</v>
      </c>
      <c r="O23" s="34">
        <v>1.16085801049043</v>
      </c>
      <c r="P23" s="34">
        <v>1.1747465058481901</v>
      </c>
      <c r="Q23" s="34">
        <v>1.17801223049063</v>
      </c>
      <c r="R23" s="33">
        <v>84.649766124962596</v>
      </c>
      <c r="S23" s="33">
        <v>85.7056218309652</v>
      </c>
      <c r="T23" s="33">
        <v>85.869819622468</v>
      </c>
      <c r="U23" s="15">
        <v>-1.4312178956523701E-2</v>
      </c>
      <c r="V23" s="15">
        <v>-1.91610227108868E-3</v>
      </c>
      <c r="W23" s="15">
        <v>-2.10059067629439E-6</v>
      </c>
      <c r="X23" s="34">
        <v>1.1775918815139801</v>
      </c>
      <c r="Y23" s="34">
        <v>1.16060033170917</v>
      </c>
      <c r="Z23" s="34">
        <v>1.1747465058481901</v>
      </c>
      <c r="AA23" s="34">
        <v>1.17801223049063</v>
      </c>
      <c r="AB23" s="33">
        <v>84.630976188233106</v>
      </c>
      <c r="AC23" s="33">
        <v>85.7056218309652</v>
      </c>
      <c r="AD23" s="33">
        <v>85.869819622468</v>
      </c>
      <c r="AE23" s="15">
        <v>-1.4534176291246601E-2</v>
      </c>
      <c r="AF23" s="15">
        <v>-1.91610227108868E-3</v>
      </c>
      <c r="AG23" s="15">
        <v>-2.10059067629439E-6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73.400000000000006</v>
      </c>
      <c r="C24" s="33">
        <v>86.99</v>
      </c>
      <c r="D24" s="15">
        <v>6.5609858100076296E-3</v>
      </c>
      <c r="E24" s="15">
        <v>1.2958644835055899E-2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73.400000000000006</v>
      </c>
      <c r="M24" s="33">
        <v>86.99</v>
      </c>
      <c r="N24" s="34">
        <v>1.18514986376021</v>
      </c>
      <c r="O24" s="34">
        <v>1.16085801049043</v>
      </c>
      <c r="P24" s="34">
        <v>1.1748982474287999</v>
      </c>
      <c r="Q24" s="34">
        <v>1.17845557244876</v>
      </c>
      <c r="R24" s="33">
        <v>85.206977969997993</v>
      </c>
      <c r="S24" s="33">
        <v>86.226393529257393</v>
      </c>
      <c r="T24" s="33">
        <v>86.466097718012904</v>
      </c>
      <c r="U24" s="15">
        <v>-2.0709837981571999E-2</v>
      </c>
      <c r="V24" s="15">
        <v>-8.8168492816796899E-3</v>
      </c>
      <c r="W24" s="15">
        <v>-6.0407663035838399E-3</v>
      </c>
      <c r="X24" s="34">
        <v>1.18514986376021</v>
      </c>
      <c r="Y24" s="34">
        <v>1.16060033170917</v>
      </c>
      <c r="Z24" s="34">
        <v>1.1748982474287999</v>
      </c>
      <c r="AA24" s="34">
        <v>1.17845557244876</v>
      </c>
      <c r="AB24" s="33">
        <v>85.188064347453505</v>
      </c>
      <c r="AC24" s="33">
        <v>86.226393529257393</v>
      </c>
      <c r="AD24" s="33">
        <v>86.466097718012904</v>
      </c>
      <c r="AE24" s="15">
        <v>-2.0931835316294899E-2</v>
      </c>
      <c r="AF24" s="15">
        <v>-8.8168492816796899E-3</v>
      </c>
      <c r="AG24" s="15">
        <v>-6.0407663035838399E-3</v>
      </c>
      <c r="AI24" s="12"/>
      <c r="AJ24">
        <f t="shared" si="6"/>
        <v>1</v>
      </c>
      <c r="AK24">
        <f t="shared" si="7"/>
        <v>0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74.48</v>
      </c>
      <c r="C25" s="33">
        <v>86.92</v>
      </c>
      <c r="D25" s="15">
        <v>1.46066973483416E-2</v>
      </c>
      <c r="E25" s="15">
        <v>-8.0501413122038704E-4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74.48</v>
      </c>
      <c r="M25" s="33">
        <v>86.92</v>
      </c>
      <c r="N25" s="34">
        <v>1.1670247046186799</v>
      </c>
      <c r="O25" s="34">
        <v>1.16085801049043</v>
      </c>
      <c r="P25" s="34">
        <v>1.1738028942938801</v>
      </c>
      <c r="Q25" s="34">
        <v>1.17807616227114</v>
      </c>
      <c r="R25" s="33">
        <v>86.460704621327693</v>
      </c>
      <c r="S25" s="33">
        <v>87.506421468497706</v>
      </c>
      <c r="T25" s="33">
        <v>87.771371035984203</v>
      </c>
      <c r="U25" s="15">
        <v>-5.2981265020099399E-3</v>
      </c>
      <c r="V25" s="15">
        <v>6.7240234939597004E-3</v>
      </c>
      <c r="W25" s="15">
        <v>9.7472218752031603E-3</v>
      </c>
      <c r="X25" s="34">
        <v>1.1670247046186799</v>
      </c>
      <c r="Y25" s="34">
        <v>1.16060033170917</v>
      </c>
      <c r="Z25" s="34">
        <v>1.1738028942938801</v>
      </c>
      <c r="AA25" s="34">
        <v>1.17807616227114</v>
      </c>
      <c r="AB25" s="33">
        <v>86.441512705699395</v>
      </c>
      <c r="AC25" s="33">
        <v>87.506421468497706</v>
      </c>
      <c r="AD25" s="33">
        <v>87.771371035984203</v>
      </c>
      <c r="AE25" s="15">
        <v>-5.5201238367326502E-3</v>
      </c>
      <c r="AF25" s="15">
        <v>6.7240234939597004E-3</v>
      </c>
      <c r="AG25" s="15">
        <v>9.7472218752031603E-3</v>
      </c>
      <c r="AI25" s="12"/>
      <c r="AJ25">
        <f t="shared" si="6"/>
        <v>0</v>
      </c>
      <c r="AK25">
        <f t="shared" si="7"/>
        <v>1</v>
      </c>
      <c r="AL25">
        <f t="shared" si="14"/>
        <v>1</v>
      </c>
      <c r="AM25">
        <f t="shared" si="4"/>
        <v>1</v>
      </c>
      <c r="AN25">
        <f t="shared" si="15"/>
        <v>1</v>
      </c>
      <c r="AO25" s="28">
        <f t="shared" si="8"/>
        <v>1.46066973483416E-2</v>
      </c>
      <c r="AP25" s="28">
        <f t="shared" si="9"/>
        <v>8.0501413122038704E-4</v>
      </c>
      <c r="AQ25" s="28">
        <f t="shared" si="16"/>
        <v>1.5411711479561987E-2</v>
      </c>
      <c r="AR25" s="29">
        <f t="shared" si="17"/>
        <v>1.5411711479561987E-2</v>
      </c>
      <c r="AT25" s="12"/>
      <c r="AU25">
        <f t="shared" si="10"/>
        <v>1</v>
      </c>
      <c r="AV25">
        <f t="shared" si="11"/>
        <v>0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1.5411711479561987E-2</v>
      </c>
      <c r="BF25" s="29">
        <f t="shared" si="23"/>
        <v>1.5411711479561987E-2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75.099999999999994</v>
      </c>
      <c r="C26" s="33">
        <v>87.94</v>
      </c>
      <c r="D26" s="15">
        <v>8.2899258012773692E-3</v>
      </c>
      <c r="E26" s="15">
        <v>1.1666608364435199E-2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75.099999999999994</v>
      </c>
      <c r="M26" s="33">
        <v>87.94</v>
      </c>
      <c r="N26" s="34">
        <v>1.1709720372836201</v>
      </c>
      <c r="O26" s="34">
        <v>1.16085801049043</v>
      </c>
      <c r="P26" s="34">
        <v>1.17313021165861</v>
      </c>
      <c r="Q26" s="34">
        <v>1.1777447160944901</v>
      </c>
      <c r="R26" s="33">
        <v>87.180436587831807</v>
      </c>
      <c r="S26" s="33">
        <v>88.152597361470796</v>
      </c>
      <c r="T26" s="33">
        <v>88.473519786563202</v>
      </c>
      <c r="U26" s="15">
        <v>-8.6748090651677604E-3</v>
      </c>
      <c r="V26" s="15">
        <v>2.41460990353079E-3</v>
      </c>
      <c r="W26" s="15">
        <v>6.0485320372797103E-3</v>
      </c>
      <c r="X26" s="34">
        <v>1.1709720372836201</v>
      </c>
      <c r="Y26" s="34">
        <v>1.16060033170917</v>
      </c>
      <c r="Z26" s="34">
        <v>1.17313021165861</v>
      </c>
      <c r="AA26" s="34">
        <v>1.1777447160944901</v>
      </c>
      <c r="AB26" s="33">
        <v>87.161084911359097</v>
      </c>
      <c r="AC26" s="33">
        <v>88.152597361470796</v>
      </c>
      <c r="AD26" s="33">
        <v>88.473519786563202</v>
      </c>
      <c r="AE26" s="15">
        <v>-8.8968063998905392E-3</v>
      </c>
      <c r="AF26" s="15">
        <v>2.41460990353079E-3</v>
      </c>
      <c r="AG26" s="15">
        <v>6.0485320372797103E-3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1.5411711479561987E-2</v>
      </c>
      <c r="AT26" s="12"/>
      <c r="AU26">
        <f t="shared" si="10"/>
        <v>0</v>
      </c>
      <c r="AV26">
        <f t="shared" si="11"/>
        <v>0</v>
      </c>
      <c r="AW26">
        <f t="shared" si="18"/>
        <v>1</v>
      </c>
      <c r="AX26">
        <f t="shared" si="5"/>
        <v>1</v>
      </c>
      <c r="AY26">
        <f t="shared" si="19"/>
        <v>1</v>
      </c>
      <c r="AZ26" s="28">
        <f t="shared" si="12"/>
        <v>-8.2899258012773692E-3</v>
      </c>
      <c r="BA26" s="28">
        <f t="shared" si="13"/>
        <v>1.1666608364435199E-2</v>
      </c>
      <c r="BB26" s="28">
        <f t="shared" si="20"/>
        <v>3.37668256315783E-3</v>
      </c>
      <c r="BC26" s="29">
        <f t="shared" si="21"/>
        <v>3.37668256315783E-3</v>
      </c>
      <c r="BE26" s="29">
        <f t="shared" si="22"/>
        <v>3.37668256315783E-3</v>
      </c>
      <c r="BF26" s="29">
        <f t="shared" si="23"/>
        <v>1.8788394042719817E-2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74.59</v>
      </c>
      <c r="C27" s="33">
        <v>87.43</v>
      </c>
      <c r="D27" s="15">
        <v>-6.8141088030170298E-3</v>
      </c>
      <c r="E27" s="15">
        <v>-5.8162905598643398E-3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74.59</v>
      </c>
      <c r="M27" s="33">
        <v>87.43</v>
      </c>
      <c r="N27" s="34">
        <v>1.17214103767261</v>
      </c>
      <c r="O27" s="34">
        <v>1.16085801049043</v>
      </c>
      <c r="P27" s="34">
        <v>1.17302572132156</v>
      </c>
      <c r="Q27" s="34">
        <v>1.1773859941686</v>
      </c>
      <c r="R27" s="33">
        <v>86.588399002481694</v>
      </c>
      <c r="S27" s="33">
        <v>87.503782487615794</v>
      </c>
      <c r="T27" s="33">
        <v>87.847978373488303</v>
      </c>
      <c r="U27" s="15">
        <v>-9.6726273083205198E-3</v>
      </c>
      <c r="V27" s="15">
        <v>8.4354766634273798E-4</v>
      </c>
      <c r="W27" s="15">
        <v>4.7693289215465402E-3</v>
      </c>
      <c r="X27" s="34">
        <v>1.17214103767261</v>
      </c>
      <c r="Y27" s="34">
        <v>1.16060033170917</v>
      </c>
      <c r="Z27" s="34">
        <v>1.17302572132156</v>
      </c>
      <c r="AA27" s="34">
        <v>1.1773859941686</v>
      </c>
      <c r="AB27" s="33">
        <v>86.569178742187404</v>
      </c>
      <c r="AC27" s="33">
        <v>87.503782487615794</v>
      </c>
      <c r="AD27" s="33">
        <v>87.847978373488303</v>
      </c>
      <c r="AE27" s="15">
        <v>-9.8946246430431893E-3</v>
      </c>
      <c r="AF27" s="15">
        <v>8.4354766634273798E-4</v>
      </c>
      <c r="AG27" s="15">
        <v>4.7693289215465402E-3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1.5411711479561987E-2</v>
      </c>
      <c r="AT27" s="12"/>
      <c r="AU27">
        <f t="shared" si="10"/>
        <v>0</v>
      </c>
      <c r="AV27">
        <f t="shared" si="11"/>
        <v>0</v>
      </c>
      <c r="AW27">
        <f t="shared" si="18"/>
        <v>1</v>
      </c>
      <c r="AX27">
        <f t="shared" si="5"/>
        <v>1</v>
      </c>
      <c r="AY27">
        <f t="shared" si="19"/>
        <v>1</v>
      </c>
      <c r="AZ27" s="28">
        <f t="shared" si="12"/>
        <v>6.8141088030170298E-3</v>
      </c>
      <c r="BA27" s="28">
        <f t="shared" si="13"/>
        <v>-5.8162905598643398E-3</v>
      </c>
      <c r="BB27" s="28">
        <f t="shared" si="20"/>
        <v>9.9781824315268997E-4</v>
      </c>
      <c r="BC27" s="29">
        <f t="shared" si="21"/>
        <v>4.37450080631052E-3</v>
      </c>
      <c r="BE27" s="29">
        <f t="shared" si="22"/>
        <v>9.9781824315268997E-4</v>
      </c>
      <c r="BF27" s="29">
        <f t="shared" si="23"/>
        <v>1.9786212285872507E-2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74.52</v>
      </c>
      <c r="C28" s="33">
        <v>87.15</v>
      </c>
      <c r="D28" s="15">
        <v>-9.3890423368428E-4</v>
      </c>
      <c r="E28" s="15">
        <v>-3.20770122676973E-3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74.52</v>
      </c>
      <c r="M28" s="33">
        <v>87.15</v>
      </c>
      <c r="N28" s="34">
        <v>1.1694847020933901</v>
      </c>
      <c r="O28" s="34">
        <v>1.16085801049043</v>
      </c>
      <c r="P28" s="34">
        <v>1.1724833749160399</v>
      </c>
      <c r="Q28" s="34">
        <v>1.17669553033584</v>
      </c>
      <c r="R28" s="33">
        <v>86.5071389417473</v>
      </c>
      <c r="S28" s="33">
        <v>87.413876752882899</v>
      </c>
      <c r="T28" s="33">
        <v>87.738804285444203</v>
      </c>
      <c r="U28" s="15">
        <v>-7.4038303152350101E-3</v>
      </c>
      <c r="V28" s="15">
        <v>3.0232710086556302E-3</v>
      </c>
      <c r="W28" s="15">
        <v>6.7334957494322003E-3</v>
      </c>
      <c r="X28" s="34">
        <v>1.1694847020933901</v>
      </c>
      <c r="Y28" s="34">
        <v>1.16060033170917</v>
      </c>
      <c r="Z28" s="34">
        <v>1.1724833749160399</v>
      </c>
      <c r="AA28" s="34">
        <v>1.17669553033584</v>
      </c>
      <c r="AB28" s="33">
        <v>86.487936718967802</v>
      </c>
      <c r="AC28" s="33">
        <v>87.413876752882899</v>
      </c>
      <c r="AD28" s="33">
        <v>87.738804285444203</v>
      </c>
      <c r="AE28" s="15">
        <v>-7.6258276499578601E-3</v>
      </c>
      <c r="AF28" s="15">
        <v>3.0232710086556302E-3</v>
      </c>
      <c r="AG28" s="15">
        <v>6.7334957494322003E-3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1.5411711479561987E-2</v>
      </c>
      <c r="AT28" s="12"/>
      <c r="AU28">
        <f t="shared" si="10"/>
        <v>0</v>
      </c>
      <c r="AV28">
        <f t="shared" si="11"/>
        <v>0</v>
      </c>
      <c r="AW28">
        <f t="shared" si="18"/>
        <v>1</v>
      </c>
      <c r="AX28">
        <f t="shared" si="5"/>
        <v>1</v>
      </c>
      <c r="AY28">
        <f t="shared" si="19"/>
        <v>1</v>
      </c>
      <c r="AZ28" s="28">
        <f t="shared" si="12"/>
        <v>9.3890423368428E-4</v>
      </c>
      <c r="BA28" s="28">
        <f t="shared" si="13"/>
        <v>-3.20770122676973E-3</v>
      </c>
      <c r="BB28" s="28">
        <f t="shared" si="20"/>
        <v>-2.2687969930854498E-3</v>
      </c>
      <c r="BC28" s="29">
        <f t="shared" si="21"/>
        <v>2.1057038132250702E-3</v>
      </c>
      <c r="BE28" s="29">
        <f t="shared" si="22"/>
        <v>-2.2687969930854498E-3</v>
      </c>
      <c r="BF28" s="29">
        <f t="shared" si="23"/>
        <v>1.7517415292787056E-2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75.56</v>
      </c>
      <c r="C29" s="33">
        <v>88.4</v>
      </c>
      <c r="D29" s="15">
        <v>1.38594968999211E-2</v>
      </c>
      <c r="E29" s="15">
        <v>1.42411976775677E-2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75.56</v>
      </c>
      <c r="M29" s="33">
        <v>88.4</v>
      </c>
      <c r="N29" s="34">
        <v>1.16993118051879</v>
      </c>
      <c r="O29" s="34">
        <v>1.16085801049043</v>
      </c>
      <c r="P29" s="34">
        <v>1.17241164655153</v>
      </c>
      <c r="Q29" s="34">
        <v>1.17588381208772</v>
      </c>
      <c r="R29" s="33">
        <v>87.714431272657393</v>
      </c>
      <c r="S29" s="33">
        <v>88.592843808655999</v>
      </c>
      <c r="T29" s="33">
        <v>88.911114272176405</v>
      </c>
      <c r="U29" s="15">
        <v>-7.7855310928815896E-3</v>
      </c>
      <c r="V29" s="15">
        <v>2.1791150513987599E-3</v>
      </c>
      <c r="W29" s="15">
        <v>5.7651849964140004E-3</v>
      </c>
      <c r="X29" s="34">
        <v>1.16993118051879</v>
      </c>
      <c r="Y29" s="34">
        <v>1.16060033170917</v>
      </c>
      <c r="Z29" s="34">
        <v>1.17241164655153</v>
      </c>
      <c r="AA29" s="34">
        <v>1.17588381208772</v>
      </c>
      <c r="AB29" s="33">
        <v>87.6949610639453</v>
      </c>
      <c r="AC29" s="33">
        <v>88.592843808655999</v>
      </c>
      <c r="AD29" s="33">
        <v>88.911114272176405</v>
      </c>
      <c r="AE29" s="15">
        <v>-8.00752842760445E-3</v>
      </c>
      <c r="AF29" s="15">
        <v>2.1791150513987599E-3</v>
      </c>
      <c r="AG29" s="15">
        <v>5.7651849964140004E-3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1.5411711479561987E-2</v>
      </c>
      <c r="AT29" s="12"/>
      <c r="AU29">
        <f t="shared" si="10"/>
        <v>0</v>
      </c>
      <c r="AV29">
        <f t="shared" si="11"/>
        <v>0</v>
      </c>
      <c r="AW29">
        <f t="shared" si="18"/>
        <v>1</v>
      </c>
      <c r="AX29">
        <f t="shared" si="5"/>
        <v>1</v>
      </c>
      <c r="AY29">
        <f t="shared" si="19"/>
        <v>1</v>
      </c>
      <c r="AZ29" s="28">
        <f t="shared" si="12"/>
        <v>-1.38594968999211E-2</v>
      </c>
      <c r="BA29" s="28">
        <f t="shared" si="13"/>
        <v>1.42411976775677E-2</v>
      </c>
      <c r="BB29" s="28">
        <f t="shared" si="20"/>
        <v>3.8170077764660033E-4</v>
      </c>
      <c r="BC29" s="29">
        <f t="shared" si="21"/>
        <v>2.4874045908716705E-3</v>
      </c>
      <c r="BE29" s="29">
        <f t="shared" si="22"/>
        <v>3.8170077764660033E-4</v>
      </c>
      <c r="BF29" s="29">
        <f t="shared" si="23"/>
        <v>1.7899116070433659E-2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75.83</v>
      </c>
      <c r="C30" s="33">
        <v>89.21</v>
      </c>
      <c r="D30" s="15">
        <v>3.56695007953528E-3</v>
      </c>
      <c r="E30" s="15">
        <v>9.1211712820943106E-3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75.83</v>
      </c>
      <c r="M30" s="33">
        <v>89.21</v>
      </c>
      <c r="N30" s="34">
        <v>1.17644731636555</v>
      </c>
      <c r="O30" s="34">
        <v>1.16085801049043</v>
      </c>
      <c r="P30" s="34">
        <v>1.1732284976759999</v>
      </c>
      <c r="Q30" s="34">
        <v>1.17545412429597</v>
      </c>
      <c r="R30" s="33">
        <v>88.027862935489793</v>
      </c>
      <c r="S30" s="33">
        <v>88.903975158003107</v>
      </c>
      <c r="T30" s="33">
        <v>89.167269470612396</v>
      </c>
      <c r="U30" s="15">
        <v>-1.33397522954405E-2</v>
      </c>
      <c r="V30" s="15">
        <v>-3.4362844673479901E-3</v>
      </c>
      <c r="W30" s="15">
        <v>-4.7910286250873698E-4</v>
      </c>
      <c r="X30" s="34">
        <v>1.17644731636555</v>
      </c>
      <c r="Y30" s="34">
        <v>1.16060033170917</v>
      </c>
      <c r="Z30" s="34">
        <v>1.1732284976759999</v>
      </c>
      <c r="AA30" s="34">
        <v>1.17545412429597</v>
      </c>
      <c r="AB30" s="33">
        <v>88.008323153506794</v>
      </c>
      <c r="AC30" s="33">
        <v>88.903975158003107</v>
      </c>
      <c r="AD30" s="33">
        <v>89.167269470612396</v>
      </c>
      <c r="AE30" s="15">
        <v>-1.35617496301633E-2</v>
      </c>
      <c r="AF30" s="15">
        <v>-3.4362844673479901E-3</v>
      </c>
      <c r="AG30" s="15">
        <v>-4.7910286250873698E-4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1.5411711479561987E-2</v>
      </c>
      <c r="AT30" s="12"/>
      <c r="AU30">
        <f t="shared" si="10"/>
        <v>0</v>
      </c>
      <c r="AV30">
        <f t="shared" si="11"/>
        <v>1</v>
      </c>
      <c r="AW30">
        <f t="shared" si="18"/>
        <v>1</v>
      </c>
      <c r="AX30">
        <f t="shared" si="5"/>
        <v>1</v>
      </c>
      <c r="AY30">
        <f t="shared" si="19"/>
        <v>1</v>
      </c>
      <c r="AZ30" s="28">
        <f t="shared" si="12"/>
        <v>-3.56695007953528E-3</v>
      </c>
      <c r="BA30" s="28">
        <f t="shared" si="13"/>
        <v>9.1211712820943106E-3</v>
      </c>
      <c r="BB30" s="28">
        <f t="shared" si="20"/>
        <v>5.5542212025590301E-3</v>
      </c>
      <c r="BC30" s="29">
        <f t="shared" si="21"/>
        <v>8.0416257934306998E-3</v>
      </c>
      <c r="BE30" s="29">
        <f t="shared" si="22"/>
        <v>5.5542212025590301E-3</v>
      </c>
      <c r="BF30" s="29">
        <f t="shared" si="23"/>
        <v>2.3453337272992689E-2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75.81</v>
      </c>
      <c r="C31" s="33">
        <v>89.51</v>
      </c>
      <c r="D31" s="15">
        <v>-2.6378264463158499E-4</v>
      </c>
      <c r="E31" s="15">
        <v>3.3572099571556198E-3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75.81</v>
      </c>
      <c r="M31" s="33">
        <v>89.51</v>
      </c>
      <c r="N31" s="34">
        <v>1.18071494525788</v>
      </c>
      <c r="O31" s="34">
        <v>1.16085801049043</v>
      </c>
      <c r="P31" s="34">
        <v>1.1744537630147101</v>
      </c>
      <c r="Q31" s="34">
        <v>1.1753585004174401</v>
      </c>
      <c r="R31" s="33">
        <v>88.004645775279997</v>
      </c>
      <c r="S31" s="33">
        <v>88.942452408817701</v>
      </c>
      <c r="T31" s="33">
        <v>89.111177162877894</v>
      </c>
      <c r="U31" s="15">
        <v>-1.6960744897227702E-2</v>
      </c>
      <c r="V31" s="15">
        <v>-6.3607924361491104E-3</v>
      </c>
      <c r="W31" s="15">
        <v>-4.4655791235238603E-3</v>
      </c>
      <c r="X31" s="34">
        <v>1.18071494525788</v>
      </c>
      <c r="Y31" s="34">
        <v>1.16060033170917</v>
      </c>
      <c r="Z31" s="34">
        <v>1.1744537630147101</v>
      </c>
      <c r="AA31" s="34">
        <v>1.1753585004174401</v>
      </c>
      <c r="AB31" s="33">
        <v>87.985111146872597</v>
      </c>
      <c r="AC31" s="33">
        <v>88.942452408817701</v>
      </c>
      <c r="AD31" s="33">
        <v>89.111177162877894</v>
      </c>
      <c r="AE31" s="15">
        <v>-1.7182742231950501E-2</v>
      </c>
      <c r="AF31" s="15">
        <v>-6.3607924361491104E-3</v>
      </c>
      <c r="AG31" s="15">
        <v>-4.4655791235238603E-3</v>
      </c>
      <c r="AI31" s="12"/>
      <c r="AJ31">
        <f t="shared" si="6"/>
        <v>0</v>
      </c>
      <c r="AK31">
        <f t="shared" si="7"/>
        <v>0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1.5411711479561987E-2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8.0416257934306998E-3</v>
      </c>
      <c r="BE31" s="29">
        <f t="shared" si="22"/>
        <v>0</v>
      </c>
      <c r="BF31" s="29">
        <f t="shared" si="23"/>
        <v>2.3453337272992689E-2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75.069999999999993</v>
      </c>
      <c r="C32" s="33">
        <v>88.2</v>
      </c>
      <c r="D32" s="15">
        <v>-9.8091984833016295E-3</v>
      </c>
      <c r="E32" s="15">
        <v>-1.4743387870101999E-2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75.069999999999993</v>
      </c>
      <c r="M32" s="33">
        <v>88.2</v>
      </c>
      <c r="N32" s="34">
        <v>1.17490342347142</v>
      </c>
      <c r="O32" s="34">
        <v>1.16085801049043</v>
      </c>
      <c r="P32" s="34">
        <v>1.1744361092556099</v>
      </c>
      <c r="Q32" s="34">
        <v>1.1748868823223</v>
      </c>
      <c r="R32" s="33">
        <v>87.145610847517105</v>
      </c>
      <c r="S32" s="33">
        <v>88.166243989514896</v>
      </c>
      <c r="T32" s="33">
        <v>88.234162626337806</v>
      </c>
      <c r="U32" s="15">
        <v>-1.20265555104274E-2</v>
      </c>
      <c r="V32" s="15">
        <v>-3.8279446376625499E-4</v>
      </c>
      <c r="W32" s="15">
        <v>3.8725637094607501E-4</v>
      </c>
      <c r="X32" s="34">
        <v>1.17490342347142</v>
      </c>
      <c r="Y32" s="34">
        <v>1.16060033170917</v>
      </c>
      <c r="Z32" s="34">
        <v>1.1744361092556099</v>
      </c>
      <c r="AA32" s="34">
        <v>1.1748868823223</v>
      </c>
      <c r="AB32" s="33">
        <v>87.126266901407803</v>
      </c>
      <c r="AC32" s="33">
        <v>88.166243989514896</v>
      </c>
      <c r="AD32" s="33">
        <v>88.234162626337806</v>
      </c>
      <c r="AE32" s="15">
        <v>-1.2248552845150199E-2</v>
      </c>
      <c r="AF32" s="15">
        <v>-3.8279446376625499E-4</v>
      </c>
      <c r="AG32" s="15">
        <v>3.8725637094607501E-4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1.5411711479561987E-2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8.0416257934306998E-3</v>
      </c>
      <c r="BE32" s="29">
        <f t="shared" si="22"/>
        <v>0</v>
      </c>
      <c r="BF32" s="29">
        <f t="shared" si="23"/>
        <v>2.3453337272992689E-2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75.11</v>
      </c>
      <c r="C33" s="33">
        <v>88.04</v>
      </c>
      <c r="D33" s="15">
        <v>5.3269411300946702E-4</v>
      </c>
      <c r="E33" s="15">
        <v>-1.8157063544847001E-3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75.11</v>
      </c>
      <c r="M33" s="33">
        <v>88.04</v>
      </c>
      <c r="N33" s="34">
        <v>1.1721475169750999</v>
      </c>
      <c r="O33" s="34">
        <v>1.16085801049043</v>
      </c>
      <c r="P33" s="34">
        <v>1.1738916728017199</v>
      </c>
      <c r="Q33" s="34">
        <v>1.17431908932496</v>
      </c>
      <c r="R33" s="33">
        <v>87.192045167936698</v>
      </c>
      <c r="S33" s="33">
        <v>88.211896166189405</v>
      </c>
      <c r="T33" s="33">
        <v>88.245753731228305</v>
      </c>
      <c r="U33" s="15">
        <v>-9.6781550429333504E-3</v>
      </c>
      <c r="V33" s="15">
        <v>1.9505744270584299E-3</v>
      </c>
      <c r="W33" s="15">
        <v>2.3343216374971799E-3</v>
      </c>
      <c r="X33" s="34">
        <v>1.1721475169750999</v>
      </c>
      <c r="Y33" s="34">
        <v>1.16060033170917</v>
      </c>
      <c r="Z33" s="34">
        <v>1.1738916728017199</v>
      </c>
      <c r="AA33" s="34">
        <v>1.17431908932496</v>
      </c>
      <c r="AB33" s="33">
        <v>87.172690914676195</v>
      </c>
      <c r="AC33" s="33">
        <v>88.211896166189405</v>
      </c>
      <c r="AD33" s="33">
        <v>88.245753731228305</v>
      </c>
      <c r="AE33" s="15">
        <v>-9.90015237765615E-3</v>
      </c>
      <c r="AF33" s="15">
        <v>1.9505744270584299E-3</v>
      </c>
      <c r="AG33" s="15">
        <v>2.3343216374971799E-3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1.5411711479561987E-2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8.0416257934306998E-3</v>
      </c>
      <c r="BE33" s="29">
        <f t="shared" si="22"/>
        <v>0</v>
      </c>
      <c r="BF33" s="29">
        <f t="shared" si="23"/>
        <v>2.3453337272992689E-2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75.040000000000006</v>
      </c>
      <c r="C34" s="33">
        <v>87.67</v>
      </c>
      <c r="D34" s="15">
        <v>-9.3240099995113405E-4</v>
      </c>
      <c r="E34" s="15">
        <v>-4.2114910577667301E-3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75.040000000000006</v>
      </c>
      <c r="M34" s="33">
        <v>87.67</v>
      </c>
      <c r="N34" s="34">
        <v>1.1683102345415699</v>
      </c>
      <c r="O34" s="34">
        <v>1.16085801049043</v>
      </c>
      <c r="P34" s="34">
        <v>1.17220770987986</v>
      </c>
      <c r="Q34" s="34">
        <v>1.1735529786543299</v>
      </c>
      <c r="R34" s="33">
        <v>87.110785107202403</v>
      </c>
      <c r="S34" s="33">
        <v>88.0888311270418</v>
      </c>
      <c r="T34" s="33">
        <v>88.120904462945106</v>
      </c>
      <c r="U34" s="15">
        <v>-6.3990649851176596E-3</v>
      </c>
      <c r="V34" s="15">
        <v>4.7659843565693201E-3</v>
      </c>
      <c r="W34" s="15">
        <v>5.1300202726341001E-3</v>
      </c>
      <c r="X34" s="34">
        <v>1.1683102345415699</v>
      </c>
      <c r="Y34" s="34">
        <v>1.16060033170917</v>
      </c>
      <c r="Z34" s="34">
        <v>1.17220770987986</v>
      </c>
      <c r="AA34" s="34">
        <v>1.1735529786543299</v>
      </c>
      <c r="AB34" s="33">
        <v>87.091448891456594</v>
      </c>
      <c r="AC34" s="33">
        <v>88.0888311270418</v>
      </c>
      <c r="AD34" s="33">
        <v>88.120904462945106</v>
      </c>
      <c r="AE34" s="15">
        <v>-6.6210623198403699E-3</v>
      </c>
      <c r="AF34" s="15">
        <v>4.7659843565693201E-3</v>
      </c>
      <c r="AG34" s="15">
        <v>5.1300202726341001E-3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1.5411711479561987E-2</v>
      </c>
      <c r="AT34" s="12"/>
      <c r="AU34">
        <f t="shared" si="10"/>
        <v>0</v>
      </c>
      <c r="AV34">
        <f t="shared" si="11"/>
        <v>0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8.0416257934306998E-3</v>
      </c>
      <c r="BE34" s="29">
        <f t="shared" si="22"/>
        <v>0</v>
      </c>
      <c r="BF34" s="29">
        <f t="shared" si="23"/>
        <v>2.3453337272992689E-2</v>
      </c>
      <c r="BH34" s="29"/>
    </row>
    <row r="35" spans="1:124" x14ac:dyDescent="0.25">
      <c r="A35" s="1">
        <v>46073</v>
      </c>
      <c r="B35" s="33">
        <v>75.45</v>
      </c>
      <c r="C35" s="33">
        <v>87.89</v>
      </c>
      <c r="D35" s="15">
        <v>5.4488805158887004E-3</v>
      </c>
      <c r="E35" s="15">
        <v>2.5062669760595301E-3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75.45</v>
      </c>
      <c r="M35" s="33">
        <v>87.89</v>
      </c>
      <c r="N35" s="34">
        <v>1.1648774022531401</v>
      </c>
      <c r="O35" s="34">
        <v>1.16085801049043</v>
      </c>
      <c r="P35" s="34">
        <v>1.17199297964331</v>
      </c>
      <c r="Q35" s="34">
        <v>1.1728979369685899</v>
      </c>
      <c r="R35" s="33">
        <v>87.586736891503406</v>
      </c>
      <c r="S35" s="33">
        <v>88.443071710435802</v>
      </c>
      <c r="T35" s="33">
        <v>88.544572239469701</v>
      </c>
      <c r="U35" s="15">
        <v>-3.4564514452884898E-3</v>
      </c>
      <c r="V35" s="15">
        <v>6.2730549492539603E-3</v>
      </c>
      <c r="W35" s="15">
        <v>7.4200337766589398E-3</v>
      </c>
      <c r="X35" s="34">
        <v>1.1648774022531401</v>
      </c>
      <c r="Y35" s="34">
        <v>1.16060033170917</v>
      </c>
      <c r="Z35" s="34">
        <v>1.17199297964331</v>
      </c>
      <c r="AA35" s="34">
        <v>1.1728979369685899</v>
      </c>
      <c r="AB35" s="33">
        <v>87.567295027457305</v>
      </c>
      <c r="AC35" s="33">
        <v>88.443071710435802</v>
      </c>
      <c r="AD35" s="33">
        <v>88.544572239469701</v>
      </c>
      <c r="AE35" s="15">
        <v>-3.6784487800114699E-3</v>
      </c>
      <c r="AF35" s="15">
        <v>6.2730549492539603E-3</v>
      </c>
      <c r="AG35" s="15">
        <v>7.4200337766589398E-3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1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1.5411711479561987E-2</v>
      </c>
      <c r="AT35" s="12"/>
      <c r="AU35">
        <f t="shared" si="10"/>
        <v>0</v>
      </c>
      <c r="AV35">
        <f t="shared" si="11"/>
        <v>0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8.0416257934306998E-3</v>
      </c>
      <c r="BE35" s="29">
        <f t="shared" si="22"/>
        <v>0</v>
      </c>
      <c r="BF35" s="29">
        <f t="shared" si="23"/>
        <v>2.3453337272992689E-2</v>
      </c>
      <c r="BH35" s="29"/>
    </row>
    <row r="36" spans="1:124" x14ac:dyDescent="0.25">
      <c r="A36" s="1">
        <v>46076</v>
      </c>
      <c r="B36" s="33">
        <v>76.540000000000006</v>
      </c>
      <c r="C36" s="33">
        <v>88.97</v>
      </c>
      <c r="D36" s="15">
        <v>1.43432947836983E-2</v>
      </c>
      <c r="E36" s="15">
        <v>1.2213201680122E-2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76.540000000000006</v>
      </c>
      <c r="M36" s="33">
        <v>88.97</v>
      </c>
      <c r="N36" s="34">
        <v>1.16239874575385</v>
      </c>
      <c r="O36" s="34">
        <v>1.16085801049043</v>
      </c>
      <c r="P36" s="34">
        <v>1.1711356504903301</v>
      </c>
      <c r="Q36" s="34">
        <v>1.1721329310744699</v>
      </c>
      <c r="R36" s="33">
        <v>88.852072122937997</v>
      </c>
      <c r="S36" s="33">
        <v>89.704342661899005</v>
      </c>
      <c r="T36" s="33">
        <v>89.773608095576506</v>
      </c>
      <c r="U36" s="15">
        <v>-1.32635834171234E-3</v>
      </c>
      <c r="V36" s="15">
        <v>8.2199468123265208E-3</v>
      </c>
      <c r="W36" s="15">
        <v>8.9918013696577703E-3</v>
      </c>
      <c r="X36" s="34">
        <v>1.16239874575385</v>
      </c>
      <c r="Y36" s="34">
        <v>1.16060033170917</v>
      </c>
      <c r="Z36" s="34">
        <v>1.1711356504903301</v>
      </c>
      <c r="AA36" s="34">
        <v>1.1721329310744699</v>
      </c>
      <c r="AB36" s="33">
        <v>88.832349389020294</v>
      </c>
      <c r="AC36" s="33">
        <v>89.704342661899005</v>
      </c>
      <c r="AD36" s="33">
        <v>89.773608095576506</v>
      </c>
      <c r="AE36" s="15">
        <v>-1.5483556764352201E-3</v>
      </c>
      <c r="AF36" s="15">
        <v>8.2199468123265208E-3</v>
      </c>
      <c r="AG36" s="15">
        <v>8.9918013696577703E-3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1.5411711479561987E-2</v>
      </c>
      <c r="AT36" s="12"/>
      <c r="AU36">
        <f t="shared" si="10"/>
        <v>1</v>
      </c>
      <c r="AV36">
        <f t="shared" si="11"/>
        <v>0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8.0416257934306998E-3</v>
      </c>
      <c r="BE36" s="29">
        <f t="shared" si="22"/>
        <v>0</v>
      </c>
      <c r="BF36" s="29">
        <f t="shared" si="23"/>
        <v>2.3453337272992689E-2</v>
      </c>
      <c r="BH36" s="29"/>
    </row>
    <row r="37" spans="1:124" x14ac:dyDescent="0.25">
      <c r="A37" s="1">
        <v>46077</v>
      </c>
      <c r="B37" s="33">
        <v>76.900000000000006</v>
      </c>
      <c r="C37" s="33">
        <v>89.74</v>
      </c>
      <c r="D37" s="15">
        <v>4.6923965140419997E-3</v>
      </c>
      <c r="E37" s="15">
        <v>8.6173662911612006E-3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76.900000000000006</v>
      </c>
      <c r="M37" s="33">
        <v>89.74</v>
      </c>
      <c r="N37" s="34">
        <v>1.1669700910273</v>
      </c>
      <c r="O37" s="34">
        <v>1.16085801049043</v>
      </c>
      <c r="P37" s="34">
        <v>1.1706185558258</v>
      </c>
      <c r="Q37" s="34">
        <v>1.17182213857368</v>
      </c>
      <c r="R37" s="33">
        <v>89.269981006714602</v>
      </c>
      <c r="S37" s="33">
        <v>90.060331522706704</v>
      </c>
      <c r="T37" s="33">
        <v>90.137022399627</v>
      </c>
      <c r="U37" s="15">
        <v>-5.2513281188316698E-3</v>
      </c>
      <c r="V37" s="15">
        <v>3.5631954503558198E-3</v>
      </c>
      <c r="W37" s="15">
        <v>4.4143831052383198E-3</v>
      </c>
      <c r="X37" s="34">
        <v>1.1669700910273</v>
      </c>
      <c r="Y37" s="34">
        <v>1.16060033170917</v>
      </c>
      <c r="Z37" s="34">
        <v>1.1706185558258</v>
      </c>
      <c r="AA37" s="34">
        <v>1.17182213857368</v>
      </c>
      <c r="AB37" s="33">
        <v>89.2501655084356</v>
      </c>
      <c r="AC37" s="33">
        <v>90.060331522706704</v>
      </c>
      <c r="AD37" s="33">
        <v>90.137022399627</v>
      </c>
      <c r="AE37" s="15">
        <v>-5.47332545355442E-3</v>
      </c>
      <c r="AF37" s="15">
        <v>3.5631954503558198E-3</v>
      </c>
      <c r="AG37" s="15">
        <v>4.4143831052383198E-3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1.5411711479561987E-2</v>
      </c>
      <c r="AT37" s="12"/>
      <c r="AU37">
        <f t="shared" si="10"/>
        <v>0</v>
      </c>
      <c r="AV37">
        <f t="shared" si="11"/>
        <v>0</v>
      </c>
      <c r="AW37">
        <f t="shared" si="18"/>
        <v>1</v>
      </c>
      <c r="AX37">
        <f t="shared" si="5"/>
        <v>1</v>
      </c>
      <c r="AY37">
        <f t="shared" si="19"/>
        <v>1</v>
      </c>
      <c r="AZ37" s="28">
        <f t="shared" si="12"/>
        <v>-4.6923965140419997E-3</v>
      </c>
      <c r="BA37" s="28">
        <f t="shared" si="13"/>
        <v>8.6173662911612006E-3</v>
      </c>
      <c r="BB37" s="28">
        <f t="shared" si="20"/>
        <v>3.924969777119201E-3</v>
      </c>
      <c r="BC37" s="29">
        <f t="shared" si="21"/>
        <v>1.1966595570549901E-2</v>
      </c>
      <c r="BE37" s="29">
        <f t="shared" si="22"/>
        <v>3.924969777119201E-3</v>
      </c>
      <c r="BF37" s="29">
        <f t="shared" si="23"/>
        <v>2.7378307050111891E-2</v>
      </c>
      <c r="BH37" s="29"/>
    </row>
    <row r="38" spans="1:124" x14ac:dyDescent="0.25">
      <c r="A38" s="1">
        <v>46078</v>
      </c>
      <c r="B38" s="33">
        <v>76.510000000000005</v>
      </c>
      <c r="C38" s="33">
        <v>89.01</v>
      </c>
      <c r="D38" s="15">
        <v>-5.0844252678378197E-3</v>
      </c>
      <c r="E38" s="15">
        <v>-8.1678775769970808E-3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76.510000000000005</v>
      </c>
      <c r="M38" s="33">
        <v>89.01</v>
      </c>
      <c r="N38" s="34">
        <v>1.1633773362958999</v>
      </c>
      <c r="O38" s="34">
        <v>1.16085801049043</v>
      </c>
      <c r="P38" s="34">
        <v>1.1700078192460499</v>
      </c>
      <c r="Q38" s="34">
        <v>1.17124559708104</v>
      </c>
      <c r="R38" s="33">
        <v>88.817246382623296</v>
      </c>
      <c r="S38" s="33">
        <v>89.5640257062323</v>
      </c>
      <c r="T38" s="33">
        <v>89.656111822272507</v>
      </c>
      <c r="U38" s="15">
        <v>-2.1678758096723102E-3</v>
      </c>
      <c r="V38" s="15">
        <v>6.2050175734433798E-3</v>
      </c>
      <c r="W38" s="15">
        <v>7.2326490150210103E-3</v>
      </c>
      <c r="X38" s="34">
        <v>1.1633773362958999</v>
      </c>
      <c r="Y38" s="34">
        <v>1.16060033170917</v>
      </c>
      <c r="Z38" s="34">
        <v>1.1700078192460499</v>
      </c>
      <c r="AA38" s="34">
        <v>1.17124559708104</v>
      </c>
      <c r="AB38" s="33">
        <v>88.797531379069</v>
      </c>
      <c r="AC38" s="33">
        <v>89.5640257062323</v>
      </c>
      <c r="AD38" s="33">
        <v>89.656111822272507</v>
      </c>
      <c r="AE38" s="15">
        <v>-2.38987314439522E-3</v>
      </c>
      <c r="AF38" s="15">
        <v>6.2050175734433798E-3</v>
      </c>
      <c r="AG38" s="15">
        <v>7.2326490150210103E-3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1.5411711479561987E-2</v>
      </c>
      <c r="AT38" s="12"/>
      <c r="AU38">
        <f t="shared" si="10"/>
        <v>0</v>
      </c>
      <c r="AV38">
        <f t="shared" si="11"/>
        <v>0</v>
      </c>
      <c r="AW38">
        <f t="shared" si="18"/>
        <v>1</v>
      </c>
      <c r="AX38">
        <f t="shared" si="5"/>
        <v>1</v>
      </c>
      <c r="AY38">
        <f t="shared" si="19"/>
        <v>1</v>
      </c>
      <c r="AZ38" s="28">
        <f t="shared" si="12"/>
        <v>5.0844252678378197E-3</v>
      </c>
      <c r="BA38" s="28">
        <f t="shared" si="13"/>
        <v>-8.1678775769970808E-3</v>
      </c>
      <c r="BB38" s="28">
        <f t="shared" si="20"/>
        <v>-3.0834523091592611E-3</v>
      </c>
      <c r="BC38" s="29">
        <f t="shared" si="21"/>
        <v>8.8831432613906396E-3</v>
      </c>
      <c r="BE38" s="29">
        <f t="shared" si="22"/>
        <v>-3.0834523091592611E-3</v>
      </c>
      <c r="BF38" s="29">
        <f t="shared" si="23"/>
        <v>2.429485474095263E-2</v>
      </c>
      <c r="BH38" s="29"/>
    </row>
    <row r="39" spans="1:124" x14ac:dyDescent="0.25">
      <c r="A39" s="1">
        <v>46079</v>
      </c>
      <c r="B39" s="33">
        <v>76.72</v>
      </c>
      <c r="C39" s="33">
        <v>88.86</v>
      </c>
      <c r="D39" s="15">
        <v>2.74097933142226E-3</v>
      </c>
      <c r="E39" s="15">
        <v>-1.68662546307772E-3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76.72</v>
      </c>
      <c r="M39" s="33">
        <v>88.86</v>
      </c>
      <c r="N39" s="34">
        <v>1.1582377476537999</v>
      </c>
      <c r="O39" s="34">
        <v>1.16085801049043</v>
      </c>
      <c r="P39" s="34">
        <v>1.16883847595955</v>
      </c>
      <c r="Q39" s="34">
        <v>1.17062506125554</v>
      </c>
      <c r="R39" s="33">
        <v>89.061026564826307</v>
      </c>
      <c r="S39" s="33">
        <v>89.762999892557303</v>
      </c>
      <c r="T39" s="33">
        <v>89.857962208057998</v>
      </c>
      <c r="U39" s="15">
        <v>2.2597289848277401E-3</v>
      </c>
      <c r="V39" s="15">
        <v>1.0110764971039901E-2</v>
      </c>
      <c r="W39" s="15">
        <v>1.11681284684575E-2</v>
      </c>
      <c r="X39" s="34">
        <v>1.1582377476537999</v>
      </c>
      <c r="Y39" s="34">
        <v>1.16060033170917</v>
      </c>
      <c r="Z39" s="34">
        <v>1.16883847595955</v>
      </c>
      <c r="AA39" s="34">
        <v>1.17062506125554</v>
      </c>
      <c r="AB39" s="33">
        <v>89.041257448728004</v>
      </c>
      <c r="AC39" s="33">
        <v>89.762999892557303</v>
      </c>
      <c r="AD39" s="33">
        <v>89.857962208057998</v>
      </c>
      <c r="AE39" s="15">
        <v>2.0377316501048398E-3</v>
      </c>
      <c r="AF39" s="15">
        <v>1.0110764971039901E-2</v>
      </c>
      <c r="AG39" s="15">
        <v>1.11681284684575E-2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1.5411711479561987E-2</v>
      </c>
      <c r="AT39" s="12"/>
      <c r="AU39">
        <f t="shared" si="10"/>
        <v>1</v>
      </c>
      <c r="AV39">
        <f t="shared" si="11"/>
        <v>0</v>
      </c>
      <c r="AW39">
        <f t="shared" si="18"/>
        <v>1</v>
      </c>
      <c r="AX39">
        <f t="shared" si="5"/>
        <v>1</v>
      </c>
      <c r="AY39">
        <f t="shared" si="19"/>
        <v>1</v>
      </c>
      <c r="AZ39" s="28">
        <f t="shared" si="12"/>
        <v>-2.74097933142226E-3</v>
      </c>
      <c r="BA39" s="28">
        <f t="shared" si="13"/>
        <v>-1.68662546307772E-3</v>
      </c>
      <c r="BB39" s="28">
        <f t="shared" si="20"/>
        <v>-4.4276047944999796E-3</v>
      </c>
      <c r="BC39" s="29">
        <f t="shared" si="21"/>
        <v>4.45553846689066E-3</v>
      </c>
      <c r="BE39" s="29">
        <f t="shared" si="22"/>
        <v>-4.4276047944999796E-3</v>
      </c>
      <c r="BF39" s="29">
        <f t="shared" si="23"/>
        <v>1.9867249946452649E-2</v>
      </c>
      <c r="BH39" s="29"/>
    </row>
    <row r="40" spans="1:124" x14ac:dyDescent="0.25">
      <c r="A40" s="1">
        <v>46080</v>
      </c>
      <c r="B40" s="33">
        <v>77.64</v>
      </c>
      <c r="C40" s="33">
        <v>90.01</v>
      </c>
      <c r="D40" s="15">
        <v>1.19203277256266E-2</v>
      </c>
      <c r="E40" s="15">
        <v>1.2858677761231599E-2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77.64</v>
      </c>
      <c r="M40" s="33">
        <v>90.01</v>
      </c>
      <c r="N40" s="34">
        <v>1.1593250901597101</v>
      </c>
      <c r="O40" s="34">
        <v>1.16085801049043</v>
      </c>
      <c r="P40" s="34">
        <v>1.1671262533389699</v>
      </c>
      <c r="Q40" s="34">
        <v>1.17017737550748</v>
      </c>
      <c r="R40" s="33">
        <v>90.129015934477493</v>
      </c>
      <c r="S40" s="33">
        <v>90.748619273499898</v>
      </c>
      <c r="T40" s="33">
        <v>90.8873297558807</v>
      </c>
      <c r="U40" s="15">
        <v>1.3213789492228501E-3</v>
      </c>
      <c r="V40" s="15">
        <v>8.1724831431426899E-3</v>
      </c>
      <c r="W40" s="15">
        <v>9.6998295752463298E-3</v>
      </c>
      <c r="X40" s="34">
        <v>1.1593250901597101</v>
      </c>
      <c r="Y40" s="34">
        <v>1.16060033170917</v>
      </c>
      <c r="Z40" s="34">
        <v>1.1671262533389699</v>
      </c>
      <c r="AA40" s="34">
        <v>1.17017737550748</v>
      </c>
      <c r="AB40" s="33">
        <v>90.109009753900395</v>
      </c>
      <c r="AC40" s="33">
        <v>90.748619273499898</v>
      </c>
      <c r="AD40" s="33">
        <v>90.8873297558807</v>
      </c>
      <c r="AE40" s="15">
        <v>1.09938161450004E-3</v>
      </c>
      <c r="AF40" s="15">
        <v>8.1724831431426899E-3</v>
      </c>
      <c r="AG40" s="15">
        <v>9.6998295752463298E-3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1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1.5411711479561987E-2</v>
      </c>
      <c r="AT40" s="12"/>
      <c r="AU40">
        <f t="shared" si="10"/>
        <v>1</v>
      </c>
      <c r="AV40">
        <f t="shared" si="11"/>
        <v>0</v>
      </c>
      <c r="AW40">
        <f t="shared" si="18"/>
        <v>1</v>
      </c>
      <c r="AX40">
        <f t="shared" si="5"/>
        <v>1</v>
      </c>
      <c r="AY40">
        <f t="shared" si="19"/>
        <v>1</v>
      </c>
      <c r="AZ40" s="28">
        <f t="shared" si="12"/>
        <v>-1.19203277256266E-2</v>
      </c>
      <c r="BA40" s="28">
        <f t="shared" si="13"/>
        <v>1.2858677761231599E-2</v>
      </c>
      <c r="BB40" s="28">
        <f t="shared" si="20"/>
        <v>9.3835003560499911E-4</v>
      </c>
      <c r="BC40" s="29">
        <f t="shared" si="21"/>
        <v>5.3938885024956591E-3</v>
      </c>
      <c r="BE40" s="29">
        <f t="shared" si="22"/>
        <v>9.3835003560499911E-4</v>
      </c>
      <c r="BF40" s="29">
        <f t="shared" si="23"/>
        <v>2.0805599982057648E-2</v>
      </c>
      <c r="BH40" s="29"/>
    </row>
    <row r="41" spans="1:124" x14ac:dyDescent="0.25">
      <c r="A41" s="1">
        <v>46083</v>
      </c>
      <c r="B41" s="33">
        <v>76.77</v>
      </c>
      <c r="C41" s="33">
        <v>88.71</v>
      </c>
      <c r="D41" s="15">
        <v>-1.12688194610023E-2</v>
      </c>
      <c r="E41" s="15">
        <v>-1.4548152736498499E-2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76.77</v>
      </c>
      <c r="M41" s="33">
        <v>88.71</v>
      </c>
      <c r="N41" s="34">
        <v>1.1555295037123801</v>
      </c>
      <c r="O41" s="34">
        <v>1.16085801049043</v>
      </c>
      <c r="P41" s="34">
        <v>1.16460770918442</v>
      </c>
      <c r="Q41" s="34">
        <v>1.1695307360995699</v>
      </c>
      <c r="R41" s="33">
        <v>89.119069465350805</v>
      </c>
      <c r="S41" s="33">
        <v>89.600282468832901</v>
      </c>
      <c r="T41" s="33">
        <v>89.834517117709794</v>
      </c>
      <c r="U41" s="15">
        <v>4.6007122247187799E-3</v>
      </c>
      <c r="V41" s="15">
        <v>9.9858499973587093E-3</v>
      </c>
      <c r="W41" s="15">
        <v>1.25966566242559E-2</v>
      </c>
      <c r="X41" s="34">
        <v>1.1555295037123801</v>
      </c>
      <c r="Y41" s="34">
        <v>1.16060033170917</v>
      </c>
      <c r="Z41" s="34">
        <v>1.16460770918442</v>
      </c>
      <c r="AA41" s="34">
        <v>1.1695307360995699</v>
      </c>
      <c r="AB41" s="33">
        <v>89.099287465313395</v>
      </c>
      <c r="AC41" s="33">
        <v>89.600282468832901</v>
      </c>
      <c r="AD41" s="33">
        <v>89.834517117709794</v>
      </c>
      <c r="AE41" s="15">
        <v>4.3787148899961104E-3</v>
      </c>
      <c r="AF41" s="15">
        <v>9.9858499973587093E-3</v>
      </c>
      <c r="AG41" s="15">
        <v>1.25966566242559E-2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1.5411711479561987E-2</v>
      </c>
      <c r="AT41" s="12"/>
      <c r="AU41">
        <f t="shared" si="10"/>
        <v>1</v>
      </c>
      <c r="AV41">
        <f t="shared" si="11"/>
        <v>0</v>
      </c>
      <c r="AW41">
        <f t="shared" si="18"/>
        <v>1</v>
      </c>
      <c r="AX41">
        <f t="shared" si="5"/>
        <v>1</v>
      </c>
      <c r="AY41">
        <f t="shared" si="19"/>
        <v>1</v>
      </c>
      <c r="AZ41" s="28">
        <f t="shared" si="12"/>
        <v>1.12688194610023E-2</v>
      </c>
      <c r="BA41" s="28">
        <f t="shared" si="13"/>
        <v>-1.4548152736498499E-2</v>
      </c>
      <c r="BB41" s="28">
        <f t="shared" si="20"/>
        <v>-3.2793332754961994E-3</v>
      </c>
      <c r="BC41" s="29">
        <f t="shared" si="21"/>
        <v>2.1145552269994598E-3</v>
      </c>
      <c r="BE41" s="29">
        <f t="shared" si="22"/>
        <v>-3.2793332754961994E-3</v>
      </c>
      <c r="BF41" s="29">
        <f t="shared" si="23"/>
        <v>1.7526266706561447E-2</v>
      </c>
      <c r="BH41" s="29"/>
    </row>
    <row r="42" spans="1:124" x14ac:dyDescent="0.25">
      <c r="A42" s="1">
        <v>46084</v>
      </c>
      <c r="B42" s="33">
        <v>75.459999999999994</v>
      </c>
      <c r="C42" s="33">
        <v>87.74</v>
      </c>
      <c r="D42" s="15">
        <v>-1.7211224303642698E-2</v>
      </c>
      <c r="E42" s="15">
        <v>-1.09947267944276E-2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75.459999999999994</v>
      </c>
      <c r="M42" s="33">
        <v>87.74</v>
      </c>
      <c r="N42" s="34">
        <v>1.16273522395971</v>
      </c>
      <c r="O42" s="34">
        <v>1.16085801049043</v>
      </c>
      <c r="P42" s="34">
        <v>1.1633908892332501</v>
      </c>
      <c r="Q42" s="34">
        <v>1.1689134992444301</v>
      </c>
      <c r="R42" s="33">
        <v>87.598345471608297</v>
      </c>
      <c r="S42" s="33">
        <v>87.881297735056506</v>
      </c>
      <c r="T42" s="33">
        <v>88.252789346073598</v>
      </c>
      <c r="U42" s="15">
        <v>-1.61578528449613E-3</v>
      </c>
      <c r="V42" s="15">
        <v>1.6091187955782501E-3</v>
      </c>
      <c r="W42" s="15">
        <v>5.8274068967850597E-3</v>
      </c>
      <c r="X42" s="34">
        <v>1.16273522395971</v>
      </c>
      <c r="Y42" s="34">
        <v>1.16060033170917</v>
      </c>
      <c r="Z42" s="34">
        <v>1.1633908892332501</v>
      </c>
      <c r="AA42" s="34">
        <v>1.1689134992444301</v>
      </c>
      <c r="AB42" s="33">
        <v>87.578901030774404</v>
      </c>
      <c r="AC42" s="33">
        <v>87.881297735056506</v>
      </c>
      <c r="AD42" s="33">
        <v>88.252789346073598</v>
      </c>
      <c r="AE42" s="15">
        <v>-1.8377826192190101E-3</v>
      </c>
      <c r="AF42" s="15">
        <v>1.6091187955782501E-3</v>
      </c>
      <c r="AG42" s="15">
        <v>5.8274068967850597E-3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1.5411711479561987E-2</v>
      </c>
      <c r="AT42" s="12"/>
      <c r="AU42">
        <f t="shared" si="10"/>
        <v>0</v>
      </c>
      <c r="AV42">
        <f t="shared" si="11"/>
        <v>0</v>
      </c>
      <c r="AW42">
        <f t="shared" si="18"/>
        <v>1</v>
      </c>
      <c r="AX42">
        <f t="shared" si="5"/>
        <v>1</v>
      </c>
      <c r="AY42">
        <f t="shared" si="19"/>
        <v>1</v>
      </c>
      <c r="AZ42" s="28">
        <f t="shared" si="12"/>
        <v>1.7211224303642698E-2</v>
      </c>
      <c r="BA42" s="28">
        <f t="shared" si="13"/>
        <v>-1.09947267944276E-2</v>
      </c>
      <c r="BB42" s="28">
        <f t="shared" si="20"/>
        <v>6.2164975092150986E-3</v>
      </c>
      <c r="BC42" s="29">
        <f t="shared" si="21"/>
        <v>8.3310527362145583E-3</v>
      </c>
      <c r="BE42" s="29">
        <f t="shared" si="22"/>
        <v>6.2164975092150986E-3</v>
      </c>
      <c r="BF42" s="29">
        <f t="shared" si="23"/>
        <v>2.3742764215776545E-2</v>
      </c>
      <c r="BH42" s="29"/>
    </row>
    <row r="43" spans="1:124" x14ac:dyDescent="0.25">
      <c r="A43" s="1">
        <v>46085</v>
      </c>
      <c r="B43" s="33">
        <v>74.819999999999993</v>
      </c>
      <c r="C43" s="33">
        <v>87.16</v>
      </c>
      <c r="D43" s="15">
        <v>-8.5174856161642897E-3</v>
      </c>
      <c r="E43" s="15">
        <v>-6.6323856616487698E-3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74.819999999999993</v>
      </c>
      <c r="M43" s="33">
        <v>87.16</v>
      </c>
      <c r="N43" s="34">
        <v>1.16492916332531</v>
      </c>
      <c r="O43" s="34">
        <v>1.16085801049043</v>
      </c>
      <c r="P43" s="34">
        <v>1.16266905386827</v>
      </c>
      <c r="Q43" s="34">
        <v>1.1682803633350001</v>
      </c>
      <c r="R43" s="33">
        <v>86.855396344894501</v>
      </c>
      <c r="S43" s="33">
        <v>87.044906332431793</v>
      </c>
      <c r="T43" s="33">
        <v>87.458108013468603</v>
      </c>
      <c r="U43" s="15">
        <v>-3.5008852390117301E-3</v>
      </c>
      <c r="V43" s="15">
        <v>-1.3213598484364099E-3</v>
      </c>
      <c r="W43" s="15">
        <v>3.4144030819666001E-3</v>
      </c>
      <c r="X43" s="34">
        <v>1.16492916332531</v>
      </c>
      <c r="Y43" s="34">
        <v>1.16060033170917</v>
      </c>
      <c r="Z43" s="34">
        <v>1.16266905386827</v>
      </c>
      <c r="AA43" s="34">
        <v>1.1682803633350001</v>
      </c>
      <c r="AB43" s="33">
        <v>86.836116818480505</v>
      </c>
      <c r="AC43" s="33">
        <v>87.044906332431793</v>
      </c>
      <c r="AD43" s="33">
        <v>87.458108013468603</v>
      </c>
      <c r="AE43" s="15">
        <v>-3.7228825737345601E-3</v>
      </c>
      <c r="AF43" s="15">
        <v>-1.3213598484364099E-3</v>
      </c>
      <c r="AG43" s="15">
        <v>3.4144030819666001E-3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1.5411711479561987E-2</v>
      </c>
      <c r="AT43" s="12"/>
      <c r="AU43">
        <f t="shared" si="10"/>
        <v>0</v>
      </c>
      <c r="AV43">
        <f t="shared" si="11"/>
        <v>1</v>
      </c>
      <c r="AW43">
        <f t="shared" si="18"/>
        <v>1</v>
      </c>
      <c r="AX43">
        <f t="shared" si="5"/>
        <v>1</v>
      </c>
      <c r="AY43">
        <f t="shared" si="19"/>
        <v>1</v>
      </c>
      <c r="AZ43" s="28">
        <f t="shared" si="12"/>
        <v>8.5174856161642897E-3</v>
      </c>
      <c r="BA43" s="28">
        <f t="shared" si="13"/>
        <v>-6.6323856616487698E-3</v>
      </c>
      <c r="BB43" s="28">
        <f t="shared" si="20"/>
        <v>1.8850999545155199E-3</v>
      </c>
      <c r="BC43" s="29">
        <f t="shared" si="21"/>
        <v>1.0216152690730078E-2</v>
      </c>
      <c r="BE43" s="29">
        <f t="shared" si="22"/>
        <v>1.8850999545155199E-3</v>
      </c>
      <c r="BF43" s="29">
        <f t="shared" si="23"/>
        <v>2.5627864170292065E-2</v>
      </c>
      <c r="BH43" s="29"/>
    </row>
    <row r="44" spans="1:124" x14ac:dyDescent="0.25">
      <c r="A44" s="1">
        <v>46086</v>
      </c>
      <c r="B44" s="33">
        <v>73.209999999999994</v>
      </c>
      <c r="C44" s="33">
        <v>85.41</v>
      </c>
      <c r="D44" s="15">
        <v>-2.1753205261448801E-2</v>
      </c>
      <c r="E44" s="15">
        <v>-2.02823201183631E-2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73.209999999999994</v>
      </c>
      <c r="M44" s="33">
        <v>85.41</v>
      </c>
      <c r="N44" s="34">
        <v>1.1666439011064</v>
      </c>
      <c r="O44" s="34">
        <v>1.16085801049043</v>
      </c>
      <c r="P44" s="34">
        <v>1.1625024205247501</v>
      </c>
      <c r="Q44" s="34">
        <v>1.1673550652023099</v>
      </c>
      <c r="R44" s="33">
        <v>84.986414948004807</v>
      </c>
      <c r="S44" s="33">
        <v>85.119001433696198</v>
      </c>
      <c r="T44" s="33">
        <v>85.529805399755404</v>
      </c>
      <c r="U44" s="15">
        <v>-4.9717703820972899E-3</v>
      </c>
      <c r="V44" s="15">
        <v>-3.4128957105980899E-3</v>
      </c>
      <c r="W44" s="15">
        <v>1.4017264041196801E-3</v>
      </c>
      <c r="X44" s="34">
        <v>1.1666439011064</v>
      </c>
      <c r="Y44" s="34">
        <v>1.16060033170917</v>
      </c>
      <c r="Z44" s="34">
        <v>1.1625024205247501</v>
      </c>
      <c r="AA44" s="34">
        <v>1.1673550652023099</v>
      </c>
      <c r="AB44" s="33">
        <v>84.967550284428697</v>
      </c>
      <c r="AC44" s="33">
        <v>85.119001433696198</v>
      </c>
      <c r="AD44" s="33">
        <v>85.529805399755404</v>
      </c>
      <c r="AE44" s="15">
        <v>-5.1937677168201598E-3</v>
      </c>
      <c r="AF44" s="15">
        <v>-3.4128957105980899E-3</v>
      </c>
      <c r="AG44" s="15">
        <v>1.4017264041196801E-3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1.5411711479561987E-2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1.0216152690730078E-2</v>
      </c>
      <c r="BE44" s="29">
        <f t="shared" si="22"/>
        <v>0</v>
      </c>
      <c r="BF44" s="29">
        <f t="shared" si="23"/>
        <v>2.5627864170292065E-2</v>
      </c>
      <c r="BH44" s="29"/>
    </row>
    <row r="45" spans="1:124" x14ac:dyDescent="0.25">
      <c r="A45" s="1">
        <v>46087</v>
      </c>
      <c r="B45" s="33">
        <v>73.239999999999995</v>
      </c>
      <c r="C45" s="33">
        <v>85.78</v>
      </c>
      <c r="D45" s="15">
        <v>4.09696147758606E-4</v>
      </c>
      <c r="E45" s="15">
        <v>4.3226891306785403E-3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73.239999999999995</v>
      </c>
      <c r="M45" s="33">
        <v>85.78</v>
      </c>
      <c r="N45" s="34">
        <v>1.17121791370835</v>
      </c>
      <c r="O45" s="34">
        <v>1.16085801049043</v>
      </c>
      <c r="P45" s="34">
        <v>1.1631364716702699</v>
      </c>
      <c r="Q45" s="34">
        <v>1.16756472565679</v>
      </c>
      <c r="R45" s="33">
        <v>85.021240688319594</v>
      </c>
      <c r="S45" s="33">
        <v>85.141677279233093</v>
      </c>
      <c r="T45" s="33">
        <v>85.497084975417195</v>
      </c>
      <c r="U45" s="15">
        <v>-8.8847633650172408E-3</v>
      </c>
      <c r="V45" s="15">
        <v>-7.4692186333850203E-3</v>
      </c>
      <c r="W45" s="15">
        <v>-3.3035975819978199E-3</v>
      </c>
      <c r="X45" s="34">
        <v>1.17121791370835</v>
      </c>
      <c r="Y45" s="34">
        <v>1.16060033170917</v>
      </c>
      <c r="Z45" s="34">
        <v>1.1631364716702699</v>
      </c>
      <c r="AA45" s="34">
        <v>1.16756472565679</v>
      </c>
      <c r="AB45" s="33">
        <v>85.002368294380005</v>
      </c>
      <c r="AC45" s="33">
        <v>85.141677279233093</v>
      </c>
      <c r="AD45" s="33">
        <v>85.497084975417195</v>
      </c>
      <c r="AE45" s="15">
        <v>-9.1067606997400005E-3</v>
      </c>
      <c r="AF45" s="15">
        <v>-7.4692186333850203E-3</v>
      </c>
      <c r="AG45" s="15">
        <v>-3.3035975819978199E-3</v>
      </c>
      <c r="AI45" s="12"/>
      <c r="AJ45">
        <f t="shared" si="6"/>
        <v>0</v>
      </c>
      <c r="AK45">
        <f t="shared" si="7"/>
        <v>0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1.5411711479561987E-2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1.0216152690730078E-2</v>
      </c>
      <c r="BE45" s="29">
        <f t="shared" si="22"/>
        <v>0</v>
      </c>
      <c r="BF45" s="29">
        <f t="shared" si="23"/>
        <v>2.5627864170292065E-2</v>
      </c>
      <c r="BH45" s="29"/>
    </row>
    <row r="46" spans="1:124" x14ac:dyDescent="0.25">
      <c r="A46" s="1">
        <v>46090</v>
      </c>
      <c r="B46" s="33">
        <v>73.67</v>
      </c>
      <c r="C46" s="33">
        <v>85.97</v>
      </c>
      <c r="D46" s="15">
        <v>5.8539408884123898E-3</v>
      </c>
      <c r="E46" s="15">
        <v>2.2125190976183102E-3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73.67</v>
      </c>
      <c r="M46" s="33">
        <v>85.97</v>
      </c>
      <c r="N46" s="34">
        <v>1.1669607710058301</v>
      </c>
      <c r="O46" s="34">
        <v>1.16085801049043</v>
      </c>
      <c r="P46" s="34">
        <v>1.1635926741954701</v>
      </c>
      <c r="Q46" s="34">
        <v>1.1673641623429001</v>
      </c>
      <c r="R46" s="33">
        <v>85.520409632830507</v>
      </c>
      <c r="S46" s="33">
        <v>85.688263867949203</v>
      </c>
      <c r="T46" s="33">
        <v>86.014493339135996</v>
      </c>
      <c r="U46" s="15">
        <v>-5.2433415742231398E-3</v>
      </c>
      <c r="V46" s="15">
        <v>-3.2825263250067702E-3</v>
      </c>
      <c r="W46" s="15">
        <v>5.1741106729802496E-4</v>
      </c>
      <c r="X46" s="34">
        <v>1.1669607710058301</v>
      </c>
      <c r="Y46" s="34">
        <v>1.16060033170917</v>
      </c>
      <c r="Z46" s="34">
        <v>1.1635926741954701</v>
      </c>
      <c r="AA46" s="34">
        <v>1.1673641623429001</v>
      </c>
      <c r="AB46" s="33">
        <v>85.501426437014999</v>
      </c>
      <c r="AC46" s="33">
        <v>85.688263867949203</v>
      </c>
      <c r="AD46" s="33">
        <v>86.014493339135996</v>
      </c>
      <c r="AE46" s="15">
        <v>-5.4653389089459204E-3</v>
      </c>
      <c r="AF46" s="15">
        <v>-3.2825263250067702E-3</v>
      </c>
      <c r="AG46" s="15">
        <v>5.1741106729802496E-4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1.5411711479561987E-2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1.0216152690730078E-2</v>
      </c>
      <c r="BE46" s="29">
        <f t="shared" si="22"/>
        <v>0</v>
      </c>
      <c r="BF46" s="29">
        <f t="shared" si="23"/>
        <v>2.5627864170292065E-2</v>
      </c>
      <c r="BH46" s="29"/>
    </row>
    <row r="47" spans="1:124" x14ac:dyDescent="0.25">
      <c r="A47" s="1">
        <v>46091</v>
      </c>
      <c r="B47" s="33">
        <v>73.34</v>
      </c>
      <c r="C47" s="33">
        <v>85.72</v>
      </c>
      <c r="D47" s="15">
        <v>-4.4894980515422398E-3</v>
      </c>
      <c r="E47" s="15">
        <v>-2.9122275809764201E-3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73.34</v>
      </c>
      <c r="M47" s="33">
        <v>85.72</v>
      </c>
      <c r="N47" s="34">
        <v>1.1688028361058</v>
      </c>
      <c r="O47" s="34">
        <v>1.16085801049043</v>
      </c>
      <c r="P47" s="34">
        <v>1.1637759487033199</v>
      </c>
      <c r="Q47" s="34">
        <v>1.1671972522645599</v>
      </c>
      <c r="R47" s="33">
        <v>85.137326489368604</v>
      </c>
      <c r="S47" s="33">
        <v>85.337886725496105</v>
      </c>
      <c r="T47" s="33">
        <v>85.614487666228598</v>
      </c>
      <c r="U47" s="15">
        <v>-6.8206120447889401E-3</v>
      </c>
      <c r="V47" s="15">
        <v>-4.4676561531134503E-3</v>
      </c>
      <c r="W47" s="15">
        <v>-1.23165334133023E-3</v>
      </c>
      <c r="X47" s="34">
        <v>1.1688028361058</v>
      </c>
      <c r="Y47" s="34">
        <v>1.16060033170917</v>
      </c>
      <c r="Z47" s="34">
        <v>1.1637759487033199</v>
      </c>
      <c r="AA47" s="34">
        <v>1.1671972522645599</v>
      </c>
      <c r="AB47" s="33">
        <v>85.118428327550902</v>
      </c>
      <c r="AC47" s="33">
        <v>85.337886725496105</v>
      </c>
      <c r="AD47" s="33">
        <v>85.614487666228598</v>
      </c>
      <c r="AE47" s="15">
        <v>-7.0426093795117398E-3</v>
      </c>
      <c r="AF47" s="15">
        <v>-4.4676561531134503E-3</v>
      </c>
      <c r="AG47" s="15">
        <v>-1.23165334133023E-3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1.5411711479561987E-2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1.0216152690730078E-2</v>
      </c>
      <c r="BE47" s="29">
        <f t="shared" si="22"/>
        <v>0</v>
      </c>
      <c r="BF47" s="29">
        <f t="shared" si="23"/>
        <v>2.5627864170292065E-2</v>
      </c>
      <c r="BH47" s="29"/>
    </row>
    <row r="48" spans="1:124" x14ac:dyDescent="0.25">
      <c r="A48" s="1">
        <v>46092</v>
      </c>
      <c r="B48" s="33">
        <v>72.540000000000006</v>
      </c>
      <c r="C48" s="33">
        <v>84.59</v>
      </c>
      <c r="D48" s="15">
        <v>-1.09680287884236E-2</v>
      </c>
      <c r="E48" s="15">
        <v>-1.32701142894531E-2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72.540000000000006</v>
      </c>
      <c r="M48" s="33">
        <v>84.59</v>
      </c>
      <c r="N48" s="34">
        <v>1.1661152467603999</v>
      </c>
      <c r="O48" s="34">
        <v>1.16085801049043</v>
      </c>
      <c r="P48" s="34">
        <v>1.16404973974977</v>
      </c>
      <c r="Q48" s="34">
        <v>1.16702877949791</v>
      </c>
      <c r="R48" s="33">
        <v>84.208640080976295</v>
      </c>
      <c r="S48" s="33">
        <v>84.420307318939194</v>
      </c>
      <c r="T48" s="33">
        <v>84.668488679271505</v>
      </c>
      <c r="U48" s="15">
        <v>-4.5185265437593701E-3</v>
      </c>
      <c r="V48" s="15">
        <v>-2.0080756111815899E-3</v>
      </c>
      <c r="W48" s="15">
        <v>9.2744163687087904E-4</v>
      </c>
      <c r="X48" s="34">
        <v>1.1661152467603999</v>
      </c>
      <c r="Y48" s="34">
        <v>1.16060033170917</v>
      </c>
      <c r="Z48" s="34">
        <v>1.16404973974977</v>
      </c>
      <c r="AA48" s="34">
        <v>1.16702877949791</v>
      </c>
      <c r="AB48" s="33">
        <v>84.189948062183603</v>
      </c>
      <c r="AC48" s="33">
        <v>84.420307318939194</v>
      </c>
      <c r="AD48" s="33">
        <v>84.668488679271505</v>
      </c>
      <c r="AE48" s="15">
        <v>-4.7405238784823398E-3</v>
      </c>
      <c r="AF48" s="15">
        <v>-2.0080756111815899E-3</v>
      </c>
      <c r="AG48" s="15">
        <v>9.2744163687087904E-4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1.5411711479561987E-2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1.0216152690730078E-2</v>
      </c>
      <c r="BE48" s="29">
        <f t="shared" si="22"/>
        <v>0</v>
      </c>
      <c r="BF48" s="29">
        <f t="shared" si="23"/>
        <v>2.5627864170292065E-2</v>
      </c>
      <c r="BH48" s="29"/>
    </row>
    <row r="49" spans="1:60" x14ac:dyDescent="0.25">
      <c r="A49" s="1">
        <v>46093</v>
      </c>
      <c r="B49" s="33">
        <v>72.42</v>
      </c>
      <c r="C49" s="33">
        <v>84.25</v>
      </c>
      <c r="D49" s="15">
        <v>-1.6556295172611799E-3</v>
      </c>
      <c r="E49" s="15">
        <v>-4.0274870834520601E-3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72.42</v>
      </c>
      <c r="M49" s="33">
        <v>84.25</v>
      </c>
      <c r="N49" s="34">
        <v>1.1633526650096599</v>
      </c>
      <c r="O49" s="34">
        <v>1.16085801049043</v>
      </c>
      <c r="P49" s="34">
        <v>1.1645612314853599</v>
      </c>
      <c r="Q49" s="34">
        <v>1.16669985372245</v>
      </c>
      <c r="R49" s="33">
        <v>84.069337119717403</v>
      </c>
      <c r="S49" s="33">
        <v>84.300482152678697</v>
      </c>
      <c r="T49" s="33">
        <v>84.516224211239006</v>
      </c>
      <c r="U49" s="15">
        <v>-2.1466689775686098E-3</v>
      </c>
      <c r="V49" s="15">
        <v>5.9901524508804095E-4</v>
      </c>
      <c r="W49" s="15">
        <v>3.1549492004062599E-3</v>
      </c>
      <c r="X49" s="34">
        <v>1.1633526650096599</v>
      </c>
      <c r="Y49" s="34">
        <v>1.16060033170917</v>
      </c>
      <c r="Z49" s="34">
        <v>1.1645612314853599</v>
      </c>
      <c r="AA49" s="34">
        <v>1.16669985372245</v>
      </c>
      <c r="AB49" s="33">
        <v>84.050676022378497</v>
      </c>
      <c r="AC49" s="33">
        <v>84.300482152678697</v>
      </c>
      <c r="AD49" s="33">
        <v>84.516224211239006</v>
      </c>
      <c r="AE49" s="15">
        <v>-2.36866631229154E-3</v>
      </c>
      <c r="AF49" s="15">
        <v>5.9901524508804095E-4</v>
      </c>
      <c r="AG49" s="15">
        <v>3.1549492004062599E-3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1.5411711479561987E-2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1.0216152690730078E-2</v>
      </c>
      <c r="BE49" s="29">
        <f t="shared" si="22"/>
        <v>0</v>
      </c>
      <c r="BF49" s="29">
        <f t="shared" si="23"/>
        <v>2.5627864170292065E-2</v>
      </c>
      <c r="BH49" s="29"/>
    </row>
    <row r="50" spans="1:60" x14ac:dyDescent="0.25">
      <c r="A50" s="1">
        <v>46094</v>
      </c>
      <c r="B50" s="33">
        <v>72.77</v>
      </c>
      <c r="C50" s="33">
        <v>84.74</v>
      </c>
      <c r="D50" s="15">
        <v>4.8212780214999503E-3</v>
      </c>
      <c r="E50" s="15">
        <v>5.79917596594189E-3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72.77</v>
      </c>
      <c r="M50" s="33">
        <v>84.74</v>
      </c>
      <c r="N50" s="34">
        <v>1.1644908616187899</v>
      </c>
      <c r="O50" s="34">
        <v>1.16085801049043</v>
      </c>
      <c r="P50" s="34">
        <v>1.1650778086312601</v>
      </c>
      <c r="Q50" s="34">
        <v>1.16610203098512</v>
      </c>
      <c r="R50" s="33">
        <v>84.475637423389102</v>
      </c>
      <c r="S50" s="33">
        <v>84.745120815189694</v>
      </c>
      <c r="T50" s="33">
        <v>84.9007483553833</v>
      </c>
      <c r="U50" s="15">
        <v>-3.1245669220107998E-3</v>
      </c>
      <c r="V50" s="15">
        <v>6.04279026578344E-5</v>
      </c>
      <c r="W50" s="15">
        <v>1.8951626310810201E-3</v>
      </c>
      <c r="X50" s="34">
        <v>1.1644908616187899</v>
      </c>
      <c r="Y50" s="34">
        <v>1.16060033170917</v>
      </c>
      <c r="Z50" s="34">
        <v>1.1650778086312601</v>
      </c>
      <c r="AA50" s="34">
        <v>1.16610203098512</v>
      </c>
      <c r="AB50" s="33">
        <v>84.456886138476705</v>
      </c>
      <c r="AC50" s="33">
        <v>84.745120815189694</v>
      </c>
      <c r="AD50" s="33">
        <v>84.9007483553833</v>
      </c>
      <c r="AE50" s="15">
        <v>-3.3465642567335999E-3</v>
      </c>
      <c r="AF50" s="15">
        <v>6.04279026578344E-5</v>
      </c>
      <c r="AG50" s="15">
        <v>1.8951626310810201E-3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1.5411711479561987E-2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1.0216152690730078E-2</v>
      </c>
      <c r="BE50" s="29">
        <f t="shared" si="22"/>
        <v>0</v>
      </c>
      <c r="BF50" s="29">
        <f t="shared" si="23"/>
        <v>2.5627864170292065E-2</v>
      </c>
      <c r="BH50" s="29"/>
    </row>
    <row r="51" spans="1:60" x14ac:dyDescent="0.25">
      <c r="A51" s="1">
        <v>46097</v>
      </c>
      <c r="B51" s="33">
        <v>72.86</v>
      </c>
      <c r="C51" s="33">
        <v>84.98</v>
      </c>
      <c r="D51" s="15">
        <v>1.2360092214228E-3</v>
      </c>
      <c r="E51" s="15">
        <v>2.8281894882524602E-3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72.86</v>
      </c>
      <c r="M51" s="33">
        <v>84.98</v>
      </c>
      <c r="N51" s="34">
        <v>1.16634641778753</v>
      </c>
      <c r="O51" s="34">
        <v>1.16085801049043</v>
      </c>
      <c r="P51" s="34">
        <v>1.1661595000387801</v>
      </c>
      <c r="Q51" s="34">
        <v>1.1653836046116</v>
      </c>
      <c r="R51" s="33">
        <v>84.580114644333193</v>
      </c>
      <c r="S51" s="33">
        <v>84.887569136874305</v>
      </c>
      <c r="T51" s="33">
        <v>84.962193977575893</v>
      </c>
      <c r="U51" s="15">
        <v>-4.7167471888405104E-3</v>
      </c>
      <c r="V51" s="15">
        <v>-1.08826979414319E-3</v>
      </c>
      <c r="W51" s="15">
        <v>-2.0955387326109599E-4</v>
      </c>
      <c r="X51" s="34">
        <v>1.16634641778753</v>
      </c>
      <c r="Y51" s="34">
        <v>1.16060033170917</v>
      </c>
      <c r="Z51" s="34">
        <v>1.1661595000387801</v>
      </c>
      <c r="AA51" s="34">
        <v>1.1653836046116</v>
      </c>
      <c r="AB51" s="33">
        <v>84.561340168330503</v>
      </c>
      <c r="AC51" s="33">
        <v>84.887569136874305</v>
      </c>
      <c r="AD51" s="33">
        <v>84.962193977575893</v>
      </c>
      <c r="AE51" s="15">
        <v>-4.9387445235633499E-3</v>
      </c>
      <c r="AF51" s="15">
        <v>-1.08826979414319E-3</v>
      </c>
      <c r="AG51" s="15">
        <v>-2.0955387326109599E-4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0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1.5411711479561987E-2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0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1.0216152690730078E-2</v>
      </c>
      <c r="BE51" s="29">
        <f t="shared" si="22"/>
        <v>0</v>
      </c>
      <c r="BF51" s="29">
        <f t="shared" si="23"/>
        <v>2.5627864170292065E-2</v>
      </c>
      <c r="BH51" s="29"/>
    </row>
    <row r="52" spans="1:60" x14ac:dyDescent="0.25">
      <c r="A52" s="1">
        <v>46098</v>
      </c>
      <c r="B52" s="33">
        <v>72.290000000000006</v>
      </c>
      <c r="C52" s="33">
        <v>84.7</v>
      </c>
      <c r="D52" s="15">
        <v>-7.8539845682118296E-3</v>
      </c>
      <c r="E52" s="15">
        <v>-3.3003330286568498E-3</v>
      </c>
      <c r="F52" s="33">
        <v>0.28752899999999998</v>
      </c>
      <c r="G52" s="33">
        <v>0.28752899999999998</v>
      </c>
      <c r="H52" s="33">
        <v>0</v>
      </c>
      <c r="I52" s="33">
        <v>0</v>
      </c>
      <c r="J52" s="33">
        <v>0.28752899999999998</v>
      </c>
      <c r="K52" s="33">
        <v>0</v>
      </c>
      <c r="L52" s="33">
        <v>72.577528999999998</v>
      </c>
      <c r="M52" s="33">
        <v>84.7</v>
      </c>
      <c r="N52" s="34">
        <v>1.1716696638539199</v>
      </c>
      <c r="O52" s="34">
        <v>1.16085801049043</v>
      </c>
      <c r="P52" s="34">
        <v>1.1670529440282</v>
      </c>
      <c r="Q52" s="34">
        <v>1.1652219166307201</v>
      </c>
      <c r="R52" s="33">
        <v>83.918425578353705</v>
      </c>
      <c r="S52" s="33">
        <v>84.301670257803707</v>
      </c>
      <c r="T52" s="33">
        <v>84.245580777372794</v>
      </c>
      <c r="U52" s="15">
        <v>-9.2703987283955895E-3</v>
      </c>
      <c r="V52" s="15">
        <v>-4.71392358664827E-3</v>
      </c>
      <c r="W52" s="15">
        <v>-5.3794874823144701E-3</v>
      </c>
      <c r="X52" s="34">
        <v>1.1670278826935501</v>
      </c>
      <c r="Y52" s="34">
        <v>1.16060033170917</v>
      </c>
      <c r="Z52" s="34">
        <v>1.1665887659121601</v>
      </c>
      <c r="AA52" s="34">
        <v>1.16498982757271</v>
      </c>
      <c r="AB52" s="33">
        <v>84.233504232032303</v>
      </c>
      <c r="AC52" s="33">
        <v>84.636974932690407</v>
      </c>
      <c r="AD52" s="33">
        <v>84.580662359823194</v>
      </c>
      <c r="AE52" s="15">
        <v>-5.5228470614632303E-3</v>
      </c>
      <c r="AF52" s="15">
        <v>-7.4437458499302897E-4</v>
      </c>
      <c r="AG52" s="15">
        <v>-1.4099384806592599E-3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1.5411711479561987E-2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1.0216152690730078E-2</v>
      </c>
      <c r="BE52" s="29">
        <f t="shared" si="22"/>
        <v>0</v>
      </c>
      <c r="BF52" s="29">
        <f t="shared" si="23"/>
        <v>2.5627864170292065E-2</v>
      </c>
      <c r="BH52" s="29"/>
    </row>
    <row r="53" spans="1:60" x14ac:dyDescent="0.25">
      <c r="A53" s="1">
        <v>46099</v>
      </c>
      <c r="B53" s="33">
        <v>70.47</v>
      </c>
      <c r="C53" s="33">
        <v>82.64</v>
      </c>
      <c r="D53" s="15">
        <v>-2.5498719673274699E-2</v>
      </c>
      <c r="E53" s="15">
        <v>-2.4621776846625601E-2</v>
      </c>
      <c r="F53" s="33">
        <v>0</v>
      </c>
      <c r="G53" s="33">
        <v>0.28752899999999998</v>
      </c>
      <c r="H53" s="33">
        <v>0</v>
      </c>
      <c r="I53" s="33">
        <v>0</v>
      </c>
      <c r="J53" s="33">
        <v>0.28752899999999998</v>
      </c>
      <c r="K53" s="33">
        <v>0</v>
      </c>
      <c r="L53" s="33">
        <v>70.757529000000005</v>
      </c>
      <c r="M53" s="33">
        <v>82.64</v>
      </c>
      <c r="N53" s="34">
        <v>1.17269760181637</v>
      </c>
      <c r="O53" s="34">
        <v>1.16085801049043</v>
      </c>
      <c r="P53" s="34">
        <v>1.1678297878773101</v>
      </c>
      <c r="Q53" s="34">
        <v>1.1652494208727899</v>
      </c>
      <c r="R53" s="33">
        <v>81.8056639992611</v>
      </c>
      <c r="S53" s="33">
        <v>82.242220965667599</v>
      </c>
      <c r="T53" s="33">
        <v>82.113188464967394</v>
      </c>
      <c r="U53" s="15">
        <v>-1.01473415550447E-2</v>
      </c>
      <c r="V53" s="15">
        <v>-4.8250175636894198E-3</v>
      </c>
      <c r="W53" s="15">
        <v>-6.3951822167067802E-3</v>
      </c>
      <c r="X53" s="34">
        <v>1.1679322493016899</v>
      </c>
      <c r="Y53" s="34">
        <v>1.16060033170917</v>
      </c>
      <c r="Z53" s="34">
        <v>1.1668890745098</v>
      </c>
      <c r="AA53" s="34">
        <v>1.1647790641890301</v>
      </c>
      <c r="AB53" s="33">
        <v>82.121211628321603</v>
      </c>
      <c r="AC53" s="33">
        <v>82.544938435104498</v>
      </c>
      <c r="AD53" s="33">
        <v>82.431801509181</v>
      </c>
      <c r="AE53" s="15">
        <v>-6.2974784061039903E-3</v>
      </c>
      <c r="AF53" s="15">
        <v>-1.1509714661683101E-3</v>
      </c>
      <c r="AG53" s="15">
        <v>-2.5225217064905299E-3</v>
      </c>
      <c r="AI53" s="12"/>
      <c r="AJ53">
        <f t="shared" si="6"/>
        <v>0</v>
      </c>
      <c r="AK53">
        <f t="shared" si="7"/>
        <v>0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1.5411711479561987E-2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1.0216152690730078E-2</v>
      </c>
      <c r="BE53" s="29">
        <f t="shared" si="22"/>
        <v>0</v>
      </c>
      <c r="BF53" s="29">
        <f t="shared" si="23"/>
        <v>2.5627864170292065E-2</v>
      </c>
      <c r="BH53" s="29"/>
    </row>
    <row r="54" spans="1:60" x14ac:dyDescent="0.25">
      <c r="A54" s="1">
        <v>46100</v>
      </c>
      <c r="B54" s="33">
        <v>69.94</v>
      </c>
      <c r="C54" s="33">
        <v>81.97</v>
      </c>
      <c r="D54" s="15">
        <v>-7.54935570370136E-3</v>
      </c>
      <c r="E54" s="15">
        <v>-8.1404981464438097E-3</v>
      </c>
      <c r="F54" s="33">
        <v>0</v>
      </c>
      <c r="G54" s="33">
        <v>0.28752899999999998</v>
      </c>
      <c r="H54" s="33">
        <v>0</v>
      </c>
      <c r="I54" s="33">
        <v>0</v>
      </c>
      <c r="J54" s="33">
        <v>0.28752899999999998</v>
      </c>
      <c r="K54" s="33">
        <v>0</v>
      </c>
      <c r="L54" s="33">
        <v>70.227529000000004</v>
      </c>
      <c r="M54" s="33">
        <v>81.97</v>
      </c>
      <c r="N54" s="34">
        <v>1.1720045753502999</v>
      </c>
      <c r="O54" s="34">
        <v>1.16085801049043</v>
      </c>
      <c r="P54" s="34">
        <v>1.1683658553017</v>
      </c>
      <c r="Q54" s="34">
        <v>1.16543413791322</v>
      </c>
      <c r="R54" s="33">
        <v>81.190409253701105</v>
      </c>
      <c r="S54" s="33">
        <v>81.6780153641391</v>
      </c>
      <c r="T54" s="33">
        <v>81.497544495843101</v>
      </c>
      <c r="U54" s="15">
        <v>-9.5561991123021793E-3</v>
      </c>
      <c r="V54" s="15">
        <v>-3.5684508003541102E-3</v>
      </c>
      <c r="W54" s="15">
        <v>-5.78043575736695E-3</v>
      </c>
      <c r="X54" s="34">
        <v>1.16720609662914</v>
      </c>
      <c r="Y54" s="34">
        <v>1.16060033170917</v>
      </c>
      <c r="Z54" s="34">
        <v>1.1669452940620799</v>
      </c>
      <c r="AA54" s="34">
        <v>1.16472385729341</v>
      </c>
      <c r="AB54" s="33">
        <v>81.506093452515799</v>
      </c>
      <c r="AC54" s="33">
        <v>81.947736319920594</v>
      </c>
      <c r="AD54" s="33">
        <v>81.799555508928606</v>
      </c>
      <c r="AE54" s="15">
        <v>-5.6755429244444199E-3</v>
      </c>
      <c r="AF54" s="15">
        <v>-2.71644554349197E-4</v>
      </c>
      <c r="AG54" s="15">
        <v>-2.0815169471791999E-3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1.5411711479561987E-2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1.0216152690730078E-2</v>
      </c>
      <c r="BE54" s="29">
        <f t="shared" si="22"/>
        <v>0</v>
      </c>
      <c r="BF54" s="29">
        <f t="shared" si="23"/>
        <v>2.5627864170292065E-2</v>
      </c>
      <c r="BH54" s="29"/>
    </row>
    <row r="55" spans="1:60" x14ac:dyDescent="0.25">
      <c r="A55" s="1">
        <v>46101</v>
      </c>
      <c r="B55" s="33">
        <v>69.260000000000005</v>
      </c>
      <c r="C55" s="33">
        <v>81.290000000000006</v>
      </c>
      <c r="D55" s="15">
        <v>-9.7701926609537297E-3</v>
      </c>
      <c r="E55" s="15">
        <v>-8.3303189064582797E-3</v>
      </c>
      <c r="F55" s="33">
        <v>0</v>
      </c>
      <c r="G55" s="33">
        <v>0.28752899999999998</v>
      </c>
      <c r="H55" s="33">
        <v>0</v>
      </c>
      <c r="I55" s="33">
        <v>0</v>
      </c>
      <c r="J55" s="33">
        <v>0.28752899999999998</v>
      </c>
      <c r="K55" s="33">
        <v>0</v>
      </c>
      <c r="L55" s="33">
        <v>69.547528999999997</v>
      </c>
      <c r="M55" s="33">
        <v>81.290000000000006</v>
      </c>
      <c r="N55" s="34">
        <v>1.1736933294831</v>
      </c>
      <c r="O55" s="34">
        <v>1.16085801049043</v>
      </c>
      <c r="P55" s="34">
        <v>1.1686133968791701</v>
      </c>
      <c r="Q55" s="34">
        <v>1.1658749342747201</v>
      </c>
      <c r="R55" s="33">
        <v>80.401025806567603</v>
      </c>
      <c r="S55" s="33">
        <v>80.921019138195803</v>
      </c>
      <c r="T55" s="33">
        <v>80.717968391870201</v>
      </c>
      <c r="U55" s="15">
        <v>-1.09960728667976E-2</v>
      </c>
      <c r="V55" s="15">
        <v>-4.5494011463045898E-3</v>
      </c>
      <c r="W55" s="15">
        <v>-7.0618006142248498E-3</v>
      </c>
      <c r="X55" s="34">
        <v>1.1688409519193701</v>
      </c>
      <c r="Y55" s="34">
        <v>1.16060033170917</v>
      </c>
      <c r="Z55" s="34">
        <v>1.16670759788318</v>
      </c>
      <c r="AA55" s="34">
        <v>1.16492203477672</v>
      </c>
      <c r="AB55" s="33">
        <v>80.716885226953494</v>
      </c>
      <c r="AC55" s="33">
        <v>81.158161680196002</v>
      </c>
      <c r="AD55" s="33">
        <v>81.003666242105794</v>
      </c>
      <c r="AE55" s="15">
        <v>-7.0752198343297301E-3</v>
      </c>
      <c r="AF55" s="15">
        <v>-1.62314362176056E-3</v>
      </c>
      <c r="AG55" s="15">
        <v>-3.52859186212622E-3</v>
      </c>
      <c r="AI55" s="12"/>
      <c r="AJ55">
        <f t="shared" si="6"/>
        <v>0</v>
      </c>
      <c r="AK55">
        <f t="shared" si="7"/>
        <v>0</v>
      </c>
      <c r="AL55">
        <f t="shared" si="14"/>
        <v>0</v>
      </c>
      <c r="AM55">
        <f t="shared" si="4"/>
        <v>0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1.5411711479561987E-2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1.0216152690730078E-2</v>
      </c>
      <c r="BE55" s="29">
        <f t="shared" si="22"/>
        <v>0</v>
      </c>
      <c r="BF55" s="29">
        <f t="shared" si="23"/>
        <v>2.5627864170292065E-2</v>
      </c>
      <c r="BH55" s="29"/>
    </row>
    <row r="56" spans="1:60" x14ac:dyDescent="0.25">
      <c r="A56" s="1">
        <v>46104</v>
      </c>
      <c r="B56" s="33">
        <v>69.430000000000007</v>
      </c>
      <c r="C56" s="33">
        <v>81.180000000000007</v>
      </c>
      <c r="D56" s="15">
        <v>2.45151179090614E-3</v>
      </c>
      <c r="E56" s="15">
        <v>-1.3540963477292501E-3</v>
      </c>
      <c r="F56" s="33">
        <v>0</v>
      </c>
      <c r="G56" s="33">
        <v>0.28752899999999998</v>
      </c>
      <c r="H56" s="33">
        <v>0.45490000000000003</v>
      </c>
      <c r="I56" s="33">
        <v>0.45490000000000003</v>
      </c>
      <c r="J56" s="33">
        <v>0</v>
      </c>
      <c r="K56" s="33">
        <v>0</v>
      </c>
      <c r="L56" s="33">
        <v>69.430000000000007</v>
      </c>
      <c r="M56" s="33">
        <v>81.180000000000007</v>
      </c>
      <c r="N56" s="34">
        <v>1.1692352009217899</v>
      </c>
      <c r="O56" s="34">
        <v>1.16085801049043</v>
      </c>
      <c r="P56" s="34">
        <v>1.1688408398707699</v>
      </c>
      <c r="Q56" s="34">
        <v>1.1662167570331201</v>
      </c>
      <c r="R56" s="33">
        <v>80.598371668351007</v>
      </c>
      <c r="S56" s="33">
        <v>81.136828145321203</v>
      </c>
      <c r="T56" s="33">
        <v>80.946696686694196</v>
      </c>
      <c r="U56" s="15">
        <v>-7.1904647281623097E-3</v>
      </c>
      <c r="V56" s="15">
        <v>-5.3194553134277005E-4</v>
      </c>
      <c r="W56" s="15">
        <v>-2.8780389548835402E-3</v>
      </c>
      <c r="X56" s="34">
        <v>1.1692352009217899</v>
      </c>
      <c r="Y56" s="34">
        <v>1.16060033170917</v>
      </c>
      <c r="Z56" s="34">
        <v>1.1669350408747701</v>
      </c>
      <c r="AA56" s="34">
        <v>1.16526385753512</v>
      </c>
      <c r="AB56" s="33">
        <v>80.580481030568095</v>
      </c>
      <c r="AC56" s="33">
        <v>81.004508521029294</v>
      </c>
      <c r="AD56" s="33">
        <v>80.880536874548298</v>
      </c>
      <c r="AE56" s="15">
        <v>-7.4124620628851501E-3</v>
      </c>
      <c r="AF56" s="15">
        <v>-2.1640975338666798E-3</v>
      </c>
      <c r="AG56" s="15">
        <v>-3.6956988057753001E-3</v>
      </c>
      <c r="AI56" s="12"/>
      <c r="AJ56">
        <f t="shared" si="6"/>
        <v>0</v>
      </c>
      <c r="AK56">
        <f t="shared" si="7"/>
        <v>0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1.5411711479561987E-2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1.0216152690730078E-2</v>
      </c>
      <c r="BE56" s="29">
        <f t="shared" si="22"/>
        <v>0</v>
      </c>
      <c r="BF56" s="29">
        <f t="shared" si="23"/>
        <v>2.5627864170292065E-2</v>
      </c>
      <c r="BH56" s="29"/>
    </row>
    <row r="57" spans="1:60" x14ac:dyDescent="0.25">
      <c r="A57" s="1">
        <v>46105</v>
      </c>
      <c r="B57" s="33">
        <v>69.47</v>
      </c>
      <c r="C57" s="33">
        <v>81.11</v>
      </c>
      <c r="D57" s="15">
        <v>5.7595393960733197E-4</v>
      </c>
      <c r="E57" s="15">
        <v>-8.6265332849845902E-4</v>
      </c>
      <c r="F57" s="33">
        <v>0</v>
      </c>
      <c r="G57" s="33">
        <v>0.28752899999999998</v>
      </c>
      <c r="H57" s="33">
        <v>0</v>
      </c>
      <c r="I57" s="33">
        <v>0.45490000000000003</v>
      </c>
      <c r="J57" s="33">
        <v>0</v>
      </c>
      <c r="K57" s="33">
        <v>0</v>
      </c>
      <c r="L57" s="33">
        <v>69.47</v>
      </c>
      <c r="M57" s="33">
        <v>81.11</v>
      </c>
      <c r="N57" s="34">
        <v>1.1675543400028701</v>
      </c>
      <c r="O57" s="34">
        <v>1.16085801049043</v>
      </c>
      <c r="P57" s="34">
        <v>1.16871599026047</v>
      </c>
      <c r="Q57" s="34">
        <v>1.1662459694819001</v>
      </c>
      <c r="R57" s="33">
        <v>80.644805988770599</v>
      </c>
      <c r="S57" s="33">
        <v>81.199373145822506</v>
      </c>
      <c r="T57" s="33">
        <v>81.017078111090996</v>
      </c>
      <c r="U57" s="15">
        <v>-5.75185746005642E-3</v>
      </c>
      <c r="V57" s="15">
        <v>1.1012691765473401E-3</v>
      </c>
      <c r="W57" s="15">
        <v>-1.1462847559612101E-3</v>
      </c>
      <c r="X57" s="34">
        <v>1.1675543400028701</v>
      </c>
      <c r="Y57" s="34">
        <v>1.16060033170917</v>
      </c>
      <c r="Z57" s="34">
        <v>1.1668101912644799</v>
      </c>
      <c r="AA57" s="34">
        <v>1.1652930699838999</v>
      </c>
      <c r="AB57" s="33">
        <v>80.626905043836402</v>
      </c>
      <c r="AC57" s="33">
        <v>81.066977289570701</v>
      </c>
      <c r="AD57" s="33">
        <v>80.950880182965193</v>
      </c>
      <c r="AE57" s="15">
        <v>-5.9738547947793402E-3</v>
      </c>
      <c r="AF57" s="15">
        <v>-5.30564968684007E-4</v>
      </c>
      <c r="AG57" s="15">
        <v>-1.96370484952874E-3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1.5411711479561987E-2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1.0216152690730078E-2</v>
      </c>
      <c r="BE57" s="29">
        <f t="shared" si="22"/>
        <v>0</v>
      </c>
      <c r="BF57" s="29">
        <f t="shared" si="23"/>
        <v>2.5627864170292065E-2</v>
      </c>
      <c r="BH57" s="29"/>
    </row>
    <row r="58" spans="1:60" x14ac:dyDescent="0.25">
      <c r="A58" s="1">
        <v>46106</v>
      </c>
      <c r="B58" s="33">
        <v>69.83</v>
      </c>
      <c r="C58" s="33">
        <v>81.510000000000005</v>
      </c>
      <c r="D58" s="15">
        <v>5.1687121531542903E-3</v>
      </c>
      <c r="E58" s="15">
        <v>4.9194540241126799E-3</v>
      </c>
      <c r="F58" s="33">
        <v>0</v>
      </c>
      <c r="G58" s="33">
        <v>0.28752899999999998</v>
      </c>
      <c r="H58" s="33">
        <v>0</v>
      </c>
      <c r="I58" s="33">
        <v>0.45490000000000003</v>
      </c>
      <c r="J58" s="33">
        <v>0</v>
      </c>
      <c r="K58" s="33">
        <v>0</v>
      </c>
      <c r="L58" s="33">
        <v>69.83</v>
      </c>
      <c r="M58" s="33">
        <v>81.510000000000005</v>
      </c>
      <c r="N58" s="34">
        <v>1.16726335385937</v>
      </c>
      <c r="O58" s="34">
        <v>1.16085801049043</v>
      </c>
      <c r="P58" s="34">
        <v>1.1688308009703701</v>
      </c>
      <c r="Q58" s="34">
        <v>1.16644027036007</v>
      </c>
      <c r="R58" s="33">
        <v>81.062714872547204</v>
      </c>
      <c r="S58" s="33">
        <v>81.6114375998892</v>
      </c>
      <c r="T58" s="33">
        <v>81.438956048921199</v>
      </c>
      <c r="U58" s="15">
        <v>-5.5025993310149702E-3</v>
      </c>
      <c r="V58" s="15">
        <v>1.2437067065750099E-3</v>
      </c>
      <c r="W58" s="15">
        <v>-8.7197803904893697E-4</v>
      </c>
      <c r="X58" s="34">
        <v>1.16726335385937</v>
      </c>
      <c r="Y58" s="34">
        <v>1.16060033170917</v>
      </c>
      <c r="Z58" s="34">
        <v>1.16692500197438</v>
      </c>
      <c r="AA58" s="34">
        <v>1.1654873708620701</v>
      </c>
      <c r="AB58" s="33">
        <v>81.044721163251694</v>
      </c>
      <c r="AC58" s="33">
        <v>81.478355655998897</v>
      </c>
      <c r="AD58" s="33">
        <v>81.372415076975997</v>
      </c>
      <c r="AE58" s="15">
        <v>-5.7245966657377099E-3</v>
      </c>
      <c r="AF58" s="15">
        <v>-3.8830190379314598E-4</v>
      </c>
      <c r="AG58" s="15">
        <v>-1.6893776492835301E-3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1.5411711479561987E-2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1.0216152690730078E-2</v>
      </c>
      <c r="BE58" s="29">
        <f t="shared" si="22"/>
        <v>0</v>
      </c>
      <c r="BF58" s="29">
        <f t="shared" si="23"/>
        <v>2.5627864170292065E-2</v>
      </c>
      <c r="BH58" s="29"/>
    </row>
    <row r="59" spans="1:60" x14ac:dyDescent="0.25">
      <c r="A59" s="1">
        <v>46107</v>
      </c>
      <c r="B59" s="33">
        <v>69.31</v>
      </c>
      <c r="C59" s="33">
        <v>81.14</v>
      </c>
      <c r="D59" s="15">
        <v>-7.4745209280505003E-3</v>
      </c>
      <c r="E59" s="15">
        <v>-4.5496543280649903E-3</v>
      </c>
      <c r="F59" s="33">
        <v>0</v>
      </c>
      <c r="G59" s="33">
        <v>0.28752899999999998</v>
      </c>
      <c r="H59" s="33">
        <v>0</v>
      </c>
      <c r="I59" s="33">
        <v>0.45490000000000003</v>
      </c>
      <c r="J59" s="33">
        <v>0</v>
      </c>
      <c r="K59" s="33">
        <v>0</v>
      </c>
      <c r="L59" s="33">
        <v>69.31</v>
      </c>
      <c r="M59" s="33">
        <v>81.14</v>
      </c>
      <c r="N59" s="34">
        <v>1.17068244120617</v>
      </c>
      <c r="O59" s="34">
        <v>1.16085801049043</v>
      </c>
      <c r="P59" s="34">
        <v>1.1695637785900199</v>
      </c>
      <c r="Q59" s="34">
        <v>1.1670625050376899</v>
      </c>
      <c r="R59" s="33">
        <v>80.4590687070922</v>
      </c>
      <c r="S59" s="33">
        <v>81.011662815256699</v>
      </c>
      <c r="T59" s="33">
        <v>80.845975138656797</v>
      </c>
      <c r="U59" s="15">
        <v>-8.4274659310005495E-3</v>
      </c>
      <c r="V59" s="15">
        <v>-1.58292809722187E-3</v>
      </c>
      <c r="W59" s="15">
        <v>-3.6302548291373398E-3</v>
      </c>
      <c r="X59" s="34">
        <v>1.17068244120617</v>
      </c>
      <c r="Y59" s="34">
        <v>1.16060033170917</v>
      </c>
      <c r="Z59" s="34">
        <v>1.1676579795940301</v>
      </c>
      <c r="AA59" s="34">
        <v>1.16610960553969</v>
      </c>
      <c r="AB59" s="33">
        <v>80.441208990763002</v>
      </c>
      <c r="AC59" s="33">
        <v>80.879571886844303</v>
      </c>
      <c r="AD59" s="33">
        <v>80.779929674450599</v>
      </c>
      <c r="AE59" s="15">
        <v>-8.64946326572337E-3</v>
      </c>
      <c r="AF59" s="15">
        <v>-3.21477626945668E-3</v>
      </c>
      <c r="AG59" s="15">
        <v>-4.4475182246135796E-3</v>
      </c>
      <c r="AI59" s="12"/>
      <c r="AJ59">
        <f t="shared" si="6"/>
        <v>0</v>
      </c>
      <c r="AK59">
        <f t="shared" si="7"/>
        <v>0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1.5411711479561987E-2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1.0216152690730078E-2</v>
      </c>
      <c r="BE59" s="29">
        <f t="shared" si="22"/>
        <v>0</v>
      </c>
      <c r="BF59" s="29">
        <f t="shared" si="23"/>
        <v>2.5627864170292065E-2</v>
      </c>
      <c r="BH59" s="29"/>
    </row>
    <row r="60" spans="1:60" x14ac:dyDescent="0.25">
      <c r="A60" s="1">
        <v>46108</v>
      </c>
      <c r="B60" s="33">
        <v>69.7</v>
      </c>
      <c r="C60" s="33">
        <v>81.78</v>
      </c>
      <c r="D60" s="15">
        <v>5.6111218365848901E-3</v>
      </c>
      <c r="E60" s="15">
        <v>7.8566571581950607E-3</v>
      </c>
      <c r="F60" s="33">
        <v>0</v>
      </c>
      <c r="G60" s="33">
        <v>0.28752899999999998</v>
      </c>
      <c r="H60" s="33">
        <v>0</v>
      </c>
      <c r="I60" s="33">
        <v>0.45490000000000003</v>
      </c>
      <c r="J60" s="33">
        <v>0</v>
      </c>
      <c r="K60" s="33">
        <v>0</v>
      </c>
      <c r="L60" s="33">
        <v>69.7</v>
      </c>
      <c r="M60" s="33">
        <v>81.78</v>
      </c>
      <c r="N60" s="34">
        <v>1.17331420373027</v>
      </c>
      <c r="O60" s="34">
        <v>1.16085801049043</v>
      </c>
      <c r="P60" s="34">
        <v>1.1704461128011701</v>
      </c>
      <c r="Q60" s="34">
        <v>1.16776196071622</v>
      </c>
      <c r="R60" s="33">
        <v>80.911803331183407</v>
      </c>
      <c r="S60" s="33">
        <v>81.518595367724799</v>
      </c>
      <c r="T60" s="33">
        <v>81.344256601127199</v>
      </c>
      <c r="U60" s="15">
        <v>-1.06730012526105E-2</v>
      </c>
      <c r="V60" s="15">
        <v>-3.2015566939674598E-3</v>
      </c>
      <c r="W60" s="15">
        <v>-5.3424848562979204E-3</v>
      </c>
      <c r="X60" s="34">
        <v>1.17331420373027</v>
      </c>
      <c r="Y60" s="34">
        <v>1.16060033170917</v>
      </c>
      <c r="Z60" s="34">
        <v>1.16854031380517</v>
      </c>
      <c r="AA60" s="34">
        <v>1.16680906121822</v>
      </c>
      <c r="AB60" s="33">
        <v>80.893843120129503</v>
      </c>
      <c r="AC60" s="33">
        <v>81.385761177703998</v>
      </c>
      <c r="AD60" s="33">
        <v>81.277839506116806</v>
      </c>
      <c r="AE60" s="15">
        <v>-1.0894998587333501E-2</v>
      </c>
      <c r="AF60" s="15">
        <v>-4.8323813358377796E-3</v>
      </c>
      <c r="AG60" s="15">
        <v>-6.1593123390702303E-3</v>
      </c>
      <c r="AI60" s="12"/>
      <c r="AJ60">
        <f t="shared" si="6"/>
        <v>1</v>
      </c>
      <c r="AK60">
        <f t="shared" si="7"/>
        <v>0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1.5411711479561987E-2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1.0216152690730078E-2</v>
      </c>
      <c r="BE60" s="29">
        <f t="shared" si="22"/>
        <v>0</v>
      </c>
      <c r="BF60" s="29">
        <f t="shared" si="23"/>
        <v>2.5627864170292065E-2</v>
      </c>
      <c r="BH60" s="29"/>
    </row>
    <row r="61" spans="1:60" x14ac:dyDescent="0.25">
      <c r="A61" s="1">
        <v>46111</v>
      </c>
      <c r="B61" s="33">
        <v>69.959999999999994</v>
      </c>
      <c r="C61" s="33">
        <v>81.88</v>
      </c>
      <c r="D61" s="15">
        <v>3.7233323839230498E-3</v>
      </c>
      <c r="E61" s="15">
        <v>1.2220458565925299E-3</v>
      </c>
      <c r="F61" s="33">
        <v>0</v>
      </c>
      <c r="G61" s="33">
        <v>0.28752899999999998</v>
      </c>
      <c r="H61" s="33">
        <v>0</v>
      </c>
      <c r="I61" s="33">
        <v>0.45490000000000003</v>
      </c>
      <c r="J61" s="33">
        <v>0</v>
      </c>
      <c r="K61" s="33">
        <v>0</v>
      </c>
      <c r="L61" s="33">
        <v>69.959999999999994</v>
      </c>
      <c r="M61" s="33">
        <v>81.88</v>
      </c>
      <c r="N61" s="34">
        <v>1.1703830760434499</v>
      </c>
      <c r="O61" s="34">
        <v>1.16085801049043</v>
      </c>
      <c r="P61" s="34">
        <v>1.17084977862676</v>
      </c>
      <c r="Q61" s="34">
        <v>1.16850463933277</v>
      </c>
      <c r="R61" s="33">
        <v>81.213626413910902</v>
      </c>
      <c r="S61" s="33">
        <v>81.884410051570001</v>
      </c>
      <c r="T61" s="33">
        <v>81.696626771706804</v>
      </c>
      <c r="U61" s="15">
        <v>-8.1717147252801693E-3</v>
      </c>
      <c r="V61" s="15">
        <v>5.3858485732772897E-5</v>
      </c>
      <c r="W61" s="15">
        <v>-2.2420477635081699E-3</v>
      </c>
      <c r="X61" s="34">
        <v>1.1703830760434499</v>
      </c>
      <c r="Y61" s="34">
        <v>1.16060033170917</v>
      </c>
      <c r="Z61" s="34">
        <v>1.1689439796307699</v>
      </c>
      <c r="AA61" s="34">
        <v>1.1675517398347699</v>
      </c>
      <c r="AB61" s="33">
        <v>81.195599206373899</v>
      </c>
      <c r="AC61" s="33">
        <v>81.751080353810295</v>
      </c>
      <c r="AD61" s="33">
        <v>81.629961922826894</v>
      </c>
      <c r="AE61" s="15">
        <v>-8.3937120600030696E-3</v>
      </c>
      <c r="AF61" s="15">
        <v>-1.5757357659181999E-3</v>
      </c>
      <c r="AG61" s="15">
        <v>-3.05838579046233E-3</v>
      </c>
      <c r="AI61" s="12"/>
      <c r="AJ61">
        <f t="shared" si="6"/>
        <v>0</v>
      </c>
      <c r="AK61">
        <f t="shared" si="7"/>
        <v>0</v>
      </c>
      <c r="AL61">
        <f t="shared" si="14"/>
        <v>1</v>
      </c>
      <c r="AM61">
        <f t="shared" si="4"/>
        <v>1</v>
      </c>
      <c r="AN61">
        <f t="shared" si="15"/>
        <v>1</v>
      </c>
      <c r="AO61" s="28">
        <f t="shared" si="8"/>
        <v>3.7233323839230498E-3</v>
      </c>
      <c r="AP61" s="28">
        <f t="shared" si="9"/>
        <v>-1.2220458565925299E-3</v>
      </c>
      <c r="AQ61" s="28">
        <f t="shared" si="16"/>
        <v>2.5012865273305197E-3</v>
      </c>
      <c r="AR61" s="29">
        <f t="shared" si="17"/>
        <v>1.7912998006892507E-2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1.0216152690730078E-2</v>
      </c>
      <c r="BE61" s="29">
        <f t="shared" si="22"/>
        <v>2.5012865273305197E-3</v>
      </c>
      <c r="BF61" s="29">
        <f t="shared" si="23"/>
        <v>2.8129150697622583E-2</v>
      </c>
      <c r="BH61" s="29"/>
    </row>
    <row r="62" spans="1:60" x14ac:dyDescent="0.25">
      <c r="A62" s="1">
        <v>46112</v>
      </c>
      <c r="B62" s="33">
        <v>70.03</v>
      </c>
      <c r="C62" s="33">
        <v>81.98</v>
      </c>
      <c r="D62" s="15">
        <v>1.00007151702508E-3</v>
      </c>
      <c r="E62" s="15">
        <v>1.2205542831028699E-3</v>
      </c>
      <c r="F62" s="33">
        <v>0</v>
      </c>
      <c r="G62" s="33">
        <v>0.28752899999999998</v>
      </c>
      <c r="H62" s="33">
        <v>0</v>
      </c>
      <c r="I62" s="33">
        <v>0.45490000000000003</v>
      </c>
      <c r="J62" s="33">
        <v>0</v>
      </c>
      <c r="K62" s="33">
        <v>0</v>
      </c>
      <c r="L62" s="33">
        <v>70.03</v>
      </c>
      <c r="M62" s="33">
        <v>81.98</v>
      </c>
      <c r="N62" s="34">
        <v>1.17064115379123</v>
      </c>
      <c r="O62" s="34">
        <v>1.16085801049043</v>
      </c>
      <c r="P62" s="34">
        <v>1.17074692762049</v>
      </c>
      <c r="Q62" s="34">
        <v>1.1688999358243499</v>
      </c>
      <c r="R62" s="33">
        <v>81.294886474645295</v>
      </c>
      <c r="S62" s="33">
        <v>81.994609997232303</v>
      </c>
      <c r="T62" s="33">
        <v>81.830379892474198</v>
      </c>
      <c r="U62" s="15">
        <v>-8.3921974913579098E-3</v>
      </c>
      <c r="V62" s="15">
        <v>1.7819828656696099E-4</v>
      </c>
      <c r="W62" s="15">
        <v>-1.8267480880143599E-3</v>
      </c>
      <c r="X62" s="34">
        <v>1.17064115379123</v>
      </c>
      <c r="Y62" s="34">
        <v>1.16060033170917</v>
      </c>
      <c r="Z62" s="34">
        <v>1.1693053067405299</v>
      </c>
      <c r="AA62" s="34">
        <v>1.16794703632635</v>
      </c>
      <c r="AB62" s="33">
        <v>81.2768412295936</v>
      </c>
      <c r="AC62" s="33">
        <v>81.861146893542895</v>
      </c>
      <c r="AD62" s="33">
        <v>81.763648340629402</v>
      </c>
      <c r="AE62" s="15">
        <v>-8.6141948260806105E-3</v>
      </c>
      <c r="AF62" s="15">
        <v>-1.45083368321805E-3</v>
      </c>
      <c r="AG62" s="15">
        <v>-2.6425670548388398E-3</v>
      </c>
      <c r="AI62" s="12"/>
      <c r="AJ62">
        <f t="shared" si="6"/>
        <v>0</v>
      </c>
      <c r="AK62">
        <f t="shared" si="7"/>
        <v>0</v>
      </c>
      <c r="AL62">
        <f t="shared" si="14"/>
        <v>1</v>
      </c>
      <c r="AM62">
        <f t="shared" si="4"/>
        <v>1</v>
      </c>
      <c r="AN62">
        <f t="shared" si="15"/>
        <v>1</v>
      </c>
      <c r="AO62" s="28">
        <f t="shared" si="8"/>
        <v>1.00007151702508E-3</v>
      </c>
      <c r="AP62" s="28">
        <f t="shared" si="9"/>
        <v>-1.2205542831028699E-3</v>
      </c>
      <c r="AQ62" s="28">
        <f t="shared" si="16"/>
        <v>-2.2048276607778989E-4</v>
      </c>
      <c r="AR62" s="29">
        <f t="shared" si="17"/>
        <v>1.7692515240814718E-2</v>
      </c>
      <c r="AT62" s="12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1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1.0216152690730078E-2</v>
      </c>
      <c r="BE62" s="29">
        <f t="shared" si="22"/>
        <v>-2.2048276607778989E-4</v>
      </c>
      <c r="BF62" s="29">
        <f t="shared" si="23"/>
        <v>2.7908667931544794E-2</v>
      </c>
      <c r="BH62" s="29"/>
    </row>
    <row r="63" spans="1:60" x14ac:dyDescent="0.25">
      <c r="A63" s="1">
        <v>46113</v>
      </c>
      <c r="B63" s="33">
        <v>69.569999999999993</v>
      </c>
      <c r="C63" s="33">
        <v>81.459999999999994</v>
      </c>
      <c r="D63" s="15">
        <v>-6.59028173187645E-3</v>
      </c>
      <c r="E63" s="15">
        <v>-6.3632128559251502E-3</v>
      </c>
      <c r="F63" s="33">
        <v>0</v>
      </c>
      <c r="G63" s="33">
        <v>0.28752899999999998</v>
      </c>
      <c r="H63" s="33">
        <v>0</v>
      </c>
      <c r="I63" s="33">
        <v>0.45490000000000003</v>
      </c>
      <c r="J63" s="33">
        <v>0</v>
      </c>
      <c r="K63" s="33">
        <v>0</v>
      </c>
      <c r="L63" s="33">
        <v>69.569999999999993</v>
      </c>
      <c r="M63" s="33">
        <v>81.459999999999994</v>
      </c>
      <c r="N63" s="34">
        <v>1.1709070001437401</v>
      </c>
      <c r="O63" s="34">
        <v>1.16085801049043</v>
      </c>
      <c r="P63" s="34">
        <v>1.17056786745323</v>
      </c>
      <c r="Q63" s="34">
        <v>1.1691988276652701</v>
      </c>
      <c r="R63" s="33">
        <v>80.760891789819695</v>
      </c>
      <c r="S63" s="33">
        <v>81.448863754557905</v>
      </c>
      <c r="T63" s="33">
        <v>81.320368535300005</v>
      </c>
      <c r="U63" s="15">
        <v>-8.6192663673091592E-3</v>
      </c>
      <c r="V63" s="15">
        <v>-1.3671748980103899E-4</v>
      </c>
      <c r="W63" s="15">
        <v>-1.7155815557307499E-3</v>
      </c>
      <c r="X63" s="34">
        <v>1.1709070001437401</v>
      </c>
      <c r="Y63" s="34">
        <v>1.16060033170917</v>
      </c>
      <c r="Z63" s="34">
        <v>1.1696027818247401</v>
      </c>
      <c r="AA63" s="34">
        <v>1.1682459281672699</v>
      </c>
      <c r="AB63" s="33">
        <v>80.742965077007298</v>
      </c>
      <c r="AC63" s="33">
        <v>81.348570189939196</v>
      </c>
      <c r="AD63" s="33">
        <v>81.254075317224405</v>
      </c>
      <c r="AE63" s="15">
        <v>-8.8412637020319901E-3</v>
      </c>
      <c r="AF63" s="15">
        <v>-1.36884473992845E-3</v>
      </c>
      <c r="AG63" s="15">
        <v>-2.5311245178230302E-3</v>
      </c>
      <c r="AI63" s="12"/>
      <c r="AJ63">
        <f t="shared" si="6"/>
        <v>0</v>
      </c>
      <c r="AK63">
        <f t="shared" si="7"/>
        <v>0</v>
      </c>
      <c r="AL63">
        <f t="shared" si="14"/>
        <v>1</v>
      </c>
      <c r="AM63">
        <f t="shared" si="4"/>
        <v>1</v>
      </c>
      <c r="AN63">
        <f t="shared" si="15"/>
        <v>1</v>
      </c>
      <c r="AO63" s="28">
        <f t="shared" si="8"/>
        <v>-6.59028173187645E-3</v>
      </c>
      <c r="AP63" s="28">
        <f t="shared" si="9"/>
        <v>6.3632128559251502E-3</v>
      </c>
      <c r="AQ63" s="28">
        <f t="shared" si="16"/>
        <v>-2.2706887595129975E-4</v>
      </c>
      <c r="AR63" s="29">
        <f t="shared" si="17"/>
        <v>1.746544636486342E-2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1.0216152690730078E-2</v>
      </c>
      <c r="BE63" s="29">
        <f t="shared" si="22"/>
        <v>-2.2706887595129975E-4</v>
      </c>
      <c r="BF63" s="29">
        <f t="shared" si="23"/>
        <v>2.7681599055593496E-2</v>
      </c>
      <c r="BH63" s="29"/>
    </row>
    <row r="64" spans="1:60" x14ac:dyDescent="0.25">
      <c r="A64" s="1">
        <v>46114</v>
      </c>
      <c r="B64" s="33">
        <v>69.95</v>
      </c>
      <c r="C64" s="33">
        <v>81.89</v>
      </c>
      <c r="D64" s="15">
        <v>5.4472611759402503E-3</v>
      </c>
      <c r="E64" s="15">
        <v>5.2647810618303599E-3</v>
      </c>
      <c r="F64" s="33">
        <v>0</v>
      </c>
      <c r="G64" s="33">
        <v>0.28752899999999998</v>
      </c>
      <c r="H64" s="33">
        <v>0</v>
      </c>
      <c r="I64" s="33">
        <v>0.45490000000000003</v>
      </c>
      <c r="J64" s="33">
        <v>0</v>
      </c>
      <c r="K64" s="33">
        <v>0</v>
      </c>
      <c r="L64" s="33">
        <v>69.95</v>
      </c>
      <c r="M64" s="33">
        <v>81.89</v>
      </c>
      <c r="N64" s="34">
        <v>1.17069335239456</v>
      </c>
      <c r="O64" s="34">
        <v>1.16085801049043</v>
      </c>
      <c r="P64" s="34">
        <v>1.1704367451576501</v>
      </c>
      <c r="Q64" s="34">
        <v>1.1694013002296799</v>
      </c>
      <c r="R64" s="33">
        <v>81.202017833805996</v>
      </c>
      <c r="S64" s="33">
        <v>81.881222328353601</v>
      </c>
      <c r="T64" s="33">
        <v>81.785457995185695</v>
      </c>
      <c r="U64" s="15">
        <v>-8.4367862531993295E-3</v>
      </c>
      <c r="V64" s="15">
        <v>-1.07194310819641E-4</v>
      </c>
      <c r="W64" s="15">
        <v>-1.2774305972434001E-3</v>
      </c>
      <c r="X64" s="34">
        <v>1.17069335239456</v>
      </c>
      <c r="Y64" s="34">
        <v>1.16060033170917</v>
      </c>
      <c r="Z64" s="34">
        <v>1.1699515074012801</v>
      </c>
      <c r="AA64" s="34">
        <v>1.16844840073168</v>
      </c>
      <c r="AB64" s="33">
        <v>81.183993203056801</v>
      </c>
      <c r="AC64" s="33">
        <v>81.813714588640707</v>
      </c>
      <c r="AD64" s="33">
        <v>81.718802675300793</v>
      </c>
      <c r="AE64" s="15">
        <v>-8.6587835879222506E-3</v>
      </c>
      <c r="AF64" s="15">
        <v>-9.3199371893016799E-4</v>
      </c>
      <c r="AG64" s="15">
        <v>-2.0927649904158799E-3</v>
      </c>
      <c r="AI64" s="12"/>
      <c r="AJ64">
        <f t="shared" si="6"/>
        <v>0</v>
      </c>
      <c r="AK64">
        <f t="shared" si="7"/>
        <v>1</v>
      </c>
      <c r="AL64">
        <f t="shared" si="14"/>
        <v>1</v>
      </c>
      <c r="AM64">
        <f t="shared" si="4"/>
        <v>1</v>
      </c>
      <c r="AN64">
        <f t="shared" si="15"/>
        <v>1</v>
      </c>
      <c r="AO64" s="28">
        <f t="shared" si="8"/>
        <v>5.4472611759402503E-3</v>
      </c>
      <c r="AP64" s="28">
        <f t="shared" si="9"/>
        <v>-5.2647810618303599E-3</v>
      </c>
      <c r="AQ64" s="28">
        <f t="shared" si="16"/>
        <v>1.8248011410989043E-4</v>
      </c>
      <c r="AR64" s="29">
        <f t="shared" si="17"/>
        <v>1.764792647897331E-2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1.0216152690730078E-2</v>
      </c>
      <c r="BE64" s="29">
        <f t="shared" si="22"/>
        <v>1.8248011410989043E-4</v>
      </c>
      <c r="BF64" s="29">
        <f t="shared" si="23"/>
        <v>2.7864079169703387E-2</v>
      </c>
      <c r="BH64" s="29"/>
    </row>
    <row r="65" spans="1:60" x14ac:dyDescent="0.25">
      <c r="A65" s="1">
        <v>46118</v>
      </c>
      <c r="B65" s="33">
        <v>70.25</v>
      </c>
      <c r="C65" s="33">
        <v>82.66</v>
      </c>
      <c r="D65" s="15">
        <v>4.2796071023649997E-3</v>
      </c>
      <c r="E65" s="15">
        <v>9.3589258014894709E-3</v>
      </c>
      <c r="F65" s="33">
        <v>0</v>
      </c>
      <c r="G65" s="33">
        <v>0.28752899999999998</v>
      </c>
      <c r="H65" s="33">
        <v>0</v>
      </c>
      <c r="I65" s="33">
        <v>0.45490000000000003</v>
      </c>
      <c r="J65" s="33">
        <v>0</v>
      </c>
      <c r="K65" s="33">
        <v>0</v>
      </c>
      <c r="L65" s="33">
        <v>70.25</v>
      </c>
      <c r="M65" s="33">
        <v>82.66</v>
      </c>
      <c r="N65" s="34">
        <v>1.1766548042704601</v>
      </c>
      <c r="O65" s="34">
        <v>1.16085801049043</v>
      </c>
      <c r="P65" s="34">
        <v>1.17073289263639</v>
      </c>
      <c r="Q65" s="34">
        <v>1.1696731447577799</v>
      </c>
      <c r="R65" s="33">
        <v>81.550275236953198</v>
      </c>
      <c r="S65" s="33">
        <v>82.223181347325493</v>
      </c>
      <c r="T65" s="33">
        <v>82.150441341134993</v>
      </c>
      <c r="U65" s="15">
        <v>-1.3516104952323801E-2</v>
      </c>
      <c r="V65" s="15">
        <v>-5.2985352545857302E-3</v>
      </c>
      <c r="W65" s="15">
        <v>-6.1835922333038302E-3</v>
      </c>
      <c r="X65" s="34">
        <v>1.1766548042704601</v>
      </c>
      <c r="Y65" s="34">
        <v>1.16060033170917</v>
      </c>
      <c r="Z65" s="34">
        <v>1.17073289263639</v>
      </c>
      <c r="AA65" s="34">
        <v>1.16872024525978</v>
      </c>
      <c r="AB65" s="33">
        <v>81.532173302569603</v>
      </c>
      <c r="AC65" s="33">
        <v>82.189093394940301</v>
      </c>
      <c r="AD65" s="33">
        <v>82.083500151400699</v>
      </c>
      <c r="AE65" s="15">
        <v>-1.37381022870465E-2</v>
      </c>
      <c r="AF65" s="15">
        <v>-5.7131995845711098E-3</v>
      </c>
      <c r="AG65" s="15">
        <v>-6.9987854002340104E-3</v>
      </c>
      <c r="AI65" s="12"/>
      <c r="AJ65">
        <f t="shared" si="6"/>
        <v>1</v>
      </c>
      <c r="AK65">
        <f t="shared" si="7"/>
        <v>0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1.764792647897331E-2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1.0216152690730078E-2</v>
      </c>
      <c r="BE65" s="29">
        <f t="shared" si="22"/>
        <v>0</v>
      </c>
      <c r="BF65" s="29">
        <f t="shared" si="23"/>
        <v>2.7864079169703387E-2</v>
      </c>
      <c r="BH65" s="29"/>
    </row>
    <row r="66" spans="1:60" x14ac:dyDescent="0.25">
      <c r="A66" s="1">
        <v>46119</v>
      </c>
      <c r="B66" s="33">
        <v>69.56</v>
      </c>
      <c r="C66" s="33">
        <v>81.260000000000005</v>
      </c>
      <c r="D66" s="15">
        <v>-9.8706187277727703E-3</v>
      </c>
      <c r="E66" s="15">
        <v>-1.70819185240054E-2</v>
      </c>
      <c r="F66" s="33">
        <v>0</v>
      </c>
      <c r="G66" s="33">
        <v>0.28752899999999998</v>
      </c>
      <c r="H66" s="33">
        <v>0</v>
      </c>
      <c r="I66" s="33">
        <v>0.45490000000000003</v>
      </c>
      <c r="J66" s="33">
        <v>0</v>
      </c>
      <c r="K66" s="33">
        <v>0</v>
      </c>
      <c r="L66" s="33">
        <v>69.56</v>
      </c>
      <c r="M66" s="33">
        <v>81.260000000000005</v>
      </c>
      <c r="N66" s="34">
        <v>1.1682001150086201</v>
      </c>
      <c r="O66" s="34">
        <v>1.16085801049043</v>
      </c>
      <c r="P66" s="34">
        <v>1.1706293840450701</v>
      </c>
      <c r="Q66" s="34">
        <v>1.16973511195792</v>
      </c>
      <c r="R66" s="33">
        <v>80.749283209714804</v>
      </c>
      <c r="S66" s="33">
        <v>81.436180011787599</v>
      </c>
      <c r="T66" s="33">
        <v>81.362463949351493</v>
      </c>
      <c r="U66" s="15">
        <v>-6.3048051560911401E-3</v>
      </c>
      <c r="V66" s="15">
        <v>2.1657555898259399E-3</v>
      </c>
      <c r="W66" s="15">
        <v>1.26014525204302E-3</v>
      </c>
      <c r="X66" s="34">
        <v>1.1682001150086201</v>
      </c>
      <c r="Y66" s="34">
        <v>1.16060033170917</v>
      </c>
      <c r="Z66" s="34">
        <v>1.1706293840450701</v>
      </c>
      <c r="AA66" s="34">
        <v>1.1687822124599201</v>
      </c>
      <c r="AB66" s="33">
        <v>80.7313590736903</v>
      </c>
      <c r="AC66" s="33">
        <v>81.436180011787599</v>
      </c>
      <c r="AD66" s="33">
        <v>81.296180260270802</v>
      </c>
      <c r="AE66" s="15">
        <v>-6.5268024908139103E-3</v>
      </c>
      <c r="AF66" s="15">
        <v>2.1657555898259399E-3</v>
      </c>
      <c r="AG66" s="15">
        <v>4.4514162193502998E-4</v>
      </c>
      <c r="AI66" s="12"/>
      <c r="AJ66">
        <f t="shared" si="6"/>
        <v>0</v>
      </c>
      <c r="AK66">
        <f t="shared" si="7"/>
        <v>1</v>
      </c>
      <c r="AL66">
        <f t="shared" si="14"/>
        <v>1</v>
      </c>
      <c r="AM66">
        <f t="shared" si="4"/>
        <v>1</v>
      </c>
      <c r="AN66">
        <f t="shared" si="15"/>
        <v>1</v>
      </c>
      <c r="AO66" s="28">
        <f t="shared" si="8"/>
        <v>-9.8706187277727703E-3</v>
      </c>
      <c r="AP66" s="28">
        <f t="shared" si="9"/>
        <v>1.70819185240054E-2</v>
      </c>
      <c r="AQ66" s="28">
        <f t="shared" si="16"/>
        <v>7.2112997962326293E-3</v>
      </c>
      <c r="AR66" s="29">
        <f t="shared" si="17"/>
        <v>2.485922627520594E-2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1.0216152690730078E-2</v>
      </c>
      <c r="BE66" s="29">
        <f t="shared" si="22"/>
        <v>7.2112997962326293E-3</v>
      </c>
      <c r="BF66" s="29">
        <f t="shared" si="23"/>
        <v>3.5075378965936016E-2</v>
      </c>
      <c r="BH66" s="29"/>
    </row>
    <row r="67" spans="1:60" x14ac:dyDescent="0.25">
      <c r="A67" s="1">
        <v>46120</v>
      </c>
      <c r="B67" s="33">
        <v>70.67</v>
      </c>
      <c r="C67" s="33">
        <v>82.78</v>
      </c>
      <c r="D67" s="15">
        <v>1.58314652166806E-2</v>
      </c>
      <c r="E67" s="15">
        <v>1.8532595761005601E-2</v>
      </c>
      <c r="F67" s="33">
        <v>0</v>
      </c>
      <c r="G67" s="33">
        <v>0.28752899999999998</v>
      </c>
      <c r="H67" s="33">
        <v>0</v>
      </c>
      <c r="I67" s="33">
        <v>0.45490000000000003</v>
      </c>
      <c r="J67" s="33">
        <v>0</v>
      </c>
      <c r="K67" s="33">
        <v>0</v>
      </c>
      <c r="L67" s="33">
        <v>70.67</v>
      </c>
      <c r="M67" s="33">
        <v>82.78</v>
      </c>
      <c r="N67" s="34">
        <v>1.1713598415169</v>
      </c>
      <c r="O67" s="34">
        <v>1.16085801049043</v>
      </c>
      <c r="P67" s="34">
        <v>1.1710099341964799</v>
      </c>
      <c r="Q67" s="34">
        <v>1.16986296222848</v>
      </c>
      <c r="R67" s="33">
        <v>82.037835601359106</v>
      </c>
      <c r="S67" s="33">
        <v>82.728378570465594</v>
      </c>
      <c r="T67" s="33">
        <v>82.665180362066494</v>
      </c>
      <c r="U67" s="15">
        <v>-9.0059357004161292E-3</v>
      </c>
      <c r="V67" s="15">
        <v>-6.2379236210394803E-4</v>
      </c>
      <c r="W67" s="15">
        <v>-1.3880084764773099E-3</v>
      </c>
      <c r="X67" s="34">
        <v>1.1713598415169</v>
      </c>
      <c r="Y67" s="34">
        <v>1.16060033170917</v>
      </c>
      <c r="Z67" s="34">
        <v>1.1710099341964799</v>
      </c>
      <c r="AA67" s="34">
        <v>1.16891006273048</v>
      </c>
      <c r="AB67" s="33">
        <v>82.019625441887399</v>
      </c>
      <c r="AC67" s="33">
        <v>82.728378570465594</v>
      </c>
      <c r="AD67" s="33">
        <v>82.597838954543107</v>
      </c>
      <c r="AE67" s="15">
        <v>-9.2279330351389202E-3</v>
      </c>
      <c r="AF67" s="15">
        <v>-6.2379236210394803E-4</v>
      </c>
      <c r="AG67" s="15">
        <v>-2.2029689138339599E-3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2.485922627520594E-2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1.0216152690730078E-2</v>
      </c>
      <c r="BE67" s="29">
        <f t="shared" si="22"/>
        <v>0</v>
      </c>
      <c r="BF67" s="29">
        <f t="shared" si="23"/>
        <v>3.5075378965936016E-2</v>
      </c>
      <c r="BH67" s="29"/>
    </row>
    <row r="68" spans="1:60" x14ac:dyDescent="0.25">
      <c r="A68" s="1">
        <v>46121</v>
      </c>
      <c r="B68" s="33">
        <v>71.17</v>
      </c>
      <c r="C68" s="33">
        <v>83.45</v>
      </c>
      <c r="D68" s="15">
        <v>7.0502266084167898E-3</v>
      </c>
      <c r="E68" s="15">
        <v>8.0611637872576598E-3</v>
      </c>
      <c r="F68" s="33">
        <v>0</v>
      </c>
      <c r="G68" s="33">
        <v>0.28752899999999998</v>
      </c>
      <c r="H68" s="33">
        <v>0</v>
      </c>
      <c r="I68" s="33">
        <v>0.45490000000000003</v>
      </c>
      <c r="J68" s="33">
        <v>0</v>
      </c>
      <c r="K68" s="33">
        <v>0</v>
      </c>
      <c r="L68" s="33">
        <v>71.17</v>
      </c>
      <c r="M68" s="33">
        <v>83.45</v>
      </c>
      <c r="N68" s="34">
        <v>1.1725446114936</v>
      </c>
      <c r="O68" s="34">
        <v>1.16085801049043</v>
      </c>
      <c r="P68" s="34">
        <v>1.1715380599598999</v>
      </c>
      <c r="Q68" s="34">
        <v>1.1701844304651301</v>
      </c>
      <c r="R68" s="33">
        <v>82.618264606604399</v>
      </c>
      <c r="S68" s="33">
        <v>83.340777016763496</v>
      </c>
      <c r="T68" s="33">
        <v>83.259147021800899</v>
      </c>
      <c r="U68" s="15">
        <v>-1.0016872879257E-2</v>
      </c>
      <c r="V68" s="15">
        <v>-1.30970070171344E-3</v>
      </c>
      <c r="W68" s="15">
        <v>-2.28965314726472E-3</v>
      </c>
      <c r="X68" s="34">
        <v>1.1725446114936</v>
      </c>
      <c r="Y68" s="34">
        <v>1.16060033170917</v>
      </c>
      <c r="Z68" s="34">
        <v>1.1715380599598999</v>
      </c>
      <c r="AA68" s="34">
        <v>1.1692315309671399</v>
      </c>
      <c r="AB68" s="33">
        <v>82.599925607741994</v>
      </c>
      <c r="AC68" s="33">
        <v>83.340777016763496</v>
      </c>
      <c r="AD68" s="33">
        <v>83.191329164528398</v>
      </c>
      <c r="AE68" s="15">
        <v>-1.02388702139799E-2</v>
      </c>
      <c r="AF68" s="15">
        <v>-1.30970070171344E-3</v>
      </c>
      <c r="AG68" s="15">
        <v>-3.10452448412075E-3</v>
      </c>
      <c r="AI68" s="12"/>
      <c r="AJ68">
        <f t="shared" si="6"/>
        <v>0</v>
      </c>
      <c r="AK68">
        <f t="shared" si="7"/>
        <v>0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2.485922627520594E-2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1.0216152690730078E-2</v>
      </c>
      <c r="BE68" s="29">
        <f t="shared" si="22"/>
        <v>0</v>
      </c>
      <c r="BF68" s="29">
        <f t="shared" si="23"/>
        <v>3.5075378965936016E-2</v>
      </c>
      <c r="BH68" s="29"/>
    </row>
    <row r="69" spans="1:60" x14ac:dyDescent="0.25">
      <c r="A69" s="1">
        <v>46122</v>
      </c>
      <c r="B69" s="33">
        <v>70.67</v>
      </c>
      <c r="C69" s="33">
        <v>82.37</v>
      </c>
      <c r="D69" s="15">
        <v>-7.0502266084167603E-3</v>
      </c>
      <c r="E69" s="15">
        <v>-1.3026357154686599E-2</v>
      </c>
      <c r="F69" s="33">
        <v>0</v>
      </c>
      <c r="G69" s="33">
        <v>0.28752899999999998</v>
      </c>
      <c r="H69" s="33">
        <v>0</v>
      </c>
      <c r="I69" s="33">
        <v>0.45490000000000003</v>
      </c>
      <c r="J69" s="33">
        <v>0</v>
      </c>
      <c r="K69" s="33">
        <v>0</v>
      </c>
      <c r="L69" s="33">
        <v>70.67</v>
      </c>
      <c r="M69" s="33">
        <v>82.37</v>
      </c>
      <c r="N69" s="34">
        <v>1.16555822838545</v>
      </c>
      <c r="O69" s="34">
        <v>1.16085801049043</v>
      </c>
      <c r="P69" s="34">
        <v>1.1710256386778299</v>
      </c>
      <c r="Q69" s="34">
        <v>1.1702947086339199</v>
      </c>
      <c r="R69" s="33">
        <v>82.037835601359106</v>
      </c>
      <c r="S69" s="33">
        <v>82.792594697366397</v>
      </c>
      <c r="T69" s="33">
        <v>82.6969337009714</v>
      </c>
      <c r="U69" s="15">
        <v>-4.0407423329872003E-3</v>
      </c>
      <c r="V69" s="15">
        <v>5.11732841627282E-3</v>
      </c>
      <c r="W69" s="15">
        <v>3.9612310127018499E-3</v>
      </c>
      <c r="X69" s="34">
        <v>1.16555822838545</v>
      </c>
      <c r="Y69" s="34">
        <v>1.16060033170917</v>
      </c>
      <c r="Z69" s="34">
        <v>1.1710256386778299</v>
      </c>
      <c r="AA69" s="34">
        <v>1.16934180913593</v>
      </c>
      <c r="AB69" s="33">
        <v>82.019625441887399</v>
      </c>
      <c r="AC69" s="33">
        <v>82.792594697366397</v>
      </c>
      <c r="AD69" s="33">
        <v>82.629592293447899</v>
      </c>
      <c r="AE69" s="15">
        <v>-4.2627396677099097E-3</v>
      </c>
      <c r="AF69" s="15">
        <v>5.11732841627282E-3</v>
      </c>
      <c r="AG69" s="15">
        <v>3.14658362514366E-3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2.485922627520594E-2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1.0216152690730078E-2</v>
      </c>
      <c r="BE69" s="29">
        <f t="shared" si="22"/>
        <v>0</v>
      </c>
      <c r="BF69" s="29">
        <f t="shared" si="23"/>
        <v>3.5075378965936016E-2</v>
      </c>
      <c r="BH69" s="29"/>
    </row>
    <row r="70" spans="1:60" x14ac:dyDescent="0.25">
      <c r="A70" s="1">
        <v>46125</v>
      </c>
      <c r="B70" s="33">
        <v>70.150000000000006</v>
      </c>
      <c r="C70" s="33">
        <v>81.55</v>
      </c>
      <c r="D70" s="15">
        <v>-7.3853481542929898E-3</v>
      </c>
      <c r="E70" s="15">
        <v>-1.00049638861345E-2</v>
      </c>
      <c r="F70" s="33">
        <v>0</v>
      </c>
      <c r="G70" s="33">
        <v>0.28752899999999998</v>
      </c>
      <c r="H70" s="33">
        <v>0</v>
      </c>
      <c r="I70" s="33">
        <v>0.45490000000000003</v>
      </c>
      <c r="J70" s="33">
        <v>0</v>
      </c>
      <c r="K70" s="33">
        <v>0</v>
      </c>
      <c r="L70" s="33">
        <v>70.150000000000006</v>
      </c>
      <c r="M70" s="33">
        <v>81.55</v>
      </c>
      <c r="N70" s="34">
        <v>1.1625089094796801</v>
      </c>
      <c r="O70" s="34">
        <v>1.16085801049043</v>
      </c>
      <c r="P70" s="34">
        <v>1.16994510925277</v>
      </c>
      <c r="Q70" s="34">
        <v>1.17019561102697</v>
      </c>
      <c r="R70" s="33">
        <v>81.434189435904102</v>
      </c>
      <c r="S70" s="33">
        <v>82.147448553249902</v>
      </c>
      <c r="T70" s="33">
        <v>82.096173810670095</v>
      </c>
      <c r="U70" s="15">
        <v>-1.4211266011455101E-3</v>
      </c>
      <c r="V70" s="15">
        <v>7.2994565437917497E-3</v>
      </c>
      <c r="W70" s="15">
        <v>6.6750822940330997E-3</v>
      </c>
      <c r="X70" s="34">
        <v>1.1625089094796801</v>
      </c>
      <c r="Y70" s="34">
        <v>1.16060033170917</v>
      </c>
      <c r="Z70" s="34">
        <v>1.16994510925277</v>
      </c>
      <c r="AA70" s="34">
        <v>1.1692427115289701</v>
      </c>
      <c r="AB70" s="33">
        <v>81.416113269398707</v>
      </c>
      <c r="AC70" s="33">
        <v>82.147448553249902</v>
      </c>
      <c r="AD70" s="33">
        <v>82.029327910885598</v>
      </c>
      <c r="AE70" s="15">
        <v>-1.6431239358682399E-3</v>
      </c>
      <c r="AF70" s="15">
        <v>7.2994565437917497E-3</v>
      </c>
      <c r="AG70" s="15">
        <v>5.8605117028759299E-3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2.485922627520594E-2</v>
      </c>
      <c r="AT70" s="12"/>
      <c r="AU70">
        <f t="shared" si="10"/>
        <v>0</v>
      </c>
      <c r="AV70">
        <f t="shared" si="11"/>
        <v>0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1.0216152690730078E-2</v>
      </c>
      <c r="BE70" s="29">
        <f t="shared" si="22"/>
        <v>0</v>
      </c>
      <c r="BF70" s="29">
        <f t="shared" si="23"/>
        <v>3.5075378965936016E-2</v>
      </c>
      <c r="BH70" s="29"/>
    </row>
    <row r="71" spans="1:60" x14ac:dyDescent="0.25">
      <c r="A71" s="1">
        <v>46126</v>
      </c>
      <c r="B71" s="33">
        <v>69.92</v>
      </c>
      <c r="C71" s="33">
        <v>81.47</v>
      </c>
      <c r="D71" s="15">
        <v>-3.28407520118999E-3</v>
      </c>
      <c r="E71" s="15">
        <v>-9.8147474447246108E-4</v>
      </c>
      <c r="F71" s="33">
        <v>0</v>
      </c>
      <c r="G71" s="33">
        <v>0.28752899999999998</v>
      </c>
      <c r="H71" s="33">
        <v>0</v>
      </c>
      <c r="I71" s="33">
        <v>0.45490000000000003</v>
      </c>
      <c r="J71" s="33">
        <v>0</v>
      </c>
      <c r="K71" s="33">
        <v>0</v>
      </c>
      <c r="L71" s="33">
        <v>69.92</v>
      </c>
      <c r="M71" s="33">
        <v>81.47</v>
      </c>
      <c r="N71" s="34">
        <v>1.1651887871853499</v>
      </c>
      <c r="O71" s="34">
        <v>1.16085801049043</v>
      </c>
      <c r="P71" s="34">
        <v>1.16942568036696</v>
      </c>
      <c r="Q71" s="34">
        <v>1.17013772949686</v>
      </c>
      <c r="R71" s="33">
        <v>81.167192093491295</v>
      </c>
      <c r="S71" s="33">
        <v>81.802562038953894</v>
      </c>
      <c r="T71" s="33">
        <v>81.820077123005902</v>
      </c>
      <c r="U71" s="15">
        <v>-3.7237270578630902E-3</v>
      </c>
      <c r="V71" s="15">
        <v>4.0737095652739804E-3</v>
      </c>
      <c r="W71" s="15">
        <v>4.2878007718290499E-3</v>
      </c>
      <c r="X71" s="34">
        <v>1.1651887871853499</v>
      </c>
      <c r="Y71" s="34">
        <v>1.16060033170917</v>
      </c>
      <c r="Z71" s="34">
        <v>1.16942568036696</v>
      </c>
      <c r="AA71" s="34">
        <v>1.1691848299988601</v>
      </c>
      <c r="AB71" s="33">
        <v>81.149175193105606</v>
      </c>
      <c r="AC71" s="33">
        <v>81.802562038953894</v>
      </c>
      <c r="AD71" s="33">
        <v>81.753450390105996</v>
      </c>
      <c r="AE71" s="15">
        <v>-3.9457243925857697E-3</v>
      </c>
      <c r="AF71" s="15">
        <v>4.0737095652739804E-3</v>
      </c>
      <c r="AG71" s="15">
        <v>3.4731611709400601E-3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2.485922627520594E-2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1.0216152690730078E-2</v>
      </c>
      <c r="BE71" s="29">
        <f t="shared" si="22"/>
        <v>0</v>
      </c>
      <c r="BF71" s="29">
        <f t="shared" si="23"/>
        <v>3.5075378965936016E-2</v>
      </c>
      <c r="BH71" s="29"/>
    </row>
    <row r="72" spans="1:60" x14ac:dyDescent="0.25">
      <c r="A72" s="1">
        <v>46127</v>
      </c>
      <c r="B72" s="33">
        <v>69.22</v>
      </c>
      <c r="C72" s="33">
        <v>81.06</v>
      </c>
      <c r="D72" s="15">
        <v>-1.0061893140081799E-2</v>
      </c>
      <c r="E72" s="15">
        <v>-5.0452331223879102E-3</v>
      </c>
      <c r="F72" s="33">
        <v>0</v>
      </c>
      <c r="G72" s="33">
        <v>0.28752899999999998</v>
      </c>
      <c r="H72" s="33">
        <v>0</v>
      </c>
      <c r="I72" s="33">
        <v>0.45490000000000003</v>
      </c>
      <c r="J72" s="33">
        <v>0</v>
      </c>
      <c r="K72" s="33">
        <v>0</v>
      </c>
      <c r="L72" s="33">
        <v>69.22</v>
      </c>
      <c r="M72" s="33">
        <v>81.06</v>
      </c>
      <c r="N72" s="34">
        <v>1.17104882981797</v>
      </c>
      <c r="O72" s="34">
        <v>1.16085801049043</v>
      </c>
      <c r="P72" s="34">
        <v>1.16946644796963</v>
      </c>
      <c r="Q72" s="34">
        <v>1.1701066877950601</v>
      </c>
      <c r="R72" s="33">
        <v>80.354591486147996</v>
      </c>
      <c r="S72" s="33">
        <v>80.947645595001205</v>
      </c>
      <c r="T72" s="33">
        <v>80.996933635772905</v>
      </c>
      <c r="U72" s="15">
        <v>-8.7403870755570507E-3</v>
      </c>
      <c r="V72" s="15">
        <v>-1.38702618137298E-3</v>
      </c>
      <c r="W72" s="15">
        <v>-7.7832359277532897E-4</v>
      </c>
      <c r="X72" s="34">
        <v>1.17104882981797</v>
      </c>
      <c r="Y72" s="34">
        <v>1.16060033170917</v>
      </c>
      <c r="Z72" s="34">
        <v>1.16946644796963</v>
      </c>
      <c r="AA72" s="34">
        <v>1.16938587735508</v>
      </c>
      <c r="AB72" s="33">
        <v>80.336754960909104</v>
      </c>
      <c r="AC72" s="33">
        <v>80.947645595001205</v>
      </c>
      <c r="AD72" s="33">
        <v>80.930973932521596</v>
      </c>
      <c r="AE72" s="15">
        <v>-8.9623844102798E-3</v>
      </c>
      <c r="AF72" s="15">
        <v>-1.3870261813730899E-3</v>
      </c>
      <c r="AG72" s="15">
        <v>-1.5930035066955301E-3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2.485922627520594E-2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1.0216152690730078E-2</v>
      </c>
      <c r="BE72" s="29">
        <f t="shared" si="22"/>
        <v>0</v>
      </c>
      <c r="BF72" s="29">
        <f t="shared" si="23"/>
        <v>3.5075378965936016E-2</v>
      </c>
      <c r="BH72" s="29"/>
    </row>
    <row r="73" spans="1:60" x14ac:dyDescent="0.25">
      <c r="A73" s="1">
        <v>46128</v>
      </c>
      <c r="B73" s="33">
        <v>69.599999999999994</v>
      </c>
      <c r="C73" s="33">
        <v>81.430000000000007</v>
      </c>
      <c r="D73" s="15">
        <v>5.4747291331757502E-3</v>
      </c>
      <c r="E73" s="15">
        <v>4.5541342788774598E-3</v>
      </c>
      <c r="F73" s="33">
        <v>0</v>
      </c>
      <c r="G73" s="33">
        <v>0.28752899999999998</v>
      </c>
      <c r="H73" s="33">
        <v>0</v>
      </c>
      <c r="I73" s="33">
        <v>0.45490000000000003</v>
      </c>
      <c r="J73" s="33">
        <v>0</v>
      </c>
      <c r="K73" s="33">
        <v>0</v>
      </c>
      <c r="L73" s="33">
        <v>69.599999999999994</v>
      </c>
      <c r="M73" s="33">
        <v>81.430000000000007</v>
      </c>
      <c r="N73" s="34">
        <v>1.16997126436781</v>
      </c>
      <c r="O73" s="34">
        <v>1.16085801049043</v>
      </c>
      <c r="P73" s="34">
        <v>1.16937287439204</v>
      </c>
      <c r="Q73" s="34">
        <v>1.1699703709226299</v>
      </c>
      <c r="R73" s="33">
        <v>80.795717530134397</v>
      </c>
      <c r="S73" s="33">
        <v>81.394864778686696</v>
      </c>
      <c r="T73" s="33">
        <v>81.439425470536605</v>
      </c>
      <c r="U73" s="15">
        <v>-7.8197922212589303E-3</v>
      </c>
      <c r="V73" s="15">
        <v>-4.31570717486191E-4</v>
      </c>
      <c r="W73" s="15">
        <v>1.15742663424372E-4</v>
      </c>
      <c r="X73" s="34">
        <v>1.16997126436781</v>
      </c>
      <c r="Y73" s="34">
        <v>1.16060033170917</v>
      </c>
      <c r="Z73" s="34">
        <v>1.16937287439204</v>
      </c>
      <c r="AA73" s="34">
        <v>1.16948782810839</v>
      </c>
      <c r="AB73" s="33">
        <v>80.777783086958607</v>
      </c>
      <c r="AC73" s="33">
        <v>81.394864778686696</v>
      </c>
      <c r="AD73" s="33">
        <v>81.389257063914101</v>
      </c>
      <c r="AE73" s="15">
        <v>-8.0417895559816294E-3</v>
      </c>
      <c r="AF73" s="15">
        <v>-4.31570717486191E-4</v>
      </c>
      <c r="AG73" s="15">
        <v>-5.0046828208141802E-4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2.485922627520594E-2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1.0216152690730078E-2</v>
      </c>
      <c r="BE73" s="29">
        <f t="shared" si="22"/>
        <v>0</v>
      </c>
      <c r="BF73" s="29">
        <f t="shared" si="23"/>
        <v>3.5075378965936016E-2</v>
      </c>
      <c r="BH73" s="29"/>
    </row>
    <row r="74" spans="1:60" x14ac:dyDescent="0.25">
      <c r="A74" s="1">
        <v>46129</v>
      </c>
      <c r="B74" s="33">
        <v>70.239999999999995</v>
      </c>
      <c r="C74" s="33">
        <v>82.46</v>
      </c>
      <c r="D74" s="15">
        <v>9.1533819864871996E-3</v>
      </c>
      <c r="E74" s="15">
        <v>1.2569571799713899E-2</v>
      </c>
      <c r="F74" s="33">
        <v>0</v>
      </c>
      <c r="G74" s="33">
        <v>0.28752899999999998</v>
      </c>
      <c r="H74" s="33">
        <v>0</v>
      </c>
      <c r="I74" s="33">
        <v>0.45490000000000003</v>
      </c>
      <c r="J74" s="33">
        <v>0</v>
      </c>
      <c r="K74" s="33">
        <v>0</v>
      </c>
      <c r="L74" s="33">
        <v>70.239999999999995</v>
      </c>
      <c r="M74" s="33">
        <v>82.46</v>
      </c>
      <c r="N74" s="34">
        <v>1.17397494305239</v>
      </c>
      <c r="O74" s="34">
        <v>1.16085801049043</v>
      </c>
      <c r="P74" s="34">
        <v>1.1697010334578199</v>
      </c>
      <c r="Q74" s="34">
        <v>1.17006888930774</v>
      </c>
      <c r="R74" s="33">
        <v>81.538666656848207</v>
      </c>
      <c r="S74" s="33">
        <v>82.136750697297202</v>
      </c>
      <c r="T74" s="33">
        <v>82.1787188536061</v>
      </c>
      <c r="U74" s="15">
        <v>-1.12359820344855E-2</v>
      </c>
      <c r="V74" s="15">
        <v>-3.92777763727278E-3</v>
      </c>
      <c r="W74" s="15">
        <v>-3.4169534606303198E-3</v>
      </c>
      <c r="X74" s="34">
        <v>1.17397494305239</v>
      </c>
      <c r="Y74" s="34">
        <v>1.16060033170917</v>
      </c>
      <c r="Z74" s="34">
        <v>1.1697010334578199</v>
      </c>
      <c r="AA74" s="34">
        <v>1.1698262704295499</v>
      </c>
      <c r="AB74" s="33">
        <v>81.520567299252505</v>
      </c>
      <c r="AC74" s="33">
        <v>82.136750697297202</v>
      </c>
      <c r="AD74" s="33">
        <v>82.144825046333594</v>
      </c>
      <c r="AE74" s="15">
        <v>-1.1457979369208201E-2</v>
      </c>
      <c r="AF74" s="15">
        <v>-3.92777763727278E-3</v>
      </c>
      <c r="AG74" s="15">
        <v>-3.8294787378826598E-3</v>
      </c>
      <c r="AI74" s="12"/>
      <c r="AJ74">
        <f t="shared" si="6"/>
        <v>0</v>
      </c>
      <c r="AK74">
        <f t="shared" si="7"/>
        <v>0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2.485922627520594E-2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1.0216152690730078E-2</v>
      </c>
      <c r="BE74" s="29">
        <f t="shared" si="22"/>
        <v>0</v>
      </c>
      <c r="BF74" s="29">
        <f t="shared" si="23"/>
        <v>3.5075378965936016E-2</v>
      </c>
      <c r="BH74" s="29"/>
    </row>
    <row r="75" spans="1:60" x14ac:dyDescent="0.25">
      <c r="A75" s="1">
        <v>46132</v>
      </c>
      <c r="B75" s="33">
        <v>69.89</v>
      </c>
      <c r="C75" s="33">
        <v>82.39</v>
      </c>
      <c r="D75" s="15">
        <v>-4.9953718378235304E-3</v>
      </c>
      <c r="E75" s="15">
        <v>-8.4925695125524997E-4</v>
      </c>
      <c r="F75" s="33">
        <v>0</v>
      </c>
      <c r="G75" s="33">
        <v>0.28752899999999998</v>
      </c>
      <c r="H75" s="33">
        <v>0</v>
      </c>
      <c r="I75" s="33">
        <v>0.45490000000000003</v>
      </c>
      <c r="J75" s="33">
        <v>0</v>
      </c>
      <c r="K75" s="33">
        <v>0</v>
      </c>
      <c r="L75" s="33">
        <v>69.89</v>
      </c>
      <c r="M75" s="33">
        <v>82.39</v>
      </c>
      <c r="N75" s="34">
        <v>1.17885248247245</v>
      </c>
      <c r="O75" s="34">
        <v>1.16085801049043</v>
      </c>
      <c r="P75" s="34">
        <v>1.16992080127802</v>
      </c>
      <c r="Q75" s="34">
        <v>1.1703268469572099</v>
      </c>
      <c r="R75" s="33">
        <v>81.132366353176593</v>
      </c>
      <c r="S75" s="33">
        <v>81.750405228367597</v>
      </c>
      <c r="T75" s="33">
        <v>81.776114673718197</v>
      </c>
      <c r="U75" s="15">
        <v>-1.53820969210537E-2</v>
      </c>
      <c r="V75" s="15">
        <v>-7.7933036404936196E-3</v>
      </c>
      <c r="W75" s="15">
        <v>-7.4788660119325502E-3</v>
      </c>
      <c r="X75" s="34">
        <v>1.17885248247245</v>
      </c>
      <c r="Y75" s="34">
        <v>1.16060033170917</v>
      </c>
      <c r="Z75" s="34">
        <v>1.16992080127802</v>
      </c>
      <c r="AA75" s="34">
        <v>1.1703268469572099</v>
      </c>
      <c r="AB75" s="33">
        <v>81.114357183154297</v>
      </c>
      <c r="AC75" s="33">
        <v>81.750405228367597</v>
      </c>
      <c r="AD75" s="33">
        <v>81.759158040321694</v>
      </c>
      <c r="AE75" s="15">
        <v>-1.56040942557765E-2</v>
      </c>
      <c r="AF75" s="15">
        <v>-7.7933036404936196E-3</v>
      </c>
      <c r="AG75" s="15">
        <v>-7.6862418663990401E-3</v>
      </c>
      <c r="AI75" s="12"/>
      <c r="AJ75">
        <f t="shared" si="6"/>
        <v>1</v>
      </c>
      <c r="AK75">
        <f t="shared" si="7"/>
        <v>0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2.485922627520594E-2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1.0216152690730078E-2</v>
      </c>
      <c r="BE75" s="29">
        <f t="shared" si="22"/>
        <v>0</v>
      </c>
      <c r="BF75" s="29">
        <f t="shared" si="23"/>
        <v>3.5075378965936016E-2</v>
      </c>
      <c r="BH75" s="29"/>
    </row>
    <row r="76" spans="1:60" x14ac:dyDescent="0.25">
      <c r="A76" s="1">
        <v>46133</v>
      </c>
      <c r="B76" s="33">
        <v>69.03</v>
      </c>
      <c r="C76" s="33">
        <v>81.84</v>
      </c>
      <c r="D76" s="15">
        <v>-1.2381384773653401E-2</v>
      </c>
      <c r="E76" s="15">
        <v>-6.6979486841275797E-3</v>
      </c>
      <c r="F76" s="33">
        <v>0</v>
      </c>
      <c r="G76" s="33">
        <v>0.28752899999999998</v>
      </c>
      <c r="H76" s="33">
        <v>0</v>
      </c>
      <c r="I76" s="33">
        <v>0.45490000000000003</v>
      </c>
      <c r="J76" s="33">
        <v>0</v>
      </c>
      <c r="K76" s="33">
        <v>0</v>
      </c>
      <c r="L76" s="33">
        <v>69.03</v>
      </c>
      <c r="M76" s="33">
        <v>81.84</v>
      </c>
      <c r="N76" s="34">
        <v>1.18557149065623</v>
      </c>
      <c r="O76" s="34">
        <v>1.16085801049043</v>
      </c>
      <c r="P76" s="34">
        <v>1.1716579388427799</v>
      </c>
      <c r="Q76" s="34">
        <v>1.1711436614439299</v>
      </c>
      <c r="R76" s="33">
        <v>80.134028464154795</v>
      </c>
      <c r="S76" s="33">
        <v>80.759632912222202</v>
      </c>
      <c r="T76" s="33">
        <v>80.787662245456204</v>
      </c>
      <c r="U76" s="15">
        <v>-2.10655330105795E-2</v>
      </c>
      <c r="V76" s="15">
        <v>-1.3288873624837201E-2</v>
      </c>
      <c r="W76" s="15">
        <v>-1.29418627573637E-2</v>
      </c>
      <c r="X76" s="34">
        <v>1.18557149065623</v>
      </c>
      <c r="Y76" s="34">
        <v>1.16060033170917</v>
      </c>
      <c r="Z76" s="34">
        <v>1.1716579388427799</v>
      </c>
      <c r="AA76" s="34">
        <v>1.1711436614439299</v>
      </c>
      <c r="AB76" s="33">
        <v>80.116240897884396</v>
      </c>
      <c r="AC76" s="33">
        <v>80.759632912222202</v>
      </c>
      <c r="AD76" s="33">
        <v>80.787662245456204</v>
      </c>
      <c r="AE76" s="15">
        <v>-2.12875303453023E-2</v>
      </c>
      <c r="AF76" s="15">
        <v>-1.3288873624837E-2</v>
      </c>
      <c r="AG76" s="15">
        <v>-1.2941862757363899E-2</v>
      </c>
      <c r="AI76" s="12"/>
      <c r="AJ76">
        <f t="shared" si="6"/>
        <v>1</v>
      </c>
      <c r="AK76">
        <f t="shared" si="7"/>
        <v>0</v>
      </c>
      <c r="AL76">
        <f t="shared" si="14"/>
        <v>1</v>
      </c>
      <c r="AM76">
        <f t="shared" si="4"/>
        <v>1</v>
      </c>
      <c r="AN76">
        <f t="shared" si="15"/>
        <v>1</v>
      </c>
      <c r="AO76" s="28">
        <f t="shared" si="8"/>
        <v>-1.2381384773653401E-2</v>
      </c>
      <c r="AP76" s="28">
        <f t="shared" si="9"/>
        <v>6.6979486841275797E-3</v>
      </c>
      <c r="AQ76" s="28">
        <f t="shared" si="16"/>
        <v>-5.6834360895258208E-3</v>
      </c>
      <c r="AR76" s="29">
        <f t="shared" si="17"/>
        <v>1.9175790185680119E-2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1.0216152690730078E-2</v>
      </c>
      <c r="BE76" s="29">
        <f t="shared" si="22"/>
        <v>-5.6834360895258208E-3</v>
      </c>
      <c r="BF76" s="29">
        <f t="shared" si="23"/>
        <v>2.9391942876410195E-2</v>
      </c>
      <c r="BH76" s="29"/>
    </row>
    <row r="77" spans="1:60" x14ac:dyDescent="0.25">
      <c r="A77" s="1">
        <v>46134</v>
      </c>
      <c r="B77" s="33">
        <v>69.41</v>
      </c>
      <c r="C77" s="33">
        <v>82.11</v>
      </c>
      <c r="D77" s="15">
        <v>5.4897566361079798E-3</v>
      </c>
      <c r="E77" s="15">
        <v>3.2936900773262402E-3</v>
      </c>
      <c r="F77" s="33">
        <v>0</v>
      </c>
      <c r="G77" s="33">
        <v>0.28752899999999998</v>
      </c>
      <c r="H77" s="33">
        <v>0</v>
      </c>
      <c r="I77" s="33">
        <v>0.45490000000000003</v>
      </c>
      <c r="J77" s="33">
        <v>0</v>
      </c>
      <c r="K77" s="33">
        <v>0</v>
      </c>
      <c r="L77" s="33">
        <v>69.41</v>
      </c>
      <c r="M77" s="33">
        <v>82.11</v>
      </c>
      <c r="N77" s="34">
        <v>1.1829707534937299</v>
      </c>
      <c r="O77" s="34">
        <v>1.16085801049043</v>
      </c>
      <c r="P77" s="34">
        <v>1.1728190300404699</v>
      </c>
      <c r="Q77" s="34">
        <v>1.1719144821184699</v>
      </c>
      <c r="R77" s="33">
        <v>80.575154508141196</v>
      </c>
      <c r="S77" s="33">
        <v>81.324777535077899</v>
      </c>
      <c r="T77" s="33">
        <v>81.289081540823403</v>
      </c>
      <c r="U77" s="15">
        <v>-1.8869466451797798E-2</v>
      </c>
      <c r="V77" s="15">
        <v>-9.6090748697523608E-3</v>
      </c>
      <c r="W77" s="15">
        <v>-1.00481025766246E-2</v>
      </c>
      <c r="X77" s="34">
        <v>1.1829707534937299</v>
      </c>
      <c r="Y77" s="34">
        <v>1.16060033170917</v>
      </c>
      <c r="Z77" s="34">
        <v>1.1728190300404699</v>
      </c>
      <c r="AA77" s="34">
        <v>1.1719144821184699</v>
      </c>
      <c r="AB77" s="33">
        <v>80.557269023933898</v>
      </c>
      <c r="AC77" s="33">
        <v>81.324777535077899</v>
      </c>
      <c r="AD77" s="33">
        <v>81.289081540823403</v>
      </c>
      <c r="AE77" s="15">
        <v>-1.9091463786520602E-2</v>
      </c>
      <c r="AF77" s="15">
        <v>-9.6090748697523608E-3</v>
      </c>
      <c r="AG77" s="15">
        <v>-1.00481025766249E-2</v>
      </c>
      <c r="AI77" s="12"/>
      <c r="AJ77">
        <f t="shared" si="6"/>
        <v>1</v>
      </c>
      <c r="AK77">
        <f t="shared" si="7"/>
        <v>0</v>
      </c>
      <c r="AL77">
        <f t="shared" si="14"/>
        <v>1</v>
      </c>
      <c r="AM77">
        <f t="shared" si="4"/>
        <v>1</v>
      </c>
      <c r="AN77">
        <f t="shared" si="15"/>
        <v>1</v>
      </c>
      <c r="AO77" s="28">
        <f t="shared" si="8"/>
        <v>5.4897566361079798E-3</v>
      </c>
      <c r="AP77" s="28">
        <f t="shared" si="9"/>
        <v>-3.2936900773262402E-3</v>
      </c>
      <c r="AQ77" s="28">
        <f t="shared" si="16"/>
        <v>2.1960665587817396E-3</v>
      </c>
      <c r="AR77" s="29">
        <f t="shared" si="17"/>
        <v>2.1371856744461858E-2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1.0216152690730078E-2</v>
      </c>
      <c r="BE77" s="29">
        <f t="shared" si="22"/>
        <v>2.1960665587817396E-3</v>
      </c>
      <c r="BF77" s="29">
        <f t="shared" si="23"/>
        <v>3.1588009435191938E-2</v>
      </c>
      <c r="BH77" s="29"/>
    </row>
    <row r="78" spans="1:60" x14ac:dyDescent="0.25">
      <c r="A78" s="1">
        <v>46135</v>
      </c>
      <c r="B78" s="33">
        <v>70.7</v>
      </c>
      <c r="C78" s="33">
        <v>83.48</v>
      </c>
      <c r="D78" s="15">
        <v>1.8414623551034699E-2</v>
      </c>
      <c r="E78" s="15">
        <v>1.65472704883027E-2</v>
      </c>
      <c r="F78" s="33">
        <v>0</v>
      </c>
      <c r="G78" s="33">
        <v>0.28752899999999998</v>
      </c>
      <c r="H78" s="33">
        <v>0</v>
      </c>
      <c r="I78" s="33">
        <v>0.45490000000000003</v>
      </c>
      <c r="J78" s="33">
        <v>0</v>
      </c>
      <c r="K78" s="33">
        <v>0</v>
      </c>
      <c r="L78" s="33">
        <v>70.7</v>
      </c>
      <c r="M78" s="33">
        <v>83.48</v>
      </c>
      <c r="N78" s="34">
        <v>1.1807637906647801</v>
      </c>
      <c r="O78" s="34">
        <v>1.16085801049043</v>
      </c>
      <c r="P78" s="34">
        <v>1.17364094795758</v>
      </c>
      <c r="Q78" s="34">
        <v>1.17258950395874</v>
      </c>
      <c r="R78" s="33">
        <v>82.072661341673907</v>
      </c>
      <c r="S78" s="33">
        <v>82.918305423861298</v>
      </c>
      <c r="T78" s="33">
        <v>82.854353885776206</v>
      </c>
      <c r="U78" s="15">
        <v>-1.7002113389065598E-2</v>
      </c>
      <c r="V78" s="15">
        <v>-6.7512311278461303E-3</v>
      </c>
      <c r="W78" s="15">
        <v>-7.5227882896109601E-3</v>
      </c>
      <c r="X78" s="34">
        <v>1.1807637906647801</v>
      </c>
      <c r="Y78" s="34">
        <v>1.16060033170917</v>
      </c>
      <c r="Z78" s="34">
        <v>1.17364094795758</v>
      </c>
      <c r="AA78" s="34">
        <v>1.17258950395874</v>
      </c>
      <c r="AB78" s="33">
        <v>82.054443451838694</v>
      </c>
      <c r="AC78" s="33">
        <v>82.918305423861199</v>
      </c>
      <c r="AD78" s="33">
        <v>82.854353885776206</v>
      </c>
      <c r="AE78" s="15">
        <v>-1.7224110723788402E-2</v>
      </c>
      <c r="AF78" s="15">
        <v>-6.7512311278464599E-3</v>
      </c>
      <c r="AG78" s="15">
        <v>-7.5227882896109601E-3</v>
      </c>
      <c r="AI78" s="12"/>
      <c r="AJ78">
        <f t="shared" si="6"/>
        <v>1</v>
      </c>
      <c r="AK78">
        <f t="shared" si="7"/>
        <v>0</v>
      </c>
      <c r="AL78">
        <f t="shared" si="14"/>
        <v>1</v>
      </c>
      <c r="AM78">
        <f t="shared" si="4"/>
        <v>1</v>
      </c>
      <c r="AN78">
        <f t="shared" si="15"/>
        <v>1</v>
      </c>
      <c r="AO78" s="28">
        <f t="shared" si="8"/>
        <v>1.8414623551034699E-2</v>
      </c>
      <c r="AP78" s="28">
        <f t="shared" si="9"/>
        <v>-1.65472704883027E-2</v>
      </c>
      <c r="AQ78" s="28">
        <f t="shared" si="16"/>
        <v>1.8673530627319988E-3</v>
      </c>
      <c r="AR78" s="29">
        <f t="shared" si="17"/>
        <v>2.3239209807193857E-2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1.0216152690730078E-2</v>
      </c>
      <c r="BE78" s="29">
        <f t="shared" si="22"/>
        <v>1.8673530627319988E-3</v>
      </c>
      <c r="BF78" s="29">
        <f t="shared" si="23"/>
        <v>3.3455362497923941E-2</v>
      </c>
      <c r="BH78" s="29"/>
    </row>
    <row r="79" spans="1:60" x14ac:dyDescent="0.25">
      <c r="A79" s="1">
        <v>46136</v>
      </c>
      <c r="B79" s="33">
        <v>70.64</v>
      </c>
      <c r="C79" s="33">
        <v>83.23</v>
      </c>
      <c r="D79" s="15">
        <v>-8.4901660682248296E-4</v>
      </c>
      <c r="E79" s="15">
        <v>-2.9992224509961898E-3</v>
      </c>
      <c r="F79" s="33">
        <v>0</v>
      </c>
      <c r="G79" s="33">
        <v>0.28752899999999998</v>
      </c>
      <c r="H79" s="33">
        <v>0</v>
      </c>
      <c r="I79" s="33">
        <v>0.45490000000000003</v>
      </c>
      <c r="J79" s="33">
        <v>0</v>
      </c>
      <c r="K79" s="33">
        <v>0</v>
      </c>
      <c r="L79" s="33">
        <v>70.64</v>
      </c>
      <c r="M79" s="33">
        <v>83.23</v>
      </c>
      <c r="N79" s="34">
        <v>1.17822763306908</v>
      </c>
      <c r="O79" s="34">
        <v>1.16085801049043</v>
      </c>
      <c r="P79" s="34">
        <v>1.1749078884259501</v>
      </c>
      <c r="Q79" s="34">
        <v>1.1729667635518899</v>
      </c>
      <c r="R79" s="33">
        <v>82.003009861044404</v>
      </c>
      <c r="S79" s="33">
        <v>82.905996563724003</v>
      </c>
      <c r="T79" s="33">
        <v>82.831722559645797</v>
      </c>
      <c r="U79" s="15">
        <v>-1.4851907544892001E-2</v>
      </c>
      <c r="V79" s="15">
        <v>-3.9004653265970698E-3</v>
      </c>
      <c r="W79" s="15">
        <v>-4.7967490385152E-3</v>
      </c>
      <c r="X79" s="34">
        <v>1.17822763306908</v>
      </c>
      <c r="Y79" s="34">
        <v>1.16060033170917</v>
      </c>
      <c r="Z79" s="34">
        <v>1.1749078884259501</v>
      </c>
      <c r="AA79" s="34">
        <v>1.1729667635518899</v>
      </c>
      <c r="AB79" s="33">
        <v>81.984807431936204</v>
      </c>
      <c r="AC79" s="33">
        <v>82.905996563724003</v>
      </c>
      <c r="AD79" s="33">
        <v>82.831722559645797</v>
      </c>
      <c r="AE79" s="15">
        <v>-1.50739048796147E-2</v>
      </c>
      <c r="AF79" s="15">
        <v>-3.9004653265970698E-3</v>
      </c>
      <c r="AG79" s="15">
        <v>-4.7967490385152E-3</v>
      </c>
      <c r="AI79" s="12"/>
      <c r="AJ79">
        <f t="shared" si="6"/>
        <v>0</v>
      </c>
      <c r="AK79">
        <f t="shared" si="7"/>
        <v>0</v>
      </c>
      <c r="AL79">
        <f t="shared" si="14"/>
        <v>1</v>
      </c>
      <c r="AM79">
        <f t="shared" si="4"/>
        <v>1</v>
      </c>
      <c r="AN79">
        <f t="shared" si="15"/>
        <v>1</v>
      </c>
      <c r="AO79" s="28">
        <f t="shared" si="8"/>
        <v>-8.4901660682248296E-4</v>
      </c>
      <c r="AP79" s="28">
        <f t="shared" si="9"/>
        <v>2.9992224509961898E-3</v>
      </c>
      <c r="AQ79" s="28">
        <f t="shared" si="16"/>
        <v>2.1502058441737067E-3</v>
      </c>
      <c r="AR79" s="29">
        <f t="shared" si="17"/>
        <v>2.5389415651367563E-2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1.0216152690730078E-2</v>
      </c>
      <c r="BE79" s="29">
        <f t="shared" si="22"/>
        <v>2.1502058441737067E-3</v>
      </c>
      <c r="BF79" s="29">
        <f t="shared" si="23"/>
        <v>3.5605568342097646E-2</v>
      </c>
      <c r="BH79" s="29"/>
    </row>
    <row r="80" spans="1:60" x14ac:dyDescent="0.25">
      <c r="A80" s="1">
        <v>46139</v>
      </c>
      <c r="B80" s="33">
        <v>70.11</v>
      </c>
      <c r="C80" s="33">
        <v>82.34</v>
      </c>
      <c r="D80" s="15">
        <v>-7.5311190768283303E-3</v>
      </c>
      <c r="E80" s="15">
        <v>-1.07508434162451E-2</v>
      </c>
      <c r="F80" s="33">
        <v>0</v>
      </c>
      <c r="G80" s="33">
        <v>0.28752899999999998</v>
      </c>
      <c r="H80" s="33">
        <v>0</v>
      </c>
      <c r="I80" s="33">
        <v>0.45490000000000003</v>
      </c>
      <c r="J80" s="33">
        <v>0</v>
      </c>
      <c r="K80" s="33">
        <v>0</v>
      </c>
      <c r="L80" s="33">
        <v>70.11</v>
      </c>
      <c r="M80" s="33">
        <v>82.34</v>
      </c>
      <c r="N80" s="34">
        <v>1.17444016545428</v>
      </c>
      <c r="O80" s="34">
        <v>1.16085801049043</v>
      </c>
      <c r="P80" s="34">
        <v>1.1761010140234101</v>
      </c>
      <c r="Q80" s="34">
        <v>1.1730230616380899</v>
      </c>
      <c r="R80" s="33">
        <v>81.387755115484495</v>
      </c>
      <c r="S80" s="33">
        <v>82.372792057543407</v>
      </c>
      <c r="T80" s="33">
        <v>82.236699792623099</v>
      </c>
      <c r="U80" s="15">
        <v>-1.1632183205475001E-2</v>
      </c>
      <c r="V80" s="15">
        <v>3.9817257138351501E-4</v>
      </c>
      <c r="W80" s="15">
        <v>-1.2553444208425601E-3</v>
      </c>
      <c r="X80" s="34">
        <v>1.17444016545428</v>
      </c>
      <c r="Y80" s="34">
        <v>1.16060033170917</v>
      </c>
      <c r="Z80" s="34">
        <v>1.1761010140234101</v>
      </c>
      <c r="AA80" s="34">
        <v>1.1730230616380899</v>
      </c>
      <c r="AB80" s="33">
        <v>81.3696892561303</v>
      </c>
      <c r="AC80" s="33">
        <v>82.372792057543407</v>
      </c>
      <c r="AD80" s="33">
        <v>82.236699792623099</v>
      </c>
      <c r="AE80" s="15">
        <v>-1.1854180540197899E-2</v>
      </c>
      <c r="AF80" s="15">
        <v>3.9817257138373701E-4</v>
      </c>
      <c r="AG80" s="15">
        <v>-1.25534442084267E-3</v>
      </c>
      <c r="AI80" s="12"/>
      <c r="AJ80">
        <f t="shared" si="6"/>
        <v>0</v>
      </c>
      <c r="AK80">
        <f t="shared" si="7"/>
        <v>1</v>
      </c>
      <c r="AL80">
        <f t="shared" si="14"/>
        <v>1</v>
      </c>
      <c r="AM80">
        <f t="shared" si="4"/>
        <v>1</v>
      </c>
      <c r="AN80">
        <f t="shared" si="15"/>
        <v>1</v>
      </c>
      <c r="AO80" s="28">
        <f t="shared" si="8"/>
        <v>-7.5311190768283303E-3</v>
      </c>
      <c r="AP80" s="28">
        <f t="shared" si="9"/>
        <v>1.07508434162451E-2</v>
      </c>
      <c r="AQ80" s="28">
        <f t="shared" si="16"/>
        <v>3.2197243394167701E-3</v>
      </c>
      <c r="AR80" s="29">
        <f t="shared" si="17"/>
        <v>2.8609139990784332E-2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1.0216152690730078E-2</v>
      </c>
      <c r="BE80" s="29">
        <f t="shared" si="22"/>
        <v>3.2197243394167701E-3</v>
      </c>
      <c r="BF80" s="29">
        <f t="shared" si="23"/>
        <v>3.8825292681514419E-2</v>
      </c>
      <c r="BH80" s="29"/>
    </row>
    <row r="81" spans="1:60" x14ac:dyDescent="0.25">
      <c r="A81" s="1">
        <v>46140</v>
      </c>
      <c r="B81" s="33">
        <v>71.17</v>
      </c>
      <c r="C81" s="33">
        <v>83.08</v>
      </c>
      <c r="D81" s="15">
        <v>1.50059440923035E-2</v>
      </c>
      <c r="E81" s="15">
        <v>8.9469826661528803E-3</v>
      </c>
      <c r="F81" s="33">
        <v>0</v>
      </c>
      <c r="G81" s="33">
        <v>0.28752899999999998</v>
      </c>
      <c r="H81" s="33">
        <v>0</v>
      </c>
      <c r="I81" s="33">
        <v>0.45490000000000003</v>
      </c>
      <c r="J81" s="33">
        <v>0</v>
      </c>
      <c r="K81" s="33">
        <v>0</v>
      </c>
      <c r="L81" s="33">
        <v>71.17</v>
      </c>
      <c r="M81" s="33">
        <v>83.08</v>
      </c>
      <c r="N81" s="34">
        <v>1.16734579176619</v>
      </c>
      <c r="O81" s="34">
        <v>1.16085801049043</v>
      </c>
      <c r="P81" s="34">
        <v>1.1763167144814899</v>
      </c>
      <c r="Q81" s="34">
        <v>1.1728711974242201</v>
      </c>
      <c r="R81" s="33">
        <v>82.618264606604399</v>
      </c>
      <c r="S81" s="33">
        <v>83.703109168046097</v>
      </c>
      <c r="T81" s="33">
        <v>83.484051296782994</v>
      </c>
      <c r="U81" s="15">
        <v>-5.5732217793244701E-3</v>
      </c>
      <c r="V81" s="15">
        <v>7.4721243692401499E-3</v>
      </c>
      <c r="W81" s="15">
        <v>4.8516121718742101E-3</v>
      </c>
      <c r="X81" s="34">
        <v>1.16734579176619</v>
      </c>
      <c r="Y81" s="34">
        <v>1.16060033170917</v>
      </c>
      <c r="Z81" s="34">
        <v>1.1763167144814899</v>
      </c>
      <c r="AA81" s="34">
        <v>1.1728711974242201</v>
      </c>
      <c r="AB81" s="33">
        <v>82.599925607741994</v>
      </c>
      <c r="AC81" s="33">
        <v>83.703109168046097</v>
      </c>
      <c r="AD81" s="33">
        <v>83.484051296782994</v>
      </c>
      <c r="AE81" s="15">
        <v>-5.7952191140473201E-3</v>
      </c>
      <c r="AF81" s="15">
        <v>7.4721243692399304E-3</v>
      </c>
      <c r="AG81" s="15">
        <v>4.8516121718744304E-3</v>
      </c>
      <c r="AI81" s="12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2.8609139990784332E-2</v>
      </c>
      <c r="AT81" s="12"/>
      <c r="AU81">
        <f t="shared" si="10"/>
        <v>0</v>
      </c>
      <c r="AV81">
        <f t="shared" si="11"/>
        <v>0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1.0216152690730078E-2</v>
      </c>
      <c r="BE81" s="29">
        <f t="shared" si="22"/>
        <v>0</v>
      </c>
      <c r="BF81" s="29">
        <f t="shared" si="23"/>
        <v>3.8825292681514419E-2</v>
      </c>
      <c r="BH81" s="29"/>
    </row>
    <row r="82" spans="1:60" x14ac:dyDescent="0.25">
      <c r="A82" s="1">
        <v>46141</v>
      </c>
      <c r="B82" s="33">
        <v>70.959999999999994</v>
      </c>
      <c r="C82" s="33">
        <v>82.92</v>
      </c>
      <c r="D82" s="15">
        <v>-2.9550433098558299E-3</v>
      </c>
      <c r="E82" s="15">
        <v>-1.9277114403326401E-3</v>
      </c>
      <c r="F82" s="33">
        <v>0</v>
      </c>
      <c r="G82" s="33">
        <v>0.28752899999999998</v>
      </c>
      <c r="H82" s="33">
        <v>0</v>
      </c>
      <c r="I82" s="33">
        <v>0.45490000000000003</v>
      </c>
      <c r="J82" s="33">
        <v>0</v>
      </c>
      <c r="K82" s="33">
        <v>0</v>
      </c>
      <c r="L82" s="33">
        <v>70.959999999999994</v>
      </c>
      <c r="M82" s="33">
        <v>82.92</v>
      </c>
      <c r="N82" s="34">
        <v>1.16854565952649</v>
      </c>
      <c r="O82" s="34">
        <v>1.16085801049043</v>
      </c>
      <c r="P82" s="34">
        <v>1.17606639745234</v>
      </c>
      <c r="Q82" s="34">
        <v>1.17276642271099</v>
      </c>
      <c r="R82" s="33">
        <v>82.374484424401402</v>
      </c>
      <c r="S82" s="33">
        <v>83.471434059606807</v>
      </c>
      <c r="T82" s="33">
        <v>83.226940169223298</v>
      </c>
      <c r="U82" s="15">
        <v>-6.6005536488475602E-3</v>
      </c>
      <c r="V82" s="15">
        <v>6.6281786866807602E-3</v>
      </c>
      <c r="W82" s="15">
        <v>3.6948079584988901E-3</v>
      </c>
      <c r="X82" s="34">
        <v>1.16854565952649</v>
      </c>
      <c r="Y82" s="34">
        <v>1.16060033170917</v>
      </c>
      <c r="Z82" s="34">
        <v>1.17606639745234</v>
      </c>
      <c r="AA82" s="34">
        <v>1.17276642271099</v>
      </c>
      <c r="AB82" s="33">
        <v>82.356199538083104</v>
      </c>
      <c r="AC82" s="33">
        <v>83.471434059606807</v>
      </c>
      <c r="AD82" s="33">
        <v>83.226940169223298</v>
      </c>
      <c r="AE82" s="15">
        <v>-6.8225509835704396E-3</v>
      </c>
      <c r="AF82" s="15">
        <v>6.6281786866807602E-3</v>
      </c>
      <c r="AG82" s="15">
        <v>3.6948079584988901E-3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2.8609139990784332E-2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1.0216152690730078E-2</v>
      </c>
      <c r="BE82" s="29">
        <f t="shared" si="22"/>
        <v>0</v>
      </c>
      <c r="BF82" s="29">
        <f t="shared" si="23"/>
        <v>3.8825292681514419E-2</v>
      </c>
      <c r="BH82" s="29"/>
    </row>
    <row r="83" spans="1:60" x14ac:dyDescent="0.25">
      <c r="A83" s="1">
        <v>46142</v>
      </c>
      <c r="B83" s="33">
        <v>71.77</v>
      </c>
      <c r="C83" s="33">
        <v>84.31</v>
      </c>
      <c r="D83" s="15">
        <v>1.13502234406564E-2</v>
      </c>
      <c r="E83" s="15">
        <v>1.6624194367005501E-2</v>
      </c>
      <c r="F83" s="33">
        <v>0</v>
      </c>
      <c r="G83" s="33">
        <v>0.28752899999999998</v>
      </c>
      <c r="H83" s="33">
        <v>0</v>
      </c>
      <c r="I83" s="33">
        <v>0.45490000000000003</v>
      </c>
      <c r="J83" s="33">
        <v>0</v>
      </c>
      <c r="K83" s="33">
        <v>0</v>
      </c>
      <c r="L83" s="33">
        <v>71.77</v>
      </c>
      <c r="M83" s="33">
        <v>84.31</v>
      </c>
      <c r="N83" s="34">
        <v>1.1747248153824701</v>
      </c>
      <c r="O83" s="34">
        <v>1.16085801049043</v>
      </c>
      <c r="P83" s="34">
        <v>1.17654175255381</v>
      </c>
      <c r="Q83" s="34">
        <v>1.1729573134729201</v>
      </c>
      <c r="R83" s="33">
        <v>83.314779412898602</v>
      </c>
      <c r="S83" s="33">
        <v>84.406285345154899</v>
      </c>
      <c r="T83" s="33">
        <v>84.169446157967897</v>
      </c>
      <c r="U83" s="15">
        <v>-1.18745245751964E-2</v>
      </c>
      <c r="V83" s="15">
        <v>1.1413878086643601E-3</v>
      </c>
      <c r="W83" s="15">
        <v>-1.6684987735234801E-3</v>
      </c>
      <c r="X83" s="34">
        <v>1.1747248153824701</v>
      </c>
      <c r="Y83" s="34">
        <v>1.16060033170917</v>
      </c>
      <c r="Z83" s="34">
        <v>1.17654175255381</v>
      </c>
      <c r="AA83" s="34">
        <v>1.1729573134729201</v>
      </c>
      <c r="AB83" s="33">
        <v>83.2962858067675</v>
      </c>
      <c r="AC83" s="33">
        <v>84.406285345154899</v>
      </c>
      <c r="AD83" s="33">
        <v>84.169446157967897</v>
      </c>
      <c r="AE83" s="15">
        <v>-1.20965219099193E-2</v>
      </c>
      <c r="AF83" s="15">
        <v>1.1413878086643601E-3</v>
      </c>
      <c r="AG83" s="15">
        <v>-1.66849877352359E-3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1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2.8609139990784332E-2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1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1.0216152690730078E-2</v>
      </c>
      <c r="BE83" s="29">
        <f t="shared" si="22"/>
        <v>0</v>
      </c>
      <c r="BF83" s="29">
        <f t="shared" si="23"/>
        <v>3.8825292681514419E-2</v>
      </c>
      <c r="BH83" s="29"/>
    </row>
    <row r="84" spans="1:60" x14ac:dyDescent="0.25">
      <c r="A84" s="1">
        <v>46143</v>
      </c>
      <c r="B84" s="33">
        <v>71.650000000000006</v>
      </c>
      <c r="C84" s="33">
        <v>84.17</v>
      </c>
      <c r="D84" s="15">
        <v>-1.67340716779952E-3</v>
      </c>
      <c r="E84" s="15">
        <v>-1.6619187110995799E-3</v>
      </c>
      <c r="F84" s="33">
        <v>0</v>
      </c>
      <c r="G84" s="33">
        <v>0.28752899999999998</v>
      </c>
      <c r="H84" s="33">
        <v>0</v>
      </c>
      <c r="I84" s="33">
        <v>0.45490000000000003</v>
      </c>
      <c r="J84" s="33">
        <v>0</v>
      </c>
      <c r="K84" s="33">
        <v>0</v>
      </c>
      <c r="L84" s="33">
        <v>71.650000000000006</v>
      </c>
      <c r="M84" s="33">
        <v>84.17</v>
      </c>
      <c r="N84" s="34">
        <v>1.1747383112351699</v>
      </c>
      <c r="O84" s="34">
        <v>1.16085801049043</v>
      </c>
      <c r="P84" s="34">
        <v>1.1766180893720899</v>
      </c>
      <c r="Q84" s="34">
        <v>1.1731595614149499</v>
      </c>
      <c r="R84" s="33">
        <v>83.175476451639796</v>
      </c>
      <c r="S84" s="33">
        <v>84.299216570480596</v>
      </c>
      <c r="T84" s="33">
        <v>84.042391510335307</v>
      </c>
      <c r="U84" s="15">
        <v>-1.18860130318965E-2</v>
      </c>
      <c r="V84" s="15">
        <v>1.5340083897854499E-3</v>
      </c>
      <c r="W84" s="15">
        <v>-1.51723084129913E-3</v>
      </c>
      <c r="X84" s="34">
        <v>1.1747383112351699</v>
      </c>
      <c r="Y84" s="34">
        <v>1.16060033170917</v>
      </c>
      <c r="Z84" s="34">
        <v>1.1766180893720899</v>
      </c>
      <c r="AA84" s="34">
        <v>1.1731595614149499</v>
      </c>
      <c r="AB84" s="33">
        <v>83.157013766962393</v>
      </c>
      <c r="AC84" s="33">
        <v>84.299216570480596</v>
      </c>
      <c r="AD84" s="33">
        <v>84.042391510335307</v>
      </c>
      <c r="AE84" s="15">
        <v>-1.21080103666194E-2</v>
      </c>
      <c r="AF84" s="15">
        <v>1.5340083897854499E-3</v>
      </c>
      <c r="AG84" s="15">
        <v>-1.5172308412990201E-3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2.8609139990784332E-2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1.0216152690730078E-2</v>
      </c>
      <c r="BE84" s="29">
        <f t="shared" si="22"/>
        <v>0</v>
      </c>
      <c r="BF84" s="29">
        <f t="shared" si="23"/>
        <v>3.8825292681514419E-2</v>
      </c>
      <c r="BH84" s="29"/>
    </row>
    <row r="85" spans="1:60" x14ac:dyDescent="0.25">
      <c r="A85" s="1">
        <v>46146</v>
      </c>
      <c r="B85" s="33">
        <v>71.11</v>
      </c>
      <c r="C85" s="33">
        <v>83.54</v>
      </c>
      <c r="D85" s="15">
        <v>-7.5651803787543503E-3</v>
      </c>
      <c r="E85" s="15">
        <v>-7.5130041544553897E-3</v>
      </c>
      <c r="F85" s="33">
        <v>0</v>
      </c>
      <c r="G85" s="33">
        <v>0.28752899999999998</v>
      </c>
      <c r="H85" s="33">
        <v>0</v>
      </c>
      <c r="I85" s="33">
        <v>0.45490000000000003</v>
      </c>
      <c r="J85" s="33">
        <v>0</v>
      </c>
      <c r="K85" s="33">
        <v>0</v>
      </c>
      <c r="L85" s="33">
        <v>71.11</v>
      </c>
      <c r="M85" s="33">
        <v>83.54</v>
      </c>
      <c r="N85" s="34">
        <v>1.1747996062438399</v>
      </c>
      <c r="O85" s="34">
        <v>1.16085801049043</v>
      </c>
      <c r="P85" s="34">
        <v>1.1762128017492199</v>
      </c>
      <c r="Q85" s="34">
        <v>1.1730668015136201</v>
      </c>
      <c r="R85" s="33">
        <v>82.548613125974896</v>
      </c>
      <c r="S85" s="33">
        <v>83.669312335249302</v>
      </c>
      <c r="T85" s="33">
        <v>83.423376412217706</v>
      </c>
      <c r="U85" s="15">
        <v>-1.19381892561954E-2</v>
      </c>
      <c r="V85" s="15">
        <v>1.5467124315395699E-3</v>
      </c>
      <c r="W85" s="15">
        <v>-1.3969962665486299E-3</v>
      </c>
      <c r="X85" s="34">
        <v>1.1747996062438399</v>
      </c>
      <c r="Y85" s="34">
        <v>1.16060033170917</v>
      </c>
      <c r="Z85" s="34">
        <v>1.1762128017492199</v>
      </c>
      <c r="AA85" s="34">
        <v>1.1730668015136201</v>
      </c>
      <c r="AB85" s="33">
        <v>82.530289587839505</v>
      </c>
      <c r="AC85" s="33">
        <v>83.669312335249302</v>
      </c>
      <c r="AD85" s="33">
        <v>83.423376412217706</v>
      </c>
      <c r="AE85" s="15">
        <v>-1.21601865909182E-2</v>
      </c>
      <c r="AF85" s="15">
        <v>1.5467124315395699E-3</v>
      </c>
      <c r="AG85" s="15">
        <v>-1.39699626654886E-3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2.8609139990784332E-2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1.0216152690730078E-2</v>
      </c>
      <c r="BE85" s="29">
        <f t="shared" si="22"/>
        <v>0</v>
      </c>
      <c r="BF85" s="29">
        <f t="shared" si="23"/>
        <v>3.8825292681514419E-2</v>
      </c>
      <c r="BH85" s="29"/>
    </row>
    <row r="86" spans="1:60" x14ac:dyDescent="0.25">
      <c r="A86" s="1">
        <v>46147</v>
      </c>
      <c r="B86" s="33">
        <v>71.42</v>
      </c>
      <c r="C86" s="33">
        <v>84.06</v>
      </c>
      <c r="D86" s="15">
        <v>4.3499682708758799E-3</v>
      </c>
      <c r="E86" s="15">
        <v>6.2052705079412504E-3</v>
      </c>
      <c r="F86" s="33">
        <v>0</v>
      </c>
      <c r="G86" s="33">
        <v>0.28752899999999998</v>
      </c>
      <c r="H86" s="33">
        <v>0</v>
      </c>
      <c r="I86" s="33">
        <v>0.45490000000000003</v>
      </c>
      <c r="J86" s="33">
        <v>0</v>
      </c>
      <c r="K86" s="33">
        <v>0</v>
      </c>
      <c r="L86" s="33">
        <v>71.42</v>
      </c>
      <c r="M86" s="33">
        <v>84.06</v>
      </c>
      <c r="N86" s="34">
        <v>1.17698123774852</v>
      </c>
      <c r="O86" s="34">
        <v>1.16085801049043</v>
      </c>
      <c r="P86" s="34">
        <v>1.1753537764584501</v>
      </c>
      <c r="Q86" s="34">
        <v>1.1735058576506201</v>
      </c>
      <c r="R86" s="33">
        <v>82.908479109227002</v>
      </c>
      <c r="S86" s="33">
        <v>84.005118300929993</v>
      </c>
      <c r="T86" s="33">
        <v>83.780430964103303</v>
      </c>
      <c r="U86" s="15">
        <v>-1.3793491493260999E-2</v>
      </c>
      <c r="V86" s="15">
        <v>-6.5310043601687505E-4</v>
      </c>
      <c r="W86" s="15">
        <v>-3.33137007389812E-3</v>
      </c>
      <c r="X86" s="34">
        <v>1.17698123774852</v>
      </c>
      <c r="Y86" s="34">
        <v>1.16060033170917</v>
      </c>
      <c r="Z86" s="34">
        <v>1.1753537764584501</v>
      </c>
      <c r="AA86" s="34">
        <v>1.1735058576506201</v>
      </c>
      <c r="AB86" s="33">
        <v>82.890075690669306</v>
      </c>
      <c r="AC86" s="33">
        <v>84.005118300929993</v>
      </c>
      <c r="AD86" s="33">
        <v>83.780430964103303</v>
      </c>
      <c r="AE86" s="15">
        <v>-1.4015488827983799E-2</v>
      </c>
      <c r="AF86" s="15">
        <v>-6.5310043601687505E-4</v>
      </c>
      <c r="AG86" s="15">
        <v>-3.33137007389812E-3</v>
      </c>
      <c r="AI86" s="12"/>
      <c r="AJ86">
        <f t="shared" ref="AJ86:AJ149" si="26">IF($AG86&lt;AI$21,1,0)</f>
        <v>0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2.8609139990784332E-2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1.0216152690730078E-2</v>
      </c>
      <c r="BE86" s="29">
        <f t="shared" si="22"/>
        <v>0</v>
      </c>
      <c r="BF86" s="29">
        <f t="shared" si="23"/>
        <v>3.8825292681514419E-2</v>
      </c>
      <c r="BH86" s="29"/>
    </row>
    <row r="87" spans="1:60" x14ac:dyDescent="0.25">
      <c r="A87" s="1">
        <v>46148</v>
      </c>
      <c r="B87" s="33">
        <v>71.44</v>
      </c>
      <c r="C87" s="33">
        <v>84.24</v>
      </c>
      <c r="D87" s="15">
        <v>2.7999440194124102E-4</v>
      </c>
      <c r="E87" s="15">
        <v>2.1390382487494401E-3</v>
      </c>
      <c r="F87" s="33">
        <v>0</v>
      </c>
      <c r="G87" s="33">
        <v>0.28752899999999998</v>
      </c>
      <c r="H87" s="33">
        <v>0</v>
      </c>
      <c r="I87" s="33">
        <v>0.45490000000000003</v>
      </c>
      <c r="J87" s="33">
        <v>0</v>
      </c>
      <c r="K87" s="33">
        <v>0</v>
      </c>
      <c r="L87" s="33">
        <v>71.44</v>
      </c>
      <c r="M87" s="33">
        <v>84.24</v>
      </c>
      <c r="N87" s="34">
        <v>1.1791713325867801</v>
      </c>
      <c r="O87" s="34">
        <v>1.16085801049043</v>
      </c>
      <c r="P87" s="34">
        <v>1.17497383436776</v>
      </c>
      <c r="Q87" s="34">
        <v>1.1738964322041101</v>
      </c>
      <c r="R87" s="33">
        <v>82.931696269436799</v>
      </c>
      <c r="S87" s="33">
        <v>83.967273790192294</v>
      </c>
      <c r="T87" s="33">
        <v>83.835258470560504</v>
      </c>
      <c r="U87" s="15">
        <v>-1.56525353400691E-2</v>
      </c>
      <c r="V87" s="15">
        <v>-3.2427426311275901E-3</v>
      </c>
      <c r="W87" s="15">
        <v>-4.8162033541560298E-3</v>
      </c>
      <c r="X87" s="34">
        <v>1.1791713325867801</v>
      </c>
      <c r="Y87" s="34">
        <v>1.16060033170917</v>
      </c>
      <c r="Z87" s="34">
        <v>1.17497383436776</v>
      </c>
      <c r="AA87" s="34">
        <v>1.1738964322041101</v>
      </c>
      <c r="AB87" s="33">
        <v>82.913287697303502</v>
      </c>
      <c r="AC87" s="33">
        <v>83.967273790192294</v>
      </c>
      <c r="AD87" s="33">
        <v>83.835258470560504</v>
      </c>
      <c r="AE87" s="15">
        <v>-1.58745326747919E-2</v>
      </c>
      <c r="AF87" s="15">
        <v>-3.2427426311275901E-3</v>
      </c>
      <c r="AG87" s="15">
        <v>-4.8162033541558E-3</v>
      </c>
      <c r="AI87" s="12"/>
      <c r="AJ87">
        <f t="shared" si="26"/>
        <v>0</v>
      </c>
      <c r="AK87">
        <f t="shared" si="27"/>
        <v>0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2.8609139990784332E-2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1.0216152690730078E-2</v>
      </c>
      <c r="BE87" s="29">
        <f t="shared" ref="BE87:BE150" si="42">AQ87+BB87</f>
        <v>0</v>
      </c>
      <c r="BF87" s="29">
        <f t="shared" ref="BF87:BF150" si="43">BF86+BE87</f>
        <v>3.8825292681514419E-2</v>
      </c>
      <c r="BH87" s="29"/>
    </row>
    <row r="88" spans="1:60" x14ac:dyDescent="0.25">
      <c r="A88" s="1">
        <v>46149</v>
      </c>
      <c r="B88" s="33">
        <v>71.08</v>
      </c>
      <c r="C88" s="33">
        <v>83.98</v>
      </c>
      <c r="D88" s="15">
        <v>-5.0519332817929603E-3</v>
      </c>
      <c r="E88" s="15">
        <v>-3.09119256967274E-3</v>
      </c>
      <c r="F88" s="33">
        <v>0</v>
      </c>
      <c r="G88" s="33">
        <v>0.28752899999999998</v>
      </c>
      <c r="H88" s="33">
        <v>0</v>
      </c>
      <c r="I88" s="33">
        <v>0.45490000000000003</v>
      </c>
      <c r="J88" s="33">
        <v>0</v>
      </c>
      <c r="K88" s="33">
        <v>0</v>
      </c>
      <c r="L88" s="33">
        <v>71.08</v>
      </c>
      <c r="M88" s="33">
        <v>83.98</v>
      </c>
      <c r="N88" s="34">
        <v>1.18148564997186</v>
      </c>
      <c r="O88" s="34">
        <v>1.16085801049043</v>
      </c>
      <c r="P88" s="34">
        <v>1.1750460202984701</v>
      </c>
      <c r="Q88" s="34">
        <v>1.17434348412803</v>
      </c>
      <c r="R88" s="33">
        <v>82.513787385660194</v>
      </c>
      <c r="S88" s="33">
        <v>83.517140146860697</v>
      </c>
      <c r="T88" s="33">
        <v>83.4405584010686</v>
      </c>
      <c r="U88" s="15">
        <v>-1.7613276052189399E-2</v>
      </c>
      <c r="V88" s="15">
        <v>-5.5267932446030101E-3</v>
      </c>
      <c r="W88" s="15">
        <v>-6.4441723391750498E-3</v>
      </c>
      <c r="X88" s="34">
        <v>1.18148564997186</v>
      </c>
      <c r="Y88" s="34">
        <v>1.16060033170917</v>
      </c>
      <c r="Z88" s="34">
        <v>1.1750460202984701</v>
      </c>
      <c r="AA88" s="34">
        <v>1.17434348412803</v>
      </c>
      <c r="AB88" s="33">
        <v>82.495471577888196</v>
      </c>
      <c r="AC88" s="33">
        <v>83.517140146860598</v>
      </c>
      <c r="AD88" s="33">
        <v>83.4405584010686</v>
      </c>
      <c r="AE88" s="15">
        <v>-1.7835273386912199E-2</v>
      </c>
      <c r="AF88" s="15">
        <v>-5.5267932446032304E-3</v>
      </c>
      <c r="AG88" s="15">
        <v>-6.4441723391750498E-3</v>
      </c>
      <c r="AI88" s="12"/>
      <c r="AJ88">
        <f t="shared" si="26"/>
        <v>1</v>
      </c>
      <c r="AK88">
        <f t="shared" si="27"/>
        <v>0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2.8609139990784332E-2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1.0216152690730078E-2</v>
      </c>
      <c r="BE88" s="29">
        <f t="shared" si="42"/>
        <v>0</v>
      </c>
      <c r="BF88" s="29">
        <f t="shared" si="43"/>
        <v>3.8825292681514419E-2</v>
      </c>
      <c r="BH88" s="29"/>
    </row>
    <row r="89" spans="1:60" x14ac:dyDescent="0.25">
      <c r="A89" s="1">
        <v>46150</v>
      </c>
      <c r="B89" s="33">
        <v>71.319999999999993</v>
      </c>
      <c r="C89" s="33">
        <v>84.18</v>
      </c>
      <c r="D89" s="15">
        <v>3.37078970848899E-3</v>
      </c>
      <c r="E89" s="15">
        <v>2.3786880863774099E-3</v>
      </c>
      <c r="F89" s="33">
        <v>0</v>
      </c>
      <c r="G89" s="33">
        <v>0.28752899999999998</v>
      </c>
      <c r="H89" s="33">
        <v>0</v>
      </c>
      <c r="I89" s="33">
        <v>0.45490000000000003</v>
      </c>
      <c r="J89" s="33">
        <v>0</v>
      </c>
      <c r="K89" s="33">
        <v>0</v>
      </c>
      <c r="L89" s="33">
        <v>71.319999999999993</v>
      </c>
      <c r="M89" s="33">
        <v>84.18</v>
      </c>
      <c r="N89" s="34">
        <v>1.1803140773976399</v>
      </c>
      <c r="O89" s="34">
        <v>1.16085801049043</v>
      </c>
      <c r="P89" s="34">
        <v>1.17525466473132</v>
      </c>
      <c r="Q89" s="34">
        <v>1.17508127657864</v>
      </c>
      <c r="R89" s="33">
        <v>82.792393308177907</v>
      </c>
      <c r="S89" s="33">
        <v>83.804282167687006</v>
      </c>
      <c r="T89" s="33">
        <v>83.754177288011107</v>
      </c>
      <c r="U89" s="15">
        <v>-1.6621174430077799E-2</v>
      </c>
      <c r="V89" s="15">
        <v>-4.4732573068729199E-3</v>
      </c>
      <c r="W89" s="15">
        <v>-5.0713158153139898E-3</v>
      </c>
      <c r="X89" s="34">
        <v>1.1803140773976399</v>
      </c>
      <c r="Y89" s="34">
        <v>1.16060033170917</v>
      </c>
      <c r="Z89" s="34">
        <v>1.17525466473132</v>
      </c>
      <c r="AA89" s="34">
        <v>1.17508127657863</v>
      </c>
      <c r="AB89" s="33">
        <v>82.774015657498396</v>
      </c>
      <c r="AC89" s="33">
        <v>83.804282167687006</v>
      </c>
      <c r="AD89" s="33">
        <v>83.754177288011107</v>
      </c>
      <c r="AE89" s="15">
        <v>-1.6843171764800501E-2</v>
      </c>
      <c r="AF89" s="15">
        <v>-4.4732573068729199E-3</v>
      </c>
      <c r="AG89" s="15">
        <v>-5.0713158153139898E-3</v>
      </c>
      <c r="AI89" s="12"/>
      <c r="AJ89">
        <f t="shared" si="26"/>
        <v>1</v>
      </c>
      <c r="AK89">
        <f t="shared" si="27"/>
        <v>0</v>
      </c>
      <c r="AL89">
        <f t="shared" si="34"/>
        <v>1</v>
      </c>
      <c r="AM89">
        <f t="shared" si="24"/>
        <v>1</v>
      </c>
      <c r="AN89">
        <f t="shared" si="35"/>
        <v>1</v>
      </c>
      <c r="AO89" s="28">
        <f t="shared" si="28"/>
        <v>3.37078970848899E-3</v>
      </c>
      <c r="AP89" s="28">
        <f t="shared" si="29"/>
        <v>-2.3786880863774099E-3</v>
      </c>
      <c r="AQ89" s="28">
        <f t="shared" si="36"/>
        <v>9.9210162211158014E-4</v>
      </c>
      <c r="AR89" s="29">
        <f t="shared" si="37"/>
        <v>2.9601241612895911E-2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1.0216152690730078E-2</v>
      </c>
      <c r="BE89" s="29">
        <f t="shared" si="42"/>
        <v>9.9210162211158014E-4</v>
      </c>
      <c r="BF89" s="29">
        <f t="shared" si="43"/>
        <v>3.9817394303625998E-2</v>
      </c>
      <c r="BH89" s="29"/>
    </row>
    <row r="90" spans="1:60" x14ac:dyDescent="0.25">
      <c r="A90" s="1">
        <v>46153</v>
      </c>
      <c r="B90" s="33">
        <v>71.3</v>
      </c>
      <c r="C90" s="33">
        <v>83.37</v>
      </c>
      <c r="D90" s="15">
        <v>-2.80465574689306E-4</v>
      </c>
      <c r="E90" s="15">
        <v>-9.6688309199025602E-3</v>
      </c>
      <c r="F90" s="33">
        <v>0</v>
      </c>
      <c r="G90" s="33">
        <v>0.28752899999999998</v>
      </c>
      <c r="H90" s="33">
        <v>0</v>
      </c>
      <c r="I90" s="33">
        <v>0.45490000000000003</v>
      </c>
      <c r="J90" s="33">
        <v>0</v>
      </c>
      <c r="K90" s="33">
        <v>0</v>
      </c>
      <c r="L90" s="33">
        <v>71.3</v>
      </c>
      <c r="M90" s="33">
        <v>83.37</v>
      </c>
      <c r="N90" s="34">
        <v>1.1692847124824599</v>
      </c>
      <c r="O90" s="34">
        <v>1.16085801049043</v>
      </c>
      <c r="P90" s="34">
        <v>1.1747391194341399</v>
      </c>
      <c r="Q90" s="34">
        <v>1.17542006672877</v>
      </c>
      <c r="R90" s="33">
        <v>82.769176147968096</v>
      </c>
      <c r="S90" s="33">
        <v>83.795657595343698</v>
      </c>
      <c r="T90" s="33">
        <v>83.783295020056997</v>
      </c>
      <c r="U90" s="15">
        <v>-7.23280908486457E-3</v>
      </c>
      <c r="V90" s="15">
        <v>5.0926550515658104E-3</v>
      </c>
      <c r="W90" s="15">
        <v>4.9451117578978698E-3</v>
      </c>
      <c r="X90" s="34">
        <v>1.1692847124824599</v>
      </c>
      <c r="Y90" s="34">
        <v>1.16060033170917</v>
      </c>
      <c r="Z90" s="34">
        <v>1.1747391194341399</v>
      </c>
      <c r="AA90" s="34">
        <v>1.17542006672877</v>
      </c>
      <c r="AB90" s="33">
        <v>82.750803650864199</v>
      </c>
      <c r="AC90" s="33">
        <v>83.795657595343698</v>
      </c>
      <c r="AD90" s="33">
        <v>83.783295020056997</v>
      </c>
      <c r="AE90" s="15">
        <v>-7.4548064195874703E-3</v>
      </c>
      <c r="AF90" s="15">
        <v>5.0926550515655901E-3</v>
      </c>
      <c r="AG90" s="15">
        <v>4.9451117578978698E-3</v>
      </c>
      <c r="AI90" s="12"/>
      <c r="AJ90">
        <f t="shared" si="26"/>
        <v>0</v>
      </c>
      <c r="AK90">
        <f t="shared" si="27"/>
        <v>1</v>
      </c>
      <c r="AL90">
        <f t="shared" si="34"/>
        <v>1</v>
      </c>
      <c r="AM90">
        <f t="shared" si="24"/>
        <v>1</v>
      </c>
      <c r="AN90">
        <f t="shared" si="35"/>
        <v>1</v>
      </c>
      <c r="AO90" s="28">
        <f t="shared" si="28"/>
        <v>-2.80465574689306E-4</v>
      </c>
      <c r="AP90" s="28">
        <f t="shared" si="29"/>
        <v>9.6688309199025602E-3</v>
      </c>
      <c r="AQ90" s="28">
        <f t="shared" si="36"/>
        <v>9.3883653452132548E-3</v>
      </c>
      <c r="AR90" s="29">
        <f t="shared" si="37"/>
        <v>3.8989606958109164E-2</v>
      </c>
      <c r="AT90" s="12"/>
      <c r="AU90">
        <f t="shared" si="30"/>
        <v>0</v>
      </c>
      <c r="AV90">
        <f t="shared" si="31"/>
        <v>0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1.0216152690730078E-2</v>
      </c>
      <c r="BE90" s="29">
        <f t="shared" si="42"/>
        <v>9.3883653452132548E-3</v>
      </c>
      <c r="BF90" s="29">
        <f t="shared" si="43"/>
        <v>4.9205759648839255E-2</v>
      </c>
      <c r="BH90" s="29"/>
    </row>
    <row r="91" spans="1:60" x14ac:dyDescent="0.25">
      <c r="A91" s="1">
        <v>46154</v>
      </c>
      <c r="B91" s="33">
        <v>72.209999999999994</v>
      </c>
      <c r="C91" s="33">
        <v>84.44</v>
      </c>
      <c r="D91" s="15">
        <v>1.26822130428399E-2</v>
      </c>
      <c r="E91" s="15">
        <v>1.2752690557597601E-2</v>
      </c>
      <c r="F91" s="33">
        <v>0</v>
      </c>
      <c r="G91" s="33">
        <v>0.28752899999999998</v>
      </c>
      <c r="H91" s="33">
        <v>0</v>
      </c>
      <c r="I91" s="33">
        <v>0.45490000000000003</v>
      </c>
      <c r="J91" s="33">
        <v>0</v>
      </c>
      <c r="K91" s="33">
        <v>0</v>
      </c>
      <c r="L91" s="33">
        <v>72.209999999999994</v>
      </c>
      <c r="M91" s="33">
        <v>84.44</v>
      </c>
      <c r="N91" s="34">
        <v>1.16936712366708</v>
      </c>
      <c r="O91" s="34">
        <v>1.16085801049043</v>
      </c>
      <c r="P91" s="34">
        <v>1.17494125262423</v>
      </c>
      <c r="Q91" s="34">
        <v>1.1756289835528599</v>
      </c>
      <c r="R91" s="33">
        <v>83.825556937514406</v>
      </c>
      <c r="S91" s="33">
        <v>84.8279118143397</v>
      </c>
      <c r="T91" s="33">
        <v>84.877083018485095</v>
      </c>
      <c r="U91" s="15">
        <v>-7.3032865996222503E-3</v>
      </c>
      <c r="V91" s="15">
        <v>4.5834144141764597E-3</v>
      </c>
      <c r="W91" s="15">
        <v>5.1629047888683303E-3</v>
      </c>
      <c r="X91" s="34">
        <v>1.16936712366708</v>
      </c>
      <c r="Y91" s="34">
        <v>1.16060033170917</v>
      </c>
      <c r="Z91" s="34">
        <v>1.17494125262423</v>
      </c>
      <c r="AA91" s="34">
        <v>1.1756289835528599</v>
      </c>
      <c r="AB91" s="33">
        <v>83.806949952719606</v>
      </c>
      <c r="AC91" s="33">
        <v>84.8279118143397</v>
      </c>
      <c r="AD91" s="33">
        <v>84.877083018485095</v>
      </c>
      <c r="AE91" s="15">
        <v>-7.5252839343452E-3</v>
      </c>
      <c r="AF91" s="15">
        <v>4.5834144141764597E-3</v>
      </c>
      <c r="AG91" s="15">
        <v>5.1629047888685498E-3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3.8989606958109164E-2</v>
      </c>
      <c r="AT91" s="12"/>
      <c r="AU91">
        <f t="shared" si="30"/>
        <v>0</v>
      </c>
      <c r="AV91">
        <f t="shared" si="31"/>
        <v>0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1.0216152690730078E-2</v>
      </c>
      <c r="BE91" s="29">
        <f t="shared" si="42"/>
        <v>0</v>
      </c>
      <c r="BF91" s="29">
        <f t="shared" si="43"/>
        <v>4.9205759648839255E-2</v>
      </c>
      <c r="BH91" s="29"/>
    </row>
    <row r="92" spans="1:60" x14ac:dyDescent="0.25">
      <c r="A92" s="1">
        <v>46155</v>
      </c>
      <c r="B92" s="33">
        <v>72.28</v>
      </c>
      <c r="C92" s="33">
        <v>84.72</v>
      </c>
      <c r="D92" s="15">
        <v>9.6892526093767298E-4</v>
      </c>
      <c r="E92" s="15">
        <v>3.3104783130310702E-3</v>
      </c>
      <c r="F92" s="33">
        <v>0</v>
      </c>
      <c r="G92" s="33">
        <v>0.28752899999999998</v>
      </c>
      <c r="H92" s="33">
        <v>0</v>
      </c>
      <c r="I92" s="33">
        <v>0.45490000000000003</v>
      </c>
      <c r="J92" s="33">
        <v>0</v>
      </c>
      <c r="K92" s="33">
        <v>0</v>
      </c>
      <c r="L92" s="33">
        <v>72.28</v>
      </c>
      <c r="M92" s="33">
        <v>84.72</v>
      </c>
      <c r="N92" s="34">
        <v>1.1721084670724899</v>
      </c>
      <c r="O92" s="34">
        <v>1.16085801049043</v>
      </c>
      <c r="P92" s="34">
        <v>1.17529753337883</v>
      </c>
      <c r="Q92" s="34">
        <v>1.1756819654155899</v>
      </c>
      <c r="R92" s="33">
        <v>83.9068169982488</v>
      </c>
      <c r="S92" s="33">
        <v>84.924753739679701</v>
      </c>
      <c r="T92" s="33">
        <v>84.974462931201103</v>
      </c>
      <c r="U92" s="15">
        <v>-9.6448396517159508E-3</v>
      </c>
      <c r="V92" s="15">
        <v>2.4139130104610302E-3</v>
      </c>
      <c r="W92" s="15">
        <v>2.9990739536815201E-3</v>
      </c>
      <c r="X92" s="34">
        <v>1.1721084670724899</v>
      </c>
      <c r="Y92" s="34">
        <v>1.16060033170917</v>
      </c>
      <c r="Z92" s="34">
        <v>1.17529753337883</v>
      </c>
      <c r="AA92" s="34">
        <v>1.1756819654155899</v>
      </c>
      <c r="AB92" s="33">
        <v>83.888191975939193</v>
      </c>
      <c r="AC92" s="33">
        <v>84.924753739679701</v>
      </c>
      <c r="AD92" s="33">
        <v>84.974462931201103</v>
      </c>
      <c r="AE92" s="15">
        <v>-9.8668369864388598E-3</v>
      </c>
      <c r="AF92" s="15">
        <v>2.4139130104612601E-3</v>
      </c>
      <c r="AG92" s="15">
        <v>2.9990739536815201E-3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3.8989606958109164E-2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1.0216152690730078E-2</v>
      </c>
      <c r="BE92" s="29">
        <f t="shared" si="42"/>
        <v>0</v>
      </c>
      <c r="BF92" s="29">
        <f t="shared" si="43"/>
        <v>4.9205759648839255E-2</v>
      </c>
      <c r="BH92" s="29"/>
    </row>
    <row r="93" spans="1:60" x14ac:dyDescent="0.25">
      <c r="A93" s="1">
        <v>46156</v>
      </c>
      <c r="B93" s="33">
        <v>72.489999999999995</v>
      </c>
      <c r="C93" s="33">
        <v>84.98</v>
      </c>
      <c r="D93" s="15">
        <v>2.9011555887585301E-3</v>
      </c>
      <c r="E93" s="15">
        <v>3.0642333935145898E-3</v>
      </c>
      <c r="F93" s="33">
        <v>0</v>
      </c>
      <c r="G93" s="33">
        <v>0.28752899999999998</v>
      </c>
      <c r="H93" s="33">
        <v>0</v>
      </c>
      <c r="I93" s="33">
        <v>0.45490000000000003</v>
      </c>
      <c r="J93" s="33">
        <v>0</v>
      </c>
      <c r="K93" s="33">
        <v>0</v>
      </c>
      <c r="L93" s="33">
        <v>72.489999999999995</v>
      </c>
      <c r="M93" s="33">
        <v>84.98</v>
      </c>
      <c r="N93" s="34">
        <v>1.1722996275348301</v>
      </c>
      <c r="O93" s="34">
        <v>1.16085801049043</v>
      </c>
      <c r="P93" s="34">
        <v>1.1750550145940699</v>
      </c>
      <c r="Q93" s="34">
        <v>1.1757983835739401</v>
      </c>
      <c r="R93" s="33">
        <v>84.150597180451697</v>
      </c>
      <c r="S93" s="33">
        <v>85.197318194631805</v>
      </c>
      <c r="T93" s="33">
        <v>85.225185672976195</v>
      </c>
      <c r="U93" s="15">
        <v>-9.8079174564718805E-3</v>
      </c>
      <c r="V93" s="15">
        <v>2.55402206437776E-3</v>
      </c>
      <c r="W93" s="15">
        <v>2.8810619559459E-3</v>
      </c>
      <c r="X93" s="34">
        <v>1.1722996275348301</v>
      </c>
      <c r="Y93" s="34">
        <v>1.16060033170917</v>
      </c>
      <c r="Z93" s="34">
        <v>1.1750550145940699</v>
      </c>
      <c r="AA93" s="34">
        <v>1.1757983835739401</v>
      </c>
      <c r="AB93" s="33">
        <v>84.131918045598098</v>
      </c>
      <c r="AC93" s="33">
        <v>85.197318194631805</v>
      </c>
      <c r="AD93" s="33">
        <v>85.225185672976195</v>
      </c>
      <c r="AE93" s="15">
        <v>-1.00299147911946E-2</v>
      </c>
      <c r="AF93" s="15">
        <v>2.55402206437776E-3</v>
      </c>
      <c r="AG93" s="15">
        <v>2.8810619559456801E-3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3.8989606958109164E-2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1.0216152690730078E-2</v>
      </c>
      <c r="BE93" s="29">
        <f t="shared" si="42"/>
        <v>0</v>
      </c>
      <c r="BF93" s="29">
        <f t="shared" si="43"/>
        <v>4.9205759648839255E-2</v>
      </c>
      <c r="BH93" s="29"/>
    </row>
    <row r="94" spans="1:60" x14ac:dyDescent="0.25">
      <c r="A94" s="1">
        <v>46157</v>
      </c>
      <c r="B94" s="33">
        <v>72.23</v>
      </c>
      <c r="C94" s="33">
        <v>84.64</v>
      </c>
      <c r="D94" s="15">
        <v>-3.5931492500308601E-3</v>
      </c>
      <c r="E94" s="15">
        <v>-4.0089665766762797E-3</v>
      </c>
      <c r="F94" s="33">
        <v>0</v>
      </c>
      <c r="G94" s="33">
        <v>0.28752899999999998</v>
      </c>
      <c r="H94" s="33">
        <v>0</v>
      </c>
      <c r="I94" s="33">
        <v>0.45490000000000003</v>
      </c>
      <c r="J94" s="33">
        <v>0</v>
      </c>
      <c r="K94" s="33">
        <v>0</v>
      </c>
      <c r="L94" s="33">
        <v>72.23</v>
      </c>
      <c r="M94" s="33">
        <v>84.64</v>
      </c>
      <c r="N94" s="34">
        <v>1.17181226637131</v>
      </c>
      <c r="O94" s="34">
        <v>1.16085801049043</v>
      </c>
      <c r="P94" s="34">
        <v>1.1747624101076799</v>
      </c>
      <c r="Q94" s="34">
        <v>1.17569024973988</v>
      </c>
      <c r="R94" s="33">
        <v>83.848774097724203</v>
      </c>
      <c r="S94" s="33">
        <v>84.874223704129804</v>
      </c>
      <c r="T94" s="33">
        <v>84.9279172455458</v>
      </c>
      <c r="U94" s="15">
        <v>-9.3921001298265406E-3</v>
      </c>
      <c r="V94" s="15">
        <v>2.76347138394822E-3</v>
      </c>
      <c r="W94" s="15">
        <v>3.3958961920846501E-3</v>
      </c>
      <c r="X94" s="34">
        <v>1.17181226637131</v>
      </c>
      <c r="Y94" s="34">
        <v>1.16060033170917</v>
      </c>
      <c r="Z94" s="34">
        <v>1.1747624101076799</v>
      </c>
      <c r="AA94" s="34">
        <v>1.17569024973988</v>
      </c>
      <c r="AB94" s="33">
        <v>83.830161959353802</v>
      </c>
      <c r="AC94" s="33">
        <v>84.874223704129804</v>
      </c>
      <c r="AD94" s="33">
        <v>84.9279172455458</v>
      </c>
      <c r="AE94" s="15">
        <v>-9.6140974645492205E-3</v>
      </c>
      <c r="AF94" s="15">
        <v>2.76347138394822E-3</v>
      </c>
      <c r="AG94" s="15">
        <v>3.3958961920846501E-3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3.8989606958109164E-2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1.0216152690730078E-2</v>
      </c>
      <c r="BE94" s="29">
        <f t="shared" si="42"/>
        <v>0</v>
      </c>
      <c r="BF94" s="29">
        <f t="shared" si="43"/>
        <v>4.9205759648839255E-2</v>
      </c>
      <c r="BH94" s="29"/>
    </row>
    <row r="95" spans="1:60" x14ac:dyDescent="0.25">
      <c r="A95" s="1">
        <v>46160</v>
      </c>
      <c r="B95" s="33">
        <v>72.88</v>
      </c>
      <c r="C95" s="33">
        <v>85.9</v>
      </c>
      <c r="D95" s="15">
        <v>8.9587808889473094E-3</v>
      </c>
      <c r="E95" s="15">
        <v>1.4776860880220399E-2</v>
      </c>
      <c r="F95" s="33">
        <v>0</v>
      </c>
      <c r="G95" s="33">
        <v>0.28752899999999998</v>
      </c>
      <c r="H95" s="33">
        <v>0</v>
      </c>
      <c r="I95" s="33">
        <v>0.45490000000000003</v>
      </c>
      <c r="J95" s="33">
        <v>0</v>
      </c>
      <c r="K95" s="33">
        <v>0</v>
      </c>
      <c r="L95" s="33">
        <v>72.88</v>
      </c>
      <c r="M95" s="33">
        <v>85.9</v>
      </c>
      <c r="N95" s="34">
        <v>1.1786498353457699</v>
      </c>
      <c r="O95" s="34">
        <v>1.16085801049043</v>
      </c>
      <c r="P95" s="34">
        <v>1.1751474330178699</v>
      </c>
      <c r="Q95" s="34">
        <v>1.17568011738355</v>
      </c>
      <c r="R95" s="33">
        <v>84.603331804543004</v>
      </c>
      <c r="S95" s="33">
        <v>85.616684448648101</v>
      </c>
      <c r="T95" s="33">
        <v>85.684305401043005</v>
      </c>
      <c r="U95" s="15">
        <v>-1.52101801210997E-2</v>
      </c>
      <c r="V95" s="15">
        <v>-3.3036530520740202E-3</v>
      </c>
      <c r="W95" s="15">
        <v>-2.5141543344470801E-3</v>
      </c>
      <c r="X95" s="34">
        <v>1.1786498353457699</v>
      </c>
      <c r="Y95" s="34">
        <v>1.16060033170917</v>
      </c>
      <c r="Z95" s="34">
        <v>1.1751474330178699</v>
      </c>
      <c r="AA95" s="34">
        <v>1.17568011738355</v>
      </c>
      <c r="AB95" s="33">
        <v>84.584552174964699</v>
      </c>
      <c r="AC95" s="33">
        <v>85.616684448648101</v>
      </c>
      <c r="AD95" s="33">
        <v>85.684305401043005</v>
      </c>
      <c r="AE95" s="15">
        <v>-1.5432177455822401E-2</v>
      </c>
      <c r="AF95" s="15">
        <v>-3.3036530520740202E-3</v>
      </c>
      <c r="AG95" s="15">
        <v>-2.5141543344471902E-3</v>
      </c>
      <c r="AI95" s="12"/>
      <c r="AJ95">
        <f t="shared" si="26"/>
        <v>0</v>
      </c>
      <c r="AK95">
        <f t="shared" si="27"/>
        <v>0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3.8989606958109164E-2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1.0216152690730078E-2</v>
      </c>
      <c r="BE95" s="29">
        <f t="shared" si="42"/>
        <v>0</v>
      </c>
      <c r="BF95" s="29">
        <f t="shared" si="43"/>
        <v>4.9205759648839255E-2</v>
      </c>
      <c r="BH95" s="29"/>
    </row>
    <row r="96" spans="1:60" x14ac:dyDescent="0.25">
      <c r="A96" s="1">
        <v>46161</v>
      </c>
      <c r="B96" s="33">
        <v>72.7</v>
      </c>
      <c r="C96" s="33">
        <v>86.09</v>
      </c>
      <c r="D96" s="15">
        <v>-2.47286841222904E-3</v>
      </c>
      <c r="E96" s="15">
        <v>2.20943167965356E-3</v>
      </c>
      <c r="F96" s="33">
        <v>0</v>
      </c>
      <c r="G96" s="33">
        <v>0.28752899999999998</v>
      </c>
      <c r="H96" s="33">
        <v>0</v>
      </c>
      <c r="I96" s="33">
        <v>0.45490000000000003</v>
      </c>
      <c r="J96" s="33">
        <v>0</v>
      </c>
      <c r="K96" s="33">
        <v>0</v>
      </c>
      <c r="L96" s="33">
        <v>72.7</v>
      </c>
      <c r="M96" s="33">
        <v>86.09</v>
      </c>
      <c r="N96" s="34">
        <v>1.1841815680880301</v>
      </c>
      <c r="O96" s="34">
        <v>1.16085801049043</v>
      </c>
      <c r="P96" s="34">
        <v>1.17586746605182</v>
      </c>
      <c r="Q96" s="34">
        <v>1.17561062125514</v>
      </c>
      <c r="R96" s="33">
        <v>84.394377362654694</v>
      </c>
      <c r="S96" s="33">
        <v>85.433218380399794</v>
      </c>
      <c r="T96" s="33">
        <v>85.471944533784395</v>
      </c>
      <c r="U96" s="15">
        <v>-1.9892480212982198E-2</v>
      </c>
      <c r="V96" s="15">
        <v>-7.6582614967521997E-3</v>
      </c>
      <c r="W96" s="15">
        <v>-7.2050726827098399E-3</v>
      </c>
      <c r="X96" s="34">
        <v>1.1841815680880301</v>
      </c>
      <c r="Y96" s="34">
        <v>1.16060033170917</v>
      </c>
      <c r="Z96" s="34">
        <v>1.17586746605182</v>
      </c>
      <c r="AA96" s="34">
        <v>1.17561062125514</v>
      </c>
      <c r="AB96" s="33">
        <v>84.375644115257103</v>
      </c>
      <c r="AC96" s="33">
        <v>85.433218380399794</v>
      </c>
      <c r="AD96" s="33">
        <v>85.471944533784395</v>
      </c>
      <c r="AE96" s="15">
        <v>-2.0114477547705002E-2</v>
      </c>
      <c r="AF96" s="15">
        <v>-7.65826149675208E-3</v>
      </c>
      <c r="AG96" s="15">
        <v>-7.2050726827096101E-3</v>
      </c>
      <c r="AI96" s="12"/>
      <c r="AJ96">
        <f t="shared" si="26"/>
        <v>1</v>
      </c>
      <c r="AK96">
        <f t="shared" si="27"/>
        <v>0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3.8989606958109164E-2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1.0216152690730078E-2</v>
      </c>
      <c r="BE96" s="29">
        <f t="shared" si="42"/>
        <v>0</v>
      </c>
      <c r="BF96" s="29">
        <f t="shared" si="43"/>
        <v>4.9205759648839255E-2</v>
      </c>
      <c r="BH96" s="29"/>
    </row>
    <row r="97" spans="1:60" x14ac:dyDescent="0.25">
      <c r="A97" s="1">
        <v>46162</v>
      </c>
      <c r="B97" s="33">
        <v>72.45</v>
      </c>
      <c r="C97" s="33">
        <v>85.52</v>
      </c>
      <c r="D97" s="15">
        <v>-3.4447157727823001E-3</v>
      </c>
      <c r="E97" s="15">
        <v>-6.6429939530735296E-3</v>
      </c>
      <c r="F97" s="33">
        <v>0</v>
      </c>
      <c r="G97" s="33">
        <v>0.28752899999999998</v>
      </c>
      <c r="H97" s="33">
        <v>0</v>
      </c>
      <c r="I97" s="33">
        <v>0.45490000000000003</v>
      </c>
      <c r="J97" s="33">
        <v>0</v>
      </c>
      <c r="K97" s="33">
        <v>0</v>
      </c>
      <c r="L97" s="33">
        <v>72.45</v>
      </c>
      <c r="M97" s="33">
        <v>85.52</v>
      </c>
      <c r="N97" s="34">
        <v>1.1804002760524499</v>
      </c>
      <c r="O97" s="34">
        <v>1.16085801049043</v>
      </c>
      <c r="P97" s="34">
        <v>1.1759903603983899</v>
      </c>
      <c r="Q97" s="34">
        <v>1.17548209738308</v>
      </c>
      <c r="R97" s="33">
        <v>84.104162860032105</v>
      </c>
      <c r="S97" s="33">
        <v>85.191597915455006</v>
      </c>
      <c r="T97" s="33">
        <v>85.172989509935107</v>
      </c>
      <c r="U97" s="15">
        <v>-1.66942020326909E-2</v>
      </c>
      <c r="V97" s="15">
        <v>-3.8474537601847101E-3</v>
      </c>
      <c r="W97" s="15">
        <v>-4.0659076756967699E-3</v>
      </c>
      <c r="X97" s="34">
        <v>1.1804002760524499</v>
      </c>
      <c r="Y97" s="34">
        <v>1.16060033170917</v>
      </c>
      <c r="Z97" s="34">
        <v>1.1759903603983899</v>
      </c>
      <c r="AA97" s="34">
        <v>1.17548209738308</v>
      </c>
      <c r="AB97" s="33">
        <v>84.085494032329805</v>
      </c>
      <c r="AC97" s="33">
        <v>85.191597915455006</v>
      </c>
      <c r="AD97" s="33">
        <v>85.172989509935206</v>
      </c>
      <c r="AE97" s="15">
        <v>-1.6916199367413801E-2</v>
      </c>
      <c r="AF97" s="15">
        <v>-3.8474537601847101E-3</v>
      </c>
      <c r="AG97" s="15">
        <v>-4.0659076756966502E-3</v>
      </c>
      <c r="AI97" s="12"/>
      <c r="AJ97">
        <f t="shared" si="26"/>
        <v>0</v>
      </c>
      <c r="AK97">
        <f t="shared" si="27"/>
        <v>0</v>
      </c>
      <c r="AL97">
        <f t="shared" si="34"/>
        <v>1</v>
      </c>
      <c r="AM97">
        <f t="shared" si="24"/>
        <v>1</v>
      </c>
      <c r="AN97">
        <f t="shared" si="35"/>
        <v>1</v>
      </c>
      <c r="AO97" s="28">
        <f t="shared" si="28"/>
        <v>-3.4447157727823001E-3</v>
      </c>
      <c r="AP97" s="28">
        <f t="shared" si="29"/>
        <v>6.6429939530735296E-3</v>
      </c>
      <c r="AQ97" s="28">
        <f t="shared" si="36"/>
        <v>3.1982781802912296E-3</v>
      </c>
      <c r="AR97" s="29">
        <f t="shared" si="37"/>
        <v>4.2187885138400397E-2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1.0216152690730078E-2</v>
      </c>
      <c r="BE97" s="29">
        <f t="shared" si="42"/>
        <v>3.1982781802912296E-3</v>
      </c>
      <c r="BF97" s="29">
        <f t="shared" si="43"/>
        <v>5.2404037829130487E-2</v>
      </c>
      <c r="BH97" s="29"/>
    </row>
    <row r="98" spans="1:60" x14ac:dyDescent="0.25">
      <c r="A98" s="1">
        <v>46163</v>
      </c>
      <c r="B98" s="33">
        <v>72.5</v>
      </c>
      <c r="C98" s="33">
        <v>84.66</v>
      </c>
      <c r="D98" s="15">
        <v>6.8989309393764598E-4</v>
      </c>
      <c r="E98" s="15">
        <v>-1.01070316240121E-2</v>
      </c>
      <c r="F98" s="33">
        <v>0</v>
      </c>
      <c r="G98" s="33">
        <v>0.28752899999999998</v>
      </c>
      <c r="H98" s="33">
        <v>0</v>
      </c>
      <c r="I98" s="33">
        <v>0.45490000000000003</v>
      </c>
      <c r="J98" s="33">
        <v>0</v>
      </c>
      <c r="K98" s="33">
        <v>0</v>
      </c>
      <c r="L98" s="33">
        <v>72.5</v>
      </c>
      <c r="M98" s="33">
        <v>84.66</v>
      </c>
      <c r="N98" s="34">
        <v>1.1677241379310299</v>
      </c>
      <c r="O98" s="34">
        <v>1.16085801049043</v>
      </c>
      <c r="P98" s="34">
        <v>1.1746142091943099</v>
      </c>
      <c r="Q98" s="34">
        <v>1.17483011474639</v>
      </c>
      <c r="R98" s="33">
        <v>84.162205760556603</v>
      </c>
      <c r="S98" s="33">
        <v>85.259301128883607</v>
      </c>
      <c r="T98" s="33">
        <v>85.222452060273298</v>
      </c>
      <c r="U98" s="15">
        <v>-5.89727731474119E-3</v>
      </c>
      <c r="V98" s="15">
        <v>7.0539792705517999E-3</v>
      </c>
      <c r="W98" s="15">
        <v>6.6216858609064004E-3</v>
      </c>
      <c r="X98" s="34">
        <v>1.1677241379310299</v>
      </c>
      <c r="Y98" s="34">
        <v>1.16060033170917</v>
      </c>
      <c r="Z98" s="34">
        <v>1.1746142091943099</v>
      </c>
      <c r="AA98" s="34">
        <v>1.17483011474639</v>
      </c>
      <c r="AB98" s="33">
        <v>84.143524048915197</v>
      </c>
      <c r="AC98" s="33">
        <v>85.259301128883607</v>
      </c>
      <c r="AD98" s="33">
        <v>85.222452060273298</v>
      </c>
      <c r="AE98" s="15">
        <v>-6.1192746494639801E-3</v>
      </c>
      <c r="AF98" s="15">
        <v>7.0539792705517999E-3</v>
      </c>
      <c r="AG98" s="15">
        <v>6.6216858609064004E-3</v>
      </c>
      <c r="AI98" s="12"/>
      <c r="AJ98">
        <f t="shared" si="26"/>
        <v>0</v>
      </c>
      <c r="AK98">
        <f t="shared" si="27"/>
        <v>1</v>
      </c>
      <c r="AL98">
        <f t="shared" si="34"/>
        <v>1</v>
      </c>
      <c r="AM98">
        <f t="shared" si="24"/>
        <v>1</v>
      </c>
      <c r="AN98">
        <f t="shared" si="35"/>
        <v>1</v>
      </c>
      <c r="AO98" s="28">
        <f t="shared" si="28"/>
        <v>6.8989309393764598E-4</v>
      </c>
      <c r="AP98" s="28">
        <f t="shared" si="29"/>
        <v>1.01070316240121E-2</v>
      </c>
      <c r="AQ98" s="28">
        <f t="shared" si="36"/>
        <v>1.0796924717949746E-2</v>
      </c>
      <c r="AR98" s="29">
        <f t="shared" si="37"/>
        <v>5.2984809856350144E-2</v>
      </c>
      <c r="AT98" s="12"/>
      <c r="AU98">
        <f t="shared" si="30"/>
        <v>0</v>
      </c>
      <c r="AV98">
        <f t="shared" si="31"/>
        <v>0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1.0216152690730078E-2</v>
      </c>
      <c r="BE98" s="29">
        <f t="shared" si="42"/>
        <v>1.0796924717949746E-2</v>
      </c>
      <c r="BF98" s="29">
        <f t="shared" si="43"/>
        <v>6.3200962547080228E-2</v>
      </c>
      <c r="BH98" s="29"/>
    </row>
    <row r="99" spans="1:60" x14ac:dyDescent="0.25">
      <c r="A99" s="1">
        <v>46164</v>
      </c>
      <c r="B99" s="33">
        <v>72.88</v>
      </c>
      <c r="C99" s="33">
        <v>84.8</v>
      </c>
      <c r="D99" s="15">
        <v>5.2276910910737003E-3</v>
      </c>
      <c r="E99" s="15">
        <v>1.65230770507975E-3</v>
      </c>
      <c r="F99" s="33">
        <v>0</v>
      </c>
      <c r="G99" s="33">
        <v>0.28752899999999998</v>
      </c>
      <c r="H99" s="33">
        <v>0</v>
      </c>
      <c r="I99" s="33">
        <v>0.45490000000000003</v>
      </c>
      <c r="J99" s="33">
        <v>0</v>
      </c>
      <c r="K99" s="33">
        <v>0</v>
      </c>
      <c r="L99" s="33">
        <v>72.88</v>
      </c>
      <c r="M99" s="33">
        <v>84.8</v>
      </c>
      <c r="N99" s="34">
        <v>1.1635565312842999</v>
      </c>
      <c r="O99" s="34">
        <v>1.16085801049043</v>
      </c>
      <c r="P99" s="34">
        <v>1.17293845458297</v>
      </c>
      <c r="Q99" s="34">
        <v>1.17409655965715</v>
      </c>
      <c r="R99" s="33">
        <v>84.603331804543004</v>
      </c>
      <c r="S99" s="33">
        <v>85.605883566081502</v>
      </c>
      <c r="T99" s="33">
        <v>85.621618762717006</v>
      </c>
      <c r="U99" s="15">
        <v>-2.3218939287472698E-3</v>
      </c>
      <c r="V99" s="15">
        <v>9.45847123643365E-3</v>
      </c>
      <c r="W99" s="15">
        <v>9.6422641022505997E-3</v>
      </c>
      <c r="X99" s="34">
        <v>1.1635565312842999</v>
      </c>
      <c r="Y99" s="34">
        <v>1.16060033170917</v>
      </c>
      <c r="Z99" s="34">
        <v>1.17293845458297</v>
      </c>
      <c r="AA99" s="34">
        <v>1.17409655965715</v>
      </c>
      <c r="AB99" s="33">
        <v>84.584552174964699</v>
      </c>
      <c r="AC99" s="33">
        <v>85.605883566081502</v>
      </c>
      <c r="AD99" s="33">
        <v>85.621618762717006</v>
      </c>
      <c r="AE99" s="15">
        <v>-2.5438912634700101E-3</v>
      </c>
      <c r="AF99" s="15">
        <v>9.45847123643365E-3</v>
      </c>
      <c r="AG99" s="15">
        <v>9.6422641022505997E-3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5.2984809856350144E-2</v>
      </c>
      <c r="AT99" s="12"/>
      <c r="AU99">
        <f t="shared" si="30"/>
        <v>1</v>
      </c>
      <c r="AV99">
        <f t="shared" si="31"/>
        <v>0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1.0216152690730078E-2</v>
      </c>
      <c r="BE99" s="29">
        <f t="shared" si="42"/>
        <v>0</v>
      </c>
      <c r="BF99" s="29">
        <f t="shared" si="43"/>
        <v>6.3200962547080228E-2</v>
      </c>
      <c r="BH99" s="29"/>
    </row>
    <row r="100" spans="1:60" x14ac:dyDescent="0.25">
      <c r="A100" s="1">
        <v>46168</v>
      </c>
      <c r="B100" s="33">
        <v>71.72</v>
      </c>
      <c r="C100" s="33">
        <v>83.63</v>
      </c>
      <c r="D100" s="15">
        <v>-1.6044604214770702E-2</v>
      </c>
      <c r="E100" s="15">
        <v>-1.38932354044229E-2</v>
      </c>
      <c r="F100" s="33">
        <v>0</v>
      </c>
      <c r="G100" s="33">
        <v>0.28752899999999998</v>
      </c>
      <c r="H100" s="33">
        <v>0</v>
      </c>
      <c r="I100" s="33">
        <v>0.45490000000000003</v>
      </c>
      <c r="J100" s="33">
        <v>0</v>
      </c>
      <c r="K100" s="33">
        <v>0</v>
      </c>
      <c r="L100" s="33">
        <v>71.72</v>
      </c>
      <c r="M100" s="33">
        <v>83.63</v>
      </c>
      <c r="N100" s="34">
        <v>1.16606246514221</v>
      </c>
      <c r="O100" s="34">
        <v>1.16085801049043</v>
      </c>
      <c r="P100" s="34">
        <v>1.17261622984895</v>
      </c>
      <c r="Q100" s="34">
        <v>1.17367767464155</v>
      </c>
      <c r="R100" s="33">
        <v>83.256736512374104</v>
      </c>
      <c r="S100" s="33">
        <v>84.123145962691197</v>
      </c>
      <c r="T100" s="33">
        <v>84.206205258611007</v>
      </c>
      <c r="U100" s="15">
        <v>-4.4732627390949003E-3</v>
      </c>
      <c r="V100" s="15">
        <v>5.8794412521147596E-3</v>
      </c>
      <c r="W100" s="15">
        <v>6.8663077974699602E-3</v>
      </c>
      <c r="X100" s="34">
        <v>1.16606246514221</v>
      </c>
      <c r="Y100" s="34">
        <v>1.16060033170917</v>
      </c>
      <c r="Z100" s="34">
        <v>1.17261622984895</v>
      </c>
      <c r="AA100" s="34">
        <v>1.17367767464155</v>
      </c>
      <c r="AB100" s="33">
        <v>83.238255790182095</v>
      </c>
      <c r="AC100" s="33">
        <v>84.123145962691197</v>
      </c>
      <c r="AD100" s="33">
        <v>84.206205258611007</v>
      </c>
      <c r="AE100" s="15">
        <v>-4.6952600738176297E-3</v>
      </c>
      <c r="AF100" s="15">
        <v>5.8794412521149799E-3</v>
      </c>
      <c r="AG100" s="15">
        <v>6.8663077974699602E-3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5.2984809856350144E-2</v>
      </c>
      <c r="AT100" s="12"/>
      <c r="AU100">
        <f t="shared" si="30"/>
        <v>0</v>
      </c>
      <c r="AV100">
        <f t="shared" si="31"/>
        <v>0</v>
      </c>
      <c r="AW100">
        <f t="shared" si="38"/>
        <v>1</v>
      </c>
      <c r="AX100">
        <f t="shared" si="25"/>
        <v>1</v>
      </c>
      <c r="AY100">
        <f t="shared" si="39"/>
        <v>1</v>
      </c>
      <c r="AZ100" s="28">
        <f t="shared" si="32"/>
        <v>1.6044604214770702E-2</v>
      </c>
      <c r="BA100" s="28">
        <f t="shared" si="33"/>
        <v>-1.38932354044229E-2</v>
      </c>
      <c r="BB100" s="28">
        <f t="shared" si="40"/>
        <v>2.1513688103478017E-3</v>
      </c>
      <c r="BC100" s="29">
        <f t="shared" si="41"/>
        <v>1.236752150107788E-2</v>
      </c>
      <c r="BE100" s="29">
        <f t="shared" si="42"/>
        <v>2.1513688103478017E-3</v>
      </c>
      <c r="BF100" s="29">
        <f t="shared" si="43"/>
        <v>6.5352331357428031E-2</v>
      </c>
      <c r="BH100" s="29"/>
    </row>
    <row r="101" spans="1:60" x14ac:dyDescent="0.25">
      <c r="A101" s="1">
        <v>46169</v>
      </c>
      <c r="B101" s="33">
        <v>72.61</v>
      </c>
      <c r="C101" s="33">
        <v>84.58</v>
      </c>
      <c r="D101" s="15">
        <v>1.23330046552232E-2</v>
      </c>
      <c r="E101" s="15">
        <v>1.12955246509082E-2</v>
      </c>
      <c r="F101" s="33">
        <v>0</v>
      </c>
      <c r="G101" s="33">
        <v>0.28752899999999998</v>
      </c>
      <c r="H101" s="33">
        <v>0</v>
      </c>
      <c r="I101" s="33">
        <v>0.45490000000000003</v>
      </c>
      <c r="J101" s="33">
        <v>0</v>
      </c>
      <c r="K101" s="33">
        <v>0</v>
      </c>
      <c r="L101" s="33">
        <v>72.61</v>
      </c>
      <c r="M101" s="33">
        <v>84.58</v>
      </c>
      <c r="N101" s="34">
        <v>1.1648533259881499</v>
      </c>
      <c r="O101" s="34">
        <v>1.16085801049043</v>
      </c>
      <c r="P101" s="34">
        <v>1.17216485008106</v>
      </c>
      <c r="Q101" s="34">
        <v>1.17355305135264</v>
      </c>
      <c r="R101" s="33">
        <v>84.289900141710604</v>
      </c>
      <c r="S101" s="33">
        <v>85.143664449332505</v>
      </c>
      <c r="T101" s="33">
        <v>85.220735955722901</v>
      </c>
      <c r="U101" s="15">
        <v>-3.4357827347797302E-3</v>
      </c>
      <c r="V101" s="15">
        <v>6.6421677082046399E-3</v>
      </c>
      <c r="W101" s="15">
        <v>7.5469519408846598E-3</v>
      </c>
      <c r="X101" s="34">
        <v>1.1648533259881499</v>
      </c>
      <c r="Y101" s="34">
        <v>1.16060033170917</v>
      </c>
      <c r="Z101" s="34">
        <v>1.17216485008106</v>
      </c>
      <c r="AA101" s="34">
        <v>1.17355305135264</v>
      </c>
      <c r="AB101" s="33">
        <v>84.271190085403205</v>
      </c>
      <c r="AC101" s="33">
        <v>85.143664449332505</v>
      </c>
      <c r="AD101" s="33">
        <v>85.220735955722901</v>
      </c>
      <c r="AE101" s="15">
        <v>-3.6577800695025602E-3</v>
      </c>
      <c r="AF101" s="15">
        <v>6.6421677082046399E-3</v>
      </c>
      <c r="AG101" s="15">
        <v>7.5469519408846598E-3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5.2984809856350144E-2</v>
      </c>
      <c r="AT101" s="12"/>
      <c r="AU101">
        <f t="shared" si="30"/>
        <v>1</v>
      </c>
      <c r="AV101">
        <f t="shared" si="31"/>
        <v>0</v>
      </c>
      <c r="AW101">
        <f t="shared" si="38"/>
        <v>1</v>
      </c>
      <c r="AX101">
        <f t="shared" si="25"/>
        <v>1</v>
      </c>
      <c r="AY101">
        <f t="shared" si="39"/>
        <v>1</v>
      </c>
      <c r="AZ101" s="28">
        <f t="shared" si="32"/>
        <v>-1.23330046552232E-2</v>
      </c>
      <c r="BA101" s="28">
        <f t="shared" si="33"/>
        <v>1.12955246509082E-2</v>
      </c>
      <c r="BB101" s="28">
        <f t="shared" si="40"/>
        <v>-1.0374800043150001E-3</v>
      </c>
      <c r="BC101" s="29">
        <f t="shared" si="41"/>
        <v>1.133004149676288E-2</v>
      </c>
      <c r="BE101" s="29">
        <f t="shared" si="42"/>
        <v>-1.0374800043150001E-3</v>
      </c>
      <c r="BF101" s="29">
        <f t="shared" si="43"/>
        <v>6.4314851353113031E-2</v>
      </c>
      <c r="BH101" s="29"/>
    </row>
    <row r="102" spans="1:60" x14ac:dyDescent="0.25">
      <c r="A102" s="1">
        <v>46170</v>
      </c>
      <c r="B102" s="33">
        <v>72.180000000000007</v>
      </c>
      <c r="C102" s="33">
        <v>84.43</v>
      </c>
      <c r="D102" s="15">
        <v>-5.9396541775128204E-3</v>
      </c>
      <c r="E102" s="15">
        <v>-1.77504336293381E-3</v>
      </c>
      <c r="F102" s="33">
        <v>0</v>
      </c>
      <c r="G102" s="33">
        <v>0.28752899999999998</v>
      </c>
      <c r="H102" s="33">
        <v>0</v>
      </c>
      <c r="I102" s="33">
        <v>0.45490000000000003</v>
      </c>
      <c r="J102" s="33">
        <v>0</v>
      </c>
      <c r="K102" s="33">
        <v>0</v>
      </c>
      <c r="L102" s="33">
        <v>72.180000000000007</v>
      </c>
      <c r="M102" s="33">
        <v>84.43</v>
      </c>
      <c r="N102" s="34">
        <v>1.1697146023829299</v>
      </c>
      <c r="O102" s="34">
        <v>1.16085801049043</v>
      </c>
      <c r="P102" s="34">
        <v>1.1719254636120999</v>
      </c>
      <c r="Q102" s="34">
        <v>1.17361149849547</v>
      </c>
      <c r="R102" s="33">
        <v>83.790731197199705</v>
      </c>
      <c r="S102" s="33">
        <v>84.606858878851</v>
      </c>
      <c r="T102" s="33">
        <v>84.707059246634103</v>
      </c>
      <c r="U102" s="15">
        <v>-7.6003935493586701E-3</v>
      </c>
      <c r="V102" s="15">
        <v>2.09254886252923E-3</v>
      </c>
      <c r="W102" s="15">
        <v>3.2761536197781901E-3</v>
      </c>
      <c r="X102" s="34">
        <v>1.1697146023829299</v>
      </c>
      <c r="Y102" s="34">
        <v>1.16060033170917</v>
      </c>
      <c r="Z102" s="34">
        <v>1.1719254636120999</v>
      </c>
      <c r="AA102" s="34">
        <v>1.17361149849547</v>
      </c>
      <c r="AB102" s="33">
        <v>83.772131942768297</v>
      </c>
      <c r="AC102" s="33">
        <v>84.606858878851</v>
      </c>
      <c r="AD102" s="33">
        <v>84.707059246634103</v>
      </c>
      <c r="AE102" s="15">
        <v>-7.8223908840816102E-3</v>
      </c>
      <c r="AF102" s="15">
        <v>2.0925488625290101E-3</v>
      </c>
      <c r="AG102" s="15">
        <v>3.27615361977841E-3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5.2984809856350144E-2</v>
      </c>
      <c r="AT102" s="12"/>
      <c r="AU102">
        <f t="shared" si="30"/>
        <v>0</v>
      </c>
      <c r="AV102">
        <f t="shared" si="31"/>
        <v>1</v>
      </c>
      <c r="AW102">
        <f t="shared" si="38"/>
        <v>1</v>
      </c>
      <c r="AX102">
        <f t="shared" si="25"/>
        <v>1</v>
      </c>
      <c r="AY102">
        <f t="shared" si="39"/>
        <v>1</v>
      </c>
      <c r="AZ102" s="28">
        <f t="shared" si="32"/>
        <v>5.9396541775128204E-3</v>
      </c>
      <c r="BA102" s="28">
        <f t="shared" si="33"/>
        <v>-1.77504336293381E-3</v>
      </c>
      <c r="BB102" s="28">
        <f t="shared" si="40"/>
        <v>4.1646108145790102E-3</v>
      </c>
      <c r="BC102" s="29">
        <f t="shared" si="41"/>
        <v>1.5494652311341891E-2</v>
      </c>
      <c r="BE102" s="29">
        <f t="shared" si="42"/>
        <v>4.1646108145790102E-3</v>
      </c>
      <c r="BF102" s="29">
        <f t="shared" si="43"/>
        <v>6.8479462167692046E-2</v>
      </c>
      <c r="BH102" s="29"/>
    </row>
    <row r="103" spans="1:60" x14ac:dyDescent="0.25">
      <c r="A103" s="1">
        <v>46171</v>
      </c>
      <c r="B103" s="33">
        <v>71.11</v>
      </c>
      <c r="C103" s="33">
        <v>82.91</v>
      </c>
      <c r="D103" s="15">
        <v>-1.4935025319216E-2</v>
      </c>
      <c r="E103" s="15">
        <v>-1.8167106553281302E-2</v>
      </c>
      <c r="F103" s="33">
        <v>0</v>
      </c>
      <c r="G103" s="33">
        <v>0.28752899999999998</v>
      </c>
      <c r="H103" s="33">
        <v>0</v>
      </c>
      <c r="I103" s="33">
        <v>0.45490000000000003</v>
      </c>
      <c r="J103" s="33">
        <v>0</v>
      </c>
      <c r="K103" s="33">
        <v>0</v>
      </c>
      <c r="L103" s="33">
        <v>71.11</v>
      </c>
      <c r="M103" s="33">
        <v>82.91</v>
      </c>
      <c r="N103" s="34">
        <v>1.1659400928139501</v>
      </c>
      <c r="O103" s="34">
        <v>1.16085801049043</v>
      </c>
      <c r="P103" s="34">
        <v>1.17128951014001</v>
      </c>
      <c r="Q103" s="34">
        <v>1.17317226236704</v>
      </c>
      <c r="R103" s="33">
        <v>82.548613125974896</v>
      </c>
      <c r="S103" s="33">
        <v>83.335619717456694</v>
      </c>
      <c r="T103" s="33">
        <v>83.455513658012904</v>
      </c>
      <c r="U103" s="15">
        <v>-4.3683123152934303E-3</v>
      </c>
      <c r="V103" s="15">
        <v>5.1203832991137E-3</v>
      </c>
      <c r="W103" s="15">
        <v>6.5580371932983297E-3</v>
      </c>
      <c r="X103" s="34">
        <v>1.1659400928139501</v>
      </c>
      <c r="Y103" s="34">
        <v>1.16060033170917</v>
      </c>
      <c r="Z103" s="34">
        <v>1.17128951014001</v>
      </c>
      <c r="AA103" s="34">
        <v>1.17317226236704</v>
      </c>
      <c r="AB103" s="33">
        <v>82.530289587839505</v>
      </c>
      <c r="AC103" s="33">
        <v>83.335619717456694</v>
      </c>
      <c r="AD103" s="33">
        <v>83.455513658012904</v>
      </c>
      <c r="AE103" s="15">
        <v>-4.5903096500161996E-3</v>
      </c>
      <c r="AF103" s="15">
        <v>5.1203832991134797E-3</v>
      </c>
      <c r="AG103" s="15">
        <v>6.5580371932983297E-3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1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5.2984809856350144E-2</v>
      </c>
      <c r="AT103" s="12"/>
      <c r="AU103">
        <f t="shared" si="30"/>
        <v>0</v>
      </c>
      <c r="AV103">
        <f t="shared" si="31"/>
        <v>0</v>
      </c>
      <c r="AW103">
        <f t="shared" si="38"/>
        <v>0</v>
      </c>
      <c r="AX103">
        <f t="shared" si="25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1.5494652311341891E-2</v>
      </c>
      <c r="BE103" s="29">
        <f t="shared" si="42"/>
        <v>0</v>
      </c>
      <c r="BF103" s="29">
        <f t="shared" si="43"/>
        <v>6.8479462167692046E-2</v>
      </c>
      <c r="BH103" s="29"/>
    </row>
    <row r="104" spans="1:60" x14ac:dyDescent="0.25">
      <c r="A104" s="1">
        <v>46174</v>
      </c>
      <c r="B104" s="33">
        <v>70.209999999999994</v>
      </c>
      <c r="C104" s="33">
        <v>82.03</v>
      </c>
      <c r="D104" s="15">
        <v>-1.2737222866269099E-2</v>
      </c>
      <c r="E104" s="15">
        <v>-1.0670648113468699E-2</v>
      </c>
      <c r="F104" s="33">
        <v>0</v>
      </c>
      <c r="G104" s="33">
        <v>0.28752899999999998</v>
      </c>
      <c r="H104" s="33">
        <v>0</v>
      </c>
      <c r="I104" s="33">
        <v>0.45490000000000003</v>
      </c>
      <c r="J104" s="33">
        <v>0</v>
      </c>
      <c r="K104" s="33">
        <v>0</v>
      </c>
      <c r="L104" s="33">
        <v>70.209999999999994</v>
      </c>
      <c r="M104" s="33">
        <v>82.03</v>
      </c>
      <c r="N104" s="34">
        <v>1.16835208659735</v>
      </c>
      <c r="O104" s="34">
        <v>1.16085801049043</v>
      </c>
      <c r="P104" s="34">
        <v>1.1709434921626201</v>
      </c>
      <c r="Q104" s="34">
        <v>1.17285295113515</v>
      </c>
      <c r="R104" s="33">
        <v>81.503840916533505</v>
      </c>
      <c r="S104" s="33">
        <v>82.236236506930496</v>
      </c>
      <c r="T104" s="33">
        <v>82.368424540790102</v>
      </c>
      <c r="U104" s="15">
        <v>-6.4348870680937496E-3</v>
      </c>
      <c r="V104" s="15">
        <v>2.5110043266182202E-3</v>
      </c>
      <c r="W104" s="15">
        <v>4.1171321414051002E-3</v>
      </c>
      <c r="X104" s="34">
        <v>1.16835208659735</v>
      </c>
      <c r="Y104" s="34">
        <v>1.16060033170917</v>
      </c>
      <c r="Z104" s="34">
        <v>1.1709434921626201</v>
      </c>
      <c r="AA104" s="34">
        <v>1.17285295113515</v>
      </c>
      <c r="AB104" s="33">
        <v>81.485749289301197</v>
      </c>
      <c r="AC104" s="33">
        <v>82.236236506930496</v>
      </c>
      <c r="AD104" s="33">
        <v>82.368424540790102</v>
      </c>
      <c r="AE104" s="15">
        <v>-6.6568844028167097E-3</v>
      </c>
      <c r="AF104" s="15">
        <v>2.5110043266182202E-3</v>
      </c>
      <c r="AG104" s="15">
        <v>4.1171321414048704E-3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5.2984809856350144E-2</v>
      </c>
      <c r="AT104" s="12"/>
      <c r="AU104">
        <f t="shared" si="30"/>
        <v>0</v>
      </c>
      <c r="AV104">
        <f t="shared" si="31"/>
        <v>0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1.5494652311341891E-2</v>
      </c>
      <c r="BE104" s="29">
        <f t="shared" si="42"/>
        <v>0</v>
      </c>
      <c r="BF104" s="29">
        <f t="shared" si="43"/>
        <v>6.8479462167692046E-2</v>
      </c>
      <c r="BH104" s="29"/>
    </row>
    <row r="105" spans="1:60" x14ac:dyDescent="0.25">
      <c r="A105" s="1">
        <v>46175</v>
      </c>
      <c r="B105" s="33">
        <v>70.22</v>
      </c>
      <c r="C105" s="33">
        <v>81.83</v>
      </c>
      <c r="D105" s="15">
        <v>1.4241971112873001E-4</v>
      </c>
      <c r="E105" s="15">
        <v>-2.4411094753682399E-3</v>
      </c>
      <c r="F105" s="33">
        <v>0</v>
      </c>
      <c r="G105" s="33">
        <v>0.28752899999999998</v>
      </c>
      <c r="H105" s="33">
        <v>0</v>
      </c>
      <c r="I105" s="33">
        <v>0.45490000000000003</v>
      </c>
      <c r="J105" s="33">
        <v>0</v>
      </c>
      <c r="K105" s="33">
        <v>0</v>
      </c>
      <c r="L105" s="33">
        <v>70.22</v>
      </c>
      <c r="M105" s="33">
        <v>81.83</v>
      </c>
      <c r="N105" s="34">
        <v>1.16533751068071</v>
      </c>
      <c r="O105" s="34">
        <v>1.16085801049043</v>
      </c>
      <c r="P105" s="34">
        <v>1.16961225969611</v>
      </c>
      <c r="Q105" s="34">
        <v>1.1723798463569901</v>
      </c>
      <c r="R105" s="33">
        <v>81.515449496638496</v>
      </c>
      <c r="S105" s="33">
        <v>82.223652019659198</v>
      </c>
      <c r="T105" s="33">
        <v>82.357734228710399</v>
      </c>
      <c r="U105" s="15">
        <v>-3.8513578815968499E-3</v>
      </c>
      <c r="V105" s="15">
        <v>4.7990735997989796E-3</v>
      </c>
      <c r="W105" s="15">
        <v>6.4284466628374897E-3</v>
      </c>
      <c r="X105" s="34">
        <v>1.16533751068071</v>
      </c>
      <c r="Y105" s="34">
        <v>1.16060033170917</v>
      </c>
      <c r="Z105" s="34">
        <v>1.16961225969611</v>
      </c>
      <c r="AA105" s="34">
        <v>1.1723798463569901</v>
      </c>
      <c r="AB105" s="33">
        <v>81.497355292618295</v>
      </c>
      <c r="AC105" s="33">
        <v>82.223652019659198</v>
      </c>
      <c r="AD105" s="33">
        <v>82.357734228710399</v>
      </c>
      <c r="AE105" s="15">
        <v>-4.0733552163196704E-3</v>
      </c>
      <c r="AF105" s="15">
        <v>4.7990735997989796E-3</v>
      </c>
      <c r="AG105" s="15">
        <v>6.4284466628379304E-3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5.2984809856350144E-2</v>
      </c>
      <c r="AT105" s="12"/>
      <c r="AU105">
        <f t="shared" si="30"/>
        <v>0</v>
      </c>
      <c r="AV105">
        <f t="shared" si="31"/>
        <v>0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1.5494652311341891E-2</v>
      </c>
      <c r="BE105" s="29">
        <f t="shared" si="42"/>
        <v>0</v>
      </c>
      <c r="BF105" s="29">
        <f t="shared" si="43"/>
        <v>6.8479462167692046E-2</v>
      </c>
      <c r="BH105" s="29"/>
    </row>
    <row r="106" spans="1:60" x14ac:dyDescent="0.25">
      <c r="A106" s="1">
        <v>46176</v>
      </c>
      <c r="B106" s="33">
        <v>70.39</v>
      </c>
      <c r="C106" s="33">
        <v>82.16</v>
      </c>
      <c r="D106" s="15">
        <v>2.4180368797539998E-3</v>
      </c>
      <c r="E106" s="15">
        <v>4.0246410810123399E-3</v>
      </c>
      <c r="F106" s="33">
        <v>0</v>
      </c>
      <c r="G106" s="33">
        <v>0.28752899999999998</v>
      </c>
      <c r="H106" s="33">
        <v>0</v>
      </c>
      <c r="I106" s="33">
        <v>0.45490000000000003</v>
      </c>
      <c r="J106" s="33">
        <v>0</v>
      </c>
      <c r="K106" s="33">
        <v>0</v>
      </c>
      <c r="L106" s="33">
        <v>70.39</v>
      </c>
      <c r="M106" s="33">
        <v>82.16</v>
      </c>
      <c r="N106" s="34">
        <v>1.16721125159823</v>
      </c>
      <c r="O106" s="34">
        <v>1.16085801049043</v>
      </c>
      <c r="P106" s="34">
        <v>1.1679152280471301</v>
      </c>
      <c r="Q106" s="34">
        <v>1.1718913470494801</v>
      </c>
      <c r="R106" s="33">
        <v>81.712795358421801</v>
      </c>
      <c r="S106" s="33">
        <v>82.329006960009494</v>
      </c>
      <c r="T106" s="33">
        <v>82.523817385068995</v>
      </c>
      <c r="U106" s="15">
        <v>-5.45796208285517E-3</v>
      </c>
      <c r="V106" s="15">
        <v>2.05493391450143E-3</v>
      </c>
      <c r="W106" s="15">
        <v>4.4183816323773197E-3</v>
      </c>
      <c r="X106" s="34">
        <v>1.16721125159823</v>
      </c>
      <c r="Y106" s="34">
        <v>1.16060033170917</v>
      </c>
      <c r="Z106" s="34">
        <v>1.1679152280471301</v>
      </c>
      <c r="AA106" s="34">
        <v>1.1718913470494801</v>
      </c>
      <c r="AB106" s="33">
        <v>81.694657349008907</v>
      </c>
      <c r="AC106" s="33">
        <v>82.329006960009494</v>
      </c>
      <c r="AD106" s="33">
        <v>82.523817385068995</v>
      </c>
      <c r="AE106" s="15">
        <v>-5.6799594175780902E-3</v>
      </c>
      <c r="AF106" s="15">
        <v>2.05493391450143E-3</v>
      </c>
      <c r="AG106" s="15">
        <v>4.4183816323773197E-3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5.2984809856350144E-2</v>
      </c>
      <c r="AT106" s="12"/>
      <c r="AU106">
        <f t="shared" si="30"/>
        <v>0</v>
      </c>
      <c r="AV106">
        <f t="shared" si="31"/>
        <v>0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1.5494652311341891E-2</v>
      </c>
      <c r="BE106" s="29">
        <f t="shared" si="42"/>
        <v>0</v>
      </c>
      <c r="BF106" s="29">
        <f t="shared" si="43"/>
        <v>6.8479462167692046E-2</v>
      </c>
      <c r="BH106" s="29"/>
    </row>
    <row r="107" spans="1:60" x14ac:dyDescent="0.25">
      <c r="A107" s="1">
        <v>46177</v>
      </c>
      <c r="B107" s="33">
        <v>70.25</v>
      </c>
      <c r="C107" s="33">
        <v>82.04</v>
      </c>
      <c r="D107" s="15">
        <v>-1.99089940618505E-3</v>
      </c>
      <c r="E107" s="15">
        <v>-1.4616324161227899E-3</v>
      </c>
      <c r="F107" s="33">
        <v>0</v>
      </c>
      <c r="G107" s="33">
        <v>0.28752899999999998</v>
      </c>
      <c r="H107" s="33">
        <v>0</v>
      </c>
      <c r="I107" s="33">
        <v>0.45490000000000003</v>
      </c>
      <c r="J107" s="33">
        <v>0</v>
      </c>
      <c r="K107" s="33">
        <v>0</v>
      </c>
      <c r="L107" s="33">
        <v>70.25</v>
      </c>
      <c r="M107" s="33">
        <v>82.04</v>
      </c>
      <c r="N107" s="34">
        <v>1.16782918149466</v>
      </c>
      <c r="O107" s="34">
        <v>1.16085801049043</v>
      </c>
      <c r="P107" s="34">
        <v>1.16665811859135</v>
      </c>
      <c r="Q107" s="34">
        <v>1.17132423949487</v>
      </c>
      <c r="R107" s="33">
        <v>81.550275236953198</v>
      </c>
      <c r="S107" s="33">
        <v>82.046044770311198</v>
      </c>
      <c r="T107" s="33">
        <v>82.325367130226098</v>
      </c>
      <c r="U107" s="15">
        <v>-5.9872290729174301E-3</v>
      </c>
      <c r="V107" s="15">
        <v>7.3678054979500006E-5</v>
      </c>
      <c r="W107" s="15">
        <v>3.4723545712455899E-3</v>
      </c>
      <c r="X107" s="34">
        <v>1.16782918149466</v>
      </c>
      <c r="Y107" s="34">
        <v>1.16060033170917</v>
      </c>
      <c r="Z107" s="34">
        <v>1.16665811859135</v>
      </c>
      <c r="AA107" s="34">
        <v>1.17132423949487</v>
      </c>
      <c r="AB107" s="33">
        <v>81.532173302569603</v>
      </c>
      <c r="AC107" s="33">
        <v>82.046044770311198</v>
      </c>
      <c r="AD107" s="33">
        <v>82.325367130226098</v>
      </c>
      <c r="AE107" s="15">
        <v>-6.2092264076402297E-3</v>
      </c>
      <c r="AF107" s="15">
        <v>7.3678054979500006E-5</v>
      </c>
      <c r="AG107" s="15">
        <v>3.4723545712455899E-3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5.2984809856350144E-2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1.5494652311341891E-2</v>
      </c>
      <c r="BE107" s="29">
        <f t="shared" si="42"/>
        <v>0</v>
      </c>
      <c r="BF107" s="29">
        <f t="shared" si="43"/>
        <v>6.8479462167692046E-2</v>
      </c>
      <c r="BH107" s="29"/>
    </row>
    <row r="108" spans="1:60" x14ac:dyDescent="0.25">
      <c r="A108" s="1">
        <v>46178</v>
      </c>
      <c r="B108" s="33">
        <v>71.89</v>
      </c>
      <c r="C108" s="33">
        <v>83.44</v>
      </c>
      <c r="D108" s="15">
        <v>2.3076864781924999E-2</v>
      </c>
      <c r="E108" s="15">
        <v>1.69208774883369E-2</v>
      </c>
      <c r="F108" s="33">
        <v>0</v>
      </c>
      <c r="G108" s="33">
        <v>0.28752899999999998</v>
      </c>
      <c r="H108" s="33">
        <v>0</v>
      </c>
      <c r="I108" s="33">
        <v>0.45490000000000003</v>
      </c>
      <c r="J108" s="33">
        <v>0</v>
      </c>
      <c r="K108" s="33">
        <v>0</v>
      </c>
      <c r="L108" s="33">
        <v>71.89</v>
      </c>
      <c r="M108" s="33">
        <v>83.44</v>
      </c>
      <c r="N108" s="34">
        <v>1.1606621226874301</v>
      </c>
      <c r="O108" s="34">
        <v>1.16085801049043</v>
      </c>
      <c r="P108" s="34">
        <v>1.1659519170669901</v>
      </c>
      <c r="Q108" s="34">
        <v>1.17028306313065</v>
      </c>
      <c r="R108" s="33">
        <v>83.454082374157494</v>
      </c>
      <c r="S108" s="33">
        <v>83.871052145532602</v>
      </c>
      <c r="T108" s="33">
        <v>84.206499577286607</v>
      </c>
      <c r="U108" s="15">
        <v>1.6875822067053301E-4</v>
      </c>
      <c r="V108" s="15">
        <v>5.1527151819850802E-3</v>
      </c>
      <c r="W108" s="15">
        <v>9.1442997058998696E-3</v>
      </c>
      <c r="X108" s="34">
        <v>1.1606621226874301</v>
      </c>
      <c r="Y108" s="34">
        <v>1.16060033170917</v>
      </c>
      <c r="Z108" s="34">
        <v>1.1659519170669901</v>
      </c>
      <c r="AA108" s="34">
        <v>1.17028306313065</v>
      </c>
      <c r="AB108" s="33">
        <v>83.435557846572607</v>
      </c>
      <c r="AC108" s="33">
        <v>83.871052145532602</v>
      </c>
      <c r="AD108" s="33">
        <v>84.206499577286607</v>
      </c>
      <c r="AE108" s="15">
        <v>-5.3239114052301203E-5</v>
      </c>
      <c r="AF108" s="15">
        <v>5.1527151819850802E-3</v>
      </c>
      <c r="AG108" s="15">
        <v>9.1442997059000899E-3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5.2984809856350144E-2</v>
      </c>
      <c r="AT108" s="12"/>
      <c r="AU108">
        <f t="shared" si="30"/>
        <v>1</v>
      </c>
      <c r="AV108">
        <f t="shared" si="31"/>
        <v>0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1.5494652311341891E-2</v>
      </c>
      <c r="BE108" s="29">
        <f t="shared" si="42"/>
        <v>0</v>
      </c>
      <c r="BF108" s="29">
        <f t="shared" si="43"/>
        <v>6.8479462167692046E-2</v>
      </c>
      <c r="BH108" s="29"/>
    </row>
    <row r="109" spans="1:60" x14ac:dyDescent="0.25">
      <c r="A109" s="1">
        <v>46181</v>
      </c>
      <c r="B109" s="33">
        <v>71.37</v>
      </c>
      <c r="C109" s="33">
        <v>83.07</v>
      </c>
      <c r="D109" s="15">
        <v>-7.2595600128041102E-3</v>
      </c>
      <c r="E109" s="15">
        <v>-4.4441848415369004E-3</v>
      </c>
      <c r="F109" s="33">
        <v>0</v>
      </c>
      <c r="G109" s="33">
        <v>0.28752899999999998</v>
      </c>
      <c r="H109" s="33">
        <v>0</v>
      </c>
      <c r="I109" s="33">
        <v>0.45490000000000003</v>
      </c>
      <c r="J109" s="33">
        <v>0</v>
      </c>
      <c r="K109" s="33">
        <v>0</v>
      </c>
      <c r="L109" s="33">
        <v>71.37</v>
      </c>
      <c r="M109" s="33">
        <v>83.07</v>
      </c>
      <c r="N109" s="34">
        <v>1.1639344262294999</v>
      </c>
      <c r="O109" s="34">
        <v>1.16085801049043</v>
      </c>
      <c r="P109" s="34">
        <v>1.1659897065615099</v>
      </c>
      <c r="Q109" s="34">
        <v>1.1694640805722401</v>
      </c>
      <c r="R109" s="33">
        <v>82.850436208702504</v>
      </c>
      <c r="S109" s="33">
        <v>83.213988321071497</v>
      </c>
      <c r="T109" s="33">
        <v>83.523102215634793</v>
      </c>
      <c r="U109" s="15">
        <v>-2.6466169505967199E-3</v>
      </c>
      <c r="V109" s="15">
        <v>1.73183670314344E-3</v>
      </c>
      <c r="W109" s="15">
        <v>5.4396409799825204E-3</v>
      </c>
      <c r="X109" s="34">
        <v>1.1639344262294999</v>
      </c>
      <c r="Y109" s="34">
        <v>1.16060033170917</v>
      </c>
      <c r="Z109" s="34">
        <v>1.1659897065615099</v>
      </c>
      <c r="AA109" s="34">
        <v>1.1694640805722401</v>
      </c>
      <c r="AB109" s="33">
        <v>82.832045674083901</v>
      </c>
      <c r="AC109" s="33">
        <v>83.213988321071497</v>
      </c>
      <c r="AD109" s="33">
        <v>83.523102215634793</v>
      </c>
      <c r="AE109" s="15">
        <v>-2.8686142853194502E-3</v>
      </c>
      <c r="AF109" s="15">
        <v>1.73183670314344E-3</v>
      </c>
      <c r="AG109" s="15">
        <v>5.4396409799823001E-3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5.2984809856350144E-2</v>
      </c>
      <c r="AT109" s="12"/>
      <c r="AU109">
        <f t="shared" si="30"/>
        <v>0</v>
      </c>
      <c r="AV109">
        <f t="shared" si="31"/>
        <v>0</v>
      </c>
      <c r="AW109">
        <f t="shared" si="38"/>
        <v>1</v>
      </c>
      <c r="AX109">
        <f t="shared" si="25"/>
        <v>1</v>
      </c>
      <c r="AY109">
        <f t="shared" si="39"/>
        <v>1</v>
      </c>
      <c r="AZ109" s="28">
        <f t="shared" si="32"/>
        <v>7.2595600128041102E-3</v>
      </c>
      <c r="BA109" s="28">
        <f t="shared" si="33"/>
        <v>-4.4441848415369004E-3</v>
      </c>
      <c r="BB109" s="28">
        <f t="shared" si="40"/>
        <v>2.8153751712672098E-3</v>
      </c>
      <c r="BC109" s="29">
        <f t="shared" si="41"/>
        <v>1.8310027482609102E-2</v>
      </c>
      <c r="BE109" s="29">
        <f t="shared" si="42"/>
        <v>2.8153751712672098E-3</v>
      </c>
      <c r="BF109" s="29">
        <f t="shared" si="43"/>
        <v>7.1294837338959249E-2</v>
      </c>
      <c r="BH109" s="29"/>
    </row>
    <row r="110" spans="1:60" x14ac:dyDescent="0.25">
      <c r="A110" s="1">
        <v>46182</v>
      </c>
      <c r="B110" s="33">
        <v>72.5</v>
      </c>
      <c r="C110" s="33">
        <v>84.1</v>
      </c>
      <c r="D110" s="15">
        <v>1.5708948877652999E-2</v>
      </c>
      <c r="E110" s="15">
        <v>1.2322941127922199E-2</v>
      </c>
      <c r="F110" s="33">
        <v>0</v>
      </c>
      <c r="G110" s="33">
        <v>0.28752899999999998</v>
      </c>
      <c r="H110" s="33">
        <v>0</v>
      </c>
      <c r="I110" s="33">
        <v>0.45490000000000003</v>
      </c>
      <c r="J110" s="33">
        <v>0</v>
      </c>
      <c r="K110" s="33">
        <v>0</v>
      </c>
      <c r="L110" s="33">
        <v>72.5</v>
      </c>
      <c r="M110" s="33">
        <v>84.1</v>
      </c>
      <c r="N110" s="34">
        <v>1.1599999999999999</v>
      </c>
      <c r="O110" s="34">
        <v>1.16085801049043</v>
      </c>
      <c r="P110" s="34">
        <v>1.1653834600472901</v>
      </c>
      <c r="Q110" s="34">
        <v>1.16899984494812</v>
      </c>
      <c r="R110" s="33">
        <v>84.162205760556603</v>
      </c>
      <c r="S110" s="33">
        <v>84.534253725710002</v>
      </c>
      <c r="T110" s="33">
        <v>84.786145841487894</v>
      </c>
      <c r="U110" s="15">
        <v>7.3939079913405996E-4</v>
      </c>
      <c r="V110" s="15">
        <v>5.1502547792230602E-3</v>
      </c>
      <c r="W110" s="15">
        <v>8.1255879611310897E-3</v>
      </c>
      <c r="X110" s="34">
        <v>1.1599999999999999</v>
      </c>
      <c r="Y110" s="34">
        <v>1.16060033170917</v>
      </c>
      <c r="Z110" s="34">
        <v>1.1653834600472901</v>
      </c>
      <c r="AA110" s="34">
        <v>1.16899984494812</v>
      </c>
      <c r="AB110" s="33">
        <v>84.143524048915197</v>
      </c>
      <c r="AC110" s="33">
        <v>84.534253725710002</v>
      </c>
      <c r="AD110" s="33">
        <v>84.786145841487894</v>
      </c>
      <c r="AE110" s="15">
        <v>5.1739346441140495E-4</v>
      </c>
      <c r="AF110" s="15">
        <v>5.1502547792228398E-3</v>
      </c>
      <c r="AG110" s="15">
        <v>8.1255879611310897E-3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5.2984809856350144E-2</v>
      </c>
      <c r="AT110" s="12"/>
      <c r="AU110">
        <f t="shared" si="30"/>
        <v>1</v>
      </c>
      <c r="AV110">
        <f t="shared" si="31"/>
        <v>0</v>
      </c>
      <c r="AW110">
        <f t="shared" si="38"/>
        <v>1</v>
      </c>
      <c r="AX110">
        <f t="shared" si="25"/>
        <v>1</v>
      </c>
      <c r="AY110">
        <f t="shared" si="39"/>
        <v>1</v>
      </c>
      <c r="AZ110" s="28">
        <f t="shared" si="32"/>
        <v>-1.5708948877652999E-2</v>
      </c>
      <c r="BA110" s="28">
        <f t="shared" si="33"/>
        <v>1.2322941127922199E-2</v>
      </c>
      <c r="BB110" s="28">
        <f t="shared" si="40"/>
        <v>-3.3860077497307999E-3</v>
      </c>
      <c r="BC110" s="29">
        <f t="shared" si="41"/>
        <v>1.4924019732878302E-2</v>
      </c>
      <c r="BE110" s="29">
        <f t="shared" si="42"/>
        <v>-3.3860077497307999E-3</v>
      </c>
      <c r="BF110" s="29">
        <f t="shared" si="43"/>
        <v>6.7908829589228448E-2</v>
      </c>
      <c r="BH110" s="29"/>
    </row>
    <row r="111" spans="1:60" x14ac:dyDescent="0.25">
      <c r="A111" s="1">
        <v>46183</v>
      </c>
      <c r="B111" s="33">
        <v>73.73</v>
      </c>
      <c r="C111" s="33">
        <v>85.49</v>
      </c>
      <c r="D111" s="15">
        <v>1.68232101409302E-2</v>
      </c>
      <c r="E111" s="15">
        <v>1.6392843059239801E-2</v>
      </c>
      <c r="F111" s="33">
        <v>0</v>
      </c>
      <c r="G111" s="33">
        <v>0.28752899999999998</v>
      </c>
      <c r="H111" s="33">
        <v>0</v>
      </c>
      <c r="I111" s="33">
        <v>0.45490000000000003</v>
      </c>
      <c r="J111" s="33">
        <v>0</v>
      </c>
      <c r="K111" s="33">
        <v>0</v>
      </c>
      <c r="L111" s="33">
        <v>73.73</v>
      </c>
      <c r="M111" s="33">
        <v>85.49</v>
      </c>
      <c r="N111" s="34">
        <v>1.1595008815950001</v>
      </c>
      <c r="O111" s="34">
        <v>1.16085801049043</v>
      </c>
      <c r="P111" s="34">
        <v>1.16484821560798</v>
      </c>
      <c r="Q111" s="34">
        <v>1.1685065328445201</v>
      </c>
      <c r="R111" s="33">
        <v>85.590061113459896</v>
      </c>
      <c r="S111" s="33">
        <v>85.923722509287103</v>
      </c>
      <c r="T111" s="33">
        <v>86.190358568025204</v>
      </c>
      <c r="U111" s="15">
        <v>1.1697578808243601E-3</v>
      </c>
      <c r="V111" s="15">
        <v>5.0605450782086102E-3</v>
      </c>
      <c r="W111" s="15">
        <v>8.1589118170047898E-3</v>
      </c>
      <c r="X111" s="34">
        <v>1.1595008815950001</v>
      </c>
      <c r="Y111" s="34">
        <v>1.16060033170917</v>
      </c>
      <c r="Z111" s="34">
        <v>1.16484821560798</v>
      </c>
      <c r="AA111" s="34">
        <v>1.1685065328445201</v>
      </c>
      <c r="AB111" s="33">
        <v>85.571062456917502</v>
      </c>
      <c r="AC111" s="33">
        <v>85.923722509287103</v>
      </c>
      <c r="AD111" s="33">
        <v>86.190358568025204</v>
      </c>
      <c r="AE111" s="15">
        <v>9.4776054610144701E-4</v>
      </c>
      <c r="AF111" s="15">
        <v>5.0605450782086102E-3</v>
      </c>
      <c r="AG111" s="15">
        <v>8.1589118170047898E-3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5.2984809856350144E-2</v>
      </c>
      <c r="AT111" s="12"/>
      <c r="AU111">
        <f t="shared" si="30"/>
        <v>1</v>
      </c>
      <c r="AV111">
        <f t="shared" si="31"/>
        <v>0</v>
      </c>
      <c r="AW111">
        <f t="shared" si="38"/>
        <v>1</v>
      </c>
      <c r="AX111">
        <f t="shared" si="25"/>
        <v>1</v>
      </c>
      <c r="AY111">
        <f t="shared" si="39"/>
        <v>1</v>
      </c>
      <c r="AZ111" s="28">
        <f t="shared" si="32"/>
        <v>-1.68232101409302E-2</v>
      </c>
      <c r="BA111" s="28">
        <f t="shared" si="33"/>
        <v>1.6392843059239801E-2</v>
      </c>
      <c r="BB111" s="28">
        <f t="shared" si="40"/>
        <v>-4.3036708169039845E-4</v>
      </c>
      <c r="BC111" s="29">
        <f t="shared" si="41"/>
        <v>1.4493652651187903E-2</v>
      </c>
      <c r="BE111" s="29">
        <f t="shared" si="42"/>
        <v>-4.3036708169039845E-4</v>
      </c>
      <c r="BF111" s="29">
        <f t="shared" si="43"/>
        <v>6.7478462507538056E-2</v>
      </c>
      <c r="BH111" s="29"/>
    </row>
    <row r="112" spans="1:60" x14ac:dyDescent="0.25">
      <c r="A112" s="1">
        <v>46184</v>
      </c>
      <c r="B112" s="33">
        <v>73.37</v>
      </c>
      <c r="C112" s="33">
        <v>85.27</v>
      </c>
      <c r="D112" s="15">
        <v>-4.8946392756562601E-3</v>
      </c>
      <c r="E112" s="15">
        <v>-2.5767172841841398E-3</v>
      </c>
      <c r="F112" s="33">
        <v>0</v>
      </c>
      <c r="G112" s="33">
        <v>0.28752899999999998</v>
      </c>
      <c r="H112" s="33">
        <v>0</v>
      </c>
      <c r="I112" s="33">
        <v>0.45490000000000003</v>
      </c>
      <c r="J112" s="33">
        <v>0</v>
      </c>
      <c r="K112" s="33">
        <v>0</v>
      </c>
      <c r="L112" s="33">
        <v>73.37</v>
      </c>
      <c r="M112" s="33">
        <v>85.27</v>
      </c>
      <c r="N112" s="34">
        <v>1.16219163145699</v>
      </c>
      <c r="O112" s="34">
        <v>1.16085801049043</v>
      </c>
      <c r="P112" s="34">
        <v>1.1640959185153801</v>
      </c>
      <c r="Q112" s="34">
        <v>1.16801069106374</v>
      </c>
      <c r="R112" s="33">
        <v>85.172152229683306</v>
      </c>
      <c r="S112" s="33">
        <v>85.464913579157496</v>
      </c>
      <c r="T112" s="33">
        <v>85.733324314802402</v>
      </c>
      <c r="U112" s="15">
        <v>-1.1481641106478801E-3</v>
      </c>
      <c r="V112" s="15">
        <v>2.2832314697399602E-3</v>
      </c>
      <c r="W112" s="15">
        <v>5.4189057485738703E-3</v>
      </c>
      <c r="X112" s="34">
        <v>1.16219163145699</v>
      </c>
      <c r="Y112" s="34">
        <v>1.16060033170917</v>
      </c>
      <c r="Z112" s="34">
        <v>1.1640959185153801</v>
      </c>
      <c r="AA112" s="34">
        <v>1.16801069106374</v>
      </c>
      <c r="AB112" s="33">
        <v>85.153246337502196</v>
      </c>
      <c r="AC112" s="33">
        <v>85.464913579157496</v>
      </c>
      <c r="AD112" s="33">
        <v>85.733324314802402</v>
      </c>
      <c r="AE112" s="15">
        <v>-1.37016144537066E-3</v>
      </c>
      <c r="AF112" s="15">
        <v>2.2832314697399602E-3</v>
      </c>
      <c r="AG112" s="15">
        <v>5.4189057485738703E-3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5.2984809856350144E-2</v>
      </c>
      <c r="AT112" s="12"/>
      <c r="AU112">
        <f t="shared" si="30"/>
        <v>0</v>
      </c>
      <c r="AV112">
        <f t="shared" si="31"/>
        <v>0</v>
      </c>
      <c r="AW112">
        <f t="shared" si="38"/>
        <v>1</v>
      </c>
      <c r="AX112">
        <f t="shared" si="25"/>
        <v>1</v>
      </c>
      <c r="AY112">
        <f t="shared" si="39"/>
        <v>1</v>
      </c>
      <c r="AZ112" s="28">
        <f t="shared" si="32"/>
        <v>4.8946392756562601E-3</v>
      </c>
      <c r="BA112" s="28">
        <f t="shared" si="33"/>
        <v>-2.5767172841841398E-3</v>
      </c>
      <c r="BB112" s="28">
        <f t="shared" si="40"/>
        <v>2.3179219914721202E-3</v>
      </c>
      <c r="BC112" s="29">
        <f t="shared" si="41"/>
        <v>1.6811574642660025E-2</v>
      </c>
      <c r="BE112" s="29">
        <f t="shared" si="42"/>
        <v>2.3179219914721202E-3</v>
      </c>
      <c r="BF112" s="29">
        <f t="shared" si="43"/>
        <v>6.9796384499010183E-2</v>
      </c>
      <c r="BH112" s="29"/>
    </row>
    <row r="113" spans="1:60" x14ac:dyDescent="0.25">
      <c r="A113" s="1">
        <v>46185</v>
      </c>
      <c r="B113" s="33">
        <v>73.88</v>
      </c>
      <c r="C113" s="33">
        <v>85.82</v>
      </c>
      <c r="D113" s="15">
        <v>6.9270226051362602E-3</v>
      </c>
      <c r="E113" s="15">
        <v>6.4293868094204296E-3</v>
      </c>
      <c r="F113" s="33">
        <v>0</v>
      </c>
      <c r="G113" s="33">
        <v>0.28752899999999998</v>
      </c>
      <c r="H113" s="33">
        <v>0</v>
      </c>
      <c r="I113" s="33">
        <v>0.45490000000000003</v>
      </c>
      <c r="J113" s="33">
        <v>0</v>
      </c>
      <c r="K113" s="33">
        <v>0</v>
      </c>
      <c r="L113" s="33">
        <v>73.88</v>
      </c>
      <c r="M113" s="33">
        <v>85.82</v>
      </c>
      <c r="N113" s="34">
        <v>1.1616134271792</v>
      </c>
      <c r="O113" s="34">
        <v>1.16085801049043</v>
      </c>
      <c r="P113" s="34">
        <v>1.1636632519519099</v>
      </c>
      <c r="Q113" s="34">
        <v>1.1674763810459601</v>
      </c>
      <c r="R113" s="33">
        <v>85.764189815033404</v>
      </c>
      <c r="S113" s="33">
        <v>86.003406459916803</v>
      </c>
      <c r="T113" s="33">
        <v>86.2926298557895</v>
      </c>
      <c r="U113" s="15">
        <v>-6.5052831493209802E-4</v>
      </c>
      <c r="V113" s="15">
        <v>2.1348259047066498E-3</v>
      </c>
      <c r="W113" s="15">
        <v>5.4921134398062304E-3</v>
      </c>
      <c r="X113" s="34">
        <v>1.1616134271792</v>
      </c>
      <c r="Y113" s="34">
        <v>1.16060033170917</v>
      </c>
      <c r="Z113" s="34">
        <v>1.1636632519519099</v>
      </c>
      <c r="AA113" s="34">
        <v>1.1674763810459601</v>
      </c>
      <c r="AB113" s="33">
        <v>85.745152506673904</v>
      </c>
      <c r="AC113" s="33">
        <v>86.003406459916803</v>
      </c>
      <c r="AD113" s="33">
        <v>86.2926298557895</v>
      </c>
      <c r="AE113" s="15">
        <v>-8.7252564965493095E-4</v>
      </c>
      <c r="AF113" s="15">
        <v>2.1348259047066498E-3</v>
      </c>
      <c r="AG113" s="15">
        <v>5.4921134398062304E-3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0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5.2984809856350144E-2</v>
      </c>
      <c r="AT113" s="12"/>
      <c r="AU113">
        <f t="shared" si="30"/>
        <v>0</v>
      </c>
      <c r="AV113">
        <f t="shared" si="31"/>
        <v>0</v>
      </c>
      <c r="AW113">
        <f t="shared" si="38"/>
        <v>1</v>
      </c>
      <c r="AX113">
        <f t="shared" si="25"/>
        <v>0</v>
      </c>
      <c r="AY113">
        <f t="shared" si="39"/>
        <v>1</v>
      </c>
      <c r="AZ113" s="28">
        <f t="shared" si="32"/>
        <v>-6.9270226051362602E-3</v>
      </c>
      <c r="BA113" s="28">
        <f t="shared" si="33"/>
        <v>6.4293868094204296E-3</v>
      </c>
      <c r="BB113" s="28">
        <f t="shared" si="40"/>
        <v>-4.9763579571583064E-4</v>
      </c>
      <c r="BC113" s="29">
        <f t="shared" si="41"/>
        <v>1.6313938846944195E-2</v>
      </c>
      <c r="BE113" s="29">
        <f t="shared" si="42"/>
        <v>-4.9763579571583064E-4</v>
      </c>
      <c r="BF113" s="29">
        <f t="shared" si="43"/>
        <v>6.9298748703294347E-2</v>
      </c>
      <c r="BH113" s="29"/>
    </row>
    <row r="114" spans="1:60" x14ac:dyDescent="0.25">
      <c r="A114" s="1">
        <v>46188</v>
      </c>
      <c r="B114" s="33">
        <v>73.16</v>
      </c>
      <c r="C114" s="33">
        <v>85.48</v>
      </c>
      <c r="D114" s="15">
        <v>-9.7933318083741998E-3</v>
      </c>
      <c r="E114" s="15">
        <v>-3.9696491124316096E-3</v>
      </c>
      <c r="F114" s="33">
        <v>0.40746500000000002</v>
      </c>
      <c r="G114" s="33">
        <v>0.694994</v>
      </c>
      <c r="H114" s="33">
        <v>0</v>
      </c>
      <c r="I114" s="33">
        <v>0.45490000000000003</v>
      </c>
      <c r="J114" s="33">
        <v>0.40746500000000002</v>
      </c>
      <c r="K114" s="33">
        <v>0</v>
      </c>
      <c r="L114" s="33">
        <v>73.567464999999999</v>
      </c>
      <c r="M114" s="33">
        <v>85.48</v>
      </c>
      <c r="N114" s="34">
        <v>1.1683980317113101</v>
      </c>
      <c r="O114" s="34">
        <v>1.16085801049043</v>
      </c>
      <c r="P114" s="34">
        <v>1.1636678464633099</v>
      </c>
      <c r="Q114" s="34">
        <v>1.16730566931296</v>
      </c>
      <c r="R114" s="33">
        <v>84.928372047480295</v>
      </c>
      <c r="S114" s="33">
        <v>85.133603512801898</v>
      </c>
      <c r="T114" s="33">
        <v>85.412572037322704</v>
      </c>
      <c r="U114" s="15">
        <v>-6.4742110108746897E-3</v>
      </c>
      <c r="V114" s="15">
        <v>-4.0606019218714998E-3</v>
      </c>
      <c r="W114" s="15">
        <v>-7.8912693948520103E-4</v>
      </c>
      <c r="X114" s="34">
        <v>1.1619266750594099</v>
      </c>
      <c r="Y114" s="34">
        <v>1.16060033170917</v>
      </c>
      <c r="Z114" s="34">
        <v>1.1630207107981101</v>
      </c>
      <c r="AA114" s="34">
        <v>1.1669821014803701</v>
      </c>
      <c r="AB114" s="33">
        <v>85.3824242820032</v>
      </c>
      <c r="AC114" s="33">
        <v>85.607755559758502</v>
      </c>
      <c r="AD114" s="33">
        <v>85.888277800925593</v>
      </c>
      <c r="AE114" s="15">
        <v>-1.1421554974918699E-3</v>
      </c>
      <c r="AF114" s="15">
        <v>1.49345092623408E-3</v>
      </c>
      <c r="AG114" s="15">
        <v>4.7649259086201996E-3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5.2984809856350144E-2</v>
      </c>
      <c r="AT114" s="12"/>
      <c r="AU114">
        <f t="shared" si="30"/>
        <v>0</v>
      </c>
      <c r="AV114">
        <f t="shared" si="31"/>
        <v>0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1.6313938846944195E-2</v>
      </c>
      <c r="BE114" s="29">
        <f t="shared" si="42"/>
        <v>0</v>
      </c>
      <c r="BF114" s="29">
        <f t="shared" si="43"/>
        <v>6.9298748703294347E-2</v>
      </c>
      <c r="BH114" s="29"/>
    </row>
    <row r="115" spans="1:60" x14ac:dyDescent="0.25">
      <c r="A115" s="1">
        <v>46189</v>
      </c>
      <c r="B115" s="33">
        <v>73.34</v>
      </c>
      <c r="C115" s="33">
        <v>85.59</v>
      </c>
      <c r="D115" s="15">
        <v>2.4573391205151298E-3</v>
      </c>
      <c r="E115" s="15">
        <v>1.28602344257145E-3</v>
      </c>
      <c r="F115" s="33">
        <v>0</v>
      </c>
      <c r="G115" s="33">
        <v>0.694994</v>
      </c>
      <c r="H115" s="33">
        <v>0</v>
      </c>
      <c r="I115" s="33">
        <v>0.45490000000000003</v>
      </c>
      <c r="J115" s="33">
        <v>0.40746500000000002</v>
      </c>
      <c r="K115" s="33">
        <v>0</v>
      </c>
      <c r="L115" s="33">
        <v>73.747465000000005</v>
      </c>
      <c r="M115" s="33">
        <v>85.59</v>
      </c>
      <c r="N115" s="34">
        <v>1.16703026997545</v>
      </c>
      <c r="O115" s="34">
        <v>1.16085801049043</v>
      </c>
      <c r="P115" s="34">
        <v>1.1638371223927799</v>
      </c>
      <c r="Q115" s="34">
        <v>1.16672469104444</v>
      </c>
      <c r="R115" s="33">
        <v>85.137326489368604</v>
      </c>
      <c r="S115" s="33">
        <v>85.343399859619097</v>
      </c>
      <c r="T115" s="33">
        <v>85.610197787412801</v>
      </c>
      <c r="U115" s="15">
        <v>-5.3028953329310501E-3</v>
      </c>
      <c r="V115" s="15">
        <v>-2.88533793472537E-3</v>
      </c>
      <c r="W115" s="15">
        <v>2.3595518892626001E-4</v>
      </c>
      <c r="X115" s="34">
        <v>1.1605822654378599</v>
      </c>
      <c r="Y115" s="34">
        <v>1.16060033170917</v>
      </c>
      <c r="Z115" s="34">
        <v>1.1625451862738301</v>
      </c>
      <c r="AA115" s="34">
        <v>1.1660787229849701</v>
      </c>
      <c r="AB115" s="33">
        <v>85.591332341710796</v>
      </c>
      <c r="AC115" s="33">
        <v>85.769829163859399</v>
      </c>
      <c r="AD115" s="33">
        <v>86.061971684550002</v>
      </c>
      <c r="AE115" s="15">
        <v>1.5566436978450999E-5</v>
      </c>
      <c r="AF115" s="15">
        <v>2.0988493131877798E-3</v>
      </c>
      <c r="AG115" s="15">
        <v>5.4991838349016404E-3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5.2984809856350144E-2</v>
      </c>
      <c r="AT115" s="12"/>
      <c r="AU115">
        <f t="shared" si="30"/>
        <v>0</v>
      </c>
      <c r="AV115">
        <f t="shared" si="31"/>
        <v>0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1.6313938846944195E-2</v>
      </c>
      <c r="BE115" s="29">
        <f t="shared" si="42"/>
        <v>0</v>
      </c>
      <c r="BF115" s="29">
        <f t="shared" si="43"/>
        <v>6.9298748703294347E-2</v>
      </c>
      <c r="BH115" s="29"/>
    </row>
    <row r="116" spans="1:60" x14ac:dyDescent="0.25">
      <c r="A116" s="1">
        <v>46190</v>
      </c>
      <c r="B116" s="33">
        <v>72.069999999999993</v>
      </c>
      <c r="C116" s="33">
        <v>83.68</v>
      </c>
      <c r="D116" s="15">
        <v>-1.7468293706830298E-2</v>
      </c>
      <c r="E116" s="15">
        <v>-2.2568453576905401E-2</v>
      </c>
      <c r="F116" s="33">
        <v>0</v>
      </c>
      <c r="G116" s="33">
        <v>0.694994</v>
      </c>
      <c r="H116" s="33">
        <v>0</v>
      </c>
      <c r="I116" s="33">
        <v>0.45490000000000003</v>
      </c>
      <c r="J116" s="33">
        <v>0.40746500000000002</v>
      </c>
      <c r="K116" s="33">
        <v>0</v>
      </c>
      <c r="L116" s="33">
        <v>72.477464999999995</v>
      </c>
      <c r="M116" s="33">
        <v>83.68</v>
      </c>
      <c r="N116" s="34">
        <v>1.16109338143471</v>
      </c>
      <c r="O116" s="34">
        <v>1.16085801049043</v>
      </c>
      <c r="P116" s="34">
        <v>1.1632253353764299</v>
      </c>
      <c r="Q116" s="34">
        <v>1.1655702817117799</v>
      </c>
      <c r="R116" s="33">
        <v>83.663036816045704</v>
      </c>
      <c r="S116" s="33">
        <v>83.877741410847904</v>
      </c>
      <c r="T116" s="33">
        <v>84.0858484835734</v>
      </c>
      <c r="U116" s="15">
        <v>-2.02735462856065E-4</v>
      </c>
      <c r="V116" s="15">
        <v>2.36027892215528E-3</v>
      </c>
      <c r="W116" s="15">
        <v>4.8382823911985104E-3</v>
      </c>
      <c r="X116" s="34">
        <v>1.15456576744233</v>
      </c>
      <c r="Y116" s="34">
        <v>1.16060033170917</v>
      </c>
      <c r="Z116" s="34">
        <v>1.1612806378582401</v>
      </c>
      <c r="AA116" s="34">
        <v>1.1645979329526801</v>
      </c>
      <c r="AB116" s="33">
        <v>84.117369920440197</v>
      </c>
      <c r="AC116" s="33">
        <v>84.258328049080305</v>
      </c>
      <c r="AD116" s="33">
        <v>84.514429832388103</v>
      </c>
      <c r="AE116" s="15">
        <v>5.2130842235871304E-3</v>
      </c>
      <c r="AF116" s="15">
        <v>6.8874132778377504E-3</v>
      </c>
      <c r="AG116" s="15">
        <v>9.9222867146461207E-3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5.2984809856350144E-2</v>
      </c>
      <c r="AT116" s="12"/>
      <c r="AU116">
        <f t="shared" si="30"/>
        <v>1</v>
      </c>
      <c r="AV116">
        <f t="shared" si="31"/>
        <v>0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1.6313938846944195E-2</v>
      </c>
      <c r="BE116" s="29">
        <f t="shared" si="42"/>
        <v>0</v>
      </c>
      <c r="BF116" s="29">
        <f t="shared" si="43"/>
        <v>6.9298748703294347E-2</v>
      </c>
      <c r="BH116" s="29"/>
    </row>
    <row r="117" spans="1:60" x14ac:dyDescent="0.25">
      <c r="A117" s="1">
        <v>46191</v>
      </c>
      <c r="B117" s="33">
        <v>71.569999999999993</v>
      </c>
      <c r="C117" s="33">
        <v>83.3</v>
      </c>
      <c r="D117" s="15">
        <v>-6.9618771858435697E-3</v>
      </c>
      <c r="E117" s="15">
        <v>-4.5514511438158297E-3</v>
      </c>
      <c r="F117" s="33">
        <v>0</v>
      </c>
      <c r="G117" s="33">
        <v>0.694994</v>
      </c>
      <c r="H117" s="33">
        <v>0</v>
      </c>
      <c r="I117" s="33">
        <v>0.45490000000000003</v>
      </c>
      <c r="J117" s="33">
        <v>0.40746500000000002</v>
      </c>
      <c r="K117" s="33">
        <v>0</v>
      </c>
      <c r="L117" s="33">
        <v>71.977464999999995</v>
      </c>
      <c r="M117" s="33">
        <v>83.3</v>
      </c>
      <c r="N117" s="34">
        <v>1.16389548693586</v>
      </c>
      <c r="O117" s="34">
        <v>1.16085801049043</v>
      </c>
      <c r="P117" s="34">
        <v>1.1628319659205499</v>
      </c>
      <c r="Q117" s="34">
        <v>1.16474504225595</v>
      </c>
      <c r="R117" s="33">
        <v>83.082607810800496</v>
      </c>
      <c r="S117" s="33">
        <v>83.252037252891199</v>
      </c>
      <c r="T117" s="33">
        <v>83.419865062112294</v>
      </c>
      <c r="U117" s="15">
        <v>-2.61316150488357E-3</v>
      </c>
      <c r="V117" s="15">
        <v>-5.7594910546542098E-4</v>
      </c>
      <c r="W117" s="15">
        <v>1.4379220223171799E-3</v>
      </c>
      <c r="X117" s="34">
        <v>1.1573066653569899</v>
      </c>
      <c r="Y117" s="34">
        <v>1.16060033170917</v>
      </c>
      <c r="Z117" s="34">
        <v>1.16022838624447</v>
      </c>
      <c r="AA117" s="34">
        <v>1.1634432524179099</v>
      </c>
      <c r="AB117" s="33">
        <v>83.537069754585602</v>
      </c>
      <c r="AC117" s="33">
        <v>83.586036466619404</v>
      </c>
      <c r="AD117" s="33">
        <v>83.824806958174506</v>
      </c>
      <c r="AE117" s="15">
        <v>2.84193332445629E-3</v>
      </c>
      <c r="AF117" s="15">
        <v>3.4279290558935399E-3</v>
      </c>
      <c r="AG117" s="15">
        <v>6.2804402621352501E-3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0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5.2984809856350144E-2</v>
      </c>
      <c r="AT117" s="12"/>
      <c r="AU117">
        <f t="shared" si="30"/>
        <v>0</v>
      </c>
      <c r="AV117">
        <f t="shared" si="31"/>
        <v>0</v>
      </c>
      <c r="AW117">
        <f t="shared" si="38"/>
        <v>1</v>
      </c>
      <c r="AX117">
        <f t="shared" si="25"/>
        <v>0</v>
      </c>
      <c r="AY117">
        <f t="shared" si="39"/>
        <v>1</v>
      </c>
      <c r="AZ117" s="28">
        <f t="shared" si="32"/>
        <v>6.9618771858435697E-3</v>
      </c>
      <c r="BA117" s="28">
        <f t="shared" si="33"/>
        <v>-4.5514511438158297E-3</v>
      </c>
      <c r="BB117" s="28">
        <f t="shared" si="40"/>
        <v>2.41042604202774E-3</v>
      </c>
      <c r="BC117" s="29">
        <f t="shared" si="41"/>
        <v>1.8724364888971935E-2</v>
      </c>
      <c r="BE117" s="29">
        <f t="shared" si="42"/>
        <v>2.41042604202774E-3</v>
      </c>
      <c r="BF117" s="29">
        <f t="shared" si="43"/>
        <v>7.1709174745322082E-2</v>
      </c>
      <c r="BH117" s="29"/>
    </row>
    <row r="118" spans="1:60" x14ac:dyDescent="0.25">
      <c r="A118" s="1">
        <v>46195</v>
      </c>
      <c r="B118" s="33">
        <v>71.08</v>
      </c>
      <c r="C118" s="33">
        <v>82.18</v>
      </c>
      <c r="D118" s="15">
        <v>-6.8699884640554699E-3</v>
      </c>
      <c r="E118" s="15">
        <v>-1.3536585717533099E-2</v>
      </c>
      <c r="F118" s="33">
        <v>0</v>
      </c>
      <c r="G118" s="33">
        <v>0.694994</v>
      </c>
      <c r="H118" s="33">
        <v>0.57418999999999998</v>
      </c>
      <c r="I118" s="33">
        <v>1.0290900000000001</v>
      </c>
      <c r="J118" s="33">
        <v>0</v>
      </c>
      <c r="K118" s="33">
        <v>0</v>
      </c>
      <c r="L118" s="33">
        <v>71.08</v>
      </c>
      <c r="M118" s="33">
        <v>82.18</v>
      </c>
      <c r="N118" s="34">
        <v>1.1561620709060201</v>
      </c>
      <c r="O118" s="34">
        <v>1.16085801049043</v>
      </c>
      <c r="P118" s="34">
        <v>1.16238196074241</v>
      </c>
      <c r="Q118" s="34">
        <v>1.1641669389047</v>
      </c>
      <c r="R118" s="33">
        <v>82.513787385660194</v>
      </c>
      <c r="S118" s="33">
        <v>82.654096137632806</v>
      </c>
      <c r="T118" s="33">
        <v>82.7900776035532</v>
      </c>
      <c r="U118" s="15">
        <v>4.0534357485939899E-3</v>
      </c>
      <c r="V118" s="15">
        <v>5.7524196276655896E-3</v>
      </c>
      <c r="W118" s="15">
        <v>7.3962550491994301E-3</v>
      </c>
      <c r="X118" s="34">
        <v>1.1561620709060201</v>
      </c>
      <c r="Y118" s="34">
        <v>1.16060033170917</v>
      </c>
      <c r="Z118" s="34">
        <v>1.15977838106633</v>
      </c>
      <c r="AA118" s="34">
        <v>1.1628651490666599</v>
      </c>
      <c r="AB118" s="33">
        <v>82.495471577888196</v>
      </c>
      <c r="AC118" s="33">
        <v>82.469033694257504</v>
      </c>
      <c r="AD118" s="33">
        <v>82.697546381865493</v>
      </c>
      <c r="AE118" s="15">
        <v>3.83143841387132E-3</v>
      </c>
      <c r="AF118" s="15">
        <v>3.51091026372828E-3</v>
      </c>
      <c r="AG118" s="15">
        <v>6.2779692329883703E-3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5.2984809856350144E-2</v>
      </c>
      <c r="AT118" s="12"/>
      <c r="AU118">
        <f t="shared" si="30"/>
        <v>0</v>
      </c>
      <c r="AV118">
        <f t="shared" si="31"/>
        <v>0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1.8724364888971935E-2</v>
      </c>
      <c r="BE118" s="29">
        <f t="shared" si="42"/>
        <v>0</v>
      </c>
      <c r="BF118" s="29">
        <f t="shared" si="43"/>
        <v>7.1709174745322082E-2</v>
      </c>
      <c r="BH118" s="29"/>
    </row>
    <row r="119" spans="1:60" x14ac:dyDescent="0.25">
      <c r="A119" s="1">
        <v>46196</v>
      </c>
      <c r="B119" s="33">
        <v>72.42</v>
      </c>
      <c r="C119" s="33">
        <v>83.72</v>
      </c>
      <c r="D119" s="15">
        <v>1.8676501051044399E-2</v>
      </c>
      <c r="E119" s="15">
        <v>1.8565934122535099E-2</v>
      </c>
      <c r="F119" s="33">
        <v>0</v>
      </c>
      <c r="G119" s="33">
        <v>0.694994</v>
      </c>
      <c r="H119" s="33">
        <v>0</v>
      </c>
      <c r="I119" s="33">
        <v>1.0290900000000001</v>
      </c>
      <c r="J119" s="33">
        <v>0</v>
      </c>
      <c r="K119" s="33">
        <v>0</v>
      </c>
      <c r="L119" s="33">
        <v>72.42</v>
      </c>
      <c r="M119" s="33">
        <v>83.72</v>
      </c>
      <c r="N119" s="34">
        <v>1.1560342446837799</v>
      </c>
      <c r="O119" s="34">
        <v>1.16085801049043</v>
      </c>
      <c r="P119" s="34">
        <v>1.1615919425878301</v>
      </c>
      <c r="Q119" s="34">
        <v>1.16379082457467</v>
      </c>
      <c r="R119" s="33">
        <v>84.069337119717403</v>
      </c>
      <c r="S119" s="33">
        <v>84.179701596965302</v>
      </c>
      <c r="T119" s="33">
        <v>84.308969715478597</v>
      </c>
      <c r="U119" s="15">
        <v>4.1640026771035902E-3</v>
      </c>
      <c r="V119" s="15">
        <v>5.4759209373086296E-3</v>
      </c>
      <c r="W119" s="15">
        <v>7.0103640885305404E-3</v>
      </c>
      <c r="X119" s="34">
        <v>1.1560342446837799</v>
      </c>
      <c r="Y119" s="34">
        <v>1.16060033170917</v>
      </c>
      <c r="Z119" s="34">
        <v>1.1589883629117601</v>
      </c>
      <c r="AA119" s="34">
        <v>1.1624890347366399</v>
      </c>
      <c r="AB119" s="33">
        <v>84.050676022378497</v>
      </c>
      <c r="AC119" s="33">
        <v>83.991150356824093</v>
      </c>
      <c r="AD119" s="33">
        <v>84.214694095407907</v>
      </c>
      <c r="AE119" s="15">
        <v>3.9420053423806396E-3</v>
      </c>
      <c r="AF119" s="15">
        <v>3.2335428205573398E-3</v>
      </c>
      <c r="AG119" s="15">
        <v>5.8915226418956102E-3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5.2984809856350144E-2</v>
      </c>
      <c r="AT119" s="12"/>
      <c r="AU119">
        <f t="shared" si="30"/>
        <v>0</v>
      </c>
      <c r="AV119">
        <f t="shared" si="31"/>
        <v>0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1.8724364888971935E-2</v>
      </c>
      <c r="BE119" s="29">
        <f t="shared" si="42"/>
        <v>0</v>
      </c>
      <c r="BF119" s="29">
        <f t="shared" si="43"/>
        <v>7.1709174745322082E-2</v>
      </c>
      <c r="BH119" s="29"/>
    </row>
    <row r="120" spans="1:60" x14ac:dyDescent="0.25">
      <c r="A120" s="1">
        <v>46197</v>
      </c>
      <c r="B120" s="33">
        <v>72.900000000000006</v>
      </c>
      <c r="C120" s="33">
        <v>84.44</v>
      </c>
      <c r="D120" s="15">
        <v>6.6061346771174902E-3</v>
      </c>
      <c r="E120" s="15">
        <v>8.5633254023208E-3</v>
      </c>
      <c r="F120" s="33">
        <v>0</v>
      </c>
      <c r="G120" s="33">
        <v>0.694994</v>
      </c>
      <c r="H120" s="33">
        <v>0</v>
      </c>
      <c r="I120" s="33">
        <v>1.0290900000000001</v>
      </c>
      <c r="J120" s="33">
        <v>0</v>
      </c>
      <c r="K120" s="33">
        <v>0</v>
      </c>
      <c r="L120" s="33">
        <v>72.900000000000006</v>
      </c>
      <c r="M120" s="33">
        <v>84.44</v>
      </c>
      <c r="N120" s="34">
        <v>1.15829903978052</v>
      </c>
      <c r="O120" s="34">
        <v>1.16085801049043</v>
      </c>
      <c r="P120" s="34">
        <v>1.1614218465658901</v>
      </c>
      <c r="Q120" s="34">
        <v>1.16340265330659</v>
      </c>
      <c r="R120" s="33">
        <v>84.6265489647528</v>
      </c>
      <c r="S120" s="33">
        <v>84.680052614653405</v>
      </c>
      <c r="T120" s="33">
        <v>84.840351111494002</v>
      </c>
      <c r="U120" s="15">
        <v>2.20681195189988E-3</v>
      </c>
      <c r="V120" s="15">
        <v>2.8388446214180898E-3</v>
      </c>
      <c r="W120" s="15">
        <v>4.7300452214006396E-3</v>
      </c>
      <c r="X120" s="34">
        <v>1.15829903978052</v>
      </c>
      <c r="Y120" s="34">
        <v>1.16060033170917</v>
      </c>
      <c r="Z120" s="34">
        <v>1.1588182668898099</v>
      </c>
      <c r="AA120" s="34">
        <v>1.1621008634685499</v>
      </c>
      <c r="AB120" s="33">
        <v>84.607764181598895</v>
      </c>
      <c r="AC120" s="33">
        <v>84.490251656267603</v>
      </c>
      <c r="AD120" s="33">
        <v>84.7454506323011</v>
      </c>
      <c r="AE120" s="15">
        <v>1.9848146171771099E-3</v>
      </c>
      <c r="AF120" s="15">
        <v>5.9493971336929403E-4</v>
      </c>
      <c r="AG120" s="15">
        <v>3.6108419847708101E-3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5.2984809856350144E-2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1.8724364888971935E-2</v>
      </c>
      <c r="BE120" s="29">
        <f t="shared" si="42"/>
        <v>0</v>
      </c>
      <c r="BF120" s="29">
        <f t="shared" si="43"/>
        <v>7.1709174745322082E-2</v>
      </c>
      <c r="BH120" s="29"/>
    </row>
    <row r="121" spans="1:60" x14ac:dyDescent="0.25">
      <c r="A121" s="1">
        <v>46198</v>
      </c>
      <c r="B121" s="33">
        <v>72.900000000000006</v>
      </c>
      <c r="C121" s="33">
        <v>83.94</v>
      </c>
      <c r="D121" s="15">
        <v>0</v>
      </c>
      <c r="E121" s="15">
        <v>-5.9389650746751003E-3</v>
      </c>
      <c r="F121" s="33">
        <v>0</v>
      </c>
      <c r="G121" s="33">
        <v>0.694994</v>
      </c>
      <c r="H121" s="33">
        <v>0</v>
      </c>
      <c r="I121" s="33">
        <v>1.0290900000000001</v>
      </c>
      <c r="J121" s="33">
        <v>0</v>
      </c>
      <c r="K121" s="33">
        <v>0</v>
      </c>
      <c r="L121" s="33">
        <v>72.900000000000006</v>
      </c>
      <c r="M121" s="33">
        <v>83.94</v>
      </c>
      <c r="N121" s="34">
        <v>1.1514403292180999</v>
      </c>
      <c r="O121" s="34">
        <v>1.16085801049043</v>
      </c>
      <c r="P121" s="34">
        <v>1.1606157913282</v>
      </c>
      <c r="Q121" s="34">
        <v>1.1627320034680899</v>
      </c>
      <c r="R121" s="33">
        <v>84.6265489647528</v>
      </c>
      <c r="S121" s="33">
        <v>84.667652614653406</v>
      </c>
      <c r="T121" s="33">
        <v>84.812053426050596</v>
      </c>
      <c r="U121" s="15">
        <v>8.1457770265749904E-3</v>
      </c>
      <c r="V121" s="15">
        <v>8.6313654321406603E-3</v>
      </c>
      <c r="W121" s="15">
        <v>1.0335414249701001E-2</v>
      </c>
      <c r="X121" s="34">
        <v>1.1514403292180999</v>
      </c>
      <c r="Y121" s="34">
        <v>1.16060033170917</v>
      </c>
      <c r="Z121" s="34">
        <v>1.1580122116521201</v>
      </c>
      <c r="AA121" s="34">
        <v>1.1614302136300501</v>
      </c>
      <c r="AB121" s="33">
        <v>84.607764181598895</v>
      </c>
      <c r="AC121" s="33">
        <v>84.477851656267603</v>
      </c>
      <c r="AD121" s="33">
        <v>84.717152946857695</v>
      </c>
      <c r="AE121" s="15">
        <v>7.9237796918521404E-3</v>
      </c>
      <c r="AF121" s="15">
        <v>6.3871315239880204E-3</v>
      </c>
      <c r="AG121" s="15">
        <v>9.2158373798974895E-3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5.2984809856350144E-2</v>
      </c>
      <c r="AT121" s="12"/>
      <c r="AU121">
        <f t="shared" si="30"/>
        <v>1</v>
      </c>
      <c r="AV121">
        <f t="shared" si="31"/>
        <v>0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1.8724364888971935E-2</v>
      </c>
      <c r="BE121" s="29">
        <f t="shared" si="42"/>
        <v>0</v>
      </c>
      <c r="BF121" s="29">
        <f t="shared" si="43"/>
        <v>7.1709174745322082E-2</v>
      </c>
      <c r="BH121" s="29"/>
    </row>
    <row r="122" spans="1:60" x14ac:dyDescent="0.25">
      <c r="A122" s="1">
        <v>46199</v>
      </c>
      <c r="B122" s="33">
        <v>73.650000000000006</v>
      </c>
      <c r="C122" s="33">
        <v>84.71</v>
      </c>
      <c r="D122" s="15">
        <v>1.02355038940267E-2</v>
      </c>
      <c r="E122" s="15">
        <v>9.1314005380146394E-3</v>
      </c>
      <c r="F122" s="33">
        <v>0</v>
      </c>
      <c r="G122" s="33">
        <v>0.694994</v>
      </c>
      <c r="H122" s="33">
        <v>0</v>
      </c>
      <c r="I122" s="33">
        <v>1.0290900000000001</v>
      </c>
      <c r="J122" s="33">
        <v>0</v>
      </c>
      <c r="K122" s="33">
        <v>0</v>
      </c>
      <c r="L122" s="33">
        <v>73.650000000000006</v>
      </c>
      <c r="M122" s="33">
        <v>84.71</v>
      </c>
      <c r="N122" s="34">
        <v>1.1501697216564799</v>
      </c>
      <c r="O122" s="34">
        <v>1.16085801049043</v>
      </c>
      <c r="P122" s="34">
        <v>1.1594136003481399</v>
      </c>
      <c r="Q122" s="34">
        <v>1.1617547594317601</v>
      </c>
      <c r="R122" s="33">
        <v>85.497192472620696</v>
      </c>
      <c r="S122" s="33">
        <v>85.479353031321907</v>
      </c>
      <c r="T122" s="33">
        <v>85.635212055424802</v>
      </c>
      <c r="U122" s="15">
        <v>9.2498803825871393E-3</v>
      </c>
      <c r="V122" s="15">
        <v>9.0412033232760997E-3</v>
      </c>
      <c r="W122" s="15">
        <v>1.0862895908313699E-2</v>
      </c>
      <c r="X122" s="34">
        <v>1.1501697216564799</v>
      </c>
      <c r="Y122" s="34">
        <v>1.16060033170917</v>
      </c>
      <c r="Z122" s="34">
        <v>1.1568100206720699</v>
      </c>
      <c r="AA122" s="34">
        <v>1.16045296959373</v>
      </c>
      <c r="AB122" s="33">
        <v>85.478214430380802</v>
      </c>
      <c r="AC122" s="33">
        <v>85.287599388179103</v>
      </c>
      <c r="AD122" s="33">
        <v>85.539335233853393</v>
      </c>
      <c r="AE122" s="15">
        <v>9.0278830478642998E-3</v>
      </c>
      <c r="AF122" s="15">
        <v>6.79540902853824E-3</v>
      </c>
      <c r="AG122" s="15">
        <v>9.7426729182017099E-3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5.2984809856350144E-2</v>
      </c>
      <c r="AT122" s="12"/>
      <c r="AU122">
        <f t="shared" si="30"/>
        <v>1</v>
      </c>
      <c r="AV122">
        <f t="shared" si="31"/>
        <v>0</v>
      </c>
      <c r="AW122">
        <f t="shared" si="38"/>
        <v>1</v>
      </c>
      <c r="AX122">
        <f t="shared" si="25"/>
        <v>1</v>
      </c>
      <c r="AY122">
        <f t="shared" si="39"/>
        <v>1</v>
      </c>
      <c r="AZ122" s="28">
        <f t="shared" si="32"/>
        <v>-1.02355038940267E-2</v>
      </c>
      <c r="BA122" s="28">
        <f t="shared" si="33"/>
        <v>9.1314005380146394E-3</v>
      </c>
      <c r="BB122" s="28">
        <f t="shared" si="40"/>
        <v>-1.1041033560120605E-3</v>
      </c>
      <c r="BC122" s="29">
        <f t="shared" si="41"/>
        <v>1.7620261532959876E-2</v>
      </c>
      <c r="BE122" s="29">
        <f t="shared" si="42"/>
        <v>-1.1041033560120605E-3</v>
      </c>
      <c r="BF122" s="29">
        <f t="shared" si="43"/>
        <v>7.060507138931002E-2</v>
      </c>
      <c r="BH122" s="29"/>
    </row>
    <row r="123" spans="1:60" x14ac:dyDescent="0.25">
      <c r="A123" s="1">
        <v>46202</v>
      </c>
      <c r="B123" s="33">
        <v>73.52</v>
      </c>
      <c r="C123" s="33">
        <v>84.37</v>
      </c>
      <c r="D123" s="15">
        <v>-1.7666648612077601E-3</v>
      </c>
      <c r="E123" s="15">
        <v>-4.0217702659240302E-3</v>
      </c>
      <c r="F123" s="33">
        <v>0</v>
      </c>
      <c r="G123" s="33">
        <v>0.694994</v>
      </c>
      <c r="H123" s="33">
        <v>0</v>
      </c>
      <c r="I123" s="33">
        <v>1.0290900000000001</v>
      </c>
      <c r="J123" s="33">
        <v>0</v>
      </c>
      <c r="K123" s="33">
        <v>0</v>
      </c>
      <c r="L123" s="33">
        <v>73.52</v>
      </c>
      <c r="M123" s="33">
        <v>84.37</v>
      </c>
      <c r="N123" s="34">
        <v>1.14757889009793</v>
      </c>
      <c r="O123" s="34">
        <v>1.16085801049043</v>
      </c>
      <c r="P123" s="34">
        <v>1.1580101466400201</v>
      </c>
      <c r="Q123" s="34">
        <v>1.16083669929596</v>
      </c>
      <c r="R123" s="33">
        <v>85.346280931256899</v>
      </c>
      <c r="S123" s="33">
        <v>85.240087897595899</v>
      </c>
      <c r="T123" s="33">
        <v>85.412209913423496</v>
      </c>
      <c r="U123" s="15">
        <v>1.15049857873033E-2</v>
      </c>
      <c r="V123" s="15">
        <v>1.0259950230152101E-2</v>
      </c>
      <c r="W123" s="15">
        <v>1.2277175622391801E-2</v>
      </c>
      <c r="X123" s="34">
        <v>1.14757889009793</v>
      </c>
      <c r="Y123" s="34">
        <v>1.16060033170917</v>
      </c>
      <c r="Z123" s="34">
        <v>1.15540656696394</v>
      </c>
      <c r="AA123" s="34">
        <v>1.1595349094579299</v>
      </c>
      <c r="AB123" s="33">
        <v>85.327336387258597</v>
      </c>
      <c r="AC123" s="33">
        <v>85.048672719810895</v>
      </c>
      <c r="AD123" s="33">
        <v>85.3165023245311</v>
      </c>
      <c r="AE123" s="15">
        <v>1.12829884525806E-2</v>
      </c>
      <c r="AF123" s="15">
        <v>8.0118246614448406E-3</v>
      </c>
      <c r="AG123" s="15">
        <v>1.11560097954683E-2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5.2984809856350144E-2</v>
      </c>
      <c r="AT123" s="12"/>
      <c r="AU123">
        <f t="shared" si="30"/>
        <v>1</v>
      </c>
      <c r="AV123">
        <f t="shared" si="31"/>
        <v>0</v>
      </c>
      <c r="AW123">
        <f t="shared" si="38"/>
        <v>1</v>
      </c>
      <c r="AX123">
        <f t="shared" si="25"/>
        <v>1</v>
      </c>
      <c r="AY123">
        <f t="shared" si="39"/>
        <v>1</v>
      </c>
      <c r="AZ123" s="28">
        <f t="shared" si="32"/>
        <v>1.7666648612077601E-3</v>
      </c>
      <c r="BA123" s="28">
        <f t="shared" si="33"/>
        <v>-4.0217702659240302E-3</v>
      </c>
      <c r="BB123" s="28">
        <f t="shared" si="40"/>
        <v>-2.2551054047162703E-3</v>
      </c>
      <c r="BC123" s="29">
        <f t="shared" si="41"/>
        <v>1.5365156128243605E-2</v>
      </c>
      <c r="BE123" s="29">
        <f t="shared" si="42"/>
        <v>-2.2551054047162703E-3</v>
      </c>
      <c r="BF123" s="29">
        <f t="shared" si="43"/>
        <v>6.8349965984593752E-2</v>
      </c>
      <c r="BH123" s="29"/>
    </row>
    <row r="124" spans="1:60" x14ac:dyDescent="0.25">
      <c r="A124" s="1">
        <v>46203</v>
      </c>
      <c r="B124" s="33">
        <v>72.66</v>
      </c>
      <c r="C124" s="33">
        <v>83.07</v>
      </c>
      <c r="D124" s="15">
        <v>-1.1766451254375599E-2</v>
      </c>
      <c r="E124" s="15">
        <v>-1.5528262326555299E-2</v>
      </c>
      <c r="F124" s="33">
        <v>0</v>
      </c>
      <c r="G124" s="33">
        <v>0.694994</v>
      </c>
      <c r="H124" s="33">
        <v>0</v>
      </c>
      <c r="I124" s="33">
        <v>1.0290900000000001</v>
      </c>
      <c r="J124" s="33">
        <v>0</v>
      </c>
      <c r="K124" s="33">
        <v>0</v>
      </c>
      <c r="L124" s="33">
        <v>72.66</v>
      </c>
      <c r="M124" s="33">
        <v>83.07</v>
      </c>
      <c r="N124" s="34">
        <v>1.14327002477291</v>
      </c>
      <c r="O124" s="34">
        <v>1.16085801049043</v>
      </c>
      <c r="P124" s="34">
        <v>1.1554973459461799</v>
      </c>
      <c r="Q124" s="34">
        <v>1.1595825962047399</v>
      </c>
      <c r="R124" s="33">
        <v>84.347943042235102</v>
      </c>
      <c r="S124" s="33">
        <v>84.141017254863897</v>
      </c>
      <c r="T124" s="33">
        <v>84.346394570844893</v>
      </c>
      <c r="U124" s="15">
        <v>1.5266796859483E-2</v>
      </c>
      <c r="V124" s="15">
        <v>1.28105422652177E-2</v>
      </c>
      <c r="W124" s="15">
        <v>1.52484385504592E-2</v>
      </c>
      <c r="X124" s="34">
        <v>1.14327002477291</v>
      </c>
      <c r="Y124" s="34">
        <v>1.16060033170917</v>
      </c>
      <c r="Z124" s="34">
        <v>1.15354090193529</v>
      </c>
      <c r="AA124" s="34">
        <v>1.1582808063667001</v>
      </c>
      <c r="AB124" s="33">
        <v>84.329220101988696</v>
      </c>
      <c r="AC124" s="33">
        <v>83.951841155600405</v>
      </c>
      <c r="AD124" s="33">
        <v>84.251806521213197</v>
      </c>
      <c r="AE124" s="15">
        <v>1.50447995247602E-2</v>
      </c>
      <c r="AF124" s="15">
        <v>1.05596890056369E-2</v>
      </c>
      <c r="AG124" s="15">
        <v>1.41263855398935E-2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1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5.2984809856350144E-2</v>
      </c>
      <c r="AT124" s="12"/>
      <c r="AU124">
        <f t="shared" si="30"/>
        <v>1</v>
      </c>
      <c r="AV124">
        <f t="shared" si="31"/>
        <v>0</v>
      </c>
      <c r="AW124">
        <f t="shared" si="38"/>
        <v>1</v>
      </c>
      <c r="AX124">
        <f t="shared" si="25"/>
        <v>1</v>
      </c>
      <c r="AY124">
        <f t="shared" si="39"/>
        <v>1</v>
      </c>
      <c r="AZ124" s="28">
        <f t="shared" si="32"/>
        <v>1.1766451254375599E-2</v>
      </c>
      <c r="BA124" s="28">
        <f t="shared" si="33"/>
        <v>-1.5528262326555299E-2</v>
      </c>
      <c r="BB124" s="28">
        <f t="shared" si="40"/>
        <v>-3.7618110721797E-3</v>
      </c>
      <c r="BC124" s="29">
        <f t="shared" si="41"/>
        <v>1.1603345056063905E-2</v>
      </c>
      <c r="BE124" s="29">
        <f t="shared" si="42"/>
        <v>-3.7618110721797E-3</v>
      </c>
      <c r="BF124" s="29">
        <f t="shared" si="43"/>
        <v>6.4588154912414056E-2</v>
      </c>
      <c r="BH124" s="29"/>
    </row>
    <row r="125" spans="1:60" x14ac:dyDescent="0.25">
      <c r="A125" s="1">
        <v>46204</v>
      </c>
      <c r="B125" s="33">
        <v>73.290000000000006</v>
      </c>
      <c r="C125" s="33">
        <v>83.3</v>
      </c>
      <c r="D125" s="15">
        <v>8.6331471447030905E-3</v>
      </c>
      <c r="E125" s="15">
        <v>2.76492332181684E-3</v>
      </c>
      <c r="F125" s="33">
        <v>0</v>
      </c>
      <c r="G125" s="33">
        <v>0.694994</v>
      </c>
      <c r="H125" s="33">
        <v>0</v>
      </c>
      <c r="I125" s="33">
        <v>1.0290900000000001</v>
      </c>
      <c r="J125" s="33">
        <v>0</v>
      </c>
      <c r="K125" s="33">
        <v>0</v>
      </c>
      <c r="L125" s="33">
        <v>73.290000000000006</v>
      </c>
      <c r="M125" s="33">
        <v>83.3</v>
      </c>
      <c r="N125" s="34">
        <v>1.1365807067812701</v>
      </c>
      <c r="O125" s="34">
        <v>1.16085801049043</v>
      </c>
      <c r="P125" s="34">
        <v>1.15245238962676</v>
      </c>
      <c r="Q125" s="34">
        <v>1.15814475600977</v>
      </c>
      <c r="R125" s="33">
        <v>85.079283588844106</v>
      </c>
      <c r="S125" s="33">
        <v>84.686400484395605</v>
      </c>
      <c r="T125" s="33">
        <v>84.985808475845801</v>
      </c>
      <c r="U125" s="15">
        <v>2.11350206823691E-2</v>
      </c>
      <c r="V125" s="15">
        <v>1.65064786068519E-2</v>
      </c>
      <c r="W125" s="15">
        <v>2.0035734270599601E-2</v>
      </c>
      <c r="X125" s="34">
        <v>1.1365807067812701</v>
      </c>
      <c r="Y125" s="34">
        <v>1.16060033170917</v>
      </c>
      <c r="Z125" s="34">
        <v>1.1511407460696299</v>
      </c>
      <c r="AA125" s="34">
        <v>1.1568429661717301</v>
      </c>
      <c r="AB125" s="33">
        <v>85.060398310965496</v>
      </c>
      <c r="AC125" s="33">
        <v>84.543012702837899</v>
      </c>
      <c r="AD125" s="33">
        <v>84.890400298616001</v>
      </c>
      <c r="AE125" s="15">
        <v>2.0913023347646199E-2</v>
      </c>
      <c r="AF125" s="15">
        <v>1.48118817495968E-2</v>
      </c>
      <c r="AG125" s="15">
        <v>1.8912467063853699E-2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5.2984809856350144E-2</v>
      </c>
      <c r="AT125" s="12"/>
      <c r="AU125">
        <f t="shared" si="30"/>
        <v>1</v>
      </c>
      <c r="AV125">
        <f t="shared" si="31"/>
        <v>0</v>
      </c>
      <c r="AW125">
        <f t="shared" si="38"/>
        <v>1</v>
      </c>
      <c r="AX125">
        <f t="shared" si="25"/>
        <v>1</v>
      </c>
      <c r="AY125">
        <f t="shared" si="39"/>
        <v>1</v>
      </c>
      <c r="AZ125" s="28">
        <f t="shared" si="32"/>
        <v>-8.6331471447030905E-3</v>
      </c>
      <c r="BA125" s="28">
        <f t="shared" si="33"/>
        <v>2.76492332181684E-3</v>
      </c>
      <c r="BB125" s="28">
        <f t="shared" si="40"/>
        <v>-5.868223822886251E-3</v>
      </c>
      <c r="BC125" s="29">
        <f t="shared" si="41"/>
        <v>5.7351212331776535E-3</v>
      </c>
      <c r="BE125" s="29">
        <f t="shared" si="42"/>
        <v>-5.868223822886251E-3</v>
      </c>
      <c r="BF125" s="29">
        <f t="shared" si="43"/>
        <v>5.8719931089527805E-2</v>
      </c>
      <c r="BH125" s="29"/>
    </row>
    <row r="126" spans="1:60" x14ac:dyDescent="0.25">
      <c r="A126" s="1">
        <v>46205</v>
      </c>
      <c r="B126" s="33">
        <v>74.81</v>
      </c>
      <c r="C126" s="33">
        <v>84.99</v>
      </c>
      <c r="D126" s="15">
        <v>2.0527391946554702E-2</v>
      </c>
      <c r="E126" s="15">
        <v>2.0085053337737701E-2</v>
      </c>
      <c r="F126" s="33">
        <v>0</v>
      </c>
      <c r="G126" s="33">
        <v>0.694994</v>
      </c>
      <c r="H126" s="33">
        <v>0</v>
      </c>
      <c r="I126" s="33">
        <v>1.0290900000000001</v>
      </c>
      <c r="J126" s="33">
        <v>0</v>
      </c>
      <c r="K126" s="33">
        <v>0</v>
      </c>
      <c r="L126" s="33">
        <v>74.81</v>
      </c>
      <c r="M126" s="33">
        <v>84.99</v>
      </c>
      <c r="N126" s="34">
        <v>1.13607806442988</v>
      </c>
      <c r="O126" s="34">
        <v>1.16085801049043</v>
      </c>
      <c r="P126" s="34">
        <v>1.14995085792628</v>
      </c>
      <c r="Q126" s="34">
        <v>1.15658809665135</v>
      </c>
      <c r="R126" s="33">
        <v>86.843787764789596</v>
      </c>
      <c r="S126" s="33">
        <v>86.214963267978106</v>
      </c>
      <c r="T126" s="33">
        <v>86.640809197091102</v>
      </c>
      <c r="U126" s="15">
        <v>2.15773592911861E-2</v>
      </c>
      <c r="V126" s="15">
        <v>1.43101478900647E-2</v>
      </c>
      <c r="W126" s="15">
        <v>1.9237339901871799E-2</v>
      </c>
      <c r="X126" s="34">
        <v>1.13607806442988</v>
      </c>
      <c r="Y126" s="34">
        <v>1.16060033170917</v>
      </c>
      <c r="Z126" s="34">
        <v>1.1492919757683899</v>
      </c>
      <c r="AA126" s="34">
        <v>1.1552863068133099</v>
      </c>
      <c r="AB126" s="33">
        <v>86.824510815163407</v>
      </c>
      <c r="AC126" s="33">
        <v>86.116839213469603</v>
      </c>
      <c r="AD126" s="33">
        <v>86.543422299307593</v>
      </c>
      <c r="AE126" s="15">
        <v>2.13553619564632E-2</v>
      </c>
      <c r="AF126" s="15">
        <v>1.31713671925995E-2</v>
      </c>
      <c r="AG126" s="15">
        <v>1.8112677371025801E-2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5.2984809856350144E-2</v>
      </c>
      <c r="AT126" s="12"/>
      <c r="AU126">
        <f t="shared" si="30"/>
        <v>1</v>
      </c>
      <c r="AV126">
        <f t="shared" si="31"/>
        <v>0</v>
      </c>
      <c r="AW126">
        <f t="shared" si="38"/>
        <v>1</v>
      </c>
      <c r="AX126">
        <f t="shared" si="25"/>
        <v>1</v>
      </c>
      <c r="AY126">
        <f t="shared" si="39"/>
        <v>1</v>
      </c>
      <c r="AZ126" s="28">
        <f t="shared" si="32"/>
        <v>-2.0527391946554702E-2</v>
      </c>
      <c r="BA126" s="28">
        <f t="shared" si="33"/>
        <v>2.0085053337737701E-2</v>
      </c>
      <c r="BB126" s="28">
        <f t="shared" si="40"/>
        <v>-4.4233860881700074E-4</v>
      </c>
      <c r="BC126" s="29">
        <f t="shared" si="41"/>
        <v>5.2927826243606528E-3</v>
      </c>
      <c r="BE126" s="29">
        <f t="shared" si="42"/>
        <v>-4.4233860881700074E-4</v>
      </c>
      <c r="BF126" s="29">
        <f t="shared" si="43"/>
        <v>5.8277592480710808E-2</v>
      </c>
      <c r="BH126" s="29"/>
    </row>
    <row r="127" spans="1:60" x14ac:dyDescent="0.25">
      <c r="A127" s="1">
        <v>46209</v>
      </c>
      <c r="B127" s="33">
        <v>74.14</v>
      </c>
      <c r="C127" s="33">
        <v>84.1</v>
      </c>
      <c r="D127" s="15">
        <v>-8.9963681617273202E-3</v>
      </c>
      <c r="E127" s="15">
        <v>-1.05270355316324E-2</v>
      </c>
      <c r="F127" s="33">
        <v>0</v>
      </c>
      <c r="G127" s="33">
        <v>0.694994</v>
      </c>
      <c r="H127" s="33">
        <v>0</v>
      </c>
      <c r="I127" s="33">
        <v>1.0290900000000001</v>
      </c>
      <c r="J127" s="33">
        <v>0</v>
      </c>
      <c r="K127" s="33">
        <v>0</v>
      </c>
      <c r="L127" s="33">
        <v>74.14</v>
      </c>
      <c r="M127" s="33">
        <v>84.1</v>
      </c>
      <c r="N127" s="34">
        <v>1.1343404370110599</v>
      </c>
      <c r="O127" s="34">
        <v>1.16085801049043</v>
      </c>
      <c r="P127" s="34">
        <v>1.14699535293379</v>
      </c>
      <c r="Q127" s="34">
        <v>1.1549136594271701</v>
      </c>
      <c r="R127" s="33">
        <v>86.066012897760999</v>
      </c>
      <c r="S127" s="33">
        <v>85.257356606654398</v>
      </c>
      <c r="T127" s="33">
        <v>85.749441485731495</v>
      </c>
      <c r="U127" s="15">
        <v>2.3108026661091199E-2</v>
      </c>
      <c r="V127" s="15">
        <v>1.36678399677775E-2</v>
      </c>
      <c r="W127" s="15">
        <v>1.9423005760005701E-2</v>
      </c>
      <c r="X127" s="34">
        <v>1.1343404370110599</v>
      </c>
      <c r="Y127" s="34">
        <v>1.16060033170917</v>
      </c>
      <c r="Z127" s="34">
        <v>1.14699535293379</v>
      </c>
      <c r="AA127" s="34">
        <v>1.15361186958913</v>
      </c>
      <c r="AB127" s="33">
        <v>86.0469085929183</v>
      </c>
      <c r="AC127" s="33">
        <v>85.208507083468604</v>
      </c>
      <c r="AD127" s="33">
        <v>85.652926787139407</v>
      </c>
      <c r="AE127" s="15">
        <v>2.28860293263684E-2</v>
      </c>
      <c r="AF127" s="15">
        <v>1.30947102693681E-2</v>
      </c>
      <c r="AG127" s="15">
        <v>1.8296828685964401E-2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5.2984809856350144E-2</v>
      </c>
      <c r="AT127" s="12"/>
      <c r="AU127">
        <f t="shared" si="30"/>
        <v>1</v>
      </c>
      <c r="AV127">
        <f t="shared" si="31"/>
        <v>0</v>
      </c>
      <c r="AW127">
        <f t="shared" si="38"/>
        <v>1</v>
      </c>
      <c r="AX127">
        <f t="shared" si="25"/>
        <v>1</v>
      </c>
      <c r="AY127">
        <f t="shared" si="39"/>
        <v>1</v>
      </c>
      <c r="AZ127" s="28">
        <f t="shared" si="32"/>
        <v>8.9963681617273202E-3</v>
      </c>
      <c r="BA127" s="28">
        <f t="shared" si="33"/>
        <v>-1.05270355316324E-2</v>
      </c>
      <c r="BB127" s="28">
        <f t="shared" si="40"/>
        <v>-1.53066736990508E-3</v>
      </c>
      <c r="BC127" s="29">
        <f t="shared" si="41"/>
        <v>3.7621152544555728E-3</v>
      </c>
      <c r="BE127" s="29">
        <f t="shared" si="42"/>
        <v>-1.53066736990508E-3</v>
      </c>
      <c r="BF127" s="29">
        <f t="shared" si="43"/>
        <v>5.6746925110805729E-2</v>
      </c>
      <c r="BH127" s="29"/>
    </row>
    <row r="128" spans="1:60" x14ac:dyDescent="0.25">
      <c r="A128" s="1">
        <v>46210</v>
      </c>
      <c r="B128" s="33">
        <v>75.06</v>
      </c>
      <c r="C128" s="33">
        <v>84.86</v>
      </c>
      <c r="D128" s="15">
        <v>1.23325959842885E-2</v>
      </c>
      <c r="E128" s="15">
        <v>8.9962727952765092E-3</v>
      </c>
      <c r="F128" s="33">
        <v>0</v>
      </c>
      <c r="G128" s="33">
        <v>0.694994</v>
      </c>
      <c r="H128" s="33">
        <v>0</v>
      </c>
      <c r="I128" s="33">
        <v>1.0290900000000001</v>
      </c>
      <c r="J128" s="33">
        <v>0</v>
      </c>
      <c r="K128" s="33">
        <v>0</v>
      </c>
      <c r="L128" s="33">
        <v>75.06</v>
      </c>
      <c r="M128" s="33">
        <v>84.86</v>
      </c>
      <c r="N128" s="34">
        <v>1.13056221689315</v>
      </c>
      <c r="O128" s="34">
        <v>1.16085801049043</v>
      </c>
      <c r="P128" s="34">
        <v>1.1444353675325101</v>
      </c>
      <c r="Q128" s="34">
        <v>1.1534086641374599</v>
      </c>
      <c r="R128" s="33">
        <v>87.1340022674122</v>
      </c>
      <c r="S128" s="33">
        <v>86.093471191210995</v>
      </c>
      <c r="T128" s="33">
        <v>86.687819276603804</v>
      </c>
      <c r="U128" s="15">
        <v>2.6444349850103199E-2</v>
      </c>
      <c r="V128" s="15">
        <v>1.4430740575470899E-2</v>
      </c>
      <c r="W128" s="15">
        <v>2.1310541369547902E-2</v>
      </c>
      <c r="X128" s="34">
        <v>1.13056221689315</v>
      </c>
      <c r="Y128" s="34">
        <v>1.16060033170917</v>
      </c>
      <c r="Z128" s="34">
        <v>1.1444353675325101</v>
      </c>
      <c r="AA128" s="34">
        <v>1.15210687429942</v>
      </c>
      <c r="AB128" s="33">
        <v>87.114660898090705</v>
      </c>
      <c r="AC128" s="33">
        <v>86.093471191210995</v>
      </c>
      <c r="AD128" s="33">
        <v>86.590106931360694</v>
      </c>
      <c r="AE128" s="15">
        <v>2.62223525153805E-2</v>
      </c>
      <c r="AF128" s="15">
        <v>1.4430740575470899E-2</v>
      </c>
      <c r="AG128" s="15">
        <v>2.0182730600587701E-2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5.2984809856350144E-2</v>
      </c>
      <c r="AT128" s="12"/>
      <c r="AU128">
        <f t="shared" si="30"/>
        <v>1</v>
      </c>
      <c r="AV128">
        <f t="shared" si="31"/>
        <v>0</v>
      </c>
      <c r="AW128">
        <f t="shared" si="38"/>
        <v>1</v>
      </c>
      <c r="AX128">
        <f t="shared" si="25"/>
        <v>1</v>
      </c>
      <c r="AY128">
        <f t="shared" si="39"/>
        <v>1</v>
      </c>
      <c r="AZ128" s="28">
        <f t="shared" si="32"/>
        <v>-1.23325959842885E-2</v>
      </c>
      <c r="BA128" s="28">
        <f t="shared" si="33"/>
        <v>8.9962727952765092E-3</v>
      </c>
      <c r="BB128" s="28">
        <f t="shared" si="40"/>
        <v>-3.3363231890119905E-3</v>
      </c>
      <c r="BC128" s="29">
        <f t="shared" si="41"/>
        <v>4.2579206544358233E-4</v>
      </c>
      <c r="BE128" s="29">
        <f t="shared" si="42"/>
        <v>-3.3363231890119905E-3</v>
      </c>
      <c r="BF128" s="29">
        <f t="shared" si="43"/>
        <v>5.3410601921793741E-2</v>
      </c>
      <c r="BH128" s="29"/>
    </row>
    <row r="129" spans="1:60" x14ac:dyDescent="0.25">
      <c r="A129" s="1">
        <v>46211</v>
      </c>
      <c r="B129" s="33">
        <v>74.319999999999993</v>
      </c>
      <c r="C129" s="33">
        <v>84.39</v>
      </c>
      <c r="D129" s="15">
        <v>-9.9076992012918398E-3</v>
      </c>
      <c r="E129" s="15">
        <v>-5.5539286043036198E-3</v>
      </c>
      <c r="F129" s="33">
        <v>0</v>
      </c>
      <c r="G129" s="33">
        <v>0.694994</v>
      </c>
      <c r="H129" s="33">
        <v>0</v>
      </c>
      <c r="I129" s="33">
        <v>1.0290900000000001</v>
      </c>
      <c r="J129" s="33">
        <v>0</v>
      </c>
      <c r="K129" s="33">
        <v>0</v>
      </c>
      <c r="L129" s="33">
        <v>74.319999999999993</v>
      </c>
      <c r="M129" s="33">
        <v>84.39</v>
      </c>
      <c r="N129" s="34">
        <v>1.1354951560818001</v>
      </c>
      <c r="O129" s="34">
        <v>1.16085801049043</v>
      </c>
      <c r="P129" s="34">
        <v>1.14238145867231</v>
      </c>
      <c r="Q129" s="34">
        <v>1.1519867006300699</v>
      </c>
      <c r="R129" s="33">
        <v>86.274967339649194</v>
      </c>
      <c r="S129" s="33">
        <v>85.054436515016306</v>
      </c>
      <c r="T129" s="33">
        <v>85.721331918696094</v>
      </c>
      <c r="U129" s="15">
        <v>2.2090579253115101E-2</v>
      </c>
      <c r="V129" s="15">
        <v>7.8425699213553694E-3</v>
      </c>
      <c r="W129" s="15">
        <v>1.5652797330374599E-2</v>
      </c>
      <c r="X129" s="34">
        <v>1.1354951560818001</v>
      </c>
      <c r="Y129" s="34">
        <v>1.16060033170917</v>
      </c>
      <c r="Z129" s="34">
        <v>1.14238145867231</v>
      </c>
      <c r="AA129" s="34">
        <v>1.1506849107920301</v>
      </c>
      <c r="AB129" s="33">
        <v>86.255816652625896</v>
      </c>
      <c r="AC129" s="33">
        <v>85.054436515016306</v>
      </c>
      <c r="AD129" s="33">
        <v>85.624582897933195</v>
      </c>
      <c r="AE129" s="15">
        <v>2.1868581918392301E-2</v>
      </c>
      <c r="AF129" s="15">
        <v>7.8425699213553694E-3</v>
      </c>
      <c r="AG129" s="15">
        <v>1.4523514135636101E-2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5.2984809856350144E-2</v>
      </c>
      <c r="AT129" s="12"/>
      <c r="AU129">
        <f t="shared" si="30"/>
        <v>1</v>
      </c>
      <c r="AV129">
        <f t="shared" si="31"/>
        <v>0</v>
      </c>
      <c r="AW129">
        <f t="shared" si="38"/>
        <v>1</v>
      </c>
      <c r="AX129">
        <f t="shared" si="25"/>
        <v>1</v>
      </c>
      <c r="AY129">
        <f t="shared" si="39"/>
        <v>1</v>
      </c>
      <c r="AZ129" s="28">
        <f t="shared" si="32"/>
        <v>9.9076992012918398E-3</v>
      </c>
      <c r="BA129" s="28">
        <f t="shared" si="33"/>
        <v>-5.5539286043036198E-3</v>
      </c>
      <c r="BB129" s="28">
        <f t="shared" si="40"/>
        <v>4.35377059698822E-3</v>
      </c>
      <c r="BC129" s="29">
        <f t="shared" si="41"/>
        <v>4.7795626624318023E-3</v>
      </c>
      <c r="BE129" s="29">
        <f t="shared" si="42"/>
        <v>4.35377059698822E-3</v>
      </c>
      <c r="BF129" s="29">
        <f t="shared" si="43"/>
        <v>5.7764372518781963E-2</v>
      </c>
      <c r="BH129" s="29"/>
    </row>
    <row r="130" spans="1:60" x14ac:dyDescent="0.25">
      <c r="A130" s="1">
        <v>46212</v>
      </c>
      <c r="B130" s="33">
        <v>73.150000000000006</v>
      </c>
      <c r="C130" s="33">
        <v>83.2</v>
      </c>
      <c r="D130" s="15">
        <v>-1.5867967039449499E-2</v>
      </c>
      <c r="E130" s="15">
        <v>-1.4201563342712199E-2</v>
      </c>
      <c r="F130" s="33">
        <v>0</v>
      </c>
      <c r="G130" s="33">
        <v>0.694994</v>
      </c>
      <c r="H130" s="33">
        <v>0</v>
      </c>
      <c r="I130" s="33">
        <v>1.0290900000000001</v>
      </c>
      <c r="J130" s="33">
        <v>0</v>
      </c>
      <c r="K130" s="33">
        <v>0</v>
      </c>
      <c r="L130" s="33">
        <v>73.150000000000006</v>
      </c>
      <c r="M130" s="33">
        <v>83.2</v>
      </c>
      <c r="N130" s="34">
        <v>1.1373889268626101</v>
      </c>
      <c r="O130" s="34">
        <v>1.16085801049043</v>
      </c>
      <c r="P130" s="34">
        <v>1.14029044738052</v>
      </c>
      <c r="Q130" s="34">
        <v>1.1508561469731999</v>
      </c>
      <c r="R130" s="33">
        <v>84.916763467375404</v>
      </c>
      <c r="S130" s="33">
        <v>83.565203701879796</v>
      </c>
      <c r="T130" s="33">
        <v>84.267827151090103</v>
      </c>
      <c r="U130" s="15">
        <v>2.0424175556377901E-2</v>
      </c>
      <c r="V130" s="15">
        <v>4.3798619566569E-3</v>
      </c>
      <c r="W130" s="15">
        <v>1.2752797254083501E-2</v>
      </c>
      <c r="X130" s="34">
        <v>1.1373889268626101</v>
      </c>
      <c r="Y130" s="34">
        <v>1.16060033170917</v>
      </c>
      <c r="Z130" s="34">
        <v>1.14029044738052</v>
      </c>
      <c r="AA130" s="34">
        <v>1.1495543571351701</v>
      </c>
      <c r="AB130" s="33">
        <v>84.897914264526193</v>
      </c>
      <c r="AC130" s="33">
        <v>83.565203701879796</v>
      </c>
      <c r="AD130" s="33">
        <v>84.172601224437699</v>
      </c>
      <c r="AE130" s="15">
        <v>2.02021782216549E-2</v>
      </c>
      <c r="AF130" s="15">
        <v>4.3798619566566797E-3</v>
      </c>
      <c r="AG130" s="15">
        <v>1.16221193317366E-2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5.2984809856350144E-2</v>
      </c>
      <c r="AT130" s="12"/>
      <c r="AU130">
        <f t="shared" si="30"/>
        <v>1</v>
      </c>
      <c r="AV130">
        <f t="shared" si="31"/>
        <v>0</v>
      </c>
      <c r="AW130">
        <f t="shared" si="38"/>
        <v>1</v>
      </c>
      <c r="AX130">
        <f t="shared" si="25"/>
        <v>1</v>
      </c>
      <c r="AY130">
        <f t="shared" si="39"/>
        <v>1</v>
      </c>
      <c r="AZ130" s="28">
        <f t="shared" si="32"/>
        <v>1.5867967039449499E-2</v>
      </c>
      <c r="BA130" s="28">
        <f t="shared" si="33"/>
        <v>-1.4201563342712199E-2</v>
      </c>
      <c r="BB130" s="28">
        <f t="shared" si="40"/>
        <v>1.6664036967373001E-3</v>
      </c>
      <c r="BC130" s="29">
        <f t="shared" si="41"/>
        <v>6.4459663591691025E-3</v>
      </c>
      <c r="BE130" s="29">
        <f t="shared" si="42"/>
        <v>1.6664036967373001E-3</v>
      </c>
      <c r="BF130" s="29">
        <f t="shared" si="43"/>
        <v>5.943077621551926E-2</v>
      </c>
      <c r="BH130" s="29"/>
    </row>
    <row r="131" spans="1:60" x14ac:dyDescent="0.25">
      <c r="A131" s="1">
        <v>46213</v>
      </c>
      <c r="B131" s="33">
        <v>73.78</v>
      </c>
      <c r="C131" s="33">
        <v>84.12</v>
      </c>
      <c r="D131" s="15">
        <v>8.5755647023961004E-3</v>
      </c>
      <c r="E131" s="15">
        <v>1.09970030073361E-2</v>
      </c>
      <c r="F131" s="33">
        <v>0</v>
      </c>
      <c r="G131" s="33">
        <v>0.694994</v>
      </c>
      <c r="H131" s="33">
        <v>0</v>
      </c>
      <c r="I131" s="33">
        <v>1.0290900000000001</v>
      </c>
      <c r="J131" s="33">
        <v>0</v>
      </c>
      <c r="K131" s="33">
        <v>0</v>
      </c>
      <c r="L131" s="33">
        <v>73.78</v>
      </c>
      <c r="M131" s="33">
        <v>84.12</v>
      </c>
      <c r="N131" s="34">
        <v>1.1401463811330901</v>
      </c>
      <c r="O131" s="34">
        <v>1.16085801049043</v>
      </c>
      <c r="P131" s="34">
        <v>1.1391610525720199</v>
      </c>
      <c r="Q131" s="34">
        <v>1.14988842195011</v>
      </c>
      <c r="R131" s="33">
        <v>85.648104013984394</v>
      </c>
      <c r="S131" s="33">
        <v>84.130629207734998</v>
      </c>
      <c r="T131" s="33">
        <v>84.910166523683202</v>
      </c>
      <c r="U131" s="15">
        <v>1.8002737251437799E-2</v>
      </c>
      <c r="V131" s="15">
        <v>1.2634969389695001E-4</v>
      </c>
      <c r="W131" s="15">
        <v>9.3494823535477702E-3</v>
      </c>
      <c r="X131" s="34">
        <v>1.1401463811330901</v>
      </c>
      <c r="Y131" s="34">
        <v>1.16060033170917</v>
      </c>
      <c r="Z131" s="34">
        <v>1.1391610525720199</v>
      </c>
      <c r="AA131" s="34">
        <v>1.1485866321120699</v>
      </c>
      <c r="AB131" s="33">
        <v>85.629092473502993</v>
      </c>
      <c r="AC131" s="33">
        <v>84.130629207734998</v>
      </c>
      <c r="AD131" s="33">
        <v>84.814120469432794</v>
      </c>
      <c r="AE131" s="15">
        <v>1.7780739916714999E-2</v>
      </c>
      <c r="AF131" s="15">
        <v>1.2634969389695001E-4</v>
      </c>
      <c r="AG131" s="15">
        <v>8.2176930710067802E-3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5.2984809856350144E-2</v>
      </c>
      <c r="AT131" s="12"/>
      <c r="AU131">
        <f t="shared" si="30"/>
        <v>1</v>
      </c>
      <c r="AV131">
        <f t="shared" si="31"/>
        <v>0</v>
      </c>
      <c r="AW131">
        <f t="shared" si="38"/>
        <v>1</v>
      </c>
      <c r="AX131">
        <f t="shared" si="25"/>
        <v>1</v>
      </c>
      <c r="AY131">
        <f t="shared" si="39"/>
        <v>1</v>
      </c>
      <c r="AZ131" s="28">
        <f t="shared" si="32"/>
        <v>-8.5755647023961004E-3</v>
      </c>
      <c r="BA131" s="28">
        <f t="shared" si="33"/>
        <v>1.09970030073361E-2</v>
      </c>
      <c r="BB131" s="28">
        <f t="shared" si="40"/>
        <v>2.42143830494E-3</v>
      </c>
      <c r="BC131" s="29">
        <f t="shared" si="41"/>
        <v>8.8674046641091034E-3</v>
      </c>
      <c r="BE131" s="29">
        <f t="shared" si="42"/>
        <v>2.42143830494E-3</v>
      </c>
      <c r="BF131" s="29">
        <f t="shared" si="43"/>
        <v>6.1852214520459262E-2</v>
      </c>
      <c r="BH131" s="29"/>
    </row>
    <row r="132" spans="1:60" x14ac:dyDescent="0.25">
      <c r="A132" s="1">
        <v>46216</v>
      </c>
      <c r="B132" s="33">
        <v>74.180000000000007</v>
      </c>
      <c r="C132" s="33">
        <v>84.59</v>
      </c>
      <c r="D132" s="15">
        <v>5.4068798929152503E-3</v>
      </c>
      <c r="E132" s="15">
        <v>5.5717054814240904E-3</v>
      </c>
      <c r="F132" s="33">
        <v>0</v>
      </c>
      <c r="G132" s="33">
        <v>0.694994</v>
      </c>
      <c r="H132" s="33">
        <v>0</v>
      </c>
      <c r="I132" s="33">
        <v>1.0290900000000001</v>
      </c>
      <c r="J132" s="33">
        <v>0</v>
      </c>
      <c r="K132" s="33">
        <v>0</v>
      </c>
      <c r="L132" s="33">
        <v>74.180000000000007</v>
      </c>
      <c r="M132" s="33">
        <v>84.59</v>
      </c>
      <c r="N132" s="34">
        <v>1.14033432191965</v>
      </c>
      <c r="O132" s="34">
        <v>1.16085801049043</v>
      </c>
      <c r="P132" s="34">
        <v>1.13817751259834</v>
      </c>
      <c r="Q132" s="34">
        <v>1.1487955564732399</v>
      </c>
      <c r="R132" s="33">
        <v>86.112447218180606</v>
      </c>
      <c r="S132" s="33">
        <v>84.502966879792595</v>
      </c>
      <c r="T132" s="33">
        <v>85.298723140259298</v>
      </c>
      <c r="U132" s="15">
        <v>1.7837911662929001E-2</v>
      </c>
      <c r="V132" s="15">
        <v>-1.02941156570816E-3</v>
      </c>
      <c r="W132" s="15">
        <v>8.3434290223024492E-3</v>
      </c>
      <c r="X132" s="34">
        <v>1.14033432191965</v>
      </c>
      <c r="Y132" s="34">
        <v>1.16060033170917</v>
      </c>
      <c r="Z132" s="34">
        <v>1.13817751259834</v>
      </c>
      <c r="AA132" s="34">
        <v>1.1474937666352001</v>
      </c>
      <c r="AB132" s="33">
        <v>86.093332606186607</v>
      </c>
      <c r="AC132" s="33">
        <v>84.502966879792595</v>
      </c>
      <c r="AD132" s="33">
        <v>85.202156370073695</v>
      </c>
      <c r="AE132" s="15">
        <v>1.7615914328206E-2</v>
      </c>
      <c r="AF132" s="15">
        <v>-1.0294115657083899E-3</v>
      </c>
      <c r="AG132" s="15">
        <v>7.2106867069740401E-3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5.2984809856350144E-2</v>
      </c>
      <c r="AT132" s="12"/>
      <c r="AU132">
        <f t="shared" si="30"/>
        <v>0</v>
      </c>
      <c r="AV132">
        <f t="shared" si="31"/>
        <v>0</v>
      </c>
      <c r="AW132">
        <f t="shared" si="38"/>
        <v>1</v>
      </c>
      <c r="AX132">
        <f t="shared" si="25"/>
        <v>1</v>
      </c>
      <c r="AY132">
        <f t="shared" si="39"/>
        <v>1</v>
      </c>
      <c r="AZ132" s="28">
        <f t="shared" si="32"/>
        <v>-5.4068798929152503E-3</v>
      </c>
      <c r="BA132" s="28">
        <f t="shared" si="33"/>
        <v>5.5717054814240904E-3</v>
      </c>
      <c r="BB132" s="28">
        <f t="shared" si="40"/>
        <v>1.6482558850884014E-4</v>
      </c>
      <c r="BC132" s="29">
        <f t="shared" si="41"/>
        <v>9.0322302526179427E-3</v>
      </c>
      <c r="BE132" s="29">
        <f t="shared" si="42"/>
        <v>1.6482558850884014E-4</v>
      </c>
      <c r="BF132" s="29">
        <f t="shared" si="43"/>
        <v>6.2017040108968101E-2</v>
      </c>
      <c r="BH132" s="29"/>
    </row>
    <row r="133" spans="1:60" x14ac:dyDescent="0.25">
      <c r="A133" s="1">
        <v>46217</v>
      </c>
      <c r="B133" s="33">
        <v>73.09</v>
      </c>
      <c r="C133" s="33">
        <v>83.42</v>
      </c>
      <c r="D133" s="15">
        <v>-1.48030135691444E-2</v>
      </c>
      <c r="E133" s="15">
        <v>-1.3927967547124E-2</v>
      </c>
      <c r="F133" s="33">
        <v>0</v>
      </c>
      <c r="G133" s="33">
        <v>0.694994</v>
      </c>
      <c r="H133" s="33">
        <v>0</v>
      </c>
      <c r="I133" s="33">
        <v>1.0290900000000001</v>
      </c>
      <c r="J133" s="33">
        <v>0</v>
      </c>
      <c r="K133" s="33">
        <v>0</v>
      </c>
      <c r="L133" s="33">
        <v>73.09</v>
      </c>
      <c r="M133" s="33">
        <v>83.42</v>
      </c>
      <c r="N133" s="34">
        <v>1.1413326036393401</v>
      </c>
      <c r="O133" s="34">
        <v>1.16085801049043</v>
      </c>
      <c r="P133" s="34">
        <v>1.13755288395248</v>
      </c>
      <c r="Q133" s="34">
        <v>1.1477815152962501</v>
      </c>
      <c r="R133" s="33">
        <v>84.847111986746</v>
      </c>
      <c r="S133" s="33">
        <v>83.189394395812599</v>
      </c>
      <c r="T133" s="33">
        <v>83.9654672226294</v>
      </c>
      <c r="U133" s="15">
        <v>1.6962865640908601E-2</v>
      </c>
      <c r="V133" s="15">
        <v>-2.7682202709553802E-3</v>
      </c>
      <c r="W133" s="15">
        <v>6.5175210553889903E-3</v>
      </c>
      <c r="X133" s="34">
        <v>1.1413326036393401</v>
      </c>
      <c r="Y133" s="34">
        <v>1.16060033170917</v>
      </c>
      <c r="Z133" s="34">
        <v>1.13755288395248</v>
      </c>
      <c r="AA133" s="34">
        <v>1.14647972545821</v>
      </c>
      <c r="AB133" s="33">
        <v>84.828278244623604</v>
      </c>
      <c r="AC133" s="33">
        <v>83.189394395812599</v>
      </c>
      <c r="AD133" s="33">
        <v>83.870319403367304</v>
      </c>
      <c r="AE133" s="15">
        <v>1.67408683061855E-2</v>
      </c>
      <c r="AF133" s="15">
        <v>-2.7682202709551598E-3</v>
      </c>
      <c r="AG133" s="15">
        <v>5.3837005351296298E-3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5.2984809856350144E-2</v>
      </c>
      <c r="AT133" s="12"/>
      <c r="AU133">
        <f t="shared" si="30"/>
        <v>0</v>
      </c>
      <c r="AV133">
        <f t="shared" si="31"/>
        <v>0</v>
      </c>
      <c r="AW133">
        <f t="shared" si="38"/>
        <v>1</v>
      </c>
      <c r="AX133">
        <f t="shared" si="25"/>
        <v>1</v>
      </c>
      <c r="AY133">
        <f t="shared" si="39"/>
        <v>1</v>
      </c>
      <c r="AZ133" s="28">
        <f t="shared" si="32"/>
        <v>1.48030135691444E-2</v>
      </c>
      <c r="BA133" s="28">
        <f t="shared" si="33"/>
        <v>-1.3927967547124E-2</v>
      </c>
      <c r="BB133" s="28">
        <f t="shared" si="40"/>
        <v>8.7504602202040024E-4</v>
      </c>
      <c r="BC133" s="29">
        <f t="shared" si="41"/>
        <v>9.9072762746383429E-3</v>
      </c>
      <c r="BE133" s="29">
        <f t="shared" si="42"/>
        <v>8.7504602202040024E-4</v>
      </c>
      <c r="BF133" s="29">
        <f t="shared" si="43"/>
        <v>6.2892086130988498E-2</v>
      </c>
      <c r="BH133" s="29"/>
    </row>
    <row r="134" spans="1:60" x14ac:dyDescent="0.25">
      <c r="A134" s="1">
        <v>46218</v>
      </c>
      <c r="B134" s="33">
        <v>73.11</v>
      </c>
      <c r="C134" s="33">
        <v>83.47</v>
      </c>
      <c r="D134" s="15">
        <v>2.73597812924169E-4</v>
      </c>
      <c r="E134" s="15">
        <v>5.9919709384600897E-4</v>
      </c>
      <c r="F134" s="33">
        <v>0</v>
      </c>
      <c r="G134" s="33">
        <v>0.694994</v>
      </c>
      <c r="H134" s="33">
        <v>0</v>
      </c>
      <c r="I134" s="33">
        <v>1.0290900000000001</v>
      </c>
      <c r="J134" s="33">
        <v>0</v>
      </c>
      <c r="K134" s="33">
        <v>0</v>
      </c>
      <c r="L134" s="33">
        <v>73.11</v>
      </c>
      <c r="M134" s="33">
        <v>83.47</v>
      </c>
      <c r="N134" s="34">
        <v>1.1417042812200699</v>
      </c>
      <c r="O134" s="34">
        <v>1.16085801049043</v>
      </c>
      <c r="P134" s="34">
        <v>1.13739630959719</v>
      </c>
      <c r="Q134" s="34">
        <v>1.1464468277716799</v>
      </c>
      <c r="R134" s="33">
        <v>84.870329146955797</v>
      </c>
      <c r="S134" s="33">
        <v>83.166491345765905</v>
      </c>
      <c r="T134" s="33">
        <v>83.9143065833089</v>
      </c>
      <c r="U134" s="15">
        <v>1.66372663599865E-2</v>
      </c>
      <c r="V134" s="15">
        <v>-3.6427674083460699E-3</v>
      </c>
      <c r="W134" s="15">
        <v>5.3088325410531002E-3</v>
      </c>
      <c r="X134" s="34">
        <v>1.1417042812200699</v>
      </c>
      <c r="Y134" s="34">
        <v>1.16060033170917</v>
      </c>
      <c r="Z134" s="34">
        <v>1.13739630959719</v>
      </c>
      <c r="AA134" s="34">
        <v>1.14546860576624</v>
      </c>
      <c r="AB134" s="33">
        <v>84.8514902512578</v>
      </c>
      <c r="AC134" s="33">
        <v>83.166491345765905</v>
      </c>
      <c r="AD134" s="33">
        <v>83.819132728249997</v>
      </c>
      <c r="AE134" s="15">
        <v>1.64152690252636E-2</v>
      </c>
      <c r="AF134" s="15">
        <v>-3.6427674083460699E-3</v>
      </c>
      <c r="AG134" s="15">
        <v>4.1740097452712399E-3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5.2984809856350144E-2</v>
      </c>
      <c r="AT134" s="12"/>
      <c r="AU134">
        <f t="shared" si="30"/>
        <v>0</v>
      </c>
      <c r="AV134">
        <f t="shared" si="31"/>
        <v>0</v>
      </c>
      <c r="AW134">
        <f t="shared" si="38"/>
        <v>1</v>
      </c>
      <c r="AX134">
        <f t="shared" si="25"/>
        <v>1</v>
      </c>
      <c r="AY134">
        <f t="shared" si="39"/>
        <v>1</v>
      </c>
      <c r="AZ134" s="28">
        <f t="shared" si="32"/>
        <v>-2.73597812924169E-4</v>
      </c>
      <c r="BA134" s="28">
        <f t="shared" si="33"/>
        <v>5.9919709384600897E-4</v>
      </c>
      <c r="BB134" s="28">
        <f t="shared" si="40"/>
        <v>3.2559928092183997E-4</v>
      </c>
      <c r="BC134" s="29">
        <f t="shared" si="41"/>
        <v>1.0232875555560184E-2</v>
      </c>
      <c r="BE134" s="29">
        <f t="shared" si="42"/>
        <v>3.2559928092183997E-4</v>
      </c>
      <c r="BF134" s="29">
        <f t="shared" si="43"/>
        <v>6.3217685411910335E-2</v>
      </c>
      <c r="BH134" s="29"/>
    </row>
    <row r="135" spans="1:60" x14ac:dyDescent="0.25">
      <c r="A135" s="1">
        <v>46219</v>
      </c>
      <c r="B135" s="33">
        <v>75.25</v>
      </c>
      <c r="C135" s="33">
        <v>85.81</v>
      </c>
      <c r="D135" s="15">
        <v>2.8850747323760601E-2</v>
      </c>
      <c r="E135" s="15">
        <v>2.76482639563842E-2</v>
      </c>
      <c r="F135" s="33">
        <v>0</v>
      </c>
      <c r="G135" s="33">
        <v>0.694994</v>
      </c>
      <c r="H135" s="33">
        <v>0</v>
      </c>
      <c r="I135" s="33">
        <v>1.0290900000000001</v>
      </c>
      <c r="J135" s="33">
        <v>0</v>
      </c>
      <c r="K135" s="33">
        <v>0</v>
      </c>
      <c r="L135" s="33">
        <v>75.25</v>
      </c>
      <c r="M135" s="33">
        <v>85.81</v>
      </c>
      <c r="N135" s="34">
        <v>1.1403322259136199</v>
      </c>
      <c r="O135" s="34">
        <v>1.16085801049043</v>
      </c>
      <c r="P135" s="34">
        <v>1.13777146151043</v>
      </c>
      <c r="Q135" s="34">
        <v>1.14511192556859</v>
      </c>
      <c r="R135" s="33">
        <v>87.3545652894054</v>
      </c>
      <c r="S135" s="33">
        <v>85.589072297189105</v>
      </c>
      <c r="T135" s="33">
        <v>86.270123789819607</v>
      </c>
      <c r="U135" s="15">
        <v>1.78397497273628E-2</v>
      </c>
      <c r="V135" s="15">
        <v>-2.5779349001406999E-3</v>
      </c>
      <c r="W135" s="15">
        <v>5.3477981799810196E-3</v>
      </c>
      <c r="X135" s="34">
        <v>1.1403322259136199</v>
      </c>
      <c r="Y135" s="34">
        <v>1.16060033170917</v>
      </c>
      <c r="Z135" s="34">
        <v>1.13777146151043</v>
      </c>
      <c r="AA135" s="34">
        <v>1.14445610379003</v>
      </c>
      <c r="AB135" s="33">
        <v>87.335174961115499</v>
      </c>
      <c r="AC135" s="33">
        <v>85.589072297189105</v>
      </c>
      <c r="AD135" s="33">
        <v>86.196512583910106</v>
      </c>
      <c r="AE135" s="15">
        <v>1.76177523926399E-2</v>
      </c>
      <c r="AF135" s="15">
        <v>-2.5779349001405901E-3</v>
      </c>
      <c r="AG135" s="15">
        <v>4.4941697689769803E-3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5.2984809856350144E-2</v>
      </c>
      <c r="AT135" s="12"/>
      <c r="AU135">
        <f t="shared" si="30"/>
        <v>0</v>
      </c>
      <c r="AV135">
        <f t="shared" si="31"/>
        <v>0</v>
      </c>
      <c r="AW135">
        <f t="shared" si="38"/>
        <v>1</v>
      </c>
      <c r="AX135">
        <f t="shared" si="25"/>
        <v>1</v>
      </c>
      <c r="AY135">
        <f t="shared" si="39"/>
        <v>1</v>
      </c>
      <c r="AZ135" s="28">
        <f t="shared" si="32"/>
        <v>-2.8850747323760601E-2</v>
      </c>
      <c r="BA135" s="28">
        <f t="shared" si="33"/>
        <v>2.76482639563842E-2</v>
      </c>
      <c r="BB135" s="28">
        <f t="shared" si="40"/>
        <v>-1.2024833673764009E-3</v>
      </c>
      <c r="BC135" s="29">
        <f t="shared" si="41"/>
        <v>9.0303921881837827E-3</v>
      </c>
      <c r="BE135" s="29">
        <f t="shared" si="42"/>
        <v>-1.2024833673764009E-3</v>
      </c>
      <c r="BF135" s="29">
        <f t="shared" si="43"/>
        <v>6.2015202044533937E-2</v>
      </c>
      <c r="BH135" s="29"/>
    </row>
    <row r="136" spans="1:60" x14ac:dyDescent="0.25">
      <c r="A136" s="1">
        <v>46220</v>
      </c>
      <c r="B136" s="33">
        <v>74.78</v>
      </c>
      <c r="C136" s="33">
        <v>85.19</v>
      </c>
      <c r="D136" s="15">
        <v>-6.2654340800173897E-3</v>
      </c>
      <c r="E136" s="15">
        <v>-7.2514937642805298E-3</v>
      </c>
      <c r="F136" s="33">
        <v>0</v>
      </c>
      <c r="G136" s="33">
        <v>0.694994</v>
      </c>
      <c r="H136" s="33">
        <v>0</v>
      </c>
      <c r="I136" s="33">
        <v>1.0290900000000001</v>
      </c>
      <c r="J136" s="33">
        <v>0</v>
      </c>
      <c r="K136" s="33">
        <v>0</v>
      </c>
      <c r="L136" s="33">
        <v>74.78</v>
      </c>
      <c r="M136" s="33">
        <v>85.19</v>
      </c>
      <c r="N136" s="34">
        <v>1.1392083444771299</v>
      </c>
      <c r="O136" s="34">
        <v>1.16085801049043</v>
      </c>
      <c r="P136" s="34">
        <v>1.1380844895151501</v>
      </c>
      <c r="Q136" s="34">
        <v>1.1440176737207099</v>
      </c>
      <c r="R136" s="33">
        <v>86.808962024474894</v>
      </c>
      <c r="S136" s="33">
        <v>85.082549891750105</v>
      </c>
      <c r="T136" s="33">
        <v>85.631469794019694</v>
      </c>
      <c r="U136" s="15">
        <v>1.8825809411625899E-2</v>
      </c>
      <c r="V136" s="15">
        <v>-1.26209565289491E-3</v>
      </c>
      <c r="W136" s="15">
        <v>5.1687973113413903E-3</v>
      </c>
      <c r="X136" s="34">
        <v>1.1392083444771299</v>
      </c>
      <c r="Y136" s="34">
        <v>1.16060033170917</v>
      </c>
      <c r="Z136" s="34">
        <v>1.1380844895151501</v>
      </c>
      <c r="AA136" s="34">
        <v>1.1436882326417701</v>
      </c>
      <c r="AB136" s="33">
        <v>86.789692805212198</v>
      </c>
      <c r="AC136" s="33">
        <v>85.082549891750105</v>
      </c>
      <c r="AD136" s="33">
        <v>85.582427441418801</v>
      </c>
      <c r="AE136" s="15">
        <v>1.8603812076903099E-2</v>
      </c>
      <c r="AF136" s="15">
        <v>-1.2620956528946799E-3</v>
      </c>
      <c r="AG136" s="15">
        <v>4.5959191193949804E-3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5.2984809856350144E-2</v>
      </c>
      <c r="AT136" s="12"/>
      <c r="AU136">
        <f t="shared" si="30"/>
        <v>0</v>
      </c>
      <c r="AV136">
        <f t="shared" si="31"/>
        <v>0</v>
      </c>
      <c r="AW136">
        <f t="shared" si="38"/>
        <v>1</v>
      </c>
      <c r="AX136">
        <f t="shared" si="25"/>
        <v>1</v>
      </c>
      <c r="AY136">
        <f t="shared" si="39"/>
        <v>1</v>
      </c>
      <c r="AZ136" s="28">
        <f t="shared" si="32"/>
        <v>6.2654340800173897E-3</v>
      </c>
      <c r="BA136" s="28">
        <f t="shared" si="33"/>
        <v>-7.2514937642805298E-3</v>
      </c>
      <c r="BB136" s="28">
        <f t="shared" si="40"/>
        <v>-9.8605968426314014E-4</v>
      </c>
      <c r="BC136" s="29">
        <f t="shared" si="41"/>
        <v>8.0443325039206426E-3</v>
      </c>
      <c r="BE136" s="29">
        <f t="shared" si="42"/>
        <v>-9.8605968426314014E-4</v>
      </c>
      <c r="BF136" s="29">
        <f t="shared" si="43"/>
        <v>6.1029142360270794E-2</v>
      </c>
      <c r="BH136" s="29"/>
    </row>
    <row r="137" spans="1:60" x14ac:dyDescent="0.25">
      <c r="A137" s="1">
        <v>46223</v>
      </c>
      <c r="B137" s="33">
        <v>74.48</v>
      </c>
      <c r="C137" s="33">
        <v>84.86</v>
      </c>
      <c r="D137" s="15">
        <v>-4.0198365801559803E-3</v>
      </c>
      <c r="E137" s="15">
        <v>-3.8812162805702401E-3</v>
      </c>
      <c r="F137" s="33">
        <v>0</v>
      </c>
      <c r="G137" s="33">
        <v>0.694994</v>
      </c>
      <c r="H137" s="33">
        <v>0</v>
      </c>
      <c r="I137" s="33">
        <v>1.0290900000000001</v>
      </c>
      <c r="J137" s="33">
        <v>0</v>
      </c>
      <c r="K137" s="33">
        <v>0</v>
      </c>
      <c r="L137" s="33">
        <v>74.48</v>
      </c>
      <c r="M137" s="33">
        <v>84.86</v>
      </c>
      <c r="N137" s="34">
        <v>1.1393662728249101</v>
      </c>
      <c r="O137" s="34">
        <v>1.16085801049043</v>
      </c>
      <c r="P137" s="34">
        <v>1.1385870730965399</v>
      </c>
      <c r="Q137" s="34">
        <v>1.1427912130151701</v>
      </c>
      <c r="R137" s="33">
        <v>86.460704621327693</v>
      </c>
      <c r="S137" s="33">
        <v>84.764532779088796</v>
      </c>
      <c r="T137" s="33">
        <v>85.206436338719101</v>
      </c>
      <c r="U137" s="15">
        <v>1.8687189112040099E-2</v>
      </c>
      <c r="V137" s="15">
        <v>-1.1256299949905901E-3</v>
      </c>
      <c r="W137" s="15">
        <v>4.0741350894757996E-3</v>
      </c>
      <c r="X137" s="34">
        <v>1.1393662728249101</v>
      </c>
      <c r="Y137" s="34">
        <v>1.16060033170917</v>
      </c>
      <c r="Z137" s="34">
        <v>1.1385870730965399</v>
      </c>
      <c r="AA137" s="34">
        <v>1.1427912130151701</v>
      </c>
      <c r="AB137" s="33">
        <v>86.441512705699395</v>
      </c>
      <c r="AC137" s="33">
        <v>84.764532779088796</v>
      </c>
      <c r="AD137" s="33">
        <v>85.181899567159405</v>
      </c>
      <c r="AE137" s="15">
        <v>1.84651917773173E-2</v>
      </c>
      <c r="AF137" s="15">
        <v>-1.1256299949905901E-3</v>
      </c>
      <c r="AG137" s="15">
        <v>3.7861250963168E-3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5.2984809856350144E-2</v>
      </c>
      <c r="AT137" s="12"/>
      <c r="AU137">
        <f t="shared" si="30"/>
        <v>0</v>
      </c>
      <c r="AV137">
        <f t="shared" si="31"/>
        <v>1</v>
      </c>
      <c r="AW137">
        <f t="shared" si="38"/>
        <v>1</v>
      </c>
      <c r="AX137">
        <f t="shared" si="25"/>
        <v>1</v>
      </c>
      <c r="AY137">
        <f t="shared" si="39"/>
        <v>1</v>
      </c>
      <c r="AZ137" s="28">
        <f t="shared" si="32"/>
        <v>4.0198365801559803E-3</v>
      </c>
      <c r="BA137" s="28">
        <f t="shared" si="33"/>
        <v>-3.8812162805702401E-3</v>
      </c>
      <c r="BB137" s="28">
        <f t="shared" si="40"/>
        <v>1.3862029958574022E-4</v>
      </c>
      <c r="BC137" s="29">
        <f t="shared" si="41"/>
        <v>8.1829528035063832E-3</v>
      </c>
      <c r="BE137" s="29">
        <f t="shared" si="42"/>
        <v>1.3862029958574022E-4</v>
      </c>
      <c r="BF137" s="29">
        <f t="shared" si="43"/>
        <v>6.1167762659856531E-2</v>
      </c>
      <c r="BH137" s="29"/>
    </row>
    <row r="138" spans="1:60" x14ac:dyDescent="0.25">
      <c r="A138" s="1">
        <v>46224</v>
      </c>
      <c r="B138" s="33">
        <v>74.08</v>
      </c>
      <c r="C138" s="33">
        <v>84.06</v>
      </c>
      <c r="D138" s="15">
        <v>-5.3850426308877097E-3</v>
      </c>
      <c r="E138" s="15">
        <v>-9.4720101972080896E-3</v>
      </c>
      <c r="F138" s="33">
        <v>0</v>
      </c>
      <c r="G138" s="33">
        <v>0.694994</v>
      </c>
      <c r="H138" s="33">
        <v>0</v>
      </c>
      <c r="I138" s="33">
        <v>1.0290900000000001</v>
      </c>
      <c r="J138" s="33">
        <v>0</v>
      </c>
      <c r="K138" s="33">
        <v>0</v>
      </c>
      <c r="L138" s="33">
        <v>74.08</v>
      </c>
      <c r="M138" s="33">
        <v>84.06</v>
      </c>
      <c r="N138" s="34">
        <v>1.1347192224622</v>
      </c>
      <c r="O138" s="34">
        <v>1.16085801049043</v>
      </c>
      <c r="P138" s="34">
        <v>1.13900277365344</v>
      </c>
      <c r="Q138" s="34">
        <v>1.1417190705929801</v>
      </c>
      <c r="R138" s="33">
        <v>85.996361417131496</v>
      </c>
      <c r="S138" s="33">
        <v>84.346530374991801</v>
      </c>
      <c r="T138" s="33">
        <v>84.657973060163798</v>
      </c>
      <c r="U138" s="15">
        <v>2.27741566783605E-2</v>
      </c>
      <c r="V138" s="15">
        <v>3.4028448996622799E-3</v>
      </c>
      <c r="W138" s="15">
        <v>7.08846310969882E-3</v>
      </c>
      <c r="X138" s="34">
        <v>1.1347192224622</v>
      </c>
      <c r="Y138" s="34">
        <v>1.16060033170917</v>
      </c>
      <c r="Z138" s="34">
        <v>1.13900277365344</v>
      </c>
      <c r="AA138" s="34">
        <v>1.1417190705929801</v>
      </c>
      <c r="AB138" s="33">
        <v>85.977272573015696</v>
      </c>
      <c r="AC138" s="33">
        <v>84.346530374991801</v>
      </c>
      <c r="AD138" s="33">
        <v>84.657973060163798</v>
      </c>
      <c r="AE138" s="15">
        <v>2.25521593436376E-2</v>
      </c>
      <c r="AF138" s="15">
        <v>3.4028448996622799E-3</v>
      </c>
      <c r="AG138" s="15">
        <v>7.08846310969882E-3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5.2984809856350144E-2</v>
      </c>
      <c r="AT138" s="12"/>
      <c r="AU138">
        <f t="shared" si="30"/>
        <v>0</v>
      </c>
      <c r="AV138">
        <f t="shared" si="31"/>
        <v>0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8.1829528035063832E-3</v>
      </c>
      <c r="BE138" s="29">
        <f t="shared" si="42"/>
        <v>0</v>
      </c>
      <c r="BF138" s="29">
        <f t="shared" si="43"/>
        <v>6.1167762659856531E-2</v>
      </c>
      <c r="BH138" s="29"/>
    </row>
    <row r="139" spans="1:60" x14ac:dyDescent="0.25">
      <c r="A139" s="1">
        <v>46225</v>
      </c>
      <c r="B139" s="33">
        <v>74.48</v>
      </c>
      <c r="C139" s="33">
        <v>84.38</v>
      </c>
      <c r="D139" s="15">
        <v>5.3850426308877696E-3</v>
      </c>
      <c r="E139" s="15">
        <v>3.7995771192219801E-3</v>
      </c>
      <c r="F139" s="33">
        <v>0</v>
      </c>
      <c r="G139" s="33">
        <v>0.694994</v>
      </c>
      <c r="H139" s="33">
        <v>0</v>
      </c>
      <c r="I139" s="33">
        <v>1.0290900000000001</v>
      </c>
      <c r="J139" s="33">
        <v>0</v>
      </c>
      <c r="K139" s="33">
        <v>0</v>
      </c>
      <c r="L139" s="33">
        <v>74.48</v>
      </c>
      <c r="M139" s="33">
        <v>84.38</v>
      </c>
      <c r="N139" s="34">
        <v>1.1329215896885001</v>
      </c>
      <c r="O139" s="34">
        <v>1.16085801049043</v>
      </c>
      <c r="P139" s="34">
        <v>1.13874541701411</v>
      </c>
      <c r="Q139" s="34">
        <v>1.1405634378432099</v>
      </c>
      <c r="R139" s="33">
        <v>86.460704621327693</v>
      </c>
      <c r="S139" s="33">
        <v>84.832926581708804</v>
      </c>
      <c r="T139" s="33">
        <v>85.035236377765102</v>
      </c>
      <c r="U139" s="15">
        <v>2.4359622190026398E-2</v>
      </c>
      <c r="V139" s="15">
        <v>5.35334590014961E-3</v>
      </c>
      <c r="W139" s="15">
        <v>7.7353095145936699E-3</v>
      </c>
      <c r="X139" s="34">
        <v>1.1329215896885001</v>
      </c>
      <c r="Y139" s="34">
        <v>1.16060033170917</v>
      </c>
      <c r="Z139" s="34">
        <v>1.13874541701411</v>
      </c>
      <c r="AA139" s="34">
        <v>1.1405634378432099</v>
      </c>
      <c r="AB139" s="33">
        <v>86.441512705699395</v>
      </c>
      <c r="AC139" s="33">
        <v>84.832926581708804</v>
      </c>
      <c r="AD139" s="33">
        <v>85.035236377765102</v>
      </c>
      <c r="AE139" s="15">
        <v>2.4137624855303599E-2</v>
      </c>
      <c r="AF139" s="15">
        <v>5.35334590014961E-3</v>
      </c>
      <c r="AG139" s="15">
        <v>7.7353095145934504E-3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5.2984809856350144E-2</v>
      </c>
      <c r="AT139" s="12"/>
      <c r="AU139">
        <f t="shared" si="30"/>
        <v>1</v>
      </c>
      <c r="AV139">
        <f t="shared" si="31"/>
        <v>0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8.1829528035063832E-3</v>
      </c>
      <c r="BE139" s="29">
        <f t="shared" si="42"/>
        <v>0</v>
      </c>
      <c r="BF139" s="29">
        <f t="shared" si="43"/>
        <v>6.1167762659856531E-2</v>
      </c>
      <c r="BH139" s="29"/>
    </row>
    <row r="140" spans="1:60" x14ac:dyDescent="0.25">
      <c r="A140" s="1">
        <v>46226</v>
      </c>
      <c r="B140" s="33">
        <v>73.69</v>
      </c>
      <c r="C140" s="33">
        <v>83.21</v>
      </c>
      <c r="D140" s="15">
        <v>-1.0663528189903701E-2</v>
      </c>
      <c r="E140" s="15">
        <v>-1.39628737838541E-2</v>
      </c>
      <c r="F140" s="33">
        <v>0</v>
      </c>
      <c r="G140" s="33">
        <v>0.694994</v>
      </c>
      <c r="H140" s="33">
        <v>0</v>
      </c>
      <c r="I140" s="33">
        <v>1.0290900000000001</v>
      </c>
      <c r="J140" s="33">
        <v>0</v>
      </c>
      <c r="K140" s="33">
        <v>0</v>
      </c>
      <c r="L140" s="33">
        <v>73.69</v>
      </c>
      <c r="M140" s="33">
        <v>83.21</v>
      </c>
      <c r="N140" s="34">
        <v>1.12918984936897</v>
      </c>
      <c r="O140" s="34">
        <v>1.16085801049043</v>
      </c>
      <c r="P140" s="34">
        <v>1.13792550926475</v>
      </c>
      <c r="Q140" s="34">
        <v>1.1391079783226301</v>
      </c>
      <c r="R140" s="33">
        <v>85.543626793040303</v>
      </c>
      <c r="S140" s="33">
        <v>83.914149779770298</v>
      </c>
      <c r="T140" s="33">
        <v>84.048119734666599</v>
      </c>
      <c r="U140" s="15">
        <v>2.7658967783976501E-2</v>
      </c>
      <c r="V140" s="15">
        <v>8.4267168745350094E-3</v>
      </c>
      <c r="W140" s="15">
        <v>1.00219558968938E-2</v>
      </c>
      <c r="X140" s="34">
        <v>1.12918984936897</v>
      </c>
      <c r="Y140" s="34">
        <v>1.16060033170917</v>
      </c>
      <c r="Z140" s="34">
        <v>1.13792550926475</v>
      </c>
      <c r="AA140" s="34">
        <v>1.1391079783226301</v>
      </c>
      <c r="AB140" s="33">
        <v>85.524638443649195</v>
      </c>
      <c r="AC140" s="33">
        <v>83.914149779770298</v>
      </c>
      <c r="AD140" s="33">
        <v>84.048119734666599</v>
      </c>
      <c r="AE140" s="15">
        <v>2.7436970449253899E-2</v>
      </c>
      <c r="AF140" s="15">
        <v>8.4267168745350094E-3</v>
      </c>
      <c r="AG140" s="15">
        <v>1.00219558968938E-2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5.2984809856350144E-2</v>
      </c>
      <c r="AT140" s="12"/>
      <c r="AU140">
        <f t="shared" si="30"/>
        <v>1</v>
      </c>
      <c r="AV140">
        <f t="shared" si="31"/>
        <v>0</v>
      </c>
      <c r="AW140">
        <f t="shared" si="38"/>
        <v>1</v>
      </c>
      <c r="AX140">
        <f t="shared" si="25"/>
        <v>1</v>
      </c>
      <c r="AY140">
        <f t="shared" si="39"/>
        <v>1</v>
      </c>
      <c r="AZ140" s="28">
        <f t="shared" si="32"/>
        <v>1.0663528189903701E-2</v>
      </c>
      <c r="BA140" s="28">
        <f t="shared" si="33"/>
        <v>-1.39628737838541E-2</v>
      </c>
      <c r="BB140" s="28">
        <f t="shared" si="40"/>
        <v>-3.2993455939503997E-3</v>
      </c>
      <c r="BC140" s="29">
        <f t="shared" si="41"/>
        <v>4.8836072095559836E-3</v>
      </c>
      <c r="BE140" s="29">
        <f t="shared" si="42"/>
        <v>-3.2993455939503997E-3</v>
      </c>
      <c r="BF140" s="29">
        <f t="shared" si="43"/>
        <v>5.7868417065906133E-2</v>
      </c>
      <c r="BH140" s="29"/>
    </row>
    <row r="141" spans="1:60" x14ac:dyDescent="0.25">
      <c r="A141" s="1">
        <v>46227</v>
      </c>
      <c r="B141" s="33">
        <v>74.48</v>
      </c>
      <c r="C141" s="33">
        <v>84.13</v>
      </c>
      <c r="D141" s="15">
        <v>1.0663528189903701E-2</v>
      </c>
      <c r="E141" s="15">
        <v>1.0995688650383599E-2</v>
      </c>
      <c r="F141" s="33">
        <v>0</v>
      </c>
      <c r="G141" s="33">
        <v>0.694994</v>
      </c>
      <c r="H141" s="33">
        <v>0</v>
      </c>
      <c r="I141" s="33">
        <v>1.0290900000000001</v>
      </c>
      <c r="J141" s="33">
        <v>0</v>
      </c>
      <c r="K141" s="33">
        <v>0</v>
      </c>
      <c r="L141" s="33">
        <v>74.48</v>
      </c>
      <c r="M141" s="33">
        <v>84.13</v>
      </c>
      <c r="N141" s="34">
        <v>1.12956498388829</v>
      </c>
      <c r="O141" s="34">
        <v>1.16085801049043</v>
      </c>
      <c r="P141" s="34">
        <v>1.13686736954027</v>
      </c>
      <c r="Q141" s="34">
        <v>1.13801421105614</v>
      </c>
      <c r="R141" s="33">
        <v>86.460704621327693</v>
      </c>
      <c r="S141" s="33">
        <v>84.752691930038793</v>
      </c>
      <c r="T141" s="33">
        <v>84.840762225470101</v>
      </c>
      <c r="U141" s="15">
        <v>2.7326807323496901E-2</v>
      </c>
      <c r="V141" s="15">
        <v>7.3742873796978402E-3</v>
      </c>
      <c r="W141" s="15">
        <v>8.4128923634407497E-3</v>
      </c>
      <c r="X141" s="34">
        <v>1.12956498388829</v>
      </c>
      <c r="Y141" s="34">
        <v>1.16060033170917</v>
      </c>
      <c r="Z141" s="34">
        <v>1.13686736954027</v>
      </c>
      <c r="AA141" s="34">
        <v>1.13801421105614</v>
      </c>
      <c r="AB141" s="33">
        <v>86.441512705699395</v>
      </c>
      <c r="AC141" s="33">
        <v>84.752691930038907</v>
      </c>
      <c r="AD141" s="33">
        <v>84.840762225470101</v>
      </c>
      <c r="AE141" s="15">
        <v>2.7104809988774001E-2</v>
      </c>
      <c r="AF141" s="15">
        <v>7.3742873796980597E-3</v>
      </c>
      <c r="AG141" s="15">
        <v>8.4128923634407497E-3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5.2984809856350144E-2</v>
      </c>
      <c r="AT141" s="12"/>
      <c r="AU141">
        <f t="shared" si="30"/>
        <v>1</v>
      </c>
      <c r="AV141">
        <f t="shared" si="31"/>
        <v>0</v>
      </c>
      <c r="AW141">
        <f t="shared" si="38"/>
        <v>1</v>
      </c>
      <c r="AX141">
        <f t="shared" si="25"/>
        <v>1</v>
      </c>
      <c r="AY141">
        <f t="shared" si="39"/>
        <v>1</v>
      </c>
      <c r="AZ141" s="28">
        <f t="shared" si="32"/>
        <v>-1.0663528189903701E-2</v>
      </c>
      <c r="BA141" s="28">
        <f t="shared" si="33"/>
        <v>1.0995688650383599E-2</v>
      </c>
      <c r="BB141" s="28">
        <f t="shared" si="40"/>
        <v>3.3216046047989875E-4</v>
      </c>
      <c r="BC141" s="29">
        <f t="shared" si="41"/>
        <v>5.2157676700358823E-3</v>
      </c>
      <c r="BE141" s="29">
        <f t="shared" si="42"/>
        <v>3.3216046047989875E-4</v>
      </c>
      <c r="BF141" s="29">
        <f t="shared" si="43"/>
        <v>5.8200577526386035E-2</v>
      </c>
      <c r="BH141" s="29"/>
    </row>
    <row r="142" spans="1:60" x14ac:dyDescent="0.25">
      <c r="A142" s="1">
        <v>46230</v>
      </c>
      <c r="B142" s="33">
        <v>75.37</v>
      </c>
      <c r="C142" s="33">
        <v>85.36</v>
      </c>
      <c r="D142" s="15">
        <v>1.18786848865669E-2</v>
      </c>
      <c r="E142" s="15">
        <v>1.4514385430775699E-2</v>
      </c>
      <c r="F142" s="33">
        <v>0</v>
      </c>
      <c r="G142" s="33">
        <v>0.694994</v>
      </c>
      <c r="H142" s="33">
        <v>0</v>
      </c>
      <c r="I142" s="33">
        <v>1.0290900000000001</v>
      </c>
      <c r="J142" s="33">
        <v>0</v>
      </c>
      <c r="K142" s="33">
        <v>0</v>
      </c>
      <c r="L142" s="33">
        <v>75.37</v>
      </c>
      <c r="M142" s="33">
        <v>85.36</v>
      </c>
      <c r="N142" s="34">
        <v>1.13254610587767</v>
      </c>
      <c r="O142" s="34">
        <v>1.16085801049043</v>
      </c>
      <c r="P142" s="34">
        <v>1.1360885479360701</v>
      </c>
      <c r="Q142" s="34">
        <v>1.1371330302672</v>
      </c>
      <c r="R142" s="33">
        <v>87.493868250664207</v>
      </c>
      <c r="S142" s="33">
        <v>85.685693642250399</v>
      </c>
      <c r="T142" s="33">
        <v>85.772131087301901</v>
      </c>
      <c r="U142" s="15">
        <v>2.4691106779287798E-2</v>
      </c>
      <c r="V142" s="15">
        <v>3.80826934534996E-3</v>
      </c>
      <c r="W142" s="15">
        <v>4.8165342351034002E-3</v>
      </c>
      <c r="X142" s="34">
        <v>1.13254610587767</v>
      </c>
      <c r="Y142" s="34">
        <v>1.16060033170917</v>
      </c>
      <c r="Z142" s="34">
        <v>1.1360885479360701</v>
      </c>
      <c r="AA142" s="34">
        <v>1.1371330302672</v>
      </c>
      <c r="AB142" s="33">
        <v>87.474447000920605</v>
      </c>
      <c r="AC142" s="33">
        <v>85.685693642250399</v>
      </c>
      <c r="AD142" s="33">
        <v>85.772131087301901</v>
      </c>
      <c r="AE142" s="15">
        <v>2.44691094445652E-2</v>
      </c>
      <c r="AF142" s="15">
        <v>3.80826934534996E-3</v>
      </c>
      <c r="AG142" s="15">
        <v>4.8165342351034002E-3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5.2984809856350144E-2</v>
      </c>
      <c r="AT142" s="12"/>
      <c r="AU142">
        <f t="shared" si="30"/>
        <v>0</v>
      </c>
      <c r="AV142">
        <f t="shared" si="31"/>
        <v>0</v>
      </c>
      <c r="AW142">
        <f t="shared" si="38"/>
        <v>1</v>
      </c>
      <c r="AX142">
        <f t="shared" si="25"/>
        <v>1</v>
      </c>
      <c r="AY142">
        <f t="shared" si="39"/>
        <v>1</v>
      </c>
      <c r="AZ142" s="28">
        <f t="shared" si="32"/>
        <v>-1.18786848865669E-2</v>
      </c>
      <c r="BA142" s="28">
        <f t="shared" si="33"/>
        <v>1.4514385430775699E-2</v>
      </c>
      <c r="BB142" s="28">
        <f t="shared" si="40"/>
        <v>2.6357005442087991E-3</v>
      </c>
      <c r="BC142" s="29">
        <f t="shared" si="41"/>
        <v>7.8514682142446814E-3</v>
      </c>
      <c r="BE142" s="29">
        <f t="shared" si="42"/>
        <v>2.6357005442087991E-3</v>
      </c>
      <c r="BF142" s="29">
        <f t="shared" si="43"/>
        <v>6.0836278070594836E-2</v>
      </c>
      <c r="BH142" s="29"/>
    </row>
    <row r="143" spans="1:60" x14ac:dyDescent="0.25">
      <c r="A143" s="1">
        <v>46231</v>
      </c>
      <c r="B143" s="33">
        <v>77.040000000000006</v>
      </c>
      <c r="C143" s="33">
        <v>87.06</v>
      </c>
      <c r="D143" s="15">
        <v>2.1915449634491602E-2</v>
      </c>
      <c r="E143" s="15">
        <v>1.97199291306536E-2</v>
      </c>
      <c r="F143" s="33">
        <v>0</v>
      </c>
      <c r="G143" s="33">
        <v>0.694994</v>
      </c>
      <c r="H143" s="33">
        <v>0</v>
      </c>
      <c r="I143" s="33">
        <v>1.0290900000000001</v>
      </c>
      <c r="J143" s="33">
        <v>0</v>
      </c>
      <c r="K143" s="33">
        <v>0</v>
      </c>
      <c r="L143" s="33">
        <v>77.040000000000006</v>
      </c>
      <c r="M143" s="33">
        <v>87.06</v>
      </c>
      <c r="N143" s="34">
        <v>1.13006230529595</v>
      </c>
      <c r="O143" s="34">
        <v>1.16085801049043</v>
      </c>
      <c r="P143" s="34">
        <v>1.1349615181017301</v>
      </c>
      <c r="Q143" s="34">
        <v>1.1362572010270999</v>
      </c>
      <c r="R143" s="33">
        <v>89.432501128183205</v>
      </c>
      <c r="S143" s="33">
        <v>87.5242617329952</v>
      </c>
      <c r="T143" s="33">
        <v>87.604728651785607</v>
      </c>
      <c r="U143" s="15">
        <v>2.6886627283126099E-2</v>
      </c>
      <c r="V143" s="15">
        <v>5.3184957537856896E-3</v>
      </c>
      <c r="W143" s="15">
        <v>6.2374404045396001E-3</v>
      </c>
      <c r="X143" s="34">
        <v>1.13006230529595</v>
      </c>
      <c r="Y143" s="34">
        <v>1.16060033170917</v>
      </c>
      <c r="Z143" s="34">
        <v>1.1349615181017301</v>
      </c>
      <c r="AA143" s="34">
        <v>1.1362572010270999</v>
      </c>
      <c r="AB143" s="33">
        <v>89.412649554874903</v>
      </c>
      <c r="AC143" s="33">
        <v>87.5242617329952</v>
      </c>
      <c r="AD143" s="33">
        <v>87.604728651785607</v>
      </c>
      <c r="AE143" s="15">
        <v>2.6664629948403198E-2</v>
      </c>
      <c r="AF143" s="15">
        <v>5.3184957537852403E-3</v>
      </c>
      <c r="AG143" s="15">
        <v>6.2374404045396001E-3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5.2984809856350144E-2</v>
      </c>
      <c r="AT143" s="12"/>
      <c r="AU143">
        <f t="shared" si="30"/>
        <v>0</v>
      </c>
      <c r="AV143">
        <f t="shared" si="31"/>
        <v>0</v>
      </c>
      <c r="AW143">
        <f t="shared" si="38"/>
        <v>1</v>
      </c>
      <c r="AX143">
        <f t="shared" si="25"/>
        <v>1</v>
      </c>
      <c r="AY143">
        <f t="shared" si="39"/>
        <v>1</v>
      </c>
      <c r="AZ143" s="28">
        <f t="shared" si="32"/>
        <v>-2.1915449634491602E-2</v>
      </c>
      <c r="BA143" s="28">
        <f t="shared" si="33"/>
        <v>1.97199291306536E-2</v>
      </c>
      <c r="BB143" s="28">
        <f t="shared" si="40"/>
        <v>-2.195520503838002E-3</v>
      </c>
      <c r="BC143" s="29">
        <f t="shared" si="41"/>
        <v>5.6559477104066794E-3</v>
      </c>
      <c r="BE143" s="29">
        <f t="shared" si="42"/>
        <v>-2.195520503838002E-3</v>
      </c>
      <c r="BF143" s="29">
        <f t="shared" si="43"/>
        <v>5.8640757566756838E-2</v>
      </c>
      <c r="BH143" s="29"/>
    </row>
    <row r="144" spans="1:60" x14ac:dyDescent="0.25">
      <c r="A144" s="1">
        <v>46232</v>
      </c>
      <c r="B144" s="33">
        <v>76.849999999999994</v>
      </c>
      <c r="C144" s="33">
        <v>87.36</v>
      </c>
      <c r="D144" s="15">
        <v>-2.46929750526538E-3</v>
      </c>
      <c r="E144" s="15">
        <v>3.4399758724434799E-3</v>
      </c>
      <c r="F144" s="33">
        <v>0</v>
      </c>
      <c r="G144" s="33">
        <v>0.694994</v>
      </c>
      <c r="H144" s="33">
        <v>0</v>
      </c>
      <c r="I144" s="33">
        <v>1.0290900000000001</v>
      </c>
      <c r="J144" s="33">
        <v>0</v>
      </c>
      <c r="K144" s="33">
        <v>0</v>
      </c>
      <c r="L144" s="33">
        <v>76.849999999999994</v>
      </c>
      <c r="M144" s="33">
        <v>87.36</v>
      </c>
      <c r="N144" s="34">
        <v>1.13675992192582</v>
      </c>
      <c r="O144" s="34">
        <v>1.16085801049043</v>
      </c>
      <c r="P144" s="34">
        <v>1.13446708217231</v>
      </c>
      <c r="Q144" s="34">
        <v>1.1359316958847501</v>
      </c>
      <c r="R144" s="33">
        <v>89.211938106190004</v>
      </c>
      <c r="S144" s="33">
        <v>87.221792666118304</v>
      </c>
      <c r="T144" s="33">
        <v>87.321365898933294</v>
      </c>
      <c r="U144" s="15">
        <v>2.09773539054171E-2</v>
      </c>
      <c r="V144" s="15">
        <v>-1.5832964095837E-3</v>
      </c>
      <c r="W144" s="15">
        <v>-4.4233798491126198E-4</v>
      </c>
      <c r="X144" s="34">
        <v>1.13675992192582</v>
      </c>
      <c r="Y144" s="34">
        <v>1.16060033170917</v>
      </c>
      <c r="Z144" s="34">
        <v>1.13446708217231</v>
      </c>
      <c r="AA144" s="34">
        <v>1.1359316958847501</v>
      </c>
      <c r="AB144" s="33">
        <v>89.192135491850095</v>
      </c>
      <c r="AC144" s="33">
        <v>87.221792666118304</v>
      </c>
      <c r="AD144" s="33">
        <v>87.321365898933294</v>
      </c>
      <c r="AE144" s="15">
        <v>2.0755356570694401E-2</v>
      </c>
      <c r="AF144" s="15">
        <v>-1.5832964095837E-3</v>
      </c>
      <c r="AG144" s="15">
        <v>-4.4233798491126198E-4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5.2984809856350144E-2</v>
      </c>
      <c r="AT144" s="12"/>
      <c r="AU144">
        <f t="shared" si="30"/>
        <v>0</v>
      </c>
      <c r="AV144">
        <f t="shared" si="31"/>
        <v>1</v>
      </c>
      <c r="AW144">
        <f t="shared" si="38"/>
        <v>1</v>
      </c>
      <c r="AX144">
        <f t="shared" si="25"/>
        <v>1</v>
      </c>
      <c r="AY144">
        <f t="shared" si="39"/>
        <v>1</v>
      </c>
      <c r="AZ144" s="28">
        <f t="shared" si="32"/>
        <v>2.46929750526538E-3</v>
      </c>
      <c r="BA144" s="28">
        <f t="shared" si="33"/>
        <v>3.4399758724434799E-3</v>
      </c>
      <c r="BB144" s="28">
        <f t="shared" si="40"/>
        <v>5.9092733777088603E-3</v>
      </c>
      <c r="BC144" s="29">
        <f t="shared" si="41"/>
        <v>1.156522108811554E-2</v>
      </c>
      <c r="BE144" s="29">
        <f t="shared" si="42"/>
        <v>5.9092733777088603E-3</v>
      </c>
      <c r="BF144" s="29">
        <f t="shared" si="43"/>
        <v>6.4550030944465694E-2</v>
      </c>
      <c r="BH144" s="29"/>
    </row>
    <row r="145" spans="1:60" x14ac:dyDescent="0.25">
      <c r="A145" s="1">
        <v>46233</v>
      </c>
      <c r="B145" s="33">
        <v>75.34</v>
      </c>
      <c r="C145" s="33">
        <v>85.47</v>
      </c>
      <c r="D145" s="15">
        <v>-1.9844267720709699E-2</v>
      </c>
      <c r="E145" s="15">
        <v>-2.1872074818668302E-2</v>
      </c>
      <c r="F145" s="33">
        <v>0</v>
      </c>
      <c r="G145" s="33">
        <v>0.694994</v>
      </c>
      <c r="H145" s="33">
        <v>0</v>
      </c>
      <c r="I145" s="33">
        <v>1.0290900000000001</v>
      </c>
      <c r="J145" s="33">
        <v>0</v>
      </c>
      <c r="K145" s="33">
        <v>0</v>
      </c>
      <c r="L145" s="33">
        <v>75.34</v>
      </c>
      <c r="M145" s="33">
        <v>85.47</v>
      </c>
      <c r="N145" s="34">
        <v>1.1344571276878099</v>
      </c>
      <c r="O145" s="34">
        <v>1.16085801049043</v>
      </c>
      <c r="P145" s="34">
        <v>1.1338795723497299</v>
      </c>
      <c r="Q145" s="34">
        <v>1.1358255169300799</v>
      </c>
      <c r="R145" s="33">
        <v>87.459042510349505</v>
      </c>
      <c r="S145" s="33">
        <v>85.470749970861803</v>
      </c>
      <c r="T145" s="33">
        <v>85.581093967957301</v>
      </c>
      <c r="U145" s="15">
        <v>2.3005161003375602E-2</v>
      </c>
      <c r="V145" s="15">
        <v>8.7746293613626003E-6</v>
      </c>
      <c r="W145" s="15">
        <v>1.2989567152236301E-3</v>
      </c>
      <c r="X145" s="34">
        <v>1.1344571276878099</v>
      </c>
      <c r="Y145" s="34">
        <v>1.16060033170917</v>
      </c>
      <c r="Z145" s="34">
        <v>1.1338795723497199</v>
      </c>
      <c r="AA145" s="34">
        <v>1.1358255169300799</v>
      </c>
      <c r="AB145" s="33">
        <v>87.439628990969297</v>
      </c>
      <c r="AC145" s="33">
        <v>85.470749970861803</v>
      </c>
      <c r="AD145" s="33">
        <v>85.581093967957301</v>
      </c>
      <c r="AE145" s="15">
        <v>2.2783163668652899E-2</v>
      </c>
      <c r="AF145" s="15">
        <v>8.7746293613626003E-6</v>
      </c>
      <c r="AG145" s="15">
        <v>1.2989567152236301E-3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5.2984809856350144E-2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1.156522108811554E-2</v>
      </c>
      <c r="BE145" s="29">
        <f t="shared" si="42"/>
        <v>0</v>
      </c>
      <c r="BF145" s="29">
        <f t="shared" si="43"/>
        <v>6.4550030944465694E-2</v>
      </c>
      <c r="BH145" s="29"/>
    </row>
    <row r="146" spans="1:60" x14ac:dyDescent="0.25">
      <c r="A146" s="1">
        <v>46234</v>
      </c>
      <c r="B146" s="33">
        <v>74.72</v>
      </c>
      <c r="C146" s="33">
        <v>85.05</v>
      </c>
      <c r="D146" s="15">
        <v>-8.2634083433078299E-3</v>
      </c>
      <c r="E146" s="15">
        <v>-4.9261183360558803E-3</v>
      </c>
      <c r="F146" s="33">
        <v>0</v>
      </c>
      <c r="G146" s="33">
        <v>0.694994</v>
      </c>
      <c r="H146" s="33">
        <v>0</v>
      </c>
      <c r="I146" s="33">
        <v>1.0290900000000001</v>
      </c>
      <c r="J146" s="33">
        <v>0</v>
      </c>
      <c r="K146" s="33">
        <v>0</v>
      </c>
      <c r="L146" s="33">
        <v>74.72</v>
      </c>
      <c r="M146" s="33">
        <v>85.05</v>
      </c>
      <c r="N146" s="34">
        <v>1.1382494646680901</v>
      </c>
      <c r="O146" s="34">
        <v>1.16085801049043</v>
      </c>
      <c r="P146" s="34">
        <v>1.13378368436882</v>
      </c>
      <c r="Q146" s="34">
        <v>1.1359340869419901</v>
      </c>
      <c r="R146" s="33">
        <v>86.739310543845406</v>
      </c>
      <c r="S146" s="33">
        <v>84.723481645971802</v>
      </c>
      <c r="T146" s="33">
        <v>84.868882625015601</v>
      </c>
      <c r="U146" s="15">
        <v>1.9667870996123701E-2</v>
      </c>
      <c r="V146" s="15">
        <v>-3.8465224775079401E-3</v>
      </c>
      <c r="W146" s="15">
        <v>-2.1318106708181702E-3</v>
      </c>
      <c r="X146" s="34">
        <v>1.1382494646680901</v>
      </c>
      <c r="Y146" s="34">
        <v>1.16060033170917</v>
      </c>
      <c r="Z146" s="34">
        <v>1.13378368436882</v>
      </c>
      <c r="AA146" s="34">
        <v>1.1359340869419901</v>
      </c>
      <c r="AB146" s="33">
        <v>86.720056785309595</v>
      </c>
      <c r="AC146" s="33">
        <v>84.723481645971802</v>
      </c>
      <c r="AD146" s="33">
        <v>84.868882625015601</v>
      </c>
      <c r="AE146" s="15">
        <v>1.9445873661400999E-2</v>
      </c>
      <c r="AF146" s="15">
        <v>-3.84652247750816E-3</v>
      </c>
      <c r="AG146" s="15">
        <v>-2.1318106708181702E-3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1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5.2984809856350144E-2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1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1.156522108811554E-2</v>
      </c>
      <c r="BE146" s="29">
        <f t="shared" si="42"/>
        <v>0</v>
      </c>
      <c r="BF146" s="29">
        <f t="shared" si="43"/>
        <v>6.4550030944465694E-2</v>
      </c>
      <c r="BH146" s="29"/>
    </row>
    <row r="147" spans="1:60" x14ac:dyDescent="0.25">
      <c r="A147" s="1">
        <v>46237</v>
      </c>
      <c r="B147" s="33">
        <v>74.2</v>
      </c>
      <c r="C147" s="33">
        <v>84.86</v>
      </c>
      <c r="D147" s="15">
        <v>-6.9836437472523497E-3</v>
      </c>
      <c r="E147" s="15">
        <v>-2.2364790676919601E-3</v>
      </c>
      <c r="F147" s="33">
        <v>0</v>
      </c>
      <c r="G147" s="33">
        <v>0.694994</v>
      </c>
      <c r="H147" s="33">
        <v>0</v>
      </c>
      <c r="I147" s="33">
        <v>1.0290900000000001</v>
      </c>
      <c r="J147" s="33">
        <v>0</v>
      </c>
      <c r="K147" s="33">
        <v>0</v>
      </c>
      <c r="L147" s="33">
        <v>74.2</v>
      </c>
      <c r="M147" s="33">
        <v>84.86</v>
      </c>
      <c r="N147" s="34">
        <v>1.1436657681940701</v>
      </c>
      <c r="O147" s="34">
        <v>1.16085801049043</v>
      </c>
      <c r="P147" s="34">
        <v>1.13421363390574</v>
      </c>
      <c r="Q147" s="34">
        <v>1.13640035350114</v>
      </c>
      <c r="R147" s="33">
        <v>86.135664378390402</v>
      </c>
      <c r="S147" s="33">
        <v>84.1267493801668</v>
      </c>
      <c r="T147" s="33">
        <v>84.286309251095702</v>
      </c>
      <c r="U147" s="15">
        <v>1.4920706316563399E-2</v>
      </c>
      <c r="V147" s="15">
        <v>-8.6782570160868992E-3</v>
      </c>
      <c r="W147" s="15">
        <v>-6.7833930433353904E-3</v>
      </c>
      <c r="X147" s="34">
        <v>1.1436657681940701</v>
      </c>
      <c r="Y147" s="34">
        <v>1.16060033170917</v>
      </c>
      <c r="Z147" s="34">
        <v>1.13421363390574</v>
      </c>
      <c r="AA147" s="34">
        <v>1.13640035350114</v>
      </c>
      <c r="AB147" s="33">
        <v>86.116544612820803</v>
      </c>
      <c r="AC147" s="33">
        <v>84.1267493801668</v>
      </c>
      <c r="AD147" s="33">
        <v>84.286309251095702</v>
      </c>
      <c r="AE147" s="15">
        <v>1.46987089818404E-2</v>
      </c>
      <c r="AF147" s="15">
        <v>-8.6782570160868992E-3</v>
      </c>
      <c r="AG147" s="15">
        <v>-6.7833930433353904E-3</v>
      </c>
      <c r="AI147" s="12"/>
      <c r="AJ147">
        <f t="shared" si="26"/>
        <v>1</v>
      </c>
      <c r="AK147">
        <f t="shared" si="27"/>
        <v>0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5.2984809856350144E-2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1.156522108811554E-2</v>
      </c>
      <c r="BE147" s="29">
        <f t="shared" si="42"/>
        <v>0</v>
      </c>
      <c r="BF147" s="29">
        <f t="shared" si="43"/>
        <v>6.4550030944465694E-2</v>
      </c>
      <c r="BH147" s="29"/>
    </row>
    <row r="148" spans="1:60" x14ac:dyDescent="0.25">
      <c r="A148" s="1">
        <v>46238</v>
      </c>
      <c r="B148" s="33">
        <v>74.61</v>
      </c>
      <c r="C148" s="33">
        <v>85.37</v>
      </c>
      <c r="D148" s="15">
        <v>5.5103963100881E-3</v>
      </c>
      <c r="E148" s="15">
        <v>5.9919112480364004E-3</v>
      </c>
      <c r="F148" s="33">
        <v>0</v>
      </c>
      <c r="G148" s="33">
        <v>0.694994</v>
      </c>
      <c r="H148" s="33">
        <v>0</v>
      </c>
      <c r="I148" s="33">
        <v>1.0290900000000001</v>
      </c>
      <c r="J148" s="33">
        <v>0</v>
      </c>
      <c r="K148" s="33">
        <v>0</v>
      </c>
      <c r="L148" s="33">
        <v>74.61</v>
      </c>
      <c r="M148" s="33">
        <v>85.37</v>
      </c>
      <c r="N148" s="34">
        <v>1.1442165929500001</v>
      </c>
      <c r="O148" s="34">
        <v>1.16085801049043</v>
      </c>
      <c r="P148" s="34">
        <v>1.1351633709545199</v>
      </c>
      <c r="Q148" s="34">
        <v>1.13708307230398</v>
      </c>
      <c r="R148" s="33">
        <v>86.611616162691504</v>
      </c>
      <c r="S148" s="33">
        <v>84.623679225707306</v>
      </c>
      <c r="T148" s="33">
        <v>84.786830374720097</v>
      </c>
      <c r="U148" s="15">
        <v>1.44391913786152E-2</v>
      </c>
      <c r="V148" s="15">
        <v>-8.7806272887383397E-3</v>
      </c>
      <c r="W148" s="15">
        <v>-6.85452246989418E-3</v>
      </c>
      <c r="X148" s="34">
        <v>1.1442165929500001</v>
      </c>
      <c r="Y148" s="34">
        <v>1.16060033170917</v>
      </c>
      <c r="Z148" s="34">
        <v>1.1351633709545199</v>
      </c>
      <c r="AA148" s="34">
        <v>1.13708307230398</v>
      </c>
      <c r="AB148" s="33">
        <v>86.5923907488216</v>
      </c>
      <c r="AC148" s="33">
        <v>84.623679225707306</v>
      </c>
      <c r="AD148" s="33">
        <v>84.786830374720097</v>
      </c>
      <c r="AE148" s="15">
        <v>1.42171940438925E-2</v>
      </c>
      <c r="AF148" s="15">
        <v>-8.7806272887383397E-3</v>
      </c>
      <c r="AG148" s="15">
        <v>-6.85452246989418E-3</v>
      </c>
      <c r="AI148" s="12"/>
      <c r="AJ148">
        <f t="shared" si="26"/>
        <v>1</v>
      </c>
      <c r="AK148">
        <f t="shared" si="27"/>
        <v>0</v>
      </c>
      <c r="AL148">
        <f t="shared" si="34"/>
        <v>1</v>
      </c>
      <c r="AM148">
        <f t="shared" si="24"/>
        <v>1</v>
      </c>
      <c r="AN148">
        <f t="shared" si="35"/>
        <v>1</v>
      </c>
      <c r="AO148" s="28">
        <f t="shared" si="28"/>
        <v>5.5103963100881E-3</v>
      </c>
      <c r="AP148" s="28">
        <f t="shared" si="29"/>
        <v>-5.9919112480364004E-3</v>
      </c>
      <c r="AQ148" s="28">
        <f t="shared" si="36"/>
        <v>-4.8151493794830035E-4</v>
      </c>
      <c r="AR148" s="29">
        <f t="shared" si="37"/>
        <v>5.2503294918401847E-2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1.156522108811554E-2</v>
      </c>
      <c r="BE148" s="29">
        <f t="shared" si="42"/>
        <v>-4.8151493794830035E-4</v>
      </c>
      <c r="BF148" s="29">
        <f t="shared" si="43"/>
        <v>6.406851600651739E-2</v>
      </c>
      <c r="BH148" s="29"/>
    </row>
    <row r="149" spans="1:60" x14ac:dyDescent="0.25">
      <c r="A149" s="1">
        <v>46239</v>
      </c>
      <c r="B149" s="33">
        <v>74.75</v>
      </c>
      <c r="C149" s="33">
        <v>85.33</v>
      </c>
      <c r="D149" s="15">
        <v>1.87466578737288E-3</v>
      </c>
      <c r="E149" s="15">
        <v>-4.6865847372159499E-4</v>
      </c>
      <c r="F149" s="33">
        <v>0</v>
      </c>
      <c r="G149" s="33">
        <v>0.694994</v>
      </c>
      <c r="H149" s="33">
        <v>0</v>
      </c>
      <c r="I149" s="33">
        <v>1.0290900000000001</v>
      </c>
      <c r="J149" s="33">
        <v>0</v>
      </c>
      <c r="K149" s="33">
        <v>0</v>
      </c>
      <c r="L149" s="33">
        <v>74.75</v>
      </c>
      <c r="M149" s="33">
        <v>85.33</v>
      </c>
      <c r="N149" s="34">
        <v>1.1415384615384601</v>
      </c>
      <c r="O149" s="34">
        <v>1.16085801049043</v>
      </c>
      <c r="P149" s="34">
        <v>1.1360250581395099</v>
      </c>
      <c r="Q149" s="34">
        <v>1.1373852375768101</v>
      </c>
      <c r="R149" s="33">
        <v>86.774136284160093</v>
      </c>
      <c r="S149" s="33">
        <v>84.853461978850405</v>
      </c>
      <c r="T149" s="33">
        <v>84.996959654722801</v>
      </c>
      <c r="U149" s="15">
        <v>1.67825156397097E-2</v>
      </c>
      <c r="V149" s="15">
        <v>-5.6003005356004797E-3</v>
      </c>
      <c r="W149" s="15">
        <v>-3.91060546586138E-3</v>
      </c>
      <c r="X149" s="34">
        <v>1.1415384615384601</v>
      </c>
      <c r="Y149" s="34">
        <v>1.16060033170917</v>
      </c>
      <c r="Z149" s="34">
        <v>1.1360250581395099</v>
      </c>
      <c r="AA149" s="34">
        <v>1.1373852375768101</v>
      </c>
      <c r="AB149" s="33">
        <v>86.754874795260903</v>
      </c>
      <c r="AC149" s="33">
        <v>84.853461978850405</v>
      </c>
      <c r="AD149" s="33">
        <v>84.996959654722801</v>
      </c>
      <c r="AE149" s="15">
        <v>1.6560518304986799E-2</v>
      </c>
      <c r="AF149" s="15">
        <v>-5.6003005356004797E-3</v>
      </c>
      <c r="AG149" s="15">
        <v>-3.9106054658610504E-3</v>
      </c>
      <c r="AI149" s="12"/>
      <c r="AJ149">
        <f t="shared" si="26"/>
        <v>0</v>
      </c>
      <c r="AK149">
        <f t="shared" si="27"/>
        <v>0</v>
      </c>
      <c r="AL149">
        <f t="shared" si="34"/>
        <v>1</v>
      </c>
      <c r="AM149">
        <f t="shared" ref="AM149:AM176" si="44">IF(F150+H150&gt;0,0,1)</f>
        <v>1</v>
      </c>
      <c r="AN149">
        <f t="shared" si="35"/>
        <v>1</v>
      </c>
      <c r="AO149" s="28">
        <f t="shared" si="28"/>
        <v>1.87466578737288E-3</v>
      </c>
      <c r="AP149" s="28">
        <f t="shared" si="29"/>
        <v>4.6865847372159499E-4</v>
      </c>
      <c r="AQ149" s="28">
        <f t="shared" si="36"/>
        <v>2.343324261094475E-3</v>
      </c>
      <c r="AR149" s="29">
        <f t="shared" si="37"/>
        <v>5.484661917949632E-2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1.156522108811554E-2</v>
      </c>
      <c r="BE149" s="29">
        <f t="shared" si="42"/>
        <v>2.343324261094475E-3</v>
      </c>
      <c r="BF149" s="29">
        <f t="shared" si="43"/>
        <v>6.6411840267611863E-2</v>
      </c>
      <c r="BH149" s="29"/>
    </row>
    <row r="150" spans="1:60" x14ac:dyDescent="0.25">
      <c r="A150" s="1">
        <v>46240</v>
      </c>
      <c r="B150" s="33">
        <v>74.55</v>
      </c>
      <c r="C150" s="33">
        <v>85.11</v>
      </c>
      <c r="D150" s="15">
        <v>-2.6791710600484698E-3</v>
      </c>
      <c r="E150" s="15">
        <v>-2.5815550596238E-3</v>
      </c>
      <c r="F150" s="33">
        <v>0</v>
      </c>
      <c r="G150" s="33">
        <v>0.694994</v>
      </c>
      <c r="H150" s="33">
        <v>0</v>
      </c>
      <c r="I150" s="33">
        <v>1.0290900000000001</v>
      </c>
      <c r="J150" s="33">
        <v>0</v>
      </c>
      <c r="K150" s="33">
        <v>0</v>
      </c>
      <c r="L150" s="33">
        <v>74.55</v>
      </c>
      <c r="M150" s="33">
        <v>85.11</v>
      </c>
      <c r="N150" s="34">
        <v>1.14164989939637</v>
      </c>
      <c r="O150" s="34">
        <v>1.16085801049043</v>
      </c>
      <c r="P150" s="34">
        <v>1.13727106314225</v>
      </c>
      <c r="Q150" s="34">
        <v>1.1375982862034999</v>
      </c>
      <c r="R150" s="33">
        <v>86.541964682062002</v>
      </c>
      <c r="S150" s="33">
        <v>84.690668084300896</v>
      </c>
      <c r="T150" s="33">
        <v>84.792069461351701</v>
      </c>
      <c r="U150" s="15">
        <v>1.66848996392851E-2</v>
      </c>
      <c r="V150" s="15">
        <v>-4.93911800103599E-3</v>
      </c>
      <c r="W150" s="15">
        <v>-3.74251956725502E-3</v>
      </c>
      <c r="X150" s="34">
        <v>1.14164989939637</v>
      </c>
      <c r="Y150" s="34">
        <v>1.16060033170917</v>
      </c>
      <c r="Z150" s="34">
        <v>1.13727106314225</v>
      </c>
      <c r="AA150" s="34">
        <v>1.1375982862034999</v>
      </c>
      <c r="AB150" s="33">
        <v>86.522754728918997</v>
      </c>
      <c r="AC150" s="33">
        <v>84.690668084300896</v>
      </c>
      <c r="AD150" s="33">
        <v>84.792069461351701</v>
      </c>
      <c r="AE150" s="15">
        <v>1.64629023045622E-2</v>
      </c>
      <c r="AF150" s="15">
        <v>-4.93911800103599E-3</v>
      </c>
      <c r="AG150" s="15">
        <v>-3.74251956725502E-3</v>
      </c>
      <c r="AI150" s="12"/>
      <c r="AJ150">
        <f t="shared" ref="AJ150:AJ176" si="46">IF($AG150&lt;AI$21,1,0)</f>
        <v>0</v>
      </c>
      <c r="AK150">
        <f t="shared" ref="AK150:AK176" si="47">IF($AG150&gt;AI$22,1,0)</f>
        <v>0</v>
      </c>
      <c r="AL150">
        <f t="shared" si="34"/>
        <v>1</v>
      </c>
      <c r="AM150">
        <f t="shared" si="44"/>
        <v>1</v>
      </c>
      <c r="AN150">
        <f t="shared" si="35"/>
        <v>1</v>
      </c>
      <c r="AO150" s="28">
        <f t="shared" ref="AO150:AO176" si="48">AN150*D150</f>
        <v>-2.6791710600484698E-3</v>
      </c>
      <c r="AP150" s="28">
        <f t="shared" ref="AP150:AP176" si="49">-AN150*$E150</f>
        <v>2.5815550596238E-3</v>
      </c>
      <c r="AQ150" s="28">
        <f t="shared" si="36"/>
        <v>-9.761600042466987E-5</v>
      </c>
      <c r="AR150" s="29">
        <f t="shared" si="37"/>
        <v>5.4749003179071651E-2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1.156522108811554E-2</v>
      </c>
      <c r="BE150" s="29">
        <f t="shared" si="42"/>
        <v>-9.761600042466987E-5</v>
      </c>
      <c r="BF150" s="29">
        <f t="shared" si="43"/>
        <v>6.6314224267187194E-2</v>
      </c>
      <c r="BH150" s="29"/>
    </row>
    <row r="151" spans="1:60" x14ac:dyDescent="0.25">
      <c r="A151" s="1">
        <v>46241</v>
      </c>
      <c r="B151" s="33">
        <v>74.45</v>
      </c>
      <c r="C151" s="33">
        <v>85.12</v>
      </c>
      <c r="D151" s="15">
        <v>-1.3422820807293999E-3</v>
      </c>
      <c r="E151" s="15">
        <v>1.17488104464543E-4</v>
      </c>
      <c r="F151" s="33">
        <v>0</v>
      </c>
      <c r="G151" s="33">
        <v>0.694994</v>
      </c>
      <c r="H151" s="33">
        <v>0</v>
      </c>
      <c r="I151" s="33">
        <v>1.0290900000000001</v>
      </c>
      <c r="J151" s="33">
        <v>0</v>
      </c>
      <c r="K151" s="33">
        <v>0</v>
      </c>
      <c r="L151" s="33">
        <v>74.45</v>
      </c>
      <c r="M151" s="33">
        <v>85.12</v>
      </c>
      <c r="N151" s="34">
        <v>1.14331766286098</v>
      </c>
      <c r="O151" s="34">
        <v>1.16085801049043</v>
      </c>
      <c r="P151" s="34">
        <v>1.1386463310395201</v>
      </c>
      <c r="Q151" s="34">
        <v>1.13775685028989</v>
      </c>
      <c r="R151" s="33">
        <v>86.425878881013006</v>
      </c>
      <c r="S151" s="33">
        <v>84.669830650940995</v>
      </c>
      <c r="T151" s="33">
        <v>84.694192407850906</v>
      </c>
      <c r="U151" s="15">
        <v>1.52251294540911E-2</v>
      </c>
      <c r="V151" s="15">
        <v>-5.3026780481402304E-3</v>
      </c>
      <c r="W151" s="15">
        <v>-5.0149928994529403E-3</v>
      </c>
      <c r="X151" s="34">
        <v>1.14331766286098</v>
      </c>
      <c r="Y151" s="34">
        <v>1.16060033170917</v>
      </c>
      <c r="Z151" s="34">
        <v>1.1386463310395201</v>
      </c>
      <c r="AA151" s="34">
        <v>1.13775685028989</v>
      </c>
      <c r="AB151" s="33">
        <v>86.406694695748101</v>
      </c>
      <c r="AC151" s="33">
        <v>84.669830650940995</v>
      </c>
      <c r="AD151" s="33">
        <v>84.694192407850906</v>
      </c>
      <c r="AE151" s="15">
        <v>1.50031321193682E-2</v>
      </c>
      <c r="AF151" s="15">
        <v>-5.3026780481404499E-3</v>
      </c>
      <c r="AG151" s="15">
        <v>-5.0149928994529403E-3</v>
      </c>
      <c r="AI151" s="12"/>
      <c r="AJ151">
        <f t="shared" si="46"/>
        <v>1</v>
      </c>
      <c r="AK151">
        <f t="shared" si="47"/>
        <v>0</v>
      </c>
      <c r="AL151">
        <f t="shared" ref="AL151:AL176" si="54">AN151</f>
        <v>1</v>
      </c>
      <c r="AM151">
        <f t="shared" si="44"/>
        <v>1</v>
      </c>
      <c r="AN151">
        <f t="shared" ref="AN151:AN176" si="55">IF(AJ150,1,IF(AK150,0,AL150))*AM150</f>
        <v>1</v>
      </c>
      <c r="AO151" s="28">
        <f t="shared" si="48"/>
        <v>-1.3422820807293999E-3</v>
      </c>
      <c r="AP151" s="28">
        <f t="shared" si="49"/>
        <v>-1.17488104464543E-4</v>
      </c>
      <c r="AQ151" s="28">
        <f t="shared" ref="AQ151:AQ176" si="56">AO151+AP151</f>
        <v>-1.4597701851939429E-3</v>
      </c>
      <c r="AR151" s="29">
        <f t="shared" ref="AR151:AR176" si="57">AR150+AQ151</f>
        <v>5.3289232993877708E-2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1.156522108811554E-2</v>
      </c>
      <c r="BE151" s="29">
        <f t="shared" ref="BE151:BE176" si="62">AQ151+BB151</f>
        <v>-1.4597701851939429E-3</v>
      </c>
      <c r="BF151" s="29">
        <f t="shared" ref="BF151:BF176" si="63">BF150+BE151</f>
        <v>6.4854454081993251E-2</v>
      </c>
      <c r="BH151" s="29"/>
    </row>
    <row r="152" spans="1:60" x14ac:dyDescent="0.25">
      <c r="A152" s="1">
        <v>46244</v>
      </c>
      <c r="B152" s="33">
        <v>74.19</v>
      </c>
      <c r="C152" s="33">
        <v>84.95</v>
      </c>
      <c r="D152" s="15">
        <v>-3.4983889285834999E-3</v>
      </c>
      <c r="E152" s="15">
        <v>-1.9991774753932399E-3</v>
      </c>
      <c r="F152" s="33">
        <v>0</v>
      </c>
      <c r="G152" s="33">
        <v>0.694994</v>
      </c>
      <c r="H152" s="33">
        <v>0</v>
      </c>
      <c r="I152" s="33">
        <v>1.0290900000000001</v>
      </c>
      <c r="J152" s="33">
        <v>0</v>
      </c>
      <c r="K152" s="33">
        <v>0</v>
      </c>
      <c r="L152" s="33">
        <v>74.19</v>
      </c>
      <c r="M152" s="33">
        <v>84.95</v>
      </c>
      <c r="N152" s="34">
        <v>1.1450330233185</v>
      </c>
      <c r="O152" s="34">
        <v>1.16085801049043</v>
      </c>
      <c r="P152" s="34">
        <v>1.1398950227836</v>
      </c>
      <c r="Q152" s="34">
        <v>1.13799178535984</v>
      </c>
      <c r="R152" s="33">
        <v>86.124055798285497</v>
      </c>
      <c r="S152" s="33">
        <v>84.476171299822397</v>
      </c>
      <c r="T152" s="33">
        <v>84.410180723007599</v>
      </c>
      <c r="U152" s="15">
        <v>1.37259180009007E-2</v>
      </c>
      <c r="V152" s="15">
        <v>-5.5933499750948296E-3</v>
      </c>
      <c r="W152" s="15">
        <v>-6.3748291104160602E-3</v>
      </c>
      <c r="X152" s="34">
        <v>1.1450330233185</v>
      </c>
      <c r="Y152" s="34">
        <v>1.16060033170917</v>
      </c>
      <c r="Z152" s="34">
        <v>1.1398950227836</v>
      </c>
      <c r="AA152" s="34">
        <v>1.13799178535984</v>
      </c>
      <c r="AB152" s="33">
        <v>86.104938609503705</v>
      </c>
      <c r="AC152" s="33">
        <v>84.476171299822397</v>
      </c>
      <c r="AD152" s="33">
        <v>84.410180723007599</v>
      </c>
      <c r="AE152" s="15">
        <v>1.35039206661779E-2</v>
      </c>
      <c r="AF152" s="15">
        <v>-5.5933499750948296E-3</v>
      </c>
      <c r="AG152" s="15">
        <v>-6.3748291104157202E-3</v>
      </c>
      <c r="AI152" s="12"/>
      <c r="AJ152">
        <f t="shared" si="46"/>
        <v>1</v>
      </c>
      <c r="AK152">
        <f t="shared" si="47"/>
        <v>0</v>
      </c>
      <c r="AL152">
        <f t="shared" si="54"/>
        <v>1</v>
      </c>
      <c r="AM152">
        <f t="shared" si="44"/>
        <v>1</v>
      </c>
      <c r="AN152">
        <f t="shared" si="55"/>
        <v>1</v>
      </c>
      <c r="AO152" s="28">
        <f t="shared" si="48"/>
        <v>-3.4983889285834999E-3</v>
      </c>
      <c r="AP152" s="28">
        <f t="shared" si="49"/>
        <v>1.9991774753932399E-3</v>
      </c>
      <c r="AQ152" s="28">
        <f t="shared" si="56"/>
        <v>-1.4992114531902599E-3</v>
      </c>
      <c r="AR152" s="29">
        <f t="shared" si="57"/>
        <v>5.1790021540687445E-2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1.156522108811554E-2</v>
      </c>
      <c r="BE152" s="29">
        <f t="shared" si="62"/>
        <v>-1.4992114531902599E-3</v>
      </c>
      <c r="BF152" s="29">
        <f t="shared" si="63"/>
        <v>6.3355242628802988E-2</v>
      </c>
      <c r="BH152" s="29"/>
    </row>
    <row r="153" spans="1:60" x14ac:dyDescent="0.25">
      <c r="A153" s="1">
        <v>46245</v>
      </c>
      <c r="B153" s="33">
        <v>74.099999999999994</v>
      </c>
      <c r="C153" s="33">
        <v>84.69</v>
      </c>
      <c r="D153" s="15">
        <v>-1.2138378993934199E-3</v>
      </c>
      <c r="E153" s="15">
        <v>-3.06531718443343E-3</v>
      </c>
      <c r="F153" s="33">
        <v>0</v>
      </c>
      <c r="G153" s="33">
        <v>0.694994</v>
      </c>
      <c r="H153" s="33">
        <v>0</v>
      </c>
      <c r="I153" s="33">
        <v>1.0290900000000001</v>
      </c>
      <c r="J153" s="33">
        <v>0</v>
      </c>
      <c r="K153" s="33">
        <v>0</v>
      </c>
      <c r="L153" s="33">
        <v>74.099999999999994</v>
      </c>
      <c r="M153" s="33">
        <v>84.69</v>
      </c>
      <c r="N153" s="34">
        <v>1.1429149797570799</v>
      </c>
      <c r="O153" s="34">
        <v>1.16085801049043</v>
      </c>
      <c r="P153" s="34">
        <v>1.1411802902297199</v>
      </c>
      <c r="Q153" s="34">
        <v>1.13807090416572</v>
      </c>
      <c r="R153" s="33">
        <v>86.019578577341306</v>
      </c>
      <c r="S153" s="33">
        <v>84.466221188265393</v>
      </c>
      <c r="T153" s="33">
        <v>84.325191295164302</v>
      </c>
      <c r="U153" s="15">
        <v>1.5577397285940899E-2</v>
      </c>
      <c r="V153" s="15">
        <v>-2.6458257427075002E-3</v>
      </c>
      <c r="W153" s="15">
        <v>-4.3168814420958103E-3</v>
      </c>
      <c r="X153" s="34">
        <v>1.1429149797570799</v>
      </c>
      <c r="Y153" s="34">
        <v>1.16060033170917</v>
      </c>
      <c r="Z153" s="34">
        <v>1.1411802902297199</v>
      </c>
      <c r="AA153" s="34">
        <v>1.13807090416572</v>
      </c>
      <c r="AB153" s="33">
        <v>86.000484579649907</v>
      </c>
      <c r="AC153" s="33">
        <v>84.466221188265393</v>
      </c>
      <c r="AD153" s="33">
        <v>84.325191295164203</v>
      </c>
      <c r="AE153" s="15">
        <v>1.5355399951218001E-2</v>
      </c>
      <c r="AF153" s="15">
        <v>-2.6458257427075002E-3</v>
      </c>
      <c r="AG153" s="15">
        <v>-4.3168814420960298E-3</v>
      </c>
      <c r="AI153" s="12"/>
      <c r="AJ153">
        <f t="shared" si="46"/>
        <v>0</v>
      </c>
      <c r="AK153">
        <f t="shared" si="47"/>
        <v>0</v>
      </c>
      <c r="AL153">
        <f t="shared" si="54"/>
        <v>1</v>
      </c>
      <c r="AM153">
        <f t="shared" si="44"/>
        <v>1</v>
      </c>
      <c r="AN153">
        <f t="shared" si="55"/>
        <v>1</v>
      </c>
      <c r="AO153" s="28">
        <f t="shared" si="48"/>
        <v>-1.2138378993934199E-3</v>
      </c>
      <c r="AP153" s="28">
        <f t="shared" si="49"/>
        <v>3.06531718443343E-3</v>
      </c>
      <c r="AQ153" s="28">
        <f t="shared" si="56"/>
        <v>1.8514792850400101E-3</v>
      </c>
      <c r="AR153" s="29">
        <f t="shared" si="57"/>
        <v>5.3641500825727453E-2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1.156522108811554E-2</v>
      </c>
      <c r="BE153" s="29">
        <f t="shared" si="62"/>
        <v>1.8514792850400101E-3</v>
      </c>
      <c r="BF153" s="29">
        <f t="shared" si="63"/>
        <v>6.5206721913842997E-2</v>
      </c>
      <c r="BH153" s="29"/>
    </row>
    <row r="154" spans="1:60" x14ac:dyDescent="0.25">
      <c r="A154" s="1">
        <v>46246</v>
      </c>
      <c r="B154" s="33">
        <v>73.87</v>
      </c>
      <c r="C154" s="33">
        <v>85.08</v>
      </c>
      <c r="D154" s="15">
        <v>-3.1087407613947099E-3</v>
      </c>
      <c r="E154" s="15">
        <v>4.5944593985287E-3</v>
      </c>
      <c r="F154" s="33">
        <v>0</v>
      </c>
      <c r="G154" s="33">
        <v>0.694994</v>
      </c>
      <c r="H154" s="33">
        <v>0</v>
      </c>
      <c r="I154" s="33">
        <v>1.0290900000000001</v>
      </c>
      <c r="J154" s="33">
        <v>0</v>
      </c>
      <c r="K154" s="33">
        <v>0</v>
      </c>
      <c r="L154" s="33">
        <v>73.87</v>
      </c>
      <c r="M154" s="33">
        <v>85.08</v>
      </c>
      <c r="N154" s="34">
        <v>1.15175307973466</v>
      </c>
      <c r="O154" s="34">
        <v>1.16085801049043</v>
      </c>
      <c r="P154" s="34">
        <v>1.1426796060105999</v>
      </c>
      <c r="Q154" s="34">
        <v>1.1385733440914501</v>
      </c>
      <c r="R154" s="33">
        <v>85.752581234928599</v>
      </c>
      <c r="S154" s="33">
        <v>84.298988039269602</v>
      </c>
      <c r="T154" s="33">
        <v>84.069297690722394</v>
      </c>
      <c r="U154" s="15">
        <v>7.8741971260174407E-3</v>
      </c>
      <c r="V154" s="15">
        <v>-9.2221296754051597E-3</v>
      </c>
      <c r="W154" s="15">
        <v>-1.19505590829052E-2</v>
      </c>
      <c r="X154" s="34">
        <v>1.15175307973466</v>
      </c>
      <c r="Y154" s="34">
        <v>1.16060033170917</v>
      </c>
      <c r="Z154" s="34">
        <v>1.1426796060105999</v>
      </c>
      <c r="AA154" s="34">
        <v>1.1385733440914501</v>
      </c>
      <c r="AB154" s="33">
        <v>85.733546503356806</v>
      </c>
      <c r="AC154" s="33">
        <v>84.298988039269602</v>
      </c>
      <c r="AD154" s="33">
        <v>84.069297690722394</v>
      </c>
      <c r="AE154" s="15">
        <v>7.65219979129455E-3</v>
      </c>
      <c r="AF154" s="15">
        <v>-9.2221296754051597E-3</v>
      </c>
      <c r="AG154" s="15">
        <v>-1.19505590829052E-2</v>
      </c>
      <c r="AI154" s="12"/>
      <c r="AJ154">
        <f t="shared" si="46"/>
        <v>1</v>
      </c>
      <c r="AK154">
        <f t="shared" si="47"/>
        <v>0</v>
      </c>
      <c r="AL154">
        <f t="shared" si="54"/>
        <v>1</v>
      </c>
      <c r="AM154">
        <f t="shared" si="44"/>
        <v>1</v>
      </c>
      <c r="AN154">
        <f t="shared" si="55"/>
        <v>1</v>
      </c>
      <c r="AO154" s="28">
        <f t="shared" si="48"/>
        <v>-3.1087407613947099E-3</v>
      </c>
      <c r="AP154" s="28">
        <f t="shared" si="49"/>
        <v>-4.5944593985287E-3</v>
      </c>
      <c r="AQ154" s="28">
        <f t="shared" si="56"/>
        <v>-7.7032001599234099E-3</v>
      </c>
      <c r="AR154" s="29">
        <f t="shared" si="57"/>
        <v>4.5938300665804045E-2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1.156522108811554E-2</v>
      </c>
      <c r="BE154" s="29">
        <f t="shared" si="62"/>
        <v>-7.7032001599234099E-3</v>
      </c>
      <c r="BF154" s="29">
        <f t="shared" si="63"/>
        <v>5.7503521753919588E-2</v>
      </c>
      <c r="BH154" s="29"/>
    </row>
    <row r="155" spans="1:60" x14ac:dyDescent="0.25">
      <c r="A155" s="1">
        <v>46247</v>
      </c>
      <c r="B155" s="33">
        <v>74.430000000000007</v>
      </c>
      <c r="C155" s="33">
        <v>86</v>
      </c>
      <c r="D155" s="15">
        <v>7.5522948311729596E-3</v>
      </c>
      <c r="E155" s="15">
        <v>1.0755305921471199E-2</v>
      </c>
      <c r="F155" s="33">
        <v>0</v>
      </c>
      <c r="G155" s="33">
        <v>0.694994</v>
      </c>
      <c r="H155" s="33">
        <v>0</v>
      </c>
      <c r="I155" s="33">
        <v>1.0290900000000001</v>
      </c>
      <c r="J155" s="33">
        <v>0</v>
      </c>
      <c r="K155" s="33">
        <v>0</v>
      </c>
      <c r="L155" s="33">
        <v>74.430000000000007</v>
      </c>
      <c r="M155" s="33">
        <v>86</v>
      </c>
      <c r="N155" s="34">
        <v>1.1554480720139699</v>
      </c>
      <c r="O155" s="34">
        <v>1.16085801049043</v>
      </c>
      <c r="P155" s="34">
        <v>1.1447787004432199</v>
      </c>
      <c r="Q155" s="34">
        <v>1.1393291363964699</v>
      </c>
      <c r="R155" s="33">
        <v>86.402661720803195</v>
      </c>
      <c r="S155" s="33">
        <v>85.049643075369403</v>
      </c>
      <c r="T155" s="33">
        <v>84.744014000727205</v>
      </c>
      <c r="U155" s="15">
        <v>4.6711860357189399E-3</v>
      </c>
      <c r="V155" s="15">
        <v>-1.11121740651287E-2</v>
      </c>
      <c r="W155" s="15">
        <v>-1.47121837473082E-2</v>
      </c>
      <c r="X155" s="34">
        <v>1.1554480720139699</v>
      </c>
      <c r="Y155" s="34">
        <v>1.16060033170917</v>
      </c>
      <c r="Z155" s="34">
        <v>1.1447787004432199</v>
      </c>
      <c r="AA155" s="34">
        <v>1.1393291363964699</v>
      </c>
      <c r="AB155" s="33">
        <v>86.383482689113904</v>
      </c>
      <c r="AC155" s="33">
        <v>85.049643075369403</v>
      </c>
      <c r="AD155" s="33">
        <v>84.744014000727205</v>
      </c>
      <c r="AE155" s="15">
        <v>4.4491887009961203E-3</v>
      </c>
      <c r="AF155" s="15">
        <v>-1.11121740651287E-2</v>
      </c>
      <c r="AG155" s="15">
        <v>-1.47121837473082E-2</v>
      </c>
      <c r="AI155" s="12"/>
      <c r="AJ155">
        <f t="shared" si="46"/>
        <v>1</v>
      </c>
      <c r="AK155">
        <f t="shared" si="47"/>
        <v>0</v>
      </c>
      <c r="AL155">
        <f t="shared" si="54"/>
        <v>1</v>
      </c>
      <c r="AM155">
        <f t="shared" si="44"/>
        <v>1</v>
      </c>
      <c r="AN155">
        <f t="shared" si="55"/>
        <v>1</v>
      </c>
      <c r="AO155" s="28">
        <f t="shared" si="48"/>
        <v>7.5522948311729596E-3</v>
      </c>
      <c r="AP155" s="28">
        <f t="shared" si="49"/>
        <v>-1.0755305921471199E-2</v>
      </c>
      <c r="AQ155" s="28">
        <f t="shared" si="56"/>
        <v>-3.2030110902982398E-3</v>
      </c>
      <c r="AR155" s="29">
        <f t="shared" si="57"/>
        <v>4.2735289575505805E-2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1.156522108811554E-2</v>
      </c>
      <c r="BE155" s="29">
        <f t="shared" si="62"/>
        <v>-3.2030110902982398E-3</v>
      </c>
      <c r="BF155" s="29">
        <f t="shared" si="63"/>
        <v>5.4300510663621349E-2</v>
      </c>
      <c r="BH155" s="29"/>
    </row>
    <row r="156" spans="1:60" x14ac:dyDescent="0.25">
      <c r="A156" s="1">
        <v>46248</v>
      </c>
      <c r="B156" s="33">
        <v>74.84</v>
      </c>
      <c r="C156" s="33">
        <v>86.09</v>
      </c>
      <c r="D156" s="15">
        <v>5.4934150340696002E-3</v>
      </c>
      <c r="E156" s="15">
        <v>1.0459644163555799E-3</v>
      </c>
      <c r="F156" s="33">
        <v>0</v>
      </c>
      <c r="G156" s="33">
        <v>0.694994</v>
      </c>
      <c r="H156" s="33">
        <v>0</v>
      </c>
      <c r="I156" s="33">
        <v>1.0290900000000001</v>
      </c>
      <c r="J156" s="33">
        <v>0</v>
      </c>
      <c r="K156" s="33">
        <v>0</v>
      </c>
      <c r="L156" s="33">
        <v>74.84</v>
      </c>
      <c r="M156" s="33">
        <v>86.09</v>
      </c>
      <c r="N156" s="34">
        <v>1.15032068412613</v>
      </c>
      <c r="O156" s="34">
        <v>1.16085801049043</v>
      </c>
      <c r="P156" s="34">
        <v>1.14598582238902</v>
      </c>
      <c r="Q156" s="34">
        <v>1.13988475337892</v>
      </c>
      <c r="R156" s="33">
        <v>86.878613505104298</v>
      </c>
      <c r="S156" s="33">
        <v>85.675237941170707</v>
      </c>
      <c r="T156" s="33">
        <v>85.267392567912196</v>
      </c>
      <c r="U156" s="15">
        <v>9.1186366534328402E-3</v>
      </c>
      <c r="V156" s="15">
        <v>-4.8294156598138998E-3</v>
      </c>
      <c r="W156" s="15">
        <v>-9.6011469232263006E-3</v>
      </c>
      <c r="X156" s="34">
        <v>1.15032068412613</v>
      </c>
      <c r="Y156" s="34">
        <v>1.16060033170917</v>
      </c>
      <c r="Z156" s="34">
        <v>1.14598582238902</v>
      </c>
      <c r="AA156" s="34">
        <v>1.13988475337892</v>
      </c>
      <c r="AB156" s="33">
        <v>86.859328825114702</v>
      </c>
      <c r="AC156" s="33">
        <v>85.675237941170707</v>
      </c>
      <c r="AD156" s="33">
        <v>85.267392567912196</v>
      </c>
      <c r="AE156" s="15">
        <v>8.8966393187100007E-3</v>
      </c>
      <c r="AF156" s="15">
        <v>-4.8294156598138998E-3</v>
      </c>
      <c r="AG156" s="15">
        <v>-9.6011469232263006E-3</v>
      </c>
      <c r="AI156" s="12"/>
      <c r="AJ156">
        <f t="shared" si="46"/>
        <v>1</v>
      </c>
      <c r="AK156">
        <f t="shared" si="47"/>
        <v>0</v>
      </c>
      <c r="AL156">
        <f t="shared" si="54"/>
        <v>1</v>
      </c>
      <c r="AM156">
        <f t="shared" si="44"/>
        <v>1</v>
      </c>
      <c r="AN156">
        <f t="shared" si="55"/>
        <v>1</v>
      </c>
      <c r="AO156" s="28">
        <f t="shared" si="48"/>
        <v>5.4934150340696002E-3</v>
      </c>
      <c r="AP156" s="28">
        <f t="shared" si="49"/>
        <v>-1.0459644163555799E-3</v>
      </c>
      <c r="AQ156" s="28">
        <f t="shared" si="56"/>
        <v>4.4474506177140201E-3</v>
      </c>
      <c r="AR156" s="29">
        <f t="shared" si="57"/>
        <v>4.7182740193219823E-2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1.156522108811554E-2</v>
      </c>
      <c r="BE156" s="29">
        <f t="shared" si="62"/>
        <v>4.4474506177140201E-3</v>
      </c>
      <c r="BF156" s="29">
        <f t="shared" si="63"/>
        <v>5.8747961281335366E-2</v>
      </c>
      <c r="BH156" s="29"/>
    </row>
    <row r="157" spans="1:60" x14ac:dyDescent="0.25">
      <c r="A157" s="1">
        <v>46251</v>
      </c>
      <c r="B157" s="33">
        <v>73.64</v>
      </c>
      <c r="C157" s="33">
        <v>84.68</v>
      </c>
      <c r="D157" s="15">
        <v>-1.6164145041011799E-2</v>
      </c>
      <c r="E157" s="15">
        <v>-1.6513814403198799E-2</v>
      </c>
      <c r="F157" s="33">
        <v>0</v>
      </c>
      <c r="G157" s="33">
        <v>0.694994</v>
      </c>
      <c r="H157" s="33">
        <v>0</v>
      </c>
      <c r="I157" s="33">
        <v>1.0290900000000001</v>
      </c>
      <c r="J157" s="33">
        <v>0</v>
      </c>
      <c r="K157" s="33">
        <v>0</v>
      </c>
      <c r="L157" s="33">
        <v>73.64</v>
      </c>
      <c r="M157" s="33">
        <v>84.68</v>
      </c>
      <c r="N157" s="34">
        <v>1.14991852254209</v>
      </c>
      <c r="O157" s="34">
        <v>1.16085801049043</v>
      </c>
      <c r="P157" s="34">
        <v>1.14661109782382</v>
      </c>
      <c r="Q157" s="34">
        <v>1.14041236586478</v>
      </c>
      <c r="R157" s="33">
        <v>85.485583892515706</v>
      </c>
      <c r="S157" s="33">
        <v>84.390395960727901</v>
      </c>
      <c r="T157" s="33">
        <v>83.941113238824101</v>
      </c>
      <c r="U157" s="15">
        <v>9.4683060156199195E-3</v>
      </c>
      <c r="V157" s="15">
        <v>-3.4258430740497598E-3</v>
      </c>
      <c r="W157" s="15">
        <v>-8.7639261329360407E-3</v>
      </c>
      <c r="X157" s="34">
        <v>1.14991852254209</v>
      </c>
      <c r="Y157" s="34">
        <v>1.16060033170917</v>
      </c>
      <c r="Z157" s="34">
        <v>1.14661109782382</v>
      </c>
      <c r="AA157" s="34">
        <v>1.14041236586478</v>
      </c>
      <c r="AB157" s="33">
        <v>85.466608427063704</v>
      </c>
      <c r="AC157" s="33">
        <v>84.390395960727901</v>
      </c>
      <c r="AD157" s="33">
        <v>83.941113238824101</v>
      </c>
      <c r="AE157" s="15">
        <v>9.2463086808969898E-3</v>
      </c>
      <c r="AF157" s="15">
        <v>-3.4258430740496501E-3</v>
      </c>
      <c r="AG157" s="15">
        <v>-8.7639261329360407E-3</v>
      </c>
      <c r="AI157" s="12"/>
      <c r="AJ157">
        <f t="shared" si="46"/>
        <v>1</v>
      </c>
      <c r="AK157">
        <f t="shared" si="47"/>
        <v>0</v>
      </c>
      <c r="AL157">
        <f t="shared" si="54"/>
        <v>1</v>
      </c>
      <c r="AM157">
        <f t="shared" si="44"/>
        <v>1</v>
      </c>
      <c r="AN157">
        <f t="shared" si="55"/>
        <v>1</v>
      </c>
      <c r="AO157" s="28">
        <f t="shared" si="48"/>
        <v>-1.6164145041011799E-2</v>
      </c>
      <c r="AP157" s="28">
        <f t="shared" si="49"/>
        <v>1.6513814403198799E-2</v>
      </c>
      <c r="AQ157" s="28">
        <f t="shared" si="56"/>
        <v>3.4966936218699951E-4</v>
      </c>
      <c r="AR157" s="29">
        <f t="shared" si="57"/>
        <v>4.7532409555406822E-2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1.156522108811554E-2</v>
      </c>
      <c r="BE157" s="29">
        <f t="shared" si="62"/>
        <v>3.4966936218699951E-4</v>
      </c>
      <c r="BF157" s="29">
        <f t="shared" si="63"/>
        <v>5.9097630643522366E-2</v>
      </c>
      <c r="BH157" s="29"/>
    </row>
    <row r="158" spans="1:60" x14ac:dyDescent="0.25">
      <c r="A158" s="1">
        <v>46252</v>
      </c>
      <c r="B158" s="33">
        <v>74.44</v>
      </c>
      <c r="C158" s="33">
        <v>85.58</v>
      </c>
      <c r="D158" s="15">
        <v>1.0805075409172899E-2</v>
      </c>
      <c r="E158" s="15">
        <v>1.05721647220062E-2</v>
      </c>
      <c r="F158" s="33">
        <v>0</v>
      </c>
      <c r="G158" s="33">
        <v>0.694994</v>
      </c>
      <c r="H158" s="33">
        <v>0</v>
      </c>
      <c r="I158" s="33">
        <v>1.0290900000000001</v>
      </c>
      <c r="J158" s="33">
        <v>0</v>
      </c>
      <c r="K158" s="33">
        <v>0</v>
      </c>
      <c r="L158" s="33">
        <v>74.44</v>
      </c>
      <c r="M158" s="33">
        <v>85.58</v>
      </c>
      <c r="N158" s="34">
        <v>1.1496507254164401</v>
      </c>
      <c r="O158" s="34">
        <v>1.16085801049043</v>
      </c>
      <c r="P158" s="34">
        <v>1.14715451107047</v>
      </c>
      <c r="Q158" s="34">
        <v>1.14115894101249</v>
      </c>
      <c r="R158" s="33">
        <v>86.4142703009081</v>
      </c>
      <c r="S158" s="33">
        <v>85.3537301220058</v>
      </c>
      <c r="T158" s="33">
        <v>84.892296514974603</v>
      </c>
      <c r="U158" s="15">
        <v>9.7012167027866296E-3</v>
      </c>
      <c r="V158" s="15">
        <v>-2.64745887185404E-3</v>
      </c>
      <c r="W158" s="15">
        <v>-8.06825777193672E-3</v>
      </c>
      <c r="X158" s="34">
        <v>1.1496507254164401</v>
      </c>
      <c r="Y158" s="34">
        <v>1.16060033170917</v>
      </c>
      <c r="Z158" s="34">
        <v>1.14715451107047</v>
      </c>
      <c r="AA158" s="34">
        <v>1.14115894101249</v>
      </c>
      <c r="AB158" s="33">
        <v>86.395088692431003</v>
      </c>
      <c r="AC158" s="33">
        <v>85.3537301220058</v>
      </c>
      <c r="AD158" s="33">
        <v>84.892296514974603</v>
      </c>
      <c r="AE158" s="15">
        <v>9.4792193680635906E-3</v>
      </c>
      <c r="AF158" s="15">
        <v>-2.6474588718541502E-3</v>
      </c>
      <c r="AG158" s="15">
        <v>-8.06825777193672E-3</v>
      </c>
      <c r="AI158" s="12"/>
      <c r="AJ158">
        <f t="shared" si="46"/>
        <v>1</v>
      </c>
      <c r="AK158">
        <f t="shared" si="47"/>
        <v>0</v>
      </c>
      <c r="AL158">
        <f t="shared" si="54"/>
        <v>1</v>
      </c>
      <c r="AM158">
        <f t="shared" si="44"/>
        <v>1</v>
      </c>
      <c r="AN158">
        <f t="shared" si="55"/>
        <v>1</v>
      </c>
      <c r="AO158" s="28">
        <f t="shared" si="48"/>
        <v>1.0805075409172899E-2</v>
      </c>
      <c r="AP158" s="28">
        <f t="shared" si="49"/>
        <v>-1.05721647220062E-2</v>
      </c>
      <c r="AQ158" s="28">
        <f t="shared" si="56"/>
        <v>2.3291068716669965E-4</v>
      </c>
      <c r="AR158" s="29">
        <f t="shared" si="57"/>
        <v>4.7765320242573524E-2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1.156522108811554E-2</v>
      </c>
      <c r="BE158" s="29">
        <f t="shared" si="62"/>
        <v>2.3291068716669965E-4</v>
      </c>
      <c r="BF158" s="29">
        <f t="shared" si="63"/>
        <v>5.9330541330689067E-2</v>
      </c>
      <c r="BH158" s="29"/>
    </row>
    <row r="159" spans="1:60" x14ac:dyDescent="0.25">
      <c r="A159" s="1">
        <v>46253</v>
      </c>
      <c r="B159" s="33">
        <v>75.069999999999993</v>
      </c>
      <c r="C159" s="33">
        <v>86.54</v>
      </c>
      <c r="D159" s="15">
        <v>8.4275798108609003E-3</v>
      </c>
      <c r="E159" s="15">
        <v>1.1155123808068001E-2</v>
      </c>
      <c r="F159" s="33">
        <v>0</v>
      </c>
      <c r="G159" s="33">
        <v>0.694994</v>
      </c>
      <c r="H159" s="33">
        <v>0</v>
      </c>
      <c r="I159" s="33">
        <v>1.0290900000000001</v>
      </c>
      <c r="J159" s="33">
        <v>0</v>
      </c>
      <c r="K159" s="33">
        <v>0</v>
      </c>
      <c r="L159" s="33">
        <v>75.069999999999993</v>
      </c>
      <c r="M159" s="33">
        <v>86.54</v>
      </c>
      <c r="N159" s="34">
        <v>1.1527907286532499</v>
      </c>
      <c r="O159" s="34">
        <v>1.16085801049043</v>
      </c>
      <c r="P159" s="34">
        <v>1.14827973778195</v>
      </c>
      <c r="Q159" s="34">
        <v>1.14215239796073</v>
      </c>
      <c r="R159" s="33">
        <v>87.145610847517105</v>
      </c>
      <c r="S159" s="33">
        <v>86.116889146060302</v>
      </c>
      <c r="T159" s="33">
        <v>85.666801701808097</v>
      </c>
      <c r="U159" s="15">
        <v>6.9736727055793703E-3</v>
      </c>
      <c r="V159" s="15">
        <v>-4.9011852699981798E-3</v>
      </c>
      <c r="W159" s="15">
        <v>-1.01413622851726E-2</v>
      </c>
      <c r="X159" s="34">
        <v>1.1527907286532499</v>
      </c>
      <c r="Y159" s="34">
        <v>1.16060033170917</v>
      </c>
      <c r="Z159" s="34">
        <v>1.14827973778195</v>
      </c>
      <c r="AA159" s="34">
        <v>1.14215239796073</v>
      </c>
      <c r="AB159" s="33">
        <v>87.126266901407803</v>
      </c>
      <c r="AC159" s="33">
        <v>86.116889146060302</v>
      </c>
      <c r="AD159" s="33">
        <v>85.666801701808097</v>
      </c>
      <c r="AE159" s="15">
        <v>6.7516753708565099E-3</v>
      </c>
      <c r="AF159" s="15">
        <v>-4.9011852699981798E-3</v>
      </c>
      <c r="AG159" s="15">
        <v>-1.01413622851726E-2</v>
      </c>
      <c r="AI159" s="12"/>
      <c r="AJ159">
        <f t="shared" si="46"/>
        <v>1</v>
      </c>
      <c r="AK159">
        <f t="shared" si="47"/>
        <v>0</v>
      </c>
      <c r="AL159">
        <f t="shared" si="54"/>
        <v>1</v>
      </c>
      <c r="AM159">
        <f t="shared" si="44"/>
        <v>1</v>
      </c>
      <c r="AN159">
        <f t="shared" si="55"/>
        <v>1</v>
      </c>
      <c r="AO159" s="28">
        <f t="shared" si="48"/>
        <v>8.4275798108609003E-3</v>
      </c>
      <c r="AP159" s="28">
        <f t="shared" si="49"/>
        <v>-1.1155123808068001E-2</v>
      </c>
      <c r="AQ159" s="28">
        <f t="shared" si="56"/>
        <v>-2.7275439972071006E-3</v>
      </c>
      <c r="AR159" s="29">
        <f t="shared" si="57"/>
        <v>4.5037776245366423E-2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1.156522108811554E-2</v>
      </c>
      <c r="BE159" s="29">
        <f t="shared" si="62"/>
        <v>-2.7275439972071006E-3</v>
      </c>
      <c r="BF159" s="29">
        <f t="shared" si="63"/>
        <v>5.6602997333481966E-2</v>
      </c>
      <c r="BH159" s="29"/>
    </row>
    <row r="160" spans="1:60" x14ac:dyDescent="0.25">
      <c r="A160" s="1">
        <v>46254</v>
      </c>
      <c r="B160" s="33">
        <v>74.98</v>
      </c>
      <c r="C160" s="33">
        <v>85.32</v>
      </c>
      <c r="D160" s="15">
        <v>-1.1996002771449299E-3</v>
      </c>
      <c r="E160" s="15">
        <v>-1.4197841193589E-2</v>
      </c>
      <c r="F160" s="33">
        <v>0</v>
      </c>
      <c r="G160" s="33">
        <v>0.694994</v>
      </c>
      <c r="H160" s="33">
        <v>0</v>
      </c>
      <c r="I160" s="33">
        <v>1.0290900000000001</v>
      </c>
      <c r="J160" s="33">
        <v>0</v>
      </c>
      <c r="K160" s="33">
        <v>0</v>
      </c>
      <c r="L160" s="33">
        <v>74.98</v>
      </c>
      <c r="M160" s="33">
        <v>85.32</v>
      </c>
      <c r="N160" s="34">
        <v>1.1379034409175699</v>
      </c>
      <c r="O160" s="34">
        <v>1.16085801049043</v>
      </c>
      <c r="P160" s="34">
        <v>1.1479050919340701</v>
      </c>
      <c r="Q160" s="34">
        <v>1.1425880775381601</v>
      </c>
      <c r="R160" s="33">
        <v>87.041133626572901</v>
      </c>
      <c r="S160" s="33">
        <v>86.098014738890797</v>
      </c>
      <c r="T160" s="33">
        <v>85.638586799095805</v>
      </c>
      <c r="U160" s="15">
        <v>1.99719136220236E-2</v>
      </c>
      <c r="V160" s="15">
        <v>9.0774599443883604E-3</v>
      </c>
      <c r="W160" s="15">
        <v>3.72706833687131E-3</v>
      </c>
      <c r="X160" s="34">
        <v>1.1379034409175699</v>
      </c>
      <c r="Y160" s="34">
        <v>1.16060033170917</v>
      </c>
      <c r="Z160" s="34">
        <v>1.1479050919340701</v>
      </c>
      <c r="AA160" s="34">
        <v>1.1425880775381601</v>
      </c>
      <c r="AB160" s="33">
        <v>87.021812871554005</v>
      </c>
      <c r="AC160" s="33">
        <v>86.098014738890697</v>
      </c>
      <c r="AD160" s="33">
        <v>85.638586799095805</v>
      </c>
      <c r="AE160" s="15">
        <v>1.9749916287300801E-2</v>
      </c>
      <c r="AF160" s="15">
        <v>9.0774599443881401E-3</v>
      </c>
      <c r="AG160" s="15">
        <v>3.7270683368715299E-3</v>
      </c>
      <c r="AI160" s="12"/>
      <c r="AJ160">
        <f t="shared" si="46"/>
        <v>0</v>
      </c>
      <c r="AK160">
        <f t="shared" si="47"/>
        <v>1</v>
      </c>
      <c r="AL160">
        <f t="shared" si="54"/>
        <v>1</v>
      </c>
      <c r="AM160">
        <f t="shared" si="44"/>
        <v>1</v>
      </c>
      <c r="AN160">
        <f t="shared" si="55"/>
        <v>1</v>
      </c>
      <c r="AO160" s="28">
        <f t="shared" si="48"/>
        <v>-1.1996002771449299E-3</v>
      </c>
      <c r="AP160" s="28">
        <f t="shared" si="49"/>
        <v>1.4197841193589E-2</v>
      </c>
      <c r="AQ160" s="28">
        <f t="shared" si="56"/>
        <v>1.2998240916444069E-2</v>
      </c>
      <c r="AR160" s="29">
        <f t="shared" si="57"/>
        <v>5.8036017161810491E-2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1.156522108811554E-2</v>
      </c>
      <c r="BE160" s="29">
        <f t="shared" si="62"/>
        <v>1.2998240916444069E-2</v>
      </c>
      <c r="BF160" s="29">
        <f t="shared" si="63"/>
        <v>6.9601238249926034E-2</v>
      </c>
      <c r="BH160" s="29"/>
    </row>
    <row r="161" spans="1:60" x14ac:dyDescent="0.25">
      <c r="A161" s="1">
        <v>46255</v>
      </c>
      <c r="B161" s="33">
        <v>75.319999999999993</v>
      </c>
      <c r="C161" s="33">
        <v>85.99</v>
      </c>
      <c r="D161" s="15">
        <v>4.5242924811854397E-3</v>
      </c>
      <c r="E161" s="15">
        <v>7.8221168196553094E-3</v>
      </c>
      <c r="F161" s="33">
        <v>0</v>
      </c>
      <c r="G161" s="33">
        <v>0.694994</v>
      </c>
      <c r="H161" s="33">
        <v>0</v>
      </c>
      <c r="I161" s="33">
        <v>1.0290900000000001</v>
      </c>
      <c r="J161" s="33">
        <v>0</v>
      </c>
      <c r="K161" s="33">
        <v>0</v>
      </c>
      <c r="L161" s="33">
        <v>75.319999999999993</v>
      </c>
      <c r="M161" s="33">
        <v>85.99</v>
      </c>
      <c r="N161" s="34">
        <v>1.14166224110462</v>
      </c>
      <c r="O161" s="34">
        <v>1.16085801049043</v>
      </c>
      <c r="P161" s="34">
        <v>1.14773954975843</v>
      </c>
      <c r="Q161" s="34">
        <v>1.14319294039898</v>
      </c>
      <c r="R161" s="33">
        <v>87.435825350139694</v>
      </c>
      <c r="S161" s="33">
        <v>86.460211524474303</v>
      </c>
      <c r="T161" s="33">
        <v>86.059734000174501</v>
      </c>
      <c r="U161" s="15">
        <v>1.6674089283553802E-2</v>
      </c>
      <c r="V161" s="15">
        <v>5.4533153146631803E-3</v>
      </c>
      <c r="W161" s="15">
        <v>8.1062611806297395E-4</v>
      </c>
      <c r="X161" s="34">
        <v>1.14166224110462</v>
      </c>
      <c r="Y161" s="34">
        <v>1.16060033170917</v>
      </c>
      <c r="Z161" s="34">
        <v>1.14773954975843</v>
      </c>
      <c r="AA161" s="34">
        <v>1.14319294039898</v>
      </c>
      <c r="AB161" s="33">
        <v>87.4164169843351</v>
      </c>
      <c r="AC161" s="33">
        <v>86.460211524474303</v>
      </c>
      <c r="AD161" s="33">
        <v>86.059734000174501</v>
      </c>
      <c r="AE161" s="15">
        <v>1.6452091948830901E-2</v>
      </c>
      <c r="AF161" s="15">
        <v>5.4533153146633997E-3</v>
      </c>
      <c r="AG161" s="15">
        <v>8.1062611806297395E-4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5.8036017161810491E-2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1.156522108811554E-2</v>
      </c>
      <c r="BE161" s="29">
        <f t="shared" si="62"/>
        <v>0</v>
      </c>
      <c r="BF161" s="29">
        <f t="shared" si="63"/>
        <v>6.9601238249926034E-2</v>
      </c>
      <c r="BH161" s="29"/>
    </row>
    <row r="162" spans="1:60" x14ac:dyDescent="0.25">
      <c r="A162" s="1">
        <v>46258</v>
      </c>
      <c r="B162" s="33">
        <v>76.23</v>
      </c>
      <c r="C162" s="33">
        <v>87.45</v>
      </c>
      <c r="D162" s="15">
        <v>1.2009382211230799E-2</v>
      </c>
      <c r="E162" s="15">
        <v>1.6836191041806E-2</v>
      </c>
      <c r="F162" s="33">
        <v>0</v>
      </c>
      <c r="G162" s="33">
        <v>0.694994</v>
      </c>
      <c r="H162" s="33">
        <v>0</v>
      </c>
      <c r="I162" s="33">
        <v>1.0290900000000001</v>
      </c>
      <c r="J162" s="33">
        <v>0</v>
      </c>
      <c r="K162" s="33">
        <v>0</v>
      </c>
      <c r="L162" s="33">
        <v>76.23</v>
      </c>
      <c r="M162" s="33">
        <v>87.45</v>
      </c>
      <c r="N162" s="34">
        <v>1.14718614718614</v>
      </c>
      <c r="O162" s="34">
        <v>1.16085801049043</v>
      </c>
      <c r="P162" s="34">
        <v>1.1479548621452</v>
      </c>
      <c r="Q162" s="34">
        <v>1.1439249424644</v>
      </c>
      <c r="R162" s="33">
        <v>88.492206139686004</v>
      </c>
      <c r="S162" s="33">
        <v>87.492185878085607</v>
      </c>
      <c r="T162" s="33">
        <v>87.145597846614294</v>
      </c>
      <c r="U162" s="15">
        <v>1.1847280452978601E-2</v>
      </c>
      <c r="V162" s="15">
        <v>4.8228366064547801E-4</v>
      </c>
      <c r="W162" s="15">
        <v>-3.48694314827741E-3</v>
      </c>
      <c r="X162" s="34">
        <v>1.14718614718614</v>
      </c>
      <c r="Y162" s="34">
        <v>1.16060033170917</v>
      </c>
      <c r="Z162" s="34">
        <v>1.1479548621452</v>
      </c>
      <c r="AA162" s="34">
        <v>1.1439249424644</v>
      </c>
      <c r="AB162" s="33">
        <v>88.472563286190507</v>
      </c>
      <c r="AC162" s="33">
        <v>87.492185878085493</v>
      </c>
      <c r="AD162" s="33">
        <v>87.145597846614294</v>
      </c>
      <c r="AE162" s="15">
        <v>1.1625283118255701E-2</v>
      </c>
      <c r="AF162" s="15">
        <v>4.8228366064525602E-4</v>
      </c>
      <c r="AG162" s="15">
        <v>-3.4869431482772899E-3</v>
      </c>
      <c r="AI162" s="12"/>
      <c r="AJ162">
        <f t="shared" si="46"/>
        <v>0</v>
      </c>
      <c r="AK162">
        <f t="shared" si="47"/>
        <v>0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5.8036017161810491E-2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1.156522108811554E-2</v>
      </c>
      <c r="BE162" s="29">
        <f t="shared" si="62"/>
        <v>0</v>
      </c>
      <c r="BF162" s="29">
        <f t="shared" si="63"/>
        <v>6.9601238249926034E-2</v>
      </c>
      <c r="BH162" s="29"/>
    </row>
    <row r="163" spans="1:60" x14ac:dyDescent="0.25">
      <c r="A163" s="1">
        <v>46259</v>
      </c>
      <c r="B163" s="33">
        <v>76</v>
      </c>
      <c r="C163" s="33">
        <v>86.52</v>
      </c>
      <c r="D163" s="15">
        <v>-3.0217457138514E-3</v>
      </c>
      <c r="E163" s="15">
        <v>-1.06916003797531E-2</v>
      </c>
      <c r="F163" s="33">
        <v>0</v>
      </c>
      <c r="G163" s="33">
        <v>0.694994</v>
      </c>
      <c r="H163" s="33">
        <v>0</v>
      </c>
      <c r="I163" s="33">
        <v>1.0290900000000001</v>
      </c>
      <c r="J163" s="33">
        <v>0</v>
      </c>
      <c r="K163" s="33">
        <v>0</v>
      </c>
      <c r="L163" s="33">
        <v>76</v>
      </c>
      <c r="M163" s="33">
        <v>86.52</v>
      </c>
      <c r="N163" s="34">
        <v>1.1384210526315699</v>
      </c>
      <c r="O163" s="34">
        <v>1.16085801049043</v>
      </c>
      <c r="P163" s="34">
        <v>1.1475054694326401</v>
      </c>
      <c r="Q163" s="34">
        <v>1.1443428798311801</v>
      </c>
      <c r="R163" s="33">
        <v>88.225208797273197</v>
      </c>
      <c r="S163" s="33">
        <v>87.244569523035196</v>
      </c>
      <c r="T163" s="33">
        <v>86.938295627294707</v>
      </c>
      <c r="U163" s="15">
        <v>1.9517135118880501E-2</v>
      </c>
      <c r="V163" s="15">
        <v>8.3397176369981608E-3</v>
      </c>
      <c r="W163" s="15">
        <v>4.8230202727548403E-3</v>
      </c>
      <c r="X163" s="34">
        <v>1.1384210526315699</v>
      </c>
      <c r="Y163" s="34">
        <v>1.16060033170917</v>
      </c>
      <c r="Z163" s="34">
        <v>1.1475054694326401</v>
      </c>
      <c r="AA163" s="34">
        <v>1.1443428798311801</v>
      </c>
      <c r="AB163" s="33">
        <v>88.205625209897306</v>
      </c>
      <c r="AC163" s="33">
        <v>87.244569523035196</v>
      </c>
      <c r="AD163" s="33">
        <v>86.938295627294707</v>
      </c>
      <c r="AE163" s="15">
        <v>1.92951377841576E-2</v>
      </c>
      <c r="AF163" s="15">
        <v>8.3397176369981608E-3</v>
      </c>
      <c r="AG163" s="15">
        <v>4.8230202727548403E-3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5.8036017161810491E-2</v>
      </c>
      <c r="AT163" s="12"/>
      <c r="AU163">
        <f t="shared" si="50"/>
        <v>0</v>
      </c>
      <c r="AV163">
        <f t="shared" si="51"/>
        <v>0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1.156522108811554E-2</v>
      </c>
      <c r="BE163" s="29">
        <f t="shared" si="62"/>
        <v>0</v>
      </c>
      <c r="BF163" s="29">
        <f t="shared" si="63"/>
        <v>6.9601238249926034E-2</v>
      </c>
      <c r="BH163" s="29"/>
    </row>
    <row r="164" spans="1:60" x14ac:dyDescent="0.25">
      <c r="A164" s="1">
        <v>46260</v>
      </c>
      <c r="B164" s="33">
        <v>75.77</v>
      </c>
      <c r="C164" s="33">
        <v>86.27</v>
      </c>
      <c r="D164" s="15">
        <v>-3.0309043430491399E-3</v>
      </c>
      <c r="E164" s="15">
        <v>-2.8936879963705601E-3</v>
      </c>
      <c r="F164" s="33">
        <v>0</v>
      </c>
      <c r="G164" s="33">
        <v>0.694994</v>
      </c>
      <c r="H164" s="33">
        <v>0</v>
      </c>
      <c r="I164" s="33">
        <v>1.0290900000000001</v>
      </c>
      <c r="J164" s="33">
        <v>0</v>
      </c>
      <c r="K164" s="33">
        <v>0</v>
      </c>
      <c r="L164" s="33">
        <v>75.77</v>
      </c>
      <c r="M164" s="33">
        <v>86.27</v>
      </c>
      <c r="N164" s="34">
        <v>1.13857727332717</v>
      </c>
      <c r="O164" s="34">
        <v>1.16085801049043</v>
      </c>
      <c r="P164" s="34">
        <v>1.1461878887918999</v>
      </c>
      <c r="Q164" s="34">
        <v>1.14443374740125</v>
      </c>
      <c r="R164" s="33">
        <v>87.958211454860404</v>
      </c>
      <c r="S164" s="33">
        <v>86.946489418911796</v>
      </c>
      <c r="T164" s="33">
        <v>86.706860004808902</v>
      </c>
      <c r="U164" s="15">
        <v>1.9379918772201899E-2</v>
      </c>
      <c r="V164" s="15">
        <v>7.8109521861074302E-3</v>
      </c>
      <c r="W164" s="15">
        <v>5.0510910374504401E-3</v>
      </c>
      <c r="X164" s="34">
        <v>1.13857727332717</v>
      </c>
      <c r="Y164" s="34">
        <v>1.16060033170917</v>
      </c>
      <c r="Z164" s="34">
        <v>1.1461878887918999</v>
      </c>
      <c r="AA164" s="34">
        <v>1.14443374740125</v>
      </c>
      <c r="AB164" s="33">
        <v>87.938687133604205</v>
      </c>
      <c r="AC164" s="33">
        <v>86.946489418911796</v>
      </c>
      <c r="AD164" s="33">
        <v>86.706860004808902</v>
      </c>
      <c r="AE164" s="15">
        <v>1.9157921437479099E-2</v>
      </c>
      <c r="AF164" s="15">
        <v>7.8109521861074302E-3</v>
      </c>
      <c r="AG164" s="15">
        <v>5.0510910374506604E-3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5.8036017161810491E-2</v>
      </c>
      <c r="AT164" s="12"/>
      <c r="AU164">
        <f t="shared" si="50"/>
        <v>0</v>
      </c>
      <c r="AV164">
        <f t="shared" si="51"/>
        <v>0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1.156522108811554E-2</v>
      </c>
      <c r="BE164" s="29">
        <f t="shared" si="62"/>
        <v>0</v>
      </c>
      <c r="BF164" s="29">
        <f t="shared" si="63"/>
        <v>6.9601238249926034E-2</v>
      </c>
      <c r="BH164" s="29"/>
    </row>
    <row r="165" spans="1:60" x14ac:dyDescent="0.25">
      <c r="A165" s="1">
        <v>46261</v>
      </c>
      <c r="B165" s="33">
        <v>74.69</v>
      </c>
      <c r="C165" s="33">
        <v>85.08</v>
      </c>
      <c r="D165" s="15">
        <v>-1.4356221574306599E-2</v>
      </c>
      <c r="E165" s="15">
        <v>-1.3889922756450899E-2</v>
      </c>
      <c r="F165" s="33">
        <v>0</v>
      </c>
      <c r="G165" s="33">
        <v>0.694994</v>
      </c>
      <c r="H165" s="33">
        <v>0</v>
      </c>
      <c r="I165" s="33">
        <v>1.0290900000000001</v>
      </c>
      <c r="J165" s="33">
        <v>0</v>
      </c>
      <c r="K165" s="33">
        <v>0</v>
      </c>
      <c r="L165" s="33">
        <v>74.69</v>
      </c>
      <c r="M165" s="33">
        <v>85.08</v>
      </c>
      <c r="N165" s="34">
        <v>1.1391083143660401</v>
      </c>
      <c r="O165" s="34">
        <v>1.16085801049043</v>
      </c>
      <c r="P165" s="34">
        <v>1.1445539130271001</v>
      </c>
      <c r="Q165" s="34">
        <v>1.1446663067351599</v>
      </c>
      <c r="R165" s="33">
        <v>86.704484803530704</v>
      </c>
      <c r="S165" s="33">
        <v>85.608773413866999</v>
      </c>
      <c r="T165" s="33">
        <v>85.477756593399604</v>
      </c>
      <c r="U165" s="15">
        <v>1.8913619954346102E-2</v>
      </c>
      <c r="V165" s="15">
        <v>6.19578071624811E-3</v>
      </c>
      <c r="W165" s="15">
        <v>4.6641949616833501E-3</v>
      </c>
      <c r="X165" s="34">
        <v>1.1391083143660401</v>
      </c>
      <c r="Y165" s="34">
        <v>1.16060033170917</v>
      </c>
      <c r="Z165" s="34">
        <v>1.1445539130271001</v>
      </c>
      <c r="AA165" s="34">
        <v>1.1446663067351599</v>
      </c>
      <c r="AB165" s="33">
        <v>86.6852387753583</v>
      </c>
      <c r="AC165" s="33">
        <v>85.608773413866999</v>
      </c>
      <c r="AD165" s="33">
        <v>85.477756593399604</v>
      </c>
      <c r="AE165" s="15">
        <v>1.8691622619623299E-2</v>
      </c>
      <c r="AF165" s="15">
        <v>6.19578071624811E-3</v>
      </c>
      <c r="AG165" s="15">
        <v>4.6641949616833501E-3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5.8036017161810491E-2</v>
      </c>
      <c r="AT165" s="12"/>
      <c r="AU165">
        <f t="shared" si="50"/>
        <v>0</v>
      </c>
      <c r="AV165">
        <f t="shared" si="51"/>
        <v>0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1.156522108811554E-2</v>
      </c>
      <c r="BE165" s="29">
        <f t="shared" si="62"/>
        <v>0</v>
      </c>
      <c r="BF165" s="29">
        <f t="shared" si="63"/>
        <v>6.9601238249926034E-2</v>
      </c>
      <c r="BH165" s="29"/>
    </row>
    <row r="166" spans="1:60" x14ac:dyDescent="0.25">
      <c r="A166" s="1">
        <v>46262</v>
      </c>
      <c r="B166" s="33">
        <v>75.16</v>
      </c>
      <c r="C166" s="33">
        <v>85.45</v>
      </c>
      <c r="D166" s="15">
        <v>6.2729601762892204E-3</v>
      </c>
      <c r="E166" s="15">
        <v>4.3394192295634999E-3</v>
      </c>
      <c r="F166" s="33">
        <v>0</v>
      </c>
      <c r="G166" s="33">
        <v>0.694994</v>
      </c>
      <c r="H166" s="33">
        <v>0</v>
      </c>
      <c r="I166" s="33">
        <v>1.0290900000000001</v>
      </c>
      <c r="J166" s="33">
        <v>0</v>
      </c>
      <c r="K166" s="33">
        <v>0</v>
      </c>
      <c r="L166" s="33">
        <v>75.16</v>
      </c>
      <c r="M166" s="33">
        <v>85.45</v>
      </c>
      <c r="N166" s="34">
        <v>1.1369079297498601</v>
      </c>
      <c r="O166" s="34">
        <v>1.16085801049043</v>
      </c>
      <c r="P166" s="34">
        <v>1.14321263758948</v>
      </c>
      <c r="Q166" s="34">
        <v>1.14459922998925</v>
      </c>
      <c r="R166" s="33">
        <v>87.250088068461196</v>
      </c>
      <c r="S166" s="33">
        <v>86.024672103117396</v>
      </c>
      <c r="T166" s="33">
        <v>86.033119614214996</v>
      </c>
      <c r="U166" s="15">
        <v>2.0847160901071901E-2</v>
      </c>
      <c r="V166" s="15">
        <v>6.7027304682680602E-3</v>
      </c>
      <c r="W166" s="15">
        <v>6.8009243485923198E-3</v>
      </c>
      <c r="X166" s="34">
        <v>1.1369079297498601</v>
      </c>
      <c r="Y166" s="34">
        <v>1.16060033170917</v>
      </c>
      <c r="Z166" s="34">
        <v>1.14321263758948</v>
      </c>
      <c r="AA166" s="34">
        <v>1.14459922998925</v>
      </c>
      <c r="AB166" s="33">
        <v>87.230720931261601</v>
      </c>
      <c r="AC166" s="33">
        <v>86.024672103117396</v>
      </c>
      <c r="AD166" s="33">
        <v>86.033119614214996</v>
      </c>
      <c r="AE166" s="15">
        <v>2.0625163566349101E-2</v>
      </c>
      <c r="AF166" s="15">
        <v>6.7027304682680602E-3</v>
      </c>
      <c r="AG166" s="15">
        <v>6.8009243485921004E-3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5.8036017161810491E-2</v>
      </c>
      <c r="AT166" s="12"/>
      <c r="AU166">
        <f t="shared" si="50"/>
        <v>0</v>
      </c>
      <c r="AV166">
        <f t="shared" si="51"/>
        <v>0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1.156522108811554E-2</v>
      </c>
      <c r="BE166" s="29">
        <f t="shared" si="62"/>
        <v>0</v>
      </c>
      <c r="BF166" s="29">
        <f t="shared" si="63"/>
        <v>6.9601238249926034E-2</v>
      </c>
      <c r="BH166" s="29"/>
    </row>
    <row r="167" spans="1:60" x14ac:dyDescent="0.25">
      <c r="A167" s="1">
        <v>46265</v>
      </c>
      <c r="B167" s="33">
        <v>74.66</v>
      </c>
      <c r="C167" s="33">
        <v>84.98</v>
      </c>
      <c r="D167" s="15">
        <v>-6.6747010588267602E-3</v>
      </c>
      <c r="E167" s="15">
        <v>-5.5154748749343396E-3</v>
      </c>
      <c r="F167" s="33">
        <v>0</v>
      </c>
      <c r="G167" s="33">
        <v>0.694994</v>
      </c>
      <c r="H167" s="33">
        <v>0</v>
      </c>
      <c r="I167" s="33">
        <v>1.0290900000000001</v>
      </c>
      <c r="J167" s="33">
        <v>0</v>
      </c>
      <c r="K167" s="33">
        <v>0</v>
      </c>
      <c r="L167" s="33">
        <v>74.66</v>
      </c>
      <c r="M167" s="33">
        <v>84.98</v>
      </c>
      <c r="N167" s="34">
        <v>1.13822662737744</v>
      </c>
      <c r="O167" s="34">
        <v>1.16085801049043</v>
      </c>
      <c r="P167" s="34">
        <v>1.1420434480730099</v>
      </c>
      <c r="Q167" s="34">
        <v>1.14432727294842</v>
      </c>
      <c r="R167" s="33">
        <v>86.669659063216002</v>
      </c>
      <c r="S167" s="33">
        <v>85.352255522430596</v>
      </c>
      <c r="T167" s="33">
        <v>85.455778510997604</v>
      </c>
      <c r="U167" s="15">
        <v>1.96879347171794E-2</v>
      </c>
      <c r="V167" s="15">
        <v>4.3709409466148597E-3</v>
      </c>
      <c r="W167" s="15">
        <v>5.5830970589263703E-3</v>
      </c>
      <c r="X167" s="34">
        <v>1.13822662737744</v>
      </c>
      <c r="Y167" s="34">
        <v>1.16060033170917</v>
      </c>
      <c r="Z167" s="34">
        <v>1.1420434480730099</v>
      </c>
      <c r="AA167" s="34">
        <v>1.14432727294842</v>
      </c>
      <c r="AB167" s="33">
        <v>86.650420765407006</v>
      </c>
      <c r="AC167" s="33">
        <v>85.352255522430596</v>
      </c>
      <c r="AD167" s="33">
        <v>85.455778510997604</v>
      </c>
      <c r="AE167" s="15">
        <v>1.94659373824565E-2</v>
      </c>
      <c r="AF167" s="15">
        <v>4.3709409466148597E-3</v>
      </c>
      <c r="AG167" s="15">
        <v>5.5830970589263703E-3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1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5.8036017161810491E-2</v>
      </c>
      <c r="AT167" s="12"/>
      <c r="AU167">
        <f t="shared" si="50"/>
        <v>0</v>
      </c>
      <c r="AV167">
        <f t="shared" si="51"/>
        <v>0</v>
      </c>
      <c r="AW167">
        <f t="shared" si="58"/>
        <v>0</v>
      </c>
      <c r="AX167">
        <f t="shared" si="45"/>
        <v>1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1.156522108811554E-2</v>
      </c>
      <c r="BE167" s="29">
        <f t="shared" si="62"/>
        <v>0</v>
      </c>
      <c r="BF167" s="29">
        <f t="shared" si="63"/>
        <v>6.9601238249926034E-2</v>
      </c>
      <c r="BH167" s="29"/>
    </row>
    <row r="168" spans="1:60" x14ac:dyDescent="0.25">
      <c r="A168" s="1">
        <v>46266</v>
      </c>
      <c r="B168" s="33">
        <v>75.08</v>
      </c>
      <c r="C168" s="33">
        <v>85.25</v>
      </c>
      <c r="D168" s="15">
        <v>5.6097382318703697E-3</v>
      </c>
      <c r="E168" s="15">
        <v>3.17218147696059E-3</v>
      </c>
      <c r="F168" s="33">
        <v>0</v>
      </c>
      <c r="G168" s="33">
        <v>0.694994</v>
      </c>
      <c r="H168" s="33">
        <v>0</v>
      </c>
      <c r="I168" s="33">
        <v>1.0290900000000001</v>
      </c>
      <c r="J168" s="33">
        <v>0</v>
      </c>
      <c r="K168" s="33">
        <v>0</v>
      </c>
      <c r="L168" s="33">
        <v>75.08</v>
      </c>
      <c r="M168" s="33">
        <v>85.25</v>
      </c>
      <c r="N168" s="34">
        <v>1.1354555141182701</v>
      </c>
      <c r="O168" s="34">
        <v>1.16085801049043</v>
      </c>
      <c r="P168" s="34">
        <v>1.1406239269431899</v>
      </c>
      <c r="Q168" s="34">
        <v>1.1438892190068299</v>
      </c>
      <c r="R168" s="33">
        <v>87.157219427621996</v>
      </c>
      <c r="S168" s="33">
        <v>85.744622081322007</v>
      </c>
      <c r="T168" s="33">
        <v>85.916091652967495</v>
      </c>
      <c r="U168" s="15">
        <v>2.2125491472089202E-2</v>
      </c>
      <c r="V168" s="15">
        <v>5.7852516628723802E-3</v>
      </c>
      <c r="W168" s="15">
        <v>7.7830253519679104E-3</v>
      </c>
      <c r="X168" s="34">
        <v>1.1354555141182701</v>
      </c>
      <c r="Y168" s="34">
        <v>1.16060033170917</v>
      </c>
      <c r="Z168" s="34">
        <v>1.1406239269431899</v>
      </c>
      <c r="AA168" s="34">
        <v>1.1438892190068299</v>
      </c>
      <c r="AB168" s="33">
        <v>87.137872904724901</v>
      </c>
      <c r="AC168" s="33">
        <v>85.744622081322007</v>
      </c>
      <c r="AD168" s="33">
        <v>85.916091652967495</v>
      </c>
      <c r="AE168" s="15">
        <v>2.1903494137366201E-2</v>
      </c>
      <c r="AF168" s="15">
        <v>5.7852516628723802E-3</v>
      </c>
      <c r="AG168" s="15">
        <v>7.7830253519681298E-3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5.8036017161810491E-2</v>
      </c>
      <c r="AT168" s="12"/>
      <c r="AU168">
        <f t="shared" si="50"/>
        <v>1</v>
      </c>
      <c r="AV168">
        <f t="shared" si="51"/>
        <v>0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1.156522108811554E-2</v>
      </c>
      <c r="BE168" s="29">
        <f t="shared" si="62"/>
        <v>0</v>
      </c>
      <c r="BF168" s="29">
        <f t="shared" si="63"/>
        <v>6.9601238249926034E-2</v>
      </c>
      <c r="BH168" s="29"/>
    </row>
    <row r="169" spans="1:60" x14ac:dyDescent="0.25">
      <c r="A169" s="1">
        <v>46267</v>
      </c>
      <c r="B169" s="33">
        <v>75.540000000000006</v>
      </c>
      <c r="C169" s="33">
        <v>85.53</v>
      </c>
      <c r="D169" s="15">
        <v>6.1081055660027698E-3</v>
      </c>
      <c r="E169" s="15">
        <v>3.27907542906426E-3</v>
      </c>
      <c r="F169" s="33">
        <v>0</v>
      </c>
      <c r="G169" s="33">
        <v>0.694994</v>
      </c>
      <c r="H169" s="33">
        <v>0</v>
      </c>
      <c r="I169" s="33">
        <v>1.0290900000000001</v>
      </c>
      <c r="J169" s="33">
        <v>0</v>
      </c>
      <c r="K169" s="33">
        <v>0</v>
      </c>
      <c r="L169" s="33">
        <v>75.540000000000006</v>
      </c>
      <c r="M169" s="33">
        <v>85.53</v>
      </c>
      <c r="N169" s="34">
        <v>1.1322478157267599</v>
      </c>
      <c r="O169" s="34">
        <v>1.16085801049043</v>
      </c>
      <c r="P169" s="34">
        <v>1.1385696356505499</v>
      </c>
      <c r="Q169" s="34">
        <v>1.1434246867162501</v>
      </c>
      <c r="R169" s="33">
        <v>87.691214112447597</v>
      </c>
      <c r="S169" s="33">
        <v>86.162731441289196</v>
      </c>
      <c r="T169" s="33">
        <v>86.409391603776399</v>
      </c>
      <c r="U169" s="15">
        <v>2.49545216090277E-2</v>
      </c>
      <c r="V169" s="15">
        <v>7.3705427177700898E-3</v>
      </c>
      <c r="W169" s="15">
        <v>1.0229177427780799E-2</v>
      </c>
      <c r="X169" s="34">
        <v>1.1322478157267599</v>
      </c>
      <c r="Y169" s="34">
        <v>1.16060033170917</v>
      </c>
      <c r="Z169" s="34">
        <v>1.1385696356505499</v>
      </c>
      <c r="AA169" s="34">
        <v>1.1434246867162501</v>
      </c>
      <c r="AB169" s="33">
        <v>87.671749057311104</v>
      </c>
      <c r="AC169" s="33">
        <v>86.162731441289196</v>
      </c>
      <c r="AD169" s="33">
        <v>86.409391603776399</v>
      </c>
      <c r="AE169" s="15">
        <v>2.4732524274305001E-2</v>
      </c>
      <c r="AF169" s="15">
        <v>7.3705427177700898E-3</v>
      </c>
      <c r="AG169" s="15">
        <v>1.0229177427780799E-2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5.8036017161810491E-2</v>
      </c>
      <c r="AT169" s="12"/>
      <c r="AU169">
        <f t="shared" si="50"/>
        <v>1</v>
      </c>
      <c r="AV169">
        <f t="shared" si="51"/>
        <v>0</v>
      </c>
      <c r="AW169">
        <f t="shared" si="58"/>
        <v>1</v>
      </c>
      <c r="AX169">
        <f t="shared" si="45"/>
        <v>1</v>
      </c>
      <c r="AY169">
        <f t="shared" si="59"/>
        <v>1</v>
      </c>
      <c r="AZ169" s="28">
        <f t="shared" si="52"/>
        <v>-6.1081055660027698E-3</v>
      </c>
      <c r="BA169" s="28">
        <f t="shared" si="53"/>
        <v>3.27907542906426E-3</v>
      </c>
      <c r="BB169" s="28">
        <f t="shared" si="60"/>
        <v>-2.8290301369385097E-3</v>
      </c>
      <c r="BC169" s="29">
        <f t="shared" si="61"/>
        <v>8.7361909511770308E-3</v>
      </c>
      <c r="BE169" s="29">
        <f t="shared" si="62"/>
        <v>-2.8290301369385097E-3</v>
      </c>
      <c r="BF169" s="29">
        <f t="shared" si="63"/>
        <v>6.6772208112987522E-2</v>
      </c>
      <c r="BH169" s="29"/>
    </row>
    <row r="170" spans="1:60" x14ac:dyDescent="0.25">
      <c r="A170" s="1">
        <v>46268</v>
      </c>
      <c r="B170" s="33">
        <v>75.13</v>
      </c>
      <c r="C170" s="33">
        <v>85.26</v>
      </c>
      <c r="D170" s="15">
        <v>-5.4423709032416596E-3</v>
      </c>
      <c r="E170" s="15">
        <v>-3.1617802556260198E-3</v>
      </c>
      <c r="F170" s="33">
        <v>0</v>
      </c>
      <c r="G170" s="33">
        <v>0.694994</v>
      </c>
      <c r="H170" s="33">
        <v>0</v>
      </c>
      <c r="I170" s="33">
        <v>1.0290900000000001</v>
      </c>
      <c r="J170" s="33">
        <v>0</v>
      </c>
      <c r="K170" s="33">
        <v>0</v>
      </c>
      <c r="L170" s="33">
        <v>75.13</v>
      </c>
      <c r="M170" s="33">
        <v>85.26</v>
      </c>
      <c r="N170" s="34">
        <v>1.1348329562092301</v>
      </c>
      <c r="O170" s="34">
        <v>1.16085801049043</v>
      </c>
      <c r="P170" s="34">
        <v>1.1382625871797101</v>
      </c>
      <c r="Q170" s="34">
        <v>1.1430838395568901</v>
      </c>
      <c r="R170" s="33">
        <v>87.215262328146494</v>
      </c>
      <c r="S170" s="33">
        <v>85.540736726425806</v>
      </c>
      <c r="T170" s="33">
        <v>85.905496712991905</v>
      </c>
      <c r="U170" s="15">
        <v>2.2673930961412202E-2</v>
      </c>
      <c r="V170" s="15">
        <v>3.2873040786403599E-3</v>
      </c>
      <c r="W170" s="15">
        <v>7.5424052798392796E-3</v>
      </c>
      <c r="X170" s="34">
        <v>1.1348329562092301</v>
      </c>
      <c r="Y170" s="34">
        <v>1.16060033170917</v>
      </c>
      <c r="Z170" s="34">
        <v>1.1382625871797101</v>
      </c>
      <c r="AA170" s="34">
        <v>1.1430838395568901</v>
      </c>
      <c r="AB170" s="33">
        <v>87.195902921310406</v>
      </c>
      <c r="AC170" s="33">
        <v>85.540736726425806</v>
      </c>
      <c r="AD170" s="33">
        <v>85.905496712991905</v>
      </c>
      <c r="AE170" s="15">
        <v>2.2451933626689301E-2</v>
      </c>
      <c r="AF170" s="15">
        <v>3.2873040786403599E-3</v>
      </c>
      <c r="AG170" s="15">
        <v>7.5424052798392796E-3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5.8036017161810491E-2</v>
      </c>
      <c r="AT170" s="12"/>
      <c r="AU170">
        <f t="shared" si="50"/>
        <v>1</v>
      </c>
      <c r="AV170">
        <f t="shared" si="51"/>
        <v>0</v>
      </c>
      <c r="AW170">
        <f t="shared" si="58"/>
        <v>1</v>
      </c>
      <c r="AX170">
        <f t="shared" si="45"/>
        <v>1</v>
      </c>
      <c r="AY170">
        <f t="shared" si="59"/>
        <v>1</v>
      </c>
      <c r="AZ170" s="28">
        <f t="shared" si="52"/>
        <v>5.4423709032416596E-3</v>
      </c>
      <c r="BA170" s="28">
        <f t="shared" si="53"/>
        <v>-3.1617802556260198E-3</v>
      </c>
      <c r="BB170" s="28">
        <f t="shared" si="60"/>
        <v>2.2805906476156398E-3</v>
      </c>
      <c r="BC170" s="29">
        <f t="shared" si="61"/>
        <v>1.1016781598792671E-2</v>
      </c>
      <c r="BE170" s="29">
        <f t="shared" si="62"/>
        <v>2.2805906476156398E-3</v>
      </c>
      <c r="BF170" s="29">
        <f t="shared" si="63"/>
        <v>6.9052798760603162E-2</v>
      </c>
      <c r="BH170" s="29"/>
    </row>
    <row r="171" spans="1:60" x14ac:dyDescent="0.25">
      <c r="A171" s="1">
        <v>46269</v>
      </c>
      <c r="B171" s="33">
        <v>74.47</v>
      </c>
      <c r="C171" s="33">
        <v>84.58</v>
      </c>
      <c r="D171" s="15">
        <v>-8.8235866585150095E-3</v>
      </c>
      <c r="E171" s="15">
        <v>-8.0075792927218302E-3</v>
      </c>
      <c r="F171" s="33">
        <v>0</v>
      </c>
      <c r="G171" s="33">
        <v>0.694994</v>
      </c>
      <c r="H171" s="33">
        <v>0</v>
      </c>
      <c r="I171" s="33">
        <v>1.0290900000000001</v>
      </c>
      <c r="J171" s="33">
        <v>0</v>
      </c>
      <c r="K171" s="33">
        <v>0</v>
      </c>
      <c r="L171" s="33">
        <v>74.47</v>
      </c>
      <c r="M171" s="33">
        <v>84.58</v>
      </c>
      <c r="N171" s="34">
        <v>1.1357593661877201</v>
      </c>
      <c r="O171" s="34">
        <v>1.16085801049043</v>
      </c>
      <c r="P171" s="34">
        <v>1.13767229968802</v>
      </c>
      <c r="Q171" s="34">
        <v>1.1427059247232301</v>
      </c>
      <c r="R171" s="33">
        <v>86.449096041222802</v>
      </c>
      <c r="S171" s="33">
        <v>84.766414867273397</v>
      </c>
      <c r="T171" s="33">
        <v>85.125453531801895</v>
      </c>
      <c r="U171" s="15">
        <v>2.1857923595619E-2</v>
      </c>
      <c r="V171" s="15">
        <v>2.2015812110929098E-3</v>
      </c>
      <c r="W171" s="15">
        <v>6.4282602443498102E-3</v>
      </c>
      <c r="X171" s="34">
        <v>1.1357593661877201</v>
      </c>
      <c r="Y171" s="34">
        <v>1.16060033170917</v>
      </c>
      <c r="Z171" s="34">
        <v>1.13767229968802</v>
      </c>
      <c r="AA171" s="34">
        <v>1.1427059247232301</v>
      </c>
      <c r="AB171" s="33">
        <v>86.429906702382297</v>
      </c>
      <c r="AC171" s="33">
        <v>84.766414867273397</v>
      </c>
      <c r="AD171" s="33">
        <v>85.125453531801895</v>
      </c>
      <c r="AE171" s="15">
        <v>2.16359262608961E-2</v>
      </c>
      <c r="AF171" s="15">
        <v>2.2015812110929098E-3</v>
      </c>
      <c r="AG171" s="15">
        <v>6.4282602443498102E-3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5.8036017161810491E-2</v>
      </c>
      <c r="AT171" s="12"/>
      <c r="AU171">
        <f t="shared" si="50"/>
        <v>0</v>
      </c>
      <c r="AV171">
        <f t="shared" si="51"/>
        <v>0</v>
      </c>
      <c r="AW171">
        <f t="shared" si="58"/>
        <v>1</v>
      </c>
      <c r="AX171">
        <f t="shared" si="45"/>
        <v>1</v>
      </c>
      <c r="AY171">
        <f t="shared" si="59"/>
        <v>1</v>
      </c>
      <c r="AZ171" s="28">
        <f t="shared" si="52"/>
        <v>8.8235866585150095E-3</v>
      </c>
      <c r="BA171" s="28">
        <f t="shared" si="53"/>
        <v>-8.0075792927218302E-3</v>
      </c>
      <c r="BB171" s="28">
        <f t="shared" si="60"/>
        <v>8.1600736579317927E-4</v>
      </c>
      <c r="BC171" s="29">
        <f t="shared" si="61"/>
        <v>1.1832788964585851E-2</v>
      </c>
      <c r="BE171" s="29">
        <f t="shared" si="62"/>
        <v>8.1600736579317927E-4</v>
      </c>
      <c r="BF171" s="29">
        <f t="shared" si="63"/>
        <v>6.9868806126396343E-2</v>
      </c>
      <c r="BH171" s="29"/>
    </row>
    <row r="172" spans="1:60" x14ac:dyDescent="0.25">
      <c r="A172" s="1">
        <v>46273</v>
      </c>
      <c r="B172" s="33">
        <v>74.11</v>
      </c>
      <c r="C172" s="33">
        <v>84.02</v>
      </c>
      <c r="D172" s="15">
        <v>-4.8458837592866696E-3</v>
      </c>
      <c r="E172" s="15">
        <v>-6.6429663031065504E-3</v>
      </c>
      <c r="F172" s="33">
        <v>0</v>
      </c>
      <c r="G172" s="33">
        <v>0.694994</v>
      </c>
      <c r="H172" s="33">
        <v>0</v>
      </c>
      <c r="I172" s="33">
        <v>1.0290900000000001</v>
      </c>
      <c r="J172" s="33">
        <v>0</v>
      </c>
      <c r="K172" s="33">
        <v>0</v>
      </c>
      <c r="L172" s="33">
        <v>74.11</v>
      </c>
      <c r="M172" s="33">
        <v>84.02</v>
      </c>
      <c r="N172" s="34">
        <v>1.13372014572932</v>
      </c>
      <c r="O172" s="34">
        <v>1.16085801049043</v>
      </c>
      <c r="P172" s="34">
        <v>1.1363256995423401</v>
      </c>
      <c r="Q172" s="34">
        <v>1.14214028084377</v>
      </c>
      <c r="R172" s="33">
        <v>86.031187157446297</v>
      </c>
      <c r="S172" s="33">
        <v>84.312894129879595</v>
      </c>
      <c r="T172" s="33">
        <v>84.685936081238594</v>
      </c>
      <c r="U172" s="15">
        <v>2.3655006139438699E-2</v>
      </c>
      <c r="V172" s="15">
        <v>3.4799428474463702E-3</v>
      </c>
      <c r="W172" s="15">
        <v>7.89467822486495E-3</v>
      </c>
      <c r="X172" s="34">
        <v>1.13372014572932</v>
      </c>
      <c r="Y172" s="34">
        <v>1.16060033170917</v>
      </c>
      <c r="Z172" s="34">
        <v>1.1363256995423401</v>
      </c>
      <c r="AA172" s="34">
        <v>1.14214028084377</v>
      </c>
      <c r="AB172" s="33">
        <v>86.012090582967005</v>
      </c>
      <c r="AC172" s="33">
        <v>84.312894129879595</v>
      </c>
      <c r="AD172" s="33">
        <v>84.685936081238594</v>
      </c>
      <c r="AE172" s="15">
        <v>2.3433008804716E-2</v>
      </c>
      <c r="AF172" s="15">
        <v>3.4799428474465901E-3</v>
      </c>
      <c r="AG172" s="15">
        <v>7.89467822486495E-3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5.8036017161810491E-2</v>
      </c>
      <c r="AT172" s="12"/>
      <c r="AU172">
        <f t="shared" si="50"/>
        <v>1</v>
      </c>
      <c r="AV172">
        <f t="shared" si="51"/>
        <v>0</v>
      </c>
      <c r="AW172">
        <f t="shared" si="58"/>
        <v>1</v>
      </c>
      <c r="AX172">
        <f t="shared" si="45"/>
        <v>1</v>
      </c>
      <c r="AY172">
        <f t="shared" si="59"/>
        <v>1</v>
      </c>
      <c r="AZ172" s="28">
        <f t="shared" si="52"/>
        <v>4.8458837592866696E-3</v>
      </c>
      <c r="BA172" s="28">
        <f t="shared" si="53"/>
        <v>-6.6429663031065504E-3</v>
      </c>
      <c r="BB172" s="28">
        <f t="shared" si="60"/>
        <v>-1.7970825438198808E-3</v>
      </c>
      <c r="BC172" s="29">
        <f t="shared" si="61"/>
        <v>1.0035706420765969E-2</v>
      </c>
      <c r="BE172" s="29">
        <f t="shared" si="62"/>
        <v>-1.7970825438198808E-3</v>
      </c>
      <c r="BF172" s="29">
        <f t="shared" si="63"/>
        <v>6.807172358257646E-2</v>
      </c>
      <c r="BH172" s="29"/>
    </row>
    <row r="173" spans="1:60" x14ac:dyDescent="0.25">
      <c r="A173" s="1">
        <v>46274</v>
      </c>
      <c r="B173" s="33">
        <v>73.34</v>
      </c>
      <c r="C173" s="33">
        <v>83.05</v>
      </c>
      <c r="D173" s="15">
        <v>-1.04443133200874E-2</v>
      </c>
      <c r="E173" s="15">
        <v>-1.1612029681932E-2</v>
      </c>
      <c r="F173" s="33">
        <v>0</v>
      </c>
      <c r="G173" s="33">
        <v>0.694994</v>
      </c>
      <c r="H173" s="33">
        <v>0</v>
      </c>
      <c r="I173" s="33">
        <v>1.0290900000000001</v>
      </c>
      <c r="J173" s="33">
        <v>0</v>
      </c>
      <c r="K173" s="33">
        <v>0</v>
      </c>
      <c r="L173" s="33">
        <v>73.34</v>
      </c>
      <c r="M173" s="33">
        <v>83.05</v>
      </c>
      <c r="N173" s="34">
        <v>1.1323970548131901</v>
      </c>
      <c r="O173" s="34">
        <v>1.16085801049043</v>
      </c>
      <c r="P173" s="34">
        <v>1.1357232997605</v>
      </c>
      <c r="Q173" s="34">
        <v>1.1416143845965701</v>
      </c>
      <c r="R173" s="33">
        <v>85.137326489368604</v>
      </c>
      <c r="S173" s="33">
        <v>83.338126804435504</v>
      </c>
      <c r="T173" s="33">
        <v>83.764568197082198</v>
      </c>
      <c r="U173" s="15">
        <v>2.4822722501283399E-2</v>
      </c>
      <c r="V173" s="15">
        <v>3.4633131337520602E-3</v>
      </c>
      <c r="W173" s="15">
        <v>8.5672681404422805E-3</v>
      </c>
      <c r="X173" s="34">
        <v>1.1323970548131901</v>
      </c>
      <c r="Y173" s="34">
        <v>1.16060033170917</v>
      </c>
      <c r="Z173" s="34">
        <v>1.1357232997605</v>
      </c>
      <c r="AA173" s="34">
        <v>1.1416143845965701</v>
      </c>
      <c r="AB173" s="33">
        <v>85.118428327550902</v>
      </c>
      <c r="AC173" s="33">
        <v>83.338126804435504</v>
      </c>
      <c r="AD173" s="33">
        <v>83.764568197082198</v>
      </c>
      <c r="AE173" s="15">
        <v>2.4600725166560599E-2</v>
      </c>
      <c r="AF173" s="15">
        <v>3.4633131337520602E-3</v>
      </c>
      <c r="AG173" s="15">
        <v>8.5672681404422805E-3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5.8036017161810491E-2</v>
      </c>
      <c r="AT173" s="12"/>
      <c r="AU173">
        <f t="shared" si="50"/>
        <v>1</v>
      </c>
      <c r="AV173">
        <f t="shared" si="51"/>
        <v>0</v>
      </c>
      <c r="AW173">
        <f t="shared" si="58"/>
        <v>1</v>
      </c>
      <c r="AX173">
        <f t="shared" si="45"/>
        <v>1</v>
      </c>
      <c r="AY173">
        <f t="shared" si="59"/>
        <v>1</v>
      </c>
      <c r="AZ173" s="28">
        <f t="shared" si="52"/>
        <v>1.04443133200874E-2</v>
      </c>
      <c r="BA173" s="28">
        <f t="shared" si="53"/>
        <v>-1.1612029681932E-2</v>
      </c>
      <c r="BB173" s="28">
        <f t="shared" si="60"/>
        <v>-1.1677163618446004E-3</v>
      </c>
      <c r="BC173" s="29">
        <f t="shared" si="61"/>
        <v>8.8679900589213687E-3</v>
      </c>
      <c r="BE173" s="29">
        <f t="shared" si="62"/>
        <v>-1.1677163618446004E-3</v>
      </c>
      <c r="BF173" s="29">
        <f t="shared" si="63"/>
        <v>6.6904007220731865E-2</v>
      </c>
      <c r="BH173" s="29"/>
    </row>
    <row r="174" spans="1:60" x14ac:dyDescent="0.25">
      <c r="A174" s="1">
        <v>46275</v>
      </c>
      <c r="B174" s="33">
        <v>73.44</v>
      </c>
      <c r="C174" s="33">
        <v>83.09</v>
      </c>
      <c r="D174" s="15">
        <v>1.36258366905488E-3</v>
      </c>
      <c r="E174" s="15">
        <v>4.8152161758615301E-4</v>
      </c>
      <c r="F174" s="33">
        <v>0</v>
      </c>
      <c r="G174" s="33">
        <v>0.694994</v>
      </c>
      <c r="H174" s="33">
        <v>0</v>
      </c>
      <c r="I174" s="33">
        <v>1.0290900000000001</v>
      </c>
      <c r="J174" s="33">
        <v>0</v>
      </c>
      <c r="K174" s="33">
        <v>0</v>
      </c>
      <c r="L174" s="33">
        <v>73.44</v>
      </c>
      <c r="M174" s="33">
        <v>83.09</v>
      </c>
      <c r="N174" s="34">
        <v>1.1313997821350701</v>
      </c>
      <c r="O174" s="34">
        <v>1.16085801049043</v>
      </c>
      <c r="P174" s="34">
        <v>1.1350055506412899</v>
      </c>
      <c r="Q174" s="34">
        <v>1.14059671971659</v>
      </c>
      <c r="R174" s="33">
        <v>85.2534122904177</v>
      </c>
      <c r="S174" s="33">
        <v>83.407519134411501</v>
      </c>
      <c r="T174" s="33">
        <v>83.840160404772604</v>
      </c>
      <c r="U174" s="15">
        <v>2.5703784552752199E-2</v>
      </c>
      <c r="V174" s="15">
        <v>3.8141051108181402E-3</v>
      </c>
      <c r="W174" s="15">
        <v>8.9877761188766701E-3</v>
      </c>
      <c r="X174" s="34">
        <v>1.1313997821350701</v>
      </c>
      <c r="Y174" s="34">
        <v>1.16060033170917</v>
      </c>
      <c r="Z174" s="34">
        <v>1.1350055506412899</v>
      </c>
      <c r="AA174" s="34">
        <v>1.14059671971659</v>
      </c>
      <c r="AB174" s="33">
        <v>85.234488360721897</v>
      </c>
      <c r="AC174" s="33">
        <v>83.407519134411501</v>
      </c>
      <c r="AD174" s="33">
        <v>83.840160404772604</v>
      </c>
      <c r="AE174" s="15">
        <v>2.5481787218029298E-2</v>
      </c>
      <c r="AF174" s="15">
        <v>3.8141051108181402E-3</v>
      </c>
      <c r="AG174" s="15">
        <v>8.9877761188766701E-3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5.8036017161810491E-2</v>
      </c>
      <c r="AT174" s="12"/>
      <c r="AU174">
        <f t="shared" si="50"/>
        <v>1</v>
      </c>
      <c r="AV174">
        <f t="shared" si="51"/>
        <v>0</v>
      </c>
      <c r="AW174">
        <f t="shared" si="58"/>
        <v>1</v>
      </c>
      <c r="AX174">
        <f t="shared" si="45"/>
        <v>1</v>
      </c>
      <c r="AY174">
        <f t="shared" si="59"/>
        <v>1</v>
      </c>
      <c r="AZ174" s="28">
        <f t="shared" si="52"/>
        <v>-1.36258366905488E-3</v>
      </c>
      <c r="BA174" s="28">
        <f t="shared" si="53"/>
        <v>4.8152161758615301E-4</v>
      </c>
      <c r="BB174" s="28">
        <f t="shared" si="60"/>
        <v>-8.8106205146872701E-4</v>
      </c>
      <c r="BC174" s="29">
        <f t="shared" si="61"/>
        <v>7.9869280074526417E-3</v>
      </c>
      <c r="BE174" s="29">
        <f t="shared" si="62"/>
        <v>-8.8106205146872701E-4</v>
      </c>
      <c r="BF174" s="29">
        <f t="shared" si="63"/>
        <v>6.6022945169263131E-2</v>
      </c>
      <c r="BH174" s="29"/>
    </row>
    <row r="175" spans="1:60" x14ac:dyDescent="0.25">
      <c r="A175" s="1">
        <v>46276</v>
      </c>
      <c r="B175" s="33">
        <v>73.66</v>
      </c>
      <c r="C175" s="33">
        <v>83.38</v>
      </c>
      <c r="D175" s="15">
        <v>2.9911647046841302E-3</v>
      </c>
      <c r="E175" s="15">
        <v>3.4841147757607399E-3</v>
      </c>
      <c r="F175" s="33">
        <v>0</v>
      </c>
      <c r="G175" s="33">
        <v>0.694994</v>
      </c>
      <c r="H175" s="33">
        <v>0</v>
      </c>
      <c r="I175" s="33">
        <v>1.0290900000000001</v>
      </c>
      <c r="J175" s="33">
        <v>0</v>
      </c>
      <c r="K175" s="33">
        <v>0</v>
      </c>
      <c r="L175" s="33">
        <v>73.66</v>
      </c>
      <c r="M175" s="33">
        <v>83.38</v>
      </c>
      <c r="N175" s="34">
        <v>1.13195764322563</v>
      </c>
      <c r="O175" s="34">
        <v>1.16085801049043</v>
      </c>
      <c r="P175" s="34">
        <v>1.13429048352725</v>
      </c>
      <c r="Q175" s="34">
        <v>1.1394221982771799</v>
      </c>
      <c r="R175" s="33">
        <v>85.508801052725602</v>
      </c>
      <c r="S175" s="33">
        <v>83.6045088602378</v>
      </c>
      <c r="T175" s="33">
        <v>84.016354374324607</v>
      </c>
      <c r="U175" s="15">
        <v>2.5210834481675701E-2</v>
      </c>
      <c r="V175" s="15">
        <v>2.6889799185361601E-3</v>
      </c>
      <c r="W175" s="15">
        <v>7.6030023725001299E-3</v>
      </c>
      <c r="X175" s="34">
        <v>1.13195764322563</v>
      </c>
      <c r="Y175" s="34">
        <v>1.16060033170917</v>
      </c>
      <c r="Z175" s="34">
        <v>1.13429048352725</v>
      </c>
      <c r="AA175" s="34">
        <v>1.1394221982771799</v>
      </c>
      <c r="AB175" s="33">
        <v>85.489820433697901</v>
      </c>
      <c r="AC175" s="33">
        <v>83.6045088602378</v>
      </c>
      <c r="AD175" s="33">
        <v>84.016354374324607</v>
      </c>
      <c r="AE175" s="15">
        <v>2.4988837146952901E-2</v>
      </c>
      <c r="AF175" s="15">
        <v>2.6889799185361601E-3</v>
      </c>
      <c r="AG175" s="15">
        <v>7.6030023725001299E-3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5.8036017161810491E-2</v>
      </c>
      <c r="AT175" s="12"/>
      <c r="AU175">
        <f t="shared" si="50"/>
        <v>1</v>
      </c>
      <c r="AV175">
        <f t="shared" si="51"/>
        <v>0</v>
      </c>
      <c r="AW175">
        <f t="shared" si="58"/>
        <v>1</v>
      </c>
      <c r="AX175">
        <f t="shared" si="45"/>
        <v>1</v>
      </c>
      <c r="AY175">
        <f t="shared" si="59"/>
        <v>1</v>
      </c>
      <c r="AZ175" s="28">
        <f t="shared" si="52"/>
        <v>-2.9911647046841302E-3</v>
      </c>
      <c r="BA175" s="28">
        <f t="shared" si="53"/>
        <v>3.4841147757607399E-3</v>
      </c>
      <c r="BB175" s="28">
        <f t="shared" si="60"/>
        <v>4.9295007107660969E-4</v>
      </c>
      <c r="BC175" s="29">
        <f t="shared" si="61"/>
        <v>8.4798780785292523E-3</v>
      </c>
      <c r="BE175" s="29">
        <f t="shared" si="62"/>
        <v>4.9295007107660969E-4</v>
      </c>
      <c r="BF175" s="29">
        <f t="shared" si="63"/>
        <v>6.651589524033974E-2</v>
      </c>
      <c r="BH175" s="29"/>
    </row>
    <row r="176" spans="1:60" x14ac:dyDescent="0.25">
      <c r="A176" s="1">
        <v>46279</v>
      </c>
      <c r="B176" s="33">
        <v>74.400000000000006</v>
      </c>
      <c r="C176" s="33">
        <v>84.42</v>
      </c>
      <c r="D176" s="15">
        <v>9.9960308221270291E-3</v>
      </c>
      <c r="E176" s="15">
        <v>1.23958679017018E-2</v>
      </c>
      <c r="F176" s="33">
        <v>0</v>
      </c>
      <c r="G176" s="33">
        <v>0.694994</v>
      </c>
      <c r="H176" s="33">
        <v>0</v>
      </c>
      <c r="I176" s="33">
        <v>1.0290900000000001</v>
      </c>
      <c r="J176" s="33">
        <v>0</v>
      </c>
      <c r="K176" s="33">
        <v>0</v>
      </c>
      <c r="L176" s="33">
        <v>74.400000000000006</v>
      </c>
      <c r="M176" s="33">
        <v>84.42</v>
      </c>
      <c r="N176" s="34">
        <v>1.1346774193548299</v>
      </c>
      <c r="O176" s="34">
        <v>1.16085801049043</v>
      </c>
      <c r="P176" s="34">
        <v>1.13406743248775</v>
      </c>
      <c r="Q176" s="34">
        <v>1.1386400350386101</v>
      </c>
      <c r="R176" s="33">
        <v>86.367835980488493</v>
      </c>
      <c r="S176" s="33">
        <v>84.391211974427705</v>
      </c>
      <c r="T176" s="33">
        <v>84.773011551822194</v>
      </c>
      <c r="U176" s="15">
        <v>2.2810997402100901E-2</v>
      </c>
      <c r="V176" s="15">
        <v>-3.4106769940965901E-4</v>
      </c>
      <c r="W176" s="15">
        <v>4.1728917859464804E-3</v>
      </c>
      <c r="X176" s="34">
        <v>1.1346774193548299</v>
      </c>
      <c r="Y176" s="34">
        <v>1.16060033170917</v>
      </c>
      <c r="Z176" s="34">
        <v>1.13406743248775</v>
      </c>
      <c r="AA176" s="34">
        <v>1.1386400350386101</v>
      </c>
      <c r="AB176" s="33">
        <v>86.348664679162695</v>
      </c>
      <c r="AC176" s="33">
        <v>84.391211974427705</v>
      </c>
      <c r="AD176" s="33">
        <v>84.773011551822194</v>
      </c>
      <c r="AE176" s="15">
        <v>2.2589000067377799E-2</v>
      </c>
      <c r="AF176" s="15">
        <v>-3.41067699409881E-4</v>
      </c>
      <c r="AG176" s="15">
        <v>4.1728917859464804E-3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5.8036017161810491E-2</v>
      </c>
      <c r="AT176" s="12"/>
      <c r="AU176">
        <f t="shared" si="50"/>
        <v>0</v>
      </c>
      <c r="AV176">
        <f t="shared" si="51"/>
        <v>0</v>
      </c>
      <c r="AW176">
        <f t="shared" si="58"/>
        <v>1</v>
      </c>
      <c r="AX176">
        <f t="shared" si="45"/>
        <v>1</v>
      </c>
      <c r="AY176">
        <f t="shared" si="59"/>
        <v>1</v>
      </c>
      <c r="AZ176" s="28">
        <f t="shared" si="52"/>
        <v>-9.9960308221270291E-3</v>
      </c>
      <c r="BA176" s="28">
        <f t="shared" si="53"/>
        <v>1.23958679017018E-2</v>
      </c>
      <c r="BB176" s="28">
        <f t="shared" si="60"/>
        <v>2.3998370795747705E-3</v>
      </c>
      <c r="BC176" s="29">
        <f t="shared" si="61"/>
        <v>1.0879715158104023E-2</v>
      </c>
      <c r="BE176" s="29">
        <f t="shared" si="62"/>
        <v>2.3998370795747705E-3</v>
      </c>
      <c r="BF176" s="29">
        <f t="shared" si="63"/>
        <v>6.8915732319914505E-2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2026-09-21T19:07:54Z</dcterms:created>
  <dcterms:modified xsi:type="dcterms:W3CDTF">2026-09-21T19:18:11Z</dcterms:modified>
</cp:coreProperties>
</file>