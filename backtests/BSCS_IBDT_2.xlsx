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8434EBFF-91CE-4E13-95E8-A871C96E7A4B}" xr6:coauthVersionLast="47" xr6:coauthVersionMax="47" xr10:uidLastSave="{00000000-0000-0000-0000-000000000000}"/>
  <bookViews>
    <workbookView xWindow="360" yWindow="1560" windowWidth="28440" windowHeight="12225" xr2:uid="{C25A115B-34A8-40B9-821E-7FBCFA784F8E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Y176" i="1" s="1"/>
  <c r="AM175" i="1"/>
  <c r="AK175" i="1"/>
  <c r="AJ175" i="1"/>
  <c r="AX174" i="1"/>
  <c r="AV174" i="1"/>
  <c r="AU174" i="1"/>
  <c r="AY175" i="1" s="1"/>
  <c r="AM174" i="1"/>
  <c r="AK174" i="1"/>
  <c r="AJ174" i="1"/>
  <c r="AX173" i="1"/>
  <c r="AV173" i="1"/>
  <c r="AU173" i="1"/>
  <c r="AY174" i="1" s="1"/>
  <c r="AM173" i="1"/>
  <c r="AK173" i="1"/>
  <c r="AJ173" i="1"/>
  <c r="AX172" i="1"/>
  <c r="AV172" i="1"/>
  <c r="AU172" i="1"/>
  <c r="AY173" i="1" s="1"/>
  <c r="AM172" i="1"/>
  <c r="AK172" i="1"/>
  <c r="AJ172" i="1"/>
  <c r="AX171" i="1"/>
  <c r="AV171" i="1"/>
  <c r="AU171" i="1"/>
  <c r="AY172" i="1" s="1"/>
  <c r="AM171" i="1"/>
  <c r="AK171" i="1"/>
  <c r="AJ171" i="1"/>
  <c r="AX170" i="1"/>
  <c r="AV170" i="1"/>
  <c r="AU170" i="1"/>
  <c r="AM170" i="1"/>
  <c r="AK170" i="1"/>
  <c r="AJ170" i="1"/>
  <c r="AN171" i="1" s="1"/>
  <c r="AX169" i="1"/>
  <c r="AV169" i="1"/>
  <c r="AU169" i="1"/>
  <c r="AM169" i="1"/>
  <c r="AK169" i="1"/>
  <c r="AJ169" i="1"/>
  <c r="AX168" i="1"/>
  <c r="AV168" i="1"/>
  <c r="AU168" i="1"/>
  <c r="AM168" i="1"/>
  <c r="AK168" i="1"/>
  <c r="AJ168" i="1"/>
  <c r="AN169" i="1" s="1"/>
  <c r="AX167" i="1"/>
  <c r="AV167" i="1"/>
  <c r="AU167" i="1"/>
  <c r="AY168" i="1" s="1"/>
  <c r="AM167" i="1"/>
  <c r="AK167" i="1"/>
  <c r="AJ167" i="1"/>
  <c r="AX166" i="1"/>
  <c r="AV166" i="1"/>
  <c r="AU166" i="1"/>
  <c r="AM166" i="1"/>
  <c r="AK166" i="1"/>
  <c r="AJ166" i="1"/>
  <c r="AN167" i="1" s="1"/>
  <c r="AX165" i="1"/>
  <c r="AV165" i="1"/>
  <c r="AU165" i="1"/>
  <c r="AM165" i="1"/>
  <c r="AK165" i="1"/>
  <c r="AJ165" i="1"/>
  <c r="AN166" i="1" s="1"/>
  <c r="AX164" i="1"/>
  <c r="AV164" i="1"/>
  <c r="AU164" i="1"/>
  <c r="AY165" i="1" s="1"/>
  <c r="AM164" i="1"/>
  <c r="AK164" i="1"/>
  <c r="AJ164" i="1"/>
  <c r="AX163" i="1"/>
  <c r="AV163" i="1"/>
  <c r="AU163" i="1"/>
  <c r="AM163" i="1"/>
  <c r="AK163" i="1"/>
  <c r="AJ163" i="1"/>
  <c r="AN164" i="1" s="1"/>
  <c r="AX162" i="1"/>
  <c r="AV162" i="1"/>
  <c r="AU162" i="1"/>
  <c r="AM162" i="1"/>
  <c r="AK162" i="1"/>
  <c r="AJ162" i="1"/>
  <c r="AN163" i="1" s="1"/>
  <c r="AX161" i="1"/>
  <c r="AV161" i="1"/>
  <c r="AU161" i="1"/>
  <c r="AM161" i="1"/>
  <c r="AK161" i="1"/>
  <c r="AJ161" i="1"/>
  <c r="AN162" i="1" s="1"/>
  <c r="AX160" i="1"/>
  <c r="AV160" i="1"/>
  <c r="AU160" i="1"/>
  <c r="AY161" i="1" s="1"/>
  <c r="AM160" i="1"/>
  <c r="AK160" i="1"/>
  <c r="AJ160" i="1"/>
  <c r="AX159" i="1"/>
  <c r="AV159" i="1"/>
  <c r="AU159" i="1"/>
  <c r="AY160" i="1" s="1"/>
  <c r="AM159" i="1"/>
  <c r="AK159" i="1"/>
  <c r="AJ159" i="1"/>
  <c r="AX158" i="1"/>
  <c r="AV158" i="1"/>
  <c r="AU158" i="1"/>
  <c r="AY159" i="1" s="1"/>
  <c r="AM158" i="1"/>
  <c r="AK158" i="1"/>
  <c r="AJ158" i="1"/>
  <c r="AX157" i="1"/>
  <c r="AV157" i="1"/>
  <c r="AU157" i="1"/>
  <c r="AM157" i="1"/>
  <c r="AK157" i="1"/>
  <c r="AJ157" i="1"/>
  <c r="AN158" i="1" s="1"/>
  <c r="AX156" i="1"/>
  <c r="AV156" i="1"/>
  <c r="AU156" i="1"/>
  <c r="AM156" i="1"/>
  <c r="AK156" i="1"/>
  <c r="AJ156" i="1"/>
  <c r="AN157" i="1" s="1"/>
  <c r="AX155" i="1"/>
  <c r="AV155" i="1"/>
  <c r="AU155" i="1"/>
  <c r="AY156" i="1" s="1"/>
  <c r="AM155" i="1"/>
  <c r="AK155" i="1"/>
  <c r="AJ155" i="1"/>
  <c r="AX154" i="1"/>
  <c r="AV154" i="1"/>
  <c r="AU154" i="1"/>
  <c r="AM154" i="1"/>
  <c r="AK154" i="1"/>
  <c r="AJ154" i="1"/>
  <c r="AN155" i="1" s="1"/>
  <c r="AX153" i="1"/>
  <c r="AV153" i="1"/>
  <c r="AU153" i="1"/>
  <c r="AY154" i="1" s="1"/>
  <c r="AM153" i="1"/>
  <c r="AK153" i="1"/>
  <c r="AJ153" i="1"/>
  <c r="AX152" i="1"/>
  <c r="AV152" i="1"/>
  <c r="AU152" i="1"/>
  <c r="AY153" i="1" s="1"/>
  <c r="AM152" i="1"/>
  <c r="AK152" i="1"/>
  <c r="AJ152" i="1"/>
  <c r="AX151" i="1"/>
  <c r="AV151" i="1"/>
  <c r="AU151" i="1"/>
  <c r="AM151" i="1"/>
  <c r="AK151" i="1"/>
  <c r="AJ151" i="1"/>
  <c r="AN152" i="1" s="1"/>
  <c r="AX150" i="1"/>
  <c r="AV150" i="1"/>
  <c r="AU150" i="1"/>
  <c r="AY151" i="1" s="1"/>
  <c r="AM150" i="1"/>
  <c r="AK150" i="1"/>
  <c r="AJ150" i="1"/>
  <c r="AX149" i="1"/>
  <c r="AV149" i="1"/>
  <c r="AU149" i="1"/>
  <c r="AY150" i="1" s="1"/>
  <c r="AM149" i="1"/>
  <c r="AK149" i="1"/>
  <c r="AJ149" i="1"/>
  <c r="AX148" i="1"/>
  <c r="AV148" i="1"/>
  <c r="AU148" i="1"/>
  <c r="AM148" i="1"/>
  <c r="AK148" i="1"/>
  <c r="AJ148" i="1"/>
  <c r="AN149" i="1" s="1"/>
  <c r="AX147" i="1"/>
  <c r="AV147" i="1"/>
  <c r="AU147" i="1"/>
  <c r="AM147" i="1"/>
  <c r="AK147" i="1"/>
  <c r="AJ147" i="1"/>
  <c r="AN148" i="1" s="1"/>
  <c r="AX146" i="1"/>
  <c r="AV146" i="1"/>
  <c r="AU146" i="1"/>
  <c r="AM146" i="1"/>
  <c r="AK146" i="1"/>
  <c r="AJ146" i="1"/>
  <c r="AX145" i="1"/>
  <c r="AV145" i="1"/>
  <c r="AU145" i="1"/>
  <c r="AM145" i="1"/>
  <c r="AK145" i="1"/>
  <c r="AJ145" i="1"/>
  <c r="AX144" i="1"/>
  <c r="AV144" i="1"/>
  <c r="AU144" i="1"/>
  <c r="AY145" i="1" s="1"/>
  <c r="AM144" i="1"/>
  <c r="AK144" i="1"/>
  <c r="AJ144" i="1"/>
  <c r="AX143" i="1"/>
  <c r="AV143" i="1"/>
  <c r="AU143" i="1"/>
  <c r="AY144" i="1" s="1"/>
  <c r="AM143" i="1"/>
  <c r="AK143" i="1"/>
  <c r="AJ143" i="1"/>
  <c r="AX142" i="1"/>
  <c r="AV142" i="1"/>
  <c r="AU142" i="1"/>
  <c r="AM142" i="1"/>
  <c r="AK142" i="1"/>
  <c r="AJ142" i="1"/>
  <c r="AN143" i="1" s="1"/>
  <c r="AX141" i="1"/>
  <c r="AV141" i="1"/>
  <c r="AU141" i="1"/>
  <c r="AY142" i="1" s="1"/>
  <c r="AM141" i="1"/>
  <c r="AK141" i="1"/>
  <c r="AJ141" i="1"/>
  <c r="AX140" i="1"/>
  <c r="AV140" i="1"/>
  <c r="AU140" i="1"/>
  <c r="AY141" i="1" s="1"/>
  <c r="AM140" i="1"/>
  <c r="AK140" i="1"/>
  <c r="AJ140" i="1"/>
  <c r="AX139" i="1"/>
  <c r="AV139" i="1"/>
  <c r="AU139" i="1"/>
  <c r="AY140" i="1" s="1"/>
  <c r="AM139" i="1"/>
  <c r="AK139" i="1"/>
  <c r="AJ139" i="1"/>
  <c r="AX138" i="1"/>
  <c r="AV138" i="1"/>
  <c r="AU138" i="1"/>
  <c r="AM138" i="1"/>
  <c r="AK138" i="1"/>
  <c r="AJ138" i="1"/>
  <c r="AX137" i="1"/>
  <c r="AV137" i="1"/>
  <c r="AU137" i="1"/>
  <c r="AM137" i="1"/>
  <c r="AK137" i="1"/>
  <c r="AJ137" i="1"/>
  <c r="AN138" i="1" s="1"/>
  <c r="AX136" i="1"/>
  <c r="AV136" i="1"/>
  <c r="AU136" i="1"/>
  <c r="AY137" i="1" s="1"/>
  <c r="AM136" i="1"/>
  <c r="AK136" i="1"/>
  <c r="AJ136" i="1"/>
  <c r="AX135" i="1"/>
  <c r="AV135" i="1"/>
  <c r="AU135" i="1"/>
  <c r="AM135" i="1"/>
  <c r="AK135" i="1"/>
  <c r="AJ135" i="1"/>
  <c r="AN136" i="1" s="1"/>
  <c r="AX134" i="1"/>
  <c r="AV134" i="1"/>
  <c r="AU134" i="1"/>
  <c r="AY135" i="1" s="1"/>
  <c r="AM134" i="1"/>
  <c r="AK134" i="1"/>
  <c r="AJ134" i="1"/>
  <c r="AX133" i="1"/>
  <c r="AV133" i="1"/>
  <c r="AU133" i="1"/>
  <c r="AM133" i="1"/>
  <c r="AK133" i="1"/>
  <c r="AJ133" i="1"/>
  <c r="AN134" i="1" s="1"/>
  <c r="AX132" i="1"/>
  <c r="AV132" i="1"/>
  <c r="AU132" i="1"/>
  <c r="AM132" i="1"/>
  <c r="AK132" i="1"/>
  <c r="AJ132" i="1"/>
  <c r="AX131" i="1"/>
  <c r="AV131" i="1"/>
  <c r="AU131" i="1"/>
  <c r="AM131" i="1"/>
  <c r="AK131" i="1"/>
  <c r="AJ131" i="1"/>
  <c r="AN132" i="1" s="1"/>
  <c r="AX130" i="1"/>
  <c r="AV130" i="1"/>
  <c r="AU130" i="1"/>
  <c r="AM130" i="1"/>
  <c r="AK130" i="1"/>
  <c r="AJ130" i="1"/>
  <c r="AN131" i="1" s="1"/>
  <c r="AX129" i="1"/>
  <c r="AV129" i="1"/>
  <c r="AU129" i="1"/>
  <c r="AM129" i="1"/>
  <c r="AK129" i="1"/>
  <c r="AJ129" i="1"/>
  <c r="AN130" i="1" s="1"/>
  <c r="AX128" i="1"/>
  <c r="AV128" i="1"/>
  <c r="AU128" i="1"/>
  <c r="AY129" i="1" s="1"/>
  <c r="AM128" i="1"/>
  <c r="AK128" i="1"/>
  <c r="AJ128" i="1"/>
  <c r="AX127" i="1"/>
  <c r="AV127" i="1"/>
  <c r="AU127" i="1"/>
  <c r="AY128" i="1" s="1"/>
  <c r="AM127" i="1"/>
  <c r="AK127" i="1"/>
  <c r="AJ127" i="1"/>
  <c r="AX126" i="1"/>
  <c r="AV126" i="1"/>
  <c r="AU126" i="1"/>
  <c r="AY127" i="1" s="1"/>
  <c r="AM126" i="1"/>
  <c r="AK126" i="1"/>
  <c r="AJ126" i="1"/>
  <c r="AX125" i="1"/>
  <c r="AV125" i="1"/>
  <c r="AU125" i="1"/>
  <c r="AM125" i="1"/>
  <c r="AK125" i="1"/>
  <c r="AJ125" i="1"/>
  <c r="AN126" i="1" s="1"/>
  <c r="AX124" i="1"/>
  <c r="AV124" i="1"/>
  <c r="AU124" i="1"/>
  <c r="AM124" i="1"/>
  <c r="AK124" i="1"/>
  <c r="AJ124" i="1"/>
  <c r="AN125" i="1" s="1"/>
  <c r="AX123" i="1"/>
  <c r="AV123" i="1"/>
  <c r="AU123" i="1"/>
  <c r="AY124" i="1" s="1"/>
  <c r="AM123" i="1"/>
  <c r="AK123" i="1"/>
  <c r="AJ123" i="1"/>
  <c r="AX122" i="1"/>
  <c r="AV122" i="1"/>
  <c r="AU122" i="1"/>
  <c r="AM122" i="1"/>
  <c r="AK122" i="1"/>
  <c r="AJ122" i="1"/>
  <c r="AN123" i="1" s="1"/>
  <c r="AX121" i="1"/>
  <c r="AV121" i="1"/>
  <c r="AU121" i="1"/>
  <c r="AM121" i="1"/>
  <c r="AK121" i="1"/>
  <c r="AJ121" i="1"/>
  <c r="AX120" i="1"/>
  <c r="AV120" i="1"/>
  <c r="AU120" i="1"/>
  <c r="AM120" i="1"/>
  <c r="AK120" i="1"/>
  <c r="AJ120" i="1"/>
  <c r="AN121" i="1" s="1"/>
  <c r="AX119" i="1"/>
  <c r="AV119" i="1"/>
  <c r="AU119" i="1"/>
  <c r="AY120" i="1" s="1"/>
  <c r="AM119" i="1"/>
  <c r="AK119" i="1"/>
  <c r="AJ119" i="1"/>
  <c r="AX118" i="1"/>
  <c r="AV118" i="1"/>
  <c r="AU118" i="1"/>
  <c r="AY119" i="1" s="1"/>
  <c r="AM118" i="1"/>
  <c r="AK118" i="1"/>
  <c r="AJ118" i="1"/>
  <c r="AX117" i="1"/>
  <c r="AV117" i="1"/>
  <c r="AU117" i="1"/>
  <c r="AY118" i="1" s="1"/>
  <c r="AM117" i="1"/>
  <c r="AK117" i="1"/>
  <c r="AJ117" i="1"/>
  <c r="AX116" i="1"/>
  <c r="AV116" i="1"/>
  <c r="AU116" i="1"/>
  <c r="AY117" i="1" s="1"/>
  <c r="AM116" i="1"/>
  <c r="AK116" i="1"/>
  <c r="AJ116" i="1"/>
  <c r="AX115" i="1"/>
  <c r="AV115" i="1"/>
  <c r="AU115" i="1"/>
  <c r="AM115" i="1"/>
  <c r="AK115" i="1"/>
  <c r="AJ115" i="1"/>
  <c r="AX114" i="1"/>
  <c r="AV114" i="1"/>
  <c r="AU114" i="1"/>
  <c r="AM114" i="1"/>
  <c r="AK114" i="1"/>
  <c r="AJ114" i="1"/>
  <c r="AX113" i="1"/>
  <c r="AV113" i="1"/>
  <c r="AU113" i="1"/>
  <c r="AY114" i="1" s="1"/>
  <c r="AM113" i="1"/>
  <c r="AK113" i="1"/>
  <c r="AJ113" i="1"/>
  <c r="AX112" i="1"/>
  <c r="AV112" i="1"/>
  <c r="AU112" i="1"/>
  <c r="AM112" i="1"/>
  <c r="AK112" i="1"/>
  <c r="AJ112" i="1"/>
  <c r="AN113" i="1" s="1"/>
  <c r="AX111" i="1"/>
  <c r="AV111" i="1"/>
  <c r="AU111" i="1"/>
  <c r="AM111" i="1"/>
  <c r="AK111" i="1"/>
  <c r="AJ111" i="1"/>
  <c r="AN112" i="1" s="1"/>
  <c r="AX110" i="1"/>
  <c r="AV110" i="1"/>
  <c r="AU110" i="1"/>
  <c r="AM110" i="1"/>
  <c r="AK110" i="1"/>
  <c r="AJ110" i="1"/>
  <c r="AN111" i="1" s="1"/>
  <c r="AX109" i="1"/>
  <c r="AV109" i="1"/>
  <c r="AU109" i="1"/>
  <c r="AM109" i="1"/>
  <c r="AK109" i="1"/>
  <c r="AJ109" i="1"/>
  <c r="AN110" i="1" s="1"/>
  <c r="AX108" i="1"/>
  <c r="AV108" i="1"/>
  <c r="AU108" i="1"/>
  <c r="AM108" i="1"/>
  <c r="AK108" i="1"/>
  <c r="AJ108" i="1"/>
  <c r="AX107" i="1"/>
  <c r="AV107" i="1"/>
  <c r="AU107" i="1"/>
  <c r="AY108" i="1" s="1"/>
  <c r="AM107" i="1"/>
  <c r="AK107" i="1"/>
  <c r="AJ107" i="1"/>
  <c r="AX106" i="1"/>
  <c r="AV106" i="1"/>
  <c r="AU106" i="1"/>
  <c r="AM106" i="1"/>
  <c r="AK106" i="1"/>
  <c r="AJ106" i="1"/>
  <c r="AX105" i="1"/>
  <c r="AV105" i="1"/>
  <c r="AU105" i="1"/>
  <c r="AY106" i="1" s="1"/>
  <c r="AM105" i="1"/>
  <c r="AK105" i="1"/>
  <c r="AJ105" i="1"/>
  <c r="AX104" i="1"/>
  <c r="AV104" i="1"/>
  <c r="AU104" i="1"/>
  <c r="AY105" i="1" s="1"/>
  <c r="AM104" i="1"/>
  <c r="AK104" i="1"/>
  <c r="AJ104" i="1"/>
  <c r="AX103" i="1"/>
  <c r="AV103" i="1"/>
  <c r="AU103" i="1"/>
  <c r="AM103" i="1"/>
  <c r="AK103" i="1"/>
  <c r="AJ103" i="1"/>
  <c r="AN104" i="1" s="1"/>
  <c r="AX102" i="1"/>
  <c r="AV102" i="1"/>
  <c r="AU102" i="1"/>
  <c r="AM102" i="1"/>
  <c r="AK102" i="1"/>
  <c r="AJ102" i="1"/>
  <c r="AN103" i="1" s="1"/>
  <c r="AX101" i="1"/>
  <c r="AV101" i="1"/>
  <c r="AU101" i="1"/>
  <c r="AM101" i="1"/>
  <c r="AK101" i="1"/>
  <c r="AJ101" i="1"/>
  <c r="AX100" i="1"/>
  <c r="AV100" i="1"/>
  <c r="AU100" i="1"/>
  <c r="AM100" i="1"/>
  <c r="AK100" i="1"/>
  <c r="AJ100" i="1"/>
  <c r="AN101" i="1" s="1"/>
  <c r="AX99" i="1"/>
  <c r="AV99" i="1"/>
  <c r="AU99" i="1"/>
  <c r="AM99" i="1"/>
  <c r="AK99" i="1"/>
  <c r="AJ99" i="1"/>
  <c r="AX98" i="1"/>
  <c r="AV98" i="1"/>
  <c r="AU98" i="1"/>
  <c r="AY99" i="1" s="1"/>
  <c r="AM98" i="1"/>
  <c r="AK98" i="1"/>
  <c r="AJ98" i="1"/>
  <c r="AX97" i="1"/>
  <c r="AV97" i="1"/>
  <c r="AU97" i="1"/>
  <c r="AY98" i="1" s="1"/>
  <c r="AM97" i="1"/>
  <c r="AK97" i="1"/>
  <c r="AJ97" i="1"/>
  <c r="AX96" i="1"/>
  <c r="AV96" i="1"/>
  <c r="AU96" i="1"/>
  <c r="AM96" i="1"/>
  <c r="AK96" i="1"/>
  <c r="AJ96" i="1"/>
  <c r="AX95" i="1"/>
  <c r="AV95" i="1"/>
  <c r="AU95" i="1"/>
  <c r="AM95" i="1"/>
  <c r="AK95" i="1"/>
  <c r="AJ95" i="1"/>
  <c r="AX94" i="1"/>
  <c r="AV94" i="1"/>
  <c r="AU94" i="1"/>
  <c r="AM94" i="1"/>
  <c r="AK94" i="1"/>
  <c r="AJ94" i="1"/>
  <c r="AX93" i="1"/>
  <c r="AV93" i="1"/>
  <c r="AU93" i="1"/>
  <c r="AY94" i="1" s="1"/>
  <c r="AM93" i="1"/>
  <c r="AK93" i="1"/>
  <c r="AJ93" i="1"/>
  <c r="AX92" i="1"/>
  <c r="AV92" i="1"/>
  <c r="AU92" i="1"/>
  <c r="AM92" i="1"/>
  <c r="AK92" i="1"/>
  <c r="AJ92" i="1"/>
  <c r="AN93" i="1" s="1"/>
  <c r="AX91" i="1"/>
  <c r="AV91" i="1"/>
  <c r="AU91" i="1"/>
  <c r="AY92" i="1" s="1"/>
  <c r="AM91" i="1"/>
  <c r="AK91" i="1"/>
  <c r="AJ91" i="1"/>
  <c r="AX90" i="1"/>
  <c r="AV90" i="1"/>
  <c r="AU90" i="1"/>
  <c r="AM90" i="1"/>
  <c r="AK90" i="1"/>
  <c r="AJ90" i="1"/>
  <c r="AX89" i="1"/>
  <c r="AV89" i="1"/>
  <c r="AU89" i="1"/>
  <c r="AM89" i="1"/>
  <c r="AK89" i="1"/>
  <c r="AJ89" i="1"/>
  <c r="AX88" i="1"/>
  <c r="AV88" i="1"/>
  <c r="AU88" i="1"/>
  <c r="AM88" i="1"/>
  <c r="AK88" i="1"/>
  <c r="AJ88" i="1"/>
  <c r="AX87" i="1"/>
  <c r="AV87" i="1"/>
  <c r="AU87" i="1"/>
  <c r="AM87" i="1"/>
  <c r="AK87" i="1"/>
  <c r="AJ87" i="1"/>
  <c r="AN88" i="1" s="1"/>
  <c r="AX86" i="1"/>
  <c r="AV86" i="1"/>
  <c r="AU86" i="1"/>
  <c r="AY87" i="1" s="1"/>
  <c r="AM86" i="1"/>
  <c r="AK86" i="1"/>
  <c r="AJ86" i="1"/>
  <c r="AX85" i="1"/>
  <c r="AV85" i="1"/>
  <c r="AU85" i="1"/>
  <c r="AM85" i="1"/>
  <c r="AK85" i="1"/>
  <c r="AJ85" i="1"/>
  <c r="AX84" i="1"/>
  <c r="AV84" i="1"/>
  <c r="AU84" i="1"/>
  <c r="AM84" i="1"/>
  <c r="AK84" i="1"/>
  <c r="AJ84" i="1"/>
  <c r="AN85" i="1" s="1"/>
  <c r="AX83" i="1"/>
  <c r="AV83" i="1"/>
  <c r="AU83" i="1"/>
  <c r="AM83" i="1"/>
  <c r="AK83" i="1"/>
  <c r="AJ83" i="1"/>
  <c r="AX82" i="1"/>
  <c r="AV82" i="1"/>
  <c r="AU82" i="1"/>
  <c r="AM82" i="1"/>
  <c r="AK82" i="1"/>
  <c r="AJ82" i="1"/>
  <c r="AX81" i="1"/>
  <c r="AV81" i="1"/>
  <c r="AU81" i="1"/>
  <c r="AM81" i="1"/>
  <c r="AK81" i="1"/>
  <c r="AJ81" i="1"/>
  <c r="AN82" i="1" s="1"/>
  <c r="AX80" i="1"/>
  <c r="AV80" i="1"/>
  <c r="AU80" i="1"/>
  <c r="AM80" i="1"/>
  <c r="AK80" i="1"/>
  <c r="AJ80" i="1"/>
  <c r="AX79" i="1"/>
  <c r="AV79" i="1"/>
  <c r="AU79" i="1"/>
  <c r="AM79" i="1"/>
  <c r="AK79" i="1"/>
  <c r="AJ79" i="1"/>
  <c r="AX78" i="1"/>
  <c r="AV78" i="1"/>
  <c r="AU78" i="1"/>
  <c r="AM78" i="1"/>
  <c r="AK78" i="1"/>
  <c r="AJ78" i="1"/>
  <c r="AX77" i="1"/>
  <c r="AV77" i="1"/>
  <c r="AU77" i="1"/>
  <c r="AY78" i="1" s="1"/>
  <c r="AM77" i="1"/>
  <c r="AK77" i="1"/>
  <c r="AJ77" i="1"/>
  <c r="AX76" i="1"/>
  <c r="AV76" i="1"/>
  <c r="AU76" i="1"/>
  <c r="AY77" i="1" s="1"/>
  <c r="AM76" i="1"/>
  <c r="AK76" i="1"/>
  <c r="AJ76" i="1"/>
  <c r="AX75" i="1"/>
  <c r="AV75" i="1"/>
  <c r="AU75" i="1"/>
  <c r="AM75" i="1"/>
  <c r="AK75" i="1"/>
  <c r="AJ75" i="1"/>
  <c r="AX74" i="1"/>
  <c r="AV74" i="1"/>
  <c r="AU74" i="1"/>
  <c r="AM74" i="1"/>
  <c r="AK74" i="1"/>
  <c r="AJ74" i="1"/>
  <c r="AX73" i="1"/>
  <c r="AV73" i="1"/>
  <c r="AU73" i="1"/>
  <c r="AM73" i="1"/>
  <c r="AK73" i="1"/>
  <c r="AJ73" i="1"/>
  <c r="AN74" i="1" s="1"/>
  <c r="AX72" i="1"/>
  <c r="AV72" i="1"/>
  <c r="AU72" i="1"/>
  <c r="AM72" i="1"/>
  <c r="AK72" i="1"/>
  <c r="AJ72" i="1"/>
  <c r="AX71" i="1"/>
  <c r="AV71" i="1"/>
  <c r="AU71" i="1"/>
  <c r="AM71" i="1"/>
  <c r="AK71" i="1"/>
  <c r="AJ71" i="1"/>
  <c r="AX70" i="1"/>
  <c r="AV70" i="1"/>
  <c r="AU70" i="1"/>
  <c r="AY71" i="1" s="1"/>
  <c r="AM70" i="1"/>
  <c r="AK70" i="1"/>
  <c r="AJ70" i="1"/>
  <c r="AX69" i="1"/>
  <c r="AV69" i="1"/>
  <c r="AU69" i="1"/>
  <c r="AY70" i="1" s="1"/>
  <c r="AM69" i="1"/>
  <c r="AK69" i="1"/>
  <c r="AJ69" i="1"/>
  <c r="AX68" i="1"/>
  <c r="AV68" i="1"/>
  <c r="AU68" i="1"/>
  <c r="AY69" i="1" s="1"/>
  <c r="AM68" i="1"/>
  <c r="AK68" i="1"/>
  <c r="AJ68" i="1"/>
  <c r="AX67" i="1"/>
  <c r="AV67" i="1"/>
  <c r="AU67" i="1"/>
  <c r="AY68" i="1" s="1"/>
  <c r="AM67" i="1"/>
  <c r="AK67" i="1"/>
  <c r="AJ67" i="1"/>
  <c r="AX66" i="1"/>
  <c r="AV66" i="1"/>
  <c r="AU66" i="1"/>
  <c r="AM66" i="1"/>
  <c r="AK66" i="1"/>
  <c r="AJ66" i="1"/>
  <c r="AX65" i="1"/>
  <c r="AV65" i="1"/>
  <c r="AU65" i="1"/>
  <c r="AM65" i="1"/>
  <c r="AK65" i="1"/>
  <c r="AJ65" i="1"/>
  <c r="AX64" i="1"/>
  <c r="AV64" i="1"/>
  <c r="AU64" i="1"/>
  <c r="AM64" i="1"/>
  <c r="AK64" i="1"/>
  <c r="AJ64" i="1"/>
  <c r="AX63" i="1"/>
  <c r="AV63" i="1"/>
  <c r="AU63" i="1"/>
  <c r="AY64" i="1" s="1"/>
  <c r="AM63" i="1"/>
  <c r="AK63" i="1"/>
  <c r="AJ63" i="1"/>
  <c r="AX62" i="1"/>
  <c r="AV62" i="1"/>
  <c r="AU62" i="1"/>
  <c r="AM62" i="1"/>
  <c r="AK62" i="1"/>
  <c r="AJ62" i="1"/>
  <c r="AX61" i="1"/>
  <c r="AV61" i="1"/>
  <c r="AU61" i="1"/>
  <c r="AM61" i="1"/>
  <c r="AK61" i="1"/>
  <c r="AJ61" i="1"/>
  <c r="AX60" i="1"/>
  <c r="AV60" i="1"/>
  <c r="AU60" i="1"/>
  <c r="AY61" i="1" s="1"/>
  <c r="AM60" i="1"/>
  <c r="AK60" i="1"/>
  <c r="AJ60" i="1"/>
  <c r="AX59" i="1"/>
  <c r="AV59" i="1"/>
  <c r="AU59" i="1"/>
  <c r="AM59" i="1"/>
  <c r="AK59" i="1"/>
  <c r="AJ59" i="1"/>
  <c r="AX58" i="1"/>
  <c r="AV58" i="1"/>
  <c r="AU58" i="1"/>
  <c r="AM58" i="1"/>
  <c r="AK58" i="1"/>
  <c r="AJ58" i="1"/>
  <c r="AX57" i="1"/>
  <c r="AV57" i="1"/>
  <c r="AU57" i="1"/>
  <c r="AM57" i="1"/>
  <c r="AK57" i="1"/>
  <c r="AJ57" i="1"/>
  <c r="AN58" i="1" s="1"/>
  <c r="AX56" i="1"/>
  <c r="AV56" i="1"/>
  <c r="AU56" i="1"/>
  <c r="AM56" i="1"/>
  <c r="AK56" i="1"/>
  <c r="AJ56" i="1"/>
  <c r="AN57" i="1" s="1"/>
  <c r="AX55" i="1"/>
  <c r="AV55" i="1"/>
  <c r="AU55" i="1"/>
  <c r="AM55" i="1"/>
  <c r="AK55" i="1"/>
  <c r="AJ55" i="1"/>
  <c r="AN56" i="1" s="1"/>
  <c r="AX54" i="1"/>
  <c r="AV54" i="1"/>
  <c r="AU54" i="1"/>
  <c r="AM54" i="1"/>
  <c r="AK54" i="1"/>
  <c r="AJ54" i="1"/>
  <c r="AN55" i="1" s="1"/>
  <c r="AX53" i="1"/>
  <c r="AV53" i="1"/>
  <c r="AU53" i="1"/>
  <c r="AM53" i="1"/>
  <c r="AK53" i="1"/>
  <c r="AJ53" i="1"/>
  <c r="AN54" i="1" s="1"/>
  <c r="AX52" i="1"/>
  <c r="AV52" i="1"/>
  <c r="AU52" i="1"/>
  <c r="AM52" i="1"/>
  <c r="AK52" i="1"/>
  <c r="AJ52" i="1"/>
  <c r="AX51" i="1"/>
  <c r="AV51" i="1"/>
  <c r="AU51" i="1"/>
  <c r="AM51" i="1"/>
  <c r="AK51" i="1"/>
  <c r="AJ51" i="1"/>
  <c r="AX50" i="1"/>
  <c r="AV50" i="1"/>
  <c r="AU50" i="1"/>
  <c r="AM50" i="1"/>
  <c r="AK50" i="1"/>
  <c r="AJ50" i="1"/>
  <c r="AX49" i="1"/>
  <c r="AV49" i="1"/>
  <c r="AU49" i="1"/>
  <c r="AM49" i="1"/>
  <c r="AK49" i="1"/>
  <c r="AJ49" i="1"/>
  <c r="AX48" i="1"/>
  <c r="AV48" i="1"/>
  <c r="AU48" i="1"/>
  <c r="AM48" i="1"/>
  <c r="AK48" i="1"/>
  <c r="AJ48" i="1"/>
  <c r="AX47" i="1"/>
  <c r="AV47" i="1"/>
  <c r="AU47" i="1"/>
  <c r="AM47" i="1"/>
  <c r="AK47" i="1"/>
  <c r="AJ47" i="1"/>
  <c r="AX46" i="1"/>
  <c r="AV46" i="1"/>
  <c r="AU46" i="1"/>
  <c r="AM46" i="1"/>
  <c r="AK46" i="1"/>
  <c r="AJ46" i="1"/>
  <c r="AX45" i="1"/>
  <c r="AV45" i="1"/>
  <c r="AU45" i="1"/>
  <c r="AM45" i="1"/>
  <c r="AK45" i="1"/>
  <c r="AJ45" i="1"/>
  <c r="AN46" i="1" s="1"/>
  <c r="AX44" i="1"/>
  <c r="AV44" i="1"/>
  <c r="AU44" i="1"/>
  <c r="AM44" i="1"/>
  <c r="AK44" i="1"/>
  <c r="AJ44" i="1"/>
  <c r="AN45" i="1" s="1"/>
  <c r="AX43" i="1"/>
  <c r="AV43" i="1"/>
  <c r="AU43" i="1"/>
  <c r="AY44" i="1" s="1"/>
  <c r="AM43" i="1"/>
  <c r="AK43" i="1"/>
  <c r="AJ43" i="1"/>
  <c r="AX42" i="1"/>
  <c r="AV42" i="1"/>
  <c r="AU42" i="1"/>
  <c r="AY43" i="1" s="1"/>
  <c r="AM42" i="1"/>
  <c r="AK42" i="1"/>
  <c r="AJ42" i="1"/>
  <c r="AX41" i="1"/>
  <c r="AV41" i="1"/>
  <c r="AU41" i="1"/>
  <c r="AM41" i="1"/>
  <c r="AK41" i="1"/>
  <c r="AJ41" i="1"/>
  <c r="AN42" i="1" s="1"/>
  <c r="AX40" i="1"/>
  <c r="AV40" i="1"/>
  <c r="AU40" i="1"/>
  <c r="AM40" i="1"/>
  <c r="AK40" i="1"/>
  <c r="AJ40" i="1"/>
  <c r="AN41" i="1" s="1"/>
  <c r="AX39" i="1"/>
  <c r="AV39" i="1"/>
  <c r="AU39" i="1"/>
  <c r="AY40" i="1" s="1"/>
  <c r="AM39" i="1"/>
  <c r="AK39" i="1"/>
  <c r="AJ39" i="1"/>
  <c r="AN40" i="1" s="1"/>
  <c r="AX38" i="1"/>
  <c r="AV38" i="1"/>
  <c r="AU38" i="1"/>
  <c r="AY39" i="1" s="1"/>
  <c r="AM38" i="1"/>
  <c r="AK38" i="1"/>
  <c r="AJ38" i="1"/>
  <c r="AX37" i="1"/>
  <c r="AV37" i="1"/>
  <c r="AU37" i="1"/>
  <c r="AY38" i="1" s="1"/>
  <c r="AM37" i="1"/>
  <c r="AK37" i="1"/>
  <c r="AJ37" i="1"/>
  <c r="AX36" i="1"/>
  <c r="AV36" i="1"/>
  <c r="AU36" i="1"/>
  <c r="AY37" i="1" s="1"/>
  <c r="AM36" i="1"/>
  <c r="AK36" i="1"/>
  <c r="AJ36" i="1"/>
  <c r="AX35" i="1"/>
  <c r="AV35" i="1"/>
  <c r="AU35" i="1"/>
  <c r="AY36" i="1" s="1"/>
  <c r="AM35" i="1"/>
  <c r="AK35" i="1"/>
  <c r="AJ35" i="1"/>
  <c r="AX34" i="1"/>
  <c r="AV34" i="1"/>
  <c r="AU34" i="1"/>
  <c r="AY35" i="1" s="1"/>
  <c r="AM34" i="1"/>
  <c r="AK34" i="1"/>
  <c r="AJ34" i="1"/>
  <c r="AX33" i="1"/>
  <c r="AV33" i="1"/>
  <c r="AU33" i="1"/>
  <c r="AM33" i="1"/>
  <c r="AK33" i="1"/>
  <c r="AJ33" i="1"/>
  <c r="AN34" i="1" s="1"/>
  <c r="AX32" i="1"/>
  <c r="AV32" i="1"/>
  <c r="AU32" i="1"/>
  <c r="AM32" i="1"/>
  <c r="AK32" i="1"/>
  <c r="AJ32" i="1"/>
  <c r="AN33" i="1" s="1"/>
  <c r="AX31" i="1"/>
  <c r="AV31" i="1"/>
  <c r="AU31" i="1"/>
  <c r="AY32" i="1" s="1"/>
  <c r="AM31" i="1"/>
  <c r="AK31" i="1"/>
  <c r="AJ31" i="1"/>
  <c r="AX30" i="1"/>
  <c r="AV30" i="1"/>
  <c r="AU30" i="1"/>
  <c r="AM30" i="1"/>
  <c r="AK30" i="1"/>
  <c r="AJ30" i="1"/>
  <c r="AN31" i="1" s="1"/>
  <c r="AX29" i="1"/>
  <c r="AV29" i="1"/>
  <c r="AU29" i="1"/>
  <c r="AM29" i="1"/>
  <c r="AK29" i="1"/>
  <c r="AJ29" i="1"/>
  <c r="AN30" i="1" s="1"/>
  <c r="AX28" i="1"/>
  <c r="AV28" i="1"/>
  <c r="AU28" i="1"/>
  <c r="AM28" i="1"/>
  <c r="AK28" i="1"/>
  <c r="AJ28" i="1"/>
  <c r="AN29" i="1" s="1"/>
  <c r="AX27" i="1"/>
  <c r="AV27" i="1"/>
  <c r="AU27" i="1"/>
  <c r="AM27" i="1"/>
  <c r="AK27" i="1"/>
  <c r="AJ27" i="1"/>
  <c r="AX26" i="1"/>
  <c r="AV26" i="1"/>
  <c r="AU26" i="1"/>
  <c r="AM26" i="1"/>
  <c r="AK26" i="1"/>
  <c r="AJ26" i="1"/>
  <c r="AN27" i="1" s="1"/>
  <c r="AX25" i="1"/>
  <c r="AV25" i="1"/>
  <c r="AU25" i="1"/>
  <c r="AY26" i="1" s="1"/>
  <c r="AM25" i="1"/>
  <c r="AK25" i="1"/>
  <c r="AJ25" i="1"/>
  <c r="AX24" i="1"/>
  <c r="AV24" i="1"/>
  <c r="AU24" i="1"/>
  <c r="AM24" i="1"/>
  <c r="AK24" i="1"/>
  <c r="AJ24" i="1"/>
  <c r="AX23" i="1"/>
  <c r="AV23" i="1"/>
  <c r="AU23" i="1"/>
  <c r="AY24" i="1" s="1"/>
  <c r="AM23" i="1"/>
  <c r="AK23" i="1"/>
  <c r="AJ23" i="1"/>
  <c r="AX22" i="1"/>
  <c r="AW22" i="1"/>
  <c r="AV22" i="1"/>
  <c r="AU22" i="1"/>
  <c r="AM22" i="1"/>
  <c r="AL22" i="1"/>
  <c r="AK22" i="1"/>
  <c r="AJ22" i="1"/>
  <c r="AN23" i="1" s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23" i="1" l="1"/>
  <c r="AY170" i="1"/>
  <c r="AY97" i="1"/>
  <c r="AY90" i="1"/>
  <c r="AY81" i="1"/>
  <c r="AY79" i="1"/>
  <c r="AY62" i="1"/>
  <c r="AY52" i="1"/>
  <c r="AY83" i="1"/>
  <c r="AY53" i="1"/>
  <c r="AY100" i="1"/>
  <c r="AY80" i="1"/>
  <c r="AY49" i="1"/>
  <c r="AY133" i="1"/>
  <c r="AY102" i="1"/>
  <c r="AY86" i="1"/>
  <c r="AN109" i="1"/>
  <c r="AN139" i="1"/>
  <c r="AN115" i="1"/>
  <c r="AN84" i="1"/>
  <c r="AN72" i="1"/>
  <c r="AN48" i="1"/>
  <c r="AN50" i="1"/>
  <c r="AN95" i="1"/>
  <c r="AN66" i="1"/>
  <c r="AN63" i="1"/>
  <c r="AN122" i="1"/>
  <c r="AN59" i="1"/>
  <c r="AN116" i="1"/>
  <c r="AN96" i="1"/>
  <c r="AN77" i="1"/>
  <c r="AN73" i="1"/>
  <c r="AN65" i="1"/>
  <c r="AN51" i="1"/>
  <c r="AN67" i="1"/>
  <c r="AY147" i="1"/>
  <c r="AY60" i="1"/>
  <c r="AY28" i="1"/>
  <c r="AY25" i="1"/>
  <c r="AN76" i="1"/>
  <c r="AN75" i="1"/>
  <c r="AY89" i="1"/>
  <c r="AY47" i="1"/>
  <c r="AY146" i="1"/>
  <c r="AY107" i="1"/>
  <c r="AY91" i="1"/>
  <c r="AZ176" i="1"/>
  <c r="BA176" i="1"/>
  <c r="AW176" i="1"/>
  <c r="AZ175" i="1"/>
  <c r="BA175" i="1"/>
  <c r="AW175" i="1"/>
  <c r="AZ174" i="1"/>
  <c r="BA174" i="1"/>
  <c r="AW174" i="1"/>
  <c r="AZ173" i="1"/>
  <c r="BA173" i="1"/>
  <c r="AW173" i="1"/>
  <c r="AW172" i="1"/>
  <c r="AZ172" i="1"/>
  <c r="BA172" i="1"/>
  <c r="AO171" i="1"/>
  <c r="AL171" i="1"/>
  <c r="AN172" i="1" s="1"/>
  <c r="AP171" i="1"/>
  <c r="AZ170" i="1"/>
  <c r="AW170" i="1"/>
  <c r="AY171" i="1" s="1"/>
  <c r="BA170" i="1"/>
  <c r="AP169" i="1"/>
  <c r="AL169" i="1"/>
  <c r="AN170" i="1" s="1"/>
  <c r="AO169" i="1"/>
  <c r="AQ169" i="1" s="1"/>
  <c r="AZ168" i="1"/>
  <c r="BA168" i="1"/>
  <c r="AW168" i="1"/>
  <c r="AY169" i="1" s="1"/>
  <c r="AP167" i="1"/>
  <c r="AO167" i="1"/>
  <c r="AQ167" i="1" s="1"/>
  <c r="AL167" i="1"/>
  <c r="AN168" i="1" s="1"/>
  <c r="AL166" i="1"/>
  <c r="AP166" i="1"/>
  <c r="AO166" i="1"/>
  <c r="AQ166" i="1" s="1"/>
  <c r="AW165" i="1"/>
  <c r="AY166" i="1" s="1"/>
  <c r="BA165" i="1"/>
  <c r="AZ165" i="1"/>
  <c r="BB165" i="1" s="1"/>
  <c r="AP164" i="1"/>
  <c r="AO164" i="1"/>
  <c r="AQ164" i="1" s="1"/>
  <c r="AL164" i="1"/>
  <c r="AN165" i="1" s="1"/>
  <c r="AP163" i="1"/>
  <c r="AO163" i="1"/>
  <c r="AQ163" i="1" s="1"/>
  <c r="AL163" i="1"/>
  <c r="AP162" i="1"/>
  <c r="AL162" i="1"/>
  <c r="AO162" i="1"/>
  <c r="AQ162" i="1" s="1"/>
  <c r="AW161" i="1"/>
  <c r="AY162" i="1" s="1"/>
  <c r="AZ161" i="1"/>
  <c r="BA161" i="1"/>
  <c r="AW160" i="1"/>
  <c r="AZ160" i="1"/>
  <c r="BA160" i="1"/>
  <c r="BA159" i="1"/>
  <c r="AZ159" i="1"/>
  <c r="BB159" i="1" s="1"/>
  <c r="AW159" i="1"/>
  <c r="AL158" i="1"/>
  <c r="AN159" i="1" s="1"/>
  <c r="AO158" i="1"/>
  <c r="AP158" i="1"/>
  <c r="AP157" i="1"/>
  <c r="AO157" i="1"/>
  <c r="AQ157" i="1" s="1"/>
  <c r="AL157" i="1"/>
  <c r="BA156" i="1"/>
  <c r="AZ156" i="1"/>
  <c r="BB156" i="1" s="1"/>
  <c r="AW156" i="1"/>
  <c r="AY157" i="1" s="1"/>
  <c r="AP155" i="1"/>
  <c r="AO155" i="1"/>
  <c r="AQ155" i="1" s="1"/>
  <c r="AL155" i="1"/>
  <c r="AN156" i="1" s="1"/>
  <c r="BA154" i="1"/>
  <c r="AW154" i="1"/>
  <c r="AY155" i="1" s="1"/>
  <c r="AZ154" i="1"/>
  <c r="BB154" i="1" s="1"/>
  <c r="AW153" i="1"/>
  <c r="AZ153" i="1"/>
  <c r="BA153" i="1"/>
  <c r="BA151" i="1"/>
  <c r="AW151" i="1"/>
  <c r="AY152" i="1" s="1"/>
  <c r="AZ151" i="1"/>
  <c r="BB151" i="1" s="1"/>
  <c r="AZ152" i="1"/>
  <c r="BA152" i="1"/>
  <c r="AW152" i="1"/>
  <c r="AL152" i="1"/>
  <c r="AN153" i="1" s="1"/>
  <c r="AP152" i="1"/>
  <c r="AO152" i="1"/>
  <c r="AQ152" i="1" s="1"/>
  <c r="AZ150" i="1"/>
  <c r="AW150" i="1"/>
  <c r="BA150" i="1"/>
  <c r="AL149" i="1"/>
  <c r="AN150" i="1" s="1"/>
  <c r="AO149" i="1"/>
  <c r="AP149" i="1"/>
  <c r="AO148" i="1"/>
  <c r="AP148" i="1"/>
  <c r="AL148" i="1"/>
  <c r="BA147" i="1"/>
  <c r="AW147" i="1"/>
  <c r="AY148" i="1" s="1"/>
  <c r="AZ147" i="1"/>
  <c r="BB147" i="1" s="1"/>
  <c r="BA146" i="1"/>
  <c r="AZ146" i="1"/>
  <c r="BB146" i="1" s="1"/>
  <c r="AW146" i="1"/>
  <c r="AW145" i="1"/>
  <c r="AZ145" i="1"/>
  <c r="BA145" i="1"/>
  <c r="AW144" i="1"/>
  <c r="AZ144" i="1"/>
  <c r="BA144" i="1"/>
  <c r="AO143" i="1"/>
  <c r="AL143" i="1"/>
  <c r="AN144" i="1" s="1"/>
  <c r="AP143" i="1"/>
  <c r="BA142" i="1"/>
  <c r="AW142" i="1"/>
  <c r="AY143" i="1" s="1"/>
  <c r="AZ142" i="1"/>
  <c r="BB142" i="1" s="1"/>
  <c r="AW141" i="1"/>
  <c r="AZ141" i="1"/>
  <c r="BA141" i="1"/>
  <c r="AW140" i="1"/>
  <c r="AZ140" i="1"/>
  <c r="BA140" i="1"/>
  <c r="AL139" i="1"/>
  <c r="AN140" i="1" s="1"/>
  <c r="AO139" i="1"/>
  <c r="AP139" i="1"/>
  <c r="AL138" i="1"/>
  <c r="AO138" i="1"/>
  <c r="AP138" i="1"/>
  <c r="AW137" i="1"/>
  <c r="AY138" i="1" s="1"/>
  <c r="AZ137" i="1"/>
  <c r="BA137" i="1"/>
  <c r="AL136" i="1"/>
  <c r="AN137" i="1" s="1"/>
  <c r="AP136" i="1"/>
  <c r="AO136" i="1"/>
  <c r="AQ136" i="1" s="1"/>
  <c r="AZ135" i="1"/>
  <c r="AW135" i="1"/>
  <c r="AY136" i="1" s="1"/>
  <c r="BA135" i="1"/>
  <c r="AO134" i="1"/>
  <c r="AL134" i="1"/>
  <c r="AN135" i="1" s="1"/>
  <c r="AO135" i="1" s="1"/>
  <c r="AP134" i="1"/>
  <c r="AW133" i="1"/>
  <c r="AY134" i="1" s="1"/>
  <c r="AW134" i="1" s="1"/>
  <c r="AZ133" i="1"/>
  <c r="BA133" i="1"/>
  <c r="AZ134" i="1"/>
  <c r="BA134" i="1"/>
  <c r="AO132" i="1"/>
  <c r="AP132" i="1"/>
  <c r="AL132" i="1"/>
  <c r="AN133" i="1" s="1"/>
  <c r="AO131" i="1"/>
  <c r="AP131" i="1"/>
  <c r="AL131" i="1"/>
  <c r="AO130" i="1"/>
  <c r="AP130" i="1"/>
  <c r="AL130" i="1"/>
  <c r="AZ129" i="1"/>
  <c r="BA129" i="1"/>
  <c r="AW129" i="1"/>
  <c r="AY130" i="1" s="1"/>
  <c r="AZ128" i="1"/>
  <c r="BA128" i="1"/>
  <c r="AW128" i="1"/>
  <c r="AZ127" i="1"/>
  <c r="BA127" i="1"/>
  <c r="AW127" i="1"/>
  <c r="AO126" i="1"/>
  <c r="AP126" i="1"/>
  <c r="AL126" i="1"/>
  <c r="AN127" i="1" s="1"/>
  <c r="AO125" i="1"/>
  <c r="AP125" i="1"/>
  <c r="AL125" i="1"/>
  <c r="AZ124" i="1"/>
  <c r="BA124" i="1"/>
  <c r="AW124" i="1"/>
  <c r="AY125" i="1" s="1"/>
  <c r="AO123" i="1"/>
  <c r="AP123" i="1"/>
  <c r="AL123" i="1"/>
  <c r="AN124" i="1" s="1"/>
  <c r="AO122" i="1"/>
  <c r="AP122" i="1"/>
  <c r="AL122" i="1"/>
  <c r="AO121" i="1"/>
  <c r="AP121" i="1"/>
  <c r="AL121" i="1"/>
  <c r="AZ120" i="1"/>
  <c r="BA120" i="1"/>
  <c r="AW120" i="1"/>
  <c r="AY121" i="1" s="1"/>
  <c r="AZ119" i="1"/>
  <c r="BA119" i="1"/>
  <c r="AW119" i="1"/>
  <c r="AZ118" i="1"/>
  <c r="BA118" i="1"/>
  <c r="AW118" i="1"/>
  <c r="AZ117" i="1"/>
  <c r="BA117" i="1"/>
  <c r="AW117" i="1"/>
  <c r="AO116" i="1"/>
  <c r="AP116" i="1"/>
  <c r="AL116" i="1"/>
  <c r="AN117" i="1" s="1"/>
  <c r="AO115" i="1"/>
  <c r="AP115" i="1"/>
  <c r="AL115" i="1"/>
  <c r="AZ114" i="1"/>
  <c r="BA114" i="1"/>
  <c r="AW114" i="1"/>
  <c r="AY115" i="1" s="1"/>
  <c r="AO113" i="1"/>
  <c r="AP113" i="1"/>
  <c r="AL113" i="1"/>
  <c r="AN114" i="1" s="1"/>
  <c r="AO112" i="1"/>
  <c r="AP112" i="1"/>
  <c r="AL112" i="1"/>
  <c r="AO111" i="1"/>
  <c r="AP111" i="1"/>
  <c r="AL111" i="1"/>
  <c r="AO110" i="1"/>
  <c r="AP110" i="1"/>
  <c r="AL110" i="1"/>
  <c r="AO109" i="1"/>
  <c r="AP109" i="1"/>
  <c r="AL109" i="1"/>
  <c r="AZ108" i="1"/>
  <c r="BA108" i="1"/>
  <c r="AW108" i="1"/>
  <c r="AY109" i="1" s="1"/>
  <c r="AW107" i="1"/>
  <c r="BA107" i="1"/>
  <c r="AZ107" i="1"/>
  <c r="BB107" i="1" s="1"/>
  <c r="BA106" i="1"/>
  <c r="AW106" i="1"/>
  <c r="AZ106" i="1"/>
  <c r="BB106" i="1" s="1"/>
  <c r="BA105" i="1"/>
  <c r="AZ105" i="1"/>
  <c r="BB105" i="1" s="1"/>
  <c r="AW105" i="1"/>
  <c r="AP104" i="1"/>
  <c r="AO104" i="1"/>
  <c r="AQ104" i="1" s="1"/>
  <c r="AL104" i="1"/>
  <c r="AN105" i="1" s="1"/>
  <c r="AO103" i="1"/>
  <c r="AL103" i="1"/>
  <c r="AP103" i="1"/>
  <c r="BA102" i="1"/>
  <c r="AW102" i="1"/>
  <c r="AY103" i="1" s="1"/>
  <c r="AZ102" i="1"/>
  <c r="BB102" i="1" s="1"/>
  <c r="AL101" i="1"/>
  <c r="AN102" i="1" s="1"/>
  <c r="AO101" i="1"/>
  <c r="AP101" i="1"/>
  <c r="AW100" i="1"/>
  <c r="AY101" i="1" s="1"/>
  <c r="AZ100" i="1"/>
  <c r="BA100" i="1"/>
  <c r="BA99" i="1"/>
  <c r="AZ99" i="1"/>
  <c r="BB99" i="1" s="1"/>
  <c r="AW99" i="1"/>
  <c r="AW98" i="1"/>
  <c r="AZ98" i="1"/>
  <c r="BA98" i="1"/>
  <c r="BA97" i="1"/>
  <c r="AZ97" i="1"/>
  <c r="BB97" i="1" s="1"/>
  <c r="AW97" i="1"/>
  <c r="AL96" i="1"/>
  <c r="AN97" i="1" s="1"/>
  <c r="AO96" i="1"/>
  <c r="AP96" i="1"/>
  <c r="AL95" i="1"/>
  <c r="AP95" i="1"/>
  <c r="AO95" i="1"/>
  <c r="AQ95" i="1" s="1"/>
  <c r="BA94" i="1"/>
  <c r="AW94" i="1"/>
  <c r="AY95" i="1" s="1"/>
  <c r="AZ94" i="1"/>
  <c r="BB94" i="1" s="1"/>
  <c r="AP93" i="1"/>
  <c r="AL93" i="1"/>
  <c r="AN94" i="1" s="1"/>
  <c r="AO93" i="1"/>
  <c r="AQ93" i="1" s="1"/>
  <c r="AZ92" i="1"/>
  <c r="AW92" i="1"/>
  <c r="AY93" i="1" s="1"/>
  <c r="BA92" i="1"/>
  <c r="AW90" i="1"/>
  <c r="BA90" i="1"/>
  <c r="AZ90" i="1"/>
  <c r="BB90" i="1" s="1"/>
  <c r="AZ91" i="1"/>
  <c r="AW91" i="1"/>
  <c r="BA91" i="1"/>
  <c r="AZ89" i="1"/>
  <c r="BA89" i="1"/>
  <c r="AW89" i="1"/>
  <c r="AO88" i="1"/>
  <c r="AP88" i="1"/>
  <c r="AL88" i="1"/>
  <c r="AN89" i="1" s="1"/>
  <c r="AZ87" i="1"/>
  <c r="BA87" i="1"/>
  <c r="AW87" i="1"/>
  <c r="AY88" i="1" s="1"/>
  <c r="AZ86" i="1"/>
  <c r="BA86" i="1"/>
  <c r="AW86" i="1"/>
  <c r="AO85" i="1"/>
  <c r="AP85" i="1"/>
  <c r="AL85" i="1"/>
  <c r="AN86" i="1" s="1"/>
  <c r="AO84" i="1"/>
  <c r="AP84" i="1"/>
  <c r="AL84" i="1"/>
  <c r="AZ83" i="1"/>
  <c r="BA83" i="1"/>
  <c r="AW83" i="1"/>
  <c r="AY84" i="1" s="1"/>
  <c r="AO82" i="1"/>
  <c r="AP82" i="1"/>
  <c r="AL82" i="1"/>
  <c r="AN83" i="1" s="1"/>
  <c r="AZ81" i="1"/>
  <c r="BA81" i="1"/>
  <c r="AW81" i="1"/>
  <c r="AY82" i="1" s="1"/>
  <c r="AZ80" i="1"/>
  <c r="BA80" i="1"/>
  <c r="AW80" i="1"/>
  <c r="AZ79" i="1"/>
  <c r="BA79" i="1"/>
  <c r="AW79" i="1"/>
  <c r="AZ78" i="1"/>
  <c r="BA78" i="1"/>
  <c r="AW78" i="1"/>
  <c r="AZ77" i="1"/>
  <c r="BA77" i="1"/>
  <c r="AW77" i="1"/>
  <c r="AO77" i="1"/>
  <c r="AP77" i="1"/>
  <c r="AL77" i="1"/>
  <c r="AN78" i="1" s="1"/>
  <c r="AO76" i="1"/>
  <c r="AL76" i="1"/>
  <c r="AP76" i="1"/>
  <c r="AP75" i="1"/>
  <c r="AL75" i="1"/>
  <c r="AO75" i="1"/>
  <c r="AQ75" i="1" s="1"/>
  <c r="AP74" i="1"/>
  <c r="AO74" i="1"/>
  <c r="AQ74" i="1" s="1"/>
  <c r="AL74" i="1"/>
  <c r="AO73" i="1"/>
  <c r="AL73" i="1"/>
  <c r="AP73" i="1"/>
  <c r="AO72" i="1"/>
  <c r="AL72" i="1"/>
  <c r="AP72" i="1"/>
  <c r="BA71" i="1"/>
  <c r="AZ71" i="1"/>
  <c r="BB71" i="1" s="1"/>
  <c r="AW71" i="1"/>
  <c r="AY72" i="1" s="1"/>
  <c r="BA70" i="1"/>
  <c r="AW70" i="1"/>
  <c r="AZ70" i="1"/>
  <c r="BB70" i="1" s="1"/>
  <c r="BA69" i="1"/>
  <c r="AW69" i="1"/>
  <c r="AZ69" i="1"/>
  <c r="BB69" i="1" s="1"/>
  <c r="AZ68" i="1"/>
  <c r="AW68" i="1"/>
  <c r="BA68" i="1"/>
  <c r="AO67" i="1"/>
  <c r="AP67" i="1"/>
  <c r="AL67" i="1"/>
  <c r="AN68" i="1" s="1"/>
  <c r="AO66" i="1"/>
  <c r="AL66" i="1"/>
  <c r="AP66" i="1"/>
  <c r="AL65" i="1"/>
  <c r="AP65" i="1"/>
  <c r="AO65" i="1"/>
  <c r="AQ65" i="1" s="1"/>
  <c r="AZ64" i="1"/>
  <c r="AW64" i="1"/>
  <c r="AY65" i="1" s="1"/>
  <c r="BA64" i="1"/>
  <c r="AL63" i="1"/>
  <c r="AN64" i="1" s="1"/>
  <c r="AO63" i="1"/>
  <c r="AP63" i="1"/>
  <c r="AW62" i="1"/>
  <c r="AY63" i="1" s="1"/>
  <c r="AZ62" i="1"/>
  <c r="BA62" i="1"/>
  <c r="AW61" i="1"/>
  <c r="BA61" i="1"/>
  <c r="AZ61" i="1"/>
  <c r="AO59" i="1"/>
  <c r="AP59" i="1"/>
  <c r="AL59" i="1"/>
  <c r="AN60" i="1" s="1"/>
  <c r="AL58" i="1"/>
  <c r="AO58" i="1"/>
  <c r="AP58" i="1"/>
  <c r="AL57" i="1"/>
  <c r="AP57" i="1"/>
  <c r="AO57" i="1"/>
  <c r="AL56" i="1"/>
  <c r="AP56" i="1"/>
  <c r="AO56" i="1"/>
  <c r="AQ56" i="1" s="1"/>
  <c r="AP55" i="1"/>
  <c r="AL55" i="1"/>
  <c r="AO55" i="1"/>
  <c r="AQ55" i="1" s="1"/>
  <c r="AO54" i="1"/>
  <c r="AP54" i="1"/>
  <c r="AL54" i="1"/>
  <c r="AW53" i="1"/>
  <c r="AY54" i="1" s="1"/>
  <c r="AZ53" i="1"/>
  <c r="BA53" i="1"/>
  <c r="AZ52" i="1"/>
  <c r="BA52" i="1"/>
  <c r="AW52" i="1"/>
  <c r="AL51" i="1"/>
  <c r="AN52" i="1" s="1"/>
  <c r="AP51" i="1"/>
  <c r="AO51" i="1"/>
  <c r="AQ51" i="1" s="1"/>
  <c r="AO50" i="1"/>
  <c r="AL50" i="1"/>
  <c r="AP50" i="1"/>
  <c r="AW49" i="1"/>
  <c r="AY50" i="1" s="1"/>
  <c r="BA49" i="1"/>
  <c r="AZ49" i="1"/>
  <c r="BB49" i="1" s="1"/>
  <c r="AP48" i="1"/>
  <c r="AO48" i="1"/>
  <c r="AQ48" i="1" s="1"/>
  <c r="AL48" i="1"/>
  <c r="AN49" i="1" s="1"/>
  <c r="AO46" i="1"/>
  <c r="AP46" i="1"/>
  <c r="AL46" i="1"/>
  <c r="AN47" i="1" s="1"/>
  <c r="AO45" i="1"/>
  <c r="AP45" i="1"/>
  <c r="AL45" i="1"/>
  <c r="AZ44" i="1"/>
  <c r="BA44" i="1"/>
  <c r="AW44" i="1"/>
  <c r="AY45" i="1" s="1"/>
  <c r="AZ43" i="1"/>
  <c r="BA43" i="1"/>
  <c r="AW43" i="1"/>
  <c r="AO42" i="1"/>
  <c r="AP42" i="1"/>
  <c r="AL42" i="1"/>
  <c r="AN43" i="1" s="1"/>
  <c r="AO41" i="1"/>
  <c r="AP41" i="1"/>
  <c r="AL41" i="1"/>
  <c r="AZ40" i="1"/>
  <c r="BA40" i="1"/>
  <c r="AW40" i="1"/>
  <c r="AY41" i="1" s="1"/>
  <c r="AO40" i="1"/>
  <c r="AP40" i="1"/>
  <c r="AL40" i="1"/>
  <c r="AZ39" i="1"/>
  <c r="BA39" i="1"/>
  <c r="AW39" i="1"/>
  <c r="AZ38" i="1"/>
  <c r="BA38" i="1"/>
  <c r="AW38" i="1"/>
  <c r="AZ37" i="1"/>
  <c r="BA37" i="1"/>
  <c r="AW37" i="1"/>
  <c r="AZ36" i="1"/>
  <c r="BA36" i="1"/>
  <c r="AW36" i="1"/>
  <c r="AZ35" i="1"/>
  <c r="BA35" i="1"/>
  <c r="AW35" i="1"/>
  <c r="AO34" i="1"/>
  <c r="AP34" i="1"/>
  <c r="AL34" i="1"/>
  <c r="AN35" i="1" s="1"/>
  <c r="AO33" i="1"/>
  <c r="AP33" i="1"/>
  <c r="AL33" i="1"/>
  <c r="AZ32" i="1"/>
  <c r="BA32" i="1"/>
  <c r="AW32" i="1"/>
  <c r="AY33" i="1" s="1"/>
  <c r="AO31" i="1"/>
  <c r="AP31" i="1"/>
  <c r="AL31" i="1"/>
  <c r="AN32" i="1" s="1"/>
  <c r="AO30" i="1"/>
  <c r="AP30" i="1"/>
  <c r="AL30" i="1"/>
  <c r="AO29" i="1"/>
  <c r="AP29" i="1"/>
  <c r="AL29" i="1"/>
  <c r="AO27" i="1"/>
  <c r="AP27" i="1"/>
  <c r="AL27" i="1"/>
  <c r="AN28" i="1" s="1"/>
  <c r="AZ26" i="1"/>
  <c r="BA26" i="1"/>
  <c r="AW26" i="1"/>
  <c r="AY27" i="1" s="1"/>
  <c r="AZ24" i="1"/>
  <c r="BA24" i="1"/>
  <c r="AW24" i="1"/>
  <c r="AZ23" i="1"/>
  <c r="BA23" i="1"/>
  <c r="AW23" i="1"/>
  <c r="AO23" i="1"/>
  <c r="AP23" i="1"/>
  <c r="AL23" i="1"/>
  <c r="AN24" i="1" s="1"/>
  <c r="AZ22" i="1"/>
  <c r="BA22" i="1"/>
  <c r="AO22" i="1"/>
  <c r="AP22" i="1"/>
  <c r="AQ57" i="1" l="1"/>
  <c r="BB61" i="1"/>
  <c r="BB133" i="1"/>
  <c r="BB134" i="1"/>
  <c r="BB129" i="1"/>
  <c r="BB119" i="1"/>
  <c r="BB108" i="1"/>
  <c r="BB98" i="1"/>
  <c r="AW60" i="1"/>
  <c r="AZ60" i="1"/>
  <c r="BA60" i="1"/>
  <c r="AZ28" i="1"/>
  <c r="BA28" i="1"/>
  <c r="AW28" i="1"/>
  <c r="AY29" i="1" s="1"/>
  <c r="AZ25" i="1"/>
  <c r="BA25" i="1"/>
  <c r="AW25" i="1"/>
  <c r="BA47" i="1"/>
  <c r="AW47" i="1"/>
  <c r="AY48" i="1" s="1"/>
  <c r="AZ47" i="1"/>
  <c r="BB47" i="1" s="1"/>
  <c r="AQ130" i="1"/>
  <c r="AQ121" i="1"/>
  <c r="AQ116" i="1"/>
  <c r="AQ101" i="1"/>
  <c r="AQ125" i="1"/>
  <c r="AQ149" i="1"/>
  <c r="BB144" i="1"/>
  <c r="BB140" i="1"/>
  <c r="AQ132" i="1"/>
  <c r="BB117" i="1"/>
  <c r="BB114" i="1"/>
  <c r="AQ123" i="1"/>
  <c r="AQ112" i="1"/>
  <c r="AQ111" i="1"/>
  <c r="AQ96" i="1"/>
  <c r="BB91" i="1"/>
  <c r="AQ131" i="1"/>
  <c r="BB127" i="1"/>
  <c r="AQ103" i="1"/>
  <c r="AP135" i="1"/>
  <c r="AQ135" i="1" s="1"/>
  <c r="AL135" i="1"/>
  <c r="AL172" i="1"/>
  <c r="AN173" i="1" s="1"/>
  <c r="AP172" i="1"/>
  <c r="AO172" i="1"/>
  <c r="AW171" i="1"/>
  <c r="BA171" i="1"/>
  <c r="AZ171" i="1"/>
  <c r="AL170" i="1"/>
  <c r="AP170" i="1"/>
  <c r="AO170" i="1"/>
  <c r="AQ170" i="1" s="1"/>
  <c r="AW169" i="1"/>
  <c r="BA169" i="1"/>
  <c r="AZ169" i="1"/>
  <c r="BB169" i="1" s="1"/>
  <c r="BE169" i="1" s="1"/>
  <c r="AO168" i="1"/>
  <c r="AL168" i="1"/>
  <c r="AP168" i="1"/>
  <c r="AW166" i="1"/>
  <c r="AY167" i="1" s="1"/>
  <c r="AZ166" i="1"/>
  <c r="BA166" i="1"/>
  <c r="AO165" i="1"/>
  <c r="AL165" i="1"/>
  <c r="AP165" i="1"/>
  <c r="AW162" i="1"/>
  <c r="AY163" i="1" s="1"/>
  <c r="AZ162" i="1"/>
  <c r="BA162" i="1"/>
  <c r="AO159" i="1"/>
  <c r="AL159" i="1"/>
  <c r="AN160" i="1" s="1"/>
  <c r="AP159" i="1"/>
  <c r="AW157" i="1"/>
  <c r="AY158" i="1" s="1"/>
  <c r="AZ157" i="1"/>
  <c r="BA157" i="1"/>
  <c r="AO156" i="1"/>
  <c r="AP156" i="1"/>
  <c r="AL156" i="1"/>
  <c r="BA155" i="1"/>
  <c r="AZ155" i="1"/>
  <c r="AW155" i="1"/>
  <c r="AO153" i="1"/>
  <c r="AL153" i="1"/>
  <c r="AN154" i="1" s="1"/>
  <c r="AP153" i="1"/>
  <c r="AO150" i="1"/>
  <c r="AL150" i="1"/>
  <c r="AN151" i="1" s="1"/>
  <c r="AP150" i="1"/>
  <c r="AZ148" i="1"/>
  <c r="AW148" i="1"/>
  <c r="AY149" i="1" s="1"/>
  <c r="BA148" i="1"/>
  <c r="AO144" i="1"/>
  <c r="AL144" i="1"/>
  <c r="AN145" i="1" s="1"/>
  <c r="AP144" i="1"/>
  <c r="AZ143" i="1"/>
  <c r="AW143" i="1"/>
  <c r="BA143" i="1"/>
  <c r="AL140" i="1"/>
  <c r="AN141" i="1" s="1"/>
  <c r="AP140" i="1"/>
  <c r="AO140" i="1"/>
  <c r="AQ140" i="1" s="1"/>
  <c r="BE140" i="1" s="1"/>
  <c r="AZ138" i="1"/>
  <c r="AW138" i="1"/>
  <c r="AY139" i="1" s="1"/>
  <c r="BA138" i="1"/>
  <c r="AP137" i="1"/>
  <c r="AO137" i="1"/>
  <c r="AQ137" i="1" s="1"/>
  <c r="AL137" i="1"/>
  <c r="BA136" i="1"/>
  <c r="AW136" i="1"/>
  <c r="AZ136" i="1"/>
  <c r="BB136" i="1" s="1"/>
  <c r="BE136" i="1" s="1"/>
  <c r="AL133" i="1"/>
  <c r="AP133" i="1"/>
  <c r="AO133" i="1"/>
  <c r="AQ133" i="1" s="1"/>
  <c r="BE133" i="1" s="1"/>
  <c r="AW130" i="1"/>
  <c r="AY131" i="1" s="1"/>
  <c r="BA130" i="1"/>
  <c r="AZ130" i="1"/>
  <c r="BB130" i="1" s="1"/>
  <c r="BE130" i="1" s="1"/>
  <c r="AL127" i="1"/>
  <c r="AN128" i="1" s="1"/>
  <c r="AP127" i="1"/>
  <c r="AO127" i="1"/>
  <c r="AW125" i="1"/>
  <c r="AY126" i="1" s="1"/>
  <c r="BA125" i="1"/>
  <c r="AZ125" i="1"/>
  <c r="BB125" i="1" s="1"/>
  <c r="BE125" i="1" s="1"/>
  <c r="AL124" i="1"/>
  <c r="AP124" i="1"/>
  <c r="AO124" i="1"/>
  <c r="AW121" i="1"/>
  <c r="AY122" i="1" s="1"/>
  <c r="BA121" i="1"/>
  <c r="AZ121" i="1"/>
  <c r="AL117" i="1"/>
  <c r="AN118" i="1" s="1"/>
  <c r="AP117" i="1"/>
  <c r="AO117" i="1"/>
  <c r="AQ117" i="1" s="1"/>
  <c r="BE117" i="1" s="1"/>
  <c r="AW115" i="1"/>
  <c r="AY116" i="1" s="1"/>
  <c r="BA115" i="1"/>
  <c r="AZ115" i="1"/>
  <c r="BB115" i="1" s="1"/>
  <c r="AL114" i="1"/>
  <c r="AP114" i="1"/>
  <c r="AO114" i="1"/>
  <c r="AQ114" i="1" s="1"/>
  <c r="BE114" i="1" s="1"/>
  <c r="AW109" i="1"/>
  <c r="AY110" i="1" s="1"/>
  <c r="BA109" i="1"/>
  <c r="AZ109" i="1"/>
  <c r="BB109" i="1" s="1"/>
  <c r="AL105" i="1"/>
  <c r="AN106" i="1" s="1"/>
  <c r="AO105" i="1"/>
  <c r="AP105" i="1"/>
  <c r="BA103" i="1"/>
  <c r="AW103" i="1"/>
  <c r="AY104" i="1" s="1"/>
  <c r="AZ103" i="1"/>
  <c r="BB103" i="1" s="1"/>
  <c r="BE103" i="1" s="1"/>
  <c r="AO102" i="1"/>
  <c r="AP102" i="1"/>
  <c r="AL102" i="1"/>
  <c r="BA101" i="1"/>
  <c r="AW101" i="1"/>
  <c r="AZ101" i="1"/>
  <c r="BB101" i="1" s="1"/>
  <c r="BE101" i="1" s="1"/>
  <c r="AP97" i="1"/>
  <c r="AL97" i="1"/>
  <c r="AN98" i="1" s="1"/>
  <c r="AO97" i="1"/>
  <c r="AQ97" i="1" s="1"/>
  <c r="BE97" i="1" s="1"/>
  <c r="AZ95" i="1"/>
  <c r="AW95" i="1"/>
  <c r="AY96" i="1" s="1"/>
  <c r="BA95" i="1"/>
  <c r="AL94" i="1"/>
  <c r="AP94" i="1"/>
  <c r="AO94" i="1"/>
  <c r="AZ93" i="1"/>
  <c r="AW93" i="1"/>
  <c r="BA93" i="1"/>
  <c r="AL89" i="1"/>
  <c r="AN90" i="1" s="1"/>
  <c r="AP89" i="1"/>
  <c r="AO89" i="1"/>
  <c r="AW88" i="1"/>
  <c r="BA88" i="1"/>
  <c r="AZ88" i="1"/>
  <c r="BB88" i="1" s="1"/>
  <c r="AL86" i="1"/>
  <c r="AN87" i="1" s="1"/>
  <c r="AP86" i="1"/>
  <c r="AO86" i="1"/>
  <c r="AW84" i="1"/>
  <c r="AY85" i="1" s="1"/>
  <c r="BA84" i="1"/>
  <c r="AZ84" i="1"/>
  <c r="BB84" i="1" s="1"/>
  <c r="AL83" i="1"/>
  <c r="AP83" i="1"/>
  <c r="AO83" i="1"/>
  <c r="AW82" i="1"/>
  <c r="BA82" i="1"/>
  <c r="AZ82" i="1"/>
  <c r="BB82" i="1" s="1"/>
  <c r="AL78" i="1"/>
  <c r="AN79" i="1" s="1"/>
  <c r="AP78" i="1"/>
  <c r="AO78" i="1"/>
  <c r="AQ78" i="1" s="1"/>
  <c r="AW72" i="1"/>
  <c r="AY73" i="1" s="1"/>
  <c r="AZ72" i="1"/>
  <c r="BA72" i="1"/>
  <c r="AP68" i="1"/>
  <c r="AO68" i="1"/>
  <c r="AL68" i="1"/>
  <c r="AN69" i="1" s="1"/>
  <c r="BA65" i="1"/>
  <c r="AZ65" i="1"/>
  <c r="BB65" i="1" s="1"/>
  <c r="BE65" i="1" s="1"/>
  <c r="AW65" i="1"/>
  <c r="AY66" i="1" s="1"/>
  <c r="AO64" i="1"/>
  <c r="AP64" i="1"/>
  <c r="AL64" i="1"/>
  <c r="AZ63" i="1"/>
  <c r="AW63" i="1"/>
  <c r="BA63" i="1"/>
  <c r="AL60" i="1"/>
  <c r="AN61" i="1" s="1"/>
  <c r="AO60" i="1"/>
  <c r="AP60" i="1"/>
  <c r="BA54" i="1"/>
  <c r="AZ54" i="1"/>
  <c r="BB54" i="1" s="1"/>
  <c r="AW54" i="1"/>
  <c r="AY55" i="1" s="1"/>
  <c r="AO52" i="1"/>
  <c r="AP52" i="1"/>
  <c r="AL52" i="1"/>
  <c r="AN53" i="1" s="1"/>
  <c r="AZ50" i="1"/>
  <c r="AW50" i="1"/>
  <c r="AY51" i="1" s="1"/>
  <c r="BA50" i="1"/>
  <c r="AO49" i="1"/>
  <c r="AL49" i="1"/>
  <c r="AP49" i="1"/>
  <c r="AZ48" i="1"/>
  <c r="BA48" i="1"/>
  <c r="AW48" i="1"/>
  <c r="AP47" i="1"/>
  <c r="AL47" i="1"/>
  <c r="AO47" i="1"/>
  <c r="AQ47" i="1" s="1"/>
  <c r="BE47" i="1" s="1"/>
  <c r="AW45" i="1"/>
  <c r="AY46" i="1" s="1"/>
  <c r="BA45" i="1"/>
  <c r="AZ45" i="1"/>
  <c r="AL43" i="1"/>
  <c r="AN44" i="1" s="1"/>
  <c r="AP43" i="1"/>
  <c r="AO43" i="1"/>
  <c r="AQ43" i="1" s="1"/>
  <c r="AW41" i="1"/>
  <c r="AY42" i="1" s="1"/>
  <c r="BA41" i="1"/>
  <c r="AZ41" i="1"/>
  <c r="BB41" i="1" s="1"/>
  <c r="AL35" i="1"/>
  <c r="AN36" i="1" s="1"/>
  <c r="AP35" i="1"/>
  <c r="AO35" i="1"/>
  <c r="AQ35" i="1" s="1"/>
  <c r="AW33" i="1"/>
  <c r="AY34" i="1" s="1"/>
  <c r="BA33" i="1"/>
  <c r="AZ33" i="1"/>
  <c r="BB33" i="1" s="1"/>
  <c r="AL32" i="1"/>
  <c r="AP32" i="1"/>
  <c r="AO32" i="1"/>
  <c r="AQ32" i="1" s="1"/>
  <c r="AW29" i="1"/>
  <c r="AY30" i="1" s="1"/>
  <c r="BA29" i="1"/>
  <c r="AZ29" i="1"/>
  <c r="BB29" i="1" s="1"/>
  <c r="AL28" i="1"/>
  <c r="AP28" i="1"/>
  <c r="AO28" i="1"/>
  <c r="AQ28" i="1" s="1"/>
  <c r="AW27" i="1"/>
  <c r="BA27" i="1"/>
  <c r="AZ27" i="1"/>
  <c r="BB27" i="1" s="1"/>
  <c r="AL24" i="1"/>
  <c r="AN25" i="1" s="1"/>
  <c r="AP24" i="1"/>
  <c r="AO24" i="1"/>
  <c r="AQ24" i="1" s="1"/>
  <c r="AQ139" i="1"/>
  <c r="AQ138" i="1"/>
  <c r="BB137" i="1"/>
  <c r="BB128" i="1"/>
  <c r="AQ126" i="1"/>
  <c r="BB118" i="1"/>
  <c r="AQ113" i="1"/>
  <c r="AQ109" i="1"/>
  <c r="BB92" i="1"/>
  <c r="BB89" i="1"/>
  <c r="AQ88" i="1"/>
  <c r="BB87" i="1"/>
  <c r="BB86" i="1"/>
  <c r="AQ85" i="1"/>
  <c r="AQ84" i="1"/>
  <c r="BB83" i="1"/>
  <c r="AQ82" i="1"/>
  <c r="BB81" i="1"/>
  <c r="BB80" i="1"/>
  <c r="BB79" i="1"/>
  <c r="BB78" i="1"/>
  <c r="BB77" i="1"/>
  <c r="AQ77" i="1"/>
  <c r="AQ76" i="1"/>
  <c r="AQ73" i="1"/>
  <c r="AQ72" i="1"/>
  <c r="BB68" i="1"/>
  <c r="AQ67" i="1"/>
  <c r="AQ66" i="1"/>
  <c r="BB64" i="1"/>
  <c r="AQ63" i="1"/>
  <c r="BB62" i="1"/>
  <c r="BB60" i="1"/>
  <c r="AQ59" i="1"/>
  <c r="AQ58" i="1"/>
  <c r="AQ54" i="1"/>
  <c r="BB53" i="1"/>
  <c r="BB52" i="1"/>
  <c r="AQ50" i="1"/>
  <c r="AQ46" i="1"/>
  <c r="AQ45" i="1"/>
  <c r="BB44" i="1"/>
  <c r="BB43" i="1"/>
  <c r="AQ42" i="1"/>
  <c r="AQ41" i="1"/>
  <c r="BB40" i="1"/>
  <c r="AQ40" i="1"/>
  <c r="BE40" i="1" s="1"/>
  <c r="BB39" i="1"/>
  <c r="BB38" i="1"/>
  <c r="BB37" i="1"/>
  <c r="BB36" i="1"/>
  <c r="BB35" i="1"/>
  <c r="AQ34" i="1"/>
  <c r="AQ33" i="1"/>
  <c r="BB32" i="1"/>
  <c r="AQ31" i="1"/>
  <c r="AQ30" i="1"/>
  <c r="AQ29" i="1"/>
  <c r="BB28" i="1"/>
  <c r="AQ27" i="1"/>
  <c r="BB26" i="1"/>
  <c r="BB25" i="1"/>
  <c r="BB24" i="1"/>
  <c r="BB23" i="1"/>
  <c r="AQ23" i="1"/>
  <c r="BE23" i="1" s="1"/>
  <c r="BB22" i="1"/>
  <c r="AQ22" i="1"/>
  <c r="BB176" i="1"/>
  <c r="BB175" i="1"/>
  <c r="BB174" i="1"/>
  <c r="BB173" i="1"/>
  <c r="BB172" i="1"/>
  <c r="AQ171" i="1"/>
  <c r="BB170" i="1"/>
  <c r="BB168" i="1"/>
  <c r="BB161" i="1"/>
  <c r="BB160" i="1"/>
  <c r="AQ158" i="1"/>
  <c r="BB153" i="1"/>
  <c r="BB152" i="1"/>
  <c r="BE152" i="1" s="1"/>
  <c r="BB150" i="1"/>
  <c r="AQ148" i="1"/>
  <c r="BB145" i="1"/>
  <c r="AQ143" i="1"/>
  <c r="BB141" i="1"/>
  <c r="BB135" i="1"/>
  <c r="BE135" i="1" s="1"/>
  <c r="AQ134" i="1"/>
  <c r="BE134" i="1" s="1"/>
  <c r="BB124" i="1"/>
  <c r="AQ122" i="1"/>
  <c r="BB120" i="1"/>
  <c r="AQ115" i="1"/>
  <c r="AQ110" i="1"/>
  <c r="BB100" i="1"/>
  <c r="BE109" i="1" l="1"/>
  <c r="BE88" i="1"/>
  <c r="BE84" i="1"/>
  <c r="BE82" i="1"/>
  <c r="BE54" i="1"/>
  <c r="BE41" i="1"/>
  <c r="BE33" i="1"/>
  <c r="BE29" i="1"/>
  <c r="BE27" i="1"/>
  <c r="BE115" i="1"/>
  <c r="BE77" i="1"/>
  <c r="AQ124" i="1"/>
  <c r="AQ83" i="1"/>
  <c r="AQ94" i="1"/>
  <c r="BE94" i="1" s="1"/>
  <c r="AQ89" i="1"/>
  <c r="BB155" i="1"/>
  <c r="BE155" i="1" s="1"/>
  <c r="AQ156" i="1"/>
  <c r="BE156" i="1" s="1"/>
  <c r="AQ105" i="1"/>
  <c r="BE105" i="1" s="1"/>
  <c r="BB171" i="1"/>
  <c r="BE171" i="1" s="1"/>
  <c r="BB48" i="1"/>
  <c r="BE48" i="1" s="1"/>
  <c r="BB45" i="1"/>
  <c r="BE45" i="1" s="1"/>
  <c r="AL173" i="1"/>
  <c r="AN174" i="1" s="1"/>
  <c r="AP173" i="1"/>
  <c r="AO173" i="1"/>
  <c r="AW167" i="1"/>
  <c r="AZ167" i="1"/>
  <c r="BA167" i="1"/>
  <c r="AW163" i="1"/>
  <c r="AY164" i="1" s="1"/>
  <c r="AZ163" i="1"/>
  <c r="BA163" i="1"/>
  <c r="AO160" i="1"/>
  <c r="AL160" i="1"/>
  <c r="AN161" i="1" s="1"/>
  <c r="AP160" i="1"/>
  <c r="AZ158" i="1"/>
  <c r="AW158" i="1"/>
  <c r="BA158" i="1"/>
  <c r="AO154" i="1"/>
  <c r="AP154" i="1"/>
  <c r="AL154" i="1"/>
  <c r="AL151" i="1"/>
  <c r="AO151" i="1"/>
  <c r="AP151" i="1"/>
  <c r="AZ149" i="1"/>
  <c r="AW149" i="1"/>
  <c r="BA149" i="1"/>
  <c r="AP145" i="1"/>
  <c r="AO145" i="1"/>
  <c r="AQ145" i="1" s="1"/>
  <c r="BE145" i="1" s="1"/>
  <c r="AL145" i="1"/>
  <c r="AN146" i="1" s="1"/>
  <c r="AO141" i="1"/>
  <c r="AL141" i="1"/>
  <c r="AN142" i="1" s="1"/>
  <c r="AP141" i="1"/>
  <c r="AW139" i="1"/>
  <c r="BA139" i="1"/>
  <c r="AZ139" i="1"/>
  <c r="BB139" i="1" s="1"/>
  <c r="BE139" i="1" s="1"/>
  <c r="AW131" i="1"/>
  <c r="AY132" i="1" s="1"/>
  <c r="BA131" i="1"/>
  <c r="AZ131" i="1"/>
  <c r="BB131" i="1" s="1"/>
  <c r="BE131" i="1" s="1"/>
  <c r="AL128" i="1"/>
  <c r="AN129" i="1" s="1"/>
  <c r="AP128" i="1"/>
  <c r="AO128" i="1"/>
  <c r="AQ128" i="1" s="1"/>
  <c r="BE128" i="1" s="1"/>
  <c r="AW126" i="1"/>
  <c r="BA126" i="1"/>
  <c r="AZ126" i="1"/>
  <c r="BB126" i="1" s="1"/>
  <c r="BE126" i="1" s="1"/>
  <c r="AW122" i="1"/>
  <c r="AY123" i="1" s="1"/>
  <c r="BA122" i="1"/>
  <c r="AZ122" i="1"/>
  <c r="BB122" i="1" s="1"/>
  <c r="BE122" i="1" s="1"/>
  <c r="AL118" i="1"/>
  <c r="AN119" i="1" s="1"/>
  <c r="AP118" i="1"/>
  <c r="AO118" i="1"/>
  <c r="AW116" i="1"/>
  <c r="BA116" i="1"/>
  <c r="AZ116" i="1"/>
  <c r="BB116" i="1" s="1"/>
  <c r="BE116" i="1" s="1"/>
  <c r="AW110" i="1"/>
  <c r="AY111" i="1" s="1"/>
  <c r="BA110" i="1"/>
  <c r="AZ110" i="1"/>
  <c r="BB110" i="1" s="1"/>
  <c r="BE110" i="1" s="1"/>
  <c r="AO106" i="1"/>
  <c r="AP106" i="1"/>
  <c r="AL106" i="1"/>
  <c r="AN107" i="1" s="1"/>
  <c r="BA104" i="1"/>
  <c r="AZ104" i="1"/>
  <c r="BB104" i="1" s="1"/>
  <c r="BE104" i="1" s="1"/>
  <c r="AW104" i="1"/>
  <c r="AO98" i="1"/>
  <c r="AP98" i="1"/>
  <c r="AL98" i="1"/>
  <c r="AN99" i="1" s="1"/>
  <c r="AZ96" i="1"/>
  <c r="BA96" i="1"/>
  <c r="AW96" i="1"/>
  <c r="AO90" i="1"/>
  <c r="AL90" i="1"/>
  <c r="AN91" i="1" s="1"/>
  <c r="AP90" i="1"/>
  <c r="AL87" i="1"/>
  <c r="AP87" i="1"/>
  <c r="AO87" i="1"/>
  <c r="AW85" i="1"/>
  <c r="BA85" i="1"/>
  <c r="AZ85" i="1"/>
  <c r="BB85" i="1" s="1"/>
  <c r="BE85" i="1" s="1"/>
  <c r="AL79" i="1"/>
  <c r="AN80" i="1" s="1"/>
  <c r="AP79" i="1"/>
  <c r="AO79" i="1"/>
  <c r="AQ79" i="1" s="1"/>
  <c r="BE79" i="1" s="1"/>
  <c r="AZ73" i="1"/>
  <c r="AW73" i="1"/>
  <c r="AY74" i="1" s="1"/>
  <c r="BA73" i="1"/>
  <c r="AO69" i="1"/>
  <c r="AP69" i="1"/>
  <c r="AL69" i="1"/>
  <c r="AN70" i="1" s="1"/>
  <c r="BA66" i="1"/>
  <c r="AZ66" i="1"/>
  <c r="BB66" i="1" s="1"/>
  <c r="BE66" i="1" s="1"/>
  <c r="AW66" i="1"/>
  <c r="AY67" i="1" s="1"/>
  <c r="AP61" i="1"/>
  <c r="AO61" i="1"/>
  <c r="AQ61" i="1" s="1"/>
  <c r="BE61" i="1" s="1"/>
  <c r="AL61" i="1"/>
  <c r="AN62" i="1" s="1"/>
  <c r="AZ55" i="1"/>
  <c r="BA55" i="1"/>
  <c r="AW55" i="1"/>
  <c r="AY56" i="1" s="1"/>
  <c r="AL53" i="1"/>
  <c r="AP53" i="1"/>
  <c r="AO53" i="1"/>
  <c r="BA51" i="1"/>
  <c r="AW51" i="1"/>
  <c r="AZ51" i="1"/>
  <c r="AW46" i="1"/>
  <c r="AZ46" i="1"/>
  <c r="BA46" i="1"/>
  <c r="AL44" i="1"/>
  <c r="AP44" i="1"/>
  <c r="AO44" i="1"/>
  <c r="AQ44" i="1" s="1"/>
  <c r="BE44" i="1" s="1"/>
  <c r="AW42" i="1"/>
  <c r="BA42" i="1"/>
  <c r="AZ42" i="1"/>
  <c r="BB42" i="1" s="1"/>
  <c r="BE42" i="1" s="1"/>
  <c r="AL36" i="1"/>
  <c r="AN37" i="1" s="1"/>
  <c r="AP36" i="1"/>
  <c r="AO36" i="1"/>
  <c r="AW34" i="1"/>
  <c r="BA34" i="1"/>
  <c r="AZ34" i="1"/>
  <c r="BB34" i="1" s="1"/>
  <c r="BE34" i="1" s="1"/>
  <c r="AW30" i="1"/>
  <c r="AY31" i="1" s="1"/>
  <c r="BA30" i="1"/>
  <c r="AZ30" i="1"/>
  <c r="BB30" i="1" s="1"/>
  <c r="BE30" i="1" s="1"/>
  <c r="AL25" i="1"/>
  <c r="AN26" i="1" s="1"/>
  <c r="AP25" i="1"/>
  <c r="AO25" i="1"/>
  <c r="AQ25" i="1" s="1"/>
  <c r="BE25" i="1" s="1"/>
  <c r="BC22" i="1"/>
  <c r="BC23" i="1" s="1"/>
  <c r="BC24" i="1" s="1"/>
  <c r="BC25" i="1" s="1"/>
  <c r="BC26" i="1" s="1"/>
  <c r="BC27" i="1" s="1"/>
  <c r="BC28" i="1" s="1"/>
  <c r="BC29" i="1" s="1"/>
  <c r="BC30" i="1" s="1"/>
  <c r="BE22" i="1"/>
  <c r="AR22" i="1"/>
  <c r="AR23" i="1" s="1"/>
  <c r="AR24" i="1" s="1"/>
  <c r="AR25" i="1" s="1"/>
  <c r="BB72" i="1"/>
  <c r="BE72" i="1" s="1"/>
  <c r="BE32" i="1"/>
  <c r="AQ64" i="1"/>
  <c r="BE64" i="1" s="1"/>
  <c r="BB63" i="1"/>
  <c r="BE63" i="1" s="1"/>
  <c r="AQ60" i="1"/>
  <c r="BE60" i="1" s="1"/>
  <c r="AQ52" i="1"/>
  <c r="BE52" i="1" s="1"/>
  <c r="AQ168" i="1"/>
  <c r="BE168" i="1" s="1"/>
  <c r="AQ153" i="1"/>
  <c r="BE153" i="1" s="1"/>
  <c r="AQ144" i="1"/>
  <c r="BE144" i="1" s="1"/>
  <c r="BB143" i="1"/>
  <c r="BE143" i="1" s="1"/>
  <c r="AQ127" i="1"/>
  <c r="BE127" i="1" s="1"/>
  <c r="BE124" i="1"/>
  <c r="AQ102" i="1"/>
  <c r="BE102" i="1" s="1"/>
  <c r="BE89" i="1"/>
  <c r="AQ68" i="1"/>
  <c r="BE68" i="1" s="1"/>
  <c r="BE35" i="1"/>
  <c r="BB93" i="1"/>
  <c r="BE93" i="1" s="1"/>
  <c r="BE24" i="1"/>
  <c r="AQ172" i="1"/>
  <c r="BE172" i="1" s="1"/>
  <c r="BE170" i="1"/>
  <c r="BB166" i="1"/>
  <c r="BE166" i="1" s="1"/>
  <c r="AQ165" i="1"/>
  <c r="BE165" i="1" s="1"/>
  <c r="BB162" i="1"/>
  <c r="BE162" i="1" s="1"/>
  <c r="AQ159" i="1"/>
  <c r="BE159" i="1" s="1"/>
  <c r="BB157" i="1"/>
  <c r="BE157" i="1" s="1"/>
  <c r="AQ150" i="1"/>
  <c r="BE150" i="1" s="1"/>
  <c r="BB148" i="1"/>
  <c r="BE148" i="1" s="1"/>
  <c r="BB138" i="1"/>
  <c r="BE138" i="1" s="1"/>
  <c r="BE137" i="1"/>
  <c r="BB121" i="1"/>
  <c r="BE121" i="1" s="1"/>
  <c r="AQ86" i="1"/>
  <c r="BE86" i="1" s="1"/>
  <c r="BE83" i="1"/>
  <c r="BB50" i="1"/>
  <c r="BE50" i="1" s="1"/>
  <c r="BB95" i="1"/>
  <c r="BE95" i="1" s="1"/>
  <c r="AQ49" i="1"/>
  <c r="BE49" i="1" s="1"/>
  <c r="BE43" i="1"/>
  <c r="BE28" i="1"/>
  <c r="BE78" i="1"/>
  <c r="AQ118" i="1" l="1"/>
  <c r="BE118" i="1" s="1"/>
  <c r="AQ53" i="1"/>
  <c r="BE53" i="1" s="1"/>
  <c r="AQ36" i="1"/>
  <c r="BE36" i="1" s="1"/>
  <c r="BB51" i="1"/>
  <c r="BE51" i="1" s="1"/>
  <c r="BB73" i="1"/>
  <c r="BE73" i="1" s="1"/>
  <c r="AQ98" i="1"/>
  <c r="BE98" i="1" s="1"/>
  <c r="AL174" i="1"/>
  <c r="AN175" i="1" s="1"/>
  <c r="AP174" i="1"/>
  <c r="AO174" i="1"/>
  <c r="AW164" i="1"/>
  <c r="AZ164" i="1"/>
  <c r="BA164" i="1"/>
  <c r="AO161" i="1"/>
  <c r="AP161" i="1"/>
  <c r="AL161" i="1"/>
  <c r="AL146" i="1"/>
  <c r="AN147" i="1" s="1"/>
  <c r="AP146" i="1"/>
  <c r="AO146" i="1"/>
  <c r="AQ146" i="1" s="1"/>
  <c r="BE146" i="1" s="1"/>
  <c r="AP142" i="1"/>
  <c r="AO142" i="1"/>
  <c r="AQ142" i="1" s="1"/>
  <c r="BE142" i="1" s="1"/>
  <c r="AL142" i="1"/>
  <c r="AW132" i="1"/>
  <c r="BA132" i="1"/>
  <c r="AZ132" i="1"/>
  <c r="BB132" i="1" s="1"/>
  <c r="BE132" i="1" s="1"/>
  <c r="AL129" i="1"/>
  <c r="AP129" i="1"/>
  <c r="AO129" i="1"/>
  <c r="AW123" i="1"/>
  <c r="BA123" i="1"/>
  <c r="AZ123" i="1"/>
  <c r="BB123" i="1" s="1"/>
  <c r="BE123" i="1" s="1"/>
  <c r="AL119" i="1"/>
  <c r="AN120" i="1" s="1"/>
  <c r="AP119" i="1"/>
  <c r="AO119" i="1"/>
  <c r="AW111" i="1"/>
  <c r="AY112" i="1" s="1"/>
  <c r="BA111" i="1"/>
  <c r="AZ111" i="1"/>
  <c r="BB111" i="1" s="1"/>
  <c r="BE111" i="1" s="1"/>
  <c r="AP107" i="1"/>
  <c r="AO107" i="1"/>
  <c r="AQ107" i="1" s="1"/>
  <c r="BE107" i="1" s="1"/>
  <c r="AL107" i="1"/>
  <c r="AN108" i="1" s="1"/>
  <c r="AP99" i="1"/>
  <c r="AL99" i="1"/>
  <c r="AN100" i="1" s="1"/>
  <c r="AO99" i="1"/>
  <c r="AQ99" i="1" s="1"/>
  <c r="BE99" i="1" s="1"/>
  <c r="AO91" i="1"/>
  <c r="AL91" i="1"/>
  <c r="AN92" i="1" s="1"/>
  <c r="AP91" i="1"/>
  <c r="AL80" i="1"/>
  <c r="AN81" i="1" s="1"/>
  <c r="AP80" i="1"/>
  <c r="AO80" i="1"/>
  <c r="AW74" i="1"/>
  <c r="AY75" i="1" s="1"/>
  <c r="AZ74" i="1"/>
  <c r="BA74" i="1"/>
  <c r="AP70" i="1"/>
  <c r="AL70" i="1"/>
  <c r="AN71" i="1" s="1"/>
  <c r="AO70" i="1"/>
  <c r="AQ70" i="1" s="1"/>
  <c r="BE70" i="1" s="1"/>
  <c r="AZ67" i="1"/>
  <c r="AW67" i="1"/>
  <c r="BA67" i="1"/>
  <c r="AL62" i="1"/>
  <c r="AO62" i="1"/>
  <c r="AP62" i="1"/>
  <c r="BA56" i="1"/>
  <c r="AW56" i="1"/>
  <c r="AY57" i="1" s="1"/>
  <c r="AZ56" i="1"/>
  <c r="BB56" i="1" s="1"/>
  <c r="BE56" i="1" s="1"/>
  <c r="AL37" i="1"/>
  <c r="AN38" i="1" s="1"/>
  <c r="AP37" i="1"/>
  <c r="AO37" i="1"/>
  <c r="AQ37" i="1" s="1"/>
  <c r="BE37" i="1" s="1"/>
  <c r="AW31" i="1"/>
  <c r="BA31" i="1"/>
  <c r="AZ31" i="1"/>
  <c r="AL26" i="1"/>
  <c r="AP26" i="1"/>
  <c r="AO26" i="1"/>
  <c r="AQ26" i="1" s="1"/>
  <c r="BF22" i="1"/>
  <c r="BF23" i="1" s="1"/>
  <c r="BF24" i="1" s="1"/>
  <c r="BF25" i="1" s="1"/>
  <c r="AQ69" i="1"/>
  <c r="BE69" i="1" s="1"/>
  <c r="BB55" i="1"/>
  <c r="BE55" i="1" s="1"/>
  <c r="BB46" i="1"/>
  <c r="BE46" i="1" s="1"/>
  <c r="AQ173" i="1"/>
  <c r="BE173" i="1" s="1"/>
  <c r="BB167" i="1"/>
  <c r="BE167" i="1" s="1"/>
  <c r="BB163" i="1"/>
  <c r="BE163" i="1" s="1"/>
  <c r="AQ160" i="1"/>
  <c r="BE160" i="1" s="1"/>
  <c r="BB158" i="1"/>
  <c r="BE158" i="1" s="1"/>
  <c r="AQ154" i="1"/>
  <c r="BE154" i="1" s="1"/>
  <c r="AQ151" i="1"/>
  <c r="BE151" i="1" s="1"/>
  <c r="BB149" i="1"/>
  <c r="BE149" i="1" s="1"/>
  <c r="AQ141" i="1"/>
  <c r="BE141" i="1" s="1"/>
  <c r="AQ106" i="1"/>
  <c r="BE106" i="1" s="1"/>
  <c r="AQ87" i="1"/>
  <c r="BE87" i="1" s="1"/>
  <c r="BB96" i="1"/>
  <c r="BE96" i="1" s="1"/>
  <c r="AQ90" i="1"/>
  <c r="BE90" i="1" s="1"/>
  <c r="AQ119" i="1" l="1"/>
  <c r="BE119" i="1" s="1"/>
  <c r="AQ174" i="1"/>
  <c r="BE174" i="1" s="1"/>
  <c r="BB31" i="1"/>
  <c r="AQ80" i="1"/>
  <c r="BE80" i="1" s="1"/>
  <c r="AQ129" i="1"/>
  <c r="BE129" i="1" s="1"/>
  <c r="AL175" i="1"/>
  <c r="AN176" i="1" s="1"/>
  <c r="AP175" i="1"/>
  <c r="AO175" i="1"/>
  <c r="AQ175" i="1" s="1"/>
  <c r="BE175" i="1" s="1"/>
  <c r="AO147" i="1"/>
  <c r="AP147" i="1"/>
  <c r="AL147" i="1"/>
  <c r="AL120" i="1"/>
  <c r="AP120" i="1"/>
  <c r="AO120" i="1"/>
  <c r="AQ120" i="1" s="1"/>
  <c r="BE120" i="1" s="1"/>
  <c r="AW112" i="1"/>
  <c r="AY113" i="1" s="1"/>
  <c r="BA112" i="1"/>
  <c r="AZ112" i="1"/>
  <c r="BB112" i="1" s="1"/>
  <c r="BE112" i="1" s="1"/>
  <c r="AL108" i="1"/>
  <c r="AP108" i="1"/>
  <c r="AO108" i="1"/>
  <c r="AQ108" i="1" s="1"/>
  <c r="BE108" i="1" s="1"/>
  <c r="AP100" i="1"/>
  <c r="AL100" i="1"/>
  <c r="AO100" i="1"/>
  <c r="AP92" i="1"/>
  <c r="AO92" i="1"/>
  <c r="AQ92" i="1" s="1"/>
  <c r="BE92" i="1" s="1"/>
  <c r="AL92" i="1"/>
  <c r="AL81" i="1"/>
  <c r="AP81" i="1"/>
  <c r="AO81" i="1"/>
  <c r="AQ81" i="1" s="1"/>
  <c r="BE81" i="1" s="1"/>
  <c r="AW75" i="1"/>
  <c r="AY76" i="1" s="1"/>
  <c r="BA75" i="1"/>
  <c r="AZ75" i="1"/>
  <c r="BB75" i="1" s="1"/>
  <c r="BE75" i="1" s="1"/>
  <c r="AP71" i="1"/>
  <c r="AL71" i="1"/>
  <c r="AO71" i="1"/>
  <c r="AQ71" i="1" s="1"/>
  <c r="BE71" i="1" s="1"/>
  <c r="AZ57" i="1"/>
  <c r="AW57" i="1"/>
  <c r="AY58" i="1" s="1"/>
  <c r="BA57" i="1"/>
  <c r="AL38" i="1"/>
  <c r="AN39" i="1" s="1"/>
  <c r="AP38" i="1"/>
  <c r="AO38" i="1"/>
  <c r="BC31" i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E31" i="1"/>
  <c r="AR26" i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BE26" i="1"/>
  <c r="BB164" i="1"/>
  <c r="BE164" i="1" s="1"/>
  <c r="AQ161" i="1"/>
  <c r="BE161" i="1" s="1"/>
  <c r="AQ91" i="1"/>
  <c r="BE91" i="1" s="1"/>
  <c r="BB74" i="1"/>
  <c r="BE74" i="1" s="1"/>
  <c r="BB67" i="1"/>
  <c r="BE67" i="1" s="1"/>
  <c r="AQ62" i="1"/>
  <c r="BE62" i="1" s="1"/>
  <c r="AQ38" i="1" l="1"/>
  <c r="AQ100" i="1"/>
  <c r="BE100" i="1" s="1"/>
  <c r="AL176" i="1"/>
  <c r="AP176" i="1"/>
  <c r="AO176" i="1"/>
  <c r="AQ176" i="1" s="1"/>
  <c r="BE176" i="1" s="1"/>
  <c r="AW113" i="1"/>
  <c r="BA113" i="1"/>
  <c r="AZ113" i="1"/>
  <c r="BB113" i="1" s="1"/>
  <c r="BE113" i="1" s="1"/>
  <c r="AW76" i="1"/>
  <c r="BA76" i="1"/>
  <c r="AZ76" i="1"/>
  <c r="AZ58" i="1"/>
  <c r="BA58" i="1"/>
  <c r="AW58" i="1"/>
  <c r="AY59" i="1" s="1"/>
  <c r="AL39" i="1"/>
  <c r="AP39" i="1"/>
  <c r="AO39" i="1"/>
  <c r="AQ39" i="1" s="1"/>
  <c r="BF26" i="1"/>
  <c r="BF27" i="1" s="1"/>
  <c r="BF28" i="1" s="1"/>
  <c r="BF29" i="1" s="1"/>
  <c r="BF30" i="1" s="1"/>
  <c r="BF31" i="1" s="1"/>
  <c r="BF32" i="1" s="1"/>
  <c r="BF33" i="1" s="1"/>
  <c r="BF34" i="1" s="1"/>
  <c r="BF35" i="1" s="1"/>
  <c r="BF36" i="1" s="1"/>
  <c r="BF37" i="1" s="1"/>
  <c r="AQ147" i="1"/>
  <c r="BE147" i="1" s="1"/>
  <c r="BB57" i="1"/>
  <c r="BB76" i="1" l="1"/>
  <c r="BE76" i="1" s="1"/>
  <c r="AR38" i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BE38" i="1"/>
  <c r="BF38" i="1" s="1"/>
  <c r="AW59" i="1"/>
  <c r="BA59" i="1"/>
  <c r="AZ59" i="1"/>
  <c r="BB59" i="1" s="1"/>
  <c r="BE59" i="1" s="1"/>
  <c r="AQ14" i="1"/>
  <c r="AQ19" i="1"/>
  <c r="AQ15" i="1"/>
  <c r="BE39" i="1"/>
  <c r="BB14" i="1"/>
  <c r="BC57" i="1"/>
  <c r="BE57" i="1"/>
  <c r="BB58" i="1"/>
  <c r="BF39" i="1" l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AQ16" i="1"/>
  <c r="AI1" i="1" s="1"/>
  <c r="BC58" i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E58" i="1"/>
  <c r="BB19" i="1"/>
  <c r="BB15" i="1"/>
  <c r="BB16" i="1" s="1"/>
  <c r="AT1" i="1" s="1"/>
  <c r="BF58" i="1" l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8" i="1"/>
  <c r="BE14" i="1"/>
  <c r="BE15" i="1"/>
  <c r="BE16" i="1" l="1"/>
</calcChain>
</file>

<file path=xl/sharedStrings.xml><?xml version="1.0" encoding="utf-8"?>
<sst xmlns="http://schemas.openxmlformats.org/spreadsheetml/2006/main" count="74" uniqueCount="53">
  <si>
    <t>date</t>
  </si>
  <si>
    <t>BSCS</t>
  </si>
  <si>
    <t>IBDT</t>
  </si>
  <si>
    <t>BSCS log rtn</t>
  </si>
  <si>
    <t>IBDT log rtn</t>
  </si>
  <si>
    <t>BSCS div</t>
  </si>
  <si>
    <t>BSCS div cumsum</t>
  </si>
  <si>
    <t>IBDT div</t>
  </si>
  <si>
    <t>IBDT div cumsum</t>
  </si>
  <si>
    <t>BSCS div adjustment</t>
  </si>
  <si>
    <t>IBDT div adjustment</t>
  </si>
  <si>
    <t>BSCS*</t>
  </si>
  <si>
    <t>IBDT*</t>
  </si>
  <si>
    <t>IBDT/BSCS</t>
  </si>
  <si>
    <t>IBDT/BSCS avg</t>
  </si>
  <si>
    <t>IBDT/BSCS 10 dma</t>
  </si>
  <si>
    <t>IBDT/BSCS 20 dma</t>
  </si>
  <si>
    <t>BSCS x avg</t>
  </si>
  <si>
    <t>BSCS x 10 dma</t>
  </si>
  <si>
    <t>BSCS x 20 dma</t>
  </si>
  <si>
    <t>log diff BSCS x avg / IBDT</t>
  </si>
  <si>
    <t>log diff BSCS x 10 dma / IBDT</t>
  </si>
  <si>
    <t>log diff BSCS x 20 dma / IBDT</t>
  </si>
  <si>
    <t>IBDT*/BSCS*</t>
  </si>
  <si>
    <t>IBDT*/BSCS* avg</t>
  </si>
  <si>
    <t>IBDT*/BSCS* 10 dma</t>
  </si>
  <si>
    <t>IBDT*/BSCS* 20 dma</t>
  </si>
  <si>
    <t>BSCS* x avg</t>
  </si>
  <si>
    <t>BSCS* x 10 dma</t>
  </si>
  <si>
    <t>BSCS* x 20 dma</t>
  </si>
  <si>
    <t>log diff BSCS* x avg / IBDT*</t>
  </si>
  <si>
    <t>log diff BSCS* x 10 dma / IBDT*</t>
  </si>
  <si>
    <t>log diff BSCS* x 20 dma / IBDT*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</si>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</sst>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* #,##0.0000_);_(* \(#,##0.0000\);_(* &quot;-&quot;??_);_(@_)"/>
    <numFmt numFmtId="166" formatCode="_(&quot;$&quot;* #,##0.0000_);_(&quot;$&quot;* \(#,##0.0000\);_(&quot;$&quot;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165" fontId="16" fillId="0" borderId="0" xfId="1" applyNumberFormat="1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6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5" fontId="18" fillId="0" borderId="0" xfId="1" applyNumberFormat="1" applyFont="1" applyAlignment="1">
      <alignment horizontal="right"/>
    </xf>
    <xf numFmtId="166" fontId="0" fillId="0" borderId="0" xfId="2" applyNumberFormat="1" applyFont="1"/>
    <xf numFmtId="165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IBDT/BSCS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1.2371344131525399</c:v>
                </c:pt>
                <c:pt idx="1">
                  <c:v>1.2371344131525399</c:v>
                </c:pt>
                <c:pt idx="2">
                  <c:v>1.2371344131525399</c:v>
                </c:pt>
                <c:pt idx="3">
                  <c:v>1.2371344131525399</c:v>
                </c:pt>
                <c:pt idx="4">
                  <c:v>1.2371344131525399</c:v>
                </c:pt>
                <c:pt idx="5">
                  <c:v>1.2371344131525399</c:v>
                </c:pt>
                <c:pt idx="6">
                  <c:v>1.2371344131525399</c:v>
                </c:pt>
                <c:pt idx="7">
                  <c:v>1.2371344131525399</c:v>
                </c:pt>
                <c:pt idx="8">
                  <c:v>1.2371344131525399</c:v>
                </c:pt>
                <c:pt idx="9">
                  <c:v>1.2371344131525399</c:v>
                </c:pt>
                <c:pt idx="10">
                  <c:v>1.2371344131525399</c:v>
                </c:pt>
                <c:pt idx="11">
                  <c:v>1.2371344131525399</c:v>
                </c:pt>
                <c:pt idx="12">
                  <c:v>1.2371344131525399</c:v>
                </c:pt>
                <c:pt idx="13">
                  <c:v>1.2371344131525399</c:v>
                </c:pt>
                <c:pt idx="14">
                  <c:v>1.2371344131525399</c:v>
                </c:pt>
                <c:pt idx="15">
                  <c:v>1.2371344131525399</c:v>
                </c:pt>
                <c:pt idx="16">
                  <c:v>1.2371344131525399</c:v>
                </c:pt>
                <c:pt idx="17">
                  <c:v>1.2371344131525399</c:v>
                </c:pt>
                <c:pt idx="18">
                  <c:v>1.2371344131525399</c:v>
                </c:pt>
                <c:pt idx="19">
                  <c:v>1.2371344131525399</c:v>
                </c:pt>
                <c:pt idx="20">
                  <c:v>1.2371344131525399</c:v>
                </c:pt>
                <c:pt idx="21">
                  <c:v>1.2371344131525399</c:v>
                </c:pt>
                <c:pt idx="22">
                  <c:v>1.2371344131525399</c:v>
                </c:pt>
                <c:pt idx="23">
                  <c:v>1.2371344131525399</c:v>
                </c:pt>
                <c:pt idx="24">
                  <c:v>1.2371344131525399</c:v>
                </c:pt>
                <c:pt idx="25">
                  <c:v>1.2371344131525399</c:v>
                </c:pt>
                <c:pt idx="26">
                  <c:v>1.2371344131525399</c:v>
                </c:pt>
                <c:pt idx="27">
                  <c:v>1.2371344131525399</c:v>
                </c:pt>
                <c:pt idx="28">
                  <c:v>1.2371344131525399</c:v>
                </c:pt>
                <c:pt idx="29">
                  <c:v>1.2371344131525399</c:v>
                </c:pt>
                <c:pt idx="30">
                  <c:v>1.2371344131525399</c:v>
                </c:pt>
                <c:pt idx="31">
                  <c:v>1.2371344131525399</c:v>
                </c:pt>
                <c:pt idx="32">
                  <c:v>1.2371344131525399</c:v>
                </c:pt>
                <c:pt idx="33">
                  <c:v>1.2371344131525399</c:v>
                </c:pt>
                <c:pt idx="34">
                  <c:v>1.2371344131525399</c:v>
                </c:pt>
                <c:pt idx="35">
                  <c:v>1.2371344131525399</c:v>
                </c:pt>
                <c:pt idx="36">
                  <c:v>1.2371344131525399</c:v>
                </c:pt>
                <c:pt idx="37">
                  <c:v>1.2371344131525399</c:v>
                </c:pt>
                <c:pt idx="38">
                  <c:v>1.2371344131525399</c:v>
                </c:pt>
                <c:pt idx="39">
                  <c:v>1.2371344131525399</c:v>
                </c:pt>
                <c:pt idx="40">
                  <c:v>1.2371344131525399</c:v>
                </c:pt>
                <c:pt idx="41">
                  <c:v>1.2371344131525399</c:v>
                </c:pt>
                <c:pt idx="42">
                  <c:v>1.2371344131525399</c:v>
                </c:pt>
                <c:pt idx="43">
                  <c:v>1.2371344131525399</c:v>
                </c:pt>
                <c:pt idx="44">
                  <c:v>1.2371344131525399</c:v>
                </c:pt>
                <c:pt idx="45">
                  <c:v>1.2371344131525399</c:v>
                </c:pt>
                <c:pt idx="46">
                  <c:v>1.2371344131525399</c:v>
                </c:pt>
                <c:pt idx="47">
                  <c:v>1.2371344131525399</c:v>
                </c:pt>
                <c:pt idx="48">
                  <c:v>1.2371344131525399</c:v>
                </c:pt>
                <c:pt idx="49">
                  <c:v>1.2371344131525399</c:v>
                </c:pt>
                <c:pt idx="50">
                  <c:v>1.2371344131525399</c:v>
                </c:pt>
                <c:pt idx="51">
                  <c:v>1.2371344131525399</c:v>
                </c:pt>
                <c:pt idx="52">
                  <c:v>1.2371344131525399</c:v>
                </c:pt>
                <c:pt idx="53">
                  <c:v>1.2371344131525399</c:v>
                </c:pt>
                <c:pt idx="54">
                  <c:v>1.2371344131525399</c:v>
                </c:pt>
                <c:pt idx="55">
                  <c:v>1.2371344131525399</c:v>
                </c:pt>
                <c:pt idx="56">
                  <c:v>1.2371344131525399</c:v>
                </c:pt>
                <c:pt idx="57">
                  <c:v>1.2371344131525399</c:v>
                </c:pt>
                <c:pt idx="58">
                  <c:v>1.2371344131525399</c:v>
                </c:pt>
                <c:pt idx="59">
                  <c:v>1.2371344131525399</c:v>
                </c:pt>
                <c:pt idx="60">
                  <c:v>1.2371344131525399</c:v>
                </c:pt>
                <c:pt idx="61">
                  <c:v>1.2371344131525399</c:v>
                </c:pt>
                <c:pt idx="62">
                  <c:v>1.2371344131525399</c:v>
                </c:pt>
                <c:pt idx="63">
                  <c:v>1.2371344131525399</c:v>
                </c:pt>
                <c:pt idx="64">
                  <c:v>1.2371344131525399</c:v>
                </c:pt>
                <c:pt idx="65">
                  <c:v>1.2371344131525399</c:v>
                </c:pt>
                <c:pt idx="66">
                  <c:v>1.2371344131525399</c:v>
                </c:pt>
                <c:pt idx="67">
                  <c:v>1.2371344131525399</c:v>
                </c:pt>
                <c:pt idx="68">
                  <c:v>1.2371344131525399</c:v>
                </c:pt>
                <c:pt idx="69">
                  <c:v>1.2371344131525399</c:v>
                </c:pt>
                <c:pt idx="70">
                  <c:v>1.2371344131525399</c:v>
                </c:pt>
                <c:pt idx="71">
                  <c:v>1.2371344131525399</c:v>
                </c:pt>
                <c:pt idx="72">
                  <c:v>1.2371344131525399</c:v>
                </c:pt>
                <c:pt idx="73">
                  <c:v>1.2371344131525399</c:v>
                </c:pt>
                <c:pt idx="74">
                  <c:v>1.2371344131525399</c:v>
                </c:pt>
                <c:pt idx="75">
                  <c:v>1.2371344131525399</c:v>
                </c:pt>
                <c:pt idx="76">
                  <c:v>1.2371344131525399</c:v>
                </c:pt>
                <c:pt idx="77">
                  <c:v>1.2371344131525399</c:v>
                </c:pt>
                <c:pt idx="78">
                  <c:v>1.2371344131525399</c:v>
                </c:pt>
                <c:pt idx="79">
                  <c:v>1.2371344131525399</c:v>
                </c:pt>
                <c:pt idx="80">
                  <c:v>1.2371344131525399</c:v>
                </c:pt>
                <c:pt idx="81">
                  <c:v>1.2371344131525399</c:v>
                </c:pt>
                <c:pt idx="82">
                  <c:v>1.2371344131525399</c:v>
                </c:pt>
                <c:pt idx="83">
                  <c:v>1.2371344131525399</c:v>
                </c:pt>
                <c:pt idx="84">
                  <c:v>1.2371344131525399</c:v>
                </c:pt>
                <c:pt idx="85">
                  <c:v>1.2371344131525399</c:v>
                </c:pt>
                <c:pt idx="86">
                  <c:v>1.2371344131525399</c:v>
                </c:pt>
                <c:pt idx="87">
                  <c:v>1.2371344131525399</c:v>
                </c:pt>
                <c:pt idx="88">
                  <c:v>1.2371344131525399</c:v>
                </c:pt>
                <c:pt idx="89">
                  <c:v>1.2371344131525399</c:v>
                </c:pt>
                <c:pt idx="90">
                  <c:v>1.2371344131525399</c:v>
                </c:pt>
                <c:pt idx="91">
                  <c:v>1.2371344131525399</c:v>
                </c:pt>
                <c:pt idx="92">
                  <c:v>1.2371344131525399</c:v>
                </c:pt>
                <c:pt idx="93">
                  <c:v>1.2371344131525399</c:v>
                </c:pt>
                <c:pt idx="94">
                  <c:v>1.2371344131525399</c:v>
                </c:pt>
                <c:pt idx="95">
                  <c:v>1.2371344131525399</c:v>
                </c:pt>
                <c:pt idx="96">
                  <c:v>1.2371344131525399</c:v>
                </c:pt>
                <c:pt idx="97">
                  <c:v>1.2371344131525399</c:v>
                </c:pt>
                <c:pt idx="98">
                  <c:v>1.2371344131525399</c:v>
                </c:pt>
                <c:pt idx="99">
                  <c:v>1.2371344131525399</c:v>
                </c:pt>
                <c:pt idx="100">
                  <c:v>1.2371344131525399</c:v>
                </c:pt>
                <c:pt idx="101">
                  <c:v>1.2371344131525399</c:v>
                </c:pt>
                <c:pt idx="102">
                  <c:v>1.2371344131525399</c:v>
                </c:pt>
                <c:pt idx="103">
                  <c:v>1.2371344131525399</c:v>
                </c:pt>
                <c:pt idx="104">
                  <c:v>1.2371344131525399</c:v>
                </c:pt>
                <c:pt idx="105">
                  <c:v>1.2371344131525399</c:v>
                </c:pt>
                <c:pt idx="106">
                  <c:v>1.2371344131525399</c:v>
                </c:pt>
                <c:pt idx="107">
                  <c:v>1.2371344131525399</c:v>
                </c:pt>
                <c:pt idx="108">
                  <c:v>1.2371344131525399</c:v>
                </c:pt>
                <c:pt idx="109">
                  <c:v>1.2371344131525399</c:v>
                </c:pt>
                <c:pt idx="110">
                  <c:v>1.2371344131525399</c:v>
                </c:pt>
                <c:pt idx="111">
                  <c:v>1.2371344131525399</c:v>
                </c:pt>
                <c:pt idx="112">
                  <c:v>1.2371344131525399</c:v>
                </c:pt>
                <c:pt idx="113">
                  <c:v>1.2371344131525399</c:v>
                </c:pt>
                <c:pt idx="114">
                  <c:v>1.2371344131525399</c:v>
                </c:pt>
                <c:pt idx="115">
                  <c:v>1.2371344131525399</c:v>
                </c:pt>
                <c:pt idx="116">
                  <c:v>1.2371344131525399</c:v>
                </c:pt>
                <c:pt idx="117">
                  <c:v>1.2371344131525399</c:v>
                </c:pt>
                <c:pt idx="118">
                  <c:v>1.2371344131525399</c:v>
                </c:pt>
                <c:pt idx="119">
                  <c:v>1.2371344131525399</c:v>
                </c:pt>
                <c:pt idx="120">
                  <c:v>1.2371344131525399</c:v>
                </c:pt>
                <c:pt idx="121">
                  <c:v>1.2371344131525399</c:v>
                </c:pt>
                <c:pt idx="122">
                  <c:v>1.2371344131525399</c:v>
                </c:pt>
                <c:pt idx="123">
                  <c:v>1.2371344131525399</c:v>
                </c:pt>
                <c:pt idx="124">
                  <c:v>1.2371344131525399</c:v>
                </c:pt>
                <c:pt idx="125">
                  <c:v>1.2371344131525399</c:v>
                </c:pt>
                <c:pt idx="126">
                  <c:v>1.2371344131525399</c:v>
                </c:pt>
                <c:pt idx="127">
                  <c:v>1.2371344131525399</c:v>
                </c:pt>
                <c:pt idx="128">
                  <c:v>1.2371344131525399</c:v>
                </c:pt>
                <c:pt idx="129">
                  <c:v>1.2371344131525399</c:v>
                </c:pt>
                <c:pt idx="130">
                  <c:v>1.2371344131525399</c:v>
                </c:pt>
                <c:pt idx="131">
                  <c:v>1.2371344131525399</c:v>
                </c:pt>
                <c:pt idx="132">
                  <c:v>1.2371344131525399</c:v>
                </c:pt>
                <c:pt idx="133">
                  <c:v>1.2371344131525399</c:v>
                </c:pt>
                <c:pt idx="134">
                  <c:v>1.2371344131525399</c:v>
                </c:pt>
                <c:pt idx="135">
                  <c:v>1.2371344131525399</c:v>
                </c:pt>
                <c:pt idx="136">
                  <c:v>1.2371344131525399</c:v>
                </c:pt>
                <c:pt idx="137">
                  <c:v>1.2371344131525399</c:v>
                </c:pt>
                <c:pt idx="138">
                  <c:v>1.2371344131525399</c:v>
                </c:pt>
                <c:pt idx="139">
                  <c:v>1.2371344131525399</c:v>
                </c:pt>
                <c:pt idx="140">
                  <c:v>1.2371344131525399</c:v>
                </c:pt>
                <c:pt idx="141">
                  <c:v>1.2371344131525399</c:v>
                </c:pt>
                <c:pt idx="142">
                  <c:v>1.2371344131525399</c:v>
                </c:pt>
                <c:pt idx="143">
                  <c:v>1.2371344131525399</c:v>
                </c:pt>
                <c:pt idx="144">
                  <c:v>1.2371344131525399</c:v>
                </c:pt>
                <c:pt idx="145">
                  <c:v>1.2371344131525399</c:v>
                </c:pt>
                <c:pt idx="146">
                  <c:v>1.2371344131525399</c:v>
                </c:pt>
                <c:pt idx="147">
                  <c:v>1.2371344131525399</c:v>
                </c:pt>
                <c:pt idx="148">
                  <c:v>1.2371344131525399</c:v>
                </c:pt>
                <c:pt idx="149">
                  <c:v>1.2371344131525399</c:v>
                </c:pt>
                <c:pt idx="150">
                  <c:v>1.2371344131525399</c:v>
                </c:pt>
                <c:pt idx="151">
                  <c:v>1.2371344131525399</c:v>
                </c:pt>
                <c:pt idx="152">
                  <c:v>1.2371344131525399</c:v>
                </c:pt>
                <c:pt idx="153">
                  <c:v>1.2371344131525399</c:v>
                </c:pt>
                <c:pt idx="154">
                  <c:v>1.2371344131525399</c:v>
                </c:pt>
                <c:pt idx="155">
                  <c:v>1.2371344131525399</c:v>
                </c:pt>
                <c:pt idx="156">
                  <c:v>1.2371344131525399</c:v>
                </c:pt>
                <c:pt idx="157">
                  <c:v>1.2371344131525399</c:v>
                </c:pt>
                <c:pt idx="158">
                  <c:v>1.2371344131525399</c:v>
                </c:pt>
                <c:pt idx="159">
                  <c:v>1.2371344131525399</c:v>
                </c:pt>
                <c:pt idx="160">
                  <c:v>1.2371344131525399</c:v>
                </c:pt>
                <c:pt idx="161">
                  <c:v>1.2371344131525399</c:v>
                </c:pt>
                <c:pt idx="162">
                  <c:v>1.2371344131525399</c:v>
                </c:pt>
                <c:pt idx="163">
                  <c:v>1.2371344131525399</c:v>
                </c:pt>
                <c:pt idx="164">
                  <c:v>1.2371344131525399</c:v>
                </c:pt>
                <c:pt idx="165">
                  <c:v>1.2371344131525399</c:v>
                </c:pt>
                <c:pt idx="166">
                  <c:v>1.2371344131525399</c:v>
                </c:pt>
                <c:pt idx="167">
                  <c:v>1.2371344131525399</c:v>
                </c:pt>
                <c:pt idx="168">
                  <c:v>1.2371344131525399</c:v>
                </c:pt>
                <c:pt idx="169">
                  <c:v>1.2371344131525399</c:v>
                </c:pt>
                <c:pt idx="170">
                  <c:v>1.2371344131525399</c:v>
                </c:pt>
                <c:pt idx="171">
                  <c:v>1.2371344131525399</c:v>
                </c:pt>
                <c:pt idx="172">
                  <c:v>1.2371344131525399</c:v>
                </c:pt>
                <c:pt idx="173">
                  <c:v>1.2371344131525399</c:v>
                </c:pt>
                <c:pt idx="174">
                  <c:v>1.2371344131525399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BB-4091-B9FF-4A5F6E3ACE73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IBDT/BSCS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1.23550266146885</c:v>
                </c:pt>
                <c:pt idx="10">
                  <c:v>1.23550266146885</c:v>
                </c:pt>
                <c:pt idx="11">
                  <c:v>1.23594673730024</c:v>
                </c:pt>
                <c:pt idx="12">
                  <c:v>1.23647670555787</c:v>
                </c:pt>
                <c:pt idx="13">
                  <c:v>1.2370432780632501</c:v>
                </c:pt>
                <c:pt idx="14">
                  <c:v>1.2375989071459701</c:v>
                </c:pt>
                <c:pt idx="15">
                  <c:v>1.23813137454032</c:v>
                </c:pt>
                <c:pt idx="16">
                  <c:v>1.23854324006401</c:v>
                </c:pt>
                <c:pt idx="17">
                  <c:v>1.2389177504420801</c:v>
                </c:pt>
                <c:pt idx="18">
                  <c:v>1.2393405588736599</c:v>
                </c:pt>
                <c:pt idx="19">
                  <c:v>1.23971745028574</c:v>
                </c:pt>
                <c:pt idx="20">
                  <c:v>1.23974030824193</c:v>
                </c:pt>
                <c:pt idx="21">
                  <c:v>1.2393419483552099</c:v>
                </c:pt>
                <c:pt idx="22">
                  <c:v>1.2388463210642899</c:v>
                </c:pt>
                <c:pt idx="23">
                  <c:v>1.2383767417693901</c:v>
                </c:pt>
                <c:pt idx="24">
                  <c:v>1.2378353487177001</c:v>
                </c:pt>
                <c:pt idx="25">
                  <c:v>1.23735415592569</c:v>
                </c:pt>
                <c:pt idx="26">
                  <c:v>1.2368366613053099</c:v>
                </c:pt>
                <c:pt idx="27">
                  <c:v>1.2364392902524699</c:v>
                </c:pt>
                <c:pt idx="28">
                  <c:v>1.2360421399085399</c:v>
                </c:pt>
                <c:pt idx="29">
                  <c:v>1.2356336774229899</c:v>
                </c:pt>
                <c:pt idx="30">
                  <c:v>1.2356022709046399</c:v>
                </c:pt>
                <c:pt idx="31">
                  <c:v>1.23555941874787</c:v>
                </c:pt>
                <c:pt idx="32">
                  <c:v>1.23553926274464</c:v>
                </c:pt>
                <c:pt idx="33">
                  <c:v>1.2355420326378701</c:v>
                </c:pt>
                <c:pt idx="34">
                  <c:v>1.2360734710552601</c:v>
                </c:pt>
                <c:pt idx="35">
                  <c:v>1.23651955074051</c:v>
                </c:pt>
                <c:pt idx="36">
                  <c:v>1.2371225577240299</c:v>
                </c:pt>
                <c:pt idx="37">
                  <c:v>1.2377142922365501</c:v>
                </c:pt>
                <c:pt idx="38">
                  <c:v>1.2380766069908</c:v>
                </c:pt>
                <c:pt idx="39">
                  <c:v>1.2380110435329399</c:v>
                </c:pt>
                <c:pt idx="40">
                  <c:v>1.23810248655462</c:v>
                </c:pt>
                <c:pt idx="41">
                  <c:v>1.23821690152217</c:v>
                </c:pt>
                <c:pt idx="42">
                  <c:v>1.2381742224443399</c:v>
                </c:pt>
                <c:pt idx="43">
                  <c:v>1.23813151417033</c:v>
                </c:pt>
                <c:pt idx="44">
                  <c:v>1.23766879114045</c:v>
                </c:pt>
                <c:pt idx="45">
                  <c:v>1.23716862444186</c:v>
                </c:pt>
                <c:pt idx="46">
                  <c:v>1.23671455690553</c:v>
                </c:pt>
                <c:pt idx="47">
                  <c:v>1.2361230593094299</c:v>
                </c:pt>
                <c:pt idx="48">
                  <c:v>1.2357839150788601</c:v>
                </c:pt>
                <c:pt idx="49">
                  <c:v>1.2358843966211599</c:v>
                </c:pt>
                <c:pt idx="50">
                  <c:v>1.2359020487713099</c:v>
                </c:pt>
                <c:pt idx="51">
                  <c:v>1.2357846988716801</c:v>
                </c:pt>
                <c:pt idx="52">
                  <c:v>1.2357904964800199</c:v>
                </c:pt>
                <c:pt idx="53">
                  <c:v>1.23576745102286</c:v>
                </c:pt>
                <c:pt idx="54">
                  <c:v>1.2360858544448601</c:v>
                </c:pt>
                <c:pt idx="55">
                  <c:v>1.2365021088246599</c:v>
                </c:pt>
                <c:pt idx="56">
                  <c:v>1.23686099837816</c:v>
                </c:pt>
                <c:pt idx="57">
                  <c:v>1.2373185841418199</c:v>
                </c:pt>
                <c:pt idx="58">
                  <c:v>1.2378393641337899</c:v>
                </c:pt>
                <c:pt idx="59">
                  <c:v>1.23827550559845</c:v>
                </c:pt>
                <c:pt idx="60">
                  <c:v>1.2386270298581199</c:v>
                </c:pt>
                <c:pt idx="61">
                  <c:v>1.23869900321338</c:v>
                </c:pt>
                <c:pt idx="62">
                  <c:v>1.23867313196999</c:v>
                </c:pt>
                <c:pt idx="63">
                  <c:v>1.2387105737877599</c:v>
                </c:pt>
                <c:pt idx="64">
                  <c:v>1.2382863120229</c:v>
                </c:pt>
                <c:pt idx="65">
                  <c:v>1.2378759084754201</c:v>
                </c:pt>
                <c:pt idx="66">
                  <c:v>1.23746552307719</c:v>
                </c:pt>
                <c:pt idx="67">
                  <c:v>1.23705681316887</c:v>
                </c:pt>
                <c:pt idx="68">
                  <c:v>1.23655033540031</c:v>
                </c:pt>
                <c:pt idx="69">
                  <c:v>1.2360193509344299</c:v>
                </c:pt>
                <c:pt idx="70">
                  <c:v>1.2355472092967099</c:v>
                </c:pt>
                <c:pt idx="71">
                  <c:v>1.23541786817951</c:v>
                </c:pt>
                <c:pt idx="72">
                  <c:v>1.23537492309467</c:v>
                </c:pt>
                <c:pt idx="73">
                  <c:v>1.2357314082244999</c:v>
                </c:pt>
                <c:pt idx="74">
                  <c:v>1.23604811970996</c:v>
                </c:pt>
                <c:pt idx="75">
                  <c:v>1.2364742942017899</c:v>
                </c:pt>
                <c:pt idx="76">
                  <c:v>1.2368631253434801</c:v>
                </c:pt>
                <c:pt idx="77">
                  <c:v>1.2372658671714101</c:v>
                </c:pt>
                <c:pt idx="78">
                  <c:v>1.2377034092151999</c:v>
                </c:pt>
                <c:pt idx="79">
                  <c:v>1.2381266032268701</c:v>
                </c:pt>
                <c:pt idx="80">
                  <c:v>1.2385967523913399</c:v>
                </c:pt>
                <c:pt idx="81">
                  <c:v>1.239080448433</c:v>
                </c:pt>
                <c:pt idx="82">
                  <c:v>1.23904852399497</c:v>
                </c:pt>
                <c:pt idx="83">
                  <c:v>1.2386661141303299</c:v>
                </c:pt>
                <c:pt idx="84">
                  <c:v>1.23839549922968</c:v>
                </c:pt>
                <c:pt idx="85">
                  <c:v>1.2378830451106</c:v>
                </c:pt>
                <c:pt idx="86">
                  <c:v>1.2374425164762399</c:v>
                </c:pt>
                <c:pt idx="87">
                  <c:v>1.2370024186767301</c:v>
                </c:pt>
                <c:pt idx="88">
                  <c:v>1.23652470038325</c:v>
                </c:pt>
                <c:pt idx="89">
                  <c:v>1.23620518582091</c:v>
                </c:pt>
                <c:pt idx="90">
                  <c:v>1.2356572838045501</c:v>
                </c:pt>
                <c:pt idx="91">
                  <c:v>1.2352655110327599</c:v>
                </c:pt>
                <c:pt idx="92">
                  <c:v>1.23528848595963</c:v>
                </c:pt>
                <c:pt idx="93">
                  <c:v>1.23571357208733</c:v>
                </c:pt>
                <c:pt idx="94">
                  <c:v>1.2361624411379299</c:v>
                </c:pt>
                <c:pt idx="95">
                  <c:v>1.2367318564324501</c:v>
                </c:pt>
                <c:pt idx="96">
                  <c:v>1.2372293462422399</c:v>
                </c:pt>
                <c:pt idx="97">
                  <c:v>1.2376517978173001</c:v>
                </c:pt>
                <c:pt idx="98">
                  <c:v>1.2380647889065299</c:v>
                </c:pt>
                <c:pt idx="99">
                  <c:v>1.23844302620963</c:v>
                </c:pt>
                <c:pt idx="100">
                  <c:v>1.2389909282259799</c:v>
                </c:pt>
                <c:pt idx="101">
                  <c:v>1.2393944340260299</c:v>
                </c:pt>
                <c:pt idx="102">
                  <c:v>1.2395155413215699</c:v>
                </c:pt>
                <c:pt idx="103">
                  <c:v>1.2391625668990101</c:v>
                </c:pt>
                <c:pt idx="104">
                  <c:v>1.23868777031431</c:v>
                </c:pt>
                <c:pt idx="105">
                  <c:v>1.2382855111236899</c:v>
                </c:pt>
                <c:pt idx="106">
                  <c:v>1.2377707357818999</c:v>
                </c:pt>
                <c:pt idx="107">
                  <c:v>1.23729357505476</c:v>
                </c:pt>
                <c:pt idx="108">
                  <c:v>1.2368777272870199</c:v>
                </c:pt>
                <c:pt idx="109">
                  <c:v>1.2363264795617299</c:v>
                </c:pt>
                <c:pt idx="110">
                  <c:v>1.23580152998638</c:v>
                </c:pt>
                <c:pt idx="111">
                  <c:v>1.2354095652632</c:v>
                </c:pt>
                <c:pt idx="112">
                  <c:v>1.23531443066684</c:v>
                </c:pt>
                <c:pt idx="113">
                  <c:v>1.23521929607047</c:v>
                </c:pt>
                <c:pt idx="114">
                  <c:v>1.23524240942486</c:v>
                </c:pt>
                <c:pt idx="115">
                  <c:v>1.2351443221271601</c:v>
                </c:pt>
                <c:pt idx="116">
                  <c:v>1.2356453721581599</c:v>
                </c:pt>
                <c:pt idx="117">
                  <c:v>1.23619535978858</c:v>
                </c:pt>
                <c:pt idx="118">
                  <c:v>1.23664654206844</c:v>
                </c:pt>
                <c:pt idx="119">
                  <c:v>1.2371840218996899</c:v>
                </c:pt>
                <c:pt idx="120">
                  <c:v>1.23768342640315</c:v>
                </c:pt>
                <c:pt idx="121">
                  <c:v>1.2381224384384599</c:v>
                </c:pt>
                <c:pt idx="122">
                  <c:v>1.2385843771537199</c:v>
                </c:pt>
                <c:pt idx="123">
                  <c:v>1.23862760019254</c:v>
                </c:pt>
                <c:pt idx="124">
                  <c:v>1.2386044868381501</c:v>
                </c:pt>
                <c:pt idx="125">
                  <c:v>1.2386044868381501</c:v>
                </c:pt>
                <c:pt idx="126">
                  <c:v>1.23815255272071</c:v>
                </c:pt>
                <c:pt idx="127">
                  <c:v>1.2376141146841</c:v>
                </c:pt>
                <c:pt idx="128">
                  <c:v>1.2370763479839499</c:v>
                </c:pt>
                <c:pt idx="129">
                  <c:v>1.2366225265969299</c:v>
                </c:pt>
                <c:pt idx="130">
                  <c:v>1.2362761553214101</c:v>
                </c:pt>
                <c:pt idx="131">
                  <c:v>1.23578523730471</c:v>
                </c:pt>
                <c:pt idx="132">
                  <c:v>1.23536938953697</c:v>
                </c:pt>
                <c:pt idx="133">
                  <c:v>1.23537225744567</c:v>
                </c:pt>
                <c:pt idx="134">
                  <c:v>1.2354213010945201</c:v>
                </c:pt>
                <c:pt idx="135">
                  <c:v>1.23587049743099</c:v>
                </c:pt>
                <c:pt idx="136">
                  <c:v>1.2362850067073601</c:v>
                </c:pt>
                <c:pt idx="137">
                  <c:v>1.2367722908201499</c:v>
                </c:pt>
                <c:pt idx="138">
                  <c:v>1.2373673065097099</c:v>
                </c:pt>
                <c:pt idx="139">
                  <c:v>1.2378545906225</c:v>
                </c:pt>
                <c:pt idx="140">
                  <c:v>1.23820865972492</c:v>
                </c:pt>
                <c:pt idx="141">
                  <c:v>1.2387330955924001</c:v>
                </c:pt>
                <c:pt idx="142">
                  <c:v>1.2392078921771099</c:v>
                </c:pt>
                <c:pt idx="143">
                  <c:v>1.2397319013602399</c:v>
                </c:pt>
                <c:pt idx="144">
                  <c:v>1.2401576542960999</c:v>
                </c:pt>
                <c:pt idx="145">
                  <c:v>1.23961883394648</c:v>
                </c:pt>
                <c:pt idx="146">
                  <c:v>1.23910609284299</c:v>
                </c:pt>
                <c:pt idx="147">
                  <c:v>1.23866792464376</c:v>
                </c:pt>
                <c:pt idx="148">
                  <c:v>1.2382173619867001</c:v>
                </c:pt>
                <c:pt idx="149">
                  <c:v>1.2377185282801</c:v>
                </c:pt>
                <c:pt idx="150">
                  <c:v>1.23732966974555</c:v>
                </c:pt>
                <c:pt idx="151">
                  <c:v>1.23686589938544</c:v>
                </c:pt>
                <c:pt idx="152">
                  <c:v>1.2363535860938799</c:v>
                </c:pt>
                <c:pt idx="153">
                  <c:v>1.23587862055959</c:v>
                </c:pt>
                <c:pt idx="154">
                  <c:v>1.2354038239748899</c:v>
                </c:pt>
                <c:pt idx="155">
                  <c:v>1.2354934479880499</c:v>
                </c:pt>
                <c:pt idx="156">
                  <c:v>1.23566667918856</c:v>
                </c:pt>
                <c:pt idx="157">
                  <c:v>1.23568103577732</c:v>
                </c:pt>
                <c:pt idx="158">
                  <c:v>1.23567221081395</c:v>
                </c:pt>
                <c:pt idx="159">
                  <c:v>1.23569818926123</c:v>
                </c:pt>
                <c:pt idx="160">
                  <c:v>1.23613829878585</c:v>
                </c:pt>
                <c:pt idx="161">
                  <c:v>1.2365547940056201</c:v>
                </c:pt>
                <c:pt idx="162">
                  <c:v>1.2371163198955999</c:v>
                </c:pt>
                <c:pt idx="163">
                  <c:v>1.23746929431816</c:v>
                </c:pt>
                <c:pt idx="164">
                  <c:v>1.2379184906546199</c:v>
                </c:pt>
                <c:pt idx="165">
                  <c:v>1.2384169480748299</c:v>
                </c:pt>
                <c:pt idx="166">
                  <c:v>1.2382870202537299</c:v>
                </c:pt>
                <c:pt idx="167">
                  <c:v>1.2383656642113501</c:v>
                </c:pt>
                <c:pt idx="168">
                  <c:v>1.2383224671452699</c:v>
                </c:pt>
                <c:pt idx="169">
                  <c:v>1.23837757481178</c:v>
                </c:pt>
                <c:pt idx="170">
                  <c:v>1.23795788589358</c:v>
                </c:pt>
                <c:pt idx="171">
                  <c:v>1.23756181128024</c:v>
                </c:pt>
                <c:pt idx="172">
                  <c:v>1.23710178892192</c:v>
                </c:pt>
                <c:pt idx="173">
                  <c:v>1.23673766270576</c:v>
                </c:pt>
                <c:pt idx="174">
                  <c:v>1.2363757897618499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BB-4091-B9FF-4A5F6E3ACE73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IBDT/BSCS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1.23761005587729</c:v>
                </c:pt>
                <c:pt idx="20">
                  <c:v>1.2376214848553899</c:v>
                </c:pt>
                <c:pt idx="21">
                  <c:v>1.2376443428277299</c:v>
                </c:pt>
                <c:pt idx="22">
                  <c:v>1.23766151331108</c:v>
                </c:pt>
                <c:pt idx="23">
                  <c:v>1.2377100099163201</c:v>
                </c:pt>
                <c:pt idx="24">
                  <c:v>1.23771712793184</c:v>
                </c:pt>
                <c:pt idx="25">
                  <c:v>1.237742765233</c:v>
                </c:pt>
                <c:pt idx="26">
                  <c:v>1.2376899506846599</c:v>
                </c:pt>
                <c:pt idx="27">
                  <c:v>1.23767852034728</c:v>
                </c:pt>
                <c:pt idx="28">
                  <c:v>1.2376913493910999</c:v>
                </c:pt>
                <c:pt idx="29">
                  <c:v>1.2376755638543699</c:v>
                </c:pt>
                <c:pt idx="30">
                  <c:v>1.23767128957328</c:v>
                </c:pt>
                <c:pt idx="31">
                  <c:v>1.23745068355154</c:v>
                </c:pt>
                <c:pt idx="32">
                  <c:v>1.2371927919044601</c:v>
                </c:pt>
                <c:pt idx="33">
                  <c:v>1.23695938720363</c:v>
                </c:pt>
                <c:pt idx="34">
                  <c:v>1.23695440988648</c:v>
                </c:pt>
                <c:pt idx="35">
                  <c:v>1.2369368533331</c:v>
                </c:pt>
                <c:pt idx="36">
                  <c:v>1.2369796095146699</c:v>
                </c:pt>
                <c:pt idx="37">
                  <c:v>1.23707679124451</c:v>
                </c:pt>
                <c:pt idx="38">
                  <c:v>1.23705937344967</c:v>
                </c:pt>
                <c:pt idx="39">
                  <c:v>1.23682236047797</c:v>
                </c:pt>
                <c:pt idx="40">
                  <c:v>1.2368523787296299</c:v>
                </c:pt>
                <c:pt idx="41">
                  <c:v>1.2368881601350199</c:v>
                </c:pt>
                <c:pt idx="42">
                  <c:v>1.2368567425944901</c:v>
                </c:pt>
                <c:pt idx="43">
                  <c:v>1.2368367734040999</c:v>
                </c:pt>
                <c:pt idx="44">
                  <c:v>1.23687113109785</c:v>
                </c:pt>
                <c:pt idx="45">
                  <c:v>1.2368440875911799</c:v>
                </c:pt>
                <c:pt idx="46">
                  <c:v>1.2369185573147801</c:v>
                </c:pt>
                <c:pt idx="47">
                  <c:v>1.23691867577299</c:v>
                </c:pt>
                <c:pt idx="48">
                  <c:v>1.2369302610348301</c:v>
                </c:pt>
                <c:pt idx="49">
                  <c:v>1.23694772007705</c:v>
                </c:pt>
                <c:pt idx="50">
                  <c:v>1.2370022676629699</c:v>
                </c:pt>
                <c:pt idx="51">
                  <c:v>1.2370008001969299</c:v>
                </c:pt>
                <c:pt idx="52">
                  <c:v>1.23698235946218</c:v>
                </c:pt>
                <c:pt idx="53">
                  <c:v>1.2369494825965901</c:v>
                </c:pt>
                <c:pt idx="54">
                  <c:v>1.2368773227926499</c:v>
                </c:pt>
                <c:pt idx="55">
                  <c:v>1.2368353666332601</c:v>
                </c:pt>
                <c:pt idx="56">
                  <c:v>1.2367877776418501</c:v>
                </c:pt>
                <c:pt idx="57">
                  <c:v>1.23672082172562</c:v>
                </c:pt>
                <c:pt idx="58">
                  <c:v>1.23681163960632</c:v>
                </c:pt>
                <c:pt idx="59">
                  <c:v>1.2370799511098101</c:v>
                </c:pt>
                <c:pt idx="60">
                  <c:v>1.2372645393147099</c:v>
                </c:pt>
                <c:pt idx="61">
                  <c:v>1.23724185104253</c:v>
                </c:pt>
                <c:pt idx="62">
                  <c:v>1.2372318142250101</c:v>
                </c:pt>
                <c:pt idx="63">
                  <c:v>1.2372390124053101</c:v>
                </c:pt>
                <c:pt idx="64">
                  <c:v>1.2371860832338799</c:v>
                </c:pt>
                <c:pt idx="65">
                  <c:v>1.2371890086500399</c:v>
                </c:pt>
                <c:pt idx="66">
                  <c:v>1.2371632607276799</c:v>
                </c:pt>
                <c:pt idx="67">
                  <c:v>1.2371876986553401</c:v>
                </c:pt>
                <c:pt idx="68">
                  <c:v>1.23719484976705</c:v>
                </c:pt>
                <c:pt idx="69">
                  <c:v>1.2371474282664401</c:v>
                </c:pt>
                <c:pt idx="70">
                  <c:v>1.23708711957741</c:v>
                </c:pt>
                <c:pt idx="71">
                  <c:v>1.23705843569644</c:v>
                </c:pt>
                <c:pt idx="72">
                  <c:v>1.2370240275323301</c:v>
                </c:pt>
                <c:pt idx="73">
                  <c:v>1.23722099100613</c:v>
                </c:pt>
                <c:pt idx="74">
                  <c:v>1.23716721586643</c:v>
                </c:pt>
                <c:pt idx="75">
                  <c:v>1.2371751013386001</c:v>
                </c:pt>
                <c:pt idx="76">
                  <c:v>1.2371643242103301</c:v>
                </c:pt>
                <c:pt idx="77">
                  <c:v>1.23716134017014</c:v>
                </c:pt>
                <c:pt idx="78">
                  <c:v>1.23712687230775</c:v>
                </c:pt>
                <c:pt idx="79">
                  <c:v>1.2370729770806499</c:v>
                </c:pt>
                <c:pt idx="80">
                  <c:v>1.23707198084402</c:v>
                </c:pt>
                <c:pt idx="81">
                  <c:v>1.2372491583062499</c:v>
                </c:pt>
                <c:pt idx="82">
                  <c:v>1.2372117235448199</c:v>
                </c:pt>
                <c:pt idx="83">
                  <c:v>1.23719876117742</c:v>
                </c:pt>
                <c:pt idx="84">
                  <c:v>1.23722180946982</c:v>
                </c:pt>
                <c:pt idx="85">
                  <c:v>1.2371786696561899</c:v>
                </c:pt>
                <c:pt idx="86">
                  <c:v>1.2371528209098599</c:v>
                </c:pt>
                <c:pt idx="87">
                  <c:v>1.2371341429240701</c:v>
                </c:pt>
                <c:pt idx="88">
                  <c:v>1.2371140547992201</c:v>
                </c:pt>
                <c:pt idx="89">
                  <c:v>1.2371658945238899</c:v>
                </c:pt>
                <c:pt idx="90">
                  <c:v>1.2371270180979399</c:v>
                </c:pt>
                <c:pt idx="91">
                  <c:v>1.2371729797328801</c:v>
                </c:pt>
                <c:pt idx="92">
                  <c:v>1.2371685049773</c:v>
                </c:pt>
                <c:pt idx="93">
                  <c:v>1.23718984310883</c:v>
                </c:pt>
                <c:pt idx="94">
                  <c:v>1.2372789701838001</c:v>
                </c:pt>
                <c:pt idx="95">
                  <c:v>1.23730745077152</c:v>
                </c:pt>
                <c:pt idx="96">
                  <c:v>1.23733593135924</c:v>
                </c:pt>
                <c:pt idx="97">
                  <c:v>1.2373271082470101</c:v>
                </c:pt>
                <c:pt idx="98">
                  <c:v>1.2372947446448901</c:v>
                </c:pt>
                <c:pt idx="99">
                  <c:v>1.23732410601527</c:v>
                </c:pt>
                <c:pt idx="100">
                  <c:v>1.23732410601527</c:v>
                </c:pt>
                <c:pt idx="101">
                  <c:v>1.2373299725294</c:v>
                </c:pt>
                <c:pt idx="102">
                  <c:v>1.2374020136406001</c:v>
                </c:pt>
                <c:pt idx="103">
                  <c:v>1.2374380694931699</c:v>
                </c:pt>
                <c:pt idx="104">
                  <c:v>1.2374251057261201</c:v>
                </c:pt>
                <c:pt idx="105">
                  <c:v>1.23750868377807</c:v>
                </c:pt>
                <c:pt idx="106">
                  <c:v>1.23750004101207</c:v>
                </c:pt>
                <c:pt idx="107">
                  <c:v>1.2374726864360299</c:v>
                </c:pt>
                <c:pt idx="108">
                  <c:v>1.2374712580967699</c:v>
                </c:pt>
                <c:pt idx="109">
                  <c:v>1.2373847528856801</c:v>
                </c:pt>
                <c:pt idx="110">
                  <c:v>1.23739622910618</c:v>
                </c:pt>
                <c:pt idx="111">
                  <c:v>1.2374019996446199</c:v>
                </c:pt>
                <c:pt idx="112">
                  <c:v>1.2374149859942001</c:v>
                </c:pt>
                <c:pt idx="113">
                  <c:v>1.23719093148474</c:v>
                </c:pt>
                <c:pt idx="114">
                  <c:v>1.2369650898695801</c:v>
                </c:pt>
                <c:pt idx="115">
                  <c:v>1.2367149166254201</c:v>
                </c:pt>
                <c:pt idx="116">
                  <c:v>1.2367080539700299</c:v>
                </c:pt>
                <c:pt idx="117">
                  <c:v>1.2367444674216701</c:v>
                </c:pt>
                <c:pt idx="118">
                  <c:v>1.23676213467773</c:v>
                </c:pt>
                <c:pt idx="119">
                  <c:v>1.23675525073071</c:v>
                </c:pt>
                <c:pt idx="120">
                  <c:v>1.23674247819477</c:v>
                </c:pt>
                <c:pt idx="121">
                  <c:v>1.23676600185083</c:v>
                </c:pt>
                <c:pt idx="122">
                  <c:v>1.23694940391028</c:v>
                </c:pt>
                <c:pt idx="123">
                  <c:v>1.2369234481314999</c:v>
                </c:pt>
                <c:pt idx="124">
                  <c:v>1.2369234481314999</c:v>
                </c:pt>
                <c:pt idx="125">
                  <c:v>1.2368744044826601</c:v>
                </c:pt>
                <c:pt idx="126">
                  <c:v>1.23689896243943</c:v>
                </c:pt>
                <c:pt idx="127">
                  <c:v>1.23690473723634</c:v>
                </c:pt>
                <c:pt idx="128">
                  <c:v>1.2368614450261901</c:v>
                </c:pt>
                <c:pt idx="129">
                  <c:v>1.2369032742483099</c:v>
                </c:pt>
                <c:pt idx="130">
                  <c:v>1.2369797908622799</c:v>
                </c:pt>
                <c:pt idx="131">
                  <c:v>1.2369538378715901</c:v>
                </c:pt>
                <c:pt idx="132">
                  <c:v>1.2369768833453501</c:v>
                </c:pt>
                <c:pt idx="133">
                  <c:v>1.23699992881911</c:v>
                </c:pt>
                <c:pt idx="134">
                  <c:v>1.2370128939663401</c:v>
                </c:pt>
                <c:pt idx="135">
                  <c:v>1.2372374921345699</c:v>
                </c:pt>
                <c:pt idx="136">
                  <c:v>1.2372187797140299</c:v>
                </c:pt>
                <c:pt idx="137">
                  <c:v>1.23719320275213</c:v>
                </c:pt>
                <c:pt idx="138">
                  <c:v>1.2372218272468301</c:v>
                </c:pt>
                <c:pt idx="139">
                  <c:v>1.2372385586097201</c:v>
                </c:pt>
                <c:pt idx="140">
                  <c:v>1.2372424075231601</c:v>
                </c:pt>
                <c:pt idx="141">
                  <c:v>1.2372591664485599</c:v>
                </c:pt>
                <c:pt idx="142">
                  <c:v>1.23728864085704</c:v>
                </c:pt>
                <c:pt idx="143">
                  <c:v>1.23755207940296</c:v>
                </c:pt>
                <c:pt idx="144">
                  <c:v>1.23778947769531</c:v>
                </c:pt>
                <c:pt idx="145">
                  <c:v>1.2377446656887301</c:v>
                </c:pt>
                <c:pt idx="146">
                  <c:v>1.23769554977518</c:v>
                </c:pt>
                <c:pt idx="147">
                  <c:v>1.23772010773196</c:v>
                </c:pt>
                <c:pt idx="148">
                  <c:v>1.23779233424821</c:v>
                </c:pt>
                <c:pt idx="149">
                  <c:v>1.2377865594513</c:v>
                </c:pt>
                <c:pt idx="150">
                  <c:v>1.23776916473524</c:v>
                </c:pt>
                <c:pt idx="151">
                  <c:v>1.2377994974889199</c:v>
                </c:pt>
                <c:pt idx="152">
                  <c:v>1.2377807391355</c:v>
                </c:pt>
                <c:pt idx="153">
                  <c:v>1.2378052609599199</c:v>
                </c:pt>
                <c:pt idx="154">
                  <c:v>1.2377807391355</c:v>
                </c:pt>
                <c:pt idx="155">
                  <c:v>1.23755614096726</c:v>
                </c:pt>
                <c:pt idx="156">
                  <c:v>1.2373863860157801</c:v>
                </c:pt>
                <c:pt idx="157">
                  <c:v>1.23717448021054</c:v>
                </c:pt>
                <c:pt idx="158">
                  <c:v>1.23694478640033</c:v>
                </c:pt>
                <c:pt idx="159">
                  <c:v>1.23670835877067</c:v>
                </c:pt>
                <c:pt idx="160">
                  <c:v>1.2367339842656999</c:v>
                </c:pt>
                <c:pt idx="161">
                  <c:v>1.23671034669553</c:v>
                </c:pt>
                <c:pt idx="162">
                  <c:v>1.23673495299474</c:v>
                </c:pt>
                <c:pt idx="163">
                  <c:v>1.2366739574388801</c:v>
                </c:pt>
                <c:pt idx="164">
                  <c:v>1.2366611573147499</c:v>
                </c:pt>
                <c:pt idx="165">
                  <c:v>1.2369551980314399</c:v>
                </c:pt>
                <c:pt idx="166">
                  <c:v>1.23697684972114</c:v>
                </c:pt>
                <c:pt idx="167">
                  <c:v>1.2370233499943299</c:v>
                </c:pt>
                <c:pt idx="168">
                  <c:v>1.2369973389796101</c:v>
                </c:pt>
                <c:pt idx="169">
                  <c:v>1.23703788203651</c:v>
                </c:pt>
                <c:pt idx="170">
                  <c:v>1.23704809233972</c:v>
                </c:pt>
                <c:pt idx="171">
                  <c:v>1.23705830264293</c:v>
                </c:pt>
                <c:pt idx="172">
                  <c:v>1.23710905440876</c:v>
                </c:pt>
                <c:pt idx="173">
                  <c:v>1.2371034785119599</c:v>
                </c:pt>
                <c:pt idx="174">
                  <c:v>1.2371471402082399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BB-4091-B9FF-4A5F6E3AC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BSCS* x 10 dma / IBDT*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1.45702380690385E-4</c:v>
                </c:pt>
                <c:pt idx="11">
                  <c:v>2.7699477791069303E-4</c:v>
                </c:pt>
                <c:pt idx="12">
                  <c:v>-8.1215952695356305E-4</c:v>
                </c:pt>
                <c:pt idx="13">
                  <c:v>-2.6177284072075502E-4</c:v>
                </c:pt>
                <c:pt idx="14">
                  <c:v>-6.5136506716179305E-4</c:v>
                </c:pt>
                <c:pt idx="15">
                  <c:v>-4.7245796360962202E-4</c:v>
                </c:pt>
                <c:pt idx="16">
                  <c:v>1.7233546126199599E-4</c:v>
                </c:pt>
                <c:pt idx="17">
                  <c:v>6.2721061216547403E-4</c:v>
                </c:pt>
                <c:pt idx="18">
                  <c:v>6.6004829366683899E-4</c:v>
                </c:pt>
                <c:pt idx="19">
                  <c:v>3.40476512893816E-4</c:v>
                </c:pt>
                <c:pt idx="20">
                  <c:v>5.4097049536139297E-5</c:v>
                </c:pt>
                <c:pt idx="21">
                  <c:v>-1.4566400194726E-5</c:v>
                </c:pt>
                <c:pt idx="22">
                  <c:v>-2.6780676574755802E-4</c:v>
                </c:pt>
                <c:pt idx="23">
                  <c:v>-2.34771978753548E-5</c:v>
                </c:pt>
                <c:pt idx="24">
                  <c:v>5.6891618532355801E-5</c:v>
                </c:pt>
                <c:pt idx="25">
                  <c:v>-4.0342153108595402E-4</c:v>
                </c:pt>
                <c:pt idx="26">
                  <c:v>4.4909985836431398E-4</c:v>
                </c:pt>
                <c:pt idx="27">
                  <c:v>-8.4545211173387897E-5</c:v>
                </c:pt>
                <c:pt idx="28">
                  <c:v>5.3441914206455599E-5</c:v>
                </c:pt>
                <c:pt idx="29">
                  <c:v>-1.07089883378466E-4</c:v>
                </c:pt>
                <c:pt idx="30">
                  <c:v>3.1986759044605901E-4</c:v>
                </c:pt>
                <c:pt idx="31">
                  <c:v>2.9452528370888198E-4</c:v>
                </c:pt>
                <c:pt idx="32">
                  <c:v>-2.2245146186229399E-4</c:v>
                </c:pt>
                <c:pt idx="33">
                  <c:v>-1.46660960280617E-4</c:v>
                </c:pt>
                <c:pt idx="34">
                  <c:v>-7.9831535745572199E-4</c:v>
                </c:pt>
                <c:pt idx="35">
                  <c:v>-4.2357217378522199E-4</c:v>
                </c:pt>
                <c:pt idx="36">
                  <c:v>-8.0580253304792199E-4</c:v>
                </c:pt>
                <c:pt idx="37">
                  <c:v>-1.06148884968357E-3</c:v>
                </c:pt>
                <c:pt idx="38">
                  <c:v>9.9158687753188291E-4</c:v>
                </c:pt>
                <c:pt idx="39">
                  <c:v>5.4002321817783999E-4</c:v>
                </c:pt>
                <c:pt idx="40">
                  <c:v>-3.7246933409692097E-4</c:v>
                </c:pt>
                <c:pt idx="41">
                  <c:v>-4.7068187343918299E-4</c:v>
                </c:pt>
                <c:pt idx="42">
                  <c:v>4.1555688055631599E-4</c:v>
                </c:pt>
                <c:pt idx="43">
                  <c:v>4.8613340114294002E-4</c:v>
                </c:pt>
                <c:pt idx="44">
                  <c:v>-3.1639105135781699E-4</c:v>
                </c:pt>
                <c:pt idx="45">
                  <c:v>2.7170787026942498E-4</c:v>
                </c:pt>
                <c:pt idx="46">
                  <c:v>-5.2780834890259502E-4</c:v>
                </c:pt>
                <c:pt idx="47">
                  <c:v>1.8365644724749699E-4</c:v>
                </c:pt>
                <c:pt idx="48">
                  <c:v>-2.0931994850008698E-5</c:v>
                </c:pt>
                <c:pt idx="49">
                  <c:v>-2.3078003601031101E-4</c:v>
                </c:pt>
                <c:pt idx="50">
                  <c:v>-3.5675281839515698E-4</c:v>
                </c:pt>
                <c:pt idx="51">
                  <c:v>5.57174829033794E-4</c:v>
                </c:pt>
                <c:pt idx="52">
                  <c:v>2.5529354352463402E-4</c:v>
                </c:pt>
                <c:pt idx="53">
                  <c:v>5.8333742037937201E-4</c:v>
                </c:pt>
                <c:pt idx="54">
                  <c:v>5.7898644880603105E-4</c:v>
                </c:pt>
                <c:pt idx="55">
                  <c:v>2.96015293834172E-4</c:v>
                </c:pt>
                <c:pt idx="56">
                  <c:v>-2.4160488434059798E-5</c:v>
                </c:pt>
                <c:pt idx="57">
                  <c:v>-1.6058346988636501E-4</c:v>
                </c:pt>
                <c:pt idx="58">
                  <c:v>-7.4910800521177997E-4</c:v>
                </c:pt>
                <c:pt idx="59">
                  <c:v>-3.1387729075718098E-4</c:v>
                </c:pt>
                <c:pt idx="60">
                  <c:v>1.45256774982269E-4</c:v>
                </c:pt>
                <c:pt idx="61">
                  <c:v>-4.5347265281709499E-4</c:v>
                </c:pt>
                <c:pt idx="62">
                  <c:v>1.95099236340642E-4</c:v>
                </c:pt>
                <c:pt idx="63">
                  <c:v>4.1459849421008499E-6</c:v>
                </c:pt>
                <c:pt idx="64">
                  <c:v>2.3331192155920399E-4</c:v>
                </c:pt>
                <c:pt idx="65">
                  <c:v>-3.8352936616807402E-5</c:v>
                </c:pt>
                <c:pt idx="66">
                  <c:v>-2.98233483625919E-4</c:v>
                </c:pt>
                <c:pt idx="67">
                  <c:v>-3.5199501196764402E-4</c:v>
                </c:pt>
                <c:pt idx="68">
                  <c:v>-1.26344577873718E-4</c:v>
                </c:pt>
                <c:pt idx="69">
                  <c:v>4.1091877552360299E-4</c:v>
                </c:pt>
                <c:pt idx="70">
                  <c:v>3.5284953956577902E-4</c:v>
                </c:pt>
                <c:pt idx="71">
                  <c:v>7.3176151485414005E-4</c:v>
                </c:pt>
                <c:pt idx="72">
                  <c:v>5.1305488047134003E-4</c:v>
                </c:pt>
                <c:pt idx="73">
                  <c:v>6.3516081761535201E-4</c:v>
                </c:pt>
                <c:pt idx="74">
                  <c:v>1.07266464605068E-3</c:v>
                </c:pt>
                <c:pt idx="75">
                  <c:v>-2.00182265665813E-4</c:v>
                </c:pt>
                <c:pt idx="76">
                  <c:v>-2.13680796785352E-4</c:v>
                </c:pt>
                <c:pt idx="77">
                  <c:v>-4.6316037267489399E-4</c:v>
                </c:pt>
                <c:pt idx="78">
                  <c:v>-5.8729379866289799E-4</c:v>
                </c:pt>
                <c:pt idx="79">
                  <c:v>9.7145717718108895E-5</c:v>
                </c:pt>
                <c:pt idx="80">
                  <c:v>-2.8689017119491402E-4</c:v>
                </c:pt>
                <c:pt idx="81">
                  <c:v>1.0649032952050299E-5</c:v>
                </c:pt>
                <c:pt idx="82">
                  <c:v>3.8346582212881001E-4</c:v>
                </c:pt>
                <c:pt idx="83">
                  <c:v>-2.0424880314119699E-4</c:v>
                </c:pt>
                <c:pt idx="84">
                  <c:v>-5.3486278137639999E-4</c:v>
                </c:pt>
                <c:pt idx="85">
                  <c:v>3.7370875035766901E-4</c:v>
                </c:pt>
                <c:pt idx="86">
                  <c:v>-2.4378162548337E-4</c:v>
                </c:pt>
                <c:pt idx="87">
                  <c:v>-4.3547397633847401E-4</c:v>
                </c:pt>
                <c:pt idx="88">
                  <c:v>-2.1532742517262399E-4</c:v>
                </c:pt>
                <c:pt idx="89">
                  <c:v>-8.0599799822679205E-4</c:v>
                </c:pt>
                <c:pt idx="90">
                  <c:v>7.5282407306006399E-4</c:v>
                </c:pt>
                <c:pt idx="91">
                  <c:v>-2.8309601612703302E-4</c:v>
                </c:pt>
                <c:pt idx="92">
                  <c:v>4.5970423640137798E-4</c:v>
                </c:pt>
                <c:pt idx="93">
                  <c:v>3.7979116664597798E-4</c:v>
                </c:pt>
                <c:pt idx="94">
                  <c:v>-2.2473848199138901E-4</c:v>
                </c:pt>
                <c:pt idx="95">
                  <c:v>-4.4173561040362799E-4</c:v>
                </c:pt>
                <c:pt idx="96">
                  <c:v>-3.56067226228313E-4</c:v>
                </c:pt>
                <c:pt idx="97">
                  <c:v>6.2825184701326007E-5</c:v>
                </c:pt>
                <c:pt idx="98">
                  <c:v>3.07508746946717E-4</c:v>
                </c:pt>
                <c:pt idx="99">
                  <c:v>-2.9083677017156599E-5</c:v>
                </c:pt>
                <c:pt idx="100">
                  <c:v>-3.2890844580393402E-6</c:v>
                </c:pt>
                <c:pt idx="101">
                  <c:v>2.4981683973249299E-4</c:v>
                </c:pt>
                <c:pt idx="102">
                  <c:v>-4.8577377140573698E-4</c:v>
                </c:pt>
                <c:pt idx="103">
                  <c:v>-3.9320185270057799E-4</c:v>
                </c:pt>
                <c:pt idx="104">
                  <c:v>7.9225259816944599E-5</c:v>
                </c:pt>
                <c:pt idx="105">
                  <c:v>-7.1374617829916603E-4</c:v>
                </c:pt>
                <c:pt idx="106">
                  <c:v>2.23130596272667E-4</c:v>
                </c:pt>
                <c:pt idx="107">
                  <c:v>2.6935354584188998E-4</c:v>
                </c:pt>
                <c:pt idx="108">
                  <c:v>4.7365892152459898E-5</c:v>
                </c:pt>
                <c:pt idx="109">
                  <c:v>8.59495171742511E-4</c:v>
                </c:pt>
                <c:pt idx="110">
                  <c:v>6.6908484465771196E-4</c:v>
                </c:pt>
                <c:pt idx="111">
                  <c:v>-2.5621459369365001E-4</c:v>
                </c:pt>
                <c:pt idx="112">
                  <c:v>3.6720525426180601E-4</c:v>
                </c:pt>
                <c:pt idx="113">
                  <c:v>2.9151633987008099E-4</c:v>
                </c:pt>
                <c:pt idx="114">
                  <c:v>-3.35406715137093E-4</c:v>
                </c:pt>
                <c:pt idx="115">
                  <c:v>-1.3293304080179601E-4</c:v>
                </c:pt>
                <c:pt idx="116">
                  <c:v>-4.3829377086770498E-4</c:v>
                </c:pt>
                <c:pt idx="117">
                  <c:v>-7.0165180427773802E-4</c:v>
                </c:pt>
                <c:pt idx="118">
                  <c:v>-5.5194949735595297E-5</c:v>
                </c:pt>
                <c:pt idx="119">
                  <c:v>3.1742620943974497E-5</c:v>
                </c:pt>
                <c:pt idx="120">
                  <c:v>2.7900224274277302E-4</c:v>
                </c:pt>
                <c:pt idx="121">
                  <c:v>-7.5656604900974602E-5</c:v>
                </c:pt>
                <c:pt idx="122">
                  <c:v>2.99079582633148E-4</c:v>
                </c:pt>
                <c:pt idx="123">
                  <c:v>6.9413968761151303E-5</c:v>
                </c:pt>
                <c:pt idx="124">
                  <c:v>7.5122625761296096E-5</c:v>
                </c:pt>
                <c:pt idx="125">
                  <c:v>4.9969661201171901E-5</c:v>
                </c:pt>
                <c:pt idx="126">
                  <c:v>-2.31912359608177E-4</c:v>
                </c:pt>
                <c:pt idx="127">
                  <c:v>1.5502544138753E-4</c:v>
                </c:pt>
                <c:pt idx="128">
                  <c:v>6.5635582987105595E-4</c:v>
                </c:pt>
                <c:pt idx="129">
                  <c:v>1.3939171662285499E-5</c:v>
                </c:pt>
                <c:pt idx="130">
                  <c:v>-6.5492714665488997E-4</c:v>
                </c:pt>
                <c:pt idx="131">
                  <c:v>1.82202743096571E-4</c:v>
                </c:pt>
                <c:pt idx="132">
                  <c:v>-5.7021468217282899E-5</c:v>
                </c:pt>
                <c:pt idx="133">
                  <c:v>-3.1415690520935099E-5</c:v>
                </c:pt>
                <c:pt idx="134">
                  <c:v>-4.1751556282091301E-4</c:v>
                </c:pt>
                <c:pt idx="135">
                  <c:v>9.3368879668797499E-5</c:v>
                </c:pt>
                <c:pt idx="136">
                  <c:v>8.4995180687222205E-5</c:v>
                </c:pt>
                <c:pt idx="137">
                  <c:v>-1.34303762673176E-4</c:v>
                </c:pt>
                <c:pt idx="138">
                  <c:v>-3.8866922091733799E-4</c:v>
                </c:pt>
                <c:pt idx="139">
                  <c:v>-6.8694618159563096E-6</c:v>
                </c:pt>
                <c:pt idx="140">
                  <c:v>4.0353243886650202E-4</c:v>
                </c:pt>
                <c:pt idx="141">
                  <c:v>-2.7477137843677702E-4</c:v>
                </c:pt>
                <c:pt idx="142">
                  <c:v>-4.0353366260484403E-5</c:v>
                </c:pt>
                <c:pt idx="143">
                  <c:v>-4.1636048124776701E-4</c:v>
                </c:pt>
                <c:pt idx="144">
                  <c:v>2.2763778150893899E-5</c:v>
                </c:pt>
                <c:pt idx="145">
                  <c:v>8.3410993591408395E-4</c:v>
                </c:pt>
                <c:pt idx="146">
                  <c:v>5.65299892727939E-4</c:v>
                </c:pt>
                <c:pt idx="147">
                  <c:v>-2.52573365556622E-4</c:v>
                </c:pt>
                <c:pt idx="148">
                  <c:v>-4.1927037730739601E-4</c:v>
                </c:pt>
                <c:pt idx="149">
                  <c:v>2.4988697890723403E-4</c:v>
                </c:pt>
                <c:pt idx="150">
                  <c:v>-2.6035337075870299E-4</c:v>
                </c:pt>
                <c:pt idx="151">
                  <c:v>-2.04999989492702E-4</c:v>
                </c:pt>
                <c:pt idx="152">
                  <c:v>3.6096692053122102E-4</c:v>
                </c:pt>
                <c:pt idx="153">
                  <c:v>-3.6457677444892299E-4</c:v>
                </c:pt>
                <c:pt idx="154">
                  <c:v>9.05446059386267E-6</c:v>
                </c:pt>
                <c:pt idx="155">
                  <c:v>-4.0905182491951899E-6</c:v>
                </c:pt>
                <c:pt idx="156">
                  <c:v>-7.9871793412462303E-4</c:v>
                </c:pt>
                <c:pt idx="157">
                  <c:v>-1.83729031326967E-4</c:v>
                </c:pt>
                <c:pt idx="158">
                  <c:v>-1.7245005010511501E-4</c:v>
                </c:pt>
                <c:pt idx="159">
                  <c:v>2.0741714858128001E-4</c:v>
                </c:pt>
                <c:pt idx="160">
                  <c:v>1.5082354526294801E-4</c:v>
                </c:pt>
                <c:pt idx="161">
                  <c:v>3.1347835977312298E-4</c:v>
                </c:pt>
                <c:pt idx="162">
                  <c:v>-2.9357911821578702E-4</c:v>
                </c:pt>
                <c:pt idx="163">
                  <c:v>7.3810810796299999E-4</c:v>
                </c:pt>
                <c:pt idx="164">
                  <c:v>2.8580873082707998E-4</c:v>
                </c:pt>
                <c:pt idx="165">
                  <c:v>-1.14141492413948E-4</c:v>
                </c:pt>
                <c:pt idx="166">
                  <c:v>3.7454391876871299E-4</c:v>
                </c:pt>
                <c:pt idx="167">
                  <c:v>-8.9466975545471805E-4</c:v>
                </c:pt>
                <c:pt idx="168">
                  <c:v>1.20166497641378E-4</c:v>
                </c:pt>
                <c:pt idx="169">
                  <c:v>-3.0550008732997501E-4</c:v>
                </c:pt>
                <c:pt idx="170">
                  <c:v>-2.66597828744542E-4</c:v>
                </c:pt>
                <c:pt idx="171">
                  <c:v>-2.3540168748308201E-4</c:v>
                </c:pt>
                <c:pt idx="172">
                  <c:v>-2.56398021042346E-4</c:v>
                </c:pt>
                <c:pt idx="173">
                  <c:v>-5.2067880895613101E-5</c:v>
                </c:pt>
                <c:pt idx="174">
                  <c:v>-3.6579771273589603E-4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CF-486F-8761-116725B958A8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BSCS* x 20 dma / IBDT*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-1.83882145029226E-5</c:v>
                </c:pt>
                <c:pt idx="21">
                  <c:v>-9.8877613821869495E-5</c:v>
                </c:pt>
                <c:pt idx="22">
                  <c:v>-3.77064344153697E-4</c:v>
                </c:pt>
                <c:pt idx="23">
                  <c:v>-8.3734636618434301E-5</c:v>
                </c:pt>
                <c:pt idx="24">
                  <c:v>5.02132670107245E-5</c:v>
                </c:pt>
                <c:pt idx="25">
                  <c:v>-3.3225824781026898E-4</c:v>
                </c:pt>
                <c:pt idx="26">
                  <c:v>5.6465466458250398E-4</c:v>
                </c:pt>
                <c:pt idx="27">
                  <c:v>4.1701856908027703E-5</c:v>
                </c:pt>
                <c:pt idx="28">
                  <c:v>1.27087579351125E-4</c:v>
                </c:pt>
                <c:pt idx="29">
                  <c:v>-6.6395961487713506E-5</c:v>
                </c:pt>
                <c:pt idx="30">
                  <c:v>3.1371674094331198E-4</c:v>
                </c:pt>
                <c:pt idx="31">
                  <c:v>3.1287261379823702E-4</c:v>
                </c:pt>
                <c:pt idx="32">
                  <c:v>-1.6381103628962599E-4</c:v>
                </c:pt>
                <c:pt idx="33">
                  <c:v>-9.6185375116831099E-5</c:v>
                </c:pt>
                <c:pt idx="34">
                  <c:v>-7.5484138407730795E-4</c:v>
                </c:pt>
                <c:pt idx="35">
                  <c:v>-4.53282490075833E-4</c:v>
                </c:pt>
                <c:pt idx="36">
                  <c:v>-8.5006582039564703E-4</c:v>
                </c:pt>
                <c:pt idx="37">
                  <c:v>-1.19830852383646E-3</c:v>
                </c:pt>
                <c:pt idx="38">
                  <c:v>8.1517997001476596E-4</c:v>
                </c:pt>
                <c:pt idx="39">
                  <c:v>4.1581286879433898E-4</c:v>
                </c:pt>
                <c:pt idx="40">
                  <c:v>-4.5844896218953798E-4</c:v>
                </c:pt>
                <c:pt idx="41">
                  <c:v>-6.1253702230305298E-4</c:v>
                </c:pt>
                <c:pt idx="42">
                  <c:v>2.0398524796525001E-4</c:v>
                </c:pt>
                <c:pt idx="43">
                  <c:v>2.77164869802665E-4</c:v>
                </c:pt>
                <c:pt idx="44">
                  <c:v>-5.1351335292738399E-4</c:v>
                </c:pt>
                <c:pt idx="45">
                  <c:v>1.1738916869671201E-4</c:v>
                </c:pt>
                <c:pt idx="46">
                  <c:v>-6.5882045749689395E-4</c:v>
                </c:pt>
                <c:pt idx="47">
                  <c:v>1.20611856959575E-4</c:v>
                </c:pt>
                <c:pt idx="48">
                  <c:v>3.45532020106705E-5</c:v>
                </c:pt>
                <c:pt idx="49">
                  <c:v>-2.49597788041422E-4</c:v>
                </c:pt>
                <c:pt idx="50">
                  <c:v>-4.3590838357830799E-4</c:v>
                </c:pt>
                <c:pt idx="51">
                  <c:v>5.1409576369311103E-4</c:v>
                </c:pt>
                <c:pt idx="52">
                  <c:v>3.1173944336998998E-4</c:v>
                </c:pt>
                <c:pt idx="53">
                  <c:v>6.2667677525411302E-4</c:v>
                </c:pt>
                <c:pt idx="54">
                  <c:v>6.2077861863832004E-4</c:v>
                </c:pt>
                <c:pt idx="55">
                  <c:v>3.8237270031174199E-4</c:v>
                </c:pt>
                <c:pt idx="56">
                  <c:v>5.2715235414712402E-5</c:v>
                </c:pt>
                <c:pt idx="57">
                  <c:v>-5.1620480970137399E-5</c:v>
                </c:pt>
                <c:pt idx="58">
                  <c:v>-7.02443507509388E-4</c:v>
                </c:pt>
                <c:pt idx="59">
                  <c:v>-2.53911064211961E-4</c:v>
                </c:pt>
                <c:pt idx="60">
                  <c:v>2.4748193697170901E-4</c:v>
                </c:pt>
                <c:pt idx="61">
                  <c:v>-3.08779150820202E-4</c:v>
                </c:pt>
                <c:pt idx="62">
                  <c:v>2.5663505658715701E-4</c:v>
                </c:pt>
                <c:pt idx="63">
                  <c:v>7.1193402085981204E-5</c:v>
                </c:pt>
                <c:pt idx="64">
                  <c:v>2.6891859951253298E-4</c:v>
                </c:pt>
                <c:pt idx="65">
                  <c:v>-6.5410397538538599E-5</c:v>
                </c:pt>
                <c:pt idx="66">
                  <c:v>-3.5455940419286001E-4</c:v>
                </c:pt>
                <c:pt idx="67">
                  <c:v>-4.6053703422009601E-4</c:v>
                </c:pt>
                <c:pt idx="68">
                  <c:v>-2.4899607200895899E-4</c:v>
                </c:pt>
                <c:pt idx="69">
                  <c:v>3.3889608315776099E-4</c:v>
                </c:pt>
                <c:pt idx="70">
                  <c:v>3.0801768078059802E-4</c:v>
                </c:pt>
                <c:pt idx="71">
                  <c:v>6.5749499392121996E-4</c:v>
                </c:pt>
                <c:pt idx="72">
                  <c:v>5.26678220588862E-4</c:v>
                </c:pt>
                <c:pt idx="73">
                  <c:v>6.6289580624719297E-4</c:v>
                </c:pt>
                <c:pt idx="74">
                  <c:v>1.1569676804628901E-3</c:v>
                </c:pt>
                <c:pt idx="75">
                  <c:v>-5.1782453800778198E-5</c:v>
                </c:pt>
                <c:pt idx="76">
                  <c:v>-3.9106704192788297E-5</c:v>
                </c:pt>
                <c:pt idx="77">
                  <c:v>-2.4754689345121001E-4</c:v>
                </c:pt>
                <c:pt idx="78">
                  <c:v>-3.3523284385483001E-4</c:v>
                </c:pt>
                <c:pt idx="79">
                  <c:v>3.3248080068758098E-4</c:v>
                </c:pt>
                <c:pt idx="80">
                  <c:v>-7.2752466827798596E-5</c:v>
                </c:pt>
                <c:pt idx="81">
                  <c:v>2.0831138082325E-4</c:v>
                </c:pt>
                <c:pt idx="82">
                  <c:v>5.1300236992042603E-4</c:v>
                </c:pt>
                <c:pt idx="83">
                  <c:v>-8.5496781480890195E-5</c:v>
                </c:pt>
                <c:pt idx="84">
                  <c:v>-4.8052386374629498E-4</c:v>
                </c:pt>
                <c:pt idx="85">
                  <c:v>3.0275629513410699E-4</c:v>
                </c:pt>
                <c:pt idx="86">
                  <c:v>-2.9988817570398901E-4</c:v>
                </c:pt>
                <c:pt idx="87">
                  <c:v>-5.2038885466595302E-4</c:v>
                </c:pt>
                <c:pt idx="88">
                  <c:v>-3.2336112788786402E-4</c:v>
                </c:pt>
                <c:pt idx="89">
                  <c:v>-9.0839235850890805E-4</c:v>
                </c:pt>
                <c:pt idx="90">
                  <c:v>5.8718814615953802E-4</c:v>
                </c:pt>
                <c:pt idx="91">
                  <c:v>-4.0275330639560301E-4</c:v>
                </c:pt>
                <c:pt idx="92">
                  <c:v>3.2968306135762899E-4</c:v>
                </c:pt>
                <c:pt idx="93">
                  <c:v>2.34114918861427E-4</c:v>
                </c:pt>
                <c:pt idx="94">
                  <c:v>-3.2569796616619599E-4</c:v>
                </c:pt>
                <c:pt idx="95">
                  <c:v>-4.6236774127001801E-4</c:v>
                </c:pt>
                <c:pt idx="96">
                  <c:v>-4.4112625800810801E-4</c:v>
                </c:pt>
                <c:pt idx="97">
                  <c:v>-2.9239574736580599E-5</c:v>
                </c:pt>
                <c:pt idx="98">
                  <c:v>2.3826200112387101E-4</c:v>
                </c:pt>
                <c:pt idx="99">
                  <c:v>-8.6912812891431506E-5</c:v>
                </c:pt>
                <c:pt idx="100">
                  <c:v>2.73642442837827E-5</c:v>
                </c:pt>
                <c:pt idx="101">
                  <c:v>2.10335378562441E-4</c:v>
                </c:pt>
                <c:pt idx="102">
                  <c:v>-4.7590511895373899E-4</c:v>
                </c:pt>
                <c:pt idx="103">
                  <c:v>-4.2043294822706299E-4</c:v>
                </c:pt>
                <c:pt idx="104">
                  <c:v>-4.0030914404322698E-6</c:v>
                </c:pt>
                <c:pt idx="105">
                  <c:v>-7.9551096425892404E-4</c:v>
                </c:pt>
                <c:pt idx="106">
                  <c:v>1.6241083254230499E-4</c:v>
                </c:pt>
                <c:pt idx="107">
                  <c:v>2.4564398549320601E-4</c:v>
                </c:pt>
                <c:pt idx="108">
                  <c:v>1.59007473938713E-5</c:v>
                </c:pt>
                <c:pt idx="109">
                  <c:v>7.9266664611982098E-4</c:v>
                </c:pt>
                <c:pt idx="110">
                  <c:v>6.0690949433994603E-4</c:v>
                </c:pt>
                <c:pt idx="111">
                  <c:v>-2.5627376754794101E-4</c:v>
                </c:pt>
                <c:pt idx="112">
                  <c:v>3.1914289149278803E-4</c:v>
                </c:pt>
                <c:pt idx="113">
                  <c:v>3.2758388900927402E-4</c:v>
                </c:pt>
                <c:pt idx="114">
                  <c:v>-2.20115611316914E-4</c:v>
                </c:pt>
                <c:pt idx="115">
                  <c:v>-3.3723950600760802E-5</c:v>
                </c:pt>
                <c:pt idx="116">
                  <c:v>-2.7830617640370699E-4</c:v>
                </c:pt>
                <c:pt idx="117">
                  <c:v>-5.81636206497596E-4</c:v>
                </c:pt>
                <c:pt idx="118">
                  <c:v>2.0301928935579E-5</c:v>
                </c:pt>
                <c:pt idx="119">
                  <c:v>1.2581270482661799E-4</c:v>
                </c:pt>
                <c:pt idx="120">
                  <c:v>3.0337029992439502E-4</c:v>
                </c:pt>
                <c:pt idx="121">
                  <c:v>-9.5738928442116805E-5</c:v>
                </c:pt>
                <c:pt idx="122">
                  <c:v>3.1132478087136603E-4</c:v>
                </c:pt>
                <c:pt idx="123">
                  <c:v>4.1633954221572403E-5</c:v>
                </c:pt>
                <c:pt idx="124">
                  <c:v>-4.3820109052552303E-6</c:v>
                </c:pt>
                <c:pt idx="125">
                  <c:v>-7.75467952679568E-6</c:v>
                </c:pt>
                <c:pt idx="126">
                  <c:v>-3.25244478256678E-4</c:v>
                </c:pt>
                <c:pt idx="127">
                  <c:v>7.9755477970588697E-5</c:v>
                </c:pt>
                <c:pt idx="128">
                  <c:v>6.5295824291262505E-4</c:v>
                </c:pt>
                <c:pt idx="129">
                  <c:v>4.3348763985548299E-5</c:v>
                </c:pt>
                <c:pt idx="130">
                  <c:v>-5.91496414962221E-4</c:v>
                </c:pt>
                <c:pt idx="131">
                  <c:v>2.2232954308345899E-4</c:v>
                </c:pt>
                <c:pt idx="132">
                  <c:v>-7.0093123464734402E-6</c:v>
                </c:pt>
                <c:pt idx="133">
                  <c:v>7.9741681918971605E-6</c:v>
                </c:pt>
                <c:pt idx="134">
                  <c:v>-3.6534763993847398E-4</c:v>
                </c:pt>
                <c:pt idx="135">
                  <c:v>1.13539949674328E-4</c:v>
                </c:pt>
                <c:pt idx="136">
                  <c:v>1.05980625938197E-4</c:v>
                </c:pt>
                <c:pt idx="137">
                  <c:v>-9.6357563598492595E-5</c:v>
                </c:pt>
                <c:pt idx="138">
                  <c:v>-3.9671062554370601E-4</c:v>
                </c:pt>
                <c:pt idx="139">
                  <c:v>-1.03179629691166E-4</c:v>
                </c:pt>
                <c:pt idx="140">
                  <c:v>2.9450208306907401E-4</c:v>
                </c:pt>
                <c:pt idx="141">
                  <c:v>-3.01423391928778E-4</c:v>
                </c:pt>
                <c:pt idx="142">
                  <c:v>-1.09422773133591E-4</c:v>
                </c:pt>
                <c:pt idx="143">
                  <c:v>-4.7870105487540099E-4</c:v>
                </c:pt>
                <c:pt idx="144">
                  <c:v>-6.3957340999653195E-5</c:v>
                </c:pt>
                <c:pt idx="145">
                  <c:v>7.80148858972775E-4</c:v>
                </c:pt>
                <c:pt idx="146">
                  <c:v>5.3877628600881996E-4</c:v>
                </c:pt>
                <c:pt idx="147">
                  <c:v>-2.7568718874631599E-4</c:v>
                </c:pt>
                <c:pt idx="148">
                  <c:v>-4.3993838377432798E-4</c:v>
                </c:pt>
                <c:pt idx="149">
                  <c:v>2.7866598475315802E-4</c:v>
                </c:pt>
                <c:pt idx="150">
                  <c:v>-2.0518805361747599E-4</c:v>
                </c:pt>
                <c:pt idx="151">
                  <c:v>-2.1953459524106999E-4</c:v>
                </c:pt>
                <c:pt idx="152">
                  <c:v>3.7398164810941001E-4</c:v>
                </c:pt>
                <c:pt idx="153">
                  <c:v>-3.24122911686992E-4</c:v>
                </c:pt>
                <c:pt idx="154">
                  <c:v>8.16324909051871E-5</c:v>
                </c:pt>
                <c:pt idx="155">
                  <c:v>6.1716399541950797E-5</c:v>
                </c:pt>
                <c:pt idx="156">
                  <c:v>-7.9985457058159403E-4</c:v>
                </c:pt>
                <c:pt idx="157">
                  <c:v>-2.7453511834780499E-4</c:v>
                </c:pt>
                <c:pt idx="158">
                  <c:v>-2.6066963675919002E-4</c:v>
                </c:pt>
                <c:pt idx="159">
                  <c:v>1.2631461673852601E-4</c:v>
                </c:pt>
                <c:pt idx="160">
                  <c:v>4.3778183982044497E-5</c:v>
                </c:pt>
                <c:pt idx="161">
                  <c:v>2.4395969432635601E-4</c:v>
                </c:pt>
                <c:pt idx="162">
                  <c:v>-3.4616455727037897E-4</c:v>
                </c:pt>
                <c:pt idx="163">
                  <c:v>6.2618149740220196E-4</c:v>
                </c:pt>
                <c:pt idx="164">
                  <c:v>2.1117101262683099E-4</c:v>
                </c:pt>
                <c:pt idx="165">
                  <c:v>-1.8897939658652399E-4</c:v>
                </c:pt>
                <c:pt idx="166">
                  <c:v>3.2203431219825402E-4</c:v>
                </c:pt>
                <c:pt idx="167">
                  <c:v>-8.2543718118535702E-4</c:v>
                </c:pt>
                <c:pt idx="168">
                  <c:v>1.66396615166223E-4</c:v>
                </c:pt>
                <c:pt idx="169">
                  <c:v>-2.4353303349138299E-4</c:v>
                </c:pt>
                <c:pt idx="170">
                  <c:v>-2.1385163366800699E-4</c:v>
                </c:pt>
                <c:pt idx="171">
                  <c:v>-2.0810790015789201E-4</c:v>
                </c:pt>
                <c:pt idx="172">
                  <c:v>-2.7278805335413198E-4</c:v>
                </c:pt>
                <c:pt idx="173">
                  <c:v>-3.02564494141231E-5</c:v>
                </c:pt>
                <c:pt idx="174">
                  <c:v>-4.2522881814071901E-4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CF-486F-8761-116725B95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IBDT*/BSCS*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1.2358474847357901</c:v>
                </c:pt>
                <c:pt idx="1">
                  <c:v>1.2358474847357901</c:v>
                </c:pt>
                <c:pt idx="2">
                  <c:v>1.2358474847357901</c:v>
                </c:pt>
                <c:pt idx="3">
                  <c:v>1.2358474847357901</c:v>
                </c:pt>
                <c:pt idx="4">
                  <c:v>1.2358474847357901</c:v>
                </c:pt>
                <c:pt idx="5">
                  <c:v>1.2358474847357901</c:v>
                </c:pt>
                <c:pt idx="6">
                  <c:v>1.2358474847357901</c:v>
                </c:pt>
                <c:pt idx="7">
                  <c:v>1.2358474847357901</c:v>
                </c:pt>
                <c:pt idx="8">
                  <c:v>1.2358474847357901</c:v>
                </c:pt>
                <c:pt idx="9">
                  <c:v>1.2358474847357901</c:v>
                </c:pt>
                <c:pt idx="10">
                  <c:v>1.2358474847357901</c:v>
                </c:pt>
                <c:pt idx="11">
                  <c:v>1.2358474847357901</c:v>
                </c:pt>
                <c:pt idx="12">
                  <c:v>1.2358474847357901</c:v>
                </c:pt>
                <c:pt idx="13">
                  <c:v>1.2358474847357901</c:v>
                </c:pt>
                <c:pt idx="14">
                  <c:v>1.2358474847357901</c:v>
                </c:pt>
                <c:pt idx="15">
                  <c:v>1.2358474847357901</c:v>
                </c:pt>
                <c:pt idx="16">
                  <c:v>1.2358474847357901</c:v>
                </c:pt>
                <c:pt idx="17">
                  <c:v>1.2358474847357901</c:v>
                </c:pt>
                <c:pt idx="18">
                  <c:v>1.2358474847357901</c:v>
                </c:pt>
                <c:pt idx="19">
                  <c:v>1.2358474847357901</c:v>
                </c:pt>
                <c:pt idx="20">
                  <c:v>1.2358474847357901</c:v>
                </c:pt>
                <c:pt idx="21">
                  <c:v>1.2358474847357901</c:v>
                </c:pt>
                <c:pt idx="22">
                  <c:v>1.2358474847357901</c:v>
                </c:pt>
                <c:pt idx="23">
                  <c:v>1.2358474847357901</c:v>
                </c:pt>
                <c:pt idx="24">
                  <c:v>1.2358474847357901</c:v>
                </c:pt>
                <c:pt idx="25">
                  <c:v>1.2358474847357901</c:v>
                </c:pt>
                <c:pt idx="26">
                  <c:v>1.2358474847357901</c:v>
                </c:pt>
                <c:pt idx="27">
                  <c:v>1.2358474847357901</c:v>
                </c:pt>
                <c:pt idx="28">
                  <c:v>1.2358474847357901</c:v>
                </c:pt>
                <c:pt idx="29">
                  <c:v>1.2358474847357901</c:v>
                </c:pt>
                <c:pt idx="30">
                  <c:v>1.2358474847357901</c:v>
                </c:pt>
                <c:pt idx="31">
                  <c:v>1.2358474847357901</c:v>
                </c:pt>
                <c:pt idx="32">
                  <c:v>1.2358474847357901</c:v>
                </c:pt>
                <c:pt idx="33">
                  <c:v>1.2358474847357901</c:v>
                </c:pt>
                <c:pt idx="34">
                  <c:v>1.2358474847357901</c:v>
                </c:pt>
                <c:pt idx="35">
                  <c:v>1.2358474847357901</c:v>
                </c:pt>
                <c:pt idx="36">
                  <c:v>1.2358474847357901</c:v>
                </c:pt>
                <c:pt idx="37">
                  <c:v>1.2358474847357901</c:v>
                </c:pt>
                <c:pt idx="38">
                  <c:v>1.2358474847357901</c:v>
                </c:pt>
                <c:pt idx="39">
                  <c:v>1.2358474847357901</c:v>
                </c:pt>
                <c:pt idx="40">
                  <c:v>1.2358474847357901</c:v>
                </c:pt>
                <c:pt idx="41">
                  <c:v>1.2358474847357901</c:v>
                </c:pt>
                <c:pt idx="42">
                  <c:v>1.2358474847357901</c:v>
                </c:pt>
                <c:pt idx="43">
                  <c:v>1.2358474847357901</c:v>
                </c:pt>
                <c:pt idx="44">
                  <c:v>1.2358474847357901</c:v>
                </c:pt>
                <c:pt idx="45">
                  <c:v>1.2358474847357901</c:v>
                </c:pt>
                <c:pt idx="46">
                  <c:v>1.2358474847357901</c:v>
                </c:pt>
                <c:pt idx="47">
                  <c:v>1.2358474847357901</c:v>
                </c:pt>
                <c:pt idx="48">
                  <c:v>1.2358474847357901</c:v>
                </c:pt>
                <c:pt idx="49">
                  <c:v>1.2358474847357901</c:v>
                </c:pt>
                <c:pt idx="50">
                  <c:v>1.2358474847357901</c:v>
                </c:pt>
                <c:pt idx="51">
                  <c:v>1.2358474847357901</c:v>
                </c:pt>
                <c:pt idx="52">
                  <c:v>1.2358474847357901</c:v>
                </c:pt>
                <c:pt idx="53">
                  <c:v>1.2358474847357901</c:v>
                </c:pt>
                <c:pt idx="54">
                  <c:v>1.2358474847357901</c:v>
                </c:pt>
                <c:pt idx="55">
                  <c:v>1.2358474847357901</c:v>
                </c:pt>
                <c:pt idx="56">
                  <c:v>1.2358474847357901</c:v>
                </c:pt>
                <c:pt idx="57">
                  <c:v>1.2358474847357901</c:v>
                </c:pt>
                <c:pt idx="58">
                  <c:v>1.2358474847357901</c:v>
                </c:pt>
                <c:pt idx="59">
                  <c:v>1.2358474847357901</c:v>
                </c:pt>
                <c:pt idx="60">
                  <c:v>1.2358474847357901</c:v>
                </c:pt>
                <c:pt idx="61">
                  <c:v>1.2358474847357901</c:v>
                </c:pt>
                <c:pt idx="62">
                  <c:v>1.2358474847357901</c:v>
                </c:pt>
                <c:pt idx="63">
                  <c:v>1.2358474847357901</c:v>
                </c:pt>
                <c:pt idx="64">
                  <c:v>1.2358474847357901</c:v>
                </c:pt>
                <c:pt idx="65">
                  <c:v>1.2358474847357901</c:v>
                </c:pt>
                <c:pt idx="66">
                  <c:v>1.2358474847357901</c:v>
                </c:pt>
                <c:pt idx="67">
                  <c:v>1.2358474847357901</c:v>
                </c:pt>
                <c:pt idx="68">
                  <c:v>1.2358474847357901</c:v>
                </c:pt>
                <c:pt idx="69">
                  <c:v>1.2358474847357901</c:v>
                </c:pt>
                <c:pt idx="70">
                  <c:v>1.2358474847357901</c:v>
                </c:pt>
                <c:pt idx="71">
                  <c:v>1.2358474847357901</c:v>
                </c:pt>
                <c:pt idx="72">
                  <c:v>1.2358474847357901</c:v>
                </c:pt>
                <c:pt idx="73">
                  <c:v>1.2358474847357901</c:v>
                </c:pt>
                <c:pt idx="74">
                  <c:v>1.2358474847357901</c:v>
                </c:pt>
                <c:pt idx="75">
                  <c:v>1.2358474847357901</c:v>
                </c:pt>
                <c:pt idx="76">
                  <c:v>1.2358474847357901</c:v>
                </c:pt>
                <c:pt idx="77">
                  <c:v>1.2358474847357901</c:v>
                </c:pt>
                <c:pt idx="78">
                  <c:v>1.2358474847357901</c:v>
                </c:pt>
                <c:pt idx="79">
                  <c:v>1.2358474847357901</c:v>
                </c:pt>
                <c:pt idx="80">
                  <c:v>1.2358474847357901</c:v>
                </c:pt>
                <c:pt idx="81">
                  <c:v>1.2358474847357901</c:v>
                </c:pt>
                <c:pt idx="82">
                  <c:v>1.2358474847357901</c:v>
                </c:pt>
                <c:pt idx="83">
                  <c:v>1.2358474847357901</c:v>
                </c:pt>
                <c:pt idx="84">
                  <c:v>1.2358474847357901</c:v>
                </c:pt>
                <c:pt idx="85">
                  <c:v>1.2358474847357901</c:v>
                </c:pt>
                <c:pt idx="86">
                  <c:v>1.2358474847357901</c:v>
                </c:pt>
                <c:pt idx="87">
                  <c:v>1.2358474847357901</c:v>
                </c:pt>
                <c:pt idx="88">
                  <c:v>1.2358474847357901</c:v>
                </c:pt>
                <c:pt idx="89">
                  <c:v>1.2358474847357901</c:v>
                </c:pt>
                <c:pt idx="90">
                  <c:v>1.2358474847357901</c:v>
                </c:pt>
                <c:pt idx="91">
                  <c:v>1.2358474847357901</c:v>
                </c:pt>
                <c:pt idx="92">
                  <c:v>1.2358474847357901</c:v>
                </c:pt>
                <c:pt idx="93">
                  <c:v>1.2358474847357901</c:v>
                </c:pt>
                <c:pt idx="94">
                  <c:v>1.2358474847357901</c:v>
                </c:pt>
                <c:pt idx="95">
                  <c:v>1.2358474847357901</c:v>
                </c:pt>
                <c:pt idx="96">
                  <c:v>1.2358474847357901</c:v>
                </c:pt>
                <c:pt idx="97">
                  <c:v>1.2358474847357901</c:v>
                </c:pt>
                <c:pt idx="98">
                  <c:v>1.2358474847357901</c:v>
                </c:pt>
                <c:pt idx="99">
                  <c:v>1.2358474847357901</c:v>
                </c:pt>
                <c:pt idx="100">
                  <c:v>1.2358474847357901</c:v>
                </c:pt>
                <c:pt idx="101">
                  <c:v>1.2358474847357901</c:v>
                </c:pt>
                <c:pt idx="102">
                  <c:v>1.2358474847357901</c:v>
                </c:pt>
                <c:pt idx="103">
                  <c:v>1.2358474847357901</c:v>
                </c:pt>
                <c:pt idx="104">
                  <c:v>1.2358474847357901</c:v>
                </c:pt>
                <c:pt idx="105">
                  <c:v>1.2358474847357901</c:v>
                </c:pt>
                <c:pt idx="106">
                  <c:v>1.2358474847357901</c:v>
                </c:pt>
                <c:pt idx="107">
                  <c:v>1.2358474847357901</c:v>
                </c:pt>
                <c:pt idx="108">
                  <c:v>1.2358474847357901</c:v>
                </c:pt>
                <c:pt idx="109">
                  <c:v>1.2358474847357901</c:v>
                </c:pt>
                <c:pt idx="110">
                  <c:v>1.2358474847357901</c:v>
                </c:pt>
                <c:pt idx="111">
                  <c:v>1.2358474847357901</c:v>
                </c:pt>
                <c:pt idx="112">
                  <c:v>1.2358474847357901</c:v>
                </c:pt>
                <c:pt idx="113">
                  <c:v>1.2358474847357901</c:v>
                </c:pt>
                <c:pt idx="114">
                  <c:v>1.2358474847357901</c:v>
                </c:pt>
                <c:pt idx="115">
                  <c:v>1.2358474847357901</c:v>
                </c:pt>
                <c:pt idx="116">
                  <c:v>1.2358474847357901</c:v>
                </c:pt>
                <c:pt idx="117">
                  <c:v>1.2358474847357901</c:v>
                </c:pt>
                <c:pt idx="118">
                  <c:v>1.2358474847357901</c:v>
                </c:pt>
                <c:pt idx="119">
                  <c:v>1.2358474847357901</c:v>
                </c:pt>
                <c:pt idx="120">
                  <c:v>1.2358474847357901</c:v>
                </c:pt>
                <c:pt idx="121">
                  <c:v>1.2358474847357901</c:v>
                </c:pt>
                <c:pt idx="122">
                  <c:v>1.2358474847357901</c:v>
                </c:pt>
                <c:pt idx="123">
                  <c:v>1.2358474847357901</c:v>
                </c:pt>
                <c:pt idx="124">
                  <c:v>1.2358474847357901</c:v>
                </c:pt>
                <c:pt idx="125">
                  <c:v>1.2358474847357901</c:v>
                </c:pt>
                <c:pt idx="126">
                  <c:v>1.2358474847357901</c:v>
                </c:pt>
                <c:pt idx="127">
                  <c:v>1.2358474847357901</c:v>
                </c:pt>
                <c:pt idx="128">
                  <c:v>1.2358474847357901</c:v>
                </c:pt>
                <c:pt idx="129">
                  <c:v>1.2358474847357901</c:v>
                </c:pt>
                <c:pt idx="130">
                  <c:v>1.2358474847357901</c:v>
                </c:pt>
                <c:pt idx="131">
                  <c:v>1.2358474847357901</c:v>
                </c:pt>
                <c:pt idx="132">
                  <c:v>1.2358474847357901</c:v>
                </c:pt>
                <c:pt idx="133">
                  <c:v>1.2358474847357901</c:v>
                </c:pt>
                <c:pt idx="134">
                  <c:v>1.2358474847357901</c:v>
                </c:pt>
                <c:pt idx="135">
                  <c:v>1.2358474847357901</c:v>
                </c:pt>
                <c:pt idx="136">
                  <c:v>1.2358474847357901</c:v>
                </c:pt>
                <c:pt idx="137">
                  <c:v>1.2358474847357901</c:v>
                </c:pt>
                <c:pt idx="138">
                  <c:v>1.2358474847357901</c:v>
                </c:pt>
                <c:pt idx="139">
                  <c:v>1.2358474847357901</c:v>
                </c:pt>
                <c:pt idx="140">
                  <c:v>1.2358474847357901</c:v>
                </c:pt>
                <c:pt idx="141">
                  <c:v>1.2358474847357901</c:v>
                </c:pt>
                <c:pt idx="142">
                  <c:v>1.2358474847357901</c:v>
                </c:pt>
                <c:pt idx="143">
                  <c:v>1.2358474847357901</c:v>
                </c:pt>
                <c:pt idx="144">
                  <c:v>1.2358474847357901</c:v>
                </c:pt>
                <c:pt idx="145">
                  <c:v>1.2358474847357901</c:v>
                </c:pt>
                <c:pt idx="146">
                  <c:v>1.2358474847357901</c:v>
                </c:pt>
                <c:pt idx="147">
                  <c:v>1.2358474847357901</c:v>
                </c:pt>
                <c:pt idx="148">
                  <c:v>1.2358474847357901</c:v>
                </c:pt>
                <c:pt idx="149">
                  <c:v>1.2358474847357901</c:v>
                </c:pt>
                <c:pt idx="150">
                  <c:v>1.2358474847357901</c:v>
                </c:pt>
                <c:pt idx="151">
                  <c:v>1.2358474847357901</c:v>
                </c:pt>
                <c:pt idx="152">
                  <c:v>1.2358474847357901</c:v>
                </c:pt>
                <c:pt idx="153">
                  <c:v>1.2358474847357901</c:v>
                </c:pt>
                <c:pt idx="154">
                  <c:v>1.2358474847357901</c:v>
                </c:pt>
                <c:pt idx="155">
                  <c:v>1.2358474847357901</c:v>
                </c:pt>
                <c:pt idx="156">
                  <c:v>1.2358474847357901</c:v>
                </c:pt>
                <c:pt idx="157">
                  <c:v>1.2358474847357901</c:v>
                </c:pt>
                <c:pt idx="158">
                  <c:v>1.2358474847357901</c:v>
                </c:pt>
                <c:pt idx="159">
                  <c:v>1.2358474847357901</c:v>
                </c:pt>
                <c:pt idx="160">
                  <c:v>1.2358474847357901</c:v>
                </c:pt>
                <c:pt idx="161">
                  <c:v>1.2358474847357901</c:v>
                </c:pt>
                <c:pt idx="162">
                  <c:v>1.2358474847357901</c:v>
                </c:pt>
                <c:pt idx="163">
                  <c:v>1.2358474847357901</c:v>
                </c:pt>
                <c:pt idx="164">
                  <c:v>1.2358474847357901</c:v>
                </c:pt>
                <c:pt idx="165">
                  <c:v>1.2358474847357901</c:v>
                </c:pt>
                <c:pt idx="166">
                  <c:v>1.2358474847357901</c:v>
                </c:pt>
                <c:pt idx="167">
                  <c:v>1.2358474847357901</c:v>
                </c:pt>
                <c:pt idx="168">
                  <c:v>1.2358474847357901</c:v>
                </c:pt>
                <c:pt idx="169">
                  <c:v>1.2358474847357901</c:v>
                </c:pt>
                <c:pt idx="170">
                  <c:v>1.2358474847357901</c:v>
                </c:pt>
                <c:pt idx="171">
                  <c:v>1.2358474847357901</c:v>
                </c:pt>
                <c:pt idx="172">
                  <c:v>1.2358474847357901</c:v>
                </c:pt>
                <c:pt idx="173">
                  <c:v>1.2358474847357901</c:v>
                </c:pt>
                <c:pt idx="174">
                  <c:v>1.2358474847357901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FB-4913-9531-724300F7A390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IBDT*/BSCS*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1.23550266146885</c:v>
                </c:pt>
                <c:pt idx="10">
                  <c:v>1.23550266146885</c:v>
                </c:pt>
                <c:pt idx="11">
                  <c:v>1.2354978560362699</c:v>
                </c:pt>
                <c:pt idx="12">
                  <c:v>1.2355786743877899</c:v>
                </c:pt>
                <c:pt idx="13">
                  <c:v>1.23569653321928</c:v>
                </c:pt>
                <c:pt idx="14">
                  <c:v>1.2358030123958901</c:v>
                </c:pt>
                <c:pt idx="15">
                  <c:v>1.23588659008117</c:v>
                </c:pt>
                <c:pt idx="16">
                  <c:v>1.2358502611037001</c:v>
                </c:pt>
                <c:pt idx="17">
                  <c:v>1.23577701165166</c:v>
                </c:pt>
                <c:pt idx="18">
                  <c:v>1.23575231893903</c:v>
                </c:pt>
                <c:pt idx="19">
                  <c:v>1.2356817924185699</c:v>
                </c:pt>
                <c:pt idx="20">
                  <c:v>1.23571102127698</c:v>
                </c:pt>
                <c:pt idx="21">
                  <c:v>1.23576787529623</c:v>
                </c:pt>
                <c:pt idx="22">
                  <c:v>1.2357275934605301</c:v>
                </c:pt>
                <c:pt idx="23">
                  <c:v>1.23571303821626</c:v>
                </c:pt>
                <c:pt idx="24">
                  <c:v>1.23562714356938</c:v>
                </c:pt>
                <c:pt idx="25">
                  <c:v>1.2356010143101199</c:v>
                </c:pt>
                <c:pt idx="26">
                  <c:v>1.23553827524096</c:v>
                </c:pt>
                <c:pt idx="27">
                  <c:v>1.2355950125169299</c:v>
                </c:pt>
                <c:pt idx="28">
                  <c:v>1.2356517498611801</c:v>
                </c:pt>
                <c:pt idx="29">
                  <c:v>1.2356969935443001</c:v>
                </c:pt>
                <c:pt idx="30">
                  <c:v>1.23566567852885</c:v>
                </c:pt>
                <c:pt idx="31">
                  <c:v>1.2356229561352301</c:v>
                </c:pt>
                <c:pt idx="32">
                  <c:v>1.2356028547581801</c:v>
                </c:pt>
                <c:pt idx="33">
                  <c:v>1.23560560251081</c:v>
                </c:pt>
                <c:pt idx="34">
                  <c:v>1.2357005685881</c:v>
                </c:pt>
                <c:pt idx="35">
                  <c:v>1.2357104050985901</c:v>
                </c:pt>
                <c:pt idx="36">
                  <c:v>1.23587643652955</c:v>
                </c:pt>
                <c:pt idx="37">
                  <c:v>1.23603106288945</c:v>
                </c:pt>
                <c:pt idx="38">
                  <c:v>1.2359587685342599</c:v>
                </c:pt>
                <c:pt idx="39">
                  <c:v>1.23590951048824</c:v>
                </c:pt>
                <c:pt idx="40">
                  <c:v>1.23601632421716</c:v>
                </c:pt>
                <c:pt idx="41">
                  <c:v>1.2361459676470701</c:v>
                </c:pt>
                <c:pt idx="42">
                  <c:v>1.2361194209031601</c:v>
                </c:pt>
                <c:pt idx="43">
                  <c:v>1.2360928774287601</c:v>
                </c:pt>
                <c:pt idx="44">
                  <c:v>1.2360820403042301</c:v>
                </c:pt>
                <c:pt idx="45">
                  <c:v>1.23603425479204</c:v>
                </c:pt>
                <c:pt idx="46">
                  <c:v>1.23603228191449</c:v>
                </c:pt>
                <c:pt idx="47">
                  <c:v>1.23589391145059</c:v>
                </c:pt>
                <c:pt idx="48">
                  <c:v>1.23600528577854</c:v>
                </c:pt>
                <c:pt idx="49">
                  <c:v>1.2361051919536901</c:v>
                </c:pt>
                <c:pt idx="50">
                  <c:v>1.23612282395499</c:v>
                </c:pt>
                <c:pt idx="51">
                  <c:v>1.23600642871874</c:v>
                </c:pt>
                <c:pt idx="52">
                  <c:v>1.23601228263164</c:v>
                </c:pt>
                <c:pt idx="53">
                  <c:v>1.23598956589827</c:v>
                </c:pt>
                <c:pt idx="54">
                  <c:v>1.23586857827701</c:v>
                </c:pt>
                <c:pt idx="55">
                  <c:v>1.2358442346479599</c:v>
                </c:pt>
                <c:pt idx="56">
                  <c:v>1.23576296238988</c:v>
                </c:pt>
                <c:pt idx="57">
                  <c:v>1.2357785747866199</c:v>
                </c:pt>
                <c:pt idx="58">
                  <c:v>1.23585706196526</c:v>
                </c:pt>
                <c:pt idx="59">
                  <c:v>1.23585250859284</c:v>
                </c:pt>
                <c:pt idx="60">
                  <c:v>1.23576518369736</c:v>
                </c:pt>
                <c:pt idx="61">
                  <c:v>1.2358543254196399</c:v>
                </c:pt>
                <c:pt idx="62">
                  <c:v>1.23584655643675</c:v>
                </c:pt>
                <c:pt idx="63">
                  <c:v>1.23590155163427</c:v>
                </c:pt>
                <c:pt idx="64">
                  <c:v>1.2359354599229999</c:v>
                </c:pt>
                <c:pt idx="65">
                  <c:v>1.2359834665398599</c:v>
                </c:pt>
                <c:pt idx="66">
                  <c:v>1.2360312704956</c:v>
                </c:pt>
                <c:pt idx="67">
                  <c:v>1.2360817707446301</c:v>
                </c:pt>
                <c:pt idx="68">
                  <c:v>1.23603510070539</c:v>
                </c:pt>
                <c:pt idx="69">
                  <c:v>1.23596332717541</c:v>
                </c:pt>
                <c:pt idx="70">
                  <c:v>1.2359487561089599</c:v>
                </c:pt>
                <c:pt idx="71">
                  <c:v>1.2358206531801099</c:v>
                </c:pt>
                <c:pt idx="72">
                  <c:v>1.2357780069082001</c:v>
                </c:pt>
                <c:pt idx="73">
                  <c:v>1.2356931974796499</c:v>
                </c:pt>
                <c:pt idx="74">
                  <c:v>1.2355687163812299</c:v>
                </c:pt>
                <c:pt idx="75">
                  <c:v>1.2355520381310201</c:v>
                </c:pt>
                <c:pt idx="76">
                  <c:v>1.23549843282282</c:v>
                </c:pt>
                <c:pt idx="77">
                  <c:v>1.2354588703585201</c:v>
                </c:pt>
                <c:pt idx="78">
                  <c:v>1.2354535411541701</c:v>
                </c:pt>
                <c:pt idx="79">
                  <c:v>1.23543416444885</c:v>
                </c:pt>
                <c:pt idx="80">
                  <c:v>1.2354602998687001</c:v>
                </c:pt>
                <c:pt idx="81">
                  <c:v>1.23550054749644</c:v>
                </c:pt>
                <c:pt idx="82">
                  <c:v>1.2354845569069299</c:v>
                </c:pt>
                <c:pt idx="83">
                  <c:v>1.235558915963</c:v>
                </c:pt>
                <c:pt idx="84">
                  <c:v>1.23574406831168</c:v>
                </c:pt>
                <c:pt idx="85">
                  <c:v>1.23569069492527</c:v>
                </c:pt>
                <c:pt idx="86">
                  <c:v>1.2357082839501099</c:v>
                </c:pt>
                <c:pt idx="87">
                  <c:v>1.23572585601607</c:v>
                </c:pt>
                <c:pt idx="88">
                  <c:v>1.23570658696965</c:v>
                </c:pt>
                <c:pt idx="89">
                  <c:v>1.23584353072246</c:v>
                </c:pt>
                <c:pt idx="90">
                  <c:v>1.23575601660878</c:v>
                </c:pt>
                <c:pt idx="91">
                  <c:v>1.2358218926344</c:v>
                </c:pt>
                <c:pt idx="92">
                  <c:v>1.2358445970891401</c:v>
                </c:pt>
                <c:pt idx="93">
                  <c:v>1.23580843653164</c:v>
                </c:pt>
                <c:pt idx="94">
                  <c:v>1.2357950619565099</c:v>
                </c:pt>
                <c:pt idx="95">
                  <c:v>1.23590093505756</c:v>
                </c:pt>
                <c:pt idx="96">
                  <c:v>1.2359358457473799</c:v>
                </c:pt>
                <c:pt idx="97">
                  <c:v>1.2358970137826899</c:v>
                </c:pt>
                <c:pt idx="98">
                  <c:v>1.2358495190563099</c:v>
                </c:pt>
                <c:pt idx="99">
                  <c:v>1.23576776876996</c:v>
                </c:pt>
                <c:pt idx="100">
                  <c:v>1.23585360129432</c:v>
                </c:pt>
                <c:pt idx="101">
                  <c:v>1.23579750120196</c:v>
                </c:pt>
                <c:pt idx="102">
                  <c:v>1.2359119066430599</c:v>
                </c:pt>
                <c:pt idx="103">
                  <c:v>1.23601417081319</c:v>
                </c:pt>
                <c:pt idx="104">
                  <c:v>1.2359971757825501</c:v>
                </c:pt>
                <c:pt idx="105">
                  <c:v>1.2360510359541901</c:v>
                </c:pt>
                <c:pt idx="106">
                  <c:v>1.2359944548228099</c:v>
                </c:pt>
                <c:pt idx="107">
                  <c:v>1.23597479281057</c:v>
                </c:pt>
                <c:pt idx="108">
                  <c:v>1.23601471561851</c:v>
                </c:pt>
                <c:pt idx="109">
                  <c:v>1.23592145169071</c:v>
                </c:pt>
                <c:pt idx="110">
                  <c:v>1.23585374755477</c:v>
                </c:pt>
                <c:pt idx="111">
                  <c:v>1.23591630046222</c:v>
                </c:pt>
                <c:pt idx="112">
                  <c:v>1.2358227588392401</c:v>
                </c:pt>
                <c:pt idx="113">
                  <c:v>1.23572921721625</c:v>
                </c:pt>
                <c:pt idx="114">
                  <c:v>1.23575196796241</c:v>
                </c:pt>
                <c:pt idx="115">
                  <c:v>1.2356556251825099</c:v>
                </c:pt>
                <c:pt idx="116">
                  <c:v>1.2356978309957001</c:v>
                </c:pt>
                <c:pt idx="117">
                  <c:v>1.2357881894646701</c:v>
                </c:pt>
                <c:pt idx="118">
                  <c:v>1.2357822044112501</c:v>
                </c:pt>
                <c:pt idx="119">
                  <c:v>1.2358612198831</c:v>
                </c:pt>
                <c:pt idx="120">
                  <c:v>1.23590338667969</c:v>
                </c:pt>
                <c:pt idx="121">
                  <c:v>1.23588603293796</c:v>
                </c:pt>
                <c:pt idx="122">
                  <c:v>1.23589142404893</c:v>
                </c:pt>
                <c:pt idx="123">
                  <c:v>1.23592573305689</c:v>
                </c:pt>
                <c:pt idx="124">
                  <c:v>1.2358946462517</c:v>
                </c:pt>
                <c:pt idx="125">
                  <c:v>1.23588631019266</c:v>
                </c:pt>
                <c:pt idx="126">
                  <c:v>1.2358838738618401</c:v>
                </c:pt>
                <c:pt idx="127">
                  <c:v>1.23579658690314</c:v>
                </c:pt>
                <c:pt idx="128">
                  <c:v>1.23570951991602</c:v>
                </c:pt>
                <c:pt idx="129">
                  <c:v>1.23570445163614</c:v>
                </c:pt>
                <c:pt idx="130">
                  <c:v>1.2358042069533499</c:v>
                </c:pt>
                <c:pt idx="131">
                  <c:v>1.23576242356111</c:v>
                </c:pt>
                <c:pt idx="132">
                  <c:v>1.23579406662413</c:v>
                </c:pt>
                <c:pt idx="133">
                  <c:v>1.23579679179016</c:v>
                </c:pt>
                <c:pt idx="134">
                  <c:v>1.2358447891253499</c:v>
                </c:pt>
                <c:pt idx="135">
                  <c:v>1.2358344405764199</c:v>
                </c:pt>
                <c:pt idx="136">
                  <c:v>1.2357900850092201</c:v>
                </c:pt>
                <c:pt idx="137">
                  <c:v>1.23581646222366</c:v>
                </c:pt>
                <c:pt idx="138">
                  <c:v>1.2359475770894499</c:v>
                </c:pt>
                <c:pt idx="139">
                  <c:v>1.2359739543038799</c:v>
                </c:pt>
                <c:pt idx="140">
                  <c:v>1.23587008292773</c:v>
                </c:pt>
                <c:pt idx="141">
                  <c:v>1.2359331480040501</c:v>
                </c:pt>
                <c:pt idx="142">
                  <c:v>1.2359481612556</c:v>
                </c:pt>
                <c:pt idx="143">
                  <c:v>1.23601115903693</c:v>
                </c:pt>
                <c:pt idx="144">
                  <c:v>1.2359781749532901</c:v>
                </c:pt>
                <c:pt idx="145">
                  <c:v>1.2359000007581</c:v>
                </c:pt>
                <c:pt idx="146">
                  <c:v>1.2358472146570001</c:v>
                </c:pt>
                <c:pt idx="147">
                  <c:v>1.2358675475326699</c:v>
                </c:pt>
                <c:pt idx="148">
                  <c:v>1.2358764414751799</c:v>
                </c:pt>
                <c:pt idx="149">
                  <c:v>1.23583759979664</c:v>
                </c:pt>
                <c:pt idx="150">
                  <c:v>1.23590600947982</c:v>
                </c:pt>
                <c:pt idx="151">
                  <c:v>1.23590097796563</c:v>
                </c:pt>
                <c:pt idx="152">
                  <c:v>1.2358481695685899</c:v>
                </c:pt>
                <c:pt idx="153">
                  <c:v>1.23583176405648</c:v>
                </c:pt>
                <c:pt idx="154">
                  <c:v>1.23581551918086</c:v>
                </c:pt>
                <c:pt idx="155">
                  <c:v>1.23590281030089</c:v>
                </c:pt>
                <c:pt idx="156">
                  <c:v>1.23607169013189</c:v>
                </c:pt>
                <c:pt idx="157">
                  <c:v>1.2360856318398901</c:v>
                </c:pt>
                <c:pt idx="158">
                  <c:v>1.2360769312823101</c:v>
                </c:pt>
                <c:pt idx="159">
                  <c:v>1.23610222365123</c:v>
                </c:pt>
                <c:pt idx="160">
                  <c:v>1.23607786447324</c:v>
                </c:pt>
                <c:pt idx="161">
                  <c:v>1.2360309690101601</c:v>
                </c:pt>
                <c:pt idx="162">
                  <c:v>1.23612486461619</c:v>
                </c:pt>
                <c:pt idx="163">
                  <c:v>1.2360162640382799</c:v>
                </c:pt>
                <c:pt idx="164">
                  <c:v>1.2360005116342401</c:v>
                </c:pt>
                <c:pt idx="165">
                  <c:v>1.2360326140654301</c:v>
                </c:pt>
                <c:pt idx="166">
                  <c:v>1.2359005550539599</c:v>
                </c:pt>
                <c:pt idx="167">
                  <c:v>1.2359713509966801</c:v>
                </c:pt>
                <c:pt idx="168">
                  <c:v>1.2359237534288301</c:v>
                </c:pt>
                <c:pt idx="169">
                  <c:v>1.2359718345895001</c:v>
                </c:pt>
                <c:pt idx="170">
                  <c:v>1.23601039274288</c:v>
                </c:pt>
                <c:pt idx="171">
                  <c:v>1.2360714871813401</c:v>
                </c:pt>
                <c:pt idx="172">
                  <c:v>1.23607094307478</c:v>
                </c:pt>
                <c:pt idx="173">
                  <c:v>1.2361631927621799</c:v>
                </c:pt>
                <c:pt idx="174">
                  <c:v>1.2362584338489999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FB-4913-9531-724300F7A390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IBDT*/BSCS*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1.2355922269437101</c:v>
                </c:pt>
                <c:pt idx="20">
                  <c:v>1.23560684137291</c:v>
                </c:pt>
                <c:pt idx="21">
                  <c:v>1.2356328656662501</c:v>
                </c:pt>
                <c:pt idx="22">
                  <c:v>1.2356531339241601</c:v>
                </c:pt>
                <c:pt idx="23">
                  <c:v>1.2357047857177701</c:v>
                </c:pt>
                <c:pt idx="24">
                  <c:v>1.23571507798264</c:v>
                </c:pt>
                <c:pt idx="25">
                  <c:v>1.2357438021956499</c:v>
                </c:pt>
                <c:pt idx="26">
                  <c:v>1.23569426817233</c:v>
                </c:pt>
                <c:pt idx="27">
                  <c:v>1.2356860120842901</c:v>
                </c:pt>
                <c:pt idx="28">
                  <c:v>1.2357020344001</c:v>
                </c:pt>
                <c:pt idx="29">
                  <c:v>1.2356893929814401</c:v>
                </c:pt>
                <c:pt idx="30">
                  <c:v>1.2356883499029201</c:v>
                </c:pt>
                <c:pt idx="31">
                  <c:v>1.2356954157157301</c:v>
                </c:pt>
                <c:pt idx="32">
                  <c:v>1.23566522410936</c:v>
                </c:pt>
                <c:pt idx="33">
                  <c:v>1.23565932036354</c:v>
                </c:pt>
                <c:pt idx="34">
                  <c:v>1.2356638560787401</c:v>
                </c:pt>
                <c:pt idx="35">
                  <c:v>1.2356557097043499</c:v>
                </c:pt>
                <c:pt idx="36">
                  <c:v>1.23570735588526</c:v>
                </c:pt>
                <c:pt idx="37">
                  <c:v>1.23581303770319</c:v>
                </c:pt>
                <c:pt idx="38">
                  <c:v>1.23580525919772</c:v>
                </c:pt>
                <c:pt idx="39">
                  <c:v>1.2358032520162701</c:v>
                </c:pt>
                <c:pt idx="40">
                  <c:v>1.2358410013730099</c:v>
                </c:pt>
                <c:pt idx="41">
                  <c:v>1.23588446189115</c:v>
                </c:pt>
                <c:pt idx="42">
                  <c:v>1.2358611378306701</c:v>
                </c:pt>
                <c:pt idx="43">
                  <c:v>1.23584923996979</c:v>
                </c:pt>
                <c:pt idx="44">
                  <c:v>1.2358913044461699</c:v>
                </c:pt>
                <c:pt idx="45">
                  <c:v>1.23587232994531</c:v>
                </c:pt>
                <c:pt idx="46">
                  <c:v>1.2359543592220199</c:v>
                </c:pt>
                <c:pt idx="47">
                  <c:v>1.2359624871700201</c:v>
                </c:pt>
                <c:pt idx="48">
                  <c:v>1.2359820271563999</c:v>
                </c:pt>
                <c:pt idx="49">
                  <c:v>1.2360073512209699</c:v>
                </c:pt>
                <c:pt idx="50">
                  <c:v>1.2360695740860701</c:v>
                </c:pt>
                <c:pt idx="51">
                  <c:v>1.2360761981829</c:v>
                </c:pt>
                <c:pt idx="52">
                  <c:v>1.2360658517673999</c:v>
                </c:pt>
                <c:pt idx="53">
                  <c:v>1.2360412216635199</c:v>
                </c:pt>
                <c:pt idx="54">
                  <c:v>1.2359753092906201</c:v>
                </c:pt>
                <c:pt idx="55">
                  <c:v>1.2359392447199999</c:v>
                </c:pt>
                <c:pt idx="56">
                  <c:v>1.23589762215219</c:v>
                </c:pt>
                <c:pt idx="57">
                  <c:v>1.2358362431186101</c:v>
                </c:pt>
                <c:pt idx="58">
                  <c:v>1.2359311738719001</c:v>
                </c:pt>
                <c:pt idx="59">
                  <c:v>1.23597885027326</c:v>
                </c:pt>
                <c:pt idx="60">
                  <c:v>1.23594400382617</c:v>
                </c:pt>
                <c:pt idx="61">
                  <c:v>1.2359303770691901</c:v>
                </c:pt>
                <c:pt idx="62">
                  <c:v>1.2359294195341901</c:v>
                </c:pt>
                <c:pt idx="63">
                  <c:v>1.23594555876627</c:v>
                </c:pt>
                <c:pt idx="64">
                  <c:v>1.2359020191000101</c:v>
                </c:pt>
                <c:pt idx="65">
                  <c:v>1.23591385059391</c:v>
                </c:pt>
                <c:pt idx="66">
                  <c:v>1.2358971164427399</c:v>
                </c:pt>
                <c:pt idx="67">
                  <c:v>1.23593017276563</c:v>
                </c:pt>
                <c:pt idx="68">
                  <c:v>1.23594608133533</c:v>
                </c:pt>
                <c:pt idx="69">
                  <c:v>1.2359079178841299</c:v>
                </c:pt>
                <c:pt idx="70">
                  <c:v>1.2358569699031601</c:v>
                </c:pt>
                <c:pt idx="71">
                  <c:v>1.23583748929988</c:v>
                </c:pt>
                <c:pt idx="72">
                  <c:v>1.2358122816724699</c:v>
                </c:pt>
                <c:pt idx="73">
                  <c:v>1.2357973745569599</c:v>
                </c:pt>
                <c:pt idx="74">
                  <c:v>1.23575208815212</c:v>
                </c:pt>
                <c:pt idx="75">
                  <c:v>1.23576775233544</c:v>
                </c:pt>
                <c:pt idx="76">
                  <c:v>1.2357648516592099</c:v>
                </c:pt>
                <c:pt idx="77">
                  <c:v>1.23577032055158</c:v>
                </c:pt>
                <c:pt idx="78">
                  <c:v>1.23574432092978</c:v>
                </c:pt>
                <c:pt idx="79">
                  <c:v>1.23569874581213</c:v>
                </c:pt>
                <c:pt idx="80">
                  <c:v>1.2357045279888299</c:v>
                </c:pt>
                <c:pt idx="81">
                  <c:v>1.23566060033828</c:v>
                </c:pt>
                <c:pt idx="82">
                  <c:v>1.2356312819075601</c:v>
                </c:pt>
                <c:pt idx="83">
                  <c:v>1.23562605672133</c:v>
                </c:pt>
                <c:pt idx="84">
                  <c:v>1.2356563923464501</c:v>
                </c:pt>
                <c:pt idx="85">
                  <c:v>1.2356213665281499</c:v>
                </c:pt>
                <c:pt idx="86">
                  <c:v>1.2356033583864601</c:v>
                </c:pt>
                <c:pt idx="87">
                  <c:v>1.23559236318729</c:v>
                </c:pt>
                <c:pt idx="88">
                  <c:v>1.2355800640619099</c:v>
                </c:pt>
                <c:pt idx="89">
                  <c:v>1.2356388475856499</c:v>
                </c:pt>
                <c:pt idx="90">
                  <c:v>1.2356081582387399</c:v>
                </c:pt>
                <c:pt idx="91">
                  <c:v>1.23566122006542</c:v>
                </c:pt>
                <c:pt idx="92">
                  <c:v>1.2356645769980299</c:v>
                </c:pt>
                <c:pt idx="93">
                  <c:v>1.23568367624732</c:v>
                </c:pt>
                <c:pt idx="94">
                  <c:v>1.2357695651340901</c:v>
                </c:pt>
                <c:pt idx="95">
                  <c:v>1.2357958149914201</c:v>
                </c:pt>
                <c:pt idx="96">
                  <c:v>1.2358220648487399</c:v>
                </c:pt>
                <c:pt idx="97">
                  <c:v>1.2358114348993801</c:v>
                </c:pt>
                <c:pt idx="98">
                  <c:v>1.23577805301298</c:v>
                </c:pt>
                <c:pt idx="99">
                  <c:v>1.23580564974621</c:v>
                </c:pt>
                <c:pt idx="100">
                  <c:v>1.2358048089515501</c:v>
                </c:pt>
                <c:pt idx="101">
                  <c:v>1.23580969691818</c:v>
                </c:pt>
                <c:pt idx="102">
                  <c:v>1.2358782518661</c:v>
                </c:pt>
                <c:pt idx="103">
                  <c:v>1.2359113036724201</c:v>
                </c:pt>
                <c:pt idx="104">
                  <c:v>1.2358961188695301</c:v>
                </c:pt>
                <c:pt idx="105">
                  <c:v>1.2359759855058801</c:v>
                </c:pt>
                <c:pt idx="106">
                  <c:v>1.2359651502850899</c:v>
                </c:pt>
                <c:pt idx="107">
                  <c:v>1.2359359032966299</c:v>
                </c:pt>
                <c:pt idx="108">
                  <c:v>1.23593211733741</c:v>
                </c:pt>
                <c:pt idx="109">
                  <c:v>1.23584461023034</c:v>
                </c:pt>
                <c:pt idx="110">
                  <c:v>1.2358536744245401</c:v>
                </c:pt>
                <c:pt idx="111">
                  <c:v>1.2358569008320901</c:v>
                </c:pt>
                <c:pt idx="112">
                  <c:v>1.23586733274115</c:v>
                </c:pt>
                <c:pt idx="113">
                  <c:v>1.2358716940147201</c:v>
                </c:pt>
                <c:pt idx="114">
                  <c:v>1.23587457187248</c:v>
                </c:pt>
                <c:pt idx="115">
                  <c:v>1.2358533305683499</c:v>
                </c:pt>
                <c:pt idx="116">
                  <c:v>1.23584614290925</c:v>
                </c:pt>
                <c:pt idx="117">
                  <c:v>1.2358814911376199</c:v>
                </c:pt>
                <c:pt idx="118">
                  <c:v>1.2358984600148799</c:v>
                </c:pt>
                <c:pt idx="119">
                  <c:v>1.2358913357869099</c:v>
                </c:pt>
                <c:pt idx="120">
                  <c:v>1.2358785671172301</c:v>
                </c:pt>
                <c:pt idx="121">
                  <c:v>1.2359011667000901</c:v>
                </c:pt>
                <c:pt idx="122">
                  <c:v>1.2358570914440801</c:v>
                </c:pt>
                <c:pt idx="123">
                  <c:v>1.2358274751365701</c:v>
                </c:pt>
                <c:pt idx="124">
                  <c:v>1.2358233071070499</c:v>
                </c:pt>
                <c:pt idx="125">
                  <c:v>1.2357709676875801</c:v>
                </c:pt>
                <c:pt idx="126">
                  <c:v>1.23579085242877</c:v>
                </c:pt>
                <c:pt idx="127">
                  <c:v>1.2357923881838999</c:v>
                </c:pt>
                <c:pt idx="128">
                  <c:v>1.2357458621636399</c:v>
                </c:pt>
                <c:pt idx="129">
                  <c:v>1.2357828357596199</c:v>
                </c:pt>
                <c:pt idx="130">
                  <c:v>1.23585379681652</c:v>
                </c:pt>
                <c:pt idx="131">
                  <c:v>1.23582422824953</c:v>
                </c:pt>
                <c:pt idx="132">
                  <c:v>1.2358427453365299</c:v>
                </c:pt>
                <c:pt idx="133">
                  <c:v>1.2358612624235299</c:v>
                </c:pt>
                <c:pt idx="134">
                  <c:v>1.2358697176885201</c:v>
                </c:pt>
                <c:pt idx="135">
                  <c:v>1.2358603753845401</c:v>
                </c:pt>
                <c:pt idx="136">
                  <c:v>1.2358369794355299</c:v>
                </c:pt>
                <c:pt idx="137">
                  <c:v>1.2358065245634</c:v>
                </c:pt>
                <c:pt idx="138">
                  <c:v>1.2358285485027301</c:v>
                </c:pt>
                <c:pt idx="139">
                  <c:v>1.23583920297001</c:v>
                </c:pt>
                <c:pt idx="140">
                  <c:v>1.2358371449405401</c:v>
                </c:pt>
                <c:pt idx="141">
                  <c:v>1.23584778578258</c:v>
                </c:pt>
                <c:pt idx="142">
                  <c:v>1.2358711139398599</c:v>
                </c:pt>
                <c:pt idx="143">
                  <c:v>1.2359039754135499</c:v>
                </c:pt>
                <c:pt idx="144">
                  <c:v>1.23591148203932</c:v>
                </c:pt>
                <c:pt idx="145">
                  <c:v>1.2358672206672601</c:v>
                </c:pt>
                <c:pt idx="146">
                  <c:v>1.2358186498331101</c:v>
                </c:pt>
                <c:pt idx="147">
                  <c:v>1.23584200487816</c:v>
                </c:pt>
                <c:pt idx="148">
                  <c:v>1.2359120092823099</c:v>
                </c:pt>
                <c:pt idx="149">
                  <c:v>1.2359057770502599</c:v>
                </c:pt>
                <c:pt idx="150">
                  <c:v>1.23588804620377</c:v>
                </c:pt>
                <c:pt idx="151">
                  <c:v>1.2359170629848399</c:v>
                </c:pt>
                <c:pt idx="152">
                  <c:v>1.2358981654121</c:v>
                </c:pt>
                <c:pt idx="153">
                  <c:v>1.23592146154671</c:v>
                </c:pt>
                <c:pt idx="154">
                  <c:v>1.2358968470670699</c:v>
                </c:pt>
                <c:pt idx="155">
                  <c:v>1.2359014055294999</c:v>
                </c:pt>
                <c:pt idx="156">
                  <c:v>1.2359594523944399</c:v>
                </c:pt>
                <c:pt idx="157">
                  <c:v>1.23597658968628</c:v>
                </c:pt>
                <c:pt idx="158">
                  <c:v>1.23597668637874</c:v>
                </c:pt>
                <c:pt idx="159">
                  <c:v>1.23596991172393</c:v>
                </c:pt>
                <c:pt idx="160">
                  <c:v>1.23599193697653</c:v>
                </c:pt>
                <c:pt idx="161">
                  <c:v>1.2359659734878901</c:v>
                </c:pt>
                <c:pt idx="162">
                  <c:v>1.23598651709239</c:v>
                </c:pt>
                <c:pt idx="163">
                  <c:v>1.2359240140473799</c:v>
                </c:pt>
                <c:pt idx="164">
                  <c:v>1.2359080154075499</c:v>
                </c:pt>
                <c:pt idx="165">
                  <c:v>1.23596771218316</c:v>
                </c:pt>
                <c:pt idx="166">
                  <c:v>1.2359861225929201</c:v>
                </c:pt>
                <c:pt idx="167">
                  <c:v>1.23602849141829</c:v>
                </c:pt>
                <c:pt idx="168">
                  <c:v>1.2360003423555701</c:v>
                </c:pt>
                <c:pt idx="169">
                  <c:v>1.2360370291203699</c:v>
                </c:pt>
                <c:pt idx="170">
                  <c:v>1.2360441286080599</c:v>
                </c:pt>
                <c:pt idx="171">
                  <c:v>1.2360512280957501</c:v>
                </c:pt>
                <c:pt idx="172">
                  <c:v>1.23609790384548</c:v>
                </c:pt>
                <c:pt idx="173">
                  <c:v>1.2360897284002299</c:v>
                </c:pt>
                <c:pt idx="174">
                  <c:v>1.2361294727416201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FB-4913-9531-724300F7A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BSCS x avg / IBDT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1.5579376968590901E-3</c:v>
                </c:pt>
                <c:pt idx="2">
                  <c:v>1.1653959842618899E-3</c:v>
                </c:pt>
                <c:pt idx="3">
                  <c:v>1.9506335589641701E-3</c:v>
                </c:pt>
                <c:pt idx="4">
                  <c:v>1.37308089841439E-3</c:v>
                </c:pt>
                <c:pt idx="5">
                  <c:v>1.2805306671871599E-3</c:v>
                </c:pt>
                <c:pt idx="6">
                  <c:v>8.8752614257695103E-4</c:v>
                </c:pt>
                <c:pt idx="7">
                  <c:v>1.0728540104126801E-3</c:v>
                </c:pt>
                <c:pt idx="8">
                  <c:v>1.5579376968590901E-3</c:v>
                </c:pt>
                <c:pt idx="9">
                  <c:v>8.8752614257695103E-4</c:v>
                </c:pt>
                <c:pt idx="10">
                  <c:v>1.4655498725178501E-3</c:v>
                </c:pt>
                <c:pt idx="11">
                  <c:v>-2.0307638662788799E-3</c:v>
                </c:pt>
                <c:pt idx="12">
                  <c:v>-3.1142657882012401E-3</c:v>
                </c:pt>
                <c:pt idx="13">
                  <c:v>-2.62752934636979E-3</c:v>
                </c:pt>
                <c:pt idx="14">
                  <c:v>-3.1142657882012401E-3</c:v>
                </c:pt>
                <c:pt idx="15">
                  <c:v>-3.0197631227262402E-3</c:v>
                </c:pt>
                <c:pt idx="16">
                  <c:v>-2.43908038944373E-3</c:v>
                </c:pt>
                <c:pt idx="17">
                  <c:v>-1.95305364840602E-3</c:v>
                </c:pt>
                <c:pt idx="18">
                  <c:v>-1.8591893374804299E-3</c:v>
                </c:pt>
                <c:pt idx="19">
                  <c:v>-2.1570267094470599E-3</c:v>
                </c:pt>
                <c:pt idx="20">
                  <c:v>1.2805306671871599E-3</c:v>
                </c:pt>
                <c:pt idx="21">
                  <c:v>1.18789907128589E-3</c:v>
                </c:pt>
                <c:pt idx="22">
                  <c:v>8.8752614257695103E-4</c:v>
                </c:pt>
                <c:pt idx="23">
                  <c:v>1.1653959842618899E-3</c:v>
                </c:pt>
                <c:pt idx="24">
                  <c:v>1.2578567945471201E-3</c:v>
                </c:pt>
                <c:pt idx="25">
                  <c:v>8.6562301819050795E-4</c:v>
                </c:pt>
                <c:pt idx="26">
                  <c:v>1.74247032474855E-3</c:v>
                </c:pt>
                <c:pt idx="27">
                  <c:v>1.2578567945471201E-3</c:v>
                </c:pt>
                <c:pt idx="28">
                  <c:v>1.3502365483922601E-3</c:v>
                </c:pt>
                <c:pt idx="29">
                  <c:v>1.1429805375105799E-3</c:v>
                </c:pt>
                <c:pt idx="30">
                  <c:v>1.5347533143141099E-3</c:v>
                </c:pt>
                <c:pt idx="31">
                  <c:v>1.5347533143141099E-3</c:v>
                </c:pt>
                <c:pt idx="32">
                  <c:v>1.0506090298632901E-3</c:v>
                </c:pt>
                <c:pt idx="33">
                  <c:v>1.1429805375105799E-3</c:v>
                </c:pt>
                <c:pt idx="34">
                  <c:v>-3.03404751060481E-3</c:v>
                </c:pt>
                <c:pt idx="35">
                  <c:v>-2.7367527480784502E-3</c:v>
                </c:pt>
                <c:pt idx="36">
                  <c:v>-3.1283720990791502E-3</c:v>
                </c:pt>
                <c:pt idx="37">
                  <c:v>-3.5198381443994099E-3</c:v>
                </c:pt>
                <c:pt idx="38">
                  <c:v>-1.5780899614889301E-3</c:v>
                </c:pt>
                <c:pt idx="39">
                  <c:v>1.6736897050803499E-3</c:v>
                </c:pt>
                <c:pt idx="40">
                  <c:v>7.9474003339268103E-4</c:v>
                </c:pt>
                <c:pt idx="41">
                  <c:v>6.08922925066956E-4</c:v>
                </c:pt>
                <c:pt idx="42">
                  <c:v>1.3960146618839701E-3</c:v>
                </c:pt>
                <c:pt idx="43">
                  <c:v>1.4886544322037299E-3</c:v>
                </c:pt>
                <c:pt idx="44">
                  <c:v>7.0187233024821504E-4</c:v>
                </c:pt>
                <c:pt idx="45">
                  <c:v>1.30329332506713E-3</c:v>
                </c:pt>
                <c:pt idx="46">
                  <c:v>5.3719061467470404E-4</c:v>
                </c:pt>
                <c:pt idx="47">
                  <c:v>1.2559393442344599E-3</c:v>
                </c:pt>
                <c:pt idx="48">
                  <c:v>1.1627091881183901E-3</c:v>
                </c:pt>
                <c:pt idx="49">
                  <c:v>8.6044794101740102E-4</c:v>
                </c:pt>
                <c:pt idx="50">
                  <c:v>6.5195099474222196E-4</c:v>
                </c:pt>
                <c:pt idx="51">
                  <c:v>1.5585136658762099E-3</c:v>
                </c:pt>
                <c:pt idx="52">
                  <c:v>1.3490870907348501E-3</c:v>
                </c:pt>
                <c:pt idx="53">
                  <c:v>1.6752302991566101E-3</c:v>
                </c:pt>
                <c:pt idx="54">
                  <c:v>-1.87034102835576E-3</c:v>
                </c:pt>
                <c:pt idx="55">
                  <c:v>-2.0600978912796802E-3</c:v>
                </c:pt>
                <c:pt idx="56">
                  <c:v>-2.3611385842199199E-3</c:v>
                </c:pt>
                <c:pt idx="57">
                  <c:v>-2.4406237076858598E-3</c:v>
                </c:pt>
                <c:pt idx="58">
                  <c:v>-3.0428989531877202E-3</c:v>
                </c:pt>
                <c:pt idx="59">
                  <c:v>-2.6617933846673301E-3</c:v>
                </c:pt>
                <c:pt idx="60">
                  <c:v>-2.1873070846425298E-3</c:v>
                </c:pt>
                <c:pt idx="61">
                  <c:v>9.7600120757245705E-4</c:v>
                </c:pt>
                <c:pt idx="62">
                  <c:v>1.5585136658762099E-3</c:v>
                </c:pt>
                <c:pt idx="63">
                  <c:v>1.37211925592883E-3</c:v>
                </c:pt>
                <c:pt idx="64">
                  <c:v>1.5585136658762099E-3</c:v>
                </c:pt>
                <c:pt idx="65">
                  <c:v>1.2559393442344599E-3</c:v>
                </c:pt>
                <c:pt idx="66">
                  <c:v>9.5375203913398499E-4</c:v>
                </c:pt>
                <c:pt idx="67">
                  <c:v>8.6044794101740102E-4</c:v>
                </c:pt>
                <c:pt idx="68">
                  <c:v>1.0469737136851601E-3</c:v>
                </c:pt>
                <c:pt idx="69">
                  <c:v>1.62803696779766E-3</c:v>
                </c:pt>
                <c:pt idx="70">
                  <c:v>1.62803696779766E-3</c:v>
                </c:pt>
                <c:pt idx="71">
                  <c:v>2.02305968674058E-3</c:v>
                </c:pt>
                <c:pt idx="72">
                  <c:v>1.9062490930606499E-3</c:v>
                </c:pt>
                <c:pt idx="73">
                  <c:v>-1.5092214143010601E-3</c:v>
                </c:pt>
                <c:pt idx="74">
                  <c:v>-1.00223880453326E-3</c:v>
                </c:pt>
                <c:pt idx="75">
                  <c:v>-2.1873070846425298E-3</c:v>
                </c:pt>
                <c:pt idx="76">
                  <c:v>-2.1873070846425298E-3</c:v>
                </c:pt>
                <c:pt idx="77">
                  <c:v>-2.3924989808038698E-3</c:v>
                </c:pt>
                <c:pt idx="78">
                  <c:v>-2.4872166022779198E-3</c:v>
                </c:pt>
                <c:pt idx="79">
                  <c:v>-1.7924403470341999E-3</c:v>
                </c:pt>
                <c:pt idx="80">
                  <c:v>-2.1712365928822199E-3</c:v>
                </c:pt>
                <c:pt idx="81">
                  <c:v>-1.8870137211024699E-3</c:v>
                </c:pt>
                <c:pt idx="82">
                  <c:v>2.1648263921678801E-3</c:v>
                </c:pt>
                <c:pt idx="83">
                  <c:v>1.58198372133548E-3</c:v>
                </c:pt>
                <c:pt idx="84">
                  <c:v>1.1853943843906901E-3</c:v>
                </c:pt>
                <c:pt idx="85">
                  <c:v>1.95447486685242E-3</c:v>
                </c:pt>
                <c:pt idx="86">
                  <c:v>1.37211925592883E-3</c:v>
                </c:pt>
                <c:pt idx="87">
                  <c:v>1.1627091881183901E-3</c:v>
                </c:pt>
                <c:pt idx="88">
                  <c:v>1.37211925592883E-3</c:v>
                </c:pt>
                <c:pt idx="89">
                  <c:v>7.8896226819771299E-4</c:v>
                </c:pt>
                <c:pt idx="90">
                  <c:v>2.2577507819479098E-3</c:v>
                </c:pt>
                <c:pt idx="91">
                  <c:v>1.2787981829638299E-3</c:v>
                </c:pt>
                <c:pt idx="92">
                  <c:v>1.97873040378654E-3</c:v>
                </c:pt>
                <c:pt idx="93">
                  <c:v>-1.85360248000396E-3</c:v>
                </c:pt>
                <c:pt idx="94">
                  <c:v>-2.4406237076858598E-3</c:v>
                </c:pt>
                <c:pt idx="95">
                  <c:v>-2.6466239331418501E-3</c:v>
                </c:pt>
                <c:pt idx="96">
                  <c:v>-2.6466239331418501E-3</c:v>
                </c:pt>
                <c:pt idx="97">
                  <c:v>-2.2501918169489099E-3</c:v>
                </c:pt>
                <c:pt idx="98">
                  <c:v>-1.96517738324372E-3</c:v>
                </c:pt>
                <c:pt idx="99">
                  <c:v>-2.2661455061135302E-3</c:v>
                </c:pt>
                <c:pt idx="100">
                  <c:v>-2.1712365928822199E-3</c:v>
                </c:pt>
                <c:pt idx="101">
                  <c:v>-1.9816708123105201E-3</c:v>
                </c:pt>
                <c:pt idx="102">
                  <c:v>9.9833816839695207E-4</c:v>
                </c:pt>
                <c:pt idx="103">
                  <c:v>9.9833816839695207E-4</c:v>
                </c:pt>
                <c:pt idx="104">
                  <c:v>1.39524232125557E-3</c:v>
                </c:pt>
                <c:pt idx="105">
                  <c:v>6.0159148594598805E-4</c:v>
                </c:pt>
                <c:pt idx="106">
                  <c:v>1.5120432359844701E-3</c:v>
                </c:pt>
                <c:pt idx="107">
                  <c:v>1.60554650588533E-3</c:v>
                </c:pt>
                <c:pt idx="108">
                  <c:v>1.39524232125557E-3</c:v>
                </c:pt>
                <c:pt idx="109">
                  <c:v>2.18952353854992E-3</c:v>
                </c:pt>
                <c:pt idx="110">
                  <c:v>2.0718196361017198E-3</c:v>
                </c:pt>
                <c:pt idx="111">
                  <c:v>1.1853943843906901E-3</c:v>
                </c:pt>
                <c:pt idx="112">
                  <c:v>1.7683942759748601E-3</c:v>
                </c:pt>
                <c:pt idx="113">
                  <c:v>1.7683942759748601E-3</c:v>
                </c:pt>
                <c:pt idx="114">
                  <c:v>1.2081691909005101E-3</c:v>
                </c:pt>
                <c:pt idx="115">
                  <c:v>1.39524232125557E-3</c:v>
                </c:pt>
                <c:pt idx="116">
                  <c:v>-2.5359666728150599E-3</c:v>
                </c:pt>
                <c:pt idx="117">
                  <c:v>-2.8373703901368101E-3</c:v>
                </c:pt>
                <c:pt idx="118">
                  <c:v>-2.2501918169489099E-3</c:v>
                </c:pt>
                <c:pt idx="119">
                  <c:v>-2.1551026649516999E-3</c:v>
                </c:pt>
                <c:pt idx="120">
                  <c:v>-1.96517738324372E-3</c:v>
                </c:pt>
                <c:pt idx="121">
                  <c:v>-2.3611385842199199E-3</c:v>
                </c:pt>
                <c:pt idx="122">
                  <c:v>-1.96517738324372E-3</c:v>
                </c:pt>
                <c:pt idx="123">
                  <c:v>1.4184568259132601E-3</c:v>
                </c:pt>
                <c:pt idx="124">
                  <c:v>1.39524232125557E-3</c:v>
                </c:pt>
                <c:pt idx="125">
                  <c:v>1.39524232125557E-3</c:v>
                </c:pt>
                <c:pt idx="126">
                  <c:v>1.11450794949286E-3</c:v>
                </c:pt>
                <c:pt idx="127">
                  <c:v>1.5120432359844701E-3</c:v>
                </c:pt>
                <c:pt idx="128">
                  <c:v>2.0963440617496501E-3</c:v>
                </c:pt>
                <c:pt idx="129">
                  <c:v>1.5120432359844701E-3</c:v>
                </c:pt>
                <c:pt idx="130">
                  <c:v>8.3302418416493604E-4</c:v>
                </c:pt>
                <c:pt idx="131">
                  <c:v>1.60554650588533E-3</c:v>
                </c:pt>
                <c:pt idx="132">
                  <c:v>1.39524232125557E-3</c:v>
                </c:pt>
                <c:pt idx="133">
                  <c:v>1.39524232125557E-3</c:v>
                </c:pt>
                <c:pt idx="134">
                  <c:v>9.9833816839695207E-4</c:v>
                </c:pt>
                <c:pt idx="135">
                  <c:v>-2.2341750000723398E-3</c:v>
                </c:pt>
                <c:pt idx="136">
                  <c:v>-2.2341750000723398E-3</c:v>
                </c:pt>
                <c:pt idx="137">
                  <c:v>-2.4249697233551101E-3</c:v>
                </c:pt>
                <c:pt idx="138">
                  <c:v>-2.7117999480391702E-3</c:v>
                </c:pt>
                <c:pt idx="139">
                  <c:v>-2.4249697233551101E-3</c:v>
                </c:pt>
                <c:pt idx="140">
                  <c:v>-2.0272763397083402E-3</c:v>
                </c:pt>
                <c:pt idx="141">
                  <c:v>-2.6313944690488701E-3</c:v>
                </c:pt>
                <c:pt idx="142">
                  <c:v>-2.4406237076858598E-3</c:v>
                </c:pt>
                <c:pt idx="143">
                  <c:v>-2.8373703901368101E-3</c:v>
                </c:pt>
                <c:pt idx="144">
                  <c:v>-2.4406237076858598E-3</c:v>
                </c:pt>
                <c:pt idx="145">
                  <c:v>2.12096555033092E-3</c:v>
                </c:pt>
                <c:pt idx="146">
                  <c:v>1.90973661963132E-3</c:v>
                </c:pt>
                <c:pt idx="147">
                  <c:v>1.11450794949286E-3</c:v>
                </c:pt>
                <c:pt idx="148">
                  <c:v>9.2693555772311404E-4</c:v>
                </c:pt>
                <c:pt idx="149">
                  <c:v>1.60554650588533E-3</c:v>
                </c:pt>
                <c:pt idx="150">
                  <c:v>1.11450794949286E-3</c:v>
                </c:pt>
                <c:pt idx="151">
                  <c:v>1.11450794949286E-3</c:v>
                </c:pt>
                <c:pt idx="152">
                  <c:v>1.69896674676484E-3</c:v>
                </c:pt>
                <c:pt idx="153">
                  <c:v>9.9833816839695207E-4</c:v>
                </c:pt>
                <c:pt idx="154">
                  <c:v>1.39524232125557E-3</c:v>
                </c:pt>
                <c:pt idx="155">
                  <c:v>1.39524232125557E-3</c:v>
                </c:pt>
                <c:pt idx="156">
                  <c:v>5.0778137661179796E-4</c:v>
                </c:pt>
                <c:pt idx="157">
                  <c:v>9.9833816839695207E-4</c:v>
                </c:pt>
                <c:pt idx="158">
                  <c:v>9.9833816839695207E-4</c:v>
                </c:pt>
                <c:pt idx="159">
                  <c:v>1.39524232125557E-3</c:v>
                </c:pt>
                <c:pt idx="160">
                  <c:v>-2.4406237076858598E-3</c:v>
                </c:pt>
                <c:pt idx="161">
                  <c:v>-2.2501918169489099E-3</c:v>
                </c:pt>
                <c:pt idx="162">
                  <c:v>-2.8373703901368101E-3</c:v>
                </c:pt>
                <c:pt idx="163">
                  <c:v>-1.85360248000396E-3</c:v>
                </c:pt>
                <c:pt idx="164">
                  <c:v>-2.2341750000723398E-3</c:v>
                </c:pt>
                <c:pt idx="165">
                  <c:v>-2.6313944690488701E-3</c:v>
                </c:pt>
                <c:pt idx="166">
                  <c:v>1.55909929151915E-3</c:v>
                </c:pt>
                <c:pt idx="167">
                  <c:v>3.6221105767319698E-4</c:v>
                </c:pt>
                <c:pt idx="168">
                  <c:v>1.3479183824323499E-3</c:v>
                </c:pt>
                <c:pt idx="169">
                  <c:v>9.4927376882125605E-4</c:v>
                </c:pt>
                <c:pt idx="170">
                  <c:v>9.4927376882125605E-4</c:v>
                </c:pt>
                <c:pt idx="171">
                  <c:v>9.4927376882125605E-4</c:v>
                </c:pt>
                <c:pt idx="172">
                  <c:v>8.7743620827579298E-4</c:v>
                </c:pt>
                <c:pt idx="173">
                  <c:v>1.08857441086394E-3</c:v>
                </c:pt>
                <c:pt idx="174">
                  <c:v>6.8865438953698602E-4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1C-4934-91AB-2419607D171F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BSCS x 10 dma / IBDT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1.45702380690385E-4</c:v>
                </c:pt>
                <c:pt idx="11">
                  <c:v>-3.3506113581065E-3</c:v>
                </c:pt>
                <c:pt idx="12">
                  <c:v>-4.0747485797849601E-3</c:v>
                </c:pt>
                <c:pt idx="13">
                  <c:v>-3.1593086589650201E-3</c:v>
                </c:pt>
                <c:pt idx="14">
                  <c:v>-3.18793478106207E-3</c:v>
                </c:pt>
                <c:pt idx="15">
                  <c:v>-2.6443739888115398E-3</c:v>
                </c:pt>
                <c:pt idx="16">
                  <c:v>-1.6335414880059599E-3</c:v>
                </c:pt>
                <c:pt idx="17">
                  <c:v>-8.1491915685314299E-4</c:v>
                </c:pt>
                <c:pt idx="18">
                  <c:v>-4.1872081736928101E-4</c:v>
                </c:pt>
                <c:pt idx="19">
                  <c:v>-3.7534401154702002E-4</c:v>
                </c:pt>
                <c:pt idx="20">
                  <c:v>3.3662735472956801E-3</c:v>
                </c:pt>
                <c:pt idx="21">
                  <c:v>3.2920798183878499E-3</c:v>
                </c:pt>
                <c:pt idx="22">
                  <c:v>2.6703299857194201E-3</c:v>
                </c:pt>
                <c:pt idx="23">
                  <c:v>2.5482081854054199E-3</c:v>
                </c:pt>
                <c:pt idx="24">
                  <c:v>2.2615515011308799E-3</c:v>
                </c:pt>
                <c:pt idx="25">
                  <c:v>1.4320425314316499E-3</c:v>
                </c:pt>
                <c:pt idx="26">
                  <c:v>1.9200769433207301E-3</c:v>
                </c:pt>
                <c:pt idx="27">
                  <c:v>1.01714917129458E-3</c:v>
                </c:pt>
                <c:pt idx="28">
                  <c:v>7.8819716592796497E-4</c:v>
                </c:pt>
                <c:pt idx="29">
                  <c:v>2.59684669561714E-4</c:v>
                </c:pt>
                <c:pt idx="30">
                  <c:v>3.2094283243088199E-4</c:v>
                </c:pt>
                <c:pt idx="31">
                  <c:v>2.9552517178215701E-4</c:v>
                </c:pt>
                <c:pt idx="32">
                  <c:v>-2.23300903787572E-4</c:v>
                </c:pt>
                <c:pt idx="33">
                  <c:v>-1.47242790164321E-4</c:v>
                </c:pt>
                <c:pt idx="34">
                  <c:v>-4.3220289911680204E-3</c:v>
                </c:pt>
                <c:pt idx="35">
                  <c:v>-3.5947009772838798E-3</c:v>
                </c:pt>
                <c:pt idx="36">
                  <c:v>-3.6255009891072998E-3</c:v>
                </c:pt>
                <c:pt idx="37">
                  <c:v>-3.5294211656007801E-3</c:v>
                </c:pt>
                <c:pt idx="38">
                  <c:v>-1.1094721479150999E-3</c:v>
                </c:pt>
                <c:pt idx="39">
                  <c:v>2.43499359076628E-3</c:v>
                </c:pt>
                <c:pt idx="40">
                  <c:v>1.50308661939729E-3</c:v>
                </c:pt>
                <c:pt idx="41">
                  <c:v>1.3911296314693599E-3</c:v>
                </c:pt>
                <c:pt idx="42">
                  <c:v>2.2706286467513801E-3</c:v>
                </c:pt>
                <c:pt idx="43">
                  <c:v>2.3287996472375E-3</c:v>
                </c:pt>
                <c:pt idx="44">
                  <c:v>1.5075240064680599E-3</c:v>
                </c:pt>
                <c:pt idx="45">
                  <c:v>1.7351482663285299E-3</c:v>
                </c:pt>
                <c:pt idx="46">
                  <c:v>5.6484388818371298E-4</c:v>
                </c:pt>
                <c:pt idx="47">
                  <c:v>9.1650370679568398E-4</c:v>
                </c:pt>
                <c:pt idx="48">
                  <c:v>3.4487771626814598E-4</c:v>
                </c:pt>
                <c:pt idx="49">
                  <c:v>-2.3178239471081599E-4</c:v>
                </c:pt>
                <c:pt idx="50">
                  <c:v>-3.58972685167853E-4</c:v>
                </c:pt>
                <c:pt idx="51">
                  <c:v>5.6187289473354001E-4</c:v>
                </c:pt>
                <c:pt idx="52">
                  <c:v>2.5749100227162803E-4</c:v>
                </c:pt>
                <c:pt idx="53">
                  <c:v>5.8832563853648096E-4</c:v>
                </c:pt>
                <c:pt idx="54">
                  <c:v>-2.9758942156578598E-3</c:v>
                </c:pt>
                <c:pt idx="55">
                  <c:v>-2.9080278425601602E-3</c:v>
                </c:pt>
                <c:pt idx="56">
                  <c:v>-2.87237322684633E-3</c:v>
                </c:pt>
                <c:pt idx="57">
                  <c:v>-2.6616546556159802E-3</c:v>
                </c:pt>
                <c:pt idx="58">
                  <c:v>-2.8940410118018802E-3</c:v>
                </c:pt>
                <c:pt idx="59">
                  <c:v>-2.0921299750745101E-3</c:v>
                </c:pt>
                <c:pt idx="60">
                  <c:v>-1.2653648090682301E-3</c:v>
                </c:pt>
                <c:pt idx="61">
                  <c:v>2.1817853033196302E-3</c:v>
                </c:pt>
                <c:pt idx="62">
                  <c:v>2.82240344034099E-3</c:v>
                </c:pt>
                <c:pt idx="63">
                  <c:v>2.61512299311416E-3</c:v>
                </c:pt>
                <c:pt idx="64">
                  <c:v>2.83174430548273E-3</c:v>
                </c:pt>
                <c:pt idx="65">
                  <c:v>2.1866085769750398E-3</c:v>
                </c:pt>
                <c:pt idx="66">
                  <c:v>1.5529376979432101E-3</c:v>
                </c:pt>
                <c:pt idx="67">
                  <c:v>1.1280547745771399E-3</c:v>
                </c:pt>
                <c:pt idx="68">
                  <c:v>9.8424615821239591E-4</c:v>
                </c:pt>
                <c:pt idx="69">
                  <c:v>1.15580398545881E-3</c:v>
                </c:pt>
                <c:pt idx="70">
                  <c:v>7.2630387714860405E-4</c:v>
                </c:pt>
                <c:pt idx="71">
                  <c:v>7.3926798512289596E-4</c:v>
                </c:pt>
                <c:pt idx="72">
                  <c:v>5.1776864574035804E-4</c:v>
                </c:pt>
                <c:pt idx="73">
                  <c:v>-2.9324640521151699E-3</c:v>
                </c:pt>
                <c:pt idx="74">
                  <c:v>-2.1369587448162699E-3</c:v>
                </c:pt>
                <c:pt idx="75">
                  <c:v>-3.0657651021993798E-3</c:v>
                </c:pt>
                <c:pt idx="76">
                  <c:v>-2.7210365823281701E-3</c:v>
                </c:pt>
                <c:pt idx="77">
                  <c:v>-2.6118102823953402E-3</c:v>
                </c:pt>
                <c:pt idx="78">
                  <c:v>-2.3809653865480701E-3</c:v>
                </c:pt>
                <c:pt idx="79">
                  <c:v>-1.3326154101923799E-3</c:v>
                </c:pt>
                <c:pt idx="80">
                  <c:v>-1.3695513395644201E-3</c:v>
                </c:pt>
                <c:pt idx="81">
                  <c:v>-7.0567430169088396E-4</c:v>
                </c:pt>
                <c:pt idx="82">
                  <c:v>3.7366089634519898E-3</c:v>
                </c:pt>
                <c:pt idx="83">
                  <c:v>3.12800133980008E-3</c:v>
                </c:pt>
                <c:pt idx="84">
                  <c:v>2.42273249490097E-3</c:v>
                </c:pt>
                <c:pt idx="85">
                  <c:v>2.97331627120739E-3</c:v>
                </c:pt>
                <c:pt idx="86">
                  <c:v>1.9770701247728301E-3</c:v>
                </c:pt>
                <c:pt idx="87">
                  <c:v>1.4117241381896501E-3</c:v>
                </c:pt>
                <c:pt idx="88">
                  <c:v>1.26541984121537E-3</c:v>
                </c:pt>
                <c:pt idx="89">
                  <c:v>2.9599799651978698E-4</c:v>
                </c:pt>
                <c:pt idx="90">
                  <c:v>1.5063558859635499E-3</c:v>
                </c:pt>
                <c:pt idx="91">
                  <c:v>8.4092194989267497E-5</c:v>
                </c:pt>
                <c:pt idx="92">
                  <c:v>4.6691796805606599E-4</c:v>
                </c:pt>
                <c:pt idx="93">
                  <c:v>-3.3468159076568602E-3</c:v>
                </c:pt>
                <c:pt idx="94">
                  <c:v>-3.5897774203701499E-3</c:v>
                </c:pt>
                <c:pt idx="95">
                  <c:v>-3.4325967636649299E-3</c:v>
                </c:pt>
                <c:pt idx="96">
                  <c:v>-2.9720713743352002E-3</c:v>
                </c:pt>
                <c:pt idx="97">
                  <c:v>-2.1734584834675399E-3</c:v>
                </c:pt>
                <c:pt idx="98">
                  <c:v>-1.5470526417954501E-3</c:v>
                </c:pt>
                <c:pt idx="99">
                  <c:v>-1.5143871853850999E-3</c:v>
                </c:pt>
                <c:pt idx="100">
                  <c:v>-1.11401805617511E-3</c:v>
                </c:pt>
                <c:pt idx="101">
                  <c:v>-4.8213814302440797E-4</c:v>
                </c:pt>
                <c:pt idx="102">
                  <c:v>2.8234907430954902E-3</c:v>
                </c:pt>
                <c:pt idx="103">
                  <c:v>2.9212008631384202E-3</c:v>
                </c:pt>
                <c:pt idx="104">
                  <c:v>3.0332964127574402E-3</c:v>
                </c:pt>
                <c:pt idx="105">
                  <c:v>1.85641291533871E-3</c:v>
                </c:pt>
                <c:pt idx="106">
                  <c:v>2.4420656881967398E-3</c:v>
                </c:pt>
                <c:pt idx="107">
                  <c:v>2.1197663285384399E-3</c:v>
                </c:pt>
                <c:pt idx="108">
                  <c:v>1.52388773199526E-3</c:v>
                </c:pt>
                <c:pt idx="109">
                  <c:v>1.9820177933321101E-3</c:v>
                </c:pt>
                <c:pt idx="110">
                  <c:v>1.4185377330592601E-3</c:v>
                </c:pt>
                <c:pt idx="111">
                  <c:v>1.07417982349849E-4</c:v>
                </c:pt>
                <c:pt idx="112">
                  <c:v>3.7319307090886202E-4</c:v>
                </c:pt>
                <c:pt idx="113">
                  <c:v>2.9618358172859698E-4</c:v>
                </c:pt>
                <c:pt idx="114">
                  <c:v>-3.4105692344450598E-4</c:v>
                </c:pt>
                <c:pt idx="115">
                  <c:v>-1.3527202407907299E-4</c:v>
                </c:pt>
                <c:pt idx="116">
                  <c:v>-4.1458914978885798E-3</c:v>
                </c:pt>
                <c:pt idx="117">
                  <c:v>-4.0417163518774203E-3</c:v>
                </c:pt>
                <c:pt idx="118">
                  <c:v>-3.0095352893464802E-3</c:v>
                </c:pt>
                <c:pt idx="119">
                  <c:v>-2.5495362055601299E-3</c:v>
                </c:pt>
                <c:pt idx="120">
                  <c:v>-1.9250784643239001E-3</c:v>
                </c:pt>
                <c:pt idx="121">
                  <c:v>-1.91745885083332E-3</c:v>
                </c:pt>
                <c:pt idx="122">
                  <c:v>-1.1668559179309099E-3</c:v>
                </c:pt>
                <c:pt idx="123">
                  <c:v>2.5898048583703798E-3</c:v>
                </c:pt>
                <c:pt idx="124">
                  <c:v>2.6014868738467199E-3</c:v>
                </c:pt>
                <c:pt idx="125">
                  <c:v>2.5828262449036701E-3</c:v>
                </c:pt>
                <c:pt idx="126">
                  <c:v>2.3020918731408101E-3</c:v>
                </c:pt>
                <c:pt idx="127">
                  <c:v>2.3346869452763202E-3</c:v>
                </c:pt>
                <c:pt idx="128">
                  <c:v>2.48402105775684E-3</c:v>
                </c:pt>
                <c:pt idx="129">
                  <c:v>1.4651069203652899E-3</c:v>
                </c:pt>
                <c:pt idx="130">
                  <c:v>4.1917062022725602E-4</c:v>
                </c:pt>
                <c:pt idx="131">
                  <c:v>9.1155912140526599E-4</c:v>
                </c:pt>
                <c:pt idx="132">
                  <c:v>3.0408193402642998E-4</c:v>
                </c:pt>
                <c:pt idx="133">
                  <c:v>-3.2479580297285198E-5</c:v>
                </c:pt>
                <c:pt idx="134">
                  <c:v>-4.2706223693022801E-4</c:v>
                </c:pt>
                <c:pt idx="135">
                  <c:v>-3.6198767031875002E-3</c:v>
                </c:pt>
                <c:pt idx="136">
                  <c:v>-3.2563450945942598E-3</c:v>
                </c:pt>
                <c:pt idx="137">
                  <c:v>-3.1117974176391198E-3</c:v>
                </c:pt>
                <c:pt idx="138">
                  <c:v>-3.00455337676738E-3</c:v>
                </c:pt>
                <c:pt idx="139">
                  <c:v>-2.2367351741484501E-3</c:v>
                </c:pt>
                <c:pt idx="140">
                  <c:v>-1.4453121457747599E-3</c:v>
                </c:pt>
                <c:pt idx="141">
                  <c:v>-1.7634366884995199E-3</c:v>
                </c:pt>
                <c:pt idx="142">
                  <c:v>-1.1492115813113699E-3</c:v>
                </c:pt>
                <c:pt idx="143">
                  <c:v>-1.16273962146028E-3</c:v>
                </c:pt>
                <c:pt idx="144">
                  <c:v>-3.43224147040663E-4</c:v>
                </c:pt>
                <c:pt idx="145">
                  <c:v>4.5617295475681198E-3</c:v>
                </c:pt>
                <c:pt idx="146">
                  <c:v>3.9159289039277199E-3</c:v>
                </c:pt>
                <c:pt idx="147">
                  <c:v>2.7069866302678702E-3</c:v>
                </c:pt>
                <c:pt idx="148">
                  <c:v>2.1657353309677799E-3</c:v>
                </c:pt>
                <c:pt idx="149">
                  <c:v>2.4805323678003602E-3</c:v>
                </c:pt>
                <c:pt idx="150">
                  <c:v>1.5865482300495999E-3</c:v>
                </c:pt>
                <c:pt idx="151">
                  <c:v>1.27232522780383E-3</c:v>
                </c:pt>
                <c:pt idx="152">
                  <c:v>1.4818982469776401E-3</c:v>
                </c:pt>
                <c:pt idx="153">
                  <c:v>3.6698108493112599E-4</c:v>
                </c:pt>
                <c:pt idx="154">
                  <c:v>3.7964500432670399E-4</c:v>
                </c:pt>
                <c:pt idx="155">
                  <c:v>-4.6061698767230202E-6</c:v>
                </c:pt>
                <c:pt idx="156">
                  <c:v>-8.1952341615178399E-4</c:v>
                </c:pt>
                <c:pt idx="157">
                  <c:v>-1.88764296812804E-4</c:v>
                </c:pt>
                <c:pt idx="158">
                  <c:v>-1.77145867991824E-4</c:v>
                </c:pt>
                <c:pt idx="159">
                  <c:v>2.1261647834932001E-4</c:v>
                </c:pt>
                <c:pt idx="160">
                  <c:v>-3.6022260348303999E-3</c:v>
                </c:pt>
                <c:pt idx="161">
                  <c:v>-3.0556949187615198E-3</c:v>
                </c:pt>
                <c:pt idx="162">
                  <c:v>-3.30599769856938E-3</c:v>
                </c:pt>
                <c:pt idx="163">
                  <c:v>-1.8682277212502499E-3</c:v>
                </c:pt>
                <c:pt idx="164">
                  <c:v>-1.9635206188054598E-3</c:v>
                </c:pt>
                <c:pt idx="165">
                  <c:v>-1.99781000941537E-3</c:v>
                </c:pt>
                <c:pt idx="166">
                  <c:v>2.59526041273402E-3</c:v>
                </c:pt>
                <c:pt idx="167">
                  <c:v>1.2934522345718E-3</c:v>
                </c:pt>
                <c:pt idx="168">
                  <c:v>2.3426678244496801E-3</c:v>
                </c:pt>
                <c:pt idx="169">
                  <c:v>1.90914028348376E-3</c:v>
                </c:pt>
                <c:pt idx="170">
                  <c:v>1.9536411641627701E-3</c:v>
                </c:pt>
                <c:pt idx="171">
                  <c:v>1.61468149664288E-3</c:v>
                </c:pt>
                <c:pt idx="172">
                  <c:v>1.22285083147506E-3</c:v>
                </c:pt>
                <c:pt idx="173">
                  <c:v>1.06220325794605E-3</c:v>
                </c:pt>
                <c:pt idx="174">
                  <c:v>3.6790178954959401E-4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1C-4934-91AB-2419607D171F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BSCS x 20 dma / IBDT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1.6649281163499099E-3</c:v>
                </c:pt>
                <c:pt idx="21">
                  <c:v>1.58153119437977E-3</c:v>
                </c:pt>
                <c:pt idx="22">
                  <c:v>1.29962737075664E-3</c:v>
                </c:pt>
                <c:pt idx="23">
                  <c:v>1.59137063604929E-3</c:v>
                </c:pt>
                <c:pt idx="24">
                  <c:v>1.7230147404689799E-3</c:v>
                </c:pt>
                <c:pt idx="25">
                  <c:v>1.3365319033442E-3</c:v>
                </c:pt>
                <c:pt idx="26">
                  <c:v>2.2340923721216998E-3</c:v>
                </c:pt>
                <c:pt idx="27">
                  <c:v>1.70680787937577E-3</c:v>
                </c:pt>
                <c:pt idx="28">
                  <c:v>1.7899523718691601E-3</c:v>
                </c:pt>
                <c:pt idx="29">
                  <c:v>1.59306171606809E-3</c:v>
                </c:pt>
                <c:pt idx="30">
                  <c:v>1.9720803943581301E-3</c:v>
                </c:pt>
                <c:pt idx="31">
                  <c:v>1.9686269138235999E-3</c:v>
                </c:pt>
                <c:pt idx="32">
                  <c:v>1.30622392154356E-3</c:v>
                </c:pt>
                <c:pt idx="33">
                  <c:v>1.1901681138462899E-3</c:v>
                </c:pt>
                <c:pt idx="34">
                  <c:v>-3.17553442527002E-3</c:v>
                </c:pt>
                <c:pt idx="35">
                  <c:v>-2.8822635031489599E-3</c:v>
                </c:pt>
                <c:pt idx="36">
                  <c:v>-3.2880763263071901E-3</c:v>
                </c:pt>
                <c:pt idx="37">
                  <c:v>-3.6449767893034402E-3</c:v>
                </c:pt>
                <c:pt idx="38">
                  <c:v>-1.6246679641579E-3</c:v>
                </c:pt>
                <c:pt idx="39">
                  <c:v>1.6130318024544499E-3</c:v>
                </c:pt>
                <c:pt idx="40">
                  <c:v>5.4246992135660501E-4</c:v>
                </c:pt>
                <c:pt idx="41">
                  <c:v>3.8092298177118102E-4</c:v>
                </c:pt>
                <c:pt idx="42">
                  <c:v>1.1969437067600099E-3</c:v>
                </c:pt>
                <c:pt idx="43">
                  <c:v>1.2641826845418099E-3</c:v>
                </c:pt>
                <c:pt idx="44">
                  <c:v>4.6125534045101101E-4</c:v>
                </c:pt>
                <c:pt idx="45">
                  <c:v>1.09045463010795E-3</c:v>
                </c:pt>
                <c:pt idx="46">
                  <c:v>3.0248723095486601E-4</c:v>
                </c:pt>
                <c:pt idx="47">
                  <c:v>1.08144361525774E-3</c:v>
                </c:pt>
                <c:pt idx="48">
                  <c:v>9.8830922793655802E-4</c:v>
                </c:pt>
                <c:pt idx="49">
                  <c:v>6.9541416457365602E-4</c:v>
                </c:pt>
                <c:pt idx="50">
                  <c:v>5.0103193402503601E-4</c:v>
                </c:pt>
                <c:pt idx="51">
                  <c:v>1.45169217074732E-3</c:v>
                </c:pt>
                <c:pt idx="52">
                  <c:v>1.2410792866154E-3</c:v>
                </c:pt>
                <c:pt idx="53">
                  <c:v>1.55231476644476E-3</c:v>
                </c:pt>
                <c:pt idx="54">
                  <c:v>-2.01983519596263E-3</c:v>
                </c:pt>
                <c:pt idx="55">
                  <c:v>-2.2679306651318802E-3</c:v>
                </c:pt>
                <c:pt idx="56">
                  <c:v>-2.6028929687561199E-3</c:v>
                </c:pt>
                <c:pt idx="57">
                  <c:v>-2.7208552479113901E-3</c:v>
                </c:pt>
                <c:pt idx="58">
                  <c:v>-3.3772689073717698E-3</c:v>
                </c:pt>
                <c:pt idx="59">
                  <c:v>-2.9227316114222301E-3</c:v>
                </c:pt>
                <c:pt idx="60">
                  <c:v>-2.2313307905326299E-3</c:v>
                </c:pt>
                <c:pt idx="61">
                  <c:v>1.0811792041638001E-3</c:v>
                </c:pt>
                <c:pt idx="62">
                  <c:v>1.6453540479227E-3</c:v>
                </c:pt>
                <c:pt idx="63">
                  <c:v>1.45084735320068E-3</c:v>
                </c:pt>
                <c:pt idx="64">
                  <c:v>1.64305971842369E-3</c:v>
                </c:pt>
                <c:pt idx="65">
                  <c:v>1.2977044117945299E-3</c:v>
                </c:pt>
                <c:pt idx="66">
                  <c:v>9.9788167637320695E-4</c:v>
                </c:pt>
                <c:pt idx="67">
                  <c:v>8.8376572969202805E-4</c:v>
                </c:pt>
                <c:pt idx="68">
                  <c:v>1.0900445026946299E-3</c:v>
                </c:pt>
                <c:pt idx="69">
                  <c:v>1.6768878749299501E-3</c:v>
                </c:pt>
                <c:pt idx="70">
                  <c:v>1.6385572841829199E-3</c:v>
                </c:pt>
                <c:pt idx="71">
                  <c:v>1.9848306320614799E-3</c:v>
                </c:pt>
                <c:pt idx="72">
                  <c:v>1.84483313984932E-3</c:v>
                </c:pt>
                <c:pt idx="73">
                  <c:v>-1.5984522561621299E-3</c:v>
                </c:pt>
                <c:pt idx="74">
                  <c:v>-9.3225867679715905E-4</c:v>
                </c:pt>
                <c:pt idx="75">
                  <c:v>-2.1607923594303999E-3</c:v>
                </c:pt>
                <c:pt idx="76">
                  <c:v>-2.1544185669952099E-3</c:v>
                </c:pt>
                <c:pt idx="77">
                  <c:v>-2.3683215786613099E-3</c:v>
                </c:pt>
                <c:pt idx="78">
                  <c:v>-2.4654512029212098E-3</c:v>
                </c:pt>
                <c:pt idx="79">
                  <c:v>-1.7985357782911401E-3</c:v>
                </c:pt>
                <c:pt idx="80">
                  <c:v>-2.2208978073348499E-3</c:v>
                </c:pt>
                <c:pt idx="81">
                  <c:v>-1.9374802534675201E-3</c:v>
                </c:pt>
                <c:pt idx="82">
                  <c:v>2.2575728483924299E-3</c:v>
                </c:pt>
                <c:pt idx="83">
                  <c:v>1.64447327456468E-3</c:v>
                </c:pt>
                <c:pt idx="84">
                  <c:v>1.23740680176371E-3</c:v>
                </c:pt>
                <c:pt idx="85">
                  <c:v>2.0251165283212201E-3</c:v>
                </c:pt>
                <c:pt idx="86">
                  <c:v>1.4078920156213399E-3</c:v>
                </c:pt>
                <c:pt idx="87">
                  <c:v>1.1775884285431101E-3</c:v>
                </c:pt>
                <c:pt idx="88">
                  <c:v>1.3719008249333E-3</c:v>
                </c:pt>
                <c:pt idx="89">
                  <c:v>7.7250607668481004E-4</c:v>
                </c:pt>
                <c:pt idx="90">
                  <c:v>2.2831974678280799E-3</c:v>
                </c:pt>
                <c:pt idx="91">
                  <c:v>1.27282059748853E-3</c:v>
                </c:pt>
                <c:pt idx="92">
                  <c:v>2.00990404086331E-3</c:v>
                </c:pt>
                <c:pt idx="93">
                  <c:v>-1.82604576937382E-3</c:v>
                </c:pt>
                <c:pt idx="94">
                  <c:v>-2.3958195910389899E-3</c:v>
                </c:pt>
                <c:pt idx="95">
                  <c:v>-2.5297824769782901E-3</c:v>
                </c:pt>
                <c:pt idx="96">
                  <c:v>-2.5067640141936401E-3</c:v>
                </c:pt>
                <c:pt idx="97">
                  <c:v>-2.0873139650533501E-3</c:v>
                </c:pt>
                <c:pt idx="98">
                  <c:v>-1.8094302898274499E-3</c:v>
                </c:pt>
                <c:pt idx="99">
                  <c:v>-2.13655481480899E-3</c:v>
                </c:pt>
                <c:pt idx="100">
                  <c:v>-2.01791588725817E-3</c:v>
                </c:pt>
                <c:pt idx="101">
                  <c:v>-1.82835010668633E-3</c:v>
                </c:pt>
                <c:pt idx="102">
                  <c:v>1.1564001541702199E-3</c:v>
                </c:pt>
                <c:pt idx="103">
                  <c:v>1.214621498241E-3</c:v>
                </c:pt>
                <c:pt idx="104">
                  <c:v>1.6406635762678901E-3</c:v>
                </c:pt>
                <c:pt idx="105">
                  <c:v>8.3653639044181302E-4</c:v>
                </c:pt>
                <c:pt idx="106">
                  <c:v>1.81452776706262E-3</c:v>
                </c:pt>
                <c:pt idx="107">
                  <c:v>1.90104700825591E-3</c:v>
                </c:pt>
                <c:pt idx="108">
                  <c:v>1.66863787213475E-3</c:v>
                </c:pt>
                <c:pt idx="109">
                  <c:v>2.4617648497444601E-3</c:v>
                </c:pt>
                <c:pt idx="110">
                  <c:v>2.2741536793588601E-3</c:v>
                </c:pt>
                <c:pt idx="111">
                  <c:v>1.39700296191003E-3</c:v>
                </c:pt>
                <c:pt idx="112">
                  <c:v>1.9846662950395301E-3</c:v>
                </c:pt>
                <c:pt idx="113">
                  <c:v>1.9951610909451699E-3</c:v>
                </c:pt>
                <c:pt idx="114">
                  <c:v>1.25385302333024E-3</c:v>
                </c:pt>
                <c:pt idx="115">
                  <c:v>1.25836562489299E-3</c:v>
                </c:pt>
                <c:pt idx="116">
                  <c:v>-2.8751114429410199E-3</c:v>
                </c:pt>
                <c:pt idx="117">
                  <c:v>-3.1820642761815998E-3</c:v>
                </c:pt>
                <c:pt idx="118">
                  <c:v>-2.5654422822491202E-3</c:v>
                </c:pt>
                <c:pt idx="119">
                  <c:v>-2.4560679401147301E-3</c:v>
                </c:pt>
                <c:pt idx="120">
                  <c:v>-2.2717087781857202E-3</c:v>
                </c:pt>
                <c:pt idx="121">
                  <c:v>-2.6779974889005699E-3</c:v>
                </c:pt>
                <c:pt idx="122">
                  <c:v>-2.2630158105278902E-3</c:v>
                </c:pt>
                <c:pt idx="123">
                  <c:v>1.2688990451070099E-3</c:v>
                </c:pt>
                <c:pt idx="124">
                  <c:v>1.2247006174029901E-3</c:v>
                </c:pt>
                <c:pt idx="125">
                  <c:v>1.2247006174029901E-3</c:v>
                </c:pt>
                <c:pt idx="126">
                  <c:v>9.0431575536103299E-4</c:v>
                </c:pt>
                <c:pt idx="127">
                  <c:v>1.3217056955626299E-3</c:v>
                </c:pt>
                <c:pt idx="128">
                  <c:v>1.9106752805396099E-3</c:v>
                </c:pt>
                <c:pt idx="129">
                  <c:v>1.2913734021607001E-3</c:v>
                </c:pt>
                <c:pt idx="130">
                  <c:v>6.4617262076262498E-4</c:v>
                </c:pt>
                <c:pt idx="131">
                  <c:v>1.48055446613866E-3</c:v>
                </c:pt>
                <c:pt idx="132">
                  <c:v>1.2492691279398799E-3</c:v>
                </c:pt>
                <c:pt idx="133">
                  <c:v>1.2678997820351999E-3</c:v>
                </c:pt>
                <c:pt idx="134">
                  <c:v>8.8962593617728696E-4</c:v>
                </c:pt>
                <c:pt idx="135">
                  <c:v>-2.33240616516967E-3</c:v>
                </c:pt>
                <c:pt idx="136">
                  <c:v>-2.15085770903087E-3</c:v>
                </c:pt>
                <c:pt idx="137">
                  <c:v>-2.3567769028884499E-3</c:v>
                </c:pt>
                <c:pt idx="138">
                  <c:v>-2.6642802912055499E-3</c:v>
                </c:pt>
                <c:pt idx="139">
                  <c:v>-2.35431369339436E-3</c:v>
                </c:pt>
                <c:pt idx="140">
                  <c:v>-1.9430970680898499E-3</c:v>
                </c:pt>
                <c:pt idx="141">
                  <c:v>-2.5441043119580199E-3</c:v>
                </c:pt>
                <c:pt idx="142">
                  <c:v>-2.3397882568081401E-3</c:v>
                </c:pt>
                <c:pt idx="143">
                  <c:v>-2.7127128830459202E-3</c:v>
                </c:pt>
                <c:pt idx="144">
                  <c:v>-2.10307286587889E-3</c:v>
                </c:pt>
                <c:pt idx="145">
                  <c:v>2.6503269262446402E-3</c:v>
                </c:pt>
                <c:pt idx="146">
                  <c:v>2.4028940864175802E-3</c:v>
                </c:pt>
                <c:pt idx="147">
                  <c:v>1.56798284729169E-3</c:v>
                </c:pt>
                <c:pt idx="148">
                  <c:v>1.4002519368539899E-3</c:v>
                </c:pt>
                <c:pt idx="149">
                  <c:v>2.13721566486581E-3</c:v>
                </c:pt>
                <c:pt idx="150">
                  <c:v>1.64151169714643E-3</c:v>
                </c:pt>
                <c:pt idx="151">
                  <c:v>1.62745851636313E-3</c:v>
                </c:pt>
                <c:pt idx="152">
                  <c:v>2.23642299925621E-3</c:v>
                </c:pt>
                <c:pt idx="153">
                  <c:v>1.52063970835173E-3</c:v>
                </c:pt>
                <c:pt idx="154">
                  <c:v>1.9373547863197401E-3</c:v>
                </c:pt>
                <c:pt idx="155">
                  <c:v>1.91754386121065E-3</c:v>
                </c:pt>
                <c:pt idx="156">
                  <c:v>8.4861414708048497E-4</c:v>
                </c:pt>
                <c:pt idx="157">
                  <c:v>1.2019920347871101E-3</c:v>
                </c:pt>
                <c:pt idx="158">
                  <c:v>1.03072463243731E-3</c:v>
                </c:pt>
                <c:pt idx="159">
                  <c:v>1.24195155140741E-3</c:v>
                </c:pt>
                <c:pt idx="160">
                  <c:v>-2.7850711324955801E-3</c:v>
                </c:pt>
                <c:pt idx="161">
                  <c:v>-2.5739187304347801E-3</c:v>
                </c:pt>
                <c:pt idx="162">
                  <c:v>-3.1802103840173198E-3</c:v>
                </c:pt>
                <c:pt idx="163">
                  <c:v>-2.1765460975900902E-3</c:v>
                </c:pt>
                <c:pt idx="164">
                  <c:v>-2.60643966248872E-3</c:v>
                </c:pt>
                <c:pt idx="165">
                  <c:v>-3.0140096286915699E-3</c:v>
                </c:pt>
                <c:pt idx="166">
                  <c:v>1.41422570197309E-3</c:v>
                </c:pt>
                <c:pt idx="167">
                  <c:v>2.34841335886154E-4</c:v>
                </c:pt>
                <c:pt idx="168">
                  <c:v>1.25813982429988E-3</c:v>
                </c:pt>
                <c:pt idx="169">
                  <c:v>8.3846788877767295E-4</c:v>
                </c:pt>
                <c:pt idx="170">
                  <c:v>8.7124273090998699E-4</c:v>
                </c:pt>
                <c:pt idx="171">
                  <c:v>8.7949652913505002E-4</c:v>
                </c:pt>
                <c:pt idx="172">
                  <c:v>8.1591269869014699E-4</c:v>
                </c:pt>
                <c:pt idx="173">
                  <c:v>1.0680762310278E-3</c:v>
                </c:pt>
                <c:pt idx="174">
                  <c:v>6.6364900045335902E-4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1C-4934-91AB-2419607D1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1.9417481829103801E-3</c:v>
                </c:pt>
                <c:pt idx="19">
                  <c:v>1.9417481829103801E-3</c:v>
                </c:pt>
                <c:pt idx="20">
                  <c:v>1.9417481829103801E-3</c:v>
                </c:pt>
                <c:pt idx="21">
                  <c:v>1.9417481829103801E-3</c:v>
                </c:pt>
                <c:pt idx="22">
                  <c:v>1.9417481829103801E-3</c:v>
                </c:pt>
                <c:pt idx="23">
                  <c:v>1.9417481829103801E-3</c:v>
                </c:pt>
                <c:pt idx="24">
                  <c:v>1.9417481829103801E-3</c:v>
                </c:pt>
                <c:pt idx="25">
                  <c:v>1.9417481829103801E-3</c:v>
                </c:pt>
                <c:pt idx="26">
                  <c:v>1.9417481829103801E-3</c:v>
                </c:pt>
                <c:pt idx="27">
                  <c:v>1.9417481829103801E-3</c:v>
                </c:pt>
                <c:pt idx="28">
                  <c:v>1.9417481829103801E-3</c:v>
                </c:pt>
                <c:pt idx="29">
                  <c:v>1.9417481829103801E-3</c:v>
                </c:pt>
                <c:pt idx="30">
                  <c:v>1.9417481829103801E-3</c:v>
                </c:pt>
                <c:pt idx="31">
                  <c:v>1.9417481829103801E-3</c:v>
                </c:pt>
                <c:pt idx="32">
                  <c:v>1.9417481829103801E-3</c:v>
                </c:pt>
                <c:pt idx="33">
                  <c:v>1.9417481829103801E-3</c:v>
                </c:pt>
                <c:pt idx="34">
                  <c:v>1.9417481829103801E-3</c:v>
                </c:pt>
                <c:pt idx="35">
                  <c:v>1.9417481829103801E-3</c:v>
                </c:pt>
                <c:pt idx="36">
                  <c:v>1.9417481829103801E-3</c:v>
                </c:pt>
                <c:pt idx="37">
                  <c:v>1.9417481829103801E-3</c:v>
                </c:pt>
                <c:pt idx="38">
                  <c:v>1.9417481829103801E-3</c:v>
                </c:pt>
                <c:pt idx="39">
                  <c:v>1.9417481829103801E-3</c:v>
                </c:pt>
                <c:pt idx="40">
                  <c:v>1.9417481829103801E-3</c:v>
                </c:pt>
                <c:pt idx="41">
                  <c:v>1.9417481829103801E-3</c:v>
                </c:pt>
                <c:pt idx="42">
                  <c:v>1.9417481829103801E-3</c:v>
                </c:pt>
                <c:pt idx="43">
                  <c:v>1.9417481829103801E-3</c:v>
                </c:pt>
                <c:pt idx="44">
                  <c:v>1.9417481829103801E-3</c:v>
                </c:pt>
                <c:pt idx="45">
                  <c:v>1.9417481829103801E-3</c:v>
                </c:pt>
                <c:pt idx="46">
                  <c:v>1.9417481829103801E-3</c:v>
                </c:pt>
                <c:pt idx="47">
                  <c:v>1.9417481829103801E-3</c:v>
                </c:pt>
                <c:pt idx="48">
                  <c:v>1.9417481829103801E-3</c:v>
                </c:pt>
                <c:pt idx="49">
                  <c:v>1.9417481829103801E-3</c:v>
                </c:pt>
                <c:pt idx="50">
                  <c:v>1.9417481829103801E-3</c:v>
                </c:pt>
                <c:pt idx="51">
                  <c:v>1.9417481829103801E-3</c:v>
                </c:pt>
                <c:pt idx="52">
                  <c:v>1.9417481829103801E-3</c:v>
                </c:pt>
                <c:pt idx="53">
                  <c:v>1.9417481829103801E-3</c:v>
                </c:pt>
                <c:pt idx="54">
                  <c:v>1.9417481829103801E-3</c:v>
                </c:pt>
                <c:pt idx="55">
                  <c:v>1.9417481829103801E-3</c:v>
                </c:pt>
                <c:pt idx="56">
                  <c:v>1.9417481829103801E-3</c:v>
                </c:pt>
                <c:pt idx="57">
                  <c:v>1.9417481829103801E-3</c:v>
                </c:pt>
                <c:pt idx="58">
                  <c:v>1.9417481829103801E-3</c:v>
                </c:pt>
                <c:pt idx="59">
                  <c:v>1.9417481829103801E-3</c:v>
                </c:pt>
                <c:pt idx="60">
                  <c:v>1.9417481829103801E-3</c:v>
                </c:pt>
                <c:pt idx="61">
                  <c:v>1.9417481829103801E-3</c:v>
                </c:pt>
                <c:pt idx="62">
                  <c:v>1.9417481829103801E-3</c:v>
                </c:pt>
                <c:pt idx="63">
                  <c:v>1.9417481829103801E-3</c:v>
                </c:pt>
                <c:pt idx="64">
                  <c:v>1.9417481829103801E-3</c:v>
                </c:pt>
                <c:pt idx="65">
                  <c:v>1.9417481829103801E-3</c:v>
                </c:pt>
                <c:pt idx="66">
                  <c:v>1.9417481829103801E-3</c:v>
                </c:pt>
                <c:pt idx="67">
                  <c:v>1.9417481829103801E-3</c:v>
                </c:pt>
                <c:pt idx="68">
                  <c:v>1.9417481829103801E-3</c:v>
                </c:pt>
                <c:pt idx="69">
                  <c:v>1.9417481829103801E-3</c:v>
                </c:pt>
                <c:pt idx="70">
                  <c:v>1.9417481829103801E-3</c:v>
                </c:pt>
                <c:pt idx="71">
                  <c:v>1.9417481829103801E-3</c:v>
                </c:pt>
                <c:pt idx="72">
                  <c:v>1.9417481829103801E-3</c:v>
                </c:pt>
                <c:pt idx="73">
                  <c:v>1.9417481829103801E-3</c:v>
                </c:pt>
                <c:pt idx="74">
                  <c:v>1.9417481829103801E-3</c:v>
                </c:pt>
                <c:pt idx="75">
                  <c:v>1.9417481829103801E-3</c:v>
                </c:pt>
                <c:pt idx="76">
                  <c:v>1.9417481829103801E-3</c:v>
                </c:pt>
                <c:pt idx="77">
                  <c:v>1.9417481829103801E-3</c:v>
                </c:pt>
                <c:pt idx="78">
                  <c:v>1.9417481829103801E-3</c:v>
                </c:pt>
                <c:pt idx="79">
                  <c:v>1.9417481829103801E-3</c:v>
                </c:pt>
                <c:pt idx="80">
                  <c:v>1.9417481829103801E-3</c:v>
                </c:pt>
                <c:pt idx="81">
                  <c:v>1.9417481829103801E-3</c:v>
                </c:pt>
                <c:pt idx="82">
                  <c:v>1.9417481829103801E-3</c:v>
                </c:pt>
                <c:pt idx="83">
                  <c:v>1.9417481829103801E-3</c:v>
                </c:pt>
                <c:pt idx="84">
                  <c:v>1.9417481829103801E-3</c:v>
                </c:pt>
                <c:pt idx="85">
                  <c:v>1.9417481829103801E-3</c:v>
                </c:pt>
                <c:pt idx="86">
                  <c:v>1.9417481829103801E-3</c:v>
                </c:pt>
                <c:pt idx="87">
                  <c:v>1.9417481829103801E-3</c:v>
                </c:pt>
                <c:pt idx="88">
                  <c:v>1.9417481829103801E-3</c:v>
                </c:pt>
                <c:pt idx="89">
                  <c:v>1.9417481829103801E-3</c:v>
                </c:pt>
                <c:pt idx="90">
                  <c:v>1.9417481829103801E-3</c:v>
                </c:pt>
                <c:pt idx="91">
                  <c:v>1.9417481829103801E-3</c:v>
                </c:pt>
                <c:pt idx="92">
                  <c:v>1.9417481829103801E-3</c:v>
                </c:pt>
                <c:pt idx="93">
                  <c:v>1.9417481829103801E-3</c:v>
                </c:pt>
                <c:pt idx="94">
                  <c:v>1.9417481829103801E-3</c:v>
                </c:pt>
                <c:pt idx="95">
                  <c:v>1.9417481829103801E-3</c:v>
                </c:pt>
                <c:pt idx="96">
                  <c:v>1.9417481829103801E-3</c:v>
                </c:pt>
                <c:pt idx="97">
                  <c:v>1.9417481829103801E-3</c:v>
                </c:pt>
                <c:pt idx="98">
                  <c:v>1.9417481829103801E-3</c:v>
                </c:pt>
                <c:pt idx="99">
                  <c:v>1.9417481829103801E-3</c:v>
                </c:pt>
                <c:pt idx="100">
                  <c:v>1.9417481829103801E-3</c:v>
                </c:pt>
                <c:pt idx="101">
                  <c:v>1.9417481829103801E-3</c:v>
                </c:pt>
                <c:pt idx="102">
                  <c:v>1.9417481829103801E-3</c:v>
                </c:pt>
                <c:pt idx="103">
                  <c:v>1.9417481829103801E-3</c:v>
                </c:pt>
                <c:pt idx="104">
                  <c:v>1.9417481829103801E-3</c:v>
                </c:pt>
                <c:pt idx="105">
                  <c:v>1.9417481829103801E-3</c:v>
                </c:pt>
                <c:pt idx="106">
                  <c:v>1.9417481829103801E-3</c:v>
                </c:pt>
                <c:pt idx="107">
                  <c:v>1.9417481829103801E-3</c:v>
                </c:pt>
                <c:pt idx="108">
                  <c:v>1.9417481829103801E-3</c:v>
                </c:pt>
                <c:pt idx="109">
                  <c:v>1.9417481829103801E-3</c:v>
                </c:pt>
                <c:pt idx="110">
                  <c:v>1.9417481829103801E-3</c:v>
                </c:pt>
                <c:pt idx="111">
                  <c:v>1.9417481829103801E-3</c:v>
                </c:pt>
                <c:pt idx="112">
                  <c:v>1.9417481829103801E-3</c:v>
                </c:pt>
                <c:pt idx="113">
                  <c:v>1.9417481829103801E-3</c:v>
                </c:pt>
                <c:pt idx="114">
                  <c:v>1.9417481829103801E-3</c:v>
                </c:pt>
                <c:pt idx="115">
                  <c:v>1.9417481829103801E-3</c:v>
                </c:pt>
                <c:pt idx="116">
                  <c:v>1.9417481829103801E-3</c:v>
                </c:pt>
                <c:pt idx="117">
                  <c:v>1.9417481829103801E-3</c:v>
                </c:pt>
                <c:pt idx="118">
                  <c:v>1.9417481829103801E-3</c:v>
                </c:pt>
                <c:pt idx="119">
                  <c:v>1.9417481829103801E-3</c:v>
                </c:pt>
                <c:pt idx="120">
                  <c:v>1.9417481829103801E-3</c:v>
                </c:pt>
                <c:pt idx="121">
                  <c:v>1.9417481829103801E-3</c:v>
                </c:pt>
                <c:pt idx="122">
                  <c:v>1.9417481829103801E-3</c:v>
                </c:pt>
                <c:pt idx="123">
                  <c:v>1.9417481829103801E-3</c:v>
                </c:pt>
                <c:pt idx="124">
                  <c:v>1.9417481829103801E-3</c:v>
                </c:pt>
                <c:pt idx="125">
                  <c:v>1.9417481829103801E-3</c:v>
                </c:pt>
                <c:pt idx="126">
                  <c:v>1.9417481829103801E-3</c:v>
                </c:pt>
                <c:pt idx="127">
                  <c:v>1.9417481829103801E-3</c:v>
                </c:pt>
                <c:pt idx="128">
                  <c:v>1.9417481829103801E-3</c:v>
                </c:pt>
                <c:pt idx="129">
                  <c:v>1.9417481829103801E-3</c:v>
                </c:pt>
                <c:pt idx="130">
                  <c:v>1.9417481829103801E-3</c:v>
                </c:pt>
                <c:pt idx="131">
                  <c:v>1.9417481829103801E-3</c:v>
                </c:pt>
                <c:pt idx="132">
                  <c:v>1.9417481829103801E-3</c:v>
                </c:pt>
                <c:pt idx="133">
                  <c:v>1.9417481829103801E-3</c:v>
                </c:pt>
                <c:pt idx="134">
                  <c:v>1.9417481829103801E-3</c:v>
                </c:pt>
                <c:pt idx="135">
                  <c:v>1.9417481829103801E-3</c:v>
                </c:pt>
                <c:pt idx="136">
                  <c:v>1.9417481829103801E-3</c:v>
                </c:pt>
                <c:pt idx="137">
                  <c:v>1.9417481829103801E-3</c:v>
                </c:pt>
                <c:pt idx="138">
                  <c:v>1.9417481829103801E-3</c:v>
                </c:pt>
                <c:pt idx="139">
                  <c:v>1.9417481829103801E-3</c:v>
                </c:pt>
                <c:pt idx="140">
                  <c:v>1.9417481829103801E-3</c:v>
                </c:pt>
                <c:pt idx="141">
                  <c:v>1.9417481829103801E-3</c:v>
                </c:pt>
                <c:pt idx="142">
                  <c:v>1.9417481829103801E-3</c:v>
                </c:pt>
                <c:pt idx="143">
                  <c:v>1.9417481829103801E-3</c:v>
                </c:pt>
                <c:pt idx="144">
                  <c:v>1.9417481829103801E-3</c:v>
                </c:pt>
                <c:pt idx="145">
                  <c:v>1.9417481829103801E-3</c:v>
                </c:pt>
                <c:pt idx="146">
                  <c:v>1.9417481829103801E-3</c:v>
                </c:pt>
                <c:pt idx="147">
                  <c:v>1.9417481829103801E-3</c:v>
                </c:pt>
                <c:pt idx="148">
                  <c:v>1.9417481829103801E-3</c:v>
                </c:pt>
                <c:pt idx="149">
                  <c:v>1.9417481829103801E-3</c:v>
                </c:pt>
                <c:pt idx="150">
                  <c:v>1.9417481829103801E-3</c:v>
                </c:pt>
                <c:pt idx="151">
                  <c:v>1.9417481829103801E-3</c:v>
                </c:pt>
                <c:pt idx="152">
                  <c:v>1.9417481829103801E-3</c:v>
                </c:pt>
                <c:pt idx="153">
                  <c:v>1.9417481829103801E-3</c:v>
                </c:pt>
                <c:pt idx="154">
                  <c:v>1.9417481829103801E-3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C1-403A-8F1C-8D465BB5B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1.18506828010929E-3</c:v>
                </c:pt>
                <c:pt idx="56">
                  <c:v>1.18506828010929E-3</c:v>
                </c:pt>
                <c:pt idx="57">
                  <c:v>1.18506828010929E-3</c:v>
                </c:pt>
                <c:pt idx="58">
                  <c:v>1.18506828010929E-3</c:v>
                </c:pt>
                <c:pt idx="59">
                  <c:v>1.18506828010929E-3</c:v>
                </c:pt>
                <c:pt idx="60">
                  <c:v>1.18506828010929E-3</c:v>
                </c:pt>
                <c:pt idx="61">
                  <c:v>1.18506828010929E-3</c:v>
                </c:pt>
                <c:pt idx="62">
                  <c:v>1.18506828010929E-3</c:v>
                </c:pt>
                <c:pt idx="63">
                  <c:v>1.18506828010929E-3</c:v>
                </c:pt>
                <c:pt idx="64">
                  <c:v>1.18506828010929E-3</c:v>
                </c:pt>
                <c:pt idx="65">
                  <c:v>1.18506828010929E-3</c:v>
                </c:pt>
                <c:pt idx="66">
                  <c:v>1.18506828010929E-3</c:v>
                </c:pt>
                <c:pt idx="67">
                  <c:v>1.18506828010929E-3</c:v>
                </c:pt>
                <c:pt idx="68">
                  <c:v>1.18506828010929E-3</c:v>
                </c:pt>
                <c:pt idx="69">
                  <c:v>1.18506828010929E-3</c:v>
                </c:pt>
                <c:pt idx="70">
                  <c:v>1.18506828010929E-3</c:v>
                </c:pt>
                <c:pt idx="71">
                  <c:v>1.18506828010929E-3</c:v>
                </c:pt>
                <c:pt idx="72">
                  <c:v>1.18506828010929E-3</c:v>
                </c:pt>
                <c:pt idx="73">
                  <c:v>1.18506828010929E-3</c:v>
                </c:pt>
                <c:pt idx="74">
                  <c:v>1.18506828010929E-3</c:v>
                </c:pt>
                <c:pt idx="75">
                  <c:v>1.18506828010929E-3</c:v>
                </c:pt>
                <c:pt idx="76">
                  <c:v>1.18506828010929E-3</c:v>
                </c:pt>
                <c:pt idx="77">
                  <c:v>1.18506828010929E-3</c:v>
                </c:pt>
                <c:pt idx="78">
                  <c:v>1.18506828010929E-3</c:v>
                </c:pt>
                <c:pt idx="79">
                  <c:v>1.18506828010929E-3</c:v>
                </c:pt>
                <c:pt idx="80">
                  <c:v>1.18506828010929E-3</c:v>
                </c:pt>
                <c:pt idx="81">
                  <c:v>1.18506828010929E-3</c:v>
                </c:pt>
                <c:pt idx="82">
                  <c:v>1.18506828010929E-3</c:v>
                </c:pt>
                <c:pt idx="83">
                  <c:v>1.18506828010929E-3</c:v>
                </c:pt>
                <c:pt idx="84">
                  <c:v>1.18506828010929E-3</c:v>
                </c:pt>
                <c:pt idx="85">
                  <c:v>1.18506828010929E-3</c:v>
                </c:pt>
                <c:pt idx="86">
                  <c:v>1.18506828010929E-3</c:v>
                </c:pt>
                <c:pt idx="87">
                  <c:v>1.18506828010929E-3</c:v>
                </c:pt>
                <c:pt idx="88">
                  <c:v>1.18506828010929E-3</c:v>
                </c:pt>
                <c:pt idx="89">
                  <c:v>1.18506828010929E-3</c:v>
                </c:pt>
                <c:pt idx="90">
                  <c:v>1.18506828010929E-3</c:v>
                </c:pt>
                <c:pt idx="91">
                  <c:v>1.18506828010929E-3</c:v>
                </c:pt>
                <c:pt idx="92">
                  <c:v>1.18506828010929E-3</c:v>
                </c:pt>
                <c:pt idx="93">
                  <c:v>1.18506828010929E-3</c:v>
                </c:pt>
                <c:pt idx="94">
                  <c:v>1.18506828010929E-3</c:v>
                </c:pt>
                <c:pt idx="95">
                  <c:v>1.18506828010929E-3</c:v>
                </c:pt>
                <c:pt idx="96">
                  <c:v>1.18506828010929E-3</c:v>
                </c:pt>
                <c:pt idx="97">
                  <c:v>1.18506828010929E-3</c:v>
                </c:pt>
                <c:pt idx="98">
                  <c:v>1.18506828010929E-3</c:v>
                </c:pt>
                <c:pt idx="99">
                  <c:v>1.18506828010929E-3</c:v>
                </c:pt>
                <c:pt idx="100">
                  <c:v>1.18506828010929E-3</c:v>
                </c:pt>
                <c:pt idx="101">
                  <c:v>1.18506828010929E-3</c:v>
                </c:pt>
                <c:pt idx="102">
                  <c:v>1.18506828010929E-3</c:v>
                </c:pt>
                <c:pt idx="103">
                  <c:v>1.18506828010929E-3</c:v>
                </c:pt>
                <c:pt idx="104">
                  <c:v>1.18506828010929E-3</c:v>
                </c:pt>
                <c:pt idx="105">
                  <c:v>1.18506828010929E-3</c:v>
                </c:pt>
                <c:pt idx="106">
                  <c:v>1.18506828010929E-3</c:v>
                </c:pt>
                <c:pt idx="107">
                  <c:v>1.18506828010929E-3</c:v>
                </c:pt>
                <c:pt idx="108">
                  <c:v>1.18506828010929E-3</c:v>
                </c:pt>
                <c:pt idx="109">
                  <c:v>1.18506828010929E-3</c:v>
                </c:pt>
                <c:pt idx="110">
                  <c:v>1.18506828010929E-3</c:v>
                </c:pt>
                <c:pt idx="111">
                  <c:v>1.18506828010929E-3</c:v>
                </c:pt>
                <c:pt idx="112">
                  <c:v>1.18506828010929E-3</c:v>
                </c:pt>
                <c:pt idx="113">
                  <c:v>1.18506828010929E-3</c:v>
                </c:pt>
                <c:pt idx="114">
                  <c:v>1.18506828010929E-3</c:v>
                </c:pt>
                <c:pt idx="115">
                  <c:v>1.18506828010929E-3</c:v>
                </c:pt>
                <c:pt idx="116">
                  <c:v>1.18506828010929E-3</c:v>
                </c:pt>
                <c:pt idx="117">
                  <c:v>1.18506828010929E-3</c:v>
                </c:pt>
                <c:pt idx="118">
                  <c:v>1.18506828010929E-3</c:v>
                </c:pt>
                <c:pt idx="119">
                  <c:v>1.18506828010929E-3</c:v>
                </c:pt>
                <c:pt idx="120">
                  <c:v>1.18506828010929E-3</c:v>
                </c:pt>
                <c:pt idx="121">
                  <c:v>1.18506828010929E-3</c:v>
                </c:pt>
                <c:pt idx="122">
                  <c:v>1.18506828010929E-3</c:v>
                </c:pt>
                <c:pt idx="123">
                  <c:v>1.18506828010929E-3</c:v>
                </c:pt>
                <c:pt idx="124">
                  <c:v>1.18506828010929E-3</c:v>
                </c:pt>
                <c:pt idx="125">
                  <c:v>1.18506828010929E-3</c:v>
                </c:pt>
                <c:pt idx="126">
                  <c:v>1.18506828010929E-3</c:v>
                </c:pt>
                <c:pt idx="127">
                  <c:v>1.18506828010929E-3</c:v>
                </c:pt>
                <c:pt idx="128">
                  <c:v>1.18506828010929E-3</c:v>
                </c:pt>
                <c:pt idx="129">
                  <c:v>1.18506828010929E-3</c:v>
                </c:pt>
                <c:pt idx="130">
                  <c:v>1.18506828010929E-3</c:v>
                </c:pt>
                <c:pt idx="131">
                  <c:v>1.18506828010929E-3</c:v>
                </c:pt>
                <c:pt idx="132">
                  <c:v>1.18506828010929E-3</c:v>
                </c:pt>
                <c:pt idx="133">
                  <c:v>1.18506828010929E-3</c:v>
                </c:pt>
                <c:pt idx="134">
                  <c:v>1.18506828010929E-3</c:v>
                </c:pt>
                <c:pt idx="135">
                  <c:v>1.18506828010929E-3</c:v>
                </c:pt>
                <c:pt idx="136">
                  <c:v>1.18506828010929E-3</c:v>
                </c:pt>
                <c:pt idx="137">
                  <c:v>1.18506828010929E-3</c:v>
                </c:pt>
                <c:pt idx="138">
                  <c:v>1.18506828010929E-3</c:v>
                </c:pt>
                <c:pt idx="139">
                  <c:v>1.18506828010929E-3</c:v>
                </c:pt>
                <c:pt idx="140">
                  <c:v>1.18506828010929E-3</c:v>
                </c:pt>
                <c:pt idx="141">
                  <c:v>1.18506828010929E-3</c:v>
                </c:pt>
                <c:pt idx="142">
                  <c:v>1.18506828010929E-3</c:v>
                </c:pt>
                <c:pt idx="143">
                  <c:v>1.18506828010929E-3</c:v>
                </c:pt>
                <c:pt idx="144">
                  <c:v>1.18506828010929E-3</c:v>
                </c:pt>
                <c:pt idx="145">
                  <c:v>1.18506828010929E-3</c:v>
                </c:pt>
                <c:pt idx="146">
                  <c:v>1.18506828010929E-3</c:v>
                </c:pt>
                <c:pt idx="147">
                  <c:v>1.18506828010929E-3</c:v>
                </c:pt>
                <c:pt idx="148">
                  <c:v>1.18506828010929E-3</c:v>
                </c:pt>
                <c:pt idx="149">
                  <c:v>1.18506828010929E-3</c:v>
                </c:pt>
                <c:pt idx="150">
                  <c:v>1.18506828010929E-3</c:v>
                </c:pt>
                <c:pt idx="151">
                  <c:v>1.18506828010929E-3</c:v>
                </c:pt>
                <c:pt idx="152">
                  <c:v>1.18506828010929E-3</c:v>
                </c:pt>
                <c:pt idx="153">
                  <c:v>1.18506828010929E-3</c:v>
                </c:pt>
                <c:pt idx="154">
                  <c:v>1.18506828010929E-3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6C-406F-AC08-D68752983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1.9417481829103801E-3</c:v>
                </c:pt>
                <c:pt idx="19">
                  <c:v>1.9417481829103801E-3</c:v>
                </c:pt>
                <c:pt idx="20">
                  <c:v>1.9417481829103801E-3</c:v>
                </c:pt>
                <c:pt idx="21">
                  <c:v>1.9417481829103801E-3</c:v>
                </c:pt>
                <c:pt idx="22">
                  <c:v>1.9417481829103801E-3</c:v>
                </c:pt>
                <c:pt idx="23">
                  <c:v>1.9417481829103801E-3</c:v>
                </c:pt>
                <c:pt idx="24">
                  <c:v>1.9417481829103801E-3</c:v>
                </c:pt>
                <c:pt idx="25">
                  <c:v>1.9417481829103801E-3</c:v>
                </c:pt>
                <c:pt idx="26">
                  <c:v>1.9417481829103801E-3</c:v>
                </c:pt>
                <c:pt idx="27">
                  <c:v>1.9417481829103801E-3</c:v>
                </c:pt>
                <c:pt idx="28">
                  <c:v>1.9417481829103801E-3</c:v>
                </c:pt>
                <c:pt idx="29">
                  <c:v>1.9417481829103801E-3</c:v>
                </c:pt>
                <c:pt idx="30">
                  <c:v>1.9417481829103801E-3</c:v>
                </c:pt>
                <c:pt idx="31">
                  <c:v>1.9417481829103801E-3</c:v>
                </c:pt>
                <c:pt idx="32">
                  <c:v>1.9417481829103801E-3</c:v>
                </c:pt>
                <c:pt idx="33">
                  <c:v>1.9417481829103801E-3</c:v>
                </c:pt>
                <c:pt idx="34">
                  <c:v>1.9417481829103801E-3</c:v>
                </c:pt>
                <c:pt idx="35">
                  <c:v>1.9417481829103801E-3</c:v>
                </c:pt>
                <c:pt idx="36">
                  <c:v>1.9417481829103801E-3</c:v>
                </c:pt>
                <c:pt idx="37">
                  <c:v>1.9417481829103801E-3</c:v>
                </c:pt>
                <c:pt idx="38">
                  <c:v>1.9417481829103801E-3</c:v>
                </c:pt>
                <c:pt idx="39">
                  <c:v>1.9417481829103801E-3</c:v>
                </c:pt>
                <c:pt idx="40">
                  <c:v>1.9417481829103801E-3</c:v>
                </c:pt>
                <c:pt idx="41">
                  <c:v>1.9417481829103801E-3</c:v>
                </c:pt>
                <c:pt idx="42">
                  <c:v>1.9417481829103801E-3</c:v>
                </c:pt>
                <c:pt idx="43">
                  <c:v>1.9417481829103801E-3</c:v>
                </c:pt>
                <c:pt idx="44">
                  <c:v>1.9417481829103801E-3</c:v>
                </c:pt>
                <c:pt idx="45">
                  <c:v>1.9417481829103801E-3</c:v>
                </c:pt>
                <c:pt idx="46">
                  <c:v>1.9417481829103801E-3</c:v>
                </c:pt>
                <c:pt idx="47">
                  <c:v>1.9417481829103801E-3</c:v>
                </c:pt>
                <c:pt idx="48">
                  <c:v>1.9417481829103801E-3</c:v>
                </c:pt>
                <c:pt idx="49">
                  <c:v>1.9417481829103801E-3</c:v>
                </c:pt>
                <c:pt idx="50">
                  <c:v>1.9417481829103801E-3</c:v>
                </c:pt>
                <c:pt idx="51">
                  <c:v>1.9417481829103801E-3</c:v>
                </c:pt>
                <c:pt idx="52">
                  <c:v>1.9417481829103801E-3</c:v>
                </c:pt>
                <c:pt idx="53">
                  <c:v>1.9417481829103801E-3</c:v>
                </c:pt>
                <c:pt idx="54">
                  <c:v>1.9417481829103801E-3</c:v>
                </c:pt>
                <c:pt idx="55">
                  <c:v>3.1268164630196701E-3</c:v>
                </c:pt>
                <c:pt idx="56">
                  <c:v>3.1268164630196701E-3</c:v>
                </c:pt>
                <c:pt idx="57">
                  <c:v>3.1268164630196701E-3</c:v>
                </c:pt>
                <c:pt idx="58">
                  <c:v>3.1268164630196701E-3</c:v>
                </c:pt>
                <c:pt idx="59">
                  <c:v>3.1268164630196701E-3</c:v>
                </c:pt>
                <c:pt idx="60">
                  <c:v>3.1268164630196701E-3</c:v>
                </c:pt>
                <c:pt idx="61">
                  <c:v>3.1268164630196701E-3</c:v>
                </c:pt>
                <c:pt idx="62">
                  <c:v>3.1268164630196701E-3</c:v>
                </c:pt>
                <c:pt idx="63">
                  <c:v>3.1268164630196701E-3</c:v>
                </c:pt>
                <c:pt idx="64">
                  <c:v>3.1268164630196701E-3</c:v>
                </c:pt>
                <c:pt idx="65">
                  <c:v>3.1268164630196701E-3</c:v>
                </c:pt>
                <c:pt idx="66">
                  <c:v>3.1268164630196701E-3</c:v>
                </c:pt>
                <c:pt idx="67">
                  <c:v>3.1268164630196701E-3</c:v>
                </c:pt>
                <c:pt idx="68">
                  <c:v>3.1268164630196701E-3</c:v>
                </c:pt>
                <c:pt idx="69">
                  <c:v>3.1268164630196701E-3</c:v>
                </c:pt>
                <c:pt idx="70">
                  <c:v>3.1268164630196701E-3</c:v>
                </c:pt>
                <c:pt idx="71">
                  <c:v>3.1268164630196701E-3</c:v>
                </c:pt>
                <c:pt idx="72">
                  <c:v>3.1268164630196701E-3</c:v>
                </c:pt>
                <c:pt idx="73">
                  <c:v>3.1268164630196701E-3</c:v>
                </c:pt>
                <c:pt idx="74">
                  <c:v>3.1268164630196701E-3</c:v>
                </c:pt>
                <c:pt idx="75">
                  <c:v>3.1268164630196701E-3</c:v>
                </c:pt>
                <c:pt idx="76">
                  <c:v>3.1268164630196701E-3</c:v>
                </c:pt>
                <c:pt idx="77">
                  <c:v>3.1268164630196701E-3</c:v>
                </c:pt>
                <c:pt idx="78">
                  <c:v>3.1268164630196701E-3</c:v>
                </c:pt>
                <c:pt idx="79">
                  <c:v>3.1268164630196701E-3</c:v>
                </c:pt>
                <c:pt idx="80">
                  <c:v>3.1268164630196701E-3</c:v>
                </c:pt>
                <c:pt idx="81">
                  <c:v>3.1268164630196701E-3</c:v>
                </c:pt>
                <c:pt idx="82">
                  <c:v>3.1268164630196701E-3</c:v>
                </c:pt>
                <c:pt idx="83">
                  <c:v>3.1268164630196701E-3</c:v>
                </c:pt>
                <c:pt idx="84">
                  <c:v>3.1268164630196701E-3</c:v>
                </c:pt>
                <c:pt idx="85">
                  <c:v>3.1268164630196701E-3</c:v>
                </c:pt>
                <c:pt idx="86">
                  <c:v>3.1268164630196701E-3</c:v>
                </c:pt>
                <c:pt idx="87">
                  <c:v>3.1268164630196701E-3</c:v>
                </c:pt>
                <c:pt idx="88">
                  <c:v>3.1268164630196701E-3</c:v>
                </c:pt>
                <c:pt idx="89">
                  <c:v>3.1268164630196701E-3</c:v>
                </c:pt>
                <c:pt idx="90">
                  <c:v>3.1268164630196701E-3</c:v>
                </c:pt>
                <c:pt idx="91">
                  <c:v>3.1268164630196701E-3</c:v>
                </c:pt>
                <c:pt idx="92">
                  <c:v>3.1268164630196701E-3</c:v>
                </c:pt>
                <c:pt idx="93">
                  <c:v>3.1268164630196701E-3</c:v>
                </c:pt>
                <c:pt idx="94">
                  <c:v>3.1268164630196701E-3</c:v>
                </c:pt>
                <c:pt idx="95">
                  <c:v>3.1268164630196701E-3</c:v>
                </c:pt>
                <c:pt idx="96">
                  <c:v>3.1268164630196701E-3</c:v>
                </c:pt>
                <c:pt idx="97">
                  <c:v>3.1268164630196701E-3</c:v>
                </c:pt>
                <c:pt idx="98">
                  <c:v>3.1268164630196701E-3</c:v>
                </c:pt>
                <c:pt idx="99">
                  <c:v>3.1268164630196701E-3</c:v>
                </c:pt>
                <c:pt idx="100">
                  <c:v>3.1268164630196701E-3</c:v>
                </c:pt>
                <c:pt idx="101">
                  <c:v>3.1268164630196701E-3</c:v>
                </c:pt>
                <c:pt idx="102">
                  <c:v>3.1268164630196701E-3</c:v>
                </c:pt>
                <c:pt idx="103">
                  <c:v>3.1268164630196701E-3</c:v>
                </c:pt>
                <c:pt idx="104">
                  <c:v>3.1268164630196701E-3</c:v>
                </c:pt>
                <c:pt idx="105">
                  <c:v>3.1268164630196701E-3</c:v>
                </c:pt>
                <c:pt idx="106">
                  <c:v>3.1268164630196701E-3</c:v>
                </c:pt>
                <c:pt idx="107">
                  <c:v>3.1268164630196701E-3</c:v>
                </c:pt>
                <c:pt idx="108">
                  <c:v>3.1268164630196701E-3</c:v>
                </c:pt>
                <c:pt idx="109">
                  <c:v>3.1268164630196701E-3</c:v>
                </c:pt>
                <c:pt idx="110">
                  <c:v>3.1268164630196701E-3</c:v>
                </c:pt>
                <c:pt idx="111">
                  <c:v>3.1268164630196701E-3</c:v>
                </c:pt>
                <c:pt idx="112">
                  <c:v>3.1268164630196701E-3</c:v>
                </c:pt>
                <c:pt idx="113">
                  <c:v>3.1268164630196701E-3</c:v>
                </c:pt>
                <c:pt idx="114">
                  <c:v>3.1268164630196701E-3</c:v>
                </c:pt>
                <c:pt idx="115">
                  <c:v>3.1268164630196701E-3</c:v>
                </c:pt>
                <c:pt idx="116">
                  <c:v>3.1268164630196701E-3</c:v>
                </c:pt>
                <c:pt idx="117">
                  <c:v>3.1268164630196701E-3</c:v>
                </c:pt>
                <c:pt idx="118">
                  <c:v>3.1268164630196701E-3</c:v>
                </c:pt>
                <c:pt idx="119">
                  <c:v>3.1268164630196701E-3</c:v>
                </c:pt>
                <c:pt idx="120">
                  <c:v>3.1268164630196701E-3</c:v>
                </c:pt>
                <c:pt idx="121">
                  <c:v>3.1268164630196701E-3</c:v>
                </c:pt>
                <c:pt idx="122">
                  <c:v>3.1268164630196701E-3</c:v>
                </c:pt>
                <c:pt idx="123">
                  <c:v>3.1268164630196701E-3</c:v>
                </c:pt>
                <c:pt idx="124">
                  <c:v>3.1268164630196701E-3</c:v>
                </c:pt>
                <c:pt idx="125">
                  <c:v>3.1268164630196701E-3</c:v>
                </c:pt>
                <c:pt idx="126">
                  <c:v>3.1268164630196701E-3</c:v>
                </c:pt>
                <c:pt idx="127">
                  <c:v>3.1268164630196701E-3</c:v>
                </c:pt>
                <c:pt idx="128">
                  <c:v>3.1268164630196701E-3</c:v>
                </c:pt>
                <c:pt idx="129">
                  <c:v>3.1268164630196701E-3</c:v>
                </c:pt>
                <c:pt idx="130">
                  <c:v>3.1268164630196701E-3</c:v>
                </c:pt>
                <c:pt idx="131">
                  <c:v>3.1268164630196701E-3</c:v>
                </c:pt>
                <c:pt idx="132">
                  <c:v>3.1268164630196701E-3</c:v>
                </c:pt>
                <c:pt idx="133">
                  <c:v>3.1268164630196701E-3</c:v>
                </c:pt>
                <c:pt idx="134">
                  <c:v>3.1268164630196701E-3</c:v>
                </c:pt>
                <c:pt idx="135">
                  <c:v>3.1268164630196701E-3</c:v>
                </c:pt>
                <c:pt idx="136">
                  <c:v>3.1268164630196701E-3</c:v>
                </c:pt>
                <c:pt idx="137">
                  <c:v>3.1268164630196701E-3</c:v>
                </c:pt>
                <c:pt idx="138">
                  <c:v>3.1268164630196701E-3</c:v>
                </c:pt>
                <c:pt idx="139">
                  <c:v>3.1268164630196701E-3</c:v>
                </c:pt>
                <c:pt idx="140">
                  <c:v>3.1268164630196701E-3</c:v>
                </c:pt>
                <c:pt idx="141">
                  <c:v>3.1268164630196701E-3</c:v>
                </c:pt>
                <c:pt idx="142">
                  <c:v>3.1268164630196701E-3</c:v>
                </c:pt>
                <c:pt idx="143">
                  <c:v>3.1268164630196701E-3</c:v>
                </c:pt>
                <c:pt idx="144">
                  <c:v>3.1268164630196701E-3</c:v>
                </c:pt>
                <c:pt idx="145">
                  <c:v>3.1268164630196701E-3</c:v>
                </c:pt>
                <c:pt idx="146">
                  <c:v>3.1268164630196701E-3</c:v>
                </c:pt>
                <c:pt idx="147">
                  <c:v>3.1268164630196701E-3</c:v>
                </c:pt>
                <c:pt idx="148">
                  <c:v>3.1268164630196701E-3</c:v>
                </c:pt>
                <c:pt idx="149">
                  <c:v>3.1268164630196701E-3</c:v>
                </c:pt>
                <c:pt idx="150">
                  <c:v>3.1268164630196701E-3</c:v>
                </c:pt>
                <c:pt idx="151">
                  <c:v>3.1268164630196701E-3</c:v>
                </c:pt>
                <c:pt idx="152">
                  <c:v>3.1268164630196701E-3</c:v>
                </c:pt>
                <c:pt idx="153">
                  <c:v>3.1268164630196701E-3</c:v>
                </c:pt>
                <c:pt idx="154">
                  <c:v>3.1268164630196701E-3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B5-4203-B962-CB360D063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0CB4C-D14B-41B0-9DE8-A3BAF79FF4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D632D7-F68F-4EDF-B9D0-91042B3EF7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EEC248-283E-440A-8C7E-70C6C321D6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DE3150-759C-46AB-89D5-120DEA502E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4927B9-F9BB-4F0F-9467-2875B40A5E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B66108F-E781-4A91-B1D1-CE4A63C2ED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9C307C4-E4C7-4690-B265-FE099D46EB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3F83F-E3A1-4D37-9A6E-216601E8CB5F}">
  <dimension ref="A1:DZ183"/>
  <sheetViews>
    <sheetView tabSelected="1" topLeftCell="AF1" workbookViewId="0">
      <selection activeCell="AT23" sqref="AT23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28515625" style="15" bestFit="1" customWidth="1"/>
    <col min="5" max="5" width="12" style="15" bestFit="1" customWidth="1"/>
    <col min="6" max="6" width="9.7109375" style="33" bestFit="1" customWidth="1"/>
    <col min="7" max="7" width="18.140625" style="33" bestFit="1" customWidth="1"/>
    <col min="8" max="8" width="10.42578125" style="33" bestFit="1" customWidth="1"/>
    <col min="9" max="9" width="18.85546875" style="33" bestFit="1" customWidth="1"/>
    <col min="10" max="10" width="20.7109375" style="33" bestFit="1" customWidth="1"/>
    <col min="11" max="11" width="21.5703125" style="33" bestFit="1" customWidth="1"/>
    <col min="12" max="13" width="11" style="33" bestFit="1" customWidth="1"/>
    <col min="14" max="14" width="12.140625" style="34" bestFit="1" customWidth="1"/>
    <col min="15" max="15" width="15.7109375" style="34" bestFit="1" customWidth="1"/>
    <col min="16" max="17" width="19.140625" style="34" bestFit="1" customWidth="1"/>
    <col min="18" max="18" width="11.42578125" style="33" bestFit="1" customWidth="1"/>
    <col min="19" max="20" width="14.85546875" style="33" bestFit="1" customWidth="1"/>
    <col min="21" max="21" width="23.5703125" style="15" bestFit="1" customWidth="1"/>
    <col min="22" max="23" width="27" style="15" bestFit="1" customWidth="1"/>
    <col min="24" max="24" width="14.28515625" style="34" bestFit="1" customWidth="1"/>
    <col min="25" max="25" width="17.85546875" style="34" bestFit="1" customWidth="1"/>
    <col min="26" max="27" width="21.140625" style="34" bestFit="1" customWidth="1"/>
    <col min="28" max="28" width="12.42578125" style="33" bestFit="1" customWidth="1"/>
    <col min="29" max="30" width="15.85546875" style="33" bestFit="1" customWidth="1"/>
    <col min="31" max="31" width="25.7109375" style="15" bestFit="1" customWidth="1"/>
    <col min="32" max="33" width="29" style="15" bestFit="1" customWidth="1"/>
    <col min="34" max="34" width="1.7109375" style="9" customWidth="1"/>
    <col min="35" max="35" width="7.7109375" style="15" bestFit="1" customWidth="1"/>
    <col min="36" max="36" width="6.7109375" style="15" bestFit="1" customWidth="1"/>
    <col min="37" max="38" width="6.85546875" style="15" bestFit="1" customWidth="1"/>
    <col min="39" max="39" width="7.85546875" style="15" bestFit="1" customWidth="1"/>
    <col min="40" max="40" width="8.42578125" style="15" bestFit="1" customWidth="1"/>
    <col min="41" max="41" width="11.28515625" style="15" bestFit="1" customWidth="1"/>
    <col min="42" max="42" width="12" style="15" bestFit="1" customWidth="1"/>
    <col min="43" max="43" width="12.710937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6.28515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2" width="11.28515625" style="15" bestFit="1" customWidth="1"/>
    <col min="53" max="54" width="12" style="15" bestFit="1" customWidth="1"/>
    <col min="55" max="55" width="8.7109375" style="15" bestFit="1" customWidth="1"/>
    <col min="56" max="56" width="1.7109375" style="9" customWidth="1"/>
    <col min="57" max="57" width="12.710937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1.2750711555097243</v>
      </c>
      <c r="AJ1" s="4">
        <v>0</v>
      </c>
      <c r="AK1" s="4">
        <f t="shared" ref="AK1:AQ1" si="0">AJ1-$AK12</f>
        <v>-2.0000000000000001E-4</v>
      </c>
      <c r="AL1" s="4">
        <f t="shared" si="0"/>
        <v>-4.0000000000000002E-4</v>
      </c>
      <c r="AM1" s="4">
        <f t="shared" si="0"/>
        <v>-6.0000000000000006E-4</v>
      </c>
      <c r="AN1" s="4">
        <f t="shared" si="0"/>
        <v>-8.0000000000000004E-4</v>
      </c>
      <c r="AO1" s="4">
        <f t="shared" si="0"/>
        <v>-1E-3</v>
      </c>
      <c r="AP1" s="4">
        <f t="shared" si="0"/>
        <v>-1.2000000000000001E-3</v>
      </c>
      <c r="AQ1" s="4">
        <f t="shared" si="0"/>
        <v>-1.4000000000000002E-3</v>
      </c>
      <c r="AR1" s="5" t="s">
        <v>33</v>
      </c>
      <c r="AS1" s="2"/>
      <c r="AT1" s="3">
        <f>BB16</f>
        <v>1.2750711555097243</v>
      </c>
      <c r="AU1" s="4">
        <v>0</v>
      </c>
      <c r="AV1" s="6">
        <f>AU1+$AV12</f>
        <v>2.0000000000000001E-4</v>
      </c>
      <c r="AW1" s="6">
        <f t="shared" ref="AW1:BB1" si="1">AV1+$AV12</f>
        <v>4.0000000000000002E-4</v>
      </c>
      <c r="AX1" s="6">
        <f t="shared" si="1"/>
        <v>6.0000000000000006E-4</v>
      </c>
      <c r="AY1" s="6">
        <f t="shared" si="1"/>
        <v>8.0000000000000004E-4</v>
      </c>
      <c r="AZ1" s="6">
        <f t="shared" si="1"/>
        <v>1E-3</v>
      </c>
      <c r="BA1" s="6">
        <f t="shared" si="1"/>
        <v>1.2000000000000001E-3</v>
      </c>
      <c r="BB1" s="6">
        <f t="shared" si="1"/>
        <v>1.4000000000000002E-3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20.61</v>
      </c>
      <c r="C2" s="33">
        <v>25.46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20.61</v>
      </c>
      <c r="M2" s="33">
        <v>25.46</v>
      </c>
      <c r="N2" s="34">
        <v>1.2353226589034401</v>
      </c>
      <c r="O2" s="34">
        <v>1.2371344131525399</v>
      </c>
      <c r="X2" s="34">
        <v>1.2353226589034401</v>
      </c>
      <c r="Y2" s="34">
        <v>1.2358474847357901</v>
      </c>
      <c r="AI2" s="4">
        <v>0</v>
      </c>
      <c r="AJ2" s="10">
        <f t="dataTable" ref="AJ2:AQ9" dt2D="1" dtr="1" r1="AI21" r2="AI22"/>
        <v>4.9726253941699152</v>
      </c>
      <c r="AK2" s="10">
        <v>5.5499373561338494</v>
      </c>
      <c r="AL2" s="10">
        <v>4.6789532362431077</v>
      </c>
      <c r="AM2" s="10">
        <v>3.308870615782729</v>
      </c>
      <c r="AN2" s="10">
        <v>1.9308233468844676</v>
      </c>
      <c r="AO2" s="10">
        <v>1.2750711555097243</v>
      </c>
      <c r="AP2" s="10" t="e">
        <v>#DIV/0!</v>
      </c>
      <c r="AQ2" s="10" t="e">
        <v>#DIV/0!</v>
      </c>
      <c r="AR2"/>
      <c r="AT2" s="4">
        <v>0</v>
      </c>
      <c r="AU2" s="10">
        <f t="dataTable" ref="AU2:BB9" dt2D="1" dtr="1" r1="AT21" r2="AT22"/>
        <v>6.0644983507490791</v>
      </c>
      <c r="AV2" s="11">
        <v>5.7806652793741193</v>
      </c>
      <c r="AW2" s="11">
        <v>4.1744531311271995</v>
      </c>
      <c r="AX2" s="11">
        <v>3.3591708175098658</v>
      </c>
      <c r="AY2" s="11">
        <v>1.2750711555097243</v>
      </c>
      <c r="AZ2" s="11">
        <v>1.2750711555097243</v>
      </c>
      <c r="BA2" s="11" t="e">
        <v>#DIV/0!</v>
      </c>
      <c r="BB2" s="11" t="e">
        <v>#DIV/0!</v>
      </c>
      <c r="BC2"/>
    </row>
    <row r="3" spans="1:130" x14ac:dyDescent="0.25">
      <c r="A3" s="1">
        <v>46027</v>
      </c>
      <c r="B3" s="33">
        <v>20.62</v>
      </c>
      <c r="C3" s="33">
        <v>25.47</v>
      </c>
      <c r="D3" s="15">
        <v>4.8508368644628998E-4</v>
      </c>
      <c r="E3" s="15">
        <v>3.9269586210508001E-4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20.62</v>
      </c>
      <c r="M3" s="33">
        <v>25.47</v>
      </c>
      <c r="N3" s="34">
        <v>1.23520853540252</v>
      </c>
      <c r="O3" s="34">
        <v>1.2371344131525399</v>
      </c>
      <c r="R3" s="33">
        <v>25.509711599205399</v>
      </c>
      <c r="U3" s="15">
        <v>1.5579376968590901E-3</v>
      </c>
      <c r="X3" s="34">
        <v>1.23520853540252</v>
      </c>
      <c r="Y3" s="34">
        <v>1.2358474847357901</v>
      </c>
      <c r="AB3" s="33">
        <v>25.483175135251901</v>
      </c>
      <c r="AE3" s="15">
        <v>5.1714679254644602E-4</v>
      </c>
      <c r="AI3" s="4">
        <f t="shared" ref="AI3:AI9" si="2">AI2-AK$12</f>
        <v>-2.0000000000000001E-4</v>
      </c>
      <c r="AJ3" s="10">
        <v>4.9726253941699152</v>
      </c>
      <c r="AK3" s="10">
        <v>6.0316130915469648</v>
      </c>
      <c r="AL3" s="10">
        <v>4.9905736436251305</v>
      </c>
      <c r="AM3" s="10">
        <v>3.308870615782729</v>
      </c>
      <c r="AN3" s="10">
        <v>1.9308233468844676</v>
      </c>
      <c r="AO3" s="11">
        <v>1.2750711555097243</v>
      </c>
      <c r="AP3" s="10" t="e">
        <v>#DIV/0!</v>
      </c>
      <c r="AQ3" s="10" t="e">
        <v>#DIV/0!</v>
      </c>
      <c r="AR3"/>
      <c r="AT3" s="4">
        <f>AT2+AV$12</f>
        <v>2.0000000000000001E-4</v>
      </c>
      <c r="AU3" s="10">
        <v>6.0644983507490791</v>
      </c>
      <c r="AV3" s="11">
        <v>6.1517170629025344</v>
      </c>
      <c r="AW3" s="11">
        <v>3.8684684629709261</v>
      </c>
      <c r="AX3" s="11">
        <v>3.0442726066153996</v>
      </c>
      <c r="AY3" s="11">
        <v>1.2750711555097243</v>
      </c>
      <c r="AZ3" s="11">
        <v>1.2750711555097243</v>
      </c>
      <c r="BA3" s="11" t="e">
        <v>#DIV/0!</v>
      </c>
      <c r="BB3" s="11" t="e">
        <v>#DIV/0!</v>
      </c>
      <c r="BC3"/>
    </row>
    <row r="4" spans="1:130" x14ac:dyDescent="0.25">
      <c r="A4" s="1">
        <v>46028</v>
      </c>
      <c r="B4" s="33">
        <v>20.62</v>
      </c>
      <c r="C4" s="33">
        <v>25.48</v>
      </c>
      <c r="D4" s="15">
        <v>0</v>
      </c>
      <c r="E4" s="15">
        <v>3.92541712597108E-4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20.62</v>
      </c>
      <c r="M4" s="33">
        <v>25.48</v>
      </c>
      <c r="N4" s="34">
        <v>1.23569350145489</v>
      </c>
      <c r="O4" s="34">
        <v>1.2371344131525399</v>
      </c>
      <c r="R4" s="33">
        <v>25.509711599205399</v>
      </c>
      <c r="U4" s="15">
        <v>1.1653959842618899E-3</v>
      </c>
      <c r="X4" s="34">
        <v>1.23569350145489</v>
      </c>
      <c r="Y4" s="34">
        <v>1.2358474847357901</v>
      </c>
      <c r="AB4" s="33">
        <v>25.483175135251901</v>
      </c>
      <c r="AE4" s="15">
        <v>1.2460507994943099E-4</v>
      </c>
      <c r="AG4"/>
      <c r="AI4" s="4">
        <f t="shared" si="2"/>
        <v>-4.0000000000000002E-4</v>
      </c>
      <c r="AJ4" s="10">
        <v>4.9726253941699152</v>
      </c>
      <c r="AK4" s="11">
        <v>6.0316130915469648</v>
      </c>
      <c r="AL4" s="11">
        <v>4.8548834221129722</v>
      </c>
      <c r="AM4" s="11">
        <v>2.9982522769160713</v>
      </c>
      <c r="AN4" s="10">
        <v>1.9308233468844676</v>
      </c>
      <c r="AO4" s="11">
        <v>1.2750711555097243</v>
      </c>
      <c r="AP4" s="11" t="e">
        <v>#DIV/0!</v>
      </c>
      <c r="AQ4" s="11" t="e">
        <v>#DIV/0!</v>
      </c>
      <c r="AR4"/>
      <c r="AT4" s="4">
        <f t="shared" ref="AT4:AT9" si="3">AT3+AV$12</f>
        <v>4.0000000000000002E-4</v>
      </c>
      <c r="AU4" s="10">
        <v>6.0644983507490791</v>
      </c>
      <c r="AV4" s="11">
        <v>6.1517170629025344</v>
      </c>
      <c r="AW4" s="11">
        <v>3.7774223583440243</v>
      </c>
      <c r="AX4" s="11">
        <v>2.6627809813420398</v>
      </c>
      <c r="AY4" s="11">
        <v>1.2750711555097243</v>
      </c>
      <c r="AZ4" s="11">
        <v>1.2750711555097243</v>
      </c>
      <c r="BA4" s="11" t="e">
        <v>#DIV/0!</v>
      </c>
      <c r="BB4" s="11" t="e">
        <v>#DIV/0!</v>
      </c>
      <c r="BC4"/>
      <c r="BE4" s="8"/>
      <c r="BF4" s="8"/>
    </row>
    <row r="5" spans="1:130" x14ac:dyDescent="0.25">
      <c r="A5" s="1">
        <v>46029</v>
      </c>
      <c r="B5" s="33">
        <v>20.62</v>
      </c>
      <c r="C5" s="33">
        <v>25.46</v>
      </c>
      <c r="D5" s="15">
        <v>0</v>
      </c>
      <c r="E5" s="15">
        <v>-7.8523757470208501E-4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20.62</v>
      </c>
      <c r="M5" s="33">
        <v>25.46</v>
      </c>
      <c r="N5" s="34">
        <v>1.2347235693501399</v>
      </c>
      <c r="O5" s="34">
        <v>1.2371344131525399</v>
      </c>
      <c r="R5" s="33">
        <v>25.509711599205399</v>
      </c>
      <c r="U5" s="15">
        <v>1.9506335589641701E-3</v>
      </c>
      <c r="X5" s="34">
        <v>1.2347235693501399</v>
      </c>
      <c r="Y5" s="34">
        <v>1.2358474847357901</v>
      </c>
      <c r="AB5" s="33">
        <v>25.483175135251901</v>
      </c>
      <c r="AE5" s="15">
        <v>9.0984265465155801E-4</v>
      </c>
      <c r="AG5" s="29"/>
      <c r="AI5" s="4">
        <f t="shared" si="2"/>
        <v>-6.0000000000000006E-4</v>
      </c>
      <c r="AJ5" s="10">
        <v>4.9726253941699152</v>
      </c>
      <c r="AK5" s="11">
        <v>6.0316130915469648</v>
      </c>
      <c r="AL5" s="11">
        <v>4.8548834221129722</v>
      </c>
      <c r="AM5" s="11">
        <v>3.1942535487532417</v>
      </c>
      <c r="AN5" s="11">
        <v>1.9308233468844676</v>
      </c>
      <c r="AO5" s="11">
        <v>1.2750711555097243</v>
      </c>
      <c r="AP5" s="10" t="e">
        <v>#DIV/0!</v>
      </c>
      <c r="AQ5" s="11" t="e">
        <v>#DIV/0!</v>
      </c>
      <c r="AR5"/>
      <c r="AT5" s="4">
        <f t="shared" si="3"/>
        <v>6.0000000000000006E-4</v>
      </c>
      <c r="AU5" s="10">
        <v>6.0644983507490791</v>
      </c>
      <c r="AV5" s="11">
        <v>6.1517170629025344</v>
      </c>
      <c r="AW5" s="11">
        <v>3.7774223583440243</v>
      </c>
      <c r="AX5" s="11">
        <v>2.33133009002148</v>
      </c>
      <c r="AY5" s="11">
        <v>1.2750711555097243</v>
      </c>
      <c r="AZ5" s="11">
        <v>1.2750711555097243</v>
      </c>
      <c r="BA5" s="11" t="e">
        <v>#DIV/0!</v>
      </c>
      <c r="BB5" s="11" t="e">
        <v>#DIV/0!</v>
      </c>
      <c r="BC5"/>
    </row>
    <row r="6" spans="1:130" x14ac:dyDescent="0.25">
      <c r="A6" s="1">
        <v>46030</v>
      </c>
      <c r="B6" s="33">
        <v>20.6</v>
      </c>
      <c r="C6" s="33">
        <v>25.45</v>
      </c>
      <c r="D6" s="15">
        <v>-9.7040279327840497E-4</v>
      </c>
      <c r="E6" s="15">
        <v>-3.9285013272872399E-4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20.6</v>
      </c>
      <c r="M6" s="33">
        <v>25.45</v>
      </c>
      <c r="N6" s="34">
        <v>1.2354368932038799</v>
      </c>
      <c r="O6" s="34">
        <v>1.2371344131525399</v>
      </c>
      <c r="R6" s="33">
        <v>25.484968910942399</v>
      </c>
      <c r="U6" s="15">
        <v>1.37308089841439E-3</v>
      </c>
      <c r="X6" s="34">
        <v>1.2354368932038799</v>
      </c>
      <c r="Y6" s="34">
        <v>1.2358474847357901</v>
      </c>
      <c r="AB6" s="33">
        <v>25.458458185557198</v>
      </c>
      <c r="AE6" s="15">
        <v>3.3228999410209799E-4</v>
      </c>
      <c r="AG6" s="29"/>
      <c r="AI6" s="4">
        <f t="shared" si="2"/>
        <v>-8.0000000000000004E-4</v>
      </c>
      <c r="AJ6" s="10">
        <v>4.9726253941699152</v>
      </c>
      <c r="AK6" s="11">
        <v>6.0316130915469648</v>
      </c>
      <c r="AL6" s="11">
        <v>4.8548834221129722</v>
      </c>
      <c r="AM6" s="11">
        <v>3.1942535487532417</v>
      </c>
      <c r="AN6" s="11">
        <v>1.9308233468844676</v>
      </c>
      <c r="AO6" s="11">
        <v>1.2750711555097243</v>
      </c>
      <c r="AP6" s="11" t="e">
        <v>#DIV/0!</v>
      </c>
      <c r="AQ6" s="11" t="e">
        <v>#DIV/0!</v>
      </c>
      <c r="AR6"/>
      <c r="AT6" s="4">
        <f t="shared" si="3"/>
        <v>8.0000000000000004E-4</v>
      </c>
      <c r="AU6" s="10">
        <v>6.0644983507490791</v>
      </c>
      <c r="AV6" s="11">
        <v>6.1517170629025344</v>
      </c>
      <c r="AW6" s="11">
        <v>3.7774223583440243</v>
      </c>
      <c r="AX6" s="11">
        <v>2.33133009002148</v>
      </c>
      <c r="AY6" s="11">
        <v>1.2750711555097243</v>
      </c>
      <c r="AZ6" s="11">
        <v>1.2750711555097243</v>
      </c>
      <c r="BA6" s="11" t="e">
        <v>#DIV/0!</v>
      </c>
      <c r="BB6" s="11" t="e">
        <v>#DIV/0!</v>
      </c>
      <c r="BC6"/>
    </row>
    <row r="7" spans="1:130" x14ac:dyDescent="0.25">
      <c r="A7" s="1">
        <v>46031</v>
      </c>
      <c r="B7" s="33">
        <v>20.59</v>
      </c>
      <c r="C7" s="33">
        <v>25.44</v>
      </c>
      <c r="D7" s="15">
        <v>-4.8555475583733702E-4</v>
      </c>
      <c r="E7" s="15">
        <v>-3.9300452461028199E-4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20.59</v>
      </c>
      <c r="M7" s="33">
        <v>25.44</v>
      </c>
      <c r="N7" s="34">
        <v>1.23555123846527</v>
      </c>
      <c r="O7" s="34">
        <v>1.2371344131525399</v>
      </c>
      <c r="R7" s="33">
        <v>25.472597566810801</v>
      </c>
      <c r="U7" s="15">
        <v>1.2805306671871599E-3</v>
      </c>
      <c r="X7" s="34">
        <v>1.23555123846527</v>
      </c>
      <c r="Y7" s="34">
        <v>1.2358474847357901</v>
      </c>
      <c r="AB7" s="33">
        <v>25.446099710709898</v>
      </c>
      <c r="AE7" s="15">
        <v>2.3973976287482401E-4</v>
      </c>
      <c r="AG7"/>
      <c r="AI7" s="4">
        <f t="shared" si="2"/>
        <v>-1E-3</v>
      </c>
      <c r="AJ7" s="10">
        <v>4.9726253941699152</v>
      </c>
      <c r="AK7" s="11">
        <v>6.0316130915469648</v>
      </c>
      <c r="AL7" s="11">
        <v>4.8548834221129722</v>
      </c>
      <c r="AM7" s="11">
        <v>3.1942535487532417</v>
      </c>
      <c r="AN7" s="11">
        <v>1.9308233468844676</v>
      </c>
      <c r="AO7" s="11">
        <v>1.2750711555097243</v>
      </c>
      <c r="AP7" s="11" t="e">
        <v>#DIV/0!</v>
      </c>
      <c r="AQ7" s="11" t="e">
        <v>#DIV/0!</v>
      </c>
      <c r="AR7"/>
      <c r="AT7" s="4">
        <f t="shared" si="3"/>
        <v>1E-3</v>
      </c>
      <c r="AU7" s="10">
        <v>6.0644983507490791</v>
      </c>
      <c r="AV7" s="11">
        <v>6.1517170629025344</v>
      </c>
      <c r="AW7" s="11">
        <v>3.7774223583440243</v>
      </c>
      <c r="AX7" s="11">
        <v>2.33133009002148</v>
      </c>
      <c r="AY7" s="11">
        <v>1.2750711555097243</v>
      </c>
      <c r="AZ7" s="11">
        <v>1.2750711555097243</v>
      </c>
      <c r="BA7" s="11" t="e">
        <v>#DIV/0!</v>
      </c>
      <c r="BB7" s="11" t="e">
        <v>#DIV/0!</v>
      </c>
      <c r="BC7"/>
    </row>
    <row r="8" spans="1:130" x14ac:dyDescent="0.25">
      <c r="A8" s="1">
        <v>46034</v>
      </c>
      <c r="B8" s="33">
        <v>20.59</v>
      </c>
      <c r="C8" s="33">
        <v>25.45</v>
      </c>
      <c r="D8" s="15">
        <v>0</v>
      </c>
      <c r="E8" s="15">
        <v>3.9300452461034E-4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20.59</v>
      </c>
      <c r="M8" s="33">
        <v>25.45</v>
      </c>
      <c r="N8" s="34">
        <v>1.2360369111219001</v>
      </c>
      <c r="O8" s="34">
        <v>1.2371344131525399</v>
      </c>
      <c r="R8" s="33">
        <v>25.472597566810801</v>
      </c>
      <c r="U8" s="15">
        <v>8.8752614257695103E-4</v>
      </c>
      <c r="X8" s="34">
        <v>1.2360369111219001</v>
      </c>
      <c r="Y8" s="34">
        <v>1.2358474847357901</v>
      </c>
      <c r="AB8" s="33">
        <v>25.446099710709898</v>
      </c>
      <c r="AE8" s="15">
        <v>-1.5326476173532701E-4</v>
      </c>
      <c r="AG8"/>
      <c r="AI8" s="4">
        <f t="shared" si="2"/>
        <v>-1.2000000000000001E-3</v>
      </c>
      <c r="AJ8" s="10">
        <v>4.9726253941699152</v>
      </c>
      <c r="AK8" s="11">
        <v>6.0316130915469648</v>
      </c>
      <c r="AL8" s="11">
        <v>4.8548834221129722</v>
      </c>
      <c r="AM8" s="11">
        <v>3.1942535487532417</v>
      </c>
      <c r="AN8" s="11">
        <v>1.9308233468844676</v>
      </c>
      <c r="AO8" s="11">
        <v>1.2750711555097243</v>
      </c>
      <c r="AP8" s="11" t="e">
        <v>#DIV/0!</v>
      </c>
      <c r="AQ8" s="11" t="e">
        <v>#DIV/0!</v>
      </c>
      <c r="AR8"/>
      <c r="AT8" s="4">
        <f t="shared" si="3"/>
        <v>1.2000000000000001E-3</v>
      </c>
      <c r="AU8" s="10">
        <v>6.0644983507490791</v>
      </c>
      <c r="AV8" s="11">
        <v>6.1517170629025344</v>
      </c>
      <c r="AW8" s="11">
        <v>3.7774223583440243</v>
      </c>
      <c r="AX8" s="11">
        <v>2.33133009002148</v>
      </c>
      <c r="AY8" s="11">
        <v>1.2750711555097243</v>
      </c>
      <c r="AZ8" s="11">
        <v>1.2750711555097243</v>
      </c>
      <c r="BA8" s="11" t="e">
        <v>#DIV/0!</v>
      </c>
      <c r="BB8" s="11" t="e">
        <v>#DIV/0!</v>
      </c>
      <c r="BC8"/>
    </row>
    <row r="9" spans="1:130" x14ac:dyDescent="0.25">
      <c r="A9" s="1">
        <v>46035</v>
      </c>
      <c r="B9" s="33">
        <v>20.61</v>
      </c>
      <c r="C9" s="33">
        <v>25.47</v>
      </c>
      <c r="D9" s="15">
        <v>9.7087386266965004E-4</v>
      </c>
      <c r="E9" s="15">
        <v>7.8554599483396902E-4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20.61</v>
      </c>
      <c r="M9" s="33">
        <v>25.47</v>
      </c>
      <c r="N9" s="34">
        <v>1.235807860262</v>
      </c>
      <c r="O9" s="34">
        <v>1.2371344131525399</v>
      </c>
      <c r="R9" s="33">
        <v>25.497340255073901</v>
      </c>
      <c r="U9" s="15">
        <v>1.0728540104126801E-3</v>
      </c>
      <c r="X9" s="34">
        <v>1.235807860262</v>
      </c>
      <c r="Y9" s="34">
        <v>1.2358474847357901</v>
      </c>
      <c r="AB9" s="33">
        <v>25.470816660404601</v>
      </c>
      <c r="AE9" s="15">
        <v>3.2063106100318203E-5</v>
      </c>
      <c r="AF9"/>
      <c r="AI9" s="4">
        <f t="shared" si="2"/>
        <v>-1.4000000000000002E-3</v>
      </c>
      <c r="AJ9" s="10">
        <v>4.9726253941699152</v>
      </c>
      <c r="AK9" s="11">
        <v>6.0316130915469648</v>
      </c>
      <c r="AL9" s="11">
        <v>4.8548834221129722</v>
      </c>
      <c r="AM9" s="11">
        <v>3.1942535487532417</v>
      </c>
      <c r="AN9" s="11">
        <v>1.9308233468844676</v>
      </c>
      <c r="AO9" s="11">
        <v>1.2750711555097243</v>
      </c>
      <c r="AP9" s="11" t="e">
        <v>#DIV/0!</v>
      </c>
      <c r="AQ9" s="11" t="e">
        <v>#DIV/0!</v>
      </c>
      <c r="AR9"/>
      <c r="AT9" s="4">
        <f t="shared" si="3"/>
        <v>1.4000000000000002E-3</v>
      </c>
      <c r="AU9" s="10">
        <v>6.0644983507490791</v>
      </c>
      <c r="AV9" s="10">
        <v>6.1517170629025344</v>
      </c>
      <c r="AW9" s="10">
        <v>3.7774223583440243</v>
      </c>
      <c r="AX9" s="10">
        <v>2.33133009002148</v>
      </c>
      <c r="AY9" s="10">
        <v>1.2750711555097243</v>
      </c>
      <c r="AZ9" s="10">
        <v>1.2750711555097243</v>
      </c>
      <c r="BA9" s="10" t="e">
        <v>#DIV/0!</v>
      </c>
      <c r="BB9" s="10" t="e">
        <v>#DIV/0!</v>
      </c>
      <c r="BC9"/>
    </row>
    <row r="10" spans="1:130" x14ac:dyDescent="0.25">
      <c r="A10" s="1">
        <v>46036</v>
      </c>
      <c r="B10" s="33">
        <v>20.62</v>
      </c>
      <c r="C10" s="33">
        <v>25.47</v>
      </c>
      <c r="D10" s="15">
        <v>4.8508368644628998E-4</v>
      </c>
      <c r="E10" s="15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20.62</v>
      </c>
      <c r="M10" s="33">
        <v>25.47</v>
      </c>
      <c r="N10" s="34">
        <v>1.23520853540252</v>
      </c>
      <c r="O10" s="34">
        <v>1.2371344131525399</v>
      </c>
      <c r="R10" s="33">
        <v>25.509711599205399</v>
      </c>
      <c r="U10" s="15">
        <v>1.5579376968590901E-3</v>
      </c>
      <c r="X10" s="34">
        <v>1.23520853540252</v>
      </c>
      <c r="Y10" s="34">
        <v>1.2358474847357901</v>
      </c>
      <c r="AB10" s="33">
        <v>25.483175135251901</v>
      </c>
      <c r="AE10" s="15">
        <v>5.1714679254644602E-4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20.59</v>
      </c>
      <c r="C11" s="33">
        <v>25.45</v>
      </c>
      <c r="D11" s="15">
        <v>-1.4559575491158499E-3</v>
      </c>
      <c r="E11" s="15">
        <v>-7.8554599483385799E-4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20.59</v>
      </c>
      <c r="M11" s="33">
        <v>25.45</v>
      </c>
      <c r="N11" s="34">
        <v>1.2360369111219001</v>
      </c>
      <c r="O11" s="34">
        <v>1.2371344131525399</v>
      </c>
      <c r="P11" s="34">
        <v>1.23550266146885</v>
      </c>
      <c r="R11" s="33">
        <v>25.472597566810801</v>
      </c>
      <c r="U11" s="15">
        <v>8.8752614257695103E-4</v>
      </c>
      <c r="X11" s="34">
        <v>1.2360369111219001</v>
      </c>
      <c r="Y11" s="34">
        <v>1.2358474847357901</v>
      </c>
      <c r="Z11" s="34">
        <v>1.23550266146885</v>
      </c>
      <c r="AB11" s="33">
        <v>25.446099710709898</v>
      </c>
      <c r="AE11" s="15">
        <v>-1.5326476173532701E-4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20.61</v>
      </c>
      <c r="C12" s="33">
        <v>25.46</v>
      </c>
      <c r="D12" s="15">
        <v>9.7087386266965004E-4</v>
      </c>
      <c r="E12" s="15">
        <v>3.9285013272875099E-4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20.61</v>
      </c>
      <c r="M12" s="33">
        <v>25.46</v>
      </c>
      <c r="N12" s="34">
        <v>1.2353226589034401</v>
      </c>
      <c r="O12" s="34">
        <v>1.2371344131525399</v>
      </c>
      <c r="P12" s="34">
        <v>1.23550266146885</v>
      </c>
      <c r="R12" s="33">
        <v>25.497340255073901</v>
      </c>
      <c r="S12" s="33">
        <v>25.463709852872999</v>
      </c>
      <c r="U12" s="15">
        <v>1.4655498725178501E-3</v>
      </c>
      <c r="V12" s="15">
        <v>1.45702380690385E-4</v>
      </c>
      <c r="X12" s="34">
        <v>1.2353226589034401</v>
      </c>
      <c r="Y12" s="34">
        <v>1.2358474847357901</v>
      </c>
      <c r="Z12" s="34">
        <v>1.23550266146885</v>
      </c>
      <c r="AB12" s="33">
        <v>25.470816660404601</v>
      </c>
      <c r="AC12" s="33">
        <v>25.463709852872999</v>
      </c>
      <c r="AE12" s="15">
        <v>4.2475896820525801E-4</v>
      </c>
      <c r="AF12" s="15">
        <v>1.45702380690385E-4</v>
      </c>
      <c r="AK12" s="17">
        <v>2.0000000000000001E-4</v>
      </c>
      <c r="AL12" s="18" t="s">
        <v>37</v>
      </c>
      <c r="AM12" s="19" t="s">
        <v>38</v>
      </c>
      <c r="AV12" s="17">
        <v>2.0000000000000001E-4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20.53</v>
      </c>
      <c r="C13" s="33">
        <v>25.45</v>
      </c>
      <c r="D13" s="15">
        <v>-3.8891638715253798E-3</v>
      </c>
      <c r="E13" s="15">
        <v>-3.9285013272872399E-4</v>
      </c>
      <c r="F13" s="33">
        <v>7.4609999999999996E-2</v>
      </c>
      <c r="G13" s="33">
        <v>7.4609999999999996E-2</v>
      </c>
      <c r="H13" s="33">
        <v>0</v>
      </c>
      <c r="I13" s="33">
        <v>0</v>
      </c>
      <c r="J13" s="33">
        <v>7.4609999999999996E-2</v>
      </c>
      <c r="K13" s="33">
        <v>0</v>
      </c>
      <c r="L13" s="33">
        <v>20.604610000000001</v>
      </c>
      <c r="M13" s="33">
        <v>25.45</v>
      </c>
      <c r="N13" s="34">
        <v>1.23964929371651</v>
      </c>
      <c r="O13" s="34">
        <v>1.2371344131525399</v>
      </c>
      <c r="P13" s="34">
        <v>1.23594673730024</v>
      </c>
      <c r="R13" s="33">
        <v>25.398369502021701</v>
      </c>
      <c r="S13" s="33">
        <v>25.364869639955501</v>
      </c>
      <c r="U13" s="15">
        <v>-2.0307638662788799E-3</v>
      </c>
      <c r="V13" s="15">
        <v>-3.3506113581065E-3</v>
      </c>
      <c r="X13" s="34">
        <v>1.2351604810768</v>
      </c>
      <c r="Y13" s="34">
        <v>1.2358474847357901</v>
      </c>
      <c r="Z13" s="34">
        <v>1.2354978560362699</v>
      </c>
      <c r="AB13" s="33">
        <v>25.464155442461902</v>
      </c>
      <c r="AC13" s="33">
        <v>25.4570504935276</v>
      </c>
      <c r="AE13" s="15">
        <v>5.5605136542596402E-4</v>
      </c>
      <c r="AF13" s="15">
        <v>2.7699477791069303E-4</v>
      </c>
    </row>
    <row r="14" spans="1:130" x14ac:dyDescent="0.25">
      <c r="A14" s="1">
        <v>46043</v>
      </c>
      <c r="B14" s="33">
        <v>20.54</v>
      </c>
      <c r="C14" s="33">
        <v>25.49</v>
      </c>
      <c r="D14" s="15">
        <v>4.8697346956976E-4</v>
      </c>
      <c r="E14" s="15">
        <v>1.57047539149226E-3</v>
      </c>
      <c r="F14" s="33">
        <v>0</v>
      </c>
      <c r="G14" s="33">
        <v>7.4609999999999996E-2</v>
      </c>
      <c r="H14" s="33">
        <v>0</v>
      </c>
      <c r="I14" s="33">
        <v>0</v>
      </c>
      <c r="J14" s="33">
        <v>7.4609999999999996E-2</v>
      </c>
      <c r="K14" s="33">
        <v>0</v>
      </c>
      <c r="L14" s="33">
        <v>20.614609999999999</v>
      </c>
      <c r="M14" s="33">
        <v>25.49</v>
      </c>
      <c r="N14" s="34">
        <v>1.2409931840311501</v>
      </c>
      <c r="O14" s="34">
        <v>1.2371344131525399</v>
      </c>
      <c r="P14" s="34">
        <v>1.23647670555787</v>
      </c>
      <c r="R14" s="33">
        <v>25.4107408461532</v>
      </c>
      <c r="S14" s="33">
        <v>25.386345984147098</v>
      </c>
      <c r="U14" s="15">
        <v>-3.1142657882012401E-3</v>
      </c>
      <c r="V14" s="15">
        <v>-4.0747485797849601E-3</v>
      </c>
      <c r="X14" s="34">
        <v>1.2365016849700201</v>
      </c>
      <c r="Y14" s="34">
        <v>1.2358474847357901</v>
      </c>
      <c r="Z14" s="34">
        <v>1.2355786743877899</v>
      </c>
      <c r="AB14" s="33">
        <v>25.476513917309202</v>
      </c>
      <c r="AC14" s="33">
        <v>25.469306458024001</v>
      </c>
      <c r="AE14" s="15">
        <v>-5.2921347641550205E-4</v>
      </c>
      <c r="AF14" s="15">
        <v>-8.1215952695356305E-4</v>
      </c>
      <c r="AQ14" s="20">
        <f>AVERAGE(AQ22:AQ176)</f>
        <v>1.2527407631679871E-5</v>
      </c>
      <c r="AR14" s="21" t="s">
        <v>41</v>
      </c>
      <c r="BB14" s="20">
        <f>AVERAGE(BB22:BB176)</f>
        <v>7.6456018071567091E-6</v>
      </c>
      <c r="BC14" s="21" t="s">
        <v>41</v>
      </c>
      <c r="BD14" s="22"/>
      <c r="BE14" s="20">
        <f>AVERAGE(BE22:BE176)</f>
        <v>2.0173009438836582E-5</v>
      </c>
      <c r="BF14" s="21" t="s">
        <v>41</v>
      </c>
    </row>
    <row r="15" spans="1:130" x14ac:dyDescent="0.25">
      <c r="A15" s="1">
        <v>46044</v>
      </c>
      <c r="B15" s="33">
        <v>20.55</v>
      </c>
      <c r="C15" s="33">
        <v>25.49</v>
      </c>
      <c r="D15" s="15">
        <v>4.86736441831546E-4</v>
      </c>
      <c r="E15" s="15">
        <v>0</v>
      </c>
      <c r="F15" s="33">
        <v>0</v>
      </c>
      <c r="G15" s="33">
        <v>7.4609999999999996E-2</v>
      </c>
      <c r="H15" s="33">
        <v>0</v>
      </c>
      <c r="I15" s="33">
        <v>0</v>
      </c>
      <c r="J15" s="33">
        <v>7.4609999999999996E-2</v>
      </c>
      <c r="K15" s="33">
        <v>0</v>
      </c>
      <c r="L15" s="33">
        <v>20.624610000000001</v>
      </c>
      <c r="M15" s="33">
        <v>25.49</v>
      </c>
      <c r="N15" s="34">
        <v>1.2403892944038899</v>
      </c>
      <c r="O15" s="34">
        <v>1.2371344131525399</v>
      </c>
      <c r="P15" s="34">
        <v>1.2370432780632501</v>
      </c>
      <c r="R15" s="33">
        <v>25.423112190284701</v>
      </c>
      <c r="S15" s="33">
        <v>25.4095962992143</v>
      </c>
      <c r="U15" s="15">
        <v>-2.62752934636979E-3</v>
      </c>
      <c r="V15" s="15">
        <v>-3.1593086589650201E-3</v>
      </c>
      <c r="X15" s="34">
        <v>1.23590215766504</v>
      </c>
      <c r="Y15" s="34">
        <v>1.2358474847357901</v>
      </c>
      <c r="Z15" s="34">
        <v>1.23569653321928</v>
      </c>
      <c r="AB15" s="33">
        <v>25.488872392156601</v>
      </c>
      <c r="AC15" s="33">
        <v>25.4833282835652</v>
      </c>
      <c r="AE15" s="15">
        <v>-4.42382418692523E-5</v>
      </c>
      <c r="AF15" s="15">
        <v>-2.6177284072075502E-4</v>
      </c>
      <c r="AQ15" s="20">
        <f>STDEV(AQ22:AQ176)</f>
        <v>1.5596496723749219E-4</v>
      </c>
      <c r="AR15" s="21" t="s">
        <v>42</v>
      </c>
      <c r="BB15" s="20">
        <f>STDEV(BB22:BB176)</f>
        <v>9.5186974865302232E-5</v>
      </c>
      <c r="BC15" s="21" t="s">
        <v>42</v>
      </c>
      <c r="BD15" s="22"/>
      <c r="BE15" s="20">
        <f>STDEV(BE22:BE176)</f>
        <v>1.8218899022174513E-4</v>
      </c>
      <c r="BF15" s="21" t="s">
        <v>42</v>
      </c>
    </row>
    <row r="16" spans="1:130" x14ac:dyDescent="0.25">
      <c r="A16" s="1">
        <v>46045</v>
      </c>
      <c r="B16" s="33">
        <v>20.54</v>
      </c>
      <c r="C16" s="33">
        <v>25.49</v>
      </c>
      <c r="D16" s="15">
        <v>-4.8673644183152897E-4</v>
      </c>
      <c r="E16" s="15">
        <v>0</v>
      </c>
      <c r="F16" s="33">
        <v>0</v>
      </c>
      <c r="G16" s="33">
        <v>7.4609999999999996E-2</v>
      </c>
      <c r="H16" s="33">
        <v>0</v>
      </c>
      <c r="I16" s="33">
        <v>0</v>
      </c>
      <c r="J16" s="33">
        <v>7.4609999999999996E-2</v>
      </c>
      <c r="K16" s="33">
        <v>0</v>
      </c>
      <c r="L16" s="33">
        <v>20.614609999999999</v>
      </c>
      <c r="M16" s="33">
        <v>25.49</v>
      </c>
      <c r="N16" s="34">
        <v>1.2409931840311501</v>
      </c>
      <c r="O16" s="34">
        <v>1.2371344131525399</v>
      </c>
      <c r="P16" s="34">
        <v>1.2375989071459701</v>
      </c>
      <c r="R16" s="33">
        <v>25.4107408461532</v>
      </c>
      <c r="S16" s="33">
        <v>25.4088689314191</v>
      </c>
      <c r="U16" s="15">
        <v>-3.1142657882012401E-3</v>
      </c>
      <c r="V16" s="15">
        <v>-3.18793478106207E-3</v>
      </c>
      <c r="X16" s="34">
        <v>1.2365016849700201</v>
      </c>
      <c r="Y16" s="34">
        <v>1.2358474847357901</v>
      </c>
      <c r="Z16" s="34">
        <v>1.2358030123958901</v>
      </c>
      <c r="AB16" s="33">
        <v>25.476513917309202</v>
      </c>
      <c r="AC16" s="33">
        <v>25.4734021106675</v>
      </c>
      <c r="AE16" s="15">
        <v>-5.2921347641550205E-4</v>
      </c>
      <c r="AF16" s="15">
        <v>-6.5136506716179305E-4</v>
      </c>
      <c r="AQ16" s="23">
        <f>SQRT(252)*AQ14/AQ15</f>
        <v>1.2750711555097243</v>
      </c>
      <c r="AR16" s="21" t="s">
        <v>43</v>
      </c>
      <c r="BB16" s="23">
        <f>SQRT(252)*BB14/BB15</f>
        <v>1.2750711555097243</v>
      </c>
      <c r="BC16" s="21" t="s">
        <v>43</v>
      </c>
      <c r="BD16" s="22"/>
      <c r="BE16" s="23">
        <f>SQRT(252)*BE14/BE15</f>
        <v>1.7577165153380367</v>
      </c>
      <c r="BF16" s="21" t="s">
        <v>43</v>
      </c>
    </row>
    <row r="17" spans="1:124" x14ac:dyDescent="0.25">
      <c r="A17" s="1">
        <v>46048</v>
      </c>
      <c r="B17" s="33">
        <v>20.55</v>
      </c>
      <c r="C17" s="33">
        <v>25.5</v>
      </c>
      <c r="D17" s="15">
        <v>4.86736441831546E-4</v>
      </c>
      <c r="E17" s="15">
        <v>3.92233776356502E-4</v>
      </c>
      <c r="F17" s="33">
        <v>0</v>
      </c>
      <c r="G17" s="33">
        <v>7.4609999999999996E-2</v>
      </c>
      <c r="H17" s="33">
        <v>0</v>
      </c>
      <c r="I17" s="33">
        <v>0</v>
      </c>
      <c r="J17" s="33">
        <v>7.4609999999999996E-2</v>
      </c>
      <c r="K17" s="33">
        <v>0</v>
      </c>
      <c r="L17" s="33">
        <v>20.624610000000001</v>
      </c>
      <c r="M17" s="33">
        <v>25.5</v>
      </c>
      <c r="N17" s="34">
        <v>1.2408759124087501</v>
      </c>
      <c r="O17" s="34">
        <v>1.2371344131525399</v>
      </c>
      <c r="P17" s="34">
        <v>1.23813137454032</v>
      </c>
      <c r="R17" s="33">
        <v>25.423112190284701</v>
      </c>
      <c r="S17" s="33">
        <v>25.4326575418498</v>
      </c>
      <c r="U17" s="15">
        <v>-3.0197631227262402E-3</v>
      </c>
      <c r="V17" s="15">
        <v>-2.6443739888115398E-3</v>
      </c>
      <c r="X17" s="34">
        <v>1.2363870153181</v>
      </c>
      <c r="Y17" s="34">
        <v>1.2358474847357901</v>
      </c>
      <c r="Z17" s="34">
        <v>1.23588659008117</v>
      </c>
      <c r="AB17" s="33">
        <v>25.488872392156601</v>
      </c>
      <c r="AC17" s="33">
        <v>25.487955167490501</v>
      </c>
      <c r="AE17" s="15">
        <v>-4.3647201822573503E-4</v>
      </c>
      <c r="AF17" s="15">
        <v>-4.7245796360962202E-4</v>
      </c>
    </row>
    <row r="18" spans="1:124" x14ac:dyDescent="0.25">
      <c r="A18" s="1">
        <v>46049</v>
      </c>
      <c r="B18" s="33">
        <v>20.57</v>
      </c>
      <c r="C18" s="33">
        <v>25.51</v>
      </c>
      <c r="D18" s="15">
        <v>9.7276272262214101E-4</v>
      </c>
      <c r="E18" s="15">
        <v>3.9207998933965202E-4</v>
      </c>
      <c r="F18" s="33">
        <v>0</v>
      </c>
      <c r="G18" s="33">
        <v>7.4609999999999996E-2</v>
      </c>
      <c r="H18" s="33">
        <v>0</v>
      </c>
      <c r="I18" s="33">
        <v>0</v>
      </c>
      <c r="J18" s="33">
        <v>7.4609999999999996E-2</v>
      </c>
      <c r="K18" s="33">
        <v>0</v>
      </c>
      <c r="L18" s="33">
        <v>20.64461</v>
      </c>
      <c r="M18" s="33">
        <v>25.51</v>
      </c>
      <c r="N18" s="34">
        <v>1.24015556635877</v>
      </c>
      <c r="O18" s="34">
        <v>1.2371344131525399</v>
      </c>
      <c r="P18" s="34">
        <v>1.23854324006401</v>
      </c>
      <c r="R18" s="33">
        <v>25.447854878547801</v>
      </c>
      <c r="S18" s="33">
        <v>25.4683623742945</v>
      </c>
      <c r="U18" s="15">
        <v>-2.43908038944373E-3</v>
      </c>
      <c r="V18" s="15">
        <v>-1.6335414880059599E-3</v>
      </c>
      <c r="X18" s="34">
        <v>1.23567362134717</v>
      </c>
      <c r="Y18" s="34">
        <v>1.2358474847357901</v>
      </c>
      <c r="Z18" s="34">
        <v>1.2358502611037001</v>
      </c>
      <c r="AB18" s="33">
        <v>25.513589341851301</v>
      </c>
      <c r="AC18" s="33">
        <v>25.514396656455801</v>
      </c>
      <c r="AE18" s="15">
        <v>1.4069342841473099E-4</v>
      </c>
      <c r="AF18" s="15">
        <v>1.7233546126199599E-4</v>
      </c>
      <c r="BE18" s="24">
        <f>SUM(BE22:BE176)</f>
        <v>3.1268164630196701E-3</v>
      </c>
      <c r="BF18" s="20">
        <f>BF176</f>
        <v>3.1268164630196701E-3</v>
      </c>
    </row>
    <row r="19" spans="1:124" x14ac:dyDescent="0.25">
      <c r="A19" s="1">
        <v>46050</v>
      </c>
      <c r="B19" s="33">
        <v>20.58</v>
      </c>
      <c r="C19" s="33">
        <v>25.51</v>
      </c>
      <c r="D19" s="15">
        <v>4.8602674103762799E-4</v>
      </c>
      <c r="E19" s="15">
        <v>0</v>
      </c>
      <c r="F19" s="33">
        <v>0</v>
      </c>
      <c r="G19" s="33">
        <v>7.4609999999999996E-2</v>
      </c>
      <c r="H19" s="33">
        <v>0</v>
      </c>
      <c r="I19" s="33">
        <v>0</v>
      </c>
      <c r="J19" s="33">
        <v>7.4609999999999996E-2</v>
      </c>
      <c r="K19" s="33">
        <v>0</v>
      </c>
      <c r="L19" s="33">
        <v>20.654609999999899</v>
      </c>
      <c r="M19" s="33">
        <v>25.51</v>
      </c>
      <c r="N19" s="34">
        <v>1.2395529640427601</v>
      </c>
      <c r="O19" s="34">
        <v>1.2371344131525399</v>
      </c>
      <c r="P19" s="34">
        <v>1.2389177504420801</v>
      </c>
      <c r="R19" s="33">
        <v>25.460226222679299</v>
      </c>
      <c r="S19" s="33">
        <v>25.4892198805173</v>
      </c>
      <c r="U19" s="15">
        <v>-1.95305364840602E-3</v>
      </c>
      <c r="V19" s="15">
        <v>-8.1491915685314299E-4</v>
      </c>
      <c r="X19" s="34">
        <v>1.23507536574159</v>
      </c>
      <c r="Y19" s="34">
        <v>1.2358474847357901</v>
      </c>
      <c r="Z19" s="34">
        <v>1.23577701165166</v>
      </c>
      <c r="AB19" s="33">
        <v>25.5259478166987</v>
      </c>
      <c r="AC19" s="33">
        <v>25.526005161495199</v>
      </c>
      <c r="AE19" s="15">
        <v>6.2496408512109202E-4</v>
      </c>
      <c r="AF19" s="15">
        <v>6.2721061216547403E-4</v>
      </c>
      <c r="AI19" s="12"/>
      <c r="AJ19"/>
      <c r="AK19"/>
      <c r="AL19"/>
      <c r="AM19"/>
      <c r="AN19"/>
      <c r="AO19"/>
      <c r="AP19"/>
      <c r="AQ19" s="24">
        <f>SUM(AQ22:AQ176)</f>
        <v>1.9417481829103801E-3</v>
      </c>
      <c r="AR19" s="24">
        <f>AR176</f>
        <v>1.9417481829103801E-3</v>
      </c>
      <c r="AU19"/>
      <c r="AV19"/>
      <c r="AW19"/>
      <c r="AX19"/>
      <c r="AY19"/>
      <c r="AZ19"/>
      <c r="BA19"/>
      <c r="BB19" s="24">
        <f>SUM(BB22:BB176)</f>
        <v>1.18506828010929E-3</v>
      </c>
      <c r="BC19" s="24">
        <f>BC176</f>
        <v>1.18506828010929E-3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20.59</v>
      </c>
      <c r="C20" s="33">
        <v>25.52</v>
      </c>
      <c r="D20" s="15">
        <v>4.8579063379454798E-4</v>
      </c>
      <c r="E20" s="15">
        <v>3.9192632286895901E-4</v>
      </c>
      <c r="F20" s="33">
        <v>0</v>
      </c>
      <c r="G20" s="33">
        <v>7.4609999999999996E-2</v>
      </c>
      <c r="H20" s="33">
        <v>0</v>
      </c>
      <c r="I20" s="33">
        <v>0</v>
      </c>
      <c r="J20" s="33">
        <v>7.4609999999999996E-2</v>
      </c>
      <c r="K20" s="33">
        <v>0</v>
      </c>
      <c r="L20" s="33">
        <v>20.66461</v>
      </c>
      <c r="M20" s="33">
        <v>25.52</v>
      </c>
      <c r="N20" s="34">
        <v>1.2394366197183</v>
      </c>
      <c r="O20" s="34">
        <v>1.2371344131525399</v>
      </c>
      <c r="P20" s="34">
        <v>1.2393405588736599</v>
      </c>
      <c r="R20" s="33">
        <v>25.472597566810801</v>
      </c>
      <c r="S20" s="33">
        <v>25.5093164816026</v>
      </c>
      <c r="U20" s="15">
        <v>-1.8591893374804299E-3</v>
      </c>
      <c r="V20" s="15">
        <v>-4.1872081736928101E-4</v>
      </c>
      <c r="X20" s="34">
        <v>1.2349616082761701</v>
      </c>
      <c r="Y20" s="34">
        <v>1.2358474847357901</v>
      </c>
      <c r="Z20" s="34">
        <v>1.23575231893903</v>
      </c>
      <c r="AB20" s="33">
        <v>25.538306291546</v>
      </c>
      <c r="AC20" s="33">
        <v>25.536849992747101</v>
      </c>
      <c r="AE20" s="15">
        <v>7.1707401440023095E-4</v>
      </c>
      <c r="AF20" s="15">
        <v>6.6004829366683899E-4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BSCS log rtn</v>
      </c>
      <c r="AP20" s="7" t="str">
        <f>E1</f>
        <v>IBDT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BSCS log rtn</v>
      </c>
      <c r="BA20" s="24" t="str">
        <f>E1</f>
        <v>IBDT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20.6</v>
      </c>
      <c r="C21" s="33">
        <v>25.54</v>
      </c>
      <c r="D21" s="15">
        <v>4.8555475583746002E-4</v>
      </c>
      <c r="E21" s="15">
        <v>7.8339212780407705E-4</v>
      </c>
      <c r="F21" s="33">
        <v>0</v>
      </c>
      <c r="G21" s="33">
        <v>7.4609999999999996E-2</v>
      </c>
      <c r="H21" s="33">
        <v>0</v>
      </c>
      <c r="I21" s="33">
        <v>0</v>
      </c>
      <c r="J21" s="33">
        <v>7.4609999999999996E-2</v>
      </c>
      <c r="K21" s="33">
        <v>0</v>
      </c>
      <c r="L21" s="33">
        <v>20.674610000000001</v>
      </c>
      <c r="M21" s="33">
        <v>25.54</v>
      </c>
      <c r="N21" s="34">
        <v>1.23980582524271</v>
      </c>
      <c r="O21" s="34">
        <v>1.2371344131525399</v>
      </c>
      <c r="P21" s="34">
        <v>1.23971745028574</v>
      </c>
      <c r="Q21" s="34">
        <v>1.23761005587729</v>
      </c>
      <c r="R21" s="33">
        <v>25.484968910942399</v>
      </c>
      <c r="S21" s="33">
        <v>25.5304155127975</v>
      </c>
      <c r="U21" s="15">
        <v>-2.1570267094470599E-3</v>
      </c>
      <c r="V21" s="15">
        <v>-3.7534401154702002E-4</v>
      </c>
      <c r="X21" s="34">
        <v>1.23533164591738</v>
      </c>
      <c r="Y21" s="34">
        <v>1.2358474847357901</v>
      </c>
      <c r="Z21" s="34">
        <v>1.2356817924185699</v>
      </c>
      <c r="AA21" s="34">
        <v>1.2355922269437101</v>
      </c>
      <c r="AB21" s="33">
        <v>25.5506647663934</v>
      </c>
      <c r="AC21" s="33">
        <v>25.548697250659998</v>
      </c>
      <c r="AE21" s="15">
        <v>4.1748396099690398E-4</v>
      </c>
      <c r="AF21" s="15">
        <v>3.40476512893816E-4</v>
      </c>
      <c r="AI21" s="26">
        <v>-1E-3</v>
      </c>
      <c r="AJ21"/>
      <c r="AK21"/>
      <c r="AL21"/>
      <c r="AM21">
        <f t="shared" ref="AM21:AM84" si="4">IF(F22+H22&gt;0,0,1)</f>
        <v>0</v>
      </c>
      <c r="AN21" s="27">
        <v>0</v>
      </c>
      <c r="AO21"/>
      <c r="AP21"/>
      <c r="AQ21"/>
      <c r="AR21"/>
      <c r="AT21" s="26">
        <v>1E-3</v>
      </c>
      <c r="AU21"/>
      <c r="AV21"/>
      <c r="AW21"/>
      <c r="AX21">
        <f t="shared" ref="AX21:AX84" si="5">IF(F22+H22&gt;0,0,1)</f>
        <v>0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20.59</v>
      </c>
      <c r="C22" s="33">
        <v>25.44</v>
      </c>
      <c r="D22" s="15">
        <v>-4.8555475583733702E-4</v>
      </c>
      <c r="E22" s="15">
        <v>-3.92311213247177E-3</v>
      </c>
      <c r="F22" s="33">
        <v>0</v>
      </c>
      <c r="G22" s="33">
        <v>7.4609999999999996E-2</v>
      </c>
      <c r="H22" s="33">
        <v>9.3501000000000001E-2</v>
      </c>
      <c r="I22" s="33">
        <v>9.3501000000000001E-2</v>
      </c>
      <c r="J22" s="33">
        <v>7.4609999999999996E-2</v>
      </c>
      <c r="K22" s="33">
        <v>9.3501000000000001E-2</v>
      </c>
      <c r="L22" s="33">
        <v>20.66461</v>
      </c>
      <c r="M22" s="33">
        <v>25.533501000000001</v>
      </c>
      <c r="N22" s="34">
        <v>1.23555123846527</v>
      </c>
      <c r="O22" s="34">
        <v>1.2371344131525399</v>
      </c>
      <c r="P22" s="34">
        <v>1.23974030824193</v>
      </c>
      <c r="Q22" s="34">
        <v>1.2376214848553899</v>
      </c>
      <c r="R22" s="33">
        <v>25.472597566810801</v>
      </c>
      <c r="S22" s="33">
        <v>25.525782301383501</v>
      </c>
      <c r="T22" s="33">
        <v>25.482391050513598</v>
      </c>
      <c r="U22" s="15">
        <v>1.2805306671871599E-3</v>
      </c>
      <c r="V22" s="15">
        <v>3.3662735472956801E-3</v>
      </c>
      <c r="W22" s="15">
        <v>1.6649281163499099E-3</v>
      </c>
      <c r="X22" s="34">
        <v>1.23561494748751</v>
      </c>
      <c r="Y22" s="34">
        <v>1.2358474847357901</v>
      </c>
      <c r="Z22" s="34">
        <v>1.23571102127698</v>
      </c>
      <c r="AA22" s="34">
        <v>1.23560684137291</v>
      </c>
      <c r="AB22" s="33">
        <v>25.538306291546</v>
      </c>
      <c r="AC22" s="33">
        <v>25.5348823244308</v>
      </c>
      <c r="AD22" s="33">
        <v>25.533031488823301</v>
      </c>
      <c r="AE22" s="15">
        <v>1.8817785447878001E-4</v>
      </c>
      <c r="AF22" s="15">
        <v>5.4097049536139297E-5</v>
      </c>
      <c r="AG22" s="15">
        <v>-1.83882145029226E-5</v>
      </c>
      <c r="AI22" s="26">
        <v>-2.0000000000000001E-4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2.0000000000000001E-4</v>
      </c>
      <c r="AU22">
        <f t="shared" ref="AU22:AU85" si="10">IF($AG22&gt;AT$21,1,0)</f>
        <v>0</v>
      </c>
      <c r="AV22">
        <f t="shared" ref="AV22:AV85" si="11">IF($AG22&lt;AT$22,1,0)</f>
        <v>1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20.58</v>
      </c>
      <c r="C23" s="33">
        <v>25.43</v>
      </c>
      <c r="D23" s="15">
        <v>-4.8579063379456598E-4</v>
      </c>
      <c r="E23" s="15">
        <v>-3.9315903789322401E-4</v>
      </c>
      <c r="F23" s="33">
        <v>0</v>
      </c>
      <c r="G23" s="33">
        <v>7.4609999999999996E-2</v>
      </c>
      <c r="H23" s="33">
        <v>0</v>
      </c>
      <c r="I23" s="33">
        <v>9.3501000000000001E-2</v>
      </c>
      <c r="J23" s="33">
        <v>7.4609999999999996E-2</v>
      </c>
      <c r="K23" s="33">
        <v>9.3501000000000001E-2</v>
      </c>
      <c r="L23" s="33">
        <v>20.654609999999899</v>
      </c>
      <c r="M23" s="33">
        <v>25.523501</v>
      </c>
      <c r="N23" s="34">
        <v>1.2356656948493601</v>
      </c>
      <c r="O23" s="34">
        <v>1.2371344131525399</v>
      </c>
      <c r="P23" s="34">
        <v>1.2393419483552099</v>
      </c>
      <c r="Q23" s="34">
        <v>1.2376443428277299</v>
      </c>
      <c r="R23" s="33">
        <v>25.460226222679299</v>
      </c>
      <c r="S23" s="33">
        <v>25.513855543618899</v>
      </c>
      <c r="T23" s="33">
        <v>25.4702501583239</v>
      </c>
      <c r="U23" s="15">
        <v>1.18789907128589E-3</v>
      </c>
      <c r="V23" s="15">
        <v>3.2920798183878499E-3</v>
      </c>
      <c r="W23" s="15">
        <v>1.58153119437977E-3</v>
      </c>
      <c r="X23" s="34">
        <v>1.2357290212693399</v>
      </c>
      <c r="Y23" s="34">
        <v>1.2358474847357901</v>
      </c>
      <c r="Z23" s="34">
        <v>1.23576787529623</v>
      </c>
      <c r="AA23" s="34">
        <v>1.2356328656662501</v>
      </c>
      <c r="AB23" s="33">
        <v>25.5259478166987</v>
      </c>
      <c r="AC23" s="33">
        <v>25.5231292171778</v>
      </c>
      <c r="AD23" s="33">
        <v>25.520977421889398</v>
      </c>
      <c r="AE23" s="15">
        <v>9.5860651085880597E-5</v>
      </c>
      <c r="AF23" s="15">
        <v>-1.4566400194726E-5</v>
      </c>
      <c r="AG23" s="15">
        <v>-9.8877613821869495E-5</v>
      </c>
      <c r="AI23" s="12"/>
      <c r="AJ23">
        <f t="shared" si="6"/>
        <v>0</v>
      </c>
      <c r="AK23">
        <f t="shared" si="7"/>
        <v>1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124" x14ac:dyDescent="0.25">
      <c r="A24" s="1">
        <v>46057</v>
      </c>
      <c r="B24" s="33">
        <v>20.59</v>
      </c>
      <c r="C24" s="33">
        <v>25.45</v>
      </c>
      <c r="D24" s="15">
        <v>4.8579063379454798E-4</v>
      </c>
      <c r="E24" s="15">
        <v>7.8616356250335595E-4</v>
      </c>
      <c r="F24" s="33">
        <v>0</v>
      </c>
      <c r="G24" s="33">
        <v>7.4609999999999996E-2</v>
      </c>
      <c r="H24" s="33">
        <v>0</v>
      </c>
      <c r="I24" s="33">
        <v>9.3501000000000001E-2</v>
      </c>
      <c r="J24" s="33">
        <v>7.4609999999999996E-2</v>
      </c>
      <c r="K24" s="33">
        <v>9.3501000000000001E-2</v>
      </c>
      <c r="L24" s="33">
        <v>20.66461</v>
      </c>
      <c r="M24" s="33">
        <v>25.543500999999999</v>
      </c>
      <c r="N24" s="34">
        <v>1.2360369111219001</v>
      </c>
      <c r="O24" s="34">
        <v>1.2371344131525399</v>
      </c>
      <c r="P24" s="34">
        <v>1.2388463210642899</v>
      </c>
      <c r="Q24" s="34">
        <v>1.23766151331108</v>
      </c>
      <c r="R24" s="33">
        <v>25.472597566810801</v>
      </c>
      <c r="S24" s="33">
        <v>25.518050716633901</v>
      </c>
      <c r="T24" s="33">
        <v>25.483097018822999</v>
      </c>
      <c r="U24" s="15">
        <v>8.8752614257695103E-4</v>
      </c>
      <c r="V24" s="15">
        <v>2.6703299857194201E-3</v>
      </c>
      <c r="W24" s="15">
        <v>1.29962737075664E-3</v>
      </c>
      <c r="X24" s="34">
        <v>1.2360988666130099</v>
      </c>
      <c r="Y24" s="34">
        <v>1.2358474847357901</v>
      </c>
      <c r="Z24" s="34">
        <v>1.2357275934605301</v>
      </c>
      <c r="AA24" s="34">
        <v>1.2356531339241601</v>
      </c>
      <c r="AB24" s="33">
        <v>25.538306291546</v>
      </c>
      <c r="AC24" s="33">
        <v>25.536661193525401</v>
      </c>
      <c r="AD24" s="33">
        <v>25.533871272175599</v>
      </c>
      <c r="AE24" s="15">
        <v>-2.0338781054467001E-4</v>
      </c>
      <c r="AF24" s="15">
        <v>-2.6780676574755802E-4</v>
      </c>
      <c r="AG24" s="15">
        <v>-3.77064344153697E-4</v>
      </c>
      <c r="AI24" s="12"/>
      <c r="AJ24">
        <f t="shared" si="6"/>
        <v>0</v>
      </c>
      <c r="AK24">
        <f t="shared" si="7"/>
        <v>0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124" x14ac:dyDescent="0.25">
      <c r="A25" s="1">
        <v>46058</v>
      </c>
      <c r="B25" s="33">
        <v>20.62</v>
      </c>
      <c r="C25" s="33">
        <v>25.48</v>
      </c>
      <c r="D25" s="15">
        <v>1.4559575491157699E-3</v>
      </c>
      <c r="E25" s="15">
        <v>1.1780877074309599E-3</v>
      </c>
      <c r="F25" s="33">
        <v>0</v>
      </c>
      <c r="G25" s="33">
        <v>7.4609999999999996E-2</v>
      </c>
      <c r="H25" s="33">
        <v>0</v>
      </c>
      <c r="I25" s="33">
        <v>9.3501000000000001E-2</v>
      </c>
      <c r="J25" s="33">
        <v>7.4609999999999996E-2</v>
      </c>
      <c r="K25" s="33">
        <v>9.3501000000000001E-2</v>
      </c>
      <c r="L25" s="33">
        <v>20.694610000000001</v>
      </c>
      <c r="M25" s="33">
        <v>25.573501</v>
      </c>
      <c r="N25" s="34">
        <v>1.23569350145489</v>
      </c>
      <c r="O25" s="34">
        <v>1.2371344131525399</v>
      </c>
      <c r="P25" s="34">
        <v>1.2383767417693901</v>
      </c>
      <c r="Q25" s="34">
        <v>1.2377100099163201</v>
      </c>
      <c r="R25" s="33">
        <v>25.509711599205399</v>
      </c>
      <c r="S25" s="33">
        <v>25.5450111403457</v>
      </c>
      <c r="T25" s="33">
        <v>25.520580404474501</v>
      </c>
      <c r="U25" s="15">
        <v>1.1653959842618899E-3</v>
      </c>
      <c r="V25" s="15">
        <v>2.5482081854054199E-3</v>
      </c>
      <c r="W25" s="15">
        <v>1.59137063604929E-3</v>
      </c>
      <c r="X25" s="34">
        <v>1.2357566052223199</v>
      </c>
      <c r="Y25" s="34">
        <v>1.2358474847357901</v>
      </c>
      <c r="Z25" s="34">
        <v>1.23571303821626</v>
      </c>
      <c r="AA25" s="34">
        <v>1.2357047857177701</v>
      </c>
      <c r="AB25" s="33">
        <v>25.575381716088099</v>
      </c>
      <c r="AC25" s="33">
        <v>25.572900612904299</v>
      </c>
      <c r="AD25" s="33">
        <v>25.571359701838301</v>
      </c>
      <c r="AE25" s="15">
        <v>7.3538892312455099E-5</v>
      </c>
      <c r="AF25" s="15">
        <v>-2.34771978753548E-5</v>
      </c>
      <c r="AG25" s="15">
        <v>-8.3734636618434301E-5</v>
      </c>
      <c r="AI25" s="12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0</v>
      </c>
      <c r="AT25" s="12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0</v>
      </c>
      <c r="BF25" s="29">
        <f t="shared" si="23"/>
        <v>0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20.63</v>
      </c>
      <c r="C26" s="33">
        <v>25.49</v>
      </c>
      <c r="D26" s="15">
        <v>4.848484943465E-4</v>
      </c>
      <c r="E26" s="15">
        <v>3.9238768406150699E-4</v>
      </c>
      <c r="F26" s="33">
        <v>0</v>
      </c>
      <c r="G26" s="33">
        <v>7.4609999999999996E-2</v>
      </c>
      <c r="H26" s="33">
        <v>0</v>
      </c>
      <c r="I26" s="33">
        <v>9.3501000000000001E-2</v>
      </c>
      <c r="J26" s="33">
        <v>7.4609999999999996E-2</v>
      </c>
      <c r="K26" s="33">
        <v>9.3501000000000001E-2</v>
      </c>
      <c r="L26" s="33">
        <v>20.704609999999999</v>
      </c>
      <c r="M26" s="33">
        <v>25.583500999999998</v>
      </c>
      <c r="N26" s="34">
        <v>1.23557925351429</v>
      </c>
      <c r="O26" s="34">
        <v>1.2371344131525399</v>
      </c>
      <c r="P26" s="34">
        <v>1.2378353487177001</v>
      </c>
      <c r="Q26" s="34">
        <v>1.23771712793184</v>
      </c>
      <c r="R26" s="33">
        <v>25.522082943336901</v>
      </c>
      <c r="S26" s="33">
        <v>25.547712182702501</v>
      </c>
      <c r="T26" s="33">
        <v>25.533957504573699</v>
      </c>
      <c r="U26" s="15">
        <v>1.2578567945471201E-3</v>
      </c>
      <c r="V26" s="15">
        <v>2.2615515011308799E-3</v>
      </c>
      <c r="W26" s="15">
        <v>1.7230147404689799E-3</v>
      </c>
      <c r="X26" s="34">
        <v>1.2356427385012301</v>
      </c>
      <c r="Y26" s="34">
        <v>1.2358474847357901</v>
      </c>
      <c r="Z26" s="34">
        <v>1.23562714356938</v>
      </c>
      <c r="AA26" s="34">
        <v>1.23571507798264</v>
      </c>
      <c r="AB26" s="33">
        <v>25.587740190935399</v>
      </c>
      <c r="AC26" s="33">
        <v>25.584956528182801</v>
      </c>
      <c r="AD26" s="33">
        <v>25.58478566342</v>
      </c>
      <c r="AE26" s="15">
        <v>1.6568646163468099E-4</v>
      </c>
      <c r="AF26" s="15">
        <v>5.6891618532355801E-5</v>
      </c>
      <c r="AG26" s="15">
        <v>5.02132670107245E-5</v>
      </c>
      <c r="AI26" s="12"/>
      <c r="AJ26">
        <f t="shared" si="6"/>
        <v>0</v>
      </c>
      <c r="AK26">
        <f t="shared" si="7"/>
        <v>1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0</v>
      </c>
      <c r="AT26" s="12"/>
      <c r="AU26">
        <f t="shared" si="10"/>
        <v>0</v>
      </c>
      <c r="AV26">
        <f t="shared" si="11"/>
        <v>1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0</v>
      </c>
      <c r="BF26" s="29">
        <f t="shared" si="23"/>
        <v>0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20.63</v>
      </c>
      <c r="C27" s="33">
        <v>25.5</v>
      </c>
      <c r="D27" s="15">
        <v>0</v>
      </c>
      <c r="E27" s="15">
        <v>3.92233776356502E-4</v>
      </c>
      <c r="F27" s="33">
        <v>0</v>
      </c>
      <c r="G27" s="33">
        <v>7.4609999999999996E-2</v>
      </c>
      <c r="H27" s="33">
        <v>0</v>
      </c>
      <c r="I27" s="33">
        <v>9.3501000000000001E-2</v>
      </c>
      <c r="J27" s="33">
        <v>7.4609999999999996E-2</v>
      </c>
      <c r="K27" s="33">
        <v>9.3501000000000001E-2</v>
      </c>
      <c r="L27" s="33">
        <v>20.704609999999999</v>
      </c>
      <c r="M27" s="33">
        <v>25.593501</v>
      </c>
      <c r="N27" s="34">
        <v>1.2360639844886001</v>
      </c>
      <c r="O27" s="34">
        <v>1.2371344131525399</v>
      </c>
      <c r="P27" s="34">
        <v>1.23735415592569</v>
      </c>
      <c r="Q27" s="34">
        <v>1.237742765233</v>
      </c>
      <c r="R27" s="33">
        <v>25.522082943336901</v>
      </c>
      <c r="S27" s="33">
        <v>25.5365432440462</v>
      </c>
      <c r="T27" s="33">
        <v>25.5341043492339</v>
      </c>
      <c r="U27" s="15">
        <v>8.6562301819050795E-4</v>
      </c>
      <c r="V27" s="15">
        <v>1.4320425314316499E-3</v>
      </c>
      <c r="W27" s="15">
        <v>1.3365319033442E-3</v>
      </c>
      <c r="X27" s="34">
        <v>1.23612572272551</v>
      </c>
      <c r="Y27" s="34">
        <v>1.2358474847357901</v>
      </c>
      <c r="Z27" s="34">
        <v>1.2356010143101199</v>
      </c>
      <c r="AA27" s="34">
        <v>1.2357438021956499</v>
      </c>
      <c r="AB27" s="33">
        <v>25.587740190935399</v>
      </c>
      <c r="AC27" s="33">
        <v>25.5831781130181</v>
      </c>
      <c r="AD27" s="33">
        <v>25.5849987607501</v>
      </c>
      <c r="AE27" s="15">
        <v>-2.2511408300340401E-4</v>
      </c>
      <c r="AF27" s="15">
        <v>-4.0342153108595402E-4</v>
      </c>
      <c r="AG27" s="15">
        <v>-3.3225824781026898E-4</v>
      </c>
      <c r="AI27" s="12"/>
      <c r="AJ27">
        <f t="shared" si="6"/>
        <v>0</v>
      </c>
      <c r="AK27">
        <f t="shared" si="7"/>
        <v>0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0</v>
      </c>
      <c r="AT27" s="12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0</v>
      </c>
      <c r="BF27" s="29">
        <f t="shared" si="23"/>
        <v>0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20.64</v>
      </c>
      <c r="C28" s="33">
        <v>25.49</v>
      </c>
      <c r="D28" s="15">
        <v>4.8461353020150402E-4</v>
      </c>
      <c r="E28" s="15">
        <v>-3.9223377635647501E-4</v>
      </c>
      <c r="F28" s="33">
        <v>0</v>
      </c>
      <c r="G28" s="33">
        <v>7.4609999999999996E-2</v>
      </c>
      <c r="H28" s="33">
        <v>0</v>
      </c>
      <c r="I28" s="33">
        <v>9.3501000000000001E-2</v>
      </c>
      <c r="J28" s="33">
        <v>7.4609999999999996E-2</v>
      </c>
      <c r="K28" s="33">
        <v>9.3501000000000001E-2</v>
      </c>
      <c r="L28" s="33">
        <v>20.71461</v>
      </c>
      <c r="M28" s="33">
        <v>25.583500999999998</v>
      </c>
      <c r="N28" s="34">
        <v>1.23498062015503</v>
      </c>
      <c r="O28" s="34">
        <v>1.2371344131525399</v>
      </c>
      <c r="P28" s="34">
        <v>1.2368366613053099</v>
      </c>
      <c r="Q28" s="34">
        <v>1.2376899506846599</v>
      </c>
      <c r="R28" s="33">
        <v>25.534454287468499</v>
      </c>
      <c r="S28" s="33">
        <v>25.538989778306199</v>
      </c>
      <c r="T28" s="33">
        <v>25.5470106744093</v>
      </c>
      <c r="U28" s="15">
        <v>1.74247032474855E-3</v>
      </c>
      <c r="V28" s="15">
        <v>1.9200769433207301E-3</v>
      </c>
      <c r="W28" s="15">
        <v>2.2340923721216998E-3</v>
      </c>
      <c r="X28" s="34">
        <v>1.2350462306555601</v>
      </c>
      <c r="Y28" s="34">
        <v>1.2358474847357901</v>
      </c>
      <c r="Z28" s="34">
        <v>1.23553827524096</v>
      </c>
      <c r="AA28" s="34">
        <v>1.23569426817233</v>
      </c>
      <c r="AB28" s="33">
        <v>25.600098665782799</v>
      </c>
      <c r="AC28" s="33">
        <v>25.594993127038698</v>
      </c>
      <c r="AD28" s="33">
        <v>25.597950922400099</v>
      </c>
      <c r="AE28" s="15">
        <v>6.4855408658273997E-4</v>
      </c>
      <c r="AF28" s="15">
        <v>4.4909985836431398E-4</v>
      </c>
      <c r="AG28" s="15">
        <v>5.6465466458250398E-4</v>
      </c>
      <c r="AI28" s="12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8">
        <f t="shared" si="8"/>
        <v>0</v>
      </c>
      <c r="AP28" s="28">
        <f t="shared" si="9"/>
        <v>0</v>
      </c>
      <c r="AQ28" s="28">
        <f t="shared" si="16"/>
        <v>0</v>
      </c>
      <c r="AR28" s="29">
        <f t="shared" si="17"/>
        <v>0</v>
      </c>
      <c r="AT28" s="12"/>
      <c r="AU28">
        <f t="shared" si="10"/>
        <v>0</v>
      </c>
      <c r="AV28">
        <f t="shared" si="11"/>
        <v>0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0</v>
      </c>
      <c r="BF28" s="29">
        <f t="shared" si="23"/>
        <v>0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20.63</v>
      </c>
      <c r="C29" s="33">
        <v>25.49</v>
      </c>
      <c r="D29" s="15">
        <v>-4.84613530201641E-4</v>
      </c>
      <c r="E29" s="15">
        <v>0</v>
      </c>
      <c r="F29" s="33">
        <v>0</v>
      </c>
      <c r="G29" s="33">
        <v>7.4609999999999996E-2</v>
      </c>
      <c r="H29" s="33">
        <v>0</v>
      </c>
      <c r="I29" s="33">
        <v>9.3501000000000001E-2</v>
      </c>
      <c r="J29" s="33">
        <v>7.4609999999999996E-2</v>
      </c>
      <c r="K29" s="33">
        <v>9.3501000000000001E-2</v>
      </c>
      <c r="L29" s="33">
        <v>20.704609999999999</v>
      </c>
      <c r="M29" s="33">
        <v>25.583500999999998</v>
      </c>
      <c r="N29" s="34">
        <v>1.23557925351429</v>
      </c>
      <c r="O29" s="34">
        <v>1.2371344131525399</v>
      </c>
      <c r="P29" s="34">
        <v>1.2364392902524699</v>
      </c>
      <c r="Q29" s="34">
        <v>1.23767852034728</v>
      </c>
      <c r="R29" s="33">
        <v>25.522082943336901</v>
      </c>
      <c r="S29" s="33">
        <v>25.515940322728699</v>
      </c>
      <c r="T29" s="33">
        <v>25.5335436826246</v>
      </c>
      <c r="U29" s="15">
        <v>1.2578567945471201E-3</v>
      </c>
      <c r="V29" s="15">
        <v>1.01714917129458E-3</v>
      </c>
      <c r="W29" s="15">
        <v>1.70680787937577E-3</v>
      </c>
      <c r="X29" s="34">
        <v>1.2356427385012301</v>
      </c>
      <c r="Y29" s="34">
        <v>1.2358474847357901</v>
      </c>
      <c r="Z29" s="34">
        <v>1.2355950125169299</v>
      </c>
      <c r="AA29" s="34">
        <v>1.2356860120842901</v>
      </c>
      <c r="AB29" s="33">
        <v>25.587740190935399</v>
      </c>
      <c r="AC29" s="33">
        <v>25.5813381289368</v>
      </c>
      <c r="AD29" s="33">
        <v>25.584567901743601</v>
      </c>
      <c r="AE29" s="15">
        <v>1.6568646163468099E-4</v>
      </c>
      <c r="AF29" s="15">
        <v>-8.4545211173387897E-5</v>
      </c>
      <c r="AG29" s="15">
        <v>4.1701856908027703E-5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0</v>
      </c>
      <c r="AT29" s="12"/>
      <c r="AU29">
        <f t="shared" si="10"/>
        <v>0</v>
      </c>
      <c r="AV29">
        <f t="shared" si="11"/>
        <v>1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0</v>
      </c>
      <c r="BF29" s="29">
        <f t="shared" si="23"/>
        <v>0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20.64</v>
      </c>
      <c r="C30" s="33">
        <v>25.5</v>
      </c>
      <c r="D30" s="15">
        <v>4.8461353020150402E-4</v>
      </c>
      <c r="E30" s="15">
        <v>3.92233776356502E-4</v>
      </c>
      <c r="F30" s="33">
        <v>0</v>
      </c>
      <c r="G30" s="33">
        <v>7.4609999999999996E-2</v>
      </c>
      <c r="H30" s="33">
        <v>0</v>
      </c>
      <c r="I30" s="33">
        <v>9.3501000000000001E-2</v>
      </c>
      <c r="J30" s="33">
        <v>7.4609999999999996E-2</v>
      </c>
      <c r="K30" s="33">
        <v>9.3501000000000001E-2</v>
      </c>
      <c r="L30" s="33">
        <v>20.71461</v>
      </c>
      <c r="M30" s="33">
        <v>25.593501</v>
      </c>
      <c r="N30" s="34">
        <v>1.23546511627906</v>
      </c>
      <c r="O30" s="34">
        <v>1.2371344131525399</v>
      </c>
      <c r="P30" s="34">
        <v>1.2360421399085399</v>
      </c>
      <c r="Q30" s="34">
        <v>1.2376913493910999</v>
      </c>
      <c r="R30" s="33">
        <v>25.534454287468499</v>
      </c>
      <c r="S30" s="33">
        <v>25.520106950811002</v>
      </c>
      <c r="T30" s="33">
        <v>25.545684659967801</v>
      </c>
      <c r="U30" s="15">
        <v>1.3502365483922601E-3</v>
      </c>
      <c r="V30" s="15">
        <v>7.8819716592796497E-4</v>
      </c>
      <c r="W30" s="15">
        <v>1.7899523718691601E-3</v>
      </c>
      <c r="X30" s="34">
        <v>1.2355289817186901</v>
      </c>
      <c r="Y30" s="34">
        <v>1.2358474847357901</v>
      </c>
      <c r="Z30" s="34">
        <v>1.2356517498611801</v>
      </c>
      <c r="AA30" s="34">
        <v>1.2357020344001</v>
      </c>
      <c r="AB30" s="33">
        <v>25.600098665782799</v>
      </c>
      <c r="AC30" s="33">
        <v>25.5948688022333</v>
      </c>
      <c r="AD30" s="33">
        <v>25.596753822781501</v>
      </c>
      <c r="AE30" s="15">
        <v>2.5775354194473897E-4</v>
      </c>
      <c r="AF30" s="15">
        <v>5.3441914206455599E-5</v>
      </c>
      <c r="AG30" s="15">
        <v>1.27087579351125E-4</v>
      </c>
      <c r="AI30" s="12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0</v>
      </c>
      <c r="AT30" s="12"/>
      <c r="AU30">
        <f t="shared" si="10"/>
        <v>0</v>
      </c>
      <c r="AV30">
        <f t="shared" si="11"/>
        <v>1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0</v>
      </c>
      <c r="BF30" s="29">
        <f t="shared" si="23"/>
        <v>0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20.66</v>
      </c>
      <c r="C31" s="33">
        <v>25.53</v>
      </c>
      <c r="D31" s="15">
        <v>9.6852307813050499E-4</v>
      </c>
      <c r="E31" s="15">
        <v>1.17577908901203E-3</v>
      </c>
      <c r="F31" s="33">
        <v>0</v>
      </c>
      <c r="G31" s="33">
        <v>7.4609999999999996E-2</v>
      </c>
      <c r="H31" s="33">
        <v>0</v>
      </c>
      <c r="I31" s="33">
        <v>9.3501000000000001E-2</v>
      </c>
      <c r="J31" s="33">
        <v>7.4609999999999996E-2</v>
      </c>
      <c r="K31" s="33">
        <v>9.3501000000000001E-2</v>
      </c>
      <c r="L31" s="33">
        <v>20.73461</v>
      </c>
      <c r="M31" s="33">
        <v>25.623501000000001</v>
      </c>
      <c r="N31" s="34">
        <v>1.23572120038722</v>
      </c>
      <c r="O31" s="34">
        <v>1.2371344131525399</v>
      </c>
      <c r="P31" s="34">
        <v>1.2356336774229899</v>
      </c>
      <c r="Q31" s="34">
        <v>1.2376755638543699</v>
      </c>
      <c r="R31" s="33">
        <v>25.559196975731499</v>
      </c>
      <c r="S31" s="33">
        <v>25.536630610510599</v>
      </c>
      <c r="T31" s="33">
        <v>25.570703278420201</v>
      </c>
      <c r="U31" s="15">
        <v>1.1429805375105799E-3</v>
      </c>
      <c r="V31" s="15">
        <v>2.59684669561714E-4</v>
      </c>
      <c r="W31" s="15">
        <v>1.59306171606809E-3</v>
      </c>
      <c r="X31" s="34">
        <v>1.2357840827486</v>
      </c>
      <c r="Y31" s="34">
        <v>1.2358474847357901</v>
      </c>
      <c r="Z31" s="34">
        <v>1.2356969935443001</v>
      </c>
      <c r="AA31" s="34">
        <v>1.2356893929814401</v>
      </c>
      <c r="AB31" s="33">
        <v>25.624815615477502</v>
      </c>
      <c r="AC31" s="33">
        <v>25.620757129189101</v>
      </c>
      <c r="AD31" s="33">
        <v>25.621799759492799</v>
      </c>
      <c r="AE31" s="15">
        <v>5.1303752578575799E-5</v>
      </c>
      <c r="AF31" s="15">
        <v>-1.07089883378466E-4</v>
      </c>
      <c r="AG31" s="15">
        <v>-6.6395961487713506E-5</v>
      </c>
      <c r="AI31" s="12"/>
      <c r="AJ31">
        <f t="shared" si="6"/>
        <v>0</v>
      </c>
      <c r="AK31">
        <f t="shared" si="7"/>
        <v>1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0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0</v>
      </c>
      <c r="BE31" s="29">
        <f t="shared" si="22"/>
        <v>0</v>
      </c>
      <c r="BF31" s="29">
        <f t="shared" si="23"/>
        <v>0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20.66</v>
      </c>
      <c r="C32" s="33">
        <v>25.52</v>
      </c>
      <c r="D32" s="15">
        <v>0</v>
      </c>
      <c r="E32" s="15">
        <v>-3.9177277680338499E-4</v>
      </c>
      <c r="F32" s="33">
        <v>0</v>
      </c>
      <c r="G32" s="33">
        <v>7.4609999999999996E-2</v>
      </c>
      <c r="H32" s="33">
        <v>0</v>
      </c>
      <c r="I32" s="33">
        <v>9.3501000000000001E-2</v>
      </c>
      <c r="J32" s="33">
        <v>7.4609999999999996E-2</v>
      </c>
      <c r="K32" s="33">
        <v>9.3501000000000001E-2</v>
      </c>
      <c r="L32" s="33">
        <v>20.73461</v>
      </c>
      <c r="M32" s="33">
        <v>25.613500999999999</v>
      </c>
      <c r="N32" s="34">
        <v>1.2352371732817</v>
      </c>
      <c r="O32" s="34">
        <v>1.2371344131525399</v>
      </c>
      <c r="P32" s="34">
        <v>1.2356022709046399</v>
      </c>
      <c r="Q32" s="34">
        <v>1.23767128957328</v>
      </c>
      <c r="R32" s="33">
        <v>25.559196975731499</v>
      </c>
      <c r="S32" s="33">
        <v>25.528191775559101</v>
      </c>
      <c r="T32" s="33">
        <v>25.570377149231302</v>
      </c>
      <c r="U32" s="15">
        <v>1.5347533143141099E-3</v>
      </c>
      <c r="V32" s="15">
        <v>3.2094283243088199E-4</v>
      </c>
      <c r="W32" s="15">
        <v>1.9720803943581301E-3</v>
      </c>
      <c r="X32" s="34">
        <v>1.23530179733305</v>
      </c>
      <c r="Y32" s="34">
        <v>1.2358474847357901</v>
      </c>
      <c r="Z32" s="34">
        <v>1.23566567852885</v>
      </c>
      <c r="AA32" s="34">
        <v>1.2356883499029201</v>
      </c>
      <c r="AB32" s="33">
        <v>25.624815615477502</v>
      </c>
      <c r="AC32" s="33">
        <v>25.621695239313599</v>
      </c>
      <c r="AD32" s="33">
        <v>25.621537644606899</v>
      </c>
      <c r="AE32" s="15">
        <v>4.4164665855008498E-4</v>
      </c>
      <c r="AF32" s="15">
        <v>3.1986759044605901E-4</v>
      </c>
      <c r="AG32" s="15">
        <v>3.1371674094331198E-4</v>
      </c>
      <c r="AI32" s="12"/>
      <c r="AJ32">
        <f t="shared" si="6"/>
        <v>0</v>
      </c>
      <c r="AK32">
        <f t="shared" si="7"/>
        <v>1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0</v>
      </c>
      <c r="AT32" s="12"/>
      <c r="AU32">
        <f t="shared" si="10"/>
        <v>0</v>
      </c>
      <c r="AV32">
        <f t="shared" si="11"/>
        <v>0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0</v>
      </c>
      <c r="BE32" s="29">
        <f t="shared" si="22"/>
        <v>0</v>
      </c>
      <c r="BF32" s="29">
        <f t="shared" si="23"/>
        <v>0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20.66</v>
      </c>
      <c r="C33" s="33">
        <v>25.52</v>
      </c>
      <c r="D33" s="15">
        <v>0</v>
      </c>
      <c r="E33" s="15">
        <v>0</v>
      </c>
      <c r="F33" s="33">
        <v>0</v>
      </c>
      <c r="G33" s="33">
        <v>7.4609999999999996E-2</v>
      </c>
      <c r="H33" s="33">
        <v>0</v>
      </c>
      <c r="I33" s="33">
        <v>9.3501000000000001E-2</v>
      </c>
      <c r="J33" s="33">
        <v>7.4609999999999996E-2</v>
      </c>
      <c r="K33" s="33">
        <v>9.3501000000000001E-2</v>
      </c>
      <c r="L33" s="33">
        <v>20.73461</v>
      </c>
      <c r="M33" s="33">
        <v>25.613500999999999</v>
      </c>
      <c r="N33" s="34">
        <v>1.2352371732817</v>
      </c>
      <c r="O33" s="34">
        <v>1.2371344131525399</v>
      </c>
      <c r="P33" s="34">
        <v>1.23555941874787</v>
      </c>
      <c r="Q33" s="34">
        <v>1.23745068355154</v>
      </c>
      <c r="R33" s="33">
        <v>25.559196975731499</v>
      </c>
      <c r="S33" s="33">
        <v>25.5275429168898</v>
      </c>
      <c r="T33" s="33">
        <v>25.570288842584102</v>
      </c>
      <c r="U33" s="15">
        <v>1.5347533143141099E-3</v>
      </c>
      <c r="V33" s="15">
        <v>2.9552517178215701E-4</v>
      </c>
      <c r="W33" s="15">
        <v>1.9686269138235999E-3</v>
      </c>
      <c r="X33" s="34">
        <v>1.23530179733305</v>
      </c>
      <c r="Y33" s="34">
        <v>1.2358474847357901</v>
      </c>
      <c r="Z33" s="34">
        <v>1.2356229561352301</v>
      </c>
      <c r="AA33" s="34">
        <v>1.2356954157157301</v>
      </c>
      <c r="AB33" s="33">
        <v>25.624815615477502</v>
      </c>
      <c r="AC33" s="33">
        <v>25.621045934681199</v>
      </c>
      <c r="AD33" s="33">
        <v>25.6215160167806</v>
      </c>
      <c r="AE33" s="15">
        <v>4.4164665855008498E-4</v>
      </c>
      <c r="AF33" s="15">
        <v>2.9452528370888198E-4</v>
      </c>
      <c r="AG33" s="15">
        <v>3.1287261379823702E-4</v>
      </c>
      <c r="AI33" s="12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0</v>
      </c>
      <c r="AT33" s="12"/>
      <c r="AU33">
        <f t="shared" si="10"/>
        <v>0</v>
      </c>
      <c r="AV33">
        <f t="shared" si="11"/>
        <v>0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0</v>
      </c>
      <c r="BE33" s="29">
        <f t="shared" si="22"/>
        <v>0</v>
      </c>
      <c r="BF33" s="29">
        <f t="shared" si="23"/>
        <v>0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20.65</v>
      </c>
      <c r="C34" s="33">
        <v>25.52</v>
      </c>
      <c r="D34" s="15">
        <v>-4.8414428445079798E-4</v>
      </c>
      <c r="E34" s="15">
        <v>0</v>
      </c>
      <c r="F34" s="33">
        <v>0</v>
      </c>
      <c r="G34" s="33">
        <v>7.4609999999999996E-2</v>
      </c>
      <c r="H34" s="33">
        <v>0</v>
      </c>
      <c r="I34" s="33">
        <v>9.3501000000000001E-2</v>
      </c>
      <c r="J34" s="33">
        <v>7.4609999999999996E-2</v>
      </c>
      <c r="K34" s="33">
        <v>9.3501000000000001E-2</v>
      </c>
      <c r="L34" s="33">
        <v>20.724609999999998</v>
      </c>
      <c r="M34" s="33">
        <v>25.613500999999999</v>
      </c>
      <c r="N34" s="34">
        <v>1.2358353510895801</v>
      </c>
      <c r="O34" s="34">
        <v>1.2371344131525399</v>
      </c>
      <c r="P34" s="34">
        <v>1.23553926274464</v>
      </c>
      <c r="Q34" s="34">
        <v>1.2371927919044601</v>
      </c>
      <c r="R34" s="33">
        <v>25.546825631600001</v>
      </c>
      <c r="S34" s="33">
        <v>25.514301997143601</v>
      </c>
      <c r="T34" s="33">
        <v>25.5533566153394</v>
      </c>
      <c r="U34" s="15">
        <v>1.0506090298632901E-3</v>
      </c>
      <c r="V34" s="15">
        <v>-2.23300903787572E-4</v>
      </c>
      <c r="W34" s="15">
        <v>1.30622392154356E-3</v>
      </c>
      <c r="X34" s="34">
        <v>1.2358978528425799</v>
      </c>
      <c r="Y34" s="34">
        <v>1.2358474847357901</v>
      </c>
      <c r="Z34" s="34">
        <v>1.2356028547581801</v>
      </c>
      <c r="AA34" s="34">
        <v>1.23566522410936</v>
      </c>
      <c r="AB34" s="33">
        <v>25.612457140630202</v>
      </c>
      <c r="AC34" s="33">
        <v>25.607803872949699</v>
      </c>
      <c r="AD34" s="33">
        <v>25.609305569496399</v>
      </c>
      <c r="AE34" s="15">
        <v>-4.0755094012010001E-5</v>
      </c>
      <c r="AF34" s="15">
        <v>-2.2245146186229399E-4</v>
      </c>
      <c r="AG34" s="15">
        <v>-1.6381103628962599E-4</v>
      </c>
      <c r="AI34" s="12"/>
      <c r="AJ34">
        <f t="shared" si="6"/>
        <v>0</v>
      </c>
      <c r="AK34">
        <f t="shared" si="7"/>
        <v>1</v>
      </c>
      <c r="AL34">
        <f t="shared" si="14"/>
        <v>0</v>
      </c>
      <c r="AM34">
        <f t="shared" si="4"/>
        <v>1</v>
      </c>
      <c r="AN34">
        <f t="shared" si="15"/>
        <v>0</v>
      </c>
      <c r="AO34" s="28">
        <f t="shared" si="8"/>
        <v>0</v>
      </c>
      <c r="AP34" s="28">
        <f t="shared" si="9"/>
        <v>0</v>
      </c>
      <c r="AQ34" s="28">
        <f t="shared" si="16"/>
        <v>0</v>
      </c>
      <c r="AR34" s="29">
        <f t="shared" si="17"/>
        <v>0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0</v>
      </c>
      <c r="BE34" s="29">
        <f t="shared" si="22"/>
        <v>0</v>
      </c>
      <c r="BF34" s="29">
        <f t="shared" si="23"/>
        <v>0</v>
      </c>
      <c r="BH34" s="29"/>
    </row>
    <row r="35" spans="1:124" x14ac:dyDescent="0.25">
      <c r="A35" s="1">
        <v>46073</v>
      </c>
      <c r="B35" s="33">
        <v>20.66</v>
      </c>
      <c r="C35" s="33">
        <v>25.53</v>
      </c>
      <c r="D35" s="15">
        <v>4.8414428445090802E-4</v>
      </c>
      <c r="E35" s="15">
        <v>3.9177277680331501E-4</v>
      </c>
      <c r="F35" s="33">
        <v>0</v>
      </c>
      <c r="G35" s="33">
        <v>7.4609999999999996E-2</v>
      </c>
      <c r="H35" s="33">
        <v>0</v>
      </c>
      <c r="I35" s="33">
        <v>9.3501000000000001E-2</v>
      </c>
      <c r="J35" s="33">
        <v>7.4609999999999996E-2</v>
      </c>
      <c r="K35" s="33">
        <v>9.3501000000000001E-2</v>
      </c>
      <c r="L35" s="33">
        <v>20.73461</v>
      </c>
      <c r="M35" s="33">
        <v>25.623501000000001</v>
      </c>
      <c r="N35" s="34">
        <v>1.23572120038722</v>
      </c>
      <c r="O35" s="34">
        <v>1.2371344131525399</v>
      </c>
      <c r="P35" s="34">
        <v>1.2355420326378701</v>
      </c>
      <c r="Q35" s="34">
        <v>1.23695938720363</v>
      </c>
      <c r="R35" s="33">
        <v>25.559196975731499</v>
      </c>
      <c r="S35" s="33">
        <v>25.526241168304299</v>
      </c>
      <c r="T35" s="33">
        <v>25.560403080746301</v>
      </c>
      <c r="U35" s="15">
        <v>1.1429805375105799E-3</v>
      </c>
      <c r="V35" s="15">
        <v>-1.47242790164321E-4</v>
      </c>
      <c r="W35" s="15">
        <v>1.1901681138462899E-3</v>
      </c>
      <c r="X35" s="34">
        <v>1.2357840827486</v>
      </c>
      <c r="Y35" s="34">
        <v>1.2358474847357901</v>
      </c>
      <c r="Z35" s="34">
        <v>1.23560560251081</v>
      </c>
      <c r="AA35" s="34">
        <v>1.23565932036354</v>
      </c>
      <c r="AB35" s="33">
        <v>25.624815615477502</v>
      </c>
      <c r="AC35" s="33">
        <v>25.6197433082976</v>
      </c>
      <c r="AD35" s="33">
        <v>25.621036512470202</v>
      </c>
      <c r="AE35" s="15">
        <v>5.1303752578575799E-5</v>
      </c>
      <c r="AF35" s="15">
        <v>-1.46660960280617E-4</v>
      </c>
      <c r="AG35" s="15">
        <v>-9.6185375116831099E-5</v>
      </c>
      <c r="AI35" s="12"/>
      <c r="AJ35">
        <f t="shared" si="6"/>
        <v>0</v>
      </c>
      <c r="AK35">
        <f t="shared" si="7"/>
        <v>1</v>
      </c>
      <c r="AL35">
        <f t="shared" si="14"/>
        <v>0</v>
      </c>
      <c r="AM35">
        <f t="shared" si="4"/>
        <v>0</v>
      </c>
      <c r="AN35">
        <f t="shared" si="15"/>
        <v>0</v>
      </c>
      <c r="AO35" s="28">
        <f t="shared" si="8"/>
        <v>0</v>
      </c>
      <c r="AP35" s="28">
        <f t="shared" si="9"/>
        <v>0</v>
      </c>
      <c r="AQ35" s="28">
        <f t="shared" si="16"/>
        <v>0</v>
      </c>
      <c r="AR35" s="29">
        <f t="shared" si="17"/>
        <v>0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0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0</v>
      </c>
      <c r="BE35" s="29">
        <f t="shared" si="22"/>
        <v>0</v>
      </c>
      <c r="BF35" s="29">
        <f t="shared" si="23"/>
        <v>0</v>
      </c>
      <c r="BH35" s="29"/>
    </row>
    <row r="36" spans="1:124" x14ac:dyDescent="0.25">
      <c r="A36" s="1">
        <v>46076</v>
      </c>
      <c r="B36" s="33">
        <v>20.59</v>
      </c>
      <c r="C36" s="33">
        <v>25.55</v>
      </c>
      <c r="D36" s="15">
        <v>-3.39394265179446E-3</v>
      </c>
      <c r="E36" s="15">
        <v>7.8308539632087704E-4</v>
      </c>
      <c r="F36" s="33">
        <v>7.2620000000000004E-2</v>
      </c>
      <c r="G36" s="33">
        <v>0.14723</v>
      </c>
      <c r="H36" s="33">
        <v>0</v>
      </c>
      <c r="I36" s="33">
        <v>9.3501000000000001E-2</v>
      </c>
      <c r="J36" s="33">
        <v>0.14723</v>
      </c>
      <c r="K36" s="33">
        <v>9.3501000000000001E-2</v>
      </c>
      <c r="L36" s="33">
        <v>20.73723</v>
      </c>
      <c r="M36" s="33">
        <v>25.643501000000001</v>
      </c>
      <c r="N36" s="34">
        <v>1.2408936376881901</v>
      </c>
      <c r="O36" s="34">
        <v>1.2371344131525399</v>
      </c>
      <c r="P36" s="34">
        <v>1.2360734710552601</v>
      </c>
      <c r="Q36" s="34">
        <v>1.23695440988648</v>
      </c>
      <c r="R36" s="33">
        <v>25.472597566810801</v>
      </c>
      <c r="S36" s="33">
        <v>25.439810452013798</v>
      </c>
      <c r="T36" s="33">
        <v>25.468993782522801</v>
      </c>
      <c r="U36" s="15">
        <v>-3.03404751060481E-3</v>
      </c>
      <c r="V36" s="15">
        <v>-4.3220289911680204E-3</v>
      </c>
      <c r="W36" s="15">
        <v>-3.17553442527002E-3</v>
      </c>
      <c r="X36" s="34">
        <v>1.2365923992741501</v>
      </c>
      <c r="Y36" s="34">
        <v>1.2358474847357901</v>
      </c>
      <c r="Z36" s="34">
        <v>1.2357005685881</v>
      </c>
      <c r="AA36" s="34">
        <v>1.2356638560787401</v>
      </c>
      <c r="AB36" s="33">
        <v>25.628053535887499</v>
      </c>
      <c r="AC36" s="33">
        <v>25.623037568555301</v>
      </c>
      <c r="AD36" s="33">
        <v>25.624151528022399</v>
      </c>
      <c r="AE36" s="15">
        <v>-6.0257445750060005E-4</v>
      </c>
      <c r="AF36" s="15">
        <v>-7.9831535745572199E-4</v>
      </c>
      <c r="AG36" s="15">
        <v>-7.5484138407730795E-4</v>
      </c>
      <c r="AI36" s="12"/>
      <c r="AJ36">
        <f t="shared" si="6"/>
        <v>0</v>
      </c>
      <c r="AK36">
        <f t="shared" si="7"/>
        <v>0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0</v>
      </c>
      <c r="AT36" s="12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0</v>
      </c>
      <c r="BE36" s="29">
        <f t="shared" si="22"/>
        <v>0</v>
      </c>
      <c r="BF36" s="29">
        <f t="shared" si="23"/>
        <v>0</v>
      </c>
      <c r="BH36" s="29"/>
    </row>
    <row r="37" spans="1:124" x14ac:dyDescent="0.25">
      <c r="A37" s="1">
        <v>46077</v>
      </c>
      <c r="B37" s="33">
        <v>20.58</v>
      </c>
      <c r="C37" s="33">
        <v>25.53</v>
      </c>
      <c r="D37" s="15">
        <v>-4.8579063379456598E-4</v>
      </c>
      <c r="E37" s="15">
        <v>-7.8308539632091498E-4</v>
      </c>
      <c r="F37" s="33">
        <v>0</v>
      </c>
      <c r="G37" s="33">
        <v>0.14723</v>
      </c>
      <c r="H37" s="33">
        <v>0</v>
      </c>
      <c r="I37" s="33">
        <v>9.3501000000000001E-2</v>
      </c>
      <c r="J37" s="33">
        <v>0.14723</v>
      </c>
      <c r="K37" s="33">
        <v>9.3501000000000001E-2</v>
      </c>
      <c r="L37" s="33">
        <v>20.727229999999999</v>
      </c>
      <c r="M37" s="33">
        <v>25.623501000000001</v>
      </c>
      <c r="N37" s="34">
        <v>1.2405247813411</v>
      </c>
      <c r="O37" s="34">
        <v>1.2371344131525399</v>
      </c>
      <c r="P37" s="34">
        <v>1.23651955074051</v>
      </c>
      <c r="Q37" s="34">
        <v>1.2369368533331</v>
      </c>
      <c r="R37" s="33">
        <v>25.460226222679299</v>
      </c>
      <c r="S37" s="33">
        <v>25.4383920343173</v>
      </c>
      <c r="T37" s="33">
        <v>25.4565217554638</v>
      </c>
      <c r="U37" s="15">
        <v>-2.7367527480784502E-3</v>
      </c>
      <c r="V37" s="15">
        <v>-3.5947009772838798E-3</v>
      </c>
      <c r="W37" s="15">
        <v>-2.8822635031489599E-3</v>
      </c>
      <c r="X37" s="34">
        <v>1.2362240878303501</v>
      </c>
      <c r="Y37" s="34">
        <v>1.2358474847357901</v>
      </c>
      <c r="Z37" s="34">
        <v>1.2357104050985901</v>
      </c>
      <c r="AA37" s="34">
        <v>1.2356557097043499</v>
      </c>
      <c r="AB37" s="33">
        <v>25.615695061040199</v>
      </c>
      <c r="AC37" s="33">
        <v>25.6126498962564</v>
      </c>
      <c r="AD37" s="33">
        <v>25.611888947631002</v>
      </c>
      <c r="AE37" s="15">
        <v>-3.0468624101264097E-4</v>
      </c>
      <c r="AF37" s="15">
        <v>-4.2357217378522199E-4</v>
      </c>
      <c r="AG37" s="15">
        <v>-4.53282490075833E-4</v>
      </c>
      <c r="AI37" s="12"/>
      <c r="AJ37">
        <f t="shared" si="6"/>
        <v>0</v>
      </c>
      <c r="AK37">
        <f t="shared" si="7"/>
        <v>0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0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0</v>
      </c>
      <c r="BE37" s="29">
        <f t="shared" si="22"/>
        <v>0</v>
      </c>
      <c r="BF37" s="29">
        <f t="shared" si="23"/>
        <v>0</v>
      </c>
      <c r="BH37" s="29"/>
    </row>
    <row r="38" spans="1:124" x14ac:dyDescent="0.25">
      <c r="A38" s="1">
        <v>46078</v>
      </c>
      <c r="B38" s="33">
        <v>20.58</v>
      </c>
      <c r="C38" s="33">
        <v>25.54</v>
      </c>
      <c r="D38" s="15">
        <v>0</v>
      </c>
      <c r="E38" s="15">
        <v>3.9161935100072101E-4</v>
      </c>
      <c r="F38" s="33">
        <v>0</v>
      </c>
      <c r="G38" s="33">
        <v>0.14723</v>
      </c>
      <c r="H38" s="33">
        <v>0</v>
      </c>
      <c r="I38" s="33">
        <v>9.3501000000000001E-2</v>
      </c>
      <c r="J38" s="33">
        <v>0.14723</v>
      </c>
      <c r="K38" s="33">
        <v>9.3501000000000001E-2</v>
      </c>
      <c r="L38" s="33">
        <v>20.727229999999999</v>
      </c>
      <c r="M38" s="33">
        <v>25.633500999999999</v>
      </c>
      <c r="N38" s="34">
        <v>1.24101068999028</v>
      </c>
      <c r="O38" s="34">
        <v>1.2371344131525399</v>
      </c>
      <c r="P38" s="34">
        <v>1.2371225577240299</v>
      </c>
      <c r="Q38" s="34">
        <v>1.2369796095146699</v>
      </c>
      <c r="R38" s="33">
        <v>25.460226222679299</v>
      </c>
      <c r="S38" s="33">
        <v>25.447572354239799</v>
      </c>
      <c r="T38" s="33">
        <v>25.456160441595198</v>
      </c>
      <c r="U38" s="15">
        <v>-3.1283720990791502E-3</v>
      </c>
      <c r="V38" s="15">
        <v>-3.6255009891072998E-3</v>
      </c>
      <c r="W38" s="15">
        <v>-3.2880763263071901E-3</v>
      </c>
      <c r="X38" s="34">
        <v>1.2367065449652399</v>
      </c>
      <c r="Y38" s="34">
        <v>1.2358474847357901</v>
      </c>
      <c r="Z38" s="34">
        <v>1.23587643652955</v>
      </c>
      <c r="AA38" s="34">
        <v>1.23570735588526</v>
      </c>
      <c r="AB38" s="33">
        <v>25.615695061040199</v>
      </c>
      <c r="AC38" s="33">
        <v>25.6128537798716</v>
      </c>
      <c r="AD38" s="33">
        <v>25.6117200958554</v>
      </c>
      <c r="AE38" s="15">
        <v>-6.9487683885028804E-4</v>
      </c>
      <c r="AF38" s="15">
        <v>-8.0580253304792199E-4</v>
      </c>
      <c r="AG38" s="15">
        <v>-8.5006582039564703E-4</v>
      </c>
      <c r="AI38" s="12"/>
      <c r="AJ38">
        <f t="shared" si="6"/>
        <v>0</v>
      </c>
      <c r="AK38">
        <f t="shared" si="7"/>
        <v>0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0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0</v>
      </c>
      <c r="BE38" s="29">
        <f t="shared" si="22"/>
        <v>0</v>
      </c>
      <c r="BF38" s="29">
        <f t="shared" si="23"/>
        <v>0</v>
      </c>
      <c r="BH38" s="29"/>
    </row>
    <row r="39" spans="1:124" x14ac:dyDescent="0.25">
      <c r="A39" s="1">
        <v>46079</v>
      </c>
      <c r="B39" s="33">
        <v>20.58</v>
      </c>
      <c r="C39" s="33">
        <v>25.55</v>
      </c>
      <c r="D39" s="15">
        <v>0</v>
      </c>
      <c r="E39" s="15">
        <v>3.9146604532029101E-4</v>
      </c>
      <c r="F39" s="33">
        <v>0</v>
      </c>
      <c r="G39" s="33">
        <v>0.14723</v>
      </c>
      <c r="H39" s="33">
        <v>0</v>
      </c>
      <c r="I39" s="33">
        <v>9.3501000000000001E-2</v>
      </c>
      <c r="J39" s="33">
        <v>0.14723</v>
      </c>
      <c r="K39" s="33">
        <v>9.3501000000000001E-2</v>
      </c>
      <c r="L39" s="33">
        <v>20.727229999999999</v>
      </c>
      <c r="M39" s="33">
        <v>25.643501000000001</v>
      </c>
      <c r="N39" s="34">
        <v>1.2414965986394499</v>
      </c>
      <c r="O39" s="34">
        <v>1.2371344131525399</v>
      </c>
      <c r="P39" s="34">
        <v>1.2377142922365501</v>
      </c>
      <c r="Q39" s="34">
        <v>1.23707679124451</v>
      </c>
      <c r="R39" s="33">
        <v>25.460226222679299</v>
      </c>
      <c r="S39" s="33">
        <v>25.459982237960698</v>
      </c>
      <c r="T39" s="33">
        <v>25.457040363811998</v>
      </c>
      <c r="U39" s="15">
        <v>-3.5198381443994099E-3</v>
      </c>
      <c r="V39" s="15">
        <v>-3.5294211656007801E-3</v>
      </c>
      <c r="W39" s="15">
        <v>-3.6449767893034402E-3</v>
      </c>
      <c r="X39" s="34">
        <v>1.2371890021001299</v>
      </c>
      <c r="Y39" s="34">
        <v>1.2358474847357901</v>
      </c>
      <c r="Z39" s="34">
        <v>1.23603106288945</v>
      </c>
      <c r="AA39" s="34">
        <v>1.23581303770319</v>
      </c>
      <c r="AB39" s="33">
        <v>25.615695061040199</v>
      </c>
      <c r="AC39" s="33">
        <v>25.616295151528501</v>
      </c>
      <c r="AD39" s="33">
        <v>25.612790578125701</v>
      </c>
      <c r="AE39" s="15">
        <v>-1.08491524736632E-3</v>
      </c>
      <c r="AF39" s="15">
        <v>-1.06148884968357E-3</v>
      </c>
      <c r="AG39" s="15">
        <v>-1.19830852383646E-3</v>
      </c>
      <c r="AI39" s="12"/>
      <c r="AJ39">
        <f t="shared" si="6"/>
        <v>1</v>
      </c>
      <c r="AK39">
        <f t="shared" si="7"/>
        <v>0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0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0</v>
      </c>
      <c r="BE39" s="29">
        <f t="shared" si="22"/>
        <v>0</v>
      </c>
      <c r="BF39" s="29">
        <f t="shared" si="23"/>
        <v>0</v>
      </c>
      <c r="BH39" s="29"/>
    </row>
    <row r="40" spans="1:124" x14ac:dyDescent="0.25">
      <c r="A40" s="1">
        <v>46080</v>
      </c>
      <c r="B40" s="33">
        <v>20.62</v>
      </c>
      <c r="C40" s="33">
        <v>25.55</v>
      </c>
      <c r="D40" s="15">
        <v>1.9417481829103801E-3</v>
      </c>
      <c r="E40" s="15">
        <v>0</v>
      </c>
      <c r="F40" s="33">
        <v>0</v>
      </c>
      <c r="G40" s="33">
        <v>0.14723</v>
      </c>
      <c r="H40" s="33">
        <v>0</v>
      </c>
      <c r="I40" s="33">
        <v>9.3501000000000001E-2</v>
      </c>
      <c r="J40" s="33">
        <v>0.14723</v>
      </c>
      <c r="K40" s="33">
        <v>9.3501000000000001E-2</v>
      </c>
      <c r="L40" s="33">
        <v>20.767230000000001</v>
      </c>
      <c r="M40" s="33">
        <v>25.643501000000001</v>
      </c>
      <c r="N40" s="34">
        <v>1.2390882638215299</v>
      </c>
      <c r="O40" s="34">
        <v>1.2371344131525399</v>
      </c>
      <c r="P40" s="34">
        <v>1.2380766069908</v>
      </c>
      <c r="Q40" s="34">
        <v>1.23705937344967</v>
      </c>
      <c r="R40" s="33">
        <v>25.509711599205399</v>
      </c>
      <c r="S40" s="33">
        <v>25.521668705917701</v>
      </c>
      <c r="T40" s="33">
        <v>25.5085234354618</v>
      </c>
      <c r="U40" s="15">
        <v>-1.5780899614889301E-3</v>
      </c>
      <c r="V40" s="15">
        <v>-1.1094721479150999E-3</v>
      </c>
      <c r="W40" s="15">
        <v>-1.6246679641579E-3</v>
      </c>
      <c r="X40" s="34">
        <v>1.23480603816686</v>
      </c>
      <c r="Y40" s="34">
        <v>1.2358474847357901</v>
      </c>
      <c r="Z40" s="34">
        <v>1.2359587685342599</v>
      </c>
      <c r="AA40" s="34">
        <v>1.23580525919772</v>
      </c>
      <c r="AB40" s="33">
        <v>25.665128960429598</v>
      </c>
      <c r="AC40" s="33">
        <v>25.668941370169598</v>
      </c>
      <c r="AD40" s="33">
        <v>25.6644135909808</v>
      </c>
      <c r="AE40" s="15">
        <v>8.4305356534814598E-4</v>
      </c>
      <c r="AF40" s="15">
        <v>9.9158687753188291E-4</v>
      </c>
      <c r="AG40" s="15">
        <v>8.1517997001476596E-4</v>
      </c>
      <c r="AI40" s="12"/>
      <c r="AJ40">
        <f t="shared" si="6"/>
        <v>0</v>
      </c>
      <c r="AK40">
        <f t="shared" si="7"/>
        <v>1</v>
      </c>
      <c r="AL40">
        <f t="shared" si="14"/>
        <v>1</v>
      </c>
      <c r="AM40">
        <f t="shared" si="4"/>
        <v>0</v>
      </c>
      <c r="AN40">
        <f t="shared" si="15"/>
        <v>1</v>
      </c>
      <c r="AO40" s="28">
        <f t="shared" si="8"/>
        <v>1.9417481829103801E-3</v>
      </c>
      <c r="AP40" s="28">
        <f t="shared" si="9"/>
        <v>0</v>
      </c>
      <c r="AQ40" s="28">
        <f t="shared" si="16"/>
        <v>1.9417481829103801E-3</v>
      </c>
      <c r="AR40" s="29">
        <f t="shared" si="17"/>
        <v>1.9417481829103801E-3</v>
      </c>
      <c r="AT40" s="12"/>
      <c r="AU40">
        <f t="shared" si="10"/>
        <v>0</v>
      </c>
      <c r="AV40">
        <f t="shared" si="11"/>
        <v>0</v>
      </c>
      <c r="AW40">
        <f t="shared" si="18"/>
        <v>0</v>
      </c>
      <c r="AX40">
        <f t="shared" si="5"/>
        <v>0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0</v>
      </c>
      <c r="BE40" s="29">
        <f t="shared" si="22"/>
        <v>1.9417481829103801E-3</v>
      </c>
      <c r="BF40" s="29">
        <f t="shared" si="23"/>
        <v>1.9417481829103801E-3</v>
      </c>
      <c r="BH40" s="29"/>
    </row>
    <row r="41" spans="1:124" x14ac:dyDescent="0.25">
      <c r="A41" s="1">
        <v>46083</v>
      </c>
      <c r="B41" s="33">
        <v>20.59</v>
      </c>
      <c r="C41" s="33">
        <v>25.43</v>
      </c>
      <c r="D41" s="15">
        <v>-1.4559575491158499E-3</v>
      </c>
      <c r="E41" s="15">
        <v>-4.7077372156852102E-3</v>
      </c>
      <c r="F41" s="33">
        <v>0</v>
      </c>
      <c r="G41" s="33">
        <v>0.14723</v>
      </c>
      <c r="H41" s="33">
        <v>9.3022999999999995E-2</v>
      </c>
      <c r="I41" s="33">
        <v>0.186524</v>
      </c>
      <c r="J41" s="33">
        <v>0.14723</v>
      </c>
      <c r="K41" s="33">
        <v>0.186524</v>
      </c>
      <c r="L41" s="33">
        <v>20.73723</v>
      </c>
      <c r="M41" s="33">
        <v>25.616523999999998</v>
      </c>
      <c r="N41" s="34">
        <v>1.23506556580864</v>
      </c>
      <c r="O41" s="34">
        <v>1.2371344131525399</v>
      </c>
      <c r="P41" s="34">
        <v>1.2380110435329399</v>
      </c>
      <c r="Q41" s="34">
        <v>1.23682236047797</v>
      </c>
      <c r="R41" s="33">
        <v>25.472597566810801</v>
      </c>
      <c r="S41" s="33">
        <v>25.4919973379406</v>
      </c>
      <c r="T41" s="33">
        <v>25.471052499328799</v>
      </c>
      <c r="U41" s="15">
        <v>1.6736897050803499E-3</v>
      </c>
      <c r="V41" s="15">
        <v>2.43499359076628E-3</v>
      </c>
      <c r="W41" s="15">
        <v>1.6130318024544499E-3</v>
      </c>
      <c r="X41" s="34">
        <v>1.2352915022883899</v>
      </c>
      <c r="Y41" s="34">
        <v>1.2358474847357901</v>
      </c>
      <c r="Z41" s="34">
        <v>1.23590951048824</v>
      </c>
      <c r="AA41" s="34">
        <v>1.2358032520162701</v>
      </c>
      <c r="AB41" s="33">
        <v>25.628053535887499</v>
      </c>
      <c r="AC41" s="33">
        <v>25.630361253611799</v>
      </c>
      <c r="AD41" s="33">
        <v>25.627177895192801</v>
      </c>
      <c r="AE41" s="15">
        <v>4.4998072524053402E-4</v>
      </c>
      <c r="AF41" s="15">
        <v>5.4002321817783999E-4</v>
      </c>
      <c r="AG41" s="15">
        <v>4.1581286879433898E-4</v>
      </c>
      <c r="AI41" s="12"/>
      <c r="AJ41">
        <f t="shared" si="6"/>
        <v>0</v>
      </c>
      <c r="AK41">
        <f t="shared" si="7"/>
        <v>1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1.9417481829103801E-3</v>
      </c>
      <c r="AT41" s="12"/>
      <c r="AU41">
        <f t="shared" si="10"/>
        <v>0</v>
      </c>
      <c r="AV41">
        <f t="shared" si="11"/>
        <v>0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0</v>
      </c>
      <c r="BE41" s="29">
        <f t="shared" si="22"/>
        <v>0</v>
      </c>
      <c r="BF41" s="29">
        <f t="shared" si="23"/>
        <v>1.9417481829103801E-3</v>
      </c>
      <c r="BH41" s="29"/>
    </row>
    <row r="42" spans="1:124" x14ac:dyDescent="0.25">
      <c r="A42" s="1">
        <v>46084</v>
      </c>
      <c r="B42" s="33">
        <v>20.58</v>
      </c>
      <c r="C42" s="33">
        <v>25.44</v>
      </c>
      <c r="D42" s="15">
        <v>-4.8579063379456598E-4</v>
      </c>
      <c r="E42" s="15">
        <v>3.93159037893175E-4</v>
      </c>
      <c r="F42" s="33">
        <v>0</v>
      </c>
      <c r="G42" s="33">
        <v>0.14723</v>
      </c>
      <c r="H42" s="33">
        <v>0</v>
      </c>
      <c r="I42" s="33">
        <v>0.186524</v>
      </c>
      <c r="J42" s="33">
        <v>0.14723</v>
      </c>
      <c r="K42" s="33">
        <v>0.186524</v>
      </c>
      <c r="L42" s="33">
        <v>20.727229999999999</v>
      </c>
      <c r="M42" s="33">
        <v>25.626524</v>
      </c>
      <c r="N42" s="34">
        <v>1.23615160349854</v>
      </c>
      <c r="O42" s="34">
        <v>1.2371344131525399</v>
      </c>
      <c r="P42" s="34">
        <v>1.23810248655462</v>
      </c>
      <c r="Q42" s="34">
        <v>1.2368523787296299</v>
      </c>
      <c r="R42" s="33">
        <v>25.460226222679299</v>
      </c>
      <c r="S42" s="33">
        <v>25.4782672759079</v>
      </c>
      <c r="T42" s="33">
        <v>25.453804178636599</v>
      </c>
      <c r="U42" s="15">
        <v>7.9474003339268103E-4</v>
      </c>
      <c r="V42" s="15">
        <v>1.50308661939729E-3</v>
      </c>
      <c r="W42" s="15">
        <v>5.4246992135660501E-4</v>
      </c>
      <c r="X42" s="34">
        <v>1.2363699346222301</v>
      </c>
      <c r="Y42" s="34">
        <v>1.2358474847357901</v>
      </c>
      <c r="Z42" s="34">
        <v>1.23601632421716</v>
      </c>
      <c r="AA42" s="34">
        <v>1.2358410013730099</v>
      </c>
      <c r="AB42" s="33">
        <v>25.615695061040199</v>
      </c>
      <c r="AC42" s="33">
        <v>25.616980683077202</v>
      </c>
      <c r="AD42" s="33">
        <v>25.614778239289301</v>
      </c>
      <c r="AE42" s="15">
        <v>-4.2265691531013502E-4</v>
      </c>
      <c r="AF42" s="15">
        <v>-3.7246933409692097E-4</v>
      </c>
      <c r="AG42" s="15">
        <v>-4.5844896218953798E-4</v>
      </c>
      <c r="AI42" s="12"/>
      <c r="AJ42">
        <f t="shared" si="6"/>
        <v>0</v>
      </c>
      <c r="AK42">
        <f t="shared" si="7"/>
        <v>0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1.9417481829103801E-3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0</v>
      </c>
      <c r="BE42" s="29">
        <f t="shared" si="22"/>
        <v>0</v>
      </c>
      <c r="BF42" s="29">
        <f t="shared" si="23"/>
        <v>1.9417481829103801E-3</v>
      </c>
      <c r="BH42" s="29"/>
    </row>
    <row r="43" spans="1:124" x14ac:dyDescent="0.25">
      <c r="A43" s="1">
        <v>46085</v>
      </c>
      <c r="B43" s="33">
        <v>20.56</v>
      </c>
      <c r="C43" s="33">
        <v>25.42</v>
      </c>
      <c r="D43" s="15">
        <v>-9.7228981893922198E-4</v>
      </c>
      <c r="E43" s="15">
        <v>-7.8647271061337595E-4</v>
      </c>
      <c r="F43" s="33">
        <v>0</v>
      </c>
      <c r="G43" s="33">
        <v>0.14723</v>
      </c>
      <c r="H43" s="33">
        <v>0</v>
      </c>
      <c r="I43" s="33">
        <v>0.186524</v>
      </c>
      <c r="J43" s="33">
        <v>0.14723</v>
      </c>
      <c r="K43" s="33">
        <v>0.186524</v>
      </c>
      <c r="L43" s="33">
        <v>20.707229999999999</v>
      </c>
      <c r="M43" s="33">
        <v>25.606524</v>
      </c>
      <c r="N43" s="34">
        <v>1.2363813229571901</v>
      </c>
      <c r="O43" s="34">
        <v>1.2371344131525399</v>
      </c>
      <c r="P43" s="34">
        <v>1.23821690152217</v>
      </c>
      <c r="Q43" s="34">
        <v>1.2368881601350199</v>
      </c>
      <c r="R43" s="33">
        <v>25.435483534416299</v>
      </c>
      <c r="S43" s="33">
        <v>25.455387123563099</v>
      </c>
      <c r="T43" s="33">
        <v>25.429684906681199</v>
      </c>
      <c r="U43" s="15">
        <v>6.08922925066956E-4</v>
      </c>
      <c r="V43" s="15">
        <v>1.3911296314693599E-3</v>
      </c>
      <c r="W43" s="15">
        <v>3.8092298177118102E-4</v>
      </c>
      <c r="X43" s="34">
        <v>1.23659823163214</v>
      </c>
      <c r="Y43" s="34">
        <v>1.2358474847357901</v>
      </c>
      <c r="Z43" s="34">
        <v>1.2361459676470701</v>
      </c>
      <c r="AA43" s="34">
        <v>1.23588446189115</v>
      </c>
      <c r="AB43" s="33">
        <v>25.5909781113455</v>
      </c>
      <c r="AC43" s="33">
        <v>25.594474309319299</v>
      </c>
      <c r="AD43" s="33">
        <v>25.590843858861199</v>
      </c>
      <c r="AE43" s="15">
        <v>-6.0729092206376499E-4</v>
      </c>
      <c r="AF43" s="15">
        <v>-4.7068187343918299E-4</v>
      </c>
      <c r="AG43" s="15">
        <v>-6.1253702230305298E-4</v>
      </c>
      <c r="AI43" s="12"/>
      <c r="AJ43">
        <f t="shared" si="6"/>
        <v>0</v>
      </c>
      <c r="AK43">
        <f t="shared" si="7"/>
        <v>0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1.9417481829103801E-3</v>
      </c>
      <c r="AT43" s="12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0</v>
      </c>
      <c r="BE43" s="29">
        <f t="shared" si="22"/>
        <v>0</v>
      </c>
      <c r="BF43" s="29">
        <f t="shared" si="23"/>
        <v>1.9417481829103801E-3</v>
      </c>
      <c r="BH43" s="29"/>
    </row>
    <row r="44" spans="1:124" x14ac:dyDescent="0.25">
      <c r="A44" s="1">
        <v>46086</v>
      </c>
      <c r="B44" s="33">
        <v>20.56</v>
      </c>
      <c r="C44" s="33">
        <v>25.4</v>
      </c>
      <c r="D44" s="15">
        <v>0</v>
      </c>
      <c r="E44" s="15">
        <v>-7.8709173681726504E-4</v>
      </c>
      <c r="F44" s="33">
        <v>0</v>
      </c>
      <c r="G44" s="33">
        <v>0.14723</v>
      </c>
      <c r="H44" s="33">
        <v>0</v>
      </c>
      <c r="I44" s="33">
        <v>0.186524</v>
      </c>
      <c r="J44" s="33">
        <v>0.14723</v>
      </c>
      <c r="K44" s="33">
        <v>0.186524</v>
      </c>
      <c r="L44" s="33">
        <v>20.707229999999999</v>
      </c>
      <c r="M44" s="33">
        <v>25.586523999999901</v>
      </c>
      <c r="N44" s="34">
        <v>1.2354085603112801</v>
      </c>
      <c r="O44" s="34">
        <v>1.2371344131525399</v>
      </c>
      <c r="P44" s="34">
        <v>1.2381742224443399</v>
      </c>
      <c r="Q44" s="34">
        <v>1.2368567425944901</v>
      </c>
      <c r="R44" s="33">
        <v>25.435483534416299</v>
      </c>
      <c r="S44" s="33">
        <v>25.4577394952959</v>
      </c>
      <c r="T44" s="33">
        <v>25.4304205723761</v>
      </c>
      <c r="U44" s="15">
        <v>1.3960146618839701E-3</v>
      </c>
      <c r="V44" s="15">
        <v>2.2706286467513801E-3</v>
      </c>
      <c r="W44" s="15">
        <v>1.1969437067600099E-3</v>
      </c>
      <c r="X44" s="34">
        <v>1.23563238540355</v>
      </c>
      <c r="Y44" s="34">
        <v>1.2358474847357901</v>
      </c>
      <c r="Z44" s="34">
        <v>1.2361194209031601</v>
      </c>
      <c r="AA44" s="34">
        <v>1.2358611378306701</v>
      </c>
      <c r="AB44" s="33">
        <v>25.5909781113455</v>
      </c>
      <c r="AC44" s="33">
        <v>25.597158865640399</v>
      </c>
      <c r="AD44" s="33">
        <v>25.591743805806299</v>
      </c>
      <c r="AE44" s="15">
        <v>1.74065211195952E-4</v>
      </c>
      <c r="AF44" s="15">
        <v>4.1555688055631599E-4</v>
      </c>
      <c r="AG44" s="15">
        <v>2.0398524796525001E-4</v>
      </c>
      <c r="AI44" s="12"/>
      <c r="AJ44">
        <f t="shared" si="6"/>
        <v>0</v>
      </c>
      <c r="AK44">
        <f t="shared" si="7"/>
        <v>1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1.9417481829103801E-3</v>
      </c>
      <c r="AT44" s="12"/>
      <c r="AU44">
        <f t="shared" si="10"/>
        <v>0</v>
      </c>
      <c r="AV44">
        <f t="shared" si="11"/>
        <v>0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0</v>
      </c>
      <c r="BE44" s="29">
        <f t="shared" si="22"/>
        <v>0</v>
      </c>
      <c r="BF44" s="29">
        <f t="shared" si="23"/>
        <v>1.9417481829103801E-3</v>
      </c>
      <c r="BH44" s="29"/>
    </row>
    <row r="45" spans="1:124" x14ac:dyDescent="0.25">
      <c r="A45" s="1">
        <v>46087</v>
      </c>
      <c r="B45" s="33">
        <v>20.57</v>
      </c>
      <c r="C45" s="33">
        <v>25.41</v>
      </c>
      <c r="D45" s="15">
        <v>4.8626307790143998E-4</v>
      </c>
      <c r="E45" s="15">
        <v>3.9362330758177299E-4</v>
      </c>
      <c r="F45" s="33">
        <v>0</v>
      </c>
      <c r="G45" s="33">
        <v>0.14723</v>
      </c>
      <c r="H45" s="33">
        <v>0</v>
      </c>
      <c r="I45" s="33">
        <v>0.186524</v>
      </c>
      <c r="J45" s="33">
        <v>0.14723</v>
      </c>
      <c r="K45" s="33">
        <v>0.186524</v>
      </c>
      <c r="L45" s="33">
        <v>20.717230000000001</v>
      </c>
      <c r="M45" s="33">
        <v>25.596523999999999</v>
      </c>
      <c r="N45" s="34">
        <v>1.23529411764705</v>
      </c>
      <c r="O45" s="34">
        <v>1.2371344131525399</v>
      </c>
      <c r="P45" s="34">
        <v>1.23813151417033</v>
      </c>
      <c r="Q45" s="34">
        <v>1.2368367734040999</v>
      </c>
      <c r="R45" s="33">
        <v>25.447854878547801</v>
      </c>
      <c r="S45" s="33">
        <v>25.4692437556802</v>
      </c>
      <c r="T45" s="33">
        <v>25.4421431951687</v>
      </c>
      <c r="U45" s="15">
        <v>1.4886544322037299E-3</v>
      </c>
      <c r="V45" s="15">
        <v>2.3287996472375E-3</v>
      </c>
      <c r="W45" s="15">
        <v>1.2641826845418099E-3</v>
      </c>
      <c r="X45" s="34">
        <v>1.2355186480045799</v>
      </c>
      <c r="Y45" s="34">
        <v>1.2358474847357901</v>
      </c>
      <c r="Z45" s="34">
        <v>1.2360928774287601</v>
      </c>
      <c r="AA45" s="34">
        <v>1.23584923996979</v>
      </c>
      <c r="AB45" s="33">
        <v>25.6033365861928</v>
      </c>
      <c r="AC45" s="33">
        <v>25.608970350317701</v>
      </c>
      <c r="AD45" s="33">
        <v>25.603619440499799</v>
      </c>
      <c r="AE45" s="15">
        <v>2.66117374346811E-4</v>
      </c>
      <c r="AF45" s="15">
        <v>4.8613340114294002E-4</v>
      </c>
      <c r="AG45" s="15">
        <v>2.77164869802665E-4</v>
      </c>
      <c r="AI45" s="12"/>
      <c r="AJ45">
        <f t="shared" si="6"/>
        <v>0</v>
      </c>
      <c r="AK45">
        <f t="shared" si="7"/>
        <v>1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1.9417481829103801E-3</v>
      </c>
      <c r="AT45" s="12"/>
      <c r="AU45">
        <f t="shared" si="10"/>
        <v>0</v>
      </c>
      <c r="AV45">
        <f t="shared" si="11"/>
        <v>0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0</v>
      </c>
      <c r="BE45" s="29">
        <f t="shared" si="22"/>
        <v>0</v>
      </c>
      <c r="BF45" s="29">
        <f t="shared" si="23"/>
        <v>1.9417481829103801E-3</v>
      </c>
      <c r="BH45" s="29"/>
    </row>
    <row r="46" spans="1:124" x14ac:dyDescent="0.25">
      <c r="A46" s="1">
        <v>46090</v>
      </c>
      <c r="B46" s="33">
        <v>20.57</v>
      </c>
      <c r="C46" s="33">
        <v>25.43</v>
      </c>
      <c r="D46" s="15">
        <v>0</v>
      </c>
      <c r="E46" s="15">
        <v>7.8678210195546401E-4</v>
      </c>
      <c r="F46" s="33">
        <v>0</v>
      </c>
      <c r="G46" s="33">
        <v>0.14723</v>
      </c>
      <c r="H46" s="33">
        <v>0</v>
      </c>
      <c r="I46" s="33">
        <v>0.186524</v>
      </c>
      <c r="J46" s="33">
        <v>0.14723</v>
      </c>
      <c r="K46" s="33">
        <v>0.186524</v>
      </c>
      <c r="L46" s="33">
        <v>20.717230000000001</v>
      </c>
      <c r="M46" s="33">
        <v>25.616523999999998</v>
      </c>
      <c r="N46" s="34">
        <v>1.2362664073894001</v>
      </c>
      <c r="O46" s="34">
        <v>1.2371344131525399</v>
      </c>
      <c r="P46" s="34">
        <v>1.23766879114045</v>
      </c>
      <c r="Q46" s="34">
        <v>1.23687113109785</v>
      </c>
      <c r="R46" s="33">
        <v>25.447854878547801</v>
      </c>
      <c r="S46" s="33">
        <v>25.4683652464837</v>
      </c>
      <c r="T46" s="33">
        <v>25.4417324289224</v>
      </c>
      <c r="U46" s="15">
        <v>7.0187233024821504E-4</v>
      </c>
      <c r="V46" s="15">
        <v>1.5075240064680599E-3</v>
      </c>
      <c r="W46" s="15">
        <v>4.6125534045101101E-4</v>
      </c>
      <c r="X46" s="34">
        <v>1.2364840280288401</v>
      </c>
      <c r="Y46" s="34">
        <v>1.2358474847357901</v>
      </c>
      <c r="Z46" s="34">
        <v>1.2360820403042301</v>
      </c>
      <c r="AA46" s="34">
        <v>1.2358913044461699</v>
      </c>
      <c r="AB46" s="33">
        <v>25.6033365861928</v>
      </c>
      <c r="AC46" s="33">
        <v>25.6084204430535</v>
      </c>
      <c r="AD46" s="33">
        <v>25.603372949779299</v>
      </c>
      <c r="AE46" s="15">
        <v>-5.14933619405055E-4</v>
      </c>
      <c r="AF46" s="15">
        <v>-3.1639105135781699E-4</v>
      </c>
      <c r="AG46" s="15">
        <v>-5.1351335292738399E-4</v>
      </c>
      <c r="AI46" s="12"/>
      <c r="AJ46">
        <f t="shared" si="6"/>
        <v>0</v>
      </c>
      <c r="AK46">
        <f t="shared" si="7"/>
        <v>0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1.9417481829103801E-3</v>
      </c>
      <c r="AT46" s="12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0</v>
      </c>
      <c r="BE46" s="29">
        <f t="shared" si="22"/>
        <v>0</v>
      </c>
      <c r="BF46" s="29">
        <f t="shared" si="23"/>
        <v>1.9417481829103801E-3</v>
      </c>
      <c r="BH46" s="29"/>
    </row>
    <row r="47" spans="1:124" x14ac:dyDescent="0.25">
      <c r="A47" s="1">
        <v>46091</v>
      </c>
      <c r="B47" s="33">
        <v>20.55</v>
      </c>
      <c r="C47" s="33">
        <v>25.39</v>
      </c>
      <c r="D47" s="15">
        <v>-9.7276272262216996E-4</v>
      </c>
      <c r="E47" s="15">
        <v>-1.5741837174411701E-3</v>
      </c>
      <c r="F47" s="33">
        <v>0</v>
      </c>
      <c r="G47" s="33">
        <v>0.14723</v>
      </c>
      <c r="H47" s="33">
        <v>0</v>
      </c>
      <c r="I47" s="33">
        <v>0.186524</v>
      </c>
      <c r="J47" s="33">
        <v>0.14723</v>
      </c>
      <c r="K47" s="33">
        <v>0.186524</v>
      </c>
      <c r="L47" s="33">
        <v>20.697230000000001</v>
      </c>
      <c r="M47" s="33">
        <v>25.576523999999999</v>
      </c>
      <c r="N47" s="34">
        <v>1.2355231143552301</v>
      </c>
      <c r="O47" s="34">
        <v>1.2371344131525399</v>
      </c>
      <c r="P47" s="34">
        <v>1.23716862444186</v>
      </c>
      <c r="Q47" s="34">
        <v>1.2368440875911799</v>
      </c>
      <c r="R47" s="33">
        <v>25.423112190284701</v>
      </c>
      <c r="S47" s="33">
        <v>25.434093657936199</v>
      </c>
      <c r="T47" s="33">
        <v>25.417701744060899</v>
      </c>
      <c r="U47" s="15">
        <v>1.30329332506713E-3</v>
      </c>
      <c r="V47" s="15">
        <v>1.7351482663285299E-3</v>
      </c>
      <c r="W47" s="15">
        <v>1.09045463010795E-3</v>
      </c>
      <c r="X47" s="34">
        <v>1.2357462327084301</v>
      </c>
      <c r="Y47" s="34">
        <v>1.2358474847357901</v>
      </c>
      <c r="Z47" s="34">
        <v>1.23603425479204</v>
      </c>
      <c r="AA47" s="34">
        <v>1.23587232994531</v>
      </c>
      <c r="AB47" s="33">
        <v>25.5786196364981</v>
      </c>
      <c r="AC47" s="33">
        <v>25.583474287045998</v>
      </c>
      <c r="AD47" s="33">
        <v>25.579526583122401</v>
      </c>
      <c r="AE47" s="15">
        <v>8.1932581959238504E-5</v>
      </c>
      <c r="AF47" s="15">
        <v>2.7170787026942498E-4</v>
      </c>
      <c r="AG47" s="15">
        <v>1.1738916869671201E-4</v>
      </c>
      <c r="AI47" s="12"/>
      <c r="AJ47">
        <f t="shared" si="6"/>
        <v>0</v>
      </c>
      <c r="AK47">
        <f t="shared" si="7"/>
        <v>1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1.9417481829103801E-3</v>
      </c>
      <c r="AT47" s="12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0</v>
      </c>
      <c r="BE47" s="29">
        <f t="shared" si="22"/>
        <v>0</v>
      </c>
      <c r="BF47" s="29">
        <f t="shared" si="23"/>
        <v>1.9417481829103801E-3</v>
      </c>
      <c r="BH47" s="29"/>
    </row>
    <row r="48" spans="1:124" x14ac:dyDescent="0.25">
      <c r="A48" s="1">
        <v>46092</v>
      </c>
      <c r="B48" s="33">
        <v>20.51</v>
      </c>
      <c r="C48" s="33">
        <v>25.36</v>
      </c>
      <c r="D48" s="15">
        <v>-1.9483688579542699E-3</v>
      </c>
      <c r="E48" s="15">
        <v>-1.1822661475618999E-3</v>
      </c>
      <c r="F48" s="33">
        <v>0</v>
      </c>
      <c r="G48" s="33">
        <v>0.14723</v>
      </c>
      <c r="H48" s="33">
        <v>0</v>
      </c>
      <c r="I48" s="33">
        <v>0.186524</v>
      </c>
      <c r="J48" s="33">
        <v>0.14723</v>
      </c>
      <c r="K48" s="33">
        <v>0.186524</v>
      </c>
      <c r="L48" s="33">
        <v>20.657229999999998</v>
      </c>
      <c r="M48" s="33">
        <v>25.546523999999899</v>
      </c>
      <c r="N48" s="34">
        <v>1.23647001462701</v>
      </c>
      <c r="O48" s="34">
        <v>1.2371344131525399</v>
      </c>
      <c r="P48" s="34">
        <v>1.23671455690553</v>
      </c>
      <c r="Q48" s="34">
        <v>1.2369185573147801</v>
      </c>
      <c r="R48" s="33">
        <v>25.373626813758602</v>
      </c>
      <c r="S48" s="33">
        <v>25.374328487302598</v>
      </c>
      <c r="T48" s="33">
        <v>25.367672236495299</v>
      </c>
      <c r="U48" s="15">
        <v>5.3719061467470404E-4</v>
      </c>
      <c r="V48" s="15">
        <v>5.6484388818371298E-4</v>
      </c>
      <c r="W48" s="15">
        <v>3.0248723095486601E-4</v>
      </c>
      <c r="X48" s="34">
        <v>1.2366868161897699</v>
      </c>
      <c r="Y48" s="34">
        <v>1.2358474847357901</v>
      </c>
      <c r="Z48" s="34">
        <v>1.23603228191449</v>
      </c>
      <c r="AA48" s="34">
        <v>1.2359543592220199</v>
      </c>
      <c r="AB48" s="33">
        <v>25.529185737108701</v>
      </c>
      <c r="AC48" s="33">
        <v>25.533043889117799</v>
      </c>
      <c r="AD48" s="33">
        <v>25.5296989703163</v>
      </c>
      <c r="AE48" s="15">
        <v>-6.7892403831550498E-4</v>
      </c>
      <c r="AF48" s="15">
        <v>-5.2780834890259502E-4</v>
      </c>
      <c r="AG48" s="15">
        <v>-6.5882045749689395E-4</v>
      </c>
      <c r="AI48" s="12"/>
      <c r="AJ48">
        <f t="shared" si="6"/>
        <v>0</v>
      </c>
      <c r="AK48">
        <f t="shared" si="7"/>
        <v>0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1.9417481829103801E-3</v>
      </c>
      <c r="AT48" s="12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0</v>
      </c>
      <c r="BE48" s="29">
        <f t="shared" si="22"/>
        <v>0</v>
      </c>
      <c r="BF48" s="29">
        <f t="shared" si="23"/>
        <v>1.9417481829103801E-3</v>
      </c>
      <c r="BH48" s="29"/>
    </row>
    <row r="49" spans="1:60" x14ac:dyDescent="0.25">
      <c r="A49" s="1">
        <v>46093</v>
      </c>
      <c r="B49" s="33">
        <v>20.46</v>
      </c>
      <c r="C49" s="33">
        <v>25.28</v>
      </c>
      <c r="D49" s="15">
        <v>-2.4408115608088002E-3</v>
      </c>
      <c r="E49" s="15">
        <v>-3.1595602903684802E-3</v>
      </c>
      <c r="F49" s="33">
        <v>0</v>
      </c>
      <c r="G49" s="33">
        <v>0.14723</v>
      </c>
      <c r="H49" s="33">
        <v>0</v>
      </c>
      <c r="I49" s="33">
        <v>0.186524</v>
      </c>
      <c r="J49" s="33">
        <v>0.14723</v>
      </c>
      <c r="K49" s="33">
        <v>0.186524</v>
      </c>
      <c r="L49" s="33">
        <v>20.607230000000001</v>
      </c>
      <c r="M49" s="33">
        <v>25.466524</v>
      </c>
      <c r="N49" s="34">
        <v>1.23558162267839</v>
      </c>
      <c r="O49" s="34">
        <v>1.2371344131525399</v>
      </c>
      <c r="P49" s="34">
        <v>1.2361230593094299</v>
      </c>
      <c r="Q49" s="34">
        <v>1.23691867577299</v>
      </c>
      <c r="R49" s="33">
        <v>25.311770093101</v>
      </c>
      <c r="S49" s="33">
        <v>25.303179834287199</v>
      </c>
      <c r="T49" s="33">
        <v>25.307353682660501</v>
      </c>
      <c r="U49" s="15">
        <v>1.2559393442344599E-3</v>
      </c>
      <c r="V49" s="15">
        <v>9.1650370679568398E-4</v>
      </c>
      <c r="W49" s="15">
        <v>1.08144361525774E-3</v>
      </c>
      <c r="X49" s="34">
        <v>1.23580529746113</v>
      </c>
      <c r="Y49" s="34">
        <v>1.2358474847357901</v>
      </c>
      <c r="Z49" s="34">
        <v>1.23589391145059</v>
      </c>
      <c r="AA49" s="34">
        <v>1.2359624871700201</v>
      </c>
      <c r="AB49" s="33">
        <v>25.467393362871899</v>
      </c>
      <c r="AC49" s="33">
        <v>25.4712015208368</v>
      </c>
      <c r="AD49" s="33">
        <v>25.469595749990901</v>
      </c>
      <c r="AE49" s="15">
        <v>3.41368941176429E-5</v>
      </c>
      <c r="AF49" s="15">
        <v>1.8365644724749699E-4</v>
      </c>
      <c r="AG49" s="15">
        <v>1.20611856959575E-4</v>
      </c>
      <c r="AI49" s="12"/>
      <c r="AJ49">
        <f t="shared" si="6"/>
        <v>0</v>
      </c>
      <c r="AK49">
        <f t="shared" si="7"/>
        <v>1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1.9417481829103801E-3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0</v>
      </c>
      <c r="BE49" s="29">
        <f t="shared" si="22"/>
        <v>0</v>
      </c>
      <c r="BF49" s="29">
        <f t="shared" si="23"/>
        <v>1.9417481829103801E-3</v>
      </c>
      <c r="BH49" s="29"/>
    </row>
    <row r="50" spans="1:60" x14ac:dyDescent="0.25">
      <c r="A50" s="1">
        <v>46094</v>
      </c>
      <c r="B50" s="33">
        <v>20.45</v>
      </c>
      <c r="C50" s="33">
        <v>25.27</v>
      </c>
      <c r="D50" s="15">
        <v>-4.8887803466978103E-4</v>
      </c>
      <c r="E50" s="15">
        <v>-3.9564787855387299E-4</v>
      </c>
      <c r="F50" s="33">
        <v>0</v>
      </c>
      <c r="G50" s="33">
        <v>0.14723</v>
      </c>
      <c r="H50" s="33">
        <v>0</v>
      </c>
      <c r="I50" s="33">
        <v>0.186524</v>
      </c>
      <c r="J50" s="33">
        <v>0.14723</v>
      </c>
      <c r="K50" s="33">
        <v>0.186524</v>
      </c>
      <c r="L50" s="33">
        <v>20.59723</v>
      </c>
      <c r="M50" s="33">
        <v>25.456523999999899</v>
      </c>
      <c r="N50" s="34">
        <v>1.2356968215158901</v>
      </c>
      <c r="O50" s="34">
        <v>1.2371344131525399</v>
      </c>
      <c r="P50" s="34">
        <v>1.2357839150788601</v>
      </c>
      <c r="Q50" s="34">
        <v>1.2369302610348301</v>
      </c>
      <c r="R50" s="33">
        <v>25.299398748969502</v>
      </c>
      <c r="S50" s="33">
        <v>25.278716562877801</v>
      </c>
      <c r="T50" s="33">
        <v>25.294986919557701</v>
      </c>
      <c r="U50" s="15">
        <v>1.1627091881183901E-3</v>
      </c>
      <c r="V50" s="15">
        <v>3.4487771626814598E-4</v>
      </c>
      <c r="W50" s="15">
        <v>9.8830922793655802E-4</v>
      </c>
      <c r="X50" s="34">
        <v>1.2359197814463401</v>
      </c>
      <c r="Y50" s="34">
        <v>1.2358474847357901</v>
      </c>
      <c r="Z50" s="34">
        <v>1.23600528577854</v>
      </c>
      <c r="AA50" s="34">
        <v>1.2359820271563999</v>
      </c>
      <c r="AB50" s="33">
        <v>25.4550348880245</v>
      </c>
      <c r="AC50" s="33">
        <v>25.455991149747501</v>
      </c>
      <c r="AD50" s="33">
        <v>25.457403619613</v>
      </c>
      <c r="AE50" s="15">
        <v>-5.8497991748190399E-5</v>
      </c>
      <c r="AF50" s="15">
        <v>-2.0931994850008698E-5</v>
      </c>
      <c r="AG50" s="15">
        <v>3.45532020106705E-5</v>
      </c>
      <c r="AI50" s="12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1.9417481829103801E-3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0</v>
      </c>
      <c r="BE50" s="29">
        <f t="shared" si="22"/>
        <v>0</v>
      </c>
      <c r="BF50" s="29">
        <f t="shared" si="23"/>
        <v>1.9417481829103801E-3</v>
      </c>
      <c r="BH50" s="29"/>
    </row>
    <row r="51" spans="1:60" x14ac:dyDescent="0.25">
      <c r="A51" s="1">
        <v>46097</v>
      </c>
      <c r="B51" s="33">
        <v>20.46</v>
      </c>
      <c r="C51" s="33">
        <v>25.29</v>
      </c>
      <c r="D51" s="15">
        <v>4.88878034669639E-4</v>
      </c>
      <c r="E51" s="15">
        <v>7.9113928177101001E-4</v>
      </c>
      <c r="F51" s="33">
        <v>0</v>
      </c>
      <c r="G51" s="33">
        <v>0.14723</v>
      </c>
      <c r="H51" s="33">
        <v>0</v>
      </c>
      <c r="I51" s="33">
        <v>0.186524</v>
      </c>
      <c r="J51" s="33">
        <v>0.14723</v>
      </c>
      <c r="K51" s="33">
        <v>0.186524</v>
      </c>
      <c r="L51" s="33">
        <v>20.607230000000001</v>
      </c>
      <c r="M51" s="33">
        <v>25.476523999999898</v>
      </c>
      <c r="N51" s="34">
        <v>1.23607038123167</v>
      </c>
      <c r="O51" s="34">
        <v>1.2371344131525399</v>
      </c>
      <c r="P51" s="34">
        <v>1.2358843966211599</v>
      </c>
      <c r="Q51" s="34">
        <v>1.23694772007705</v>
      </c>
      <c r="R51" s="33">
        <v>25.311770093101</v>
      </c>
      <c r="S51" s="33">
        <v>25.2841389025136</v>
      </c>
      <c r="T51" s="33">
        <v>25.307593140772699</v>
      </c>
      <c r="U51" s="15">
        <v>8.6044794101740102E-4</v>
      </c>
      <c r="V51" s="15">
        <v>-2.3178239471081599E-4</v>
      </c>
      <c r="W51" s="15">
        <v>6.9541416457365602E-4</v>
      </c>
      <c r="X51" s="34">
        <v>1.2362905640399</v>
      </c>
      <c r="Y51" s="34">
        <v>1.2358474847357901</v>
      </c>
      <c r="Z51" s="34">
        <v>1.2361051919536901</v>
      </c>
      <c r="AA51" s="34">
        <v>1.2360073512209699</v>
      </c>
      <c r="AB51" s="33">
        <v>25.467393362871899</v>
      </c>
      <c r="AC51" s="33">
        <v>25.470645205254101</v>
      </c>
      <c r="AD51" s="33">
        <v>25.470165909478201</v>
      </c>
      <c r="AE51" s="15">
        <v>-3.5845838712431798E-4</v>
      </c>
      <c r="AF51" s="15">
        <v>-2.3078003601031101E-4</v>
      </c>
      <c r="AG51" s="15">
        <v>-2.49597788041422E-4</v>
      </c>
      <c r="AI51" s="12"/>
      <c r="AJ51">
        <f t="shared" si="6"/>
        <v>0</v>
      </c>
      <c r="AK51">
        <f t="shared" si="7"/>
        <v>0</v>
      </c>
      <c r="AL51">
        <f t="shared" si="14"/>
        <v>0</v>
      </c>
      <c r="AM51">
        <f t="shared" si="4"/>
        <v>1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1.9417481829103801E-3</v>
      </c>
      <c r="AT51" s="12"/>
      <c r="AU51">
        <f t="shared" si="10"/>
        <v>0</v>
      </c>
      <c r="AV51">
        <f t="shared" si="11"/>
        <v>1</v>
      </c>
      <c r="AW51">
        <f t="shared" si="18"/>
        <v>0</v>
      </c>
      <c r="AX51">
        <f t="shared" si="5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0</v>
      </c>
      <c r="BE51" s="29">
        <f t="shared" si="22"/>
        <v>0</v>
      </c>
      <c r="BF51" s="29">
        <f t="shared" si="23"/>
        <v>1.9417481829103801E-3</v>
      </c>
      <c r="BH51" s="29"/>
    </row>
    <row r="52" spans="1:60" x14ac:dyDescent="0.25">
      <c r="A52" s="1">
        <v>46098</v>
      </c>
      <c r="B52" s="33">
        <v>20.48</v>
      </c>
      <c r="C52" s="33">
        <v>25.32</v>
      </c>
      <c r="D52" s="15">
        <v>9.7703964782661101E-4</v>
      </c>
      <c r="E52" s="15">
        <v>1.18553659410176E-3</v>
      </c>
      <c r="F52" s="33">
        <v>0</v>
      </c>
      <c r="G52" s="33">
        <v>0.14723</v>
      </c>
      <c r="H52" s="33">
        <v>0</v>
      </c>
      <c r="I52" s="33">
        <v>0.186524</v>
      </c>
      <c r="J52" s="33">
        <v>0.14723</v>
      </c>
      <c r="K52" s="33">
        <v>0.186524</v>
      </c>
      <c r="L52" s="33">
        <v>20.627230000000001</v>
      </c>
      <c r="M52" s="33">
        <v>25.506523999999999</v>
      </c>
      <c r="N52" s="34">
        <v>1.236328125</v>
      </c>
      <c r="O52" s="34">
        <v>1.2371344131525399</v>
      </c>
      <c r="P52" s="34">
        <v>1.2359020487713099</v>
      </c>
      <c r="Q52" s="34">
        <v>1.2370022676629699</v>
      </c>
      <c r="R52" s="33">
        <v>25.3365127813641</v>
      </c>
      <c r="S52" s="33">
        <v>25.310912442801499</v>
      </c>
      <c r="T52" s="33">
        <v>25.3326893071781</v>
      </c>
      <c r="U52" s="15">
        <v>6.5195099474222196E-4</v>
      </c>
      <c r="V52" s="15">
        <v>-3.58972685167853E-4</v>
      </c>
      <c r="W52" s="15">
        <v>5.0103193402503601E-4</v>
      </c>
      <c r="X52" s="34">
        <v>1.2365462546352499</v>
      </c>
      <c r="Y52" s="34">
        <v>1.2358474847357901</v>
      </c>
      <c r="Z52" s="34">
        <v>1.23612282395499</v>
      </c>
      <c r="AA52" s="34">
        <v>1.2360695740860701</v>
      </c>
      <c r="AB52" s="33">
        <v>25.492110312566599</v>
      </c>
      <c r="AC52" s="33">
        <v>25.497426098622999</v>
      </c>
      <c r="AD52" s="33">
        <v>25.4954079153257</v>
      </c>
      <c r="AE52" s="15">
        <v>-5.6525779607373796E-4</v>
      </c>
      <c r="AF52" s="15">
        <v>-3.5675281839515698E-4</v>
      </c>
      <c r="AG52" s="15">
        <v>-4.3590838357830799E-4</v>
      </c>
      <c r="AI52" s="12"/>
      <c r="AJ52">
        <f t="shared" si="6"/>
        <v>0</v>
      </c>
      <c r="AK52">
        <f t="shared" si="7"/>
        <v>0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1.9417481829103801E-3</v>
      </c>
      <c r="AT52" s="12"/>
      <c r="AU52">
        <f t="shared" si="10"/>
        <v>0</v>
      </c>
      <c r="AV52">
        <f t="shared" si="11"/>
        <v>1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0</v>
      </c>
      <c r="BE52" s="29">
        <f t="shared" si="22"/>
        <v>0</v>
      </c>
      <c r="BF52" s="29">
        <f t="shared" si="23"/>
        <v>1.9417481829103801E-3</v>
      </c>
      <c r="BH52" s="29"/>
    </row>
    <row r="53" spans="1:60" x14ac:dyDescent="0.25">
      <c r="A53" s="1">
        <v>46099</v>
      </c>
      <c r="B53" s="33">
        <v>20.45</v>
      </c>
      <c r="C53" s="33">
        <v>25.26</v>
      </c>
      <c r="D53" s="15">
        <v>-1.4659176824962799E-3</v>
      </c>
      <c r="E53" s="15">
        <v>-2.37248035363035E-3</v>
      </c>
      <c r="F53" s="33">
        <v>0</v>
      </c>
      <c r="G53" s="33">
        <v>0.14723</v>
      </c>
      <c r="H53" s="33">
        <v>0</v>
      </c>
      <c r="I53" s="33">
        <v>0.186524</v>
      </c>
      <c r="J53" s="33">
        <v>0.14723</v>
      </c>
      <c r="K53" s="33">
        <v>0.186524</v>
      </c>
      <c r="L53" s="33">
        <v>20.59723</v>
      </c>
      <c r="M53" s="33">
        <v>25.446524</v>
      </c>
      <c r="N53" s="34">
        <v>1.2352078239608799</v>
      </c>
      <c r="O53" s="34">
        <v>1.2371344131525399</v>
      </c>
      <c r="P53" s="34">
        <v>1.2357846988716801</v>
      </c>
      <c r="Q53" s="34">
        <v>1.2370008001969299</v>
      </c>
      <c r="R53" s="33">
        <v>25.299398748969502</v>
      </c>
      <c r="S53" s="33">
        <v>25.274196897373301</v>
      </c>
      <c r="T53" s="33">
        <v>25.2966963737077</v>
      </c>
      <c r="U53" s="15">
        <v>1.5585136658762099E-3</v>
      </c>
      <c r="V53" s="15">
        <v>5.6187289473354001E-4</v>
      </c>
      <c r="W53" s="15">
        <v>1.45169217074732E-3</v>
      </c>
      <c r="X53" s="34">
        <v>1.23543427926959</v>
      </c>
      <c r="Y53" s="34">
        <v>1.2358474847357901</v>
      </c>
      <c r="Z53" s="34">
        <v>1.23600642871874</v>
      </c>
      <c r="AA53" s="34">
        <v>1.2360761981829</v>
      </c>
      <c r="AB53" s="33">
        <v>25.4550348880245</v>
      </c>
      <c r="AC53" s="33">
        <v>25.460706113250499</v>
      </c>
      <c r="AD53" s="33">
        <v>25.459609313453001</v>
      </c>
      <c r="AE53" s="15">
        <v>3.34405793842057E-4</v>
      </c>
      <c r="AF53" s="15">
        <v>5.57174829033794E-4</v>
      </c>
      <c r="AG53" s="15">
        <v>5.1409576369311103E-4</v>
      </c>
      <c r="AI53" s="12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1.9417481829103801E-3</v>
      </c>
      <c r="AT53" s="12"/>
      <c r="AU53">
        <f t="shared" si="10"/>
        <v>0</v>
      </c>
      <c r="AV53">
        <f t="shared" si="11"/>
        <v>0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0</v>
      </c>
      <c r="BE53" s="29">
        <f t="shared" si="22"/>
        <v>0</v>
      </c>
      <c r="BF53" s="29">
        <f t="shared" si="23"/>
        <v>1.9417481829103801E-3</v>
      </c>
      <c r="BH53" s="29"/>
    </row>
    <row r="54" spans="1:60" x14ac:dyDescent="0.25">
      <c r="A54" s="1">
        <v>46100</v>
      </c>
      <c r="B54" s="33">
        <v>20.47</v>
      </c>
      <c r="C54" s="33">
        <v>25.29</v>
      </c>
      <c r="D54" s="15">
        <v>9.775171843873459E-4</v>
      </c>
      <c r="E54" s="15">
        <v>1.1869437595286201E-3</v>
      </c>
      <c r="F54" s="33">
        <v>0</v>
      </c>
      <c r="G54" s="33">
        <v>0.14723</v>
      </c>
      <c r="H54" s="33">
        <v>0</v>
      </c>
      <c r="I54" s="33">
        <v>0.186524</v>
      </c>
      <c r="J54" s="33">
        <v>0.14723</v>
      </c>
      <c r="K54" s="33">
        <v>0.186524</v>
      </c>
      <c r="L54" s="33">
        <v>20.617229999999999</v>
      </c>
      <c r="M54" s="33">
        <v>25.476523999999898</v>
      </c>
      <c r="N54" s="34">
        <v>1.2354665363947199</v>
      </c>
      <c r="O54" s="34">
        <v>1.2371344131525399</v>
      </c>
      <c r="P54" s="34">
        <v>1.2357904964800199</v>
      </c>
      <c r="Q54" s="34">
        <v>1.23698235946218</v>
      </c>
      <c r="R54" s="33">
        <v>25.324141437232502</v>
      </c>
      <c r="S54" s="33">
        <v>25.2965127859033</v>
      </c>
      <c r="T54" s="33">
        <v>25.3214063800311</v>
      </c>
      <c r="U54" s="15">
        <v>1.3490870907348501E-3</v>
      </c>
      <c r="V54" s="15">
        <v>2.5749100227162803E-4</v>
      </c>
      <c r="W54" s="15">
        <v>1.2410792866154E-3</v>
      </c>
      <c r="X54" s="34">
        <v>1.23569092453253</v>
      </c>
      <c r="Y54" s="34">
        <v>1.2358474847357901</v>
      </c>
      <c r="Z54" s="34">
        <v>1.23601228263164</v>
      </c>
      <c r="AA54" s="34">
        <v>1.2360658517673999</v>
      </c>
      <c r="AB54" s="33">
        <v>25.479751837719199</v>
      </c>
      <c r="AC54" s="33">
        <v>25.483028822372798</v>
      </c>
      <c r="AD54" s="33">
        <v>25.484467275462499</v>
      </c>
      <c r="AE54" s="15">
        <v>1.2669048789502001E-4</v>
      </c>
      <c r="AF54" s="15">
        <v>2.5529354352463402E-4</v>
      </c>
      <c r="AG54" s="15">
        <v>3.1173944336998998E-4</v>
      </c>
      <c r="AI54" s="12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1.9417481829103801E-3</v>
      </c>
      <c r="AT54" s="12"/>
      <c r="AU54">
        <f t="shared" si="10"/>
        <v>0</v>
      </c>
      <c r="AV54">
        <f t="shared" si="11"/>
        <v>0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0</v>
      </c>
      <c r="BE54" s="29">
        <f t="shared" si="22"/>
        <v>0</v>
      </c>
      <c r="BF54" s="29">
        <f t="shared" si="23"/>
        <v>1.9417481829103801E-3</v>
      </c>
      <c r="BH54" s="29"/>
    </row>
    <row r="55" spans="1:60" x14ac:dyDescent="0.25">
      <c r="A55" s="1">
        <v>46101</v>
      </c>
      <c r="B55" s="33">
        <v>20.420000000000002</v>
      </c>
      <c r="C55" s="33">
        <v>25.22</v>
      </c>
      <c r="D55" s="15">
        <v>-2.4455869366785199E-3</v>
      </c>
      <c r="E55" s="15">
        <v>-2.7717301451002999E-3</v>
      </c>
      <c r="F55" s="33">
        <v>0</v>
      </c>
      <c r="G55" s="33">
        <v>0.14723</v>
      </c>
      <c r="H55" s="33">
        <v>0</v>
      </c>
      <c r="I55" s="33">
        <v>0.186524</v>
      </c>
      <c r="J55" s="33">
        <v>0.14723</v>
      </c>
      <c r="K55" s="33">
        <v>0.186524</v>
      </c>
      <c r="L55" s="33">
        <v>20.567229999999999</v>
      </c>
      <c r="M55" s="33">
        <v>25.406523999999902</v>
      </c>
      <c r="N55" s="34">
        <v>1.2350636630754099</v>
      </c>
      <c r="O55" s="34">
        <v>1.2371344131525399</v>
      </c>
      <c r="P55" s="34">
        <v>1.23576745102286</v>
      </c>
      <c r="Q55" s="34">
        <v>1.2369494825965901</v>
      </c>
      <c r="R55" s="33">
        <v>25.2622847165749</v>
      </c>
      <c r="S55" s="33">
        <v>25.234841938122099</v>
      </c>
      <c r="T55" s="33">
        <v>25.259179780217799</v>
      </c>
      <c r="U55" s="15">
        <v>1.6752302991566101E-3</v>
      </c>
      <c r="V55" s="15">
        <v>5.8832563853648096E-4</v>
      </c>
      <c r="W55" s="15">
        <v>1.55231476644476E-3</v>
      </c>
      <c r="X55" s="34">
        <v>1.2352914806709501</v>
      </c>
      <c r="Y55" s="34">
        <v>1.2358474847357901</v>
      </c>
      <c r="Z55" s="34">
        <v>1.23598956589827</v>
      </c>
      <c r="AA55" s="34">
        <v>1.2360412216635199</v>
      </c>
      <c r="AB55" s="33">
        <v>25.417959463482401</v>
      </c>
      <c r="AC55" s="33">
        <v>25.421348899709901</v>
      </c>
      <c r="AD55" s="33">
        <v>25.4224506684461</v>
      </c>
      <c r="AE55" s="15">
        <v>4.49998225114586E-4</v>
      </c>
      <c r="AF55" s="15">
        <v>5.8333742037937201E-4</v>
      </c>
      <c r="AG55" s="15">
        <v>6.2667677525411302E-4</v>
      </c>
      <c r="AI55" s="12"/>
      <c r="AJ55">
        <f t="shared" si="6"/>
        <v>0</v>
      </c>
      <c r="AK55">
        <f t="shared" si="7"/>
        <v>1</v>
      </c>
      <c r="AL55">
        <f t="shared" si="14"/>
        <v>0</v>
      </c>
      <c r="AM55">
        <f t="shared" si="4"/>
        <v>0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1.9417481829103801E-3</v>
      </c>
      <c r="AT55" s="12"/>
      <c r="AU55">
        <f t="shared" si="10"/>
        <v>0</v>
      </c>
      <c r="AV55">
        <f t="shared" si="11"/>
        <v>0</v>
      </c>
      <c r="AW55">
        <f t="shared" si="18"/>
        <v>0</v>
      </c>
      <c r="AX55">
        <f t="shared" si="5"/>
        <v>0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0</v>
      </c>
      <c r="BE55" s="29">
        <f t="shared" si="22"/>
        <v>0</v>
      </c>
      <c r="BF55" s="29">
        <f t="shared" si="23"/>
        <v>1.9417481829103801E-3</v>
      </c>
      <c r="BH55" s="29"/>
    </row>
    <row r="56" spans="1:60" x14ac:dyDescent="0.25">
      <c r="A56" s="1">
        <v>46104</v>
      </c>
      <c r="B56" s="33">
        <v>20.38</v>
      </c>
      <c r="C56" s="33">
        <v>25.26</v>
      </c>
      <c r="D56" s="15">
        <v>-1.9607849419408701E-3</v>
      </c>
      <c r="E56" s="15">
        <v>1.58478638557176E-3</v>
      </c>
      <c r="F56" s="33">
        <v>7.2669999999999998E-2</v>
      </c>
      <c r="G56" s="33">
        <v>0.21989999999999901</v>
      </c>
      <c r="H56" s="33">
        <v>0</v>
      </c>
      <c r="I56" s="33">
        <v>0.186524</v>
      </c>
      <c r="J56" s="33">
        <v>0.21989999999999901</v>
      </c>
      <c r="K56" s="33">
        <v>0.186524</v>
      </c>
      <c r="L56" s="33">
        <v>20.599899999999899</v>
      </c>
      <c r="M56" s="33">
        <v>25.446524</v>
      </c>
      <c r="N56" s="34">
        <v>1.2394504416094201</v>
      </c>
      <c r="O56" s="34">
        <v>1.2371344131525399</v>
      </c>
      <c r="P56" s="34">
        <v>1.2360858544448601</v>
      </c>
      <c r="Q56" s="34">
        <v>1.2368773227926499</v>
      </c>
      <c r="R56" s="33">
        <v>25.2127993400488</v>
      </c>
      <c r="S56" s="33">
        <v>25.184940651845899</v>
      </c>
      <c r="T56" s="33">
        <v>25.209030455318601</v>
      </c>
      <c r="U56" s="15">
        <v>-1.87034102835576E-3</v>
      </c>
      <c r="V56" s="15">
        <v>-2.9758942156578598E-3</v>
      </c>
      <c r="W56" s="15">
        <v>-2.01983519596263E-3</v>
      </c>
      <c r="X56" s="34">
        <v>1.23527415181627</v>
      </c>
      <c r="Y56" s="34">
        <v>1.2358474847357901</v>
      </c>
      <c r="Z56" s="34">
        <v>1.23586857827701</v>
      </c>
      <c r="AA56" s="34">
        <v>1.2359753092906201</v>
      </c>
      <c r="AB56" s="33">
        <v>25.458334600808801</v>
      </c>
      <c r="AC56" s="33">
        <v>25.461261458547899</v>
      </c>
      <c r="AD56" s="33">
        <v>25.462325562146301</v>
      </c>
      <c r="AE56" s="15">
        <v>4.6402647391053102E-4</v>
      </c>
      <c r="AF56" s="15">
        <v>5.7898644880603105E-4</v>
      </c>
      <c r="AG56" s="15">
        <v>6.2077861863832004E-4</v>
      </c>
      <c r="AI56" s="12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1.9417481829103801E-3</v>
      </c>
      <c r="AT56" s="12"/>
      <c r="AU56">
        <f t="shared" si="10"/>
        <v>0</v>
      </c>
      <c r="AV56">
        <f t="shared" si="11"/>
        <v>0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0</v>
      </c>
      <c r="BE56" s="29">
        <f t="shared" si="22"/>
        <v>0</v>
      </c>
      <c r="BF56" s="29">
        <f t="shared" si="23"/>
        <v>1.9417481829103801E-3</v>
      </c>
      <c r="BH56" s="29"/>
    </row>
    <row r="57" spans="1:60" x14ac:dyDescent="0.25">
      <c r="A57" s="1">
        <v>46105</v>
      </c>
      <c r="B57" s="33">
        <v>20.36</v>
      </c>
      <c r="C57" s="33">
        <v>25.24</v>
      </c>
      <c r="D57" s="15">
        <v>-9.8183611225670093E-4</v>
      </c>
      <c r="E57" s="15">
        <v>-7.9207924933279302E-4</v>
      </c>
      <c r="F57" s="33">
        <v>0</v>
      </c>
      <c r="G57" s="33">
        <v>0.21989999999999901</v>
      </c>
      <c r="H57" s="33">
        <v>0</v>
      </c>
      <c r="I57" s="33">
        <v>0.186524</v>
      </c>
      <c r="J57" s="33">
        <v>0.21989999999999901</v>
      </c>
      <c r="K57" s="33">
        <v>0.186524</v>
      </c>
      <c r="L57" s="33">
        <v>20.579899999999999</v>
      </c>
      <c r="M57" s="33">
        <v>25.426523999999901</v>
      </c>
      <c r="N57" s="34">
        <v>1.2396856581532401</v>
      </c>
      <c r="O57" s="34">
        <v>1.2371344131525399</v>
      </c>
      <c r="P57" s="34">
        <v>1.2365021088246599</v>
      </c>
      <c r="Q57" s="34">
        <v>1.2368353666332601</v>
      </c>
      <c r="R57" s="33">
        <v>25.1880566517858</v>
      </c>
      <c r="S57" s="33">
        <v>25.166707996497401</v>
      </c>
      <c r="T57" s="33">
        <v>25.1828222920585</v>
      </c>
      <c r="U57" s="15">
        <v>-2.0600978912796802E-3</v>
      </c>
      <c r="V57" s="15">
        <v>-2.9080278425601602E-3</v>
      </c>
      <c r="W57" s="15">
        <v>-2.2679306651318802E-3</v>
      </c>
      <c r="X57" s="34">
        <v>1.23550279641786</v>
      </c>
      <c r="Y57" s="34">
        <v>1.2358474847357901</v>
      </c>
      <c r="Z57" s="34">
        <v>1.2358442346479599</v>
      </c>
      <c r="AA57" s="34">
        <v>1.2359392447199999</v>
      </c>
      <c r="AB57" s="33">
        <v>25.433617651114002</v>
      </c>
      <c r="AC57" s="33">
        <v>25.4340517540832</v>
      </c>
      <c r="AD57" s="33">
        <v>25.436248267670098</v>
      </c>
      <c r="AE57" s="15">
        <v>2.7894736152140102E-4</v>
      </c>
      <c r="AF57" s="15">
        <v>2.96015293834172E-4</v>
      </c>
      <c r="AG57" s="15">
        <v>3.8237270031174199E-4</v>
      </c>
      <c r="AI57" s="12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1.9417481829103801E-3</v>
      </c>
      <c r="AT57" s="12"/>
      <c r="AU57">
        <f t="shared" si="10"/>
        <v>0</v>
      </c>
      <c r="AV57">
        <f t="shared" si="11"/>
        <v>0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0</v>
      </c>
      <c r="BE57" s="29">
        <f t="shared" si="22"/>
        <v>0</v>
      </c>
      <c r="BF57" s="29">
        <f t="shared" si="23"/>
        <v>1.9417481829103801E-3</v>
      </c>
      <c r="BH57" s="29"/>
    </row>
    <row r="58" spans="1:60" x14ac:dyDescent="0.25">
      <c r="A58" s="1">
        <v>46106</v>
      </c>
      <c r="B58" s="33">
        <v>20.37</v>
      </c>
      <c r="C58" s="33">
        <v>25.26</v>
      </c>
      <c r="D58" s="15">
        <v>4.9103855639261705E-4</v>
      </c>
      <c r="E58" s="15">
        <v>7.9207924933284105E-4</v>
      </c>
      <c r="F58" s="33">
        <v>0</v>
      </c>
      <c r="G58" s="33">
        <v>0.21989999999999901</v>
      </c>
      <c r="H58" s="33">
        <v>0</v>
      </c>
      <c r="I58" s="33">
        <v>0.186524</v>
      </c>
      <c r="J58" s="33">
        <v>0.21989999999999901</v>
      </c>
      <c r="K58" s="33">
        <v>0.186524</v>
      </c>
      <c r="L58" s="33">
        <v>20.5899</v>
      </c>
      <c r="M58" s="33">
        <v>25.446524</v>
      </c>
      <c r="N58" s="34">
        <v>1.2400589101620001</v>
      </c>
      <c r="O58" s="34">
        <v>1.2371344131525399</v>
      </c>
      <c r="P58" s="34">
        <v>1.23686099837816</v>
      </c>
      <c r="Q58" s="34">
        <v>1.2367877776418501</v>
      </c>
      <c r="R58" s="33">
        <v>25.200427995917298</v>
      </c>
      <c r="S58" s="33">
        <v>25.187547956758401</v>
      </c>
      <c r="T58" s="33">
        <v>25.194336418319502</v>
      </c>
      <c r="U58" s="15">
        <v>-2.3611385842199199E-3</v>
      </c>
      <c r="V58" s="15">
        <v>-2.87237322684633E-3</v>
      </c>
      <c r="W58" s="15">
        <v>-2.6028929687561199E-3</v>
      </c>
      <c r="X58" s="34">
        <v>1.235874093609</v>
      </c>
      <c r="Y58" s="34">
        <v>1.2358474847357901</v>
      </c>
      <c r="Z58" s="34">
        <v>1.23576296238988</v>
      </c>
      <c r="AA58" s="34">
        <v>1.23589762215219</v>
      </c>
      <c r="AB58" s="33">
        <v>25.445976125961401</v>
      </c>
      <c r="AC58" s="33">
        <v>25.445909206978001</v>
      </c>
      <c r="AD58" s="33">
        <v>25.447865454860299</v>
      </c>
      <c r="AE58" s="15">
        <v>-2.1530639572294901E-5</v>
      </c>
      <c r="AF58" s="15">
        <v>-2.4160488434059798E-5</v>
      </c>
      <c r="AG58" s="15">
        <v>5.2715235414712402E-5</v>
      </c>
      <c r="AI58" s="12"/>
      <c r="AJ58">
        <f t="shared" si="6"/>
        <v>0</v>
      </c>
      <c r="AK58">
        <f t="shared" si="7"/>
        <v>1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1.9417481829103801E-3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0</v>
      </c>
      <c r="BE58" s="29">
        <f t="shared" si="22"/>
        <v>0</v>
      </c>
      <c r="BF58" s="29">
        <f t="shared" si="23"/>
        <v>1.9417481829103801E-3</v>
      </c>
      <c r="BH58" s="29"/>
    </row>
    <row r="59" spans="1:60" x14ac:dyDescent="0.25">
      <c r="A59" s="1">
        <v>46107</v>
      </c>
      <c r="B59" s="33">
        <v>20.32</v>
      </c>
      <c r="C59" s="33">
        <v>25.2</v>
      </c>
      <c r="D59" s="15">
        <v>-2.4576075284332899E-3</v>
      </c>
      <c r="E59" s="15">
        <v>-2.3781224049675398E-3</v>
      </c>
      <c r="F59" s="33">
        <v>0</v>
      </c>
      <c r="G59" s="33">
        <v>0.21989999999999901</v>
      </c>
      <c r="H59" s="33">
        <v>0</v>
      </c>
      <c r="I59" s="33">
        <v>0.186524</v>
      </c>
      <c r="J59" s="33">
        <v>0.21989999999999901</v>
      </c>
      <c r="K59" s="33">
        <v>0.186524</v>
      </c>
      <c r="L59" s="33">
        <v>20.539899999999999</v>
      </c>
      <c r="M59" s="33">
        <v>25.386523999999898</v>
      </c>
      <c r="N59" s="34">
        <v>1.24015748031496</v>
      </c>
      <c r="O59" s="34">
        <v>1.2371344131525399</v>
      </c>
      <c r="P59" s="34">
        <v>1.2373185841418199</v>
      </c>
      <c r="Q59" s="34">
        <v>1.23672082172562</v>
      </c>
      <c r="R59" s="33">
        <v>25.1385712752597</v>
      </c>
      <c r="S59" s="33">
        <v>25.1330154870443</v>
      </c>
      <c r="T59" s="33">
        <v>25.1315276416824</v>
      </c>
      <c r="U59" s="15">
        <v>-2.4406237076858598E-3</v>
      </c>
      <c r="V59" s="15">
        <v>-2.6616546556159802E-3</v>
      </c>
      <c r="W59" s="15">
        <v>-2.7208552479113901E-3</v>
      </c>
      <c r="X59" s="34">
        <v>1.2359614214285299</v>
      </c>
      <c r="Y59" s="34">
        <v>1.2358474847357901</v>
      </c>
      <c r="Z59" s="34">
        <v>1.2357785747866199</v>
      </c>
      <c r="AA59" s="34">
        <v>1.2358362431186101</v>
      </c>
      <c r="AB59" s="33">
        <v>25.384183751724599</v>
      </c>
      <c r="AC59" s="33">
        <v>25.382447671191901</v>
      </c>
      <c r="AD59" s="33">
        <v>25.3852135692437</v>
      </c>
      <c r="AE59" s="15">
        <v>-9.2188916823396599E-5</v>
      </c>
      <c r="AF59" s="15">
        <v>-1.6058346988636501E-4</v>
      </c>
      <c r="AG59" s="15">
        <v>-5.1620480970137399E-5</v>
      </c>
      <c r="AI59" s="12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1.9417481829103801E-3</v>
      </c>
      <c r="AT59" s="12"/>
      <c r="AU59">
        <f t="shared" si="10"/>
        <v>0</v>
      </c>
      <c r="AV59">
        <f t="shared" si="11"/>
        <v>1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0</v>
      </c>
      <c r="BE59" s="29">
        <f t="shared" si="22"/>
        <v>0</v>
      </c>
      <c r="BF59" s="29">
        <f t="shared" si="23"/>
        <v>1.9417481829103801E-3</v>
      </c>
      <c r="BH59" s="29"/>
    </row>
    <row r="60" spans="1:60" x14ac:dyDescent="0.25">
      <c r="A60" s="1">
        <v>46108</v>
      </c>
      <c r="B60" s="33">
        <v>20.34</v>
      </c>
      <c r="C60" s="33">
        <v>25.24</v>
      </c>
      <c r="D60" s="15">
        <v>9.83767910132748E-4</v>
      </c>
      <c r="E60" s="15">
        <v>1.5860431556347699E-3</v>
      </c>
      <c r="F60" s="33">
        <v>0</v>
      </c>
      <c r="G60" s="33">
        <v>0.21989999999999901</v>
      </c>
      <c r="H60" s="33">
        <v>0</v>
      </c>
      <c r="I60" s="33">
        <v>0.186524</v>
      </c>
      <c r="J60" s="33">
        <v>0.21989999999999901</v>
      </c>
      <c r="K60" s="33">
        <v>0.186524</v>
      </c>
      <c r="L60" s="33">
        <v>20.559899999999999</v>
      </c>
      <c r="M60" s="33">
        <v>25.426523999999901</v>
      </c>
      <c r="N60" s="34">
        <v>1.2409046214355901</v>
      </c>
      <c r="O60" s="34">
        <v>1.2371344131525399</v>
      </c>
      <c r="P60" s="34">
        <v>1.2378393641337899</v>
      </c>
      <c r="Q60" s="34">
        <v>1.23681163960632</v>
      </c>
      <c r="R60" s="33">
        <v>25.1633139635227</v>
      </c>
      <c r="S60" s="33">
        <v>25.1670600014446</v>
      </c>
      <c r="T60" s="33">
        <v>25.154901513899201</v>
      </c>
      <c r="U60" s="15">
        <v>-3.0428989531877202E-3</v>
      </c>
      <c r="V60" s="15">
        <v>-2.8940410118018802E-3</v>
      </c>
      <c r="W60" s="15">
        <v>-3.3772689073717698E-3</v>
      </c>
      <c r="X60" s="34">
        <v>1.2367046532327399</v>
      </c>
      <c r="Y60" s="34">
        <v>1.2358474847357901</v>
      </c>
      <c r="Z60" s="34">
        <v>1.23585706196526</v>
      </c>
      <c r="AA60" s="34">
        <v>1.2359311738719001</v>
      </c>
      <c r="AB60" s="33">
        <v>25.408900701419299</v>
      </c>
      <c r="AC60" s="33">
        <v>25.407483919755499</v>
      </c>
      <c r="AD60" s="33">
        <v>25.408669574894301</v>
      </c>
      <c r="AE60" s="15">
        <v>-6.9334718417872899E-4</v>
      </c>
      <c r="AF60" s="15">
        <v>-7.4910800521177997E-4</v>
      </c>
      <c r="AG60" s="15">
        <v>-7.02443507509388E-4</v>
      </c>
      <c r="AI60" s="12"/>
      <c r="AJ60">
        <f t="shared" si="6"/>
        <v>0</v>
      </c>
      <c r="AK60">
        <f t="shared" si="7"/>
        <v>0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1.9417481829103801E-3</v>
      </c>
      <c r="AT60" s="12"/>
      <c r="AU60">
        <f t="shared" si="10"/>
        <v>0</v>
      </c>
      <c r="AV60">
        <f t="shared" si="11"/>
        <v>1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0</v>
      </c>
      <c r="BE60" s="29">
        <f t="shared" si="22"/>
        <v>0</v>
      </c>
      <c r="BF60" s="29">
        <f t="shared" si="23"/>
        <v>1.9417481829103801E-3</v>
      </c>
      <c r="BH60" s="29"/>
    </row>
    <row r="61" spans="1:60" x14ac:dyDescent="0.25">
      <c r="A61" s="1">
        <v>46111</v>
      </c>
      <c r="B61" s="33">
        <v>20.38</v>
      </c>
      <c r="C61" s="33">
        <v>25.28</v>
      </c>
      <c r="D61" s="15">
        <v>1.9646371741648102E-3</v>
      </c>
      <c r="E61" s="15">
        <v>1.58353160564444E-3</v>
      </c>
      <c r="F61" s="33">
        <v>0</v>
      </c>
      <c r="G61" s="33">
        <v>0.21989999999999901</v>
      </c>
      <c r="H61" s="33">
        <v>0</v>
      </c>
      <c r="I61" s="33">
        <v>0.186524</v>
      </c>
      <c r="J61" s="33">
        <v>0.21989999999999901</v>
      </c>
      <c r="K61" s="33">
        <v>0.186524</v>
      </c>
      <c r="L61" s="33">
        <v>20.599899999999899</v>
      </c>
      <c r="M61" s="33">
        <v>25.466524</v>
      </c>
      <c r="N61" s="34">
        <v>1.24043179587831</v>
      </c>
      <c r="O61" s="34">
        <v>1.2371344131525399</v>
      </c>
      <c r="P61" s="34">
        <v>1.23827550559845</v>
      </c>
      <c r="Q61" s="34">
        <v>1.2370799511098101</v>
      </c>
      <c r="R61" s="33">
        <v>25.2127993400488</v>
      </c>
      <c r="S61" s="33">
        <v>25.2271662410466</v>
      </c>
      <c r="T61" s="33">
        <v>25.2062212151769</v>
      </c>
      <c r="U61" s="15">
        <v>-2.6617933846673301E-3</v>
      </c>
      <c r="V61" s="15">
        <v>-2.0921299750745101E-3</v>
      </c>
      <c r="W61" s="15">
        <v>-2.9227316114222301E-3</v>
      </c>
      <c r="X61" s="34">
        <v>1.23624503031568</v>
      </c>
      <c r="Y61" s="34">
        <v>1.2358474847357901</v>
      </c>
      <c r="Z61" s="34">
        <v>1.23585250859284</v>
      </c>
      <c r="AA61" s="34">
        <v>1.23597885027326</v>
      </c>
      <c r="AB61" s="33">
        <v>25.458334600808801</v>
      </c>
      <c r="AC61" s="33">
        <v>25.4585318907782</v>
      </c>
      <c r="AD61" s="33">
        <v>25.4600585886438</v>
      </c>
      <c r="AE61" s="15">
        <v>-3.21626784513426E-4</v>
      </c>
      <c r="AF61" s="15">
        <v>-3.1387729075718098E-4</v>
      </c>
      <c r="AG61" s="15">
        <v>-2.53911064211961E-4</v>
      </c>
      <c r="AI61" s="12"/>
      <c r="AJ61">
        <f t="shared" si="6"/>
        <v>0</v>
      </c>
      <c r="AK61">
        <f t="shared" si="7"/>
        <v>0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1.9417481829103801E-3</v>
      </c>
      <c r="AT61" s="12"/>
      <c r="AU61">
        <f t="shared" si="10"/>
        <v>0</v>
      </c>
      <c r="AV61">
        <f t="shared" si="11"/>
        <v>1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0</v>
      </c>
      <c r="BE61" s="29">
        <f t="shared" si="22"/>
        <v>0</v>
      </c>
      <c r="BF61" s="29">
        <f t="shared" si="23"/>
        <v>1.9417481829103801E-3</v>
      </c>
      <c r="BH61" s="29"/>
    </row>
    <row r="62" spans="1:60" x14ac:dyDescent="0.25">
      <c r="A62" s="1">
        <v>46112</v>
      </c>
      <c r="B62" s="33">
        <v>20.43</v>
      </c>
      <c r="C62" s="33">
        <v>25.33</v>
      </c>
      <c r="D62" s="15">
        <v>2.4503810349519998E-3</v>
      </c>
      <c r="E62" s="15">
        <v>1.9758947349271302E-3</v>
      </c>
      <c r="F62" s="33">
        <v>0</v>
      </c>
      <c r="G62" s="33">
        <v>0.21989999999999901</v>
      </c>
      <c r="H62" s="33">
        <v>0</v>
      </c>
      <c r="I62" s="33">
        <v>0.186524</v>
      </c>
      <c r="J62" s="33">
        <v>0.21989999999999901</v>
      </c>
      <c r="K62" s="33">
        <v>0.186524</v>
      </c>
      <c r="L62" s="33">
        <v>20.649899999999999</v>
      </c>
      <c r="M62" s="33">
        <v>25.516523999999901</v>
      </c>
      <c r="N62" s="34">
        <v>1.23984336759667</v>
      </c>
      <c r="O62" s="34">
        <v>1.2371344131525399</v>
      </c>
      <c r="P62" s="34">
        <v>1.2386270298581199</v>
      </c>
      <c r="Q62" s="34">
        <v>1.2372645393147099</v>
      </c>
      <c r="R62" s="33">
        <v>25.274656060706398</v>
      </c>
      <c r="S62" s="33">
        <v>25.297968579376398</v>
      </c>
      <c r="T62" s="33">
        <v>25.273543401173399</v>
      </c>
      <c r="U62" s="15">
        <v>-2.1873070846425298E-3</v>
      </c>
      <c r="V62" s="15">
        <v>-1.2653648090682301E-3</v>
      </c>
      <c r="W62" s="15">
        <v>-2.2313307905326299E-3</v>
      </c>
      <c r="X62" s="34">
        <v>1.2356730056804099</v>
      </c>
      <c r="Y62" s="34">
        <v>1.2358474847357901</v>
      </c>
      <c r="Z62" s="34">
        <v>1.23576518369736</v>
      </c>
      <c r="AA62" s="34">
        <v>1.23594400382617</v>
      </c>
      <c r="AB62" s="33">
        <v>25.5201269750455</v>
      </c>
      <c r="AC62" s="33">
        <v>25.5202307171913</v>
      </c>
      <c r="AD62" s="33">
        <v>25.522839660257901</v>
      </c>
      <c r="AE62" s="15">
        <v>1.4119167236681599E-4</v>
      </c>
      <c r="AF62" s="15">
        <v>1.45256774982269E-4</v>
      </c>
      <c r="AG62" s="15">
        <v>2.4748193697170901E-4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0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1.9417481829103801E-3</v>
      </c>
      <c r="AT62" s="12"/>
      <c r="AU62">
        <f t="shared" si="10"/>
        <v>0</v>
      </c>
      <c r="AV62">
        <f t="shared" si="11"/>
        <v>0</v>
      </c>
      <c r="AW62">
        <f t="shared" si="18"/>
        <v>0</v>
      </c>
      <c r="AX62">
        <f t="shared" si="5"/>
        <v>0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0</v>
      </c>
      <c r="BE62" s="29">
        <f t="shared" si="22"/>
        <v>0</v>
      </c>
      <c r="BF62" s="29">
        <f t="shared" si="23"/>
        <v>1.9417481829103801E-3</v>
      </c>
      <c r="BH62" s="29"/>
    </row>
    <row r="63" spans="1:60" x14ac:dyDescent="0.25">
      <c r="A63" s="1">
        <v>46113</v>
      </c>
      <c r="B63" s="33">
        <v>20.43</v>
      </c>
      <c r="C63" s="33">
        <v>25.25</v>
      </c>
      <c r="D63" s="15">
        <v>0</v>
      </c>
      <c r="E63" s="15">
        <v>-3.1633082922149299E-3</v>
      </c>
      <c r="F63" s="33">
        <v>0</v>
      </c>
      <c r="G63" s="33">
        <v>0.21989999999999901</v>
      </c>
      <c r="H63" s="33">
        <v>9.3478000000000006E-2</v>
      </c>
      <c r="I63" s="33">
        <v>0.28000199999999997</v>
      </c>
      <c r="J63" s="33">
        <v>0.21989999999999901</v>
      </c>
      <c r="K63" s="33">
        <v>0.28000199999999997</v>
      </c>
      <c r="L63" s="33">
        <v>20.649899999999999</v>
      </c>
      <c r="M63" s="33">
        <v>25.530002</v>
      </c>
      <c r="N63" s="34">
        <v>1.2359275575134601</v>
      </c>
      <c r="O63" s="34">
        <v>1.2371344131525399</v>
      </c>
      <c r="P63" s="34">
        <v>1.23869900321338</v>
      </c>
      <c r="Q63" s="34">
        <v>1.23724185104253</v>
      </c>
      <c r="R63" s="33">
        <v>25.274656060706398</v>
      </c>
      <c r="S63" s="33">
        <v>25.305150220001401</v>
      </c>
      <c r="T63" s="33">
        <v>25.2773145381997</v>
      </c>
      <c r="U63" s="15">
        <v>9.7600120757245705E-4</v>
      </c>
      <c r="V63" s="15">
        <v>2.1817853033196302E-3</v>
      </c>
      <c r="W63" s="15">
        <v>1.0811792041638001E-3</v>
      </c>
      <c r="X63" s="34">
        <v>1.23632569649247</v>
      </c>
      <c r="Y63" s="34">
        <v>1.2358474847357901</v>
      </c>
      <c r="Z63" s="34">
        <v>1.2358543254196399</v>
      </c>
      <c r="AA63" s="34">
        <v>1.2359303770691901</v>
      </c>
      <c r="AB63" s="33">
        <v>25.5201269750455</v>
      </c>
      <c r="AC63" s="33">
        <v>25.518427466832101</v>
      </c>
      <c r="AD63" s="33">
        <v>25.522120084610101</v>
      </c>
      <c r="AE63" s="15">
        <v>-3.8687561719577399E-4</v>
      </c>
      <c r="AF63" s="15">
        <v>-4.5347265281709499E-4</v>
      </c>
      <c r="AG63" s="15">
        <v>-3.08779150820202E-4</v>
      </c>
      <c r="AI63" s="12"/>
      <c r="AJ63">
        <f t="shared" si="6"/>
        <v>0</v>
      </c>
      <c r="AK63">
        <f t="shared" si="7"/>
        <v>0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1.9417481829103801E-3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0</v>
      </c>
      <c r="BE63" s="29">
        <f t="shared" si="22"/>
        <v>0</v>
      </c>
      <c r="BF63" s="29">
        <f t="shared" si="23"/>
        <v>1.9417481829103801E-3</v>
      </c>
      <c r="BH63" s="29"/>
    </row>
    <row r="64" spans="1:60" x14ac:dyDescent="0.25">
      <c r="A64" s="1">
        <v>46114</v>
      </c>
      <c r="B64" s="33">
        <v>20.45</v>
      </c>
      <c r="C64" s="33">
        <v>25.26</v>
      </c>
      <c r="D64" s="15">
        <v>9.7847365928014404E-4</v>
      </c>
      <c r="E64" s="15">
        <v>3.9596120097621799E-4</v>
      </c>
      <c r="F64" s="33">
        <v>0</v>
      </c>
      <c r="G64" s="33">
        <v>0.21989999999999901</v>
      </c>
      <c r="H64" s="33">
        <v>0</v>
      </c>
      <c r="I64" s="33">
        <v>0.28000199999999997</v>
      </c>
      <c r="J64" s="33">
        <v>0.21989999999999901</v>
      </c>
      <c r="K64" s="33">
        <v>0.28000199999999997</v>
      </c>
      <c r="L64" s="33">
        <v>20.669899999999998</v>
      </c>
      <c r="M64" s="33">
        <v>25.540002000000001</v>
      </c>
      <c r="N64" s="34">
        <v>1.2352078239608799</v>
      </c>
      <c r="O64" s="34">
        <v>1.2371344131525399</v>
      </c>
      <c r="P64" s="34">
        <v>1.23867313196999</v>
      </c>
      <c r="Q64" s="34">
        <v>1.2372318142250101</v>
      </c>
      <c r="R64" s="33">
        <v>25.299398748969502</v>
      </c>
      <c r="S64" s="33">
        <v>25.331394615713599</v>
      </c>
      <c r="T64" s="33">
        <v>25.301595853819698</v>
      </c>
      <c r="U64" s="15">
        <v>1.5585136658762099E-3</v>
      </c>
      <c r="V64" s="15">
        <v>2.82240344034099E-3</v>
      </c>
      <c r="W64" s="15">
        <v>1.6453540479227E-3</v>
      </c>
      <c r="X64" s="34">
        <v>1.2356132347036</v>
      </c>
      <c r="Y64" s="34">
        <v>1.2358474847357901</v>
      </c>
      <c r="Z64" s="34">
        <v>1.23584655643675</v>
      </c>
      <c r="AA64" s="34">
        <v>1.2359294195341901</v>
      </c>
      <c r="AB64" s="33">
        <v>25.544843924740299</v>
      </c>
      <c r="AC64" s="33">
        <v>25.544985320991501</v>
      </c>
      <c r="AD64" s="33">
        <v>25.546557300982499</v>
      </c>
      <c r="AE64" s="15">
        <v>1.8956403478019099E-4</v>
      </c>
      <c r="AF64" s="15">
        <v>1.95099236340642E-4</v>
      </c>
      <c r="AG64" s="15">
        <v>2.5663505658715701E-4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1.9417481829103801E-3</v>
      </c>
      <c r="AT64" s="12"/>
      <c r="AU64">
        <f t="shared" si="10"/>
        <v>0</v>
      </c>
      <c r="AV64">
        <f t="shared" si="11"/>
        <v>0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0</v>
      </c>
      <c r="BE64" s="29">
        <f t="shared" si="22"/>
        <v>0</v>
      </c>
      <c r="BF64" s="29">
        <f t="shared" si="23"/>
        <v>1.9417481829103801E-3</v>
      </c>
      <c r="BH64" s="29"/>
    </row>
    <row r="65" spans="1:60" x14ac:dyDescent="0.25">
      <c r="A65" s="1">
        <v>46118</v>
      </c>
      <c r="B65" s="33">
        <v>20.43</v>
      </c>
      <c r="C65" s="33">
        <v>25.24</v>
      </c>
      <c r="D65" s="15">
        <v>-9.7847365928000005E-4</v>
      </c>
      <c r="E65" s="15">
        <v>-7.9207924933279302E-4</v>
      </c>
      <c r="F65" s="33">
        <v>0</v>
      </c>
      <c r="G65" s="33">
        <v>0.21989999999999901</v>
      </c>
      <c r="H65" s="33">
        <v>0</v>
      </c>
      <c r="I65" s="33">
        <v>0.28000199999999997</v>
      </c>
      <c r="J65" s="33">
        <v>0.21989999999999901</v>
      </c>
      <c r="K65" s="33">
        <v>0.28000199999999997</v>
      </c>
      <c r="L65" s="33">
        <v>20.649899999999999</v>
      </c>
      <c r="M65" s="33">
        <v>25.520001999999899</v>
      </c>
      <c r="N65" s="34">
        <v>1.2354380812530501</v>
      </c>
      <c r="O65" s="34">
        <v>1.2371344131525399</v>
      </c>
      <c r="P65" s="34">
        <v>1.2387105737877599</v>
      </c>
      <c r="Q65" s="34">
        <v>1.2372390124053101</v>
      </c>
      <c r="R65" s="33">
        <v>25.274656060706398</v>
      </c>
      <c r="S65" s="33">
        <v>25.306092086147</v>
      </c>
      <c r="T65" s="33">
        <v>25.2766459646169</v>
      </c>
      <c r="U65" s="15">
        <v>1.37211925592883E-3</v>
      </c>
      <c r="V65" s="15">
        <v>2.61512299311416E-3</v>
      </c>
      <c r="W65" s="15">
        <v>1.45084735320068E-3</v>
      </c>
      <c r="X65" s="34">
        <v>1.23584143264616</v>
      </c>
      <c r="Y65" s="34">
        <v>1.2358474847357901</v>
      </c>
      <c r="Z65" s="34">
        <v>1.23590155163427</v>
      </c>
      <c r="AA65" s="34">
        <v>1.23594555876627</v>
      </c>
      <c r="AB65" s="33">
        <v>25.5201269750455</v>
      </c>
      <c r="AC65" s="33">
        <v>25.520107805763299</v>
      </c>
      <c r="AD65" s="33">
        <v>25.521818920439198</v>
      </c>
      <c r="AE65" s="15">
        <v>4.8971289105055103E-6</v>
      </c>
      <c r="AF65" s="15">
        <v>4.1459849421008499E-6</v>
      </c>
      <c r="AG65" s="15">
        <v>7.1193402085981204E-5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1.9417481829103801E-3</v>
      </c>
      <c r="AT65" s="12"/>
      <c r="AU65">
        <f t="shared" si="10"/>
        <v>0</v>
      </c>
      <c r="AV65">
        <f t="shared" si="11"/>
        <v>1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0</v>
      </c>
      <c r="BE65" s="29">
        <f t="shared" si="22"/>
        <v>0</v>
      </c>
      <c r="BF65" s="29">
        <f t="shared" si="23"/>
        <v>1.9417481829103801E-3</v>
      </c>
      <c r="BH65" s="29"/>
    </row>
    <row r="66" spans="1:60" x14ac:dyDescent="0.25">
      <c r="A66" s="1">
        <v>46119</v>
      </c>
      <c r="B66" s="33">
        <v>20.45</v>
      </c>
      <c r="C66" s="33">
        <v>25.26</v>
      </c>
      <c r="D66" s="15">
        <v>9.7847365928014404E-4</v>
      </c>
      <c r="E66" s="15">
        <v>7.9207924933284105E-4</v>
      </c>
      <c r="F66" s="33">
        <v>0</v>
      </c>
      <c r="G66" s="33">
        <v>0.21989999999999901</v>
      </c>
      <c r="H66" s="33">
        <v>0</v>
      </c>
      <c r="I66" s="33">
        <v>0.28000199999999997</v>
      </c>
      <c r="J66" s="33">
        <v>0.21989999999999901</v>
      </c>
      <c r="K66" s="33">
        <v>0.28000199999999997</v>
      </c>
      <c r="L66" s="33">
        <v>20.669899999999998</v>
      </c>
      <c r="M66" s="33">
        <v>25.540002000000001</v>
      </c>
      <c r="N66" s="34">
        <v>1.2352078239608799</v>
      </c>
      <c r="O66" s="34">
        <v>1.2371344131525399</v>
      </c>
      <c r="P66" s="34">
        <v>1.2382863120229</v>
      </c>
      <c r="Q66" s="34">
        <v>1.2371860832338799</v>
      </c>
      <c r="R66" s="33">
        <v>25.299398748969502</v>
      </c>
      <c r="S66" s="33">
        <v>25.331631233959602</v>
      </c>
      <c r="T66" s="33">
        <v>25.3015378036886</v>
      </c>
      <c r="U66" s="15">
        <v>1.5585136658762099E-3</v>
      </c>
      <c r="V66" s="15">
        <v>2.83174430548273E-3</v>
      </c>
      <c r="W66" s="15">
        <v>1.64305971842369E-3</v>
      </c>
      <c r="X66" s="34">
        <v>1.2356132347036</v>
      </c>
      <c r="Y66" s="34">
        <v>1.2358474847357901</v>
      </c>
      <c r="Z66" s="34">
        <v>1.2359354599229999</v>
      </c>
      <c r="AA66" s="34">
        <v>1.2359020191000101</v>
      </c>
      <c r="AB66" s="33">
        <v>25.544843924740299</v>
      </c>
      <c r="AC66" s="33">
        <v>25.5459614821253</v>
      </c>
      <c r="AD66" s="33">
        <v>25.546871105143001</v>
      </c>
      <c r="AE66" s="15">
        <v>1.8956403478019099E-4</v>
      </c>
      <c r="AF66" s="15">
        <v>2.3331192155920399E-4</v>
      </c>
      <c r="AG66" s="15">
        <v>2.6891859951253298E-4</v>
      </c>
      <c r="AI66" s="12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1.9417481829103801E-3</v>
      </c>
      <c r="AT66" s="12"/>
      <c r="AU66">
        <f t="shared" si="10"/>
        <v>0</v>
      </c>
      <c r="AV66">
        <f t="shared" si="11"/>
        <v>0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0</v>
      </c>
      <c r="BE66" s="29">
        <f t="shared" si="22"/>
        <v>0</v>
      </c>
      <c r="BF66" s="29">
        <f t="shared" si="23"/>
        <v>1.9417481829103801E-3</v>
      </c>
      <c r="BH66" s="29"/>
    </row>
    <row r="67" spans="1:60" x14ac:dyDescent="0.25">
      <c r="A67" s="1">
        <v>46120</v>
      </c>
      <c r="B67" s="33">
        <v>20.46</v>
      </c>
      <c r="C67" s="33">
        <v>25.28</v>
      </c>
      <c r="D67" s="15">
        <v>4.88878034669639E-4</v>
      </c>
      <c r="E67" s="15">
        <v>7.9145235631155101E-4</v>
      </c>
      <c r="F67" s="33">
        <v>0</v>
      </c>
      <c r="G67" s="33">
        <v>0.21989999999999901</v>
      </c>
      <c r="H67" s="33">
        <v>0</v>
      </c>
      <c r="I67" s="33">
        <v>0.28000199999999997</v>
      </c>
      <c r="J67" s="33">
        <v>0.21989999999999901</v>
      </c>
      <c r="K67" s="33">
        <v>0.28000199999999997</v>
      </c>
      <c r="L67" s="33">
        <v>20.6799</v>
      </c>
      <c r="M67" s="33">
        <v>25.560002000000001</v>
      </c>
      <c r="N67" s="34">
        <v>1.23558162267839</v>
      </c>
      <c r="O67" s="34">
        <v>1.2371344131525399</v>
      </c>
      <c r="P67" s="34">
        <v>1.2378759084754201</v>
      </c>
      <c r="Q67" s="34">
        <v>1.2371890086500399</v>
      </c>
      <c r="R67" s="33">
        <v>25.311770093101</v>
      </c>
      <c r="S67" s="33">
        <v>25.335337943988598</v>
      </c>
      <c r="T67" s="33">
        <v>25.3128272629652</v>
      </c>
      <c r="U67" s="15">
        <v>1.2559393442344599E-3</v>
      </c>
      <c r="V67" s="15">
        <v>2.1866085769750398E-3</v>
      </c>
      <c r="W67" s="15">
        <v>1.2977044117945299E-3</v>
      </c>
      <c r="X67" s="34">
        <v>1.23598286258637</v>
      </c>
      <c r="Y67" s="34">
        <v>1.2358474847357901</v>
      </c>
      <c r="Z67" s="34">
        <v>1.2359834665398599</v>
      </c>
      <c r="AA67" s="34">
        <v>1.23591385059391</v>
      </c>
      <c r="AB67" s="33">
        <v>25.557202399587599</v>
      </c>
      <c r="AC67" s="33">
        <v>25.5590217176618</v>
      </c>
      <c r="AD67" s="33">
        <v>25.558330164786302</v>
      </c>
      <c r="AE67" s="15">
        <v>-1.0953652289920599E-4</v>
      </c>
      <c r="AF67" s="15">
        <v>-3.8352936616807402E-5</v>
      </c>
      <c r="AG67" s="15">
        <v>-6.5410397538538599E-5</v>
      </c>
      <c r="AI67" s="12"/>
      <c r="AJ67">
        <f t="shared" si="6"/>
        <v>0</v>
      </c>
      <c r="AK67">
        <f t="shared" si="7"/>
        <v>1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1.9417481829103801E-3</v>
      </c>
      <c r="AT67" s="12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0</v>
      </c>
      <c r="BE67" s="29">
        <f t="shared" si="22"/>
        <v>0</v>
      </c>
      <c r="BF67" s="29">
        <f t="shared" si="23"/>
        <v>1.9417481829103801E-3</v>
      </c>
      <c r="BH67" s="29"/>
    </row>
    <row r="68" spans="1:60" x14ac:dyDescent="0.25">
      <c r="A68" s="1">
        <v>46121</v>
      </c>
      <c r="B68" s="33">
        <v>20.47</v>
      </c>
      <c r="C68" s="33">
        <v>25.3</v>
      </c>
      <c r="D68" s="15">
        <v>4.8863914971773704E-4</v>
      </c>
      <c r="E68" s="15">
        <v>7.9082645481777004E-4</v>
      </c>
      <c r="F68" s="33">
        <v>0</v>
      </c>
      <c r="G68" s="33">
        <v>0.21989999999999901</v>
      </c>
      <c r="H68" s="33">
        <v>0</v>
      </c>
      <c r="I68" s="33">
        <v>0.28000199999999997</v>
      </c>
      <c r="J68" s="33">
        <v>0.21989999999999901</v>
      </c>
      <c r="K68" s="33">
        <v>0.28000199999999997</v>
      </c>
      <c r="L68" s="33">
        <v>20.689899999999898</v>
      </c>
      <c r="M68" s="33">
        <v>25.580002</v>
      </c>
      <c r="N68" s="34">
        <v>1.2359550561797701</v>
      </c>
      <c r="O68" s="34">
        <v>1.2371344131525399</v>
      </c>
      <c r="P68" s="34">
        <v>1.23746552307719</v>
      </c>
      <c r="Q68" s="34">
        <v>1.2371632607276799</v>
      </c>
      <c r="R68" s="33">
        <v>25.324141437232502</v>
      </c>
      <c r="S68" s="33">
        <v>25.339319846491801</v>
      </c>
      <c r="T68" s="33">
        <v>25.3252590070663</v>
      </c>
      <c r="U68" s="15">
        <v>9.5375203913398499E-4</v>
      </c>
      <c r="V68" s="15">
        <v>1.5529376979432101E-3</v>
      </c>
      <c r="W68" s="15">
        <v>9.9788167637320695E-4</v>
      </c>
      <c r="X68" s="34">
        <v>1.23635213316642</v>
      </c>
      <c r="Y68" s="34">
        <v>1.2358474847357901</v>
      </c>
      <c r="Z68" s="34">
        <v>1.2360312704956</v>
      </c>
      <c r="AA68" s="34">
        <v>1.2358971164427399</v>
      </c>
      <c r="AB68" s="33">
        <v>25.569560874434998</v>
      </c>
      <c r="AC68" s="33">
        <v>25.572374324363</v>
      </c>
      <c r="AD68" s="33">
        <v>25.570933977402898</v>
      </c>
      <c r="AE68" s="15">
        <v>-4.0825864868590999E-4</v>
      </c>
      <c r="AF68" s="15">
        <v>-2.98233483625919E-4</v>
      </c>
      <c r="AG68" s="15">
        <v>-3.5455940419286001E-4</v>
      </c>
      <c r="AI68" s="12"/>
      <c r="AJ68">
        <f t="shared" si="6"/>
        <v>0</v>
      </c>
      <c r="AK68">
        <f t="shared" si="7"/>
        <v>0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1.9417481829103801E-3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0</v>
      </c>
      <c r="BE68" s="29">
        <f t="shared" si="22"/>
        <v>0</v>
      </c>
      <c r="BF68" s="29">
        <f t="shared" si="23"/>
        <v>1.9417481829103801E-3</v>
      </c>
      <c r="BH68" s="29"/>
    </row>
    <row r="69" spans="1:60" x14ac:dyDescent="0.25">
      <c r="A69" s="1">
        <v>46122</v>
      </c>
      <c r="B69" s="33">
        <v>20.46</v>
      </c>
      <c r="C69" s="33">
        <v>25.29</v>
      </c>
      <c r="D69" s="15">
        <v>-4.8863914971759902E-4</v>
      </c>
      <c r="E69" s="15">
        <v>-3.9533505160087897E-4</v>
      </c>
      <c r="F69" s="33">
        <v>0</v>
      </c>
      <c r="G69" s="33">
        <v>0.21989999999999901</v>
      </c>
      <c r="H69" s="33">
        <v>0</v>
      </c>
      <c r="I69" s="33">
        <v>0.28000199999999997</v>
      </c>
      <c r="J69" s="33">
        <v>0.21989999999999901</v>
      </c>
      <c r="K69" s="33">
        <v>0.28000199999999997</v>
      </c>
      <c r="L69" s="33">
        <v>20.6799</v>
      </c>
      <c r="M69" s="33">
        <v>25.570001999999999</v>
      </c>
      <c r="N69" s="34">
        <v>1.23607038123167</v>
      </c>
      <c r="O69" s="34">
        <v>1.2371344131525399</v>
      </c>
      <c r="P69" s="34">
        <v>1.23705681316887</v>
      </c>
      <c r="Q69" s="34">
        <v>1.2371876986553401</v>
      </c>
      <c r="R69" s="33">
        <v>25.311770093101</v>
      </c>
      <c r="S69" s="33">
        <v>25.318544602159399</v>
      </c>
      <c r="T69" s="33">
        <v>25.312360314488298</v>
      </c>
      <c r="U69" s="15">
        <v>8.6044794101740102E-4</v>
      </c>
      <c r="V69" s="15">
        <v>1.1280547745771399E-3</v>
      </c>
      <c r="W69" s="15">
        <v>8.8376572969202805E-4</v>
      </c>
      <c r="X69" s="34">
        <v>1.2364664239188701</v>
      </c>
      <c r="Y69" s="34">
        <v>1.2358474847357901</v>
      </c>
      <c r="Z69" s="34">
        <v>1.2360817707446301</v>
      </c>
      <c r="AA69" s="34">
        <v>1.23593017276563</v>
      </c>
      <c r="AB69" s="33">
        <v>25.557202399587599</v>
      </c>
      <c r="AC69" s="33">
        <v>25.561003070721998</v>
      </c>
      <c r="AD69" s="33">
        <v>25.558228778324299</v>
      </c>
      <c r="AE69" s="15">
        <v>-5.0069628605913701E-4</v>
      </c>
      <c r="AF69" s="15">
        <v>-3.5199501196764402E-4</v>
      </c>
      <c r="AG69" s="15">
        <v>-4.6053703422009601E-4</v>
      </c>
      <c r="AI69" s="12"/>
      <c r="AJ69">
        <f t="shared" si="6"/>
        <v>0</v>
      </c>
      <c r="AK69">
        <f t="shared" si="7"/>
        <v>0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1.9417481829103801E-3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0</v>
      </c>
      <c r="BE69" s="29">
        <f t="shared" si="22"/>
        <v>0</v>
      </c>
      <c r="BF69" s="29">
        <f t="shared" si="23"/>
        <v>1.9417481829103801E-3</v>
      </c>
      <c r="BH69" s="29"/>
    </row>
    <row r="70" spans="1:60" x14ac:dyDescent="0.25">
      <c r="A70" s="1">
        <v>46125</v>
      </c>
      <c r="B70" s="33">
        <v>20.48</v>
      </c>
      <c r="C70" s="33">
        <v>25.31</v>
      </c>
      <c r="D70" s="15">
        <v>9.7703964782661101E-4</v>
      </c>
      <c r="E70" s="15">
        <v>7.9051387515897595E-4</v>
      </c>
      <c r="F70" s="33">
        <v>0</v>
      </c>
      <c r="G70" s="33">
        <v>0.21989999999999901</v>
      </c>
      <c r="H70" s="33">
        <v>0</v>
      </c>
      <c r="I70" s="33">
        <v>0.28000199999999997</v>
      </c>
      <c r="J70" s="33">
        <v>0.21989999999999901</v>
      </c>
      <c r="K70" s="33">
        <v>0.28000199999999997</v>
      </c>
      <c r="L70" s="33">
        <v>20.6999</v>
      </c>
      <c r="M70" s="33">
        <v>25.590001999999998</v>
      </c>
      <c r="N70" s="34">
        <v>1.23583984375</v>
      </c>
      <c r="O70" s="34">
        <v>1.2371344131525399</v>
      </c>
      <c r="P70" s="34">
        <v>1.23655033540031</v>
      </c>
      <c r="Q70" s="34">
        <v>1.23719484976705</v>
      </c>
      <c r="R70" s="33">
        <v>25.3365127813641</v>
      </c>
      <c r="S70" s="33">
        <v>25.334923533698401</v>
      </c>
      <c r="T70" s="33">
        <v>25.337604068461399</v>
      </c>
      <c r="U70" s="15">
        <v>1.0469737136851601E-3</v>
      </c>
      <c r="V70" s="15">
        <v>9.8424615821239591E-4</v>
      </c>
      <c r="W70" s="15">
        <v>1.0900445026946299E-3</v>
      </c>
      <c r="X70" s="34">
        <v>1.23623795284035</v>
      </c>
      <c r="Y70" s="34">
        <v>1.2358474847357901</v>
      </c>
      <c r="Z70" s="34">
        <v>1.23603510070539</v>
      </c>
      <c r="AA70" s="34">
        <v>1.23594608133533</v>
      </c>
      <c r="AB70" s="33">
        <v>25.581919349282298</v>
      </c>
      <c r="AC70" s="33">
        <v>25.586769046236899</v>
      </c>
      <c r="AD70" s="33">
        <v>25.583630983231199</v>
      </c>
      <c r="AE70" s="15">
        <v>-3.1590179034551098E-4</v>
      </c>
      <c r="AF70" s="15">
        <v>-1.26344577873718E-4</v>
      </c>
      <c r="AG70" s="15">
        <v>-2.4899607200895899E-4</v>
      </c>
      <c r="AI70" s="12"/>
      <c r="AJ70">
        <f t="shared" si="6"/>
        <v>0</v>
      </c>
      <c r="AK70">
        <f t="shared" si="7"/>
        <v>0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1.9417481829103801E-3</v>
      </c>
      <c r="AT70" s="12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0</v>
      </c>
      <c r="BE70" s="29">
        <f t="shared" si="22"/>
        <v>0</v>
      </c>
      <c r="BF70" s="29">
        <f t="shared" si="23"/>
        <v>1.9417481829103801E-3</v>
      </c>
      <c r="BH70" s="29"/>
    </row>
    <row r="71" spans="1:60" x14ac:dyDescent="0.25">
      <c r="A71" s="1">
        <v>46126</v>
      </c>
      <c r="B71" s="33">
        <v>20.5</v>
      </c>
      <c r="C71" s="33">
        <v>25.32</v>
      </c>
      <c r="D71" s="15">
        <v>9.7608597305545795E-4</v>
      </c>
      <c r="E71" s="15">
        <v>3.9502271894281698E-4</v>
      </c>
      <c r="F71" s="33">
        <v>0</v>
      </c>
      <c r="G71" s="33">
        <v>0.21989999999999901</v>
      </c>
      <c r="H71" s="33">
        <v>0</v>
      </c>
      <c r="I71" s="33">
        <v>0.28000199999999997</v>
      </c>
      <c r="J71" s="33">
        <v>0.21989999999999901</v>
      </c>
      <c r="K71" s="33">
        <v>0.28000199999999997</v>
      </c>
      <c r="L71" s="33">
        <v>20.719899999999999</v>
      </c>
      <c r="M71" s="33">
        <v>25.600002</v>
      </c>
      <c r="N71" s="34">
        <v>1.23512195121951</v>
      </c>
      <c r="O71" s="34">
        <v>1.2371344131525399</v>
      </c>
      <c r="P71" s="34">
        <v>1.2360193509344299</v>
      </c>
      <c r="Q71" s="34">
        <v>1.2371474282664401</v>
      </c>
      <c r="R71" s="33">
        <v>25.3612554696271</v>
      </c>
      <c r="S71" s="33">
        <v>25.3492818757063</v>
      </c>
      <c r="T71" s="33">
        <v>25.3624944202245</v>
      </c>
      <c r="U71" s="15">
        <v>1.62803696779766E-3</v>
      </c>
      <c r="V71" s="15">
        <v>1.15580398545881E-3</v>
      </c>
      <c r="W71" s="15">
        <v>1.6768878749299501E-3</v>
      </c>
      <c r="X71" s="34">
        <v>1.2355272950159</v>
      </c>
      <c r="Y71" s="34">
        <v>1.2358474847357901</v>
      </c>
      <c r="Z71" s="34">
        <v>1.23596332717541</v>
      </c>
      <c r="AA71" s="34">
        <v>1.2359079178841299</v>
      </c>
      <c r="AB71" s="33">
        <v>25.606636298977101</v>
      </c>
      <c r="AC71" s="33">
        <v>25.610523683105701</v>
      </c>
      <c r="AD71" s="33">
        <v>25.608679210659901</v>
      </c>
      <c r="AE71" s="15">
        <v>2.5911870939405697E-4</v>
      </c>
      <c r="AF71" s="15">
        <v>4.1091877552360299E-4</v>
      </c>
      <c r="AG71" s="15">
        <v>3.3889608315776099E-4</v>
      </c>
      <c r="AI71" s="12"/>
      <c r="AJ71">
        <f t="shared" si="6"/>
        <v>0</v>
      </c>
      <c r="AK71">
        <f t="shared" si="7"/>
        <v>1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1.9417481829103801E-3</v>
      </c>
      <c r="AT71" s="12"/>
      <c r="AU71">
        <f t="shared" si="10"/>
        <v>0</v>
      </c>
      <c r="AV71">
        <f t="shared" si="11"/>
        <v>0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0</v>
      </c>
      <c r="BE71" s="29">
        <f t="shared" si="22"/>
        <v>0</v>
      </c>
      <c r="BF71" s="29">
        <f t="shared" si="23"/>
        <v>1.9417481829103801E-3</v>
      </c>
      <c r="BH71" s="29"/>
    </row>
    <row r="72" spans="1:60" x14ac:dyDescent="0.25">
      <c r="A72" s="1">
        <v>46127</v>
      </c>
      <c r="B72" s="33">
        <v>20.5</v>
      </c>
      <c r="C72" s="33">
        <v>25.32</v>
      </c>
      <c r="D72" s="15">
        <v>0</v>
      </c>
      <c r="E72" s="15">
        <v>0</v>
      </c>
      <c r="F72" s="33">
        <v>0</v>
      </c>
      <c r="G72" s="33">
        <v>0.21989999999999901</v>
      </c>
      <c r="H72" s="33">
        <v>0</v>
      </c>
      <c r="I72" s="33">
        <v>0.28000199999999997</v>
      </c>
      <c r="J72" s="33">
        <v>0.21989999999999901</v>
      </c>
      <c r="K72" s="33">
        <v>0.28000199999999997</v>
      </c>
      <c r="L72" s="33">
        <v>20.719899999999999</v>
      </c>
      <c r="M72" s="33">
        <v>25.600002</v>
      </c>
      <c r="N72" s="34">
        <v>1.23512195121951</v>
      </c>
      <c r="O72" s="34">
        <v>1.2371344131525399</v>
      </c>
      <c r="P72" s="34">
        <v>1.2355472092967099</v>
      </c>
      <c r="Q72" s="34">
        <v>1.23708711957741</v>
      </c>
      <c r="R72" s="33">
        <v>25.3612554696271</v>
      </c>
      <c r="S72" s="33">
        <v>25.338396694155801</v>
      </c>
      <c r="T72" s="33">
        <v>25.361522279462001</v>
      </c>
      <c r="U72" s="15">
        <v>1.62803696779766E-3</v>
      </c>
      <c r="V72" s="15">
        <v>7.2630387714860405E-4</v>
      </c>
      <c r="W72" s="15">
        <v>1.6385572841829199E-3</v>
      </c>
      <c r="X72" s="34">
        <v>1.2355272950159</v>
      </c>
      <c r="Y72" s="34">
        <v>1.2358474847357901</v>
      </c>
      <c r="Z72" s="34">
        <v>1.2359487561089599</v>
      </c>
      <c r="AA72" s="34">
        <v>1.2358569699031601</v>
      </c>
      <c r="AB72" s="33">
        <v>25.606636298977101</v>
      </c>
      <c r="AC72" s="33">
        <v>25.609036542741901</v>
      </c>
      <c r="AD72" s="33">
        <v>25.607888467767399</v>
      </c>
      <c r="AE72" s="15">
        <v>2.5911870939405697E-4</v>
      </c>
      <c r="AF72" s="15">
        <v>3.5284953956577902E-4</v>
      </c>
      <c r="AG72" s="15">
        <v>3.0801768078059802E-4</v>
      </c>
      <c r="AI72" s="12"/>
      <c r="AJ72">
        <f t="shared" si="6"/>
        <v>0</v>
      </c>
      <c r="AK72">
        <f t="shared" si="7"/>
        <v>1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1.9417481829103801E-3</v>
      </c>
      <c r="AT72" s="12"/>
      <c r="AU72">
        <f t="shared" si="10"/>
        <v>0</v>
      </c>
      <c r="AV72">
        <f t="shared" si="11"/>
        <v>0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0</v>
      </c>
      <c r="BE72" s="29">
        <f t="shared" si="22"/>
        <v>0</v>
      </c>
      <c r="BF72" s="29">
        <f t="shared" si="23"/>
        <v>1.9417481829103801E-3</v>
      </c>
      <c r="BH72" s="29"/>
    </row>
    <row r="73" spans="1:60" x14ac:dyDescent="0.25">
      <c r="A73" s="1">
        <v>46128</v>
      </c>
      <c r="B73" s="33">
        <v>20.5</v>
      </c>
      <c r="C73" s="33">
        <v>25.31</v>
      </c>
      <c r="D73" s="15">
        <v>0</v>
      </c>
      <c r="E73" s="15">
        <v>-3.9502271894276602E-4</v>
      </c>
      <c r="F73" s="33">
        <v>0</v>
      </c>
      <c r="G73" s="33">
        <v>0.21989999999999901</v>
      </c>
      <c r="H73" s="33">
        <v>0</v>
      </c>
      <c r="I73" s="33">
        <v>0.28000199999999997</v>
      </c>
      <c r="J73" s="33">
        <v>0.21989999999999901</v>
      </c>
      <c r="K73" s="33">
        <v>0.28000199999999997</v>
      </c>
      <c r="L73" s="33">
        <v>20.719899999999999</v>
      </c>
      <c r="M73" s="33">
        <v>25.590001999999998</v>
      </c>
      <c r="N73" s="34">
        <v>1.2346341463414601</v>
      </c>
      <c r="O73" s="34">
        <v>1.2371344131525399</v>
      </c>
      <c r="P73" s="34">
        <v>1.23541786817951</v>
      </c>
      <c r="Q73" s="34">
        <v>1.23705843569644</v>
      </c>
      <c r="R73" s="33">
        <v>25.3612554696271</v>
      </c>
      <c r="S73" s="33">
        <v>25.328717790582601</v>
      </c>
      <c r="T73" s="33">
        <v>25.360285951337001</v>
      </c>
      <c r="U73" s="15">
        <v>2.02305968674058E-3</v>
      </c>
      <c r="V73" s="15">
        <v>7.3926798512289596E-4</v>
      </c>
      <c r="W73" s="15">
        <v>1.9848306320614799E-3</v>
      </c>
      <c r="X73" s="34">
        <v>1.2350446672039901</v>
      </c>
      <c r="Y73" s="34">
        <v>1.2358474847357901</v>
      </c>
      <c r="Z73" s="34">
        <v>1.2358206531801099</v>
      </c>
      <c r="AA73" s="34">
        <v>1.23583748929988</v>
      </c>
      <c r="AB73" s="33">
        <v>25.606636298977101</v>
      </c>
      <c r="AC73" s="33">
        <v>25.608734631702202</v>
      </c>
      <c r="AD73" s="33">
        <v>25.606832830696501</v>
      </c>
      <c r="AE73" s="15">
        <v>6.4981999268400004E-4</v>
      </c>
      <c r="AF73" s="15">
        <v>7.3176151485414005E-4</v>
      </c>
      <c r="AG73" s="15">
        <v>6.5749499392121996E-4</v>
      </c>
      <c r="AI73" s="12"/>
      <c r="AJ73">
        <f t="shared" si="6"/>
        <v>0</v>
      </c>
      <c r="AK73">
        <f t="shared" si="7"/>
        <v>1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1.9417481829103801E-3</v>
      </c>
      <c r="AT73" s="12"/>
      <c r="AU73">
        <f t="shared" si="10"/>
        <v>0</v>
      </c>
      <c r="AV73">
        <f t="shared" si="11"/>
        <v>0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0</v>
      </c>
      <c r="BE73" s="29">
        <f t="shared" si="22"/>
        <v>0</v>
      </c>
      <c r="BF73" s="29">
        <f t="shared" si="23"/>
        <v>1.9417481829103801E-3</v>
      </c>
      <c r="BH73" s="29"/>
    </row>
    <row r="74" spans="1:60" x14ac:dyDescent="0.25">
      <c r="A74" s="1">
        <v>46129</v>
      </c>
      <c r="B74" s="33">
        <v>20.53</v>
      </c>
      <c r="C74" s="33">
        <v>25.35</v>
      </c>
      <c r="D74" s="15">
        <v>1.4623448864797099E-3</v>
      </c>
      <c r="E74" s="15">
        <v>1.5791554801595101E-3</v>
      </c>
      <c r="F74" s="33">
        <v>0</v>
      </c>
      <c r="G74" s="33">
        <v>0.21989999999999901</v>
      </c>
      <c r="H74" s="33">
        <v>0</v>
      </c>
      <c r="I74" s="33">
        <v>0.28000199999999997</v>
      </c>
      <c r="J74" s="33">
        <v>0.21989999999999901</v>
      </c>
      <c r="K74" s="33">
        <v>0.28000199999999997</v>
      </c>
      <c r="L74" s="33">
        <v>20.7499</v>
      </c>
      <c r="M74" s="33">
        <v>25.630002000000001</v>
      </c>
      <c r="N74" s="34">
        <v>1.2347783731125099</v>
      </c>
      <c r="O74" s="34">
        <v>1.2371344131525399</v>
      </c>
      <c r="P74" s="34">
        <v>1.23537492309467</v>
      </c>
      <c r="Q74" s="34">
        <v>1.2370240275323301</v>
      </c>
      <c r="R74" s="33">
        <v>25.398369502021701</v>
      </c>
      <c r="S74" s="33">
        <v>25.363128833725401</v>
      </c>
      <c r="T74" s="33">
        <v>25.396809684848002</v>
      </c>
      <c r="U74" s="15">
        <v>1.9062490930606499E-3</v>
      </c>
      <c r="V74" s="15">
        <v>5.1776864574035804E-4</v>
      </c>
      <c r="W74" s="15">
        <v>1.84483313984932E-3</v>
      </c>
      <c r="X74" s="34">
        <v>1.23518677198444</v>
      </c>
      <c r="Y74" s="34">
        <v>1.2358474847357901</v>
      </c>
      <c r="Z74" s="34">
        <v>1.2357780069082001</v>
      </c>
      <c r="AA74" s="34">
        <v>1.2358122816724699</v>
      </c>
      <c r="AB74" s="33">
        <v>25.6437117235191</v>
      </c>
      <c r="AC74" s="33">
        <v>25.643154971422099</v>
      </c>
      <c r="AD74" s="33">
        <v>25.643504319223599</v>
      </c>
      <c r="AE74" s="15">
        <v>5.3476617355315296E-4</v>
      </c>
      <c r="AF74" s="15">
        <v>5.1305488047134003E-4</v>
      </c>
      <c r="AG74" s="15">
        <v>5.26678220588862E-4</v>
      </c>
      <c r="AI74" s="12"/>
      <c r="AJ74">
        <f t="shared" si="6"/>
        <v>0</v>
      </c>
      <c r="AK74">
        <f t="shared" si="7"/>
        <v>1</v>
      </c>
      <c r="AL74">
        <f t="shared" si="14"/>
        <v>0</v>
      </c>
      <c r="AM74">
        <f t="shared" si="4"/>
        <v>0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1.9417481829103801E-3</v>
      </c>
      <c r="AT74" s="12"/>
      <c r="AU74">
        <f t="shared" si="10"/>
        <v>0</v>
      </c>
      <c r="AV74">
        <f t="shared" si="11"/>
        <v>0</v>
      </c>
      <c r="AW74">
        <f t="shared" si="18"/>
        <v>0</v>
      </c>
      <c r="AX74">
        <f t="shared" si="5"/>
        <v>0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0</v>
      </c>
      <c r="BE74" s="29">
        <f t="shared" si="22"/>
        <v>0</v>
      </c>
      <c r="BF74" s="29">
        <f t="shared" si="23"/>
        <v>1.9417481829103801E-3</v>
      </c>
      <c r="BH74" s="29"/>
    </row>
    <row r="75" spans="1:60" x14ac:dyDescent="0.25">
      <c r="A75" s="1">
        <v>46132</v>
      </c>
      <c r="B75" s="33">
        <v>20.46</v>
      </c>
      <c r="C75" s="33">
        <v>25.35</v>
      </c>
      <c r="D75" s="15">
        <v>-3.4154705073617701E-3</v>
      </c>
      <c r="E75" s="15">
        <v>0</v>
      </c>
      <c r="F75" s="33">
        <v>7.3249999999999996E-2</v>
      </c>
      <c r="G75" s="33">
        <v>0.29314999999999902</v>
      </c>
      <c r="H75" s="33">
        <v>0</v>
      </c>
      <c r="I75" s="33">
        <v>0.28000199999999997</v>
      </c>
      <c r="J75" s="33">
        <v>0.29314999999999902</v>
      </c>
      <c r="K75" s="33">
        <v>0.28000199999999997</v>
      </c>
      <c r="L75" s="33">
        <v>20.753150000000002</v>
      </c>
      <c r="M75" s="33">
        <v>25.630002000000001</v>
      </c>
      <c r="N75" s="34">
        <v>1.2390029325513101</v>
      </c>
      <c r="O75" s="34">
        <v>1.2371344131525399</v>
      </c>
      <c r="P75" s="34">
        <v>1.2357314082244999</v>
      </c>
      <c r="Q75" s="34">
        <v>1.23722099100613</v>
      </c>
      <c r="R75" s="33">
        <v>25.311770093101</v>
      </c>
      <c r="S75" s="33">
        <v>25.275770926517101</v>
      </c>
      <c r="T75" s="33">
        <v>25.309511603311599</v>
      </c>
      <c r="U75" s="15">
        <v>-1.5092214143010601E-3</v>
      </c>
      <c r="V75" s="15">
        <v>-2.9324640521151699E-3</v>
      </c>
      <c r="W75" s="15">
        <v>-1.5984522561621299E-3</v>
      </c>
      <c r="X75" s="34">
        <v>1.2349933383606799</v>
      </c>
      <c r="Y75" s="34">
        <v>1.2358474847357901</v>
      </c>
      <c r="Z75" s="34">
        <v>1.2356931974796499</v>
      </c>
      <c r="AA75" s="34">
        <v>1.2357973745569599</v>
      </c>
      <c r="AB75" s="33">
        <v>25.6477282278445</v>
      </c>
      <c r="AC75" s="33">
        <v>25.646286344066901</v>
      </c>
      <c r="AD75" s="33">
        <v>25.6469976533912</v>
      </c>
      <c r="AE75" s="15">
        <v>6.9138116963862598E-4</v>
      </c>
      <c r="AF75" s="15">
        <v>6.3516081761535201E-4</v>
      </c>
      <c r="AG75" s="15">
        <v>6.6289580624719297E-4</v>
      </c>
      <c r="AI75" s="12"/>
      <c r="AJ75">
        <f t="shared" si="6"/>
        <v>0</v>
      </c>
      <c r="AK75">
        <f t="shared" si="7"/>
        <v>1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1.9417481829103801E-3</v>
      </c>
      <c r="AT75" s="12"/>
      <c r="AU75">
        <f t="shared" si="10"/>
        <v>0</v>
      </c>
      <c r="AV75">
        <f t="shared" si="11"/>
        <v>0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0</v>
      </c>
      <c r="BE75" s="29">
        <f t="shared" si="22"/>
        <v>0</v>
      </c>
      <c r="BF75" s="29">
        <f t="shared" si="23"/>
        <v>1.9417481829103801E-3</v>
      </c>
      <c r="BH75" s="29"/>
    </row>
    <row r="76" spans="1:60" x14ac:dyDescent="0.25">
      <c r="A76" s="1">
        <v>46133</v>
      </c>
      <c r="B76" s="33">
        <v>20.43</v>
      </c>
      <c r="C76" s="33">
        <v>25.3</v>
      </c>
      <c r="D76" s="15">
        <v>-1.4673516939498401E-3</v>
      </c>
      <c r="E76" s="15">
        <v>-1.97433430371762E-3</v>
      </c>
      <c r="F76" s="33">
        <v>0</v>
      </c>
      <c r="G76" s="33">
        <v>0.29314999999999902</v>
      </c>
      <c r="H76" s="33">
        <v>0</v>
      </c>
      <c r="I76" s="33">
        <v>0.28000199999999997</v>
      </c>
      <c r="J76" s="33">
        <v>0.29314999999999902</v>
      </c>
      <c r="K76" s="33">
        <v>0.28000199999999997</v>
      </c>
      <c r="L76" s="33">
        <v>20.72315</v>
      </c>
      <c r="M76" s="33">
        <v>25.580002</v>
      </c>
      <c r="N76" s="34">
        <v>1.2383749388154599</v>
      </c>
      <c r="O76" s="34">
        <v>1.2371344131525399</v>
      </c>
      <c r="P76" s="34">
        <v>1.23604811970996</v>
      </c>
      <c r="Q76" s="34">
        <v>1.23716721586643</v>
      </c>
      <c r="R76" s="33">
        <v>25.274656060706398</v>
      </c>
      <c r="S76" s="33">
        <v>25.245992670026599</v>
      </c>
      <c r="T76" s="33">
        <v>25.2764248462552</v>
      </c>
      <c r="U76" s="15">
        <v>-1.00223880453326E-3</v>
      </c>
      <c r="V76" s="15">
        <v>-2.1369587448162699E-3</v>
      </c>
      <c r="W76" s="15">
        <v>-9.3225867679715905E-4</v>
      </c>
      <c r="X76" s="34">
        <v>1.23436842371936</v>
      </c>
      <c r="Y76" s="34">
        <v>1.2358474847357901</v>
      </c>
      <c r="Z76" s="34">
        <v>1.2355687163812299</v>
      </c>
      <c r="AA76" s="34">
        <v>1.23575208815212</v>
      </c>
      <c r="AB76" s="33">
        <v>25.610652803302401</v>
      </c>
      <c r="AC76" s="33">
        <v>25.607455485350499</v>
      </c>
      <c r="AD76" s="33">
        <v>25.609614362550101</v>
      </c>
      <c r="AE76" s="15">
        <v>1.19751572169368E-3</v>
      </c>
      <c r="AF76" s="15">
        <v>1.07266464605068E-3</v>
      </c>
      <c r="AG76" s="15">
        <v>1.1569676804628901E-3</v>
      </c>
      <c r="AI76" s="12"/>
      <c r="AJ76">
        <f t="shared" si="6"/>
        <v>0</v>
      </c>
      <c r="AK76">
        <f t="shared" si="7"/>
        <v>1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1.9417481829103801E-3</v>
      </c>
      <c r="AT76" s="12"/>
      <c r="AU76">
        <f t="shared" si="10"/>
        <v>1</v>
      </c>
      <c r="AV76">
        <f t="shared" si="11"/>
        <v>0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0</v>
      </c>
      <c r="BE76" s="29">
        <f t="shared" si="22"/>
        <v>0</v>
      </c>
      <c r="BF76" s="29">
        <f t="shared" si="23"/>
        <v>1.9417481829103801E-3</v>
      </c>
      <c r="BH76" s="29"/>
    </row>
    <row r="77" spans="1:60" x14ac:dyDescent="0.25">
      <c r="A77" s="1">
        <v>46134</v>
      </c>
      <c r="B77" s="33">
        <v>20.43</v>
      </c>
      <c r="C77" s="33">
        <v>25.33</v>
      </c>
      <c r="D77" s="15">
        <v>0</v>
      </c>
      <c r="E77" s="15">
        <v>1.18506828010929E-3</v>
      </c>
      <c r="F77" s="33">
        <v>0</v>
      </c>
      <c r="G77" s="33">
        <v>0.29314999999999902</v>
      </c>
      <c r="H77" s="33">
        <v>0</v>
      </c>
      <c r="I77" s="33">
        <v>0.28000199999999997</v>
      </c>
      <c r="J77" s="33">
        <v>0.29314999999999902</v>
      </c>
      <c r="K77" s="33">
        <v>0.28000199999999997</v>
      </c>
      <c r="L77" s="33">
        <v>20.72315</v>
      </c>
      <c r="M77" s="33">
        <v>25.610001999999898</v>
      </c>
      <c r="N77" s="34">
        <v>1.23984336759667</v>
      </c>
      <c r="O77" s="34">
        <v>1.2371344131525399</v>
      </c>
      <c r="P77" s="34">
        <v>1.2364742942017899</v>
      </c>
      <c r="Q77" s="34">
        <v>1.2371751013386001</v>
      </c>
      <c r="R77" s="33">
        <v>25.274656060706398</v>
      </c>
      <c r="S77" s="33">
        <v>25.252463085674499</v>
      </c>
      <c r="T77" s="33">
        <v>25.2753262201512</v>
      </c>
      <c r="U77" s="15">
        <v>-2.1873070846425298E-3</v>
      </c>
      <c r="V77" s="15">
        <v>-3.0657651021993798E-3</v>
      </c>
      <c r="W77" s="15">
        <v>-2.1607923594303999E-3</v>
      </c>
      <c r="X77" s="34">
        <v>1.2358160800843501</v>
      </c>
      <c r="Y77" s="34">
        <v>1.2358474847357901</v>
      </c>
      <c r="Z77" s="34">
        <v>1.2355520381310201</v>
      </c>
      <c r="AA77" s="34">
        <v>1.23576775233544</v>
      </c>
      <c r="AB77" s="33">
        <v>25.610652803302401</v>
      </c>
      <c r="AC77" s="33">
        <v>25.6048758448757</v>
      </c>
      <c r="AD77" s="33">
        <v>25.608675885589602</v>
      </c>
      <c r="AE77" s="15">
        <v>2.5411752545070999E-5</v>
      </c>
      <c r="AF77" s="15">
        <v>-2.00182265665813E-4</v>
      </c>
      <c r="AG77" s="15">
        <v>-5.1782453800778198E-5</v>
      </c>
      <c r="AI77" s="12"/>
      <c r="AJ77">
        <f t="shared" si="6"/>
        <v>0</v>
      </c>
      <c r="AK77">
        <f t="shared" si="7"/>
        <v>1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1.9417481829103801E-3</v>
      </c>
      <c r="AT77" s="12"/>
      <c r="AU77">
        <f t="shared" si="10"/>
        <v>0</v>
      </c>
      <c r="AV77">
        <f t="shared" si="11"/>
        <v>1</v>
      </c>
      <c r="AW77">
        <f t="shared" si="18"/>
        <v>1</v>
      </c>
      <c r="AX77">
        <f t="shared" si="5"/>
        <v>1</v>
      </c>
      <c r="AY77">
        <f t="shared" si="19"/>
        <v>1</v>
      </c>
      <c r="AZ77" s="28">
        <f t="shared" si="12"/>
        <v>0</v>
      </c>
      <c r="BA77" s="28">
        <f t="shared" si="13"/>
        <v>1.18506828010929E-3</v>
      </c>
      <c r="BB77" s="28">
        <f t="shared" si="20"/>
        <v>1.18506828010929E-3</v>
      </c>
      <c r="BC77" s="29">
        <f t="shared" si="21"/>
        <v>1.18506828010929E-3</v>
      </c>
      <c r="BE77" s="29">
        <f t="shared" si="22"/>
        <v>1.18506828010929E-3</v>
      </c>
      <c r="BF77" s="29">
        <f t="shared" si="23"/>
        <v>3.1268164630196701E-3</v>
      </c>
      <c r="BH77" s="29"/>
    </row>
    <row r="78" spans="1:60" x14ac:dyDescent="0.25">
      <c r="A78" s="1">
        <v>46135</v>
      </c>
      <c r="B78" s="33">
        <v>20.43</v>
      </c>
      <c r="C78" s="33">
        <v>25.33</v>
      </c>
      <c r="D78" s="15">
        <v>0</v>
      </c>
      <c r="E78" s="15">
        <v>0</v>
      </c>
      <c r="F78" s="33">
        <v>0</v>
      </c>
      <c r="G78" s="33">
        <v>0.29314999999999902</v>
      </c>
      <c r="H78" s="33">
        <v>0</v>
      </c>
      <c r="I78" s="33">
        <v>0.28000199999999997</v>
      </c>
      <c r="J78" s="33">
        <v>0.29314999999999902</v>
      </c>
      <c r="K78" s="33">
        <v>0.28000199999999997</v>
      </c>
      <c r="L78" s="33">
        <v>20.72315</v>
      </c>
      <c r="M78" s="33">
        <v>25.610001999999898</v>
      </c>
      <c r="N78" s="34">
        <v>1.23984336759667</v>
      </c>
      <c r="O78" s="34">
        <v>1.2371344131525399</v>
      </c>
      <c r="P78" s="34">
        <v>1.2368631253434801</v>
      </c>
      <c r="Q78" s="34">
        <v>1.2371643242103301</v>
      </c>
      <c r="R78" s="33">
        <v>25.274656060706398</v>
      </c>
      <c r="S78" s="33">
        <v>25.261169830542499</v>
      </c>
      <c r="T78" s="33">
        <v>25.2754873203477</v>
      </c>
      <c r="U78" s="15">
        <v>-2.1873070846425298E-3</v>
      </c>
      <c r="V78" s="15">
        <v>-2.7210365823281701E-3</v>
      </c>
      <c r="W78" s="15">
        <v>-2.1544185669952099E-3</v>
      </c>
      <c r="X78" s="34">
        <v>1.2358160800843501</v>
      </c>
      <c r="Y78" s="34">
        <v>1.2358474847357901</v>
      </c>
      <c r="Z78" s="34">
        <v>1.23549843282282</v>
      </c>
      <c r="AA78" s="34">
        <v>1.2357648516592099</v>
      </c>
      <c r="AB78" s="33">
        <v>25.610652803302401</v>
      </c>
      <c r="AC78" s="33">
        <v>25.604530218994999</v>
      </c>
      <c r="AD78" s="33">
        <v>25.6090004968102</v>
      </c>
      <c r="AE78" s="15">
        <v>2.5411752545070999E-5</v>
      </c>
      <c r="AF78" s="15">
        <v>-2.13680796785352E-4</v>
      </c>
      <c r="AG78" s="15">
        <v>-3.9106704192788297E-5</v>
      </c>
      <c r="AI78" s="12"/>
      <c r="AJ78">
        <f t="shared" si="6"/>
        <v>0</v>
      </c>
      <c r="AK78">
        <f t="shared" si="7"/>
        <v>1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1.9417481829103801E-3</v>
      </c>
      <c r="AT78" s="12"/>
      <c r="AU78">
        <f t="shared" si="10"/>
        <v>0</v>
      </c>
      <c r="AV78">
        <f t="shared" si="11"/>
        <v>1</v>
      </c>
      <c r="AW78">
        <f t="shared" si="18"/>
        <v>0</v>
      </c>
      <c r="AX78">
        <f t="shared" si="5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1.18506828010929E-3</v>
      </c>
      <c r="BE78" s="29">
        <f t="shared" si="22"/>
        <v>0</v>
      </c>
      <c r="BF78" s="29">
        <f t="shared" si="23"/>
        <v>3.1268164630196701E-3</v>
      </c>
      <c r="BH78" s="29"/>
    </row>
    <row r="79" spans="1:60" x14ac:dyDescent="0.25">
      <c r="A79" s="1">
        <v>46136</v>
      </c>
      <c r="B79" s="33">
        <v>20.45</v>
      </c>
      <c r="C79" s="33">
        <v>25.36</v>
      </c>
      <c r="D79" s="15">
        <v>9.7847365928014404E-4</v>
      </c>
      <c r="E79" s="15">
        <v>1.18366555544127E-3</v>
      </c>
      <c r="F79" s="33">
        <v>0</v>
      </c>
      <c r="G79" s="33">
        <v>0.29314999999999902</v>
      </c>
      <c r="H79" s="33">
        <v>0</v>
      </c>
      <c r="I79" s="33">
        <v>0.28000199999999997</v>
      </c>
      <c r="J79" s="33">
        <v>0.29314999999999902</v>
      </c>
      <c r="K79" s="33">
        <v>0.28000199999999997</v>
      </c>
      <c r="L79" s="33">
        <v>20.74315</v>
      </c>
      <c r="M79" s="33">
        <v>25.640001999999999</v>
      </c>
      <c r="N79" s="34">
        <v>1.2400977995110001</v>
      </c>
      <c r="O79" s="34">
        <v>1.2371344131525399</v>
      </c>
      <c r="P79" s="34">
        <v>1.2372658671714101</v>
      </c>
      <c r="Q79" s="34">
        <v>1.23716134017014</v>
      </c>
      <c r="R79" s="33">
        <v>25.299398748969502</v>
      </c>
      <c r="S79" s="33">
        <v>25.293850913274099</v>
      </c>
      <c r="T79" s="33">
        <v>25.300010430101398</v>
      </c>
      <c r="U79" s="15">
        <v>-2.3924989808038698E-3</v>
      </c>
      <c r="V79" s="15">
        <v>-2.6118102823953402E-3</v>
      </c>
      <c r="W79" s="15">
        <v>-2.3683215786613099E-3</v>
      </c>
      <c r="X79" s="34">
        <v>1.2360707992758999</v>
      </c>
      <c r="Y79" s="34">
        <v>1.2358474847357901</v>
      </c>
      <c r="Z79" s="34">
        <v>1.2354588703585201</v>
      </c>
      <c r="AA79" s="34">
        <v>1.23577032055158</v>
      </c>
      <c r="AB79" s="33">
        <v>25.6353697529972</v>
      </c>
      <c r="AC79" s="33">
        <v>25.6281293168087</v>
      </c>
      <c r="AD79" s="33">
        <v>25.633655682694702</v>
      </c>
      <c r="AE79" s="15">
        <v>-1.80681167469851E-4</v>
      </c>
      <c r="AF79" s="15">
        <v>-4.6316037267489399E-4</v>
      </c>
      <c r="AG79" s="15">
        <v>-2.4754689345121001E-4</v>
      </c>
      <c r="AI79" s="12"/>
      <c r="AJ79">
        <f t="shared" si="6"/>
        <v>0</v>
      </c>
      <c r="AK79">
        <f t="shared" si="7"/>
        <v>0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1.9417481829103801E-3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1.18506828010929E-3</v>
      </c>
      <c r="BE79" s="29">
        <f t="shared" si="22"/>
        <v>0</v>
      </c>
      <c r="BF79" s="29">
        <f t="shared" si="23"/>
        <v>3.1268164630196701E-3</v>
      </c>
      <c r="BH79" s="29"/>
    </row>
    <row r="80" spans="1:60" x14ac:dyDescent="0.25">
      <c r="A80" s="1">
        <v>46139</v>
      </c>
      <c r="B80" s="33">
        <v>20.440000000000001</v>
      </c>
      <c r="C80" s="33">
        <v>25.35</v>
      </c>
      <c r="D80" s="15">
        <v>-4.8911715330692495E-4</v>
      </c>
      <c r="E80" s="15">
        <v>-3.9439953183288999E-4</v>
      </c>
      <c r="F80" s="33">
        <v>0</v>
      </c>
      <c r="G80" s="33">
        <v>0.29314999999999902</v>
      </c>
      <c r="H80" s="33">
        <v>0</v>
      </c>
      <c r="I80" s="33">
        <v>0.28000199999999997</v>
      </c>
      <c r="J80" s="33">
        <v>0.29314999999999902</v>
      </c>
      <c r="K80" s="33">
        <v>0.28000199999999997</v>
      </c>
      <c r="L80" s="33">
        <v>20.733149999999998</v>
      </c>
      <c r="M80" s="33">
        <v>25.630002000000001</v>
      </c>
      <c r="N80" s="34">
        <v>1.2402152641878601</v>
      </c>
      <c r="O80" s="34">
        <v>1.2371344131525399</v>
      </c>
      <c r="P80" s="34">
        <v>1.2377034092151999</v>
      </c>
      <c r="Q80" s="34">
        <v>1.23712687230775</v>
      </c>
      <c r="R80" s="33">
        <v>25.287027404838</v>
      </c>
      <c r="S80" s="33">
        <v>25.289714324983699</v>
      </c>
      <c r="T80" s="33">
        <v>25.287577793077698</v>
      </c>
      <c r="U80" s="15">
        <v>-2.4872166022779198E-3</v>
      </c>
      <c r="V80" s="15">
        <v>-2.3809653865480701E-3</v>
      </c>
      <c r="W80" s="15">
        <v>-2.4654512029212098E-3</v>
      </c>
      <c r="X80" s="34">
        <v>1.2361846607968301</v>
      </c>
      <c r="Y80" s="34">
        <v>1.2358474847357901</v>
      </c>
      <c r="Z80" s="34">
        <v>1.2354535411541701</v>
      </c>
      <c r="AA80" s="34">
        <v>1.23574432092978</v>
      </c>
      <c r="AB80" s="33">
        <v>25.6230112781498</v>
      </c>
      <c r="AC80" s="33">
        <v>25.614954077973799</v>
      </c>
      <c r="AD80" s="33">
        <v>25.621411421544</v>
      </c>
      <c r="AE80" s="15">
        <v>-2.7279262023330102E-4</v>
      </c>
      <c r="AF80" s="15">
        <v>-5.8729379866289799E-4</v>
      </c>
      <c r="AG80" s="15">
        <v>-3.3523284385483001E-4</v>
      </c>
      <c r="AI80" s="12"/>
      <c r="AJ80">
        <f t="shared" si="6"/>
        <v>0</v>
      </c>
      <c r="AK80">
        <f t="shared" si="7"/>
        <v>0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1.9417481829103801E-3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1.18506828010929E-3</v>
      </c>
      <c r="BE80" s="29">
        <f t="shared" si="22"/>
        <v>0</v>
      </c>
      <c r="BF80" s="29">
        <f t="shared" si="23"/>
        <v>3.1268164630196701E-3</v>
      </c>
      <c r="BH80" s="29"/>
    </row>
    <row r="81" spans="1:60" x14ac:dyDescent="0.25">
      <c r="A81" s="1">
        <v>46140</v>
      </c>
      <c r="B81" s="33">
        <v>20.43</v>
      </c>
      <c r="C81" s="33">
        <v>25.32</v>
      </c>
      <c r="D81" s="15">
        <v>-4.8935650597309202E-4</v>
      </c>
      <c r="E81" s="15">
        <v>-1.1841327612167999E-3</v>
      </c>
      <c r="F81" s="33">
        <v>0</v>
      </c>
      <c r="G81" s="33">
        <v>0.29314999999999902</v>
      </c>
      <c r="H81" s="33">
        <v>0</v>
      </c>
      <c r="I81" s="33">
        <v>0.28000199999999997</v>
      </c>
      <c r="J81" s="33">
        <v>0.29314999999999902</v>
      </c>
      <c r="K81" s="33">
        <v>0.28000199999999997</v>
      </c>
      <c r="L81" s="33">
        <v>20.72315</v>
      </c>
      <c r="M81" s="33">
        <v>25.600002</v>
      </c>
      <c r="N81" s="34">
        <v>1.2393538913362701</v>
      </c>
      <c r="O81" s="34">
        <v>1.2371344131525399</v>
      </c>
      <c r="P81" s="34">
        <v>1.2381266032268701</v>
      </c>
      <c r="Q81" s="34">
        <v>1.2370729770806499</v>
      </c>
      <c r="R81" s="33">
        <v>25.274656060706398</v>
      </c>
      <c r="S81" s="33">
        <v>25.286280650266502</v>
      </c>
      <c r="T81" s="33">
        <v>25.274502001247399</v>
      </c>
      <c r="U81" s="15">
        <v>-1.7924403470341999E-3</v>
      </c>
      <c r="V81" s="15">
        <v>-1.3326154101923799E-3</v>
      </c>
      <c r="W81" s="15">
        <v>-1.7985357782911401E-3</v>
      </c>
      <c r="X81" s="34">
        <v>1.23533352796268</v>
      </c>
      <c r="Y81" s="34">
        <v>1.2358474847357901</v>
      </c>
      <c r="Z81" s="34">
        <v>1.23543416444885</v>
      </c>
      <c r="AA81" s="34">
        <v>1.23569874581213</v>
      </c>
      <c r="AB81" s="33">
        <v>25.610652803302401</v>
      </c>
      <c r="AC81" s="33">
        <v>25.602489051369101</v>
      </c>
      <c r="AD81" s="33">
        <v>25.608514924276001</v>
      </c>
      <c r="AE81" s="15">
        <v>4.15960447956487E-4</v>
      </c>
      <c r="AF81" s="15">
        <v>9.7145717718108895E-5</v>
      </c>
      <c r="AG81" s="15">
        <v>3.3248080068758098E-4</v>
      </c>
      <c r="AI81" s="12"/>
      <c r="AJ81">
        <f t="shared" si="6"/>
        <v>0</v>
      </c>
      <c r="AK81">
        <f t="shared" si="7"/>
        <v>1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1.9417481829103801E-3</v>
      </c>
      <c r="AT81" s="12"/>
      <c r="AU81">
        <f t="shared" si="10"/>
        <v>0</v>
      </c>
      <c r="AV81">
        <f t="shared" si="11"/>
        <v>0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1.18506828010929E-3</v>
      </c>
      <c r="BE81" s="29">
        <f t="shared" si="22"/>
        <v>0</v>
      </c>
      <c r="BF81" s="29">
        <f t="shared" si="23"/>
        <v>3.1268164630196701E-3</v>
      </c>
      <c r="BH81" s="29"/>
    </row>
    <row r="82" spans="1:60" x14ac:dyDescent="0.25">
      <c r="A82" s="1">
        <v>46141</v>
      </c>
      <c r="B82" s="33">
        <v>20.39</v>
      </c>
      <c r="C82" s="33">
        <v>25.28</v>
      </c>
      <c r="D82" s="15">
        <v>-1.9598242431668202E-3</v>
      </c>
      <c r="E82" s="15">
        <v>-1.5810279973187001E-3</v>
      </c>
      <c r="F82" s="33">
        <v>0</v>
      </c>
      <c r="G82" s="33">
        <v>0.29314999999999902</v>
      </c>
      <c r="H82" s="33">
        <v>0</v>
      </c>
      <c r="I82" s="33">
        <v>0.28000199999999997</v>
      </c>
      <c r="J82" s="33">
        <v>0.29314999999999902</v>
      </c>
      <c r="K82" s="33">
        <v>0.28000199999999997</v>
      </c>
      <c r="L82" s="33">
        <v>20.683150000000001</v>
      </c>
      <c r="M82" s="33">
        <v>25.560002000000001</v>
      </c>
      <c r="N82" s="34">
        <v>1.2398234428641399</v>
      </c>
      <c r="O82" s="34">
        <v>1.2371344131525399</v>
      </c>
      <c r="P82" s="34">
        <v>1.2385967523913399</v>
      </c>
      <c r="Q82" s="34">
        <v>1.23707198084402</v>
      </c>
      <c r="R82" s="33">
        <v>25.225170684180299</v>
      </c>
      <c r="S82" s="33">
        <v>25.245401439796002</v>
      </c>
      <c r="T82" s="33">
        <v>25.223918002674498</v>
      </c>
      <c r="U82" s="15">
        <v>-2.1712365928822199E-3</v>
      </c>
      <c r="V82" s="15">
        <v>-1.3695513395644201E-3</v>
      </c>
      <c r="W82" s="15">
        <v>-2.2208978073348499E-3</v>
      </c>
      <c r="X82" s="34">
        <v>1.2357886492144501</v>
      </c>
      <c r="Y82" s="34">
        <v>1.2358474847357901</v>
      </c>
      <c r="Z82" s="34">
        <v>1.2354602998687001</v>
      </c>
      <c r="AA82" s="34">
        <v>1.2357045279888299</v>
      </c>
      <c r="AB82" s="33">
        <v>25.561218903913002</v>
      </c>
      <c r="AC82" s="33">
        <v>25.552670138420201</v>
      </c>
      <c r="AD82" s="33">
        <v>25.558142514444199</v>
      </c>
      <c r="AE82" s="15">
        <v>4.7608562228161998E-5</v>
      </c>
      <c r="AF82" s="15">
        <v>-2.8689017119491402E-4</v>
      </c>
      <c r="AG82" s="15">
        <v>-7.2752466827798596E-5</v>
      </c>
      <c r="AI82" s="12"/>
      <c r="AJ82">
        <f t="shared" si="6"/>
        <v>0</v>
      </c>
      <c r="AK82">
        <f t="shared" si="7"/>
        <v>1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1.9417481829103801E-3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1.18506828010929E-3</v>
      </c>
      <c r="BE82" s="29">
        <f t="shared" si="22"/>
        <v>0</v>
      </c>
      <c r="BF82" s="29">
        <f t="shared" si="23"/>
        <v>3.1268164630196701E-3</v>
      </c>
      <c r="BH82" s="29"/>
    </row>
    <row r="83" spans="1:60" x14ac:dyDescent="0.25">
      <c r="A83" s="1">
        <v>46142</v>
      </c>
      <c r="B83" s="33">
        <v>20.420000000000002</v>
      </c>
      <c r="C83" s="33">
        <v>25.31</v>
      </c>
      <c r="D83" s="15">
        <v>1.47022815015563E-3</v>
      </c>
      <c r="E83" s="15">
        <v>1.1860052783758501E-3</v>
      </c>
      <c r="F83" s="33">
        <v>0</v>
      </c>
      <c r="G83" s="33">
        <v>0.29314999999999902</v>
      </c>
      <c r="H83" s="33">
        <v>0</v>
      </c>
      <c r="I83" s="33">
        <v>0.28000199999999997</v>
      </c>
      <c r="J83" s="33">
        <v>0.29314999999999902</v>
      </c>
      <c r="K83" s="33">
        <v>0.28000199999999997</v>
      </c>
      <c r="L83" s="33">
        <v>20.713149999999999</v>
      </c>
      <c r="M83" s="33">
        <v>25.590001999999998</v>
      </c>
      <c r="N83" s="34">
        <v>1.2394711067580799</v>
      </c>
      <c r="O83" s="34">
        <v>1.2371344131525399</v>
      </c>
      <c r="P83" s="34">
        <v>1.239080448433</v>
      </c>
      <c r="Q83" s="34">
        <v>1.2372491583062499</v>
      </c>
      <c r="R83" s="33">
        <v>25.2622847165749</v>
      </c>
      <c r="S83" s="33">
        <v>25.292145683831102</v>
      </c>
      <c r="T83" s="33">
        <v>25.261009848834998</v>
      </c>
      <c r="U83" s="15">
        <v>-1.8870137211024699E-3</v>
      </c>
      <c r="V83" s="15">
        <v>-7.0567430169088396E-4</v>
      </c>
      <c r="W83" s="15">
        <v>-1.9374802534675201E-3</v>
      </c>
      <c r="X83" s="34">
        <v>1.2354471434813099</v>
      </c>
      <c r="Y83" s="34">
        <v>1.2358474847357901</v>
      </c>
      <c r="Z83" s="34">
        <v>1.23550054749644</v>
      </c>
      <c r="AA83" s="34">
        <v>1.23566060033828</v>
      </c>
      <c r="AB83" s="33">
        <v>25.598294328455101</v>
      </c>
      <c r="AC83" s="33">
        <v>25.590274510225498</v>
      </c>
      <c r="AD83" s="33">
        <v>25.595333243911998</v>
      </c>
      <c r="AE83" s="15">
        <v>3.2399314384166201E-4</v>
      </c>
      <c r="AF83" s="15">
        <v>1.0649032952050299E-5</v>
      </c>
      <c r="AG83" s="15">
        <v>2.0831138082325E-4</v>
      </c>
      <c r="AI83" s="12"/>
      <c r="AJ83">
        <f t="shared" si="6"/>
        <v>0</v>
      </c>
      <c r="AK83">
        <f t="shared" si="7"/>
        <v>1</v>
      </c>
      <c r="AL83">
        <f t="shared" si="14"/>
        <v>0</v>
      </c>
      <c r="AM83">
        <f t="shared" si="4"/>
        <v>0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1.9417481829103801E-3</v>
      </c>
      <c r="AT83" s="12"/>
      <c r="AU83">
        <f t="shared" si="10"/>
        <v>0</v>
      </c>
      <c r="AV83">
        <f t="shared" si="11"/>
        <v>0</v>
      </c>
      <c r="AW83">
        <f t="shared" si="18"/>
        <v>0</v>
      </c>
      <c r="AX83">
        <f t="shared" si="5"/>
        <v>0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1.18506828010929E-3</v>
      </c>
      <c r="BE83" s="29">
        <f t="shared" si="22"/>
        <v>0</v>
      </c>
      <c r="BF83" s="29">
        <f t="shared" si="23"/>
        <v>3.1268164630196701E-3</v>
      </c>
      <c r="BH83" s="29"/>
    </row>
    <row r="84" spans="1:60" x14ac:dyDescent="0.25">
      <c r="A84" s="1">
        <v>46143</v>
      </c>
      <c r="B84" s="33">
        <v>20.43</v>
      </c>
      <c r="C84" s="33">
        <v>25.22</v>
      </c>
      <c r="D84" s="15">
        <v>4.8959609301108702E-4</v>
      </c>
      <c r="E84" s="15">
        <v>-3.5622440202592001E-3</v>
      </c>
      <c r="F84" s="33">
        <v>0</v>
      </c>
      <c r="G84" s="33">
        <v>0.29314999999999902</v>
      </c>
      <c r="H84" s="33">
        <v>9.3645000000000006E-2</v>
      </c>
      <c r="I84" s="33">
        <v>0.37364699999999901</v>
      </c>
      <c r="J84" s="33">
        <v>0.29314999999999902</v>
      </c>
      <c r="K84" s="33">
        <v>0.37364699999999901</v>
      </c>
      <c r="L84" s="33">
        <v>20.72315</v>
      </c>
      <c r="M84" s="33">
        <v>25.593646999999901</v>
      </c>
      <c r="N84" s="34">
        <v>1.2344591287322499</v>
      </c>
      <c r="O84" s="34">
        <v>1.2371344131525399</v>
      </c>
      <c r="P84" s="34">
        <v>1.23904852399497</v>
      </c>
      <c r="Q84" s="34">
        <v>1.2372117235448199</v>
      </c>
      <c r="R84" s="33">
        <v>25.274656060706398</v>
      </c>
      <c r="S84" s="33">
        <v>25.314413561486202</v>
      </c>
      <c r="T84" s="33">
        <v>25.2770003041968</v>
      </c>
      <c r="U84" s="15">
        <v>2.1648263921678801E-3</v>
      </c>
      <c r="V84" s="15">
        <v>3.7366089634519898E-3</v>
      </c>
      <c r="W84" s="15">
        <v>2.2575728483924299E-3</v>
      </c>
      <c r="X84" s="34">
        <v>1.23502686608937</v>
      </c>
      <c r="Y84" s="34">
        <v>1.2358474847357901</v>
      </c>
      <c r="Z84" s="34">
        <v>1.2354845569069299</v>
      </c>
      <c r="AA84" s="34">
        <v>1.2356312819075601</v>
      </c>
      <c r="AB84" s="33">
        <v>25.610652803302401</v>
      </c>
      <c r="AC84" s="33">
        <v>25.603463170850802</v>
      </c>
      <c r="AD84" s="33">
        <v>25.606779969900199</v>
      </c>
      <c r="AE84" s="15">
        <v>6.6423343324982498E-4</v>
      </c>
      <c r="AF84" s="15">
        <v>3.8346582212881001E-4</v>
      </c>
      <c r="AG84" s="15">
        <v>5.1300236992042603E-4</v>
      </c>
      <c r="AI84" s="12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1.9417481829103801E-3</v>
      </c>
      <c r="AT84" s="12"/>
      <c r="AU84">
        <f t="shared" si="10"/>
        <v>0</v>
      </c>
      <c r="AV84">
        <f t="shared" si="11"/>
        <v>0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1.18506828010929E-3</v>
      </c>
      <c r="BE84" s="29">
        <f t="shared" si="22"/>
        <v>0</v>
      </c>
      <c r="BF84" s="29">
        <f t="shared" si="23"/>
        <v>3.1268164630196701E-3</v>
      </c>
      <c r="BH84" s="29"/>
    </row>
    <row r="85" spans="1:60" x14ac:dyDescent="0.25">
      <c r="A85" s="1">
        <v>46146</v>
      </c>
      <c r="B85" s="33">
        <v>20.41</v>
      </c>
      <c r="C85" s="33">
        <v>25.21</v>
      </c>
      <c r="D85" s="15">
        <v>-9.7943200777723493E-4</v>
      </c>
      <c r="E85" s="15">
        <v>-3.9658933694493E-4</v>
      </c>
      <c r="F85" s="33">
        <v>0</v>
      </c>
      <c r="G85" s="33">
        <v>0.29314999999999902</v>
      </c>
      <c r="H85" s="33">
        <v>0</v>
      </c>
      <c r="I85" s="33">
        <v>0.37364699999999901</v>
      </c>
      <c r="J85" s="33">
        <v>0.29314999999999902</v>
      </c>
      <c r="K85" s="33">
        <v>0.37364699999999901</v>
      </c>
      <c r="L85" s="33">
        <v>20.703150000000001</v>
      </c>
      <c r="M85" s="33">
        <v>25.583646999999999</v>
      </c>
      <c r="N85" s="34">
        <v>1.2351788339049401</v>
      </c>
      <c r="O85" s="34">
        <v>1.2371344131525399</v>
      </c>
      <c r="P85" s="34">
        <v>1.2386661141303299</v>
      </c>
      <c r="Q85" s="34">
        <v>1.23719876117742</v>
      </c>
      <c r="R85" s="33">
        <v>25.249913372443402</v>
      </c>
      <c r="S85" s="33">
        <v>25.288980374737399</v>
      </c>
      <c r="T85" s="33">
        <v>25.251491277549899</v>
      </c>
      <c r="U85" s="15">
        <v>1.58198372133548E-3</v>
      </c>
      <c r="V85" s="15">
        <v>3.12800133980008E-3</v>
      </c>
      <c r="W85" s="15">
        <v>1.64447327456468E-3</v>
      </c>
      <c r="X85" s="34">
        <v>1.2357369289214399</v>
      </c>
      <c r="Y85" s="34">
        <v>1.2358474847357901</v>
      </c>
      <c r="Z85" s="34">
        <v>1.235558915963</v>
      </c>
      <c r="AA85" s="34">
        <v>1.23562605672133</v>
      </c>
      <c r="AB85" s="33">
        <v>25.585935853607701</v>
      </c>
      <c r="AC85" s="33">
        <v>25.5784221043277</v>
      </c>
      <c r="AD85" s="33">
        <v>25.581459774024601</v>
      </c>
      <c r="AE85" s="15">
        <v>8.9461491834161197E-5</v>
      </c>
      <c r="AF85" s="15">
        <v>-2.0424880314119699E-4</v>
      </c>
      <c r="AG85" s="15">
        <v>-8.5496781480890195E-5</v>
      </c>
      <c r="AI85" s="12"/>
      <c r="AJ85">
        <f t="shared" si="6"/>
        <v>0</v>
      </c>
      <c r="AK85">
        <f t="shared" si="7"/>
        <v>1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1.9417481829103801E-3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1.18506828010929E-3</v>
      </c>
      <c r="BE85" s="29">
        <f t="shared" si="22"/>
        <v>0</v>
      </c>
      <c r="BF85" s="29">
        <f t="shared" si="23"/>
        <v>3.1268164630196701E-3</v>
      </c>
      <c r="BH85" s="29"/>
    </row>
    <row r="86" spans="1:60" x14ac:dyDescent="0.25">
      <c r="A86" s="1">
        <v>46147</v>
      </c>
      <c r="B86" s="33">
        <v>20.41</v>
      </c>
      <c r="C86" s="33">
        <v>25.22</v>
      </c>
      <c r="D86" s="15">
        <v>0</v>
      </c>
      <c r="E86" s="15">
        <v>3.9658933694489699E-4</v>
      </c>
      <c r="F86" s="33">
        <v>0</v>
      </c>
      <c r="G86" s="33">
        <v>0.29314999999999902</v>
      </c>
      <c r="H86" s="33">
        <v>0</v>
      </c>
      <c r="I86" s="33">
        <v>0.37364699999999901</v>
      </c>
      <c r="J86" s="33">
        <v>0.29314999999999902</v>
      </c>
      <c r="K86" s="33">
        <v>0.37364699999999901</v>
      </c>
      <c r="L86" s="33">
        <v>20.703150000000001</v>
      </c>
      <c r="M86" s="33">
        <v>25.593646999999901</v>
      </c>
      <c r="N86" s="34">
        <v>1.23566878980891</v>
      </c>
      <c r="O86" s="34">
        <v>1.2371344131525399</v>
      </c>
      <c r="P86" s="34">
        <v>1.23839549922968</v>
      </c>
      <c r="Q86" s="34">
        <v>1.23722180946982</v>
      </c>
      <c r="R86" s="33">
        <v>25.249913372443402</v>
      </c>
      <c r="S86" s="33">
        <v>25.2811753894002</v>
      </c>
      <c r="T86" s="33">
        <v>25.251226715631098</v>
      </c>
      <c r="U86" s="15">
        <v>1.1853943843906901E-3</v>
      </c>
      <c r="V86" s="15">
        <v>2.42273249490097E-3</v>
      </c>
      <c r="W86" s="15">
        <v>1.23740680176371E-3</v>
      </c>
      <c r="X86" s="34">
        <v>1.2362199472061</v>
      </c>
      <c r="Y86" s="34">
        <v>1.2358474847357901</v>
      </c>
      <c r="Z86" s="34">
        <v>1.23574406831168</v>
      </c>
      <c r="AA86" s="34">
        <v>1.2356563923464501</v>
      </c>
      <c r="AB86" s="33">
        <v>25.585935853607701</v>
      </c>
      <c r="AC86" s="33">
        <v>25.579961571019499</v>
      </c>
      <c r="AD86" s="33">
        <v>25.581351596210201</v>
      </c>
      <c r="AE86" s="15">
        <v>-3.0133682303053801E-4</v>
      </c>
      <c r="AF86" s="15">
        <v>-5.3486278137639999E-4</v>
      </c>
      <c r="AG86" s="15">
        <v>-4.8052386374629498E-4</v>
      </c>
      <c r="AI86" s="12"/>
      <c r="AJ86">
        <f t="shared" ref="AJ86:AJ149" si="26">IF($AG86&lt;AI$21,1,0)</f>
        <v>0</v>
      </c>
      <c r="AK86">
        <f t="shared" ref="AK86:AK149" si="27">IF($AG86&gt;AI$22,1,0)</f>
        <v>0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1.9417481829103801E-3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1.18506828010929E-3</v>
      </c>
      <c r="BE86" s="29">
        <f t="shared" si="22"/>
        <v>0</v>
      </c>
      <c r="BF86" s="29">
        <f t="shared" si="23"/>
        <v>3.1268164630196701E-3</v>
      </c>
      <c r="BH86" s="29"/>
    </row>
    <row r="87" spans="1:60" x14ac:dyDescent="0.25">
      <c r="A87" s="1">
        <v>46148</v>
      </c>
      <c r="B87" s="33">
        <v>20.45</v>
      </c>
      <c r="C87" s="33">
        <v>25.25</v>
      </c>
      <c r="D87" s="15">
        <v>1.9579056670571901E-3</v>
      </c>
      <c r="E87" s="15">
        <v>1.1888251845953201E-3</v>
      </c>
      <c r="F87" s="33">
        <v>0</v>
      </c>
      <c r="G87" s="33">
        <v>0.29314999999999902</v>
      </c>
      <c r="H87" s="33">
        <v>0</v>
      </c>
      <c r="I87" s="33">
        <v>0.37364699999999901</v>
      </c>
      <c r="J87" s="33">
        <v>0.29314999999999902</v>
      </c>
      <c r="K87" s="33">
        <v>0.37364699999999901</v>
      </c>
      <c r="L87" s="33">
        <v>20.74315</v>
      </c>
      <c r="M87" s="33">
        <v>25.623646999999998</v>
      </c>
      <c r="N87" s="34">
        <v>1.2347188264058599</v>
      </c>
      <c r="O87" s="34">
        <v>1.2371344131525399</v>
      </c>
      <c r="P87" s="34">
        <v>1.2378830451106</v>
      </c>
      <c r="Q87" s="34">
        <v>1.2371786696561899</v>
      </c>
      <c r="R87" s="33">
        <v>25.299398748969502</v>
      </c>
      <c r="S87" s="33">
        <v>25.325187959247</v>
      </c>
      <c r="T87" s="33">
        <v>25.301186003657801</v>
      </c>
      <c r="U87" s="15">
        <v>1.95447486685242E-3</v>
      </c>
      <c r="V87" s="15">
        <v>2.97331627120739E-3</v>
      </c>
      <c r="W87" s="15">
        <v>2.0251165283212201E-3</v>
      </c>
      <c r="X87" s="34">
        <v>1.23528234622031</v>
      </c>
      <c r="Y87" s="34">
        <v>1.2358474847357901</v>
      </c>
      <c r="Z87" s="34">
        <v>1.23569069492527</v>
      </c>
      <c r="AA87" s="34">
        <v>1.2356213665281499</v>
      </c>
      <c r="AB87" s="33">
        <v>25.6353697529972</v>
      </c>
      <c r="AC87" s="33">
        <v>25.633224570599399</v>
      </c>
      <c r="AD87" s="33">
        <v>25.631405894901398</v>
      </c>
      <c r="AE87" s="15">
        <v>4.5739282351344801E-4</v>
      </c>
      <c r="AF87" s="15">
        <v>3.7370875035766901E-4</v>
      </c>
      <c r="AG87" s="15">
        <v>3.0275629513410699E-4</v>
      </c>
      <c r="AI87" s="12"/>
      <c r="AJ87">
        <f t="shared" si="26"/>
        <v>0</v>
      </c>
      <c r="AK87">
        <f t="shared" si="27"/>
        <v>1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1.9417481829103801E-3</v>
      </c>
      <c r="AT87" s="12"/>
      <c r="AU87">
        <f t="shared" si="30"/>
        <v>0</v>
      </c>
      <c r="AV87">
        <f t="shared" si="31"/>
        <v>0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1.18506828010929E-3</v>
      </c>
      <c r="BE87" s="29">
        <f t="shared" ref="BE87:BE150" si="42">AQ87+BB87</f>
        <v>0</v>
      </c>
      <c r="BF87" s="29">
        <f t="shared" ref="BF87:BF150" si="43">BF86+BE87</f>
        <v>3.1268164630196701E-3</v>
      </c>
      <c r="BH87" s="29"/>
    </row>
    <row r="88" spans="1:60" x14ac:dyDescent="0.25">
      <c r="A88" s="1">
        <v>46149</v>
      </c>
      <c r="B88" s="33">
        <v>20.43</v>
      </c>
      <c r="C88" s="33">
        <v>25.24</v>
      </c>
      <c r="D88" s="15">
        <v>-9.7847365928000005E-4</v>
      </c>
      <c r="E88" s="15">
        <v>-3.9611804835653502E-4</v>
      </c>
      <c r="F88" s="33">
        <v>0</v>
      </c>
      <c r="G88" s="33">
        <v>0.29314999999999902</v>
      </c>
      <c r="H88" s="33">
        <v>0</v>
      </c>
      <c r="I88" s="33">
        <v>0.37364699999999901</v>
      </c>
      <c r="J88" s="33">
        <v>0.29314999999999902</v>
      </c>
      <c r="K88" s="33">
        <v>0.37364699999999901</v>
      </c>
      <c r="L88" s="33">
        <v>20.72315</v>
      </c>
      <c r="M88" s="33">
        <v>25.613646999999901</v>
      </c>
      <c r="N88" s="34">
        <v>1.2354380812530501</v>
      </c>
      <c r="O88" s="34">
        <v>1.2371344131525399</v>
      </c>
      <c r="P88" s="34">
        <v>1.2374425164762399</v>
      </c>
      <c r="Q88" s="34">
        <v>1.2371528209098599</v>
      </c>
      <c r="R88" s="33">
        <v>25.274656060706398</v>
      </c>
      <c r="S88" s="33">
        <v>25.289950611609601</v>
      </c>
      <c r="T88" s="33">
        <v>25.275560221076098</v>
      </c>
      <c r="U88" s="15">
        <v>1.37211925592883E-3</v>
      </c>
      <c r="V88" s="15">
        <v>1.9770701247728301E-3</v>
      </c>
      <c r="W88" s="15">
        <v>1.4078920156213399E-3</v>
      </c>
      <c r="X88" s="34">
        <v>1.23599197033269</v>
      </c>
      <c r="Y88" s="34">
        <v>1.2358474847357901</v>
      </c>
      <c r="Z88" s="34">
        <v>1.2357082839501099</v>
      </c>
      <c r="AA88" s="34">
        <v>1.2356033583864601</v>
      </c>
      <c r="AB88" s="33">
        <v>25.610652803302401</v>
      </c>
      <c r="AC88" s="33">
        <v>25.607403624540801</v>
      </c>
      <c r="AD88" s="33">
        <v>25.605966921767902</v>
      </c>
      <c r="AE88" s="15">
        <v>-1.16905324715466E-4</v>
      </c>
      <c r="AF88" s="15">
        <v>-2.4378162548337E-4</v>
      </c>
      <c r="AG88" s="15">
        <v>-2.9988817570398901E-4</v>
      </c>
      <c r="AI88" s="12"/>
      <c r="AJ88">
        <f t="shared" si="26"/>
        <v>0</v>
      </c>
      <c r="AK88">
        <f t="shared" si="27"/>
        <v>0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1.9417481829103801E-3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1.18506828010929E-3</v>
      </c>
      <c r="BE88" s="29">
        <f t="shared" si="42"/>
        <v>0</v>
      </c>
      <c r="BF88" s="29">
        <f t="shared" si="43"/>
        <v>3.1268164630196701E-3</v>
      </c>
      <c r="BH88" s="29"/>
    </row>
    <row r="89" spans="1:60" x14ac:dyDescent="0.25">
      <c r="A89" s="1">
        <v>46150</v>
      </c>
      <c r="B89" s="33">
        <v>20.45</v>
      </c>
      <c r="C89" s="33">
        <v>25.27</v>
      </c>
      <c r="D89" s="15">
        <v>9.7847365928014404E-4</v>
      </c>
      <c r="E89" s="15">
        <v>1.1878837270904101E-3</v>
      </c>
      <c r="F89" s="33">
        <v>0</v>
      </c>
      <c r="G89" s="33">
        <v>0.29314999999999902</v>
      </c>
      <c r="H89" s="33">
        <v>0</v>
      </c>
      <c r="I89" s="33">
        <v>0.37364699999999901</v>
      </c>
      <c r="J89" s="33">
        <v>0.29314999999999902</v>
      </c>
      <c r="K89" s="33">
        <v>0.37364699999999901</v>
      </c>
      <c r="L89" s="33">
        <v>20.74315</v>
      </c>
      <c r="M89" s="33">
        <v>25.643646999999898</v>
      </c>
      <c r="N89" s="34">
        <v>1.2356968215158901</v>
      </c>
      <c r="O89" s="34">
        <v>1.2371344131525399</v>
      </c>
      <c r="P89" s="34">
        <v>1.2370024186767301</v>
      </c>
      <c r="Q89" s="34">
        <v>1.2371341429240701</v>
      </c>
      <c r="R89" s="33">
        <v>25.299398748969502</v>
      </c>
      <c r="S89" s="33">
        <v>25.305699461939099</v>
      </c>
      <c r="T89" s="33">
        <v>25.299775187606599</v>
      </c>
      <c r="U89" s="15">
        <v>1.1627091881183901E-3</v>
      </c>
      <c r="V89" s="15">
        <v>1.4117241381896501E-3</v>
      </c>
      <c r="W89" s="15">
        <v>1.1775884285431101E-3</v>
      </c>
      <c r="X89" s="34">
        <v>1.23624651993549</v>
      </c>
      <c r="Y89" s="34">
        <v>1.2358474847357901</v>
      </c>
      <c r="Z89" s="34">
        <v>1.23572585601607</v>
      </c>
      <c r="AA89" s="34">
        <v>1.23559236318729</v>
      </c>
      <c r="AB89" s="33">
        <v>25.6353697529972</v>
      </c>
      <c r="AC89" s="33">
        <v>25.632482290219802</v>
      </c>
      <c r="AD89" s="33">
        <v>25.630305803514201</v>
      </c>
      <c r="AE89" s="15">
        <v>-3.2283173893700201E-4</v>
      </c>
      <c r="AF89" s="15">
        <v>-4.3547397633847401E-4</v>
      </c>
      <c r="AG89" s="15">
        <v>-5.2038885466595302E-4</v>
      </c>
      <c r="AI89" s="12"/>
      <c r="AJ89">
        <f t="shared" si="26"/>
        <v>0</v>
      </c>
      <c r="AK89">
        <f t="shared" si="27"/>
        <v>0</v>
      </c>
      <c r="AL89">
        <f t="shared" si="34"/>
        <v>0</v>
      </c>
      <c r="AM89">
        <f t="shared" si="24"/>
        <v>1</v>
      </c>
      <c r="AN89">
        <f t="shared" si="35"/>
        <v>0</v>
      </c>
      <c r="AO89" s="28">
        <f t="shared" si="28"/>
        <v>0</v>
      </c>
      <c r="AP89" s="28">
        <f t="shared" si="29"/>
        <v>0</v>
      </c>
      <c r="AQ89" s="28">
        <f t="shared" si="36"/>
        <v>0</v>
      </c>
      <c r="AR89" s="29">
        <f t="shared" si="37"/>
        <v>1.9417481829103801E-3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1.18506828010929E-3</v>
      </c>
      <c r="BE89" s="29">
        <f t="shared" si="42"/>
        <v>0</v>
      </c>
      <c r="BF89" s="29">
        <f t="shared" si="43"/>
        <v>3.1268164630196701E-3</v>
      </c>
      <c r="BH89" s="29"/>
    </row>
    <row r="90" spans="1:60" x14ac:dyDescent="0.25">
      <c r="A90" s="1">
        <v>46153</v>
      </c>
      <c r="B90" s="33">
        <v>20.43</v>
      </c>
      <c r="C90" s="33">
        <v>25.24</v>
      </c>
      <c r="D90" s="15">
        <v>-9.7847365928000005E-4</v>
      </c>
      <c r="E90" s="15">
        <v>-1.1878837270904599E-3</v>
      </c>
      <c r="F90" s="33">
        <v>0</v>
      </c>
      <c r="G90" s="33">
        <v>0.29314999999999902</v>
      </c>
      <c r="H90" s="33">
        <v>0</v>
      </c>
      <c r="I90" s="33">
        <v>0.37364699999999901</v>
      </c>
      <c r="J90" s="33">
        <v>0.29314999999999902</v>
      </c>
      <c r="K90" s="33">
        <v>0.37364699999999901</v>
      </c>
      <c r="L90" s="33">
        <v>20.72315</v>
      </c>
      <c r="M90" s="33">
        <v>25.613646999999901</v>
      </c>
      <c r="N90" s="34">
        <v>1.2354380812530501</v>
      </c>
      <c r="O90" s="34">
        <v>1.2371344131525399</v>
      </c>
      <c r="P90" s="34">
        <v>1.23652470038325</v>
      </c>
      <c r="Q90" s="34">
        <v>1.2371140547992201</v>
      </c>
      <c r="R90" s="33">
        <v>25.274656060706398</v>
      </c>
      <c r="S90" s="33">
        <v>25.2719594135656</v>
      </c>
      <c r="T90" s="33">
        <v>25.274650539938701</v>
      </c>
      <c r="U90" s="15">
        <v>1.37211925592883E-3</v>
      </c>
      <c r="V90" s="15">
        <v>1.26541984121537E-3</v>
      </c>
      <c r="W90" s="15">
        <v>1.3719008249333E-3</v>
      </c>
      <c r="X90" s="34">
        <v>1.23599197033269</v>
      </c>
      <c r="Y90" s="34">
        <v>1.2358474847357901</v>
      </c>
      <c r="Z90" s="34">
        <v>1.23570658696965</v>
      </c>
      <c r="AA90" s="34">
        <v>1.2355800640619099</v>
      </c>
      <c r="AB90" s="33">
        <v>25.610652803302401</v>
      </c>
      <c r="AC90" s="33">
        <v>25.6081322730994</v>
      </c>
      <c r="AD90" s="33">
        <v>25.605365881184799</v>
      </c>
      <c r="AE90" s="15">
        <v>-1.16905324715466E-4</v>
      </c>
      <c r="AF90" s="15">
        <v>-2.1532742517262399E-4</v>
      </c>
      <c r="AG90" s="15">
        <v>-3.2336112788786402E-4</v>
      </c>
      <c r="AI90" s="12"/>
      <c r="AJ90">
        <f t="shared" si="26"/>
        <v>0</v>
      </c>
      <c r="AK90">
        <f t="shared" si="27"/>
        <v>0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1.9417481829103801E-3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1.18506828010929E-3</v>
      </c>
      <c r="BE90" s="29">
        <f t="shared" si="42"/>
        <v>0</v>
      </c>
      <c r="BF90" s="29">
        <f t="shared" si="43"/>
        <v>3.1268164630196701E-3</v>
      </c>
      <c r="BH90" s="29"/>
    </row>
    <row r="91" spans="1:60" x14ac:dyDescent="0.25">
      <c r="A91" s="1">
        <v>46154</v>
      </c>
      <c r="B91" s="33">
        <v>20.41</v>
      </c>
      <c r="C91" s="33">
        <v>25.23</v>
      </c>
      <c r="D91" s="15">
        <v>-9.7943200777723493E-4</v>
      </c>
      <c r="E91" s="15">
        <v>-3.9627502004590799E-4</v>
      </c>
      <c r="F91" s="33">
        <v>0</v>
      </c>
      <c r="G91" s="33">
        <v>0.29314999999999902</v>
      </c>
      <c r="H91" s="33">
        <v>0</v>
      </c>
      <c r="I91" s="33">
        <v>0.37364699999999901</v>
      </c>
      <c r="J91" s="33">
        <v>0.29314999999999902</v>
      </c>
      <c r="K91" s="33">
        <v>0.37364699999999901</v>
      </c>
      <c r="L91" s="33">
        <v>20.703150000000001</v>
      </c>
      <c r="M91" s="33">
        <v>25.603646999999999</v>
      </c>
      <c r="N91" s="34">
        <v>1.23615874571288</v>
      </c>
      <c r="O91" s="34">
        <v>1.2371344131525399</v>
      </c>
      <c r="P91" s="34">
        <v>1.23620518582091</v>
      </c>
      <c r="Q91" s="34">
        <v>1.2371658945238899</v>
      </c>
      <c r="R91" s="33">
        <v>25.249913372443402</v>
      </c>
      <c r="S91" s="33">
        <v>25.237469134822099</v>
      </c>
      <c r="T91" s="33">
        <v>25.249497858452099</v>
      </c>
      <c r="U91" s="15">
        <v>7.8896226819771299E-4</v>
      </c>
      <c r="V91" s="15">
        <v>2.9599799651978698E-4</v>
      </c>
      <c r="W91" s="15">
        <v>7.7250607668481004E-4</v>
      </c>
      <c r="X91" s="34">
        <v>1.23670296549075</v>
      </c>
      <c r="Y91" s="34">
        <v>1.2358474847357901</v>
      </c>
      <c r="Z91" s="34">
        <v>1.23584353072246</v>
      </c>
      <c r="AA91" s="34">
        <v>1.2356388475856499</v>
      </c>
      <c r="AB91" s="33">
        <v>25.585935853607701</v>
      </c>
      <c r="AC91" s="33">
        <v>25.583018826020801</v>
      </c>
      <c r="AD91" s="33">
        <v>25.580399403283401</v>
      </c>
      <c r="AE91" s="15">
        <v>-6.9198247423129405E-4</v>
      </c>
      <c r="AF91" s="15">
        <v>-8.0599799822679205E-4</v>
      </c>
      <c r="AG91" s="15">
        <v>-9.0839235850890805E-4</v>
      </c>
      <c r="AI91" s="12"/>
      <c r="AJ91">
        <f t="shared" si="26"/>
        <v>0</v>
      </c>
      <c r="AK91">
        <f t="shared" si="27"/>
        <v>0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1.9417481829103801E-3</v>
      </c>
      <c r="AT91" s="12"/>
      <c r="AU91">
        <f t="shared" si="30"/>
        <v>0</v>
      </c>
      <c r="AV91">
        <f t="shared" si="31"/>
        <v>1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1.18506828010929E-3</v>
      </c>
      <c r="BE91" s="29">
        <f t="shared" si="42"/>
        <v>0</v>
      </c>
      <c r="BF91" s="29">
        <f t="shared" si="43"/>
        <v>3.1268164630196701E-3</v>
      </c>
      <c r="BH91" s="29"/>
    </row>
    <row r="92" spans="1:60" x14ac:dyDescent="0.25">
      <c r="A92" s="1">
        <v>46155</v>
      </c>
      <c r="B92" s="33">
        <v>20.440000000000001</v>
      </c>
      <c r="C92" s="33">
        <v>25.23</v>
      </c>
      <c r="D92" s="15">
        <v>1.4687885137503701E-3</v>
      </c>
      <c r="E92" s="15">
        <v>0</v>
      </c>
      <c r="F92" s="33">
        <v>0</v>
      </c>
      <c r="G92" s="33">
        <v>0.29314999999999902</v>
      </c>
      <c r="H92" s="33">
        <v>0</v>
      </c>
      <c r="I92" s="33">
        <v>0.37364699999999901</v>
      </c>
      <c r="J92" s="33">
        <v>0.29314999999999902</v>
      </c>
      <c r="K92" s="33">
        <v>0.37364699999999901</v>
      </c>
      <c r="L92" s="33">
        <v>20.733149999999998</v>
      </c>
      <c r="M92" s="33">
        <v>25.603646999999999</v>
      </c>
      <c r="N92" s="34">
        <v>1.23434442270058</v>
      </c>
      <c r="O92" s="34">
        <v>1.2371344131525399</v>
      </c>
      <c r="P92" s="34">
        <v>1.2356572838045501</v>
      </c>
      <c r="Q92" s="34">
        <v>1.2371270180979399</v>
      </c>
      <c r="R92" s="33">
        <v>25.287027404838</v>
      </c>
      <c r="S92" s="33">
        <v>25.268033998179401</v>
      </c>
      <c r="T92" s="33">
        <v>25.287670884068302</v>
      </c>
      <c r="U92" s="15">
        <v>2.2577507819479098E-3</v>
      </c>
      <c r="V92" s="15">
        <v>1.5063558859635499E-3</v>
      </c>
      <c r="W92" s="15">
        <v>2.2831974678280799E-3</v>
      </c>
      <c r="X92" s="34">
        <v>1.2349135080776401</v>
      </c>
      <c r="Y92" s="34">
        <v>1.2358474847357901</v>
      </c>
      <c r="Z92" s="34">
        <v>1.23575601660878</v>
      </c>
      <c r="AA92" s="34">
        <v>1.2356081582387399</v>
      </c>
      <c r="AB92" s="33">
        <v>25.6230112781498</v>
      </c>
      <c r="AC92" s="33">
        <v>25.6229292989984</v>
      </c>
      <c r="AD92" s="33">
        <v>25.618685572820599</v>
      </c>
      <c r="AE92" s="15">
        <v>7.5602351287672198E-4</v>
      </c>
      <c r="AF92" s="15">
        <v>7.5282407306006399E-4</v>
      </c>
      <c r="AG92" s="15">
        <v>5.8718814615953802E-4</v>
      </c>
      <c r="AI92" s="12"/>
      <c r="AJ92">
        <f t="shared" si="26"/>
        <v>0</v>
      </c>
      <c r="AK92">
        <f t="shared" si="27"/>
        <v>1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1.9417481829103801E-3</v>
      </c>
      <c r="AT92" s="12"/>
      <c r="AU92">
        <f t="shared" si="30"/>
        <v>0</v>
      </c>
      <c r="AV92">
        <f t="shared" si="31"/>
        <v>0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1.18506828010929E-3</v>
      </c>
      <c r="BE92" s="29">
        <f t="shared" si="42"/>
        <v>0</v>
      </c>
      <c r="BF92" s="29">
        <f t="shared" si="43"/>
        <v>3.1268164630196701E-3</v>
      </c>
      <c r="BH92" s="29"/>
    </row>
    <row r="93" spans="1:60" x14ac:dyDescent="0.25">
      <c r="A93" s="1">
        <v>46156</v>
      </c>
      <c r="B93" s="33">
        <v>20.420000000000002</v>
      </c>
      <c r="C93" s="33">
        <v>25.23</v>
      </c>
      <c r="D93" s="15">
        <v>-9.7895259898415996E-4</v>
      </c>
      <c r="E93" s="15">
        <v>0</v>
      </c>
      <c r="F93" s="33">
        <v>0</v>
      </c>
      <c r="G93" s="33">
        <v>0.29314999999999902</v>
      </c>
      <c r="H93" s="33">
        <v>0</v>
      </c>
      <c r="I93" s="33">
        <v>0.37364699999999901</v>
      </c>
      <c r="J93" s="33">
        <v>0.29314999999999902</v>
      </c>
      <c r="K93" s="33">
        <v>0.37364699999999901</v>
      </c>
      <c r="L93" s="33">
        <v>20.713149999999999</v>
      </c>
      <c r="M93" s="33">
        <v>25.603646999999999</v>
      </c>
      <c r="N93" s="34">
        <v>1.2355533790401501</v>
      </c>
      <c r="O93" s="34">
        <v>1.2371344131525399</v>
      </c>
      <c r="P93" s="34">
        <v>1.2352655110327599</v>
      </c>
      <c r="Q93" s="34">
        <v>1.2371729797328801</v>
      </c>
      <c r="R93" s="33">
        <v>25.2622847165749</v>
      </c>
      <c r="S93" s="33">
        <v>25.232121735288999</v>
      </c>
      <c r="T93" s="33">
        <v>25.26213370956</v>
      </c>
      <c r="U93" s="15">
        <v>1.2787981829638299E-3</v>
      </c>
      <c r="V93" s="15">
        <v>8.4092194989267497E-5</v>
      </c>
      <c r="W93" s="15">
        <v>1.27282059748853E-3</v>
      </c>
      <c r="X93" s="34">
        <v>1.23610590373748</v>
      </c>
      <c r="Y93" s="34">
        <v>1.2358474847357901</v>
      </c>
      <c r="Z93" s="34">
        <v>1.2358218926344</v>
      </c>
      <c r="AA93" s="34">
        <v>1.23566122006542</v>
      </c>
      <c r="AB93" s="33">
        <v>25.598294328455101</v>
      </c>
      <c r="AC93" s="33">
        <v>25.596399735420199</v>
      </c>
      <c r="AD93" s="33">
        <v>25.593337122822799</v>
      </c>
      <c r="AE93" s="15">
        <v>-2.0908080535542701E-4</v>
      </c>
      <c r="AF93" s="15">
        <v>-2.8309601612703302E-4</v>
      </c>
      <c r="AG93" s="15">
        <v>-4.0275330639560301E-4</v>
      </c>
      <c r="AI93" s="12"/>
      <c r="AJ93">
        <f t="shared" si="26"/>
        <v>0</v>
      </c>
      <c r="AK93">
        <f t="shared" si="27"/>
        <v>0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1.9417481829103801E-3</v>
      </c>
      <c r="AT93" s="12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1.18506828010929E-3</v>
      </c>
      <c r="BE93" s="29">
        <f t="shared" si="42"/>
        <v>0</v>
      </c>
      <c r="BF93" s="29">
        <f t="shared" si="43"/>
        <v>3.1268164630196701E-3</v>
      </c>
      <c r="BH93" s="29"/>
    </row>
    <row r="94" spans="1:60" x14ac:dyDescent="0.25">
      <c r="A94" s="1">
        <v>46157</v>
      </c>
      <c r="B94" s="33">
        <v>20.41</v>
      </c>
      <c r="C94" s="33">
        <v>25.2</v>
      </c>
      <c r="D94" s="15">
        <v>-4.8983591476618803E-4</v>
      </c>
      <c r="E94" s="15">
        <v>-1.1897681355887901E-3</v>
      </c>
      <c r="F94" s="33">
        <v>0</v>
      </c>
      <c r="G94" s="33">
        <v>0.29314999999999902</v>
      </c>
      <c r="H94" s="33">
        <v>0</v>
      </c>
      <c r="I94" s="33">
        <v>0.37364699999999901</v>
      </c>
      <c r="J94" s="33">
        <v>0.29314999999999902</v>
      </c>
      <c r="K94" s="33">
        <v>0.37364699999999901</v>
      </c>
      <c r="L94" s="33">
        <v>20.703150000000001</v>
      </c>
      <c r="M94" s="33">
        <v>25.573646999999902</v>
      </c>
      <c r="N94" s="34">
        <v>1.2346888780009799</v>
      </c>
      <c r="O94" s="34">
        <v>1.2371344131525399</v>
      </c>
      <c r="P94" s="34">
        <v>1.23528848595963</v>
      </c>
      <c r="Q94" s="34">
        <v>1.2371685049773</v>
      </c>
      <c r="R94" s="33">
        <v>25.249913372443402</v>
      </c>
      <c r="S94" s="33">
        <v>25.211769080178598</v>
      </c>
      <c r="T94" s="33">
        <v>25.2507005163481</v>
      </c>
      <c r="U94" s="15">
        <v>1.97873040378654E-3</v>
      </c>
      <c r="V94" s="15">
        <v>4.6691796805606599E-4</v>
      </c>
      <c r="W94" s="15">
        <v>2.00990404086331E-3</v>
      </c>
      <c r="X94" s="34">
        <v>1.2352539106367799</v>
      </c>
      <c r="Y94" s="34">
        <v>1.2358474847357901</v>
      </c>
      <c r="Z94" s="34">
        <v>1.2358445970891401</v>
      </c>
      <c r="AA94" s="34">
        <v>1.2356645769980299</v>
      </c>
      <c r="AB94" s="33">
        <v>25.585935853607701</v>
      </c>
      <c r="AC94" s="33">
        <v>25.585406016493899</v>
      </c>
      <c r="AD94" s="33">
        <v>25.582079588197399</v>
      </c>
      <c r="AE94" s="15">
        <v>4.8041258973115198E-4</v>
      </c>
      <c r="AF94" s="15">
        <v>4.5970423640137798E-4</v>
      </c>
      <c r="AG94" s="15">
        <v>3.2968306135762899E-4</v>
      </c>
      <c r="AI94" s="12"/>
      <c r="AJ94">
        <f t="shared" si="26"/>
        <v>0</v>
      </c>
      <c r="AK94">
        <f t="shared" si="27"/>
        <v>1</v>
      </c>
      <c r="AL94">
        <f t="shared" si="34"/>
        <v>0</v>
      </c>
      <c r="AM94">
        <f t="shared" si="24"/>
        <v>0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1.9417481829103801E-3</v>
      </c>
      <c r="AT94" s="12"/>
      <c r="AU94">
        <f t="shared" si="30"/>
        <v>0</v>
      </c>
      <c r="AV94">
        <f t="shared" si="31"/>
        <v>0</v>
      </c>
      <c r="AW94">
        <f t="shared" si="38"/>
        <v>0</v>
      </c>
      <c r="AX94">
        <f t="shared" si="25"/>
        <v>0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1.18506828010929E-3</v>
      </c>
      <c r="BE94" s="29">
        <f t="shared" si="42"/>
        <v>0</v>
      </c>
      <c r="BF94" s="29">
        <f t="shared" si="43"/>
        <v>3.1268164630196701E-3</v>
      </c>
      <c r="BH94" s="29"/>
    </row>
    <row r="95" spans="1:60" x14ac:dyDescent="0.25">
      <c r="A95" s="1">
        <v>46160</v>
      </c>
      <c r="B95" s="33">
        <v>20.34</v>
      </c>
      <c r="C95" s="33">
        <v>25.21</v>
      </c>
      <c r="D95" s="15">
        <v>-3.4355862013395102E-3</v>
      </c>
      <c r="E95" s="15">
        <v>3.9674668245083202E-4</v>
      </c>
      <c r="F95" s="33">
        <v>7.6060000000000003E-2</v>
      </c>
      <c r="G95" s="33">
        <v>0.36920999999999998</v>
      </c>
      <c r="H95" s="33">
        <v>0</v>
      </c>
      <c r="I95" s="33">
        <v>0.37364699999999901</v>
      </c>
      <c r="J95" s="33">
        <v>0.36920999999999998</v>
      </c>
      <c r="K95" s="33">
        <v>0.37364699999999901</v>
      </c>
      <c r="L95" s="33">
        <v>20.709209999999999</v>
      </c>
      <c r="M95" s="33">
        <v>25.583646999999999</v>
      </c>
      <c r="N95" s="34">
        <v>1.2394296951818999</v>
      </c>
      <c r="O95" s="34">
        <v>1.2371344131525399</v>
      </c>
      <c r="P95" s="34">
        <v>1.23571357208733</v>
      </c>
      <c r="Q95" s="34">
        <v>1.23718984310883</v>
      </c>
      <c r="R95" s="33">
        <v>25.1633139635227</v>
      </c>
      <c r="S95" s="33">
        <v>25.125767804418899</v>
      </c>
      <c r="T95" s="33">
        <v>25.1640073912383</v>
      </c>
      <c r="U95" s="15">
        <v>-1.85360248000396E-3</v>
      </c>
      <c r="V95" s="15">
        <v>-3.3468159076568602E-3</v>
      </c>
      <c r="W95" s="15">
        <v>-1.82604576937382E-3</v>
      </c>
      <c r="X95" s="34">
        <v>1.2353753233464699</v>
      </c>
      <c r="Y95" s="34">
        <v>1.2358474847357901</v>
      </c>
      <c r="Z95" s="34">
        <v>1.23580843653164</v>
      </c>
      <c r="AA95" s="34">
        <v>1.23568367624732</v>
      </c>
      <c r="AB95" s="33">
        <v>25.593425089365201</v>
      </c>
      <c r="AC95" s="33">
        <v>25.593365288484399</v>
      </c>
      <c r="AD95" s="33">
        <v>25.5896372146135</v>
      </c>
      <c r="AE95" s="15">
        <v>3.8212774139123102E-4</v>
      </c>
      <c r="AF95" s="15">
        <v>3.7979116664597798E-4</v>
      </c>
      <c r="AG95" s="15">
        <v>2.34114918861427E-4</v>
      </c>
      <c r="AI95" s="12"/>
      <c r="AJ95">
        <f t="shared" si="26"/>
        <v>0</v>
      </c>
      <c r="AK95">
        <f t="shared" si="27"/>
        <v>1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1.9417481829103801E-3</v>
      </c>
      <c r="AT95" s="12"/>
      <c r="AU95">
        <f t="shared" si="30"/>
        <v>0</v>
      </c>
      <c r="AV95">
        <f t="shared" si="31"/>
        <v>0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1.18506828010929E-3</v>
      </c>
      <c r="BE95" s="29">
        <f t="shared" si="42"/>
        <v>0</v>
      </c>
      <c r="BF95" s="29">
        <f t="shared" si="43"/>
        <v>3.1268164630196701E-3</v>
      </c>
      <c r="BH95" s="29"/>
    </row>
    <row r="96" spans="1:60" x14ac:dyDescent="0.25">
      <c r="A96" s="1">
        <v>46161</v>
      </c>
      <c r="B96" s="33">
        <v>20.32</v>
      </c>
      <c r="C96" s="33">
        <v>25.2</v>
      </c>
      <c r="D96" s="15">
        <v>-9.8376791013272697E-4</v>
      </c>
      <c r="E96" s="15">
        <v>-3.9674668245091101E-4</v>
      </c>
      <c r="F96" s="33">
        <v>0</v>
      </c>
      <c r="G96" s="33">
        <v>0.36920999999999998</v>
      </c>
      <c r="H96" s="33">
        <v>0</v>
      </c>
      <c r="I96" s="33">
        <v>0.37364699999999901</v>
      </c>
      <c r="J96" s="33">
        <v>0.36920999999999998</v>
      </c>
      <c r="K96" s="33">
        <v>0.37364699999999901</v>
      </c>
      <c r="L96" s="33">
        <v>20.689209999999999</v>
      </c>
      <c r="M96" s="33">
        <v>25.573646999999902</v>
      </c>
      <c r="N96" s="34">
        <v>1.24015748031496</v>
      </c>
      <c r="O96" s="34">
        <v>1.2371344131525399</v>
      </c>
      <c r="P96" s="34">
        <v>1.2361624411379299</v>
      </c>
      <c r="Q96" s="34">
        <v>1.2372789701838001</v>
      </c>
      <c r="R96" s="33">
        <v>25.1385712752597</v>
      </c>
      <c r="S96" s="33">
        <v>25.109699784814499</v>
      </c>
      <c r="T96" s="33">
        <v>25.139697611971499</v>
      </c>
      <c r="U96" s="15">
        <v>-2.4406237076858598E-3</v>
      </c>
      <c r="V96" s="15">
        <v>-3.5897774203701499E-3</v>
      </c>
      <c r="W96" s="15">
        <v>-2.3958195910389899E-3</v>
      </c>
      <c r="X96" s="34">
        <v>1.23608620145476</v>
      </c>
      <c r="Y96" s="34">
        <v>1.2358474847357901</v>
      </c>
      <c r="Z96" s="34">
        <v>1.2357950619565099</v>
      </c>
      <c r="AA96" s="34">
        <v>1.2357695651340901</v>
      </c>
      <c r="AB96" s="33">
        <v>25.568708139670498</v>
      </c>
      <c r="AC96" s="33">
        <v>25.567900263174799</v>
      </c>
      <c r="AD96" s="33">
        <v>25.565319071452901</v>
      </c>
      <c r="AE96" s="15">
        <v>-1.9314168584157201E-4</v>
      </c>
      <c r="AF96" s="15">
        <v>-2.2473848199138901E-4</v>
      </c>
      <c r="AG96" s="15">
        <v>-3.2569796616619599E-4</v>
      </c>
      <c r="AI96" s="12"/>
      <c r="AJ96">
        <f t="shared" si="26"/>
        <v>0</v>
      </c>
      <c r="AK96">
        <f t="shared" si="27"/>
        <v>0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1.9417481829103801E-3</v>
      </c>
      <c r="AT96" s="12"/>
      <c r="AU96">
        <f t="shared" si="30"/>
        <v>0</v>
      </c>
      <c r="AV96">
        <f t="shared" si="31"/>
        <v>1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1.18506828010929E-3</v>
      </c>
      <c r="BE96" s="29">
        <f t="shared" si="42"/>
        <v>0</v>
      </c>
      <c r="BF96" s="29">
        <f t="shared" si="43"/>
        <v>3.1268164630196701E-3</v>
      </c>
      <c r="BH96" s="29"/>
    </row>
    <row r="97" spans="1:60" x14ac:dyDescent="0.25">
      <c r="A97" s="1">
        <v>46162</v>
      </c>
      <c r="B97" s="33">
        <v>20.34</v>
      </c>
      <c r="C97" s="33">
        <v>25.23</v>
      </c>
      <c r="D97" s="15">
        <v>9.83767910132748E-4</v>
      </c>
      <c r="E97" s="15">
        <v>1.18976813558875E-3</v>
      </c>
      <c r="F97" s="33">
        <v>0</v>
      </c>
      <c r="G97" s="33">
        <v>0.36920999999999998</v>
      </c>
      <c r="H97" s="33">
        <v>0</v>
      </c>
      <c r="I97" s="33">
        <v>0.37364699999999901</v>
      </c>
      <c r="J97" s="33">
        <v>0.36920999999999998</v>
      </c>
      <c r="K97" s="33">
        <v>0.37364699999999901</v>
      </c>
      <c r="L97" s="33">
        <v>20.709209999999999</v>
      </c>
      <c r="M97" s="33">
        <v>25.603646999999999</v>
      </c>
      <c r="N97" s="34">
        <v>1.2404129793510299</v>
      </c>
      <c r="O97" s="34">
        <v>1.2371344131525399</v>
      </c>
      <c r="P97" s="34">
        <v>1.2367318564324501</v>
      </c>
      <c r="Q97" s="34">
        <v>1.23730745077152</v>
      </c>
      <c r="R97" s="33">
        <v>25.1633139635227</v>
      </c>
      <c r="S97" s="33">
        <v>25.1435440527456</v>
      </c>
      <c r="T97" s="33">
        <v>25.1662542535386</v>
      </c>
      <c r="U97" s="15">
        <v>-2.6466239331418501E-3</v>
      </c>
      <c r="V97" s="15">
        <v>-3.4325967636649299E-3</v>
      </c>
      <c r="W97" s="15">
        <v>-2.5297824769782901E-3</v>
      </c>
      <c r="X97" s="34">
        <v>1.2363410772308501</v>
      </c>
      <c r="Y97" s="34">
        <v>1.2358474847357901</v>
      </c>
      <c r="Z97" s="34">
        <v>1.23590093505756</v>
      </c>
      <c r="AA97" s="34">
        <v>1.2357958149914201</v>
      </c>
      <c r="AB97" s="33">
        <v>25.593425089365201</v>
      </c>
      <c r="AC97" s="33">
        <v>25.592339455020401</v>
      </c>
      <c r="AD97" s="33">
        <v>25.591811435970602</v>
      </c>
      <c r="AE97" s="15">
        <v>-3.9931622467419601E-4</v>
      </c>
      <c r="AF97" s="15">
        <v>-4.4173561040362799E-4</v>
      </c>
      <c r="AG97" s="15">
        <v>-4.6236774127001801E-4</v>
      </c>
      <c r="AI97" s="12"/>
      <c r="AJ97">
        <f t="shared" si="26"/>
        <v>0</v>
      </c>
      <c r="AK97">
        <f t="shared" si="27"/>
        <v>0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1.9417481829103801E-3</v>
      </c>
      <c r="AT97" s="12"/>
      <c r="AU97">
        <f t="shared" si="30"/>
        <v>0</v>
      </c>
      <c r="AV97">
        <f t="shared" si="31"/>
        <v>1</v>
      </c>
      <c r="AW97">
        <f t="shared" si="38"/>
        <v>0</v>
      </c>
      <c r="AX97">
        <f t="shared" si="25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1.18506828010929E-3</v>
      </c>
      <c r="BE97" s="29">
        <f t="shared" si="42"/>
        <v>0</v>
      </c>
      <c r="BF97" s="29">
        <f t="shared" si="43"/>
        <v>3.1268164630196701E-3</v>
      </c>
      <c r="BH97" s="29"/>
    </row>
    <row r="98" spans="1:60" x14ac:dyDescent="0.25">
      <c r="A98" s="1">
        <v>46163</v>
      </c>
      <c r="B98" s="33">
        <v>20.34</v>
      </c>
      <c r="C98" s="33">
        <v>25.23</v>
      </c>
      <c r="D98" s="15">
        <v>0</v>
      </c>
      <c r="E98" s="15">
        <v>0</v>
      </c>
      <c r="F98" s="33">
        <v>0</v>
      </c>
      <c r="G98" s="33">
        <v>0.36920999999999998</v>
      </c>
      <c r="H98" s="33">
        <v>0</v>
      </c>
      <c r="I98" s="33">
        <v>0.37364699999999901</v>
      </c>
      <c r="J98" s="33">
        <v>0.36920999999999998</v>
      </c>
      <c r="K98" s="33">
        <v>0.37364699999999901</v>
      </c>
      <c r="L98" s="33">
        <v>20.709209999999999</v>
      </c>
      <c r="M98" s="33">
        <v>25.603646999999999</v>
      </c>
      <c r="N98" s="34">
        <v>1.2404129793510299</v>
      </c>
      <c r="O98" s="34">
        <v>1.2371344131525399</v>
      </c>
      <c r="P98" s="34">
        <v>1.2372293462422399</v>
      </c>
      <c r="Q98" s="34">
        <v>1.23733593135924</v>
      </c>
      <c r="R98" s="33">
        <v>25.1633139635227</v>
      </c>
      <c r="S98" s="33">
        <v>25.155125959835999</v>
      </c>
      <c r="T98" s="33">
        <v>25.1668335486928</v>
      </c>
      <c r="U98" s="15">
        <v>-2.6466239331418501E-3</v>
      </c>
      <c r="V98" s="15">
        <v>-2.9720713743352002E-3</v>
      </c>
      <c r="W98" s="15">
        <v>-2.5067640141936401E-3</v>
      </c>
      <c r="X98" s="34">
        <v>1.2363410772308501</v>
      </c>
      <c r="Y98" s="34">
        <v>1.2358474847357901</v>
      </c>
      <c r="Z98" s="34">
        <v>1.2359358457473799</v>
      </c>
      <c r="AA98" s="34">
        <v>1.2358220648487399</v>
      </c>
      <c r="AB98" s="33">
        <v>25.593425089365201</v>
      </c>
      <c r="AC98" s="33">
        <v>25.594532003303399</v>
      </c>
      <c r="AD98" s="33">
        <v>25.592355049778501</v>
      </c>
      <c r="AE98" s="15">
        <v>-3.9931622467419601E-4</v>
      </c>
      <c r="AF98" s="15">
        <v>-3.56067226228313E-4</v>
      </c>
      <c r="AG98" s="15">
        <v>-4.4112625800810801E-4</v>
      </c>
      <c r="AI98" s="12"/>
      <c r="AJ98">
        <f t="shared" si="26"/>
        <v>0</v>
      </c>
      <c r="AK98">
        <f t="shared" si="27"/>
        <v>0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1.9417481829103801E-3</v>
      </c>
      <c r="AT98" s="12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1.18506828010929E-3</v>
      </c>
      <c r="BE98" s="29">
        <f t="shared" si="42"/>
        <v>0</v>
      </c>
      <c r="BF98" s="29">
        <f t="shared" si="43"/>
        <v>3.1268164630196701E-3</v>
      </c>
      <c r="BH98" s="29"/>
    </row>
    <row r="99" spans="1:60" x14ac:dyDescent="0.25">
      <c r="A99" s="1">
        <v>46164</v>
      </c>
      <c r="B99" s="33">
        <v>20.34</v>
      </c>
      <c r="C99" s="33">
        <v>25.22</v>
      </c>
      <c r="D99" s="15">
        <v>0</v>
      </c>
      <c r="E99" s="15">
        <v>-3.9643211619296497E-4</v>
      </c>
      <c r="F99" s="33">
        <v>0</v>
      </c>
      <c r="G99" s="33">
        <v>0.36920999999999998</v>
      </c>
      <c r="H99" s="33">
        <v>0</v>
      </c>
      <c r="I99" s="33">
        <v>0.37364699999999901</v>
      </c>
      <c r="J99" s="33">
        <v>0.36920999999999998</v>
      </c>
      <c r="K99" s="33">
        <v>0.37364699999999901</v>
      </c>
      <c r="L99" s="33">
        <v>20.709209999999999</v>
      </c>
      <c r="M99" s="33">
        <v>25.593646999999901</v>
      </c>
      <c r="N99" s="34">
        <v>1.2399213372664699</v>
      </c>
      <c r="O99" s="34">
        <v>1.2371344131525399</v>
      </c>
      <c r="P99" s="34">
        <v>1.2376517978173001</v>
      </c>
      <c r="Q99" s="34">
        <v>1.2373271082470101</v>
      </c>
      <c r="R99" s="33">
        <v>25.1633139635227</v>
      </c>
      <c r="S99" s="33">
        <v>25.165244902567299</v>
      </c>
      <c r="T99" s="33">
        <v>25.167412843847</v>
      </c>
      <c r="U99" s="15">
        <v>-2.2501918169489099E-3</v>
      </c>
      <c r="V99" s="15">
        <v>-2.1734584834675399E-3</v>
      </c>
      <c r="W99" s="15">
        <v>-2.0873139650533501E-3</v>
      </c>
      <c r="X99" s="34">
        <v>1.23585820028866</v>
      </c>
      <c r="Y99" s="34">
        <v>1.2358474847357901</v>
      </c>
      <c r="Z99" s="34">
        <v>1.2358970137826899</v>
      </c>
      <c r="AA99" s="34">
        <v>1.2358114348993801</v>
      </c>
      <c r="AB99" s="33">
        <v>25.593425089365201</v>
      </c>
      <c r="AC99" s="33">
        <v>25.595254976110098</v>
      </c>
      <c r="AD99" s="33">
        <v>25.592898663586301</v>
      </c>
      <c r="AE99" s="15">
        <v>-8.6705734734723194E-6</v>
      </c>
      <c r="AF99" s="15">
        <v>6.2825184701326007E-5</v>
      </c>
      <c r="AG99" s="15">
        <v>-2.9239574736580599E-5</v>
      </c>
      <c r="AI99" s="12"/>
      <c r="AJ99">
        <f t="shared" si="26"/>
        <v>0</v>
      </c>
      <c r="AK99">
        <f t="shared" si="27"/>
        <v>1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1.9417481829103801E-3</v>
      </c>
      <c r="AT99" s="12"/>
      <c r="AU99">
        <f t="shared" si="30"/>
        <v>0</v>
      </c>
      <c r="AV99">
        <f t="shared" si="31"/>
        <v>1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1.18506828010929E-3</v>
      </c>
      <c r="BE99" s="29">
        <f t="shared" si="42"/>
        <v>0</v>
      </c>
      <c r="BF99" s="29">
        <f t="shared" si="43"/>
        <v>3.1268164630196701E-3</v>
      </c>
      <c r="BH99" s="29"/>
    </row>
    <row r="100" spans="1:60" x14ac:dyDescent="0.25">
      <c r="A100" s="1">
        <v>46168</v>
      </c>
      <c r="B100" s="33">
        <v>20.37</v>
      </c>
      <c r="C100" s="33">
        <v>25.25</v>
      </c>
      <c r="D100" s="15">
        <v>1.4738396183005199E-3</v>
      </c>
      <c r="E100" s="15">
        <v>1.1888251845953201E-3</v>
      </c>
      <c r="F100" s="33">
        <v>0</v>
      </c>
      <c r="G100" s="33">
        <v>0.36920999999999998</v>
      </c>
      <c r="H100" s="33">
        <v>0</v>
      </c>
      <c r="I100" s="33">
        <v>0.37364699999999901</v>
      </c>
      <c r="J100" s="33">
        <v>0.36920999999999998</v>
      </c>
      <c r="K100" s="33">
        <v>0.37364699999999901</v>
      </c>
      <c r="L100" s="33">
        <v>20.73921</v>
      </c>
      <c r="M100" s="33">
        <v>25.623646999999998</v>
      </c>
      <c r="N100" s="34">
        <v>1.23956799214531</v>
      </c>
      <c r="O100" s="34">
        <v>1.2371344131525399</v>
      </c>
      <c r="P100" s="34">
        <v>1.2380647889065299</v>
      </c>
      <c r="Q100" s="34">
        <v>1.2372947446448901</v>
      </c>
      <c r="R100" s="33">
        <v>25.200427995917298</v>
      </c>
      <c r="S100" s="33">
        <v>25.210967121538499</v>
      </c>
      <c r="T100" s="33">
        <v>25.2043531949917</v>
      </c>
      <c r="U100" s="15">
        <v>-1.96517738324372E-3</v>
      </c>
      <c r="V100" s="15">
        <v>-1.5470526417954501E-3</v>
      </c>
      <c r="W100" s="15">
        <v>-1.8094302898274499E-3</v>
      </c>
      <c r="X100" s="34">
        <v>1.2355170230688599</v>
      </c>
      <c r="Y100" s="34">
        <v>1.2358474847357901</v>
      </c>
      <c r="Z100" s="34">
        <v>1.2358495190563099</v>
      </c>
      <c r="AA100" s="34">
        <v>1.23577805301298</v>
      </c>
      <c r="AB100" s="33">
        <v>25.6305005139073</v>
      </c>
      <c r="AC100" s="33">
        <v>25.6315277072122</v>
      </c>
      <c r="AD100" s="33">
        <v>25.629752868779601</v>
      </c>
      <c r="AE100" s="15">
        <v>2.6743256031475001E-4</v>
      </c>
      <c r="AF100" s="15">
        <v>3.07508746946717E-4</v>
      </c>
      <c r="AG100" s="15">
        <v>2.3826200112387101E-4</v>
      </c>
      <c r="AI100" s="12"/>
      <c r="AJ100">
        <f t="shared" si="26"/>
        <v>0</v>
      </c>
      <c r="AK100">
        <f t="shared" si="27"/>
        <v>1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1.9417481829103801E-3</v>
      </c>
      <c r="AT100" s="12"/>
      <c r="AU100">
        <f t="shared" si="30"/>
        <v>0</v>
      </c>
      <c r="AV100">
        <f t="shared" si="31"/>
        <v>0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1.18506828010929E-3</v>
      </c>
      <c r="BE100" s="29">
        <f t="shared" si="42"/>
        <v>0</v>
      </c>
      <c r="BF100" s="29">
        <f t="shared" si="43"/>
        <v>3.1268164630196701E-3</v>
      </c>
      <c r="BH100" s="29"/>
    </row>
    <row r="101" spans="1:60" x14ac:dyDescent="0.25">
      <c r="A101" s="1">
        <v>46169</v>
      </c>
      <c r="B101" s="33">
        <v>20.38</v>
      </c>
      <c r="C101" s="33">
        <v>25.27</v>
      </c>
      <c r="D101" s="15">
        <v>4.9079755586430203E-4</v>
      </c>
      <c r="E101" s="15">
        <v>7.9176567873402498E-4</v>
      </c>
      <c r="F101" s="33">
        <v>0</v>
      </c>
      <c r="G101" s="33">
        <v>0.36920999999999998</v>
      </c>
      <c r="H101" s="33">
        <v>0</v>
      </c>
      <c r="I101" s="33">
        <v>0.37364699999999901</v>
      </c>
      <c r="J101" s="33">
        <v>0.36920999999999998</v>
      </c>
      <c r="K101" s="33">
        <v>0.37364699999999901</v>
      </c>
      <c r="L101" s="33">
        <v>20.749209999999898</v>
      </c>
      <c r="M101" s="33">
        <v>25.643646999999898</v>
      </c>
      <c r="N101" s="34">
        <v>1.23994111874386</v>
      </c>
      <c r="O101" s="34">
        <v>1.2371344131525399</v>
      </c>
      <c r="P101" s="34">
        <v>1.23844302620963</v>
      </c>
      <c r="Q101" s="34">
        <v>1.23732410601527</v>
      </c>
      <c r="R101" s="33">
        <v>25.2127993400488</v>
      </c>
      <c r="S101" s="33">
        <v>25.2317603979151</v>
      </c>
      <c r="T101" s="33">
        <v>25.216066895862799</v>
      </c>
      <c r="U101" s="15">
        <v>-2.2661455061135302E-3</v>
      </c>
      <c r="V101" s="15">
        <v>-1.5143871853850999E-3</v>
      </c>
      <c r="W101" s="15">
        <v>-2.13655481480899E-3</v>
      </c>
      <c r="X101" s="34">
        <v>1.23588546262725</v>
      </c>
      <c r="Y101" s="34">
        <v>1.2358474847357901</v>
      </c>
      <c r="Z101" s="34">
        <v>1.23576776876996</v>
      </c>
      <c r="AA101" s="34">
        <v>1.23580564974621</v>
      </c>
      <c r="AB101" s="33">
        <v>25.6428589887547</v>
      </c>
      <c r="AC101" s="33">
        <v>25.6429011992984</v>
      </c>
      <c r="AD101" s="33">
        <v>25.6414183353575</v>
      </c>
      <c r="AE101" s="15">
        <v>-3.07297691726042E-5</v>
      </c>
      <c r="AF101" s="15">
        <v>-2.9083677017156599E-5</v>
      </c>
      <c r="AG101" s="15">
        <v>-8.6912812891431506E-5</v>
      </c>
      <c r="AI101" s="12"/>
      <c r="AJ101">
        <f t="shared" si="26"/>
        <v>0</v>
      </c>
      <c r="AK101">
        <f t="shared" si="27"/>
        <v>1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1.9417481829103801E-3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1.18506828010929E-3</v>
      </c>
      <c r="BE101" s="29">
        <f t="shared" si="42"/>
        <v>0</v>
      </c>
      <c r="BF101" s="29">
        <f t="shared" si="43"/>
        <v>3.1268164630196701E-3</v>
      </c>
      <c r="BH101" s="29"/>
    </row>
    <row r="102" spans="1:60" x14ac:dyDescent="0.25">
      <c r="A102" s="1">
        <v>46170</v>
      </c>
      <c r="B102" s="33">
        <v>20.39</v>
      </c>
      <c r="C102" s="33">
        <v>25.28</v>
      </c>
      <c r="D102" s="15">
        <v>4.9055679178502303E-4</v>
      </c>
      <c r="E102" s="15">
        <v>3.9564787855396997E-4</v>
      </c>
      <c r="F102" s="33">
        <v>0</v>
      </c>
      <c r="G102" s="33">
        <v>0.36920999999999998</v>
      </c>
      <c r="H102" s="33">
        <v>0</v>
      </c>
      <c r="I102" s="33">
        <v>0.37364699999999901</v>
      </c>
      <c r="J102" s="33">
        <v>0.36920999999999998</v>
      </c>
      <c r="K102" s="33">
        <v>0.37364699999999901</v>
      </c>
      <c r="L102" s="33">
        <v>20.759209999999999</v>
      </c>
      <c r="M102" s="33">
        <v>25.653646999999999</v>
      </c>
      <c r="N102" s="34">
        <v>1.2398234428641399</v>
      </c>
      <c r="O102" s="34">
        <v>1.2371344131525399</v>
      </c>
      <c r="P102" s="34">
        <v>1.2389909282259799</v>
      </c>
      <c r="Q102" s="34">
        <v>1.23732410601527</v>
      </c>
      <c r="R102" s="33">
        <v>25.225170684180299</v>
      </c>
      <c r="S102" s="33">
        <v>25.251853304414301</v>
      </c>
      <c r="T102" s="33">
        <v>25.229038521651301</v>
      </c>
      <c r="U102" s="15">
        <v>-2.1712365928822199E-3</v>
      </c>
      <c r="V102" s="15">
        <v>-1.11401805617511E-3</v>
      </c>
      <c r="W102" s="15">
        <v>-2.01791588725817E-3</v>
      </c>
      <c r="X102" s="34">
        <v>1.23577183332121</v>
      </c>
      <c r="Y102" s="34">
        <v>1.2358474847357901</v>
      </c>
      <c r="Z102" s="34">
        <v>1.23585360129432</v>
      </c>
      <c r="AA102" s="34">
        <v>1.2358048089515501</v>
      </c>
      <c r="AB102" s="33">
        <v>25.655217463602</v>
      </c>
      <c r="AC102" s="33">
        <v>25.653562623127101</v>
      </c>
      <c r="AD102" s="33">
        <v>25.654349002268098</v>
      </c>
      <c r="AE102" s="15">
        <v>6.1216073244723103E-5</v>
      </c>
      <c r="AF102" s="15">
        <v>-3.2890844580393402E-6</v>
      </c>
      <c r="AG102" s="15">
        <v>2.73642442837827E-5</v>
      </c>
      <c r="AI102" s="12"/>
      <c r="AJ102">
        <f t="shared" si="26"/>
        <v>0</v>
      </c>
      <c r="AK102">
        <f t="shared" si="27"/>
        <v>1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1.9417481829103801E-3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1.18506828010929E-3</v>
      </c>
      <c r="BE102" s="29">
        <f t="shared" si="42"/>
        <v>0</v>
      </c>
      <c r="BF102" s="29">
        <f t="shared" si="43"/>
        <v>3.1268164630196701E-3</v>
      </c>
      <c r="BH102" s="29"/>
    </row>
    <row r="103" spans="1:60" x14ac:dyDescent="0.25">
      <c r="A103" s="1">
        <v>46171</v>
      </c>
      <c r="B103" s="33">
        <v>20.41</v>
      </c>
      <c r="C103" s="33">
        <v>25.3</v>
      </c>
      <c r="D103" s="15">
        <v>9.8039223538950895E-4</v>
      </c>
      <c r="E103" s="15">
        <v>7.9082645481777004E-4</v>
      </c>
      <c r="F103" s="33">
        <v>0</v>
      </c>
      <c r="G103" s="33">
        <v>0.36920999999999998</v>
      </c>
      <c r="H103" s="33">
        <v>0</v>
      </c>
      <c r="I103" s="33">
        <v>0.37364699999999901</v>
      </c>
      <c r="J103" s="33">
        <v>0.36920999999999998</v>
      </c>
      <c r="K103" s="33">
        <v>0.37364699999999901</v>
      </c>
      <c r="L103" s="33">
        <v>20.779209999999999</v>
      </c>
      <c r="M103" s="33">
        <v>25.673646999999999</v>
      </c>
      <c r="N103" s="34">
        <v>1.23958843704066</v>
      </c>
      <c r="O103" s="34">
        <v>1.2371344131525399</v>
      </c>
      <c r="P103" s="34">
        <v>1.2393944340260299</v>
      </c>
      <c r="Q103" s="34">
        <v>1.2373299725294</v>
      </c>
      <c r="R103" s="33">
        <v>25.249913372443402</v>
      </c>
      <c r="S103" s="33">
        <v>25.2878048450923</v>
      </c>
      <c r="T103" s="33">
        <v>25.253785003771601</v>
      </c>
      <c r="U103" s="15">
        <v>-1.9816708123105201E-3</v>
      </c>
      <c r="V103" s="15">
        <v>-4.8213814302440797E-4</v>
      </c>
      <c r="W103" s="15">
        <v>-1.82835010668633E-3</v>
      </c>
      <c r="X103" s="34">
        <v>1.2355449028139101</v>
      </c>
      <c r="Y103" s="34">
        <v>1.2358474847357901</v>
      </c>
      <c r="Z103" s="34">
        <v>1.23579750120196</v>
      </c>
      <c r="AA103" s="34">
        <v>1.23580969691818</v>
      </c>
      <c r="AB103" s="33">
        <v>25.679934413296699</v>
      </c>
      <c r="AC103" s="33">
        <v>25.6800615105509</v>
      </c>
      <c r="AD103" s="33">
        <v>25.679047644214101</v>
      </c>
      <c r="AE103" s="15">
        <v>2.4486756931698799E-4</v>
      </c>
      <c r="AF103" s="15">
        <v>2.4981683973249299E-4</v>
      </c>
      <c r="AG103" s="15">
        <v>2.10335378562441E-4</v>
      </c>
      <c r="AI103" s="12"/>
      <c r="AJ103">
        <f t="shared" si="26"/>
        <v>0</v>
      </c>
      <c r="AK103">
        <f t="shared" si="27"/>
        <v>1</v>
      </c>
      <c r="AL103">
        <f t="shared" si="34"/>
        <v>0</v>
      </c>
      <c r="AM103">
        <f t="shared" si="24"/>
        <v>0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1.9417481829103801E-3</v>
      </c>
      <c r="AT103" s="12"/>
      <c r="AU103">
        <f t="shared" si="30"/>
        <v>0</v>
      </c>
      <c r="AV103">
        <f t="shared" si="31"/>
        <v>0</v>
      </c>
      <c r="AW103">
        <f t="shared" si="38"/>
        <v>0</v>
      </c>
      <c r="AX103">
        <f t="shared" si="25"/>
        <v>0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1.18506828010929E-3</v>
      </c>
      <c r="BE103" s="29">
        <f t="shared" si="42"/>
        <v>0</v>
      </c>
      <c r="BF103" s="29">
        <f t="shared" si="43"/>
        <v>3.1268164630196701E-3</v>
      </c>
      <c r="BH103" s="29"/>
    </row>
    <row r="104" spans="1:60" x14ac:dyDescent="0.25">
      <c r="A104" s="1">
        <v>46174</v>
      </c>
      <c r="B104" s="33">
        <v>20.39</v>
      </c>
      <c r="C104" s="33">
        <v>25.2</v>
      </c>
      <c r="D104" s="15">
        <v>-9.8039223538954907E-4</v>
      </c>
      <c r="E104" s="15">
        <v>-3.9604012160970098E-3</v>
      </c>
      <c r="F104" s="33">
        <v>0</v>
      </c>
      <c r="G104" s="33">
        <v>0.36920999999999998</v>
      </c>
      <c r="H104" s="33">
        <v>9.2997999999999997E-2</v>
      </c>
      <c r="I104" s="33">
        <v>0.46664499999999998</v>
      </c>
      <c r="J104" s="33">
        <v>0.36920999999999998</v>
      </c>
      <c r="K104" s="33">
        <v>0.46664499999999998</v>
      </c>
      <c r="L104" s="33">
        <v>20.759209999999999</v>
      </c>
      <c r="M104" s="33">
        <v>25.666644999999999</v>
      </c>
      <c r="N104" s="34">
        <v>1.23589995095635</v>
      </c>
      <c r="O104" s="34">
        <v>1.2371344131525399</v>
      </c>
      <c r="P104" s="34">
        <v>1.2395155413215699</v>
      </c>
      <c r="Q104" s="34">
        <v>1.2374020136406001</v>
      </c>
      <c r="R104" s="33">
        <v>25.225170684180299</v>
      </c>
      <c r="S104" s="33">
        <v>25.271252509790902</v>
      </c>
      <c r="T104" s="33">
        <v>25.2291581398744</v>
      </c>
      <c r="U104" s="15">
        <v>9.9833816839695207E-4</v>
      </c>
      <c r="V104" s="15">
        <v>2.8234907430954902E-3</v>
      </c>
      <c r="W104" s="15">
        <v>1.1564001541702199E-3</v>
      </c>
      <c r="X104" s="34">
        <v>1.2363979650478001</v>
      </c>
      <c r="Y104" s="34">
        <v>1.2358474847357901</v>
      </c>
      <c r="Z104" s="34">
        <v>1.2359119066430599</v>
      </c>
      <c r="AA104" s="34">
        <v>1.2358782518661</v>
      </c>
      <c r="AB104" s="33">
        <v>25.655217463602</v>
      </c>
      <c r="AC104" s="33">
        <v>25.654179844926801</v>
      </c>
      <c r="AD104" s="33">
        <v>25.654433018360901</v>
      </c>
      <c r="AE104" s="15">
        <v>-4.4532821056114999E-4</v>
      </c>
      <c r="AF104" s="15">
        <v>-4.8577377140573698E-4</v>
      </c>
      <c r="AG104" s="15">
        <v>-4.7590511895373899E-4</v>
      </c>
      <c r="AI104" s="12"/>
      <c r="AJ104">
        <f t="shared" si="26"/>
        <v>0</v>
      </c>
      <c r="AK104">
        <f t="shared" si="27"/>
        <v>0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1.9417481829103801E-3</v>
      </c>
      <c r="AT104" s="12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1.18506828010929E-3</v>
      </c>
      <c r="BE104" s="29">
        <f t="shared" si="42"/>
        <v>0</v>
      </c>
      <c r="BF104" s="29">
        <f t="shared" si="43"/>
        <v>3.1268164630196701E-3</v>
      </c>
      <c r="BH104" s="29"/>
    </row>
    <row r="105" spans="1:60" x14ac:dyDescent="0.25">
      <c r="A105" s="1">
        <v>46175</v>
      </c>
      <c r="B105" s="33">
        <v>20.39</v>
      </c>
      <c r="C105" s="33">
        <v>25.2</v>
      </c>
      <c r="D105" s="15">
        <v>0</v>
      </c>
      <c r="E105" s="15">
        <v>0</v>
      </c>
      <c r="F105" s="33">
        <v>0</v>
      </c>
      <c r="G105" s="33">
        <v>0.36920999999999998</v>
      </c>
      <c r="H105" s="33">
        <v>0</v>
      </c>
      <c r="I105" s="33">
        <v>0.46664499999999998</v>
      </c>
      <c r="J105" s="33">
        <v>0.36920999999999998</v>
      </c>
      <c r="K105" s="33">
        <v>0.46664499999999998</v>
      </c>
      <c r="L105" s="33">
        <v>20.759209999999999</v>
      </c>
      <c r="M105" s="33">
        <v>25.666644999999999</v>
      </c>
      <c r="N105" s="34">
        <v>1.23589995095635</v>
      </c>
      <c r="O105" s="34">
        <v>1.2371344131525399</v>
      </c>
      <c r="P105" s="34">
        <v>1.2391625668990101</v>
      </c>
      <c r="Q105" s="34">
        <v>1.2374380694931699</v>
      </c>
      <c r="R105" s="33">
        <v>25.225170684180299</v>
      </c>
      <c r="S105" s="33">
        <v>25.273721887546898</v>
      </c>
      <c r="T105" s="33">
        <v>25.230627058131901</v>
      </c>
      <c r="U105" s="15">
        <v>9.9833816839695207E-4</v>
      </c>
      <c r="V105" s="15">
        <v>2.9212008631384202E-3</v>
      </c>
      <c r="W105" s="15">
        <v>1.214621498241E-3</v>
      </c>
      <c r="X105" s="34">
        <v>1.2363979650478001</v>
      </c>
      <c r="Y105" s="34">
        <v>1.2358474847357901</v>
      </c>
      <c r="Z105" s="34">
        <v>1.23601417081319</v>
      </c>
      <c r="AA105" s="34">
        <v>1.2359113036724201</v>
      </c>
      <c r="AB105" s="33">
        <v>25.655217463602</v>
      </c>
      <c r="AC105" s="33">
        <v>25.656554811503799</v>
      </c>
      <c r="AD105" s="33">
        <v>25.6558561649213</v>
      </c>
      <c r="AE105" s="15">
        <v>-4.4532821056114999E-4</v>
      </c>
      <c r="AF105" s="15">
        <v>-3.9320185270057799E-4</v>
      </c>
      <c r="AG105" s="15">
        <v>-4.2043294822706299E-4</v>
      </c>
      <c r="AI105" s="12"/>
      <c r="AJ105">
        <f t="shared" si="26"/>
        <v>0</v>
      </c>
      <c r="AK105">
        <f t="shared" si="27"/>
        <v>0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1.9417481829103801E-3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1.18506828010929E-3</v>
      </c>
      <c r="BE105" s="29">
        <f t="shared" si="42"/>
        <v>0</v>
      </c>
      <c r="BF105" s="29">
        <f t="shared" si="43"/>
        <v>3.1268164630196701E-3</v>
      </c>
      <c r="BH105" s="29"/>
    </row>
    <row r="106" spans="1:60" x14ac:dyDescent="0.25">
      <c r="A106" s="1">
        <v>46176</v>
      </c>
      <c r="B106" s="33">
        <v>20.39</v>
      </c>
      <c r="C106" s="33">
        <v>25.19</v>
      </c>
      <c r="D106" s="15">
        <v>0</v>
      </c>
      <c r="E106" s="15">
        <v>-3.9690415285868503E-4</v>
      </c>
      <c r="F106" s="33">
        <v>0</v>
      </c>
      <c r="G106" s="33">
        <v>0.36920999999999998</v>
      </c>
      <c r="H106" s="33">
        <v>0</v>
      </c>
      <c r="I106" s="33">
        <v>0.46664499999999998</v>
      </c>
      <c r="J106" s="33">
        <v>0.36920999999999998</v>
      </c>
      <c r="K106" s="33">
        <v>0.46664499999999998</v>
      </c>
      <c r="L106" s="33">
        <v>20.759209999999999</v>
      </c>
      <c r="M106" s="33">
        <v>25.656645000000001</v>
      </c>
      <c r="N106" s="34">
        <v>1.2354095144678701</v>
      </c>
      <c r="O106" s="34">
        <v>1.2371344131525399</v>
      </c>
      <c r="P106" s="34">
        <v>1.23868777031431</v>
      </c>
      <c r="Q106" s="34">
        <v>1.2374251057261201</v>
      </c>
      <c r="R106" s="33">
        <v>25.225170684180299</v>
      </c>
      <c r="S106" s="33">
        <v>25.266524739070999</v>
      </c>
      <c r="T106" s="33">
        <v>25.231362236965801</v>
      </c>
      <c r="U106" s="15">
        <v>1.39524232125557E-3</v>
      </c>
      <c r="V106" s="15">
        <v>3.0332964127574402E-3</v>
      </c>
      <c r="W106" s="15">
        <v>1.6406635762678901E-3</v>
      </c>
      <c r="X106" s="34">
        <v>1.23591625114828</v>
      </c>
      <c r="Y106" s="34">
        <v>1.2358474847357901</v>
      </c>
      <c r="Z106" s="34">
        <v>1.2359971757825501</v>
      </c>
      <c r="AA106" s="34">
        <v>1.2358961188695301</v>
      </c>
      <c r="AB106" s="33">
        <v>25.655217463602</v>
      </c>
      <c r="AC106" s="33">
        <v>25.658677734887</v>
      </c>
      <c r="AD106" s="33">
        <v>25.656542294309499</v>
      </c>
      <c r="AE106" s="15">
        <v>-5.5641574083136102E-5</v>
      </c>
      <c r="AF106" s="15">
        <v>7.9225259816944599E-5</v>
      </c>
      <c r="AG106" s="15">
        <v>-4.0030914404322698E-6</v>
      </c>
      <c r="AI106" s="12"/>
      <c r="AJ106">
        <f t="shared" si="26"/>
        <v>0</v>
      </c>
      <c r="AK106">
        <f t="shared" si="27"/>
        <v>1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1.9417481829103801E-3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1.18506828010929E-3</v>
      </c>
      <c r="BE106" s="29">
        <f t="shared" si="42"/>
        <v>0</v>
      </c>
      <c r="BF106" s="29">
        <f t="shared" si="43"/>
        <v>3.1268164630196701E-3</v>
      </c>
      <c r="BH106" s="29"/>
    </row>
    <row r="107" spans="1:60" x14ac:dyDescent="0.25">
      <c r="A107" s="1">
        <v>46177</v>
      </c>
      <c r="B107" s="33">
        <v>20.39</v>
      </c>
      <c r="C107" s="33">
        <v>25.21</v>
      </c>
      <c r="D107" s="15">
        <v>0</v>
      </c>
      <c r="E107" s="15">
        <v>7.93650835309593E-4</v>
      </c>
      <c r="F107" s="33">
        <v>0</v>
      </c>
      <c r="G107" s="33">
        <v>0.36920999999999998</v>
      </c>
      <c r="H107" s="33">
        <v>0</v>
      </c>
      <c r="I107" s="33">
        <v>0.46664499999999998</v>
      </c>
      <c r="J107" s="33">
        <v>0.36920999999999998</v>
      </c>
      <c r="K107" s="33">
        <v>0.46664499999999998</v>
      </c>
      <c r="L107" s="33">
        <v>20.759209999999999</v>
      </c>
      <c r="M107" s="33">
        <v>25.676645000000001</v>
      </c>
      <c r="N107" s="34">
        <v>1.2363903874448201</v>
      </c>
      <c r="O107" s="34">
        <v>1.2371344131525399</v>
      </c>
      <c r="P107" s="34">
        <v>1.2382855111236899</v>
      </c>
      <c r="Q107" s="34">
        <v>1.23750868377807</v>
      </c>
      <c r="R107" s="33">
        <v>25.225170684180299</v>
      </c>
      <c r="S107" s="33">
        <v>25.256843636708801</v>
      </c>
      <c r="T107" s="33">
        <v>25.2310979057556</v>
      </c>
      <c r="U107" s="15">
        <v>6.0159148594598805E-4</v>
      </c>
      <c r="V107" s="15">
        <v>1.85641291533871E-3</v>
      </c>
      <c r="W107" s="15">
        <v>8.3653639044181302E-4</v>
      </c>
      <c r="X107" s="34">
        <v>1.23687967894732</v>
      </c>
      <c r="Y107" s="34">
        <v>1.2358474847357901</v>
      </c>
      <c r="Z107" s="34">
        <v>1.2360510359541901</v>
      </c>
      <c r="AA107" s="34">
        <v>1.2359759855058801</v>
      </c>
      <c r="AB107" s="33">
        <v>25.655217463602</v>
      </c>
      <c r="AC107" s="33">
        <v>25.658324931476798</v>
      </c>
      <c r="AD107" s="33">
        <v>25.656227069797499</v>
      </c>
      <c r="AE107" s="15">
        <v>-8.3486305051587895E-4</v>
      </c>
      <c r="AF107" s="15">
        <v>-7.1374617829916603E-4</v>
      </c>
      <c r="AG107" s="15">
        <v>-7.9551096425892404E-4</v>
      </c>
      <c r="AI107" s="12"/>
      <c r="AJ107">
        <f t="shared" si="26"/>
        <v>0</v>
      </c>
      <c r="AK107">
        <f t="shared" si="27"/>
        <v>0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1.9417481829103801E-3</v>
      </c>
      <c r="AT107" s="12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1.18506828010929E-3</v>
      </c>
      <c r="BE107" s="29">
        <f t="shared" si="42"/>
        <v>0</v>
      </c>
      <c r="BF107" s="29">
        <f t="shared" si="43"/>
        <v>3.1268164630196701E-3</v>
      </c>
      <c r="BH107" s="29"/>
    </row>
    <row r="108" spans="1:60" x14ac:dyDescent="0.25">
      <c r="A108" s="1">
        <v>46178</v>
      </c>
      <c r="B108" s="33">
        <v>20.36</v>
      </c>
      <c r="C108" s="33">
        <v>25.15</v>
      </c>
      <c r="D108" s="15">
        <v>-1.4723929040418699E-3</v>
      </c>
      <c r="E108" s="15">
        <v>-2.38284465408037E-3</v>
      </c>
      <c r="F108" s="33">
        <v>0</v>
      </c>
      <c r="G108" s="33">
        <v>0.36920999999999998</v>
      </c>
      <c r="H108" s="33">
        <v>0</v>
      </c>
      <c r="I108" s="33">
        <v>0.46664499999999998</v>
      </c>
      <c r="J108" s="33">
        <v>0.36920999999999998</v>
      </c>
      <c r="K108" s="33">
        <v>0.46664499999999998</v>
      </c>
      <c r="L108" s="33">
        <v>20.729209999999998</v>
      </c>
      <c r="M108" s="33">
        <v>25.616644999999998</v>
      </c>
      <c r="N108" s="34">
        <v>1.2352652259332</v>
      </c>
      <c r="O108" s="34">
        <v>1.2371344131525399</v>
      </c>
      <c r="P108" s="34">
        <v>1.2377707357818999</v>
      </c>
      <c r="Q108" s="34">
        <v>1.23750004101207</v>
      </c>
      <c r="R108" s="33">
        <v>25.1880566517858</v>
      </c>
      <c r="S108" s="33">
        <v>25.2114930064783</v>
      </c>
      <c r="T108" s="33">
        <v>25.1956768017215</v>
      </c>
      <c r="U108" s="15">
        <v>1.5120432359844701E-3</v>
      </c>
      <c r="V108" s="15">
        <v>2.4420656881967398E-3</v>
      </c>
      <c r="W108" s="15">
        <v>1.81452776706262E-3</v>
      </c>
      <c r="X108" s="34">
        <v>1.23577526591703</v>
      </c>
      <c r="Y108" s="34">
        <v>1.2358474847357901</v>
      </c>
      <c r="Z108" s="34">
        <v>1.2359944548228099</v>
      </c>
      <c r="AA108" s="34">
        <v>1.2359651502850899</v>
      </c>
      <c r="AB108" s="33">
        <v>25.618142039059901</v>
      </c>
      <c r="AC108" s="33">
        <v>25.6223614950121</v>
      </c>
      <c r="AD108" s="33">
        <v>25.6208057585083</v>
      </c>
      <c r="AE108" s="15">
        <v>5.8438383252329E-5</v>
      </c>
      <c r="AF108" s="15">
        <v>2.23130596272667E-4</v>
      </c>
      <c r="AG108" s="15">
        <v>1.6241083254230499E-4</v>
      </c>
      <c r="AI108" s="12"/>
      <c r="AJ108">
        <f t="shared" si="26"/>
        <v>0</v>
      </c>
      <c r="AK108">
        <f t="shared" si="27"/>
        <v>1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1.9417481829103801E-3</v>
      </c>
      <c r="AT108" s="12"/>
      <c r="AU108">
        <f t="shared" si="30"/>
        <v>0</v>
      </c>
      <c r="AV108">
        <f t="shared" si="31"/>
        <v>1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1.18506828010929E-3</v>
      </c>
      <c r="BE108" s="29">
        <f t="shared" si="42"/>
        <v>0</v>
      </c>
      <c r="BF108" s="29">
        <f t="shared" si="43"/>
        <v>3.1268164630196701E-3</v>
      </c>
      <c r="BH108" s="29"/>
    </row>
    <row r="109" spans="1:60" x14ac:dyDescent="0.25">
      <c r="A109" s="1">
        <v>46181</v>
      </c>
      <c r="B109" s="33">
        <v>20.37</v>
      </c>
      <c r="C109" s="33">
        <v>25.16</v>
      </c>
      <c r="D109" s="15">
        <v>4.9103855639261705E-4</v>
      </c>
      <c r="E109" s="15">
        <v>3.9753528649158899E-4</v>
      </c>
      <c r="F109" s="33">
        <v>0</v>
      </c>
      <c r="G109" s="33">
        <v>0.36920999999999998</v>
      </c>
      <c r="H109" s="33">
        <v>0</v>
      </c>
      <c r="I109" s="33">
        <v>0.46664499999999998</v>
      </c>
      <c r="J109" s="33">
        <v>0.36920999999999998</v>
      </c>
      <c r="K109" s="33">
        <v>0.46664499999999998</v>
      </c>
      <c r="L109" s="33">
        <v>20.73921</v>
      </c>
      <c r="M109" s="33">
        <v>25.626645</v>
      </c>
      <c r="N109" s="34">
        <v>1.23514972999509</v>
      </c>
      <c r="O109" s="34">
        <v>1.2371344131525399</v>
      </c>
      <c r="P109" s="34">
        <v>1.23729357505476</v>
      </c>
      <c r="Q109" s="34">
        <v>1.2374726864360299</v>
      </c>
      <c r="R109" s="33">
        <v>25.200427995917298</v>
      </c>
      <c r="S109" s="33">
        <v>25.213389887877401</v>
      </c>
      <c r="T109" s="33">
        <v>25.207875835416001</v>
      </c>
      <c r="U109" s="15">
        <v>1.60554650588533E-3</v>
      </c>
      <c r="V109" s="15">
        <v>2.1197663285384399E-3</v>
      </c>
      <c r="W109" s="15">
        <v>1.90104700825591E-3</v>
      </c>
      <c r="X109" s="34">
        <v>1.23566158016626</v>
      </c>
      <c r="Y109" s="34">
        <v>1.2358474847357901</v>
      </c>
      <c r="Z109" s="34">
        <v>1.23597479281057</v>
      </c>
      <c r="AA109" s="34">
        <v>1.2359359032966299</v>
      </c>
      <c r="AB109" s="33">
        <v>25.6305005139073</v>
      </c>
      <c r="AC109" s="33">
        <v>25.633548557405799</v>
      </c>
      <c r="AD109" s="33">
        <v>25.6329408044442</v>
      </c>
      <c r="AE109" s="15">
        <v>1.50438104813201E-4</v>
      </c>
      <c r="AF109" s="15">
        <v>2.6935354584188998E-4</v>
      </c>
      <c r="AG109" s="15">
        <v>2.4564398549320601E-4</v>
      </c>
      <c r="AI109" s="12"/>
      <c r="AJ109">
        <f t="shared" si="26"/>
        <v>0</v>
      </c>
      <c r="AK109">
        <f t="shared" si="27"/>
        <v>1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1.9417481829103801E-3</v>
      </c>
      <c r="AT109" s="12"/>
      <c r="AU109">
        <f t="shared" si="30"/>
        <v>0</v>
      </c>
      <c r="AV109">
        <f t="shared" si="31"/>
        <v>0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1.18506828010929E-3</v>
      </c>
      <c r="BE109" s="29">
        <f t="shared" si="42"/>
        <v>0</v>
      </c>
      <c r="BF109" s="29">
        <f t="shared" si="43"/>
        <v>3.1268164630196701E-3</v>
      </c>
      <c r="BH109" s="29"/>
    </row>
    <row r="110" spans="1:60" x14ac:dyDescent="0.25">
      <c r="A110" s="1">
        <v>46182</v>
      </c>
      <c r="B110" s="33">
        <v>20.39</v>
      </c>
      <c r="C110" s="33">
        <v>25.19</v>
      </c>
      <c r="D110" s="15">
        <v>9.8135434764935292E-4</v>
      </c>
      <c r="E110" s="15">
        <v>1.19165853227913E-3</v>
      </c>
      <c r="F110" s="33">
        <v>0</v>
      </c>
      <c r="G110" s="33">
        <v>0.36920999999999998</v>
      </c>
      <c r="H110" s="33">
        <v>0</v>
      </c>
      <c r="I110" s="33">
        <v>0.46664499999999998</v>
      </c>
      <c r="J110" s="33">
        <v>0.36920999999999998</v>
      </c>
      <c r="K110" s="33">
        <v>0.46664499999999998</v>
      </c>
      <c r="L110" s="33">
        <v>20.759209999999999</v>
      </c>
      <c r="M110" s="33">
        <v>25.656645000000001</v>
      </c>
      <c r="N110" s="34">
        <v>1.2354095144678701</v>
      </c>
      <c r="O110" s="34">
        <v>1.2371344131525399</v>
      </c>
      <c r="P110" s="34">
        <v>1.2368777272870199</v>
      </c>
      <c r="Q110" s="34">
        <v>1.2374712580967699</v>
      </c>
      <c r="R110" s="33">
        <v>25.225170684180299</v>
      </c>
      <c r="S110" s="33">
        <v>25.228415995366699</v>
      </c>
      <c r="T110" s="33">
        <v>25.232068076430799</v>
      </c>
      <c r="U110" s="15">
        <v>1.39524232125557E-3</v>
      </c>
      <c r="V110" s="15">
        <v>1.52388773199526E-3</v>
      </c>
      <c r="W110" s="15">
        <v>1.66863787213475E-3</v>
      </c>
      <c r="X110" s="34">
        <v>1.23591625114828</v>
      </c>
      <c r="Y110" s="34">
        <v>1.2358474847357901</v>
      </c>
      <c r="Z110" s="34">
        <v>1.23601471561851</v>
      </c>
      <c r="AA110" s="34">
        <v>1.23593211733741</v>
      </c>
      <c r="AB110" s="33">
        <v>25.655217463602</v>
      </c>
      <c r="AC110" s="33">
        <v>25.6578602786612</v>
      </c>
      <c r="AD110" s="33">
        <v>25.657052963074499</v>
      </c>
      <c r="AE110" s="15">
        <v>-5.5641574083136102E-5</v>
      </c>
      <c r="AF110" s="15">
        <v>4.7365892152459898E-5</v>
      </c>
      <c r="AG110" s="15">
        <v>1.59007473938713E-5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1.9417481829103801E-3</v>
      </c>
      <c r="AT110" s="12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1.18506828010929E-3</v>
      </c>
      <c r="BE110" s="29">
        <f t="shared" si="42"/>
        <v>0</v>
      </c>
      <c r="BF110" s="29">
        <f t="shared" si="43"/>
        <v>3.1268164630196701E-3</v>
      </c>
      <c r="BH110" s="29"/>
    </row>
    <row r="111" spans="1:60" x14ac:dyDescent="0.25">
      <c r="A111" s="1">
        <v>46183</v>
      </c>
      <c r="B111" s="33">
        <v>20.39</v>
      </c>
      <c r="C111" s="33">
        <v>25.17</v>
      </c>
      <c r="D111" s="15">
        <v>0</v>
      </c>
      <c r="E111" s="15">
        <v>-7.9428121729428498E-4</v>
      </c>
      <c r="F111" s="33">
        <v>0</v>
      </c>
      <c r="G111" s="33">
        <v>0.36920999999999998</v>
      </c>
      <c r="H111" s="33">
        <v>0</v>
      </c>
      <c r="I111" s="33">
        <v>0.46664499999999998</v>
      </c>
      <c r="J111" s="33">
        <v>0.36920999999999998</v>
      </c>
      <c r="K111" s="33">
        <v>0.46664499999999998</v>
      </c>
      <c r="L111" s="33">
        <v>20.759209999999999</v>
      </c>
      <c r="M111" s="33">
        <v>25.636645000000001</v>
      </c>
      <c r="N111" s="34">
        <v>1.23442864149092</v>
      </c>
      <c r="O111" s="34">
        <v>1.2371344131525399</v>
      </c>
      <c r="P111" s="34">
        <v>1.2363264795617299</v>
      </c>
      <c r="Q111" s="34">
        <v>1.2373847528856801</v>
      </c>
      <c r="R111" s="33">
        <v>25.225170684180299</v>
      </c>
      <c r="S111" s="33">
        <v>25.2199368593824</v>
      </c>
      <c r="T111" s="33">
        <v>25.2320389525933</v>
      </c>
      <c r="U111" s="15">
        <v>2.18952353854992E-3</v>
      </c>
      <c r="V111" s="15">
        <v>1.9820177933321101E-3</v>
      </c>
      <c r="W111" s="15">
        <v>2.4617648497444601E-3</v>
      </c>
      <c r="X111" s="34">
        <v>1.2349528233492499</v>
      </c>
      <c r="Y111" s="34">
        <v>1.2358474847357901</v>
      </c>
      <c r="Z111" s="34">
        <v>1.23592145169071</v>
      </c>
      <c r="AA111" s="34">
        <v>1.23584461023034</v>
      </c>
      <c r="AB111" s="33">
        <v>25.655217463602</v>
      </c>
      <c r="AC111" s="33">
        <v>25.658689044614999</v>
      </c>
      <c r="AD111" s="33">
        <v>25.656974369552</v>
      </c>
      <c r="AE111" s="15">
        <v>7.2418756199112003E-4</v>
      </c>
      <c r="AF111" s="15">
        <v>8.59495171742511E-4</v>
      </c>
      <c r="AG111" s="15">
        <v>7.9266664611982098E-4</v>
      </c>
      <c r="AI111" s="12"/>
      <c r="AJ111">
        <f t="shared" si="26"/>
        <v>0</v>
      </c>
      <c r="AK111">
        <f t="shared" si="27"/>
        <v>1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1.9417481829103801E-3</v>
      </c>
      <c r="AT111" s="12"/>
      <c r="AU111">
        <f t="shared" si="30"/>
        <v>0</v>
      </c>
      <c r="AV111">
        <f t="shared" si="31"/>
        <v>0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1.18506828010929E-3</v>
      </c>
      <c r="BE111" s="29">
        <f t="shared" si="42"/>
        <v>0</v>
      </c>
      <c r="BF111" s="29">
        <f t="shared" si="43"/>
        <v>3.1268164630196701E-3</v>
      </c>
      <c r="BH111" s="29"/>
    </row>
    <row r="112" spans="1:60" x14ac:dyDescent="0.25">
      <c r="A112" s="1">
        <v>46184</v>
      </c>
      <c r="B112" s="33">
        <v>20.420000000000002</v>
      </c>
      <c r="C112" s="33">
        <v>25.21</v>
      </c>
      <c r="D112" s="15">
        <v>1.47022815015563E-3</v>
      </c>
      <c r="E112" s="15">
        <v>1.58793205260388E-3</v>
      </c>
      <c r="F112" s="33">
        <v>0</v>
      </c>
      <c r="G112" s="33">
        <v>0.36920999999999998</v>
      </c>
      <c r="H112" s="33">
        <v>0</v>
      </c>
      <c r="I112" s="33">
        <v>0.46664499999999998</v>
      </c>
      <c r="J112" s="33">
        <v>0.36920999999999998</v>
      </c>
      <c r="K112" s="33">
        <v>0.46664499999999998</v>
      </c>
      <c r="L112" s="33">
        <v>20.789210000000001</v>
      </c>
      <c r="M112" s="33">
        <v>25.676645000000001</v>
      </c>
      <c r="N112" s="34">
        <v>1.23457394711067</v>
      </c>
      <c r="O112" s="34">
        <v>1.2371344131525399</v>
      </c>
      <c r="P112" s="34">
        <v>1.23580152998638</v>
      </c>
      <c r="Q112" s="34">
        <v>1.23739622910618</v>
      </c>
      <c r="R112" s="33">
        <v>25.2622847165749</v>
      </c>
      <c r="S112" s="33">
        <v>25.245786712650499</v>
      </c>
      <c r="T112" s="33">
        <v>25.267396653925601</v>
      </c>
      <c r="U112" s="15">
        <v>2.0718196361017198E-3</v>
      </c>
      <c r="V112" s="15">
        <v>1.4185377330592601E-3</v>
      </c>
      <c r="W112" s="15">
        <v>2.2741536793588601E-3</v>
      </c>
      <c r="X112" s="34">
        <v>1.2350947919617901</v>
      </c>
      <c r="Y112" s="34">
        <v>1.2358474847357901</v>
      </c>
      <c r="Z112" s="34">
        <v>1.23585374755477</v>
      </c>
      <c r="AA112" s="34">
        <v>1.2358536744245401</v>
      </c>
      <c r="AB112" s="33">
        <v>25.692292888144099</v>
      </c>
      <c r="AC112" s="33">
        <v>25.693830602703098</v>
      </c>
      <c r="AD112" s="33">
        <v>25.692233129446699</v>
      </c>
      <c r="AE112" s="15">
        <v>6.0923543571075195E-4</v>
      </c>
      <c r="AF112" s="15">
        <v>6.6908484465771196E-4</v>
      </c>
      <c r="AG112" s="15">
        <v>6.0690949433994603E-4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1.9417481829103801E-3</v>
      </c>
      <c r="AT112" s="12"/>
      <c r="AU112">
        <f t="shared" si="30"/>
        <v>0</v>
      </c>
      <c r="AV112">
        <f t="shared" si="31"/>
        <v>0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1.18506828010929E-3</v>
      </c>
      <c r="BE112" s="29">
        <f t="shared" si="42"/>
        <v>0</v>
      </c>
      <c r="BF112" s="29">
        <f t="shared" si="43"/>
        <v>3.1268164630196701E-3</v>
      </c>
      <c r="BH112" s="29"/>
    </row>
    <row r="113" spans="1:60" x14ac:dyDescent="0.25">
      <c r="A113" s="1">
        <v>46185</v>
      </c>
      <c r="B113" s="33">
        <v>20.41</v>
      </c>
      <c r="C113" s="33">
        <v>25.22</v>
      </c>
      <c r="D113" s="15">
        <v>-4.8983591476618803E-4</v>
      </c>
      <c r="E113" s="15">
        <v>3.9658933694489699E-4</v>
      </c>
      <c r="F113" s="33">
        <v>0</v>
      </c>
      <c r="G113" s="33">
        <v>0.36920999999999998</v>
      </c>
      <c r="H113" s="33">
        <v>0</v>
      </c>
      <c r="I113" s="33">
        <v>0.46664499999999998</v>
      </c>
      <c r="J113" s="33">
        <v>0.36920999999999998</v>
      </c>
      <c r="K113" s="33">
        <v>0.46664499999999998</v>
      </c>
      <c r="L113" s="33">
        <v>20.779209999999999</v>
      </c>
      <c r="M113" s="33">
        <v>25.686644999999999</v>
      </c>
      <c r="N113" s="34">
        <v>1.23566878980891</v>
      </c>
      <c r="O113" s="34">
        <v>1.2371344131525399</v>
      </c>
      <c r="P113" s="34">
        <v>1.2354095652632</v>
      </c>
      <c r="Q113" s="34">
        <v>1.2374019996446199</v>
      </c>
      <c r="R113" s="33">
        <v>25.249913372443402</v>
      </c>
      <c r="S113" s="33">
        <v>25.222709227022101</v>
      </c>
      <c r="T113" s="33">
        <v>25.255257036057198</v>
      </c>
      <c r="U113" s="15">
        <v>1.1853943843906901E-3</v>
      </c>
      <c r="V113" s="15">
        <v>1.07417982349849E-4</v>
      </c>
      <c r="W113" s="15">
        <v>1.39700296191003E-3</v>
      </c>
      <c r="X113" s="34">
        <v>1.2361704318884099</v>
      </c>
      <c r="Y113" s="34">
        <v>1.2358474847357901</v>
      </c>
      <c r="Z113" s="34">
        <v>1.23591630046222</v>
      </c>
      <c r="AA113" s="34">
        <v>1.2358569008320901</v>
      </c>
      <c r="AB113" s="33">
        <v>25.679934413296699</v>
      </c>
      <c r="AC113" s="33">
        <v>25.6800645497276</v>
      </c>
      <c r="AD113" s="33">
        <v>25.680063030139301</v>
      </c>
      <c r="AE113" s="15">
        <v>-2.61282211821102E-4</v>
      </c>
      <c r="AF113" s="15">
        <v>-2.5621459369365001E-4</v>
      </c>
      <c r="AG113" s="15">
        <v>-2.5627376754794101E-4</v>
      </c>
      <c r="AI113" s="12"/>
      <c r="AJ113">
        <f t="shared" si="26"/>
        <v>0</v>
      </c>
      <c r="AK113">
        <f t="shared" si="27"/>
        <v>0</v>
      </c>
      <c r="AL113">
        <f t="shared" si="34"/>
        <v>0</v>
      </c>
      <c r="AM113">
        <f t="shared" si="24"/>
        <v>1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1.9417481829103801E-3</v>
      </c>
      <c r="AT113" s="12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1.18506828010929E-3</v>
      </c>
      <c r="BE113" s="29">
        <f t="shared" si="42"/>
        <v>0</v>
      </c>
      <c r="BF113" s="29">
        <f t="shared" si="43"/>
        <v>3.1268164630196701E-3</v>
      </c>
      <c r="BH113" s="29"/>
    </row>
    <row r="114" spans="1:60" x14ac:dyDescent="0.25">
      <c r="A114" s="1">
        <v>46188</v>
      </c>
      <c r="B114" s="33">
        <v>20.43</v>
      </c>
      <c r="C114" s="33">
        <v>25.23</v>
      </c>
      <c r="D114" s="15">
        <v>9.794320077771959E-4</v>
      </c>
      <c r="E114" s="15">
        <v>3.9643211619287601E-4</v>
      </c>
      <c r="F114" s="33">
        <v>0</v>
      </c>
      <c r="G114" s="33">
        <v>0.36920999999999998</v>
      </c>
      <c r="H114" s="33">
        <v>0</v>
      </c>
      <c r="I114" s="33">
        <v>0.46664499999999998</v>
      </c>
      <c r="J114" s="33">
        <v>0.36920999999999998</v>
      </c>
      <c r="K114" s="33">
        <v>0.46664499999999998</v>
      </c>
      <c r="L114" s="33">
        <v>20.799209999999999</v>
      </c>
      <c r="M114" s="33">
        <v>25.696645</v>
      </c>
      <c r="N114" s="34">
        <v>1.2349486049926499</v>
      </c>
      <c r="O114" s="34">
        <v>1.2371344131525399</v>
      </c>
      <c r="P114" s="34">
        <v>1.23531443066684</v>
      </c>
      <c r="Q114" s="34">
        <v>1.2374149859942001</v>
      </c>
      <c r="R114" s="33">
        <v>25.274656060706398</v>
      </c>
      <c r="S114" s="33">
        <v>25.239417418327299</v>
      </c>
      <c r="T114" s="33">
        <v>25.280122852739598</v>
      </c>
      <c r="U114" s="15">
        <v>1.7683942759748601E-3</v>
      </c>
      <c r="V114" s="15">
        <v>3.7319307090886202E-4</v>
      </c>
      <c r="W114" s="15">
        <v>1.9846662950395301E-3</v>
      </c>
      <c r="X114" s="34">
        <v>1.23546254881796</v>
      </c>
      <c r="Y114" s="34">
        <v>1.2358474847357901</v>
      </c>
      <c r="Z114" s="34">
        <v>1.2358227588392401</v>
      </c>
      <c r="AA114" s="34">
        <v>1.23586733274115</v>
      </c>
      <c r="AB114" s="33">
        <v>25.704651362991399</v>
      </c>
      <c r="AC114" s="33">
        <v>25.706082675736901</v>
      </c>
      <c r="AD114" s="33">
        <v>25.704847210355901</v>
      </c>
      <c r="AE114" s="15">
        <v>3.1152377946674198E-4</v>
      </c>
      <c r="AF114" s="15">
        <v>3.6720525426180601E-4</v>
      </c>
      <c r="AG114" s="15">
        <v>3.1914289149278803E-4</v>
      </c>
      <c r="AI114" s="12"/>
      <c r="AJ114">
        <f t="shared" si="26"/>
        <v>0</v>
      </c>
      <c r="AK114">
        <f t="shared" si="27"/>
        <v>1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1.9417481829103801E-3</v>
      </c>
      <c r="AT114" s="12"/>
      <c r="AU114">
        <f t="shared" si="30"/>
        <v>0</v>
      </c>
      <c r="AV114">
        <f t="shared" si="31"/>
        <v>0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1.18506828010929E-3</v>
      </c>
      <c r="BE114" s="29">
        <f t="shared" si="42"/>
        <v>0</v>
      </c>
      <c r="BF114" s="29">
        <f t="shared" si="43"/>
        <v>3.1268164630196701E-3</v>
      </c>
      <c r="BH114" s="29"/>
    </row>
    <row r="115" spans="1:60" x14ac:dyDescent="0.25">
      <c r="A115" s="1">
        <v>46189</v>
      </c>
      <c r="B115" s="33">
        <v>20.43</v>
      </c>
      <c r="C115" s="33">
        <v>25.23</v>
      </c>
      <c r="D115" s="15">
        <v>0</v>
      </c>
      <c r="E115" s="15">
        <v>0</v>
      </c>
      <c r="F115" s="33">
        <v>0</v>
      </c>
      <c r="G115" s="33">
        <v>0.36920999999999998</v>
      </c>
      <c r="H115" s="33">
        <v>0</v>
      </c>
      <c r="I115" s="33">
        <v>0.46664499999999998</v>
      </c>
      <c r="J115" s="33">
        <v>0.36920999999999998</v>
      </c>
      <c r="K115" s="33">
        <v>0.46664499999999998</v>
      </c>
      <c r="L115" s="33">
        <v>20.799209999999999</v>
      </c>
      <c r="M115" s="33">
        <v>25.696645</v>
      </c>
      <c r="N115" s="34">
        <v>1.2349486049926499</v>
      </c>
      <c r="O115" s="34">
        <v>1.2371344131525399</v>
      </c>
      <c r="P115" s="34">
        <v>1.23521929607047</v>
      </c>
      <c r="Q115" s="34">
        <v>1.23719093148474</v>
      </c>
      <c r="R115" s="33">
        <v>25.274656060706398</v>
      </c>
      <c r="S115" s="33">
        <v>25.237473818523501</v>
      </c>
      <c r="T115" s="33">
        <v>25.280388163861598</v>
      </c>
      <c r="U115" s="15">
        <v>1.7683942759748601E-3</v>
      </c>
      <c r="V115" s="15">
        <v>2.9618358172859698E-4</v>
      </c>
      <c r="W115" s="15">
        <v>1.9951610909451699E-3</v>
      </c>
      <c r="X115" s="34">
        <v>1.23546254881796</v>
      </c>
      <c r="Y115" s="34">
        <v>1.2358474847357901</v>
      </c>
      <c r="Z115" s="34">
        <v>1.23572921721625</v>
      </c>
      <c r="AA115" s="34">
        <v>1.2358716940147201</v>
      </c>
      <c r="AB115" s="33">
        <v>25.704651362991399</v>
      </c>
      <c r="AC115" s="33">
        <v>25.704137083876699</v>
      </c>
      <c r="AD115" s="33">
        <v>25.705064185823101</v>
      </c>
      <c r="AE115" s="15">
        <v>3.1152377946674198E-4</v>
      </c>
      <c r="AF115" s="15">
        <v>2.9151633987008099E-4</v>
      </c>
      <c r="AG115" s="15">
        <v>3.2758388900927402E-4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1.9417481829103801E-3</v>
      </c>
      <c r="AT115" s="12"/>
      <c r="AU115">
        <f t="shared" si="30"/>
        <v>0</v>
      </c>
      <c r="AV115">
        <f t="shared" si="31"/>
        <v>0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1.18506828010929E-3</v>
      </c>
      <c r="BE115" s="29">
        <f t="shared" si="42"/>
        <v>0</v>
      </c>
      <c r="BF115" s="29">
        <f t="shared" si="43"/>
        <v>3.1268164630196701E-3</v>
      </c>
      <c r="BH115" s="29"/>
    </row>
    <row r="116" spans="1:60" x14ac:dyDescent="0.25">
      <c r="A116" s="1">
        <v>46190</v>
      </c>
      <c r="B116" s="33">
        <v>20.37</v>
      </c>
      <c r="C116" s="33">
        <v>25.17</v>
      </c>
      <c r="D116" s="15">
        <v>-2.9411785908161499E-3</v>
      </c>
      <c r="E116" s="15">
        <v>-2.3809535057418398E-3</v>
      </c>
      <c r="F116" s="33">
        <v>0</v>
      </c>
      <c r="G116" s="33">
        <v>0.36920999999999998</v>
      </c>
      <c r="H116" s="33">
        <v>0</v>
      </c>
      <c r="I116" s="33">
        <v>0.46664499999999998</v>
      </c>
      <c r="J116" s="33">
        <v>0.36920999999999998</v>
      </c>
      <c r="K116" s="33">
        <v>0.46664499999999998</v>
      </c>
      <c r="L116" s="33">
        <v>20.73921</v>
      </c>
      <c r="M116" s="33">
        <v>25.636645000000001</v>
      </c>
      <c r="N116" s="34">
        <v>1.2356406480117801</v>
      </c>
      <c r="O116" s="34">
        <v>1.2371344131525399</v>
      </c>
      <c r="P116" s="34">
        <v>1.23524240942486</v>
      </c>
      <c r="Q116" s="34">
        <v>1.2369650898695801</v>
      </c>
      <c r="R116" s="33">
        <v>25.200427995917298</v>
      </c>
      <c r="S116" s="33">
        <v>25.161417060955401</v>
      </c>
      <c r="T116" s="33">
        <v>25.201579274344201</v>
      </c>
      <c r="U116" s="15">
        <v>1.2081691909005101E-3</v>
      </c>
      <c r="V116" s="15">
        <v>-3.4105692344450598E-4</v>
      </c>
      <c r="W116" s="15">
        <v>1.25385302333024E-3</v>
      </c>
      <c r="X116" s="34">
        <v>1.23614375860989</v>
      </c>
      <c r="Y116" s="34">
        <v>1.2358474847357901</v>
      </c>
      <c r="Z116" s="34">
        <v>1.23575196796241</v>
      </c>
      <c r="AA116" s="34">
        <v>1.23587457187248</v>
      </c>
      <c r="AB116" s="33">
        <v>25.6305005139073</v>
      </c>
      <c r="AC116" s="33">
        <v>25.628047738983501</v>
      </c>
      <c r="AD116" s="33">
        <v>25.631002595227098</v>
      </c>
      <c r="AE116" s="15">
        <v>-2.39704631903279E-4</v>
      </c>
      <c r="AF116" s="15">
        <v>-3.35406715137093E-4</v>
      </c>
      <c r="AG116" s="15">
        <v>-2.20115611316914E-4</v>
      </c>
      <c r="AI116" s="12"/>
      <c r="AJ116">
        <f t="shared" si="26"/>
        <v>0</v>
      </c>
      <c r="AK116">
        <f t="shared" si="27"/>
        <v>0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1.9417481829103801E-3</v>
      </c>
      <c r="AT116" s="12"/>
      <c r="AU116">
        <f t="shared" si="30"/>
        <v>0</v>
      </c>
      <c r="AV116">
        <f t="shared" si="31"/>
        <v>1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1.18506828010929E-3</v>
      </c>
      <c r="BE116" s="29">
        <f t="shared" si="42"/>
        <v>0</v>
      </c>
      <c r="BF116" s="29">
        <f t="shared" si="43"/>
        <v>3.1268164630196701E-3</v>
      </c>
      <c r="BH116" s="29"/>
    </row>
    <row r="117" spans="1:60" x14ac:dyDescent="0.25">
      <c r="A117" s="1">
        <v>46191</v>
      </c>
      <c r="B117" s="33">
        <v>20.39</v>
      </c>
      <c r="C117" s="33">
        <v>25.19</v>
      </c>
      <c r="D117" s="15">
        <v>9.8135434764935292E-4</v>
      </c>
      <c r="E117" s="15">
        <v>7.9428121729439697E-4</v>
      </c>
      <c r="F117" s="33">
        <v>0</v>
      </c>
      <c r="G117" s="33">
        <v>0.36920999999999998</v>
      </c>
      <c r="H117" s="33">
        <v>0</v>
      </c>
      <c r="I117" s="33">
        <v>0.46664499999999998</v>
      </c>
      <c r="J117" s="33">
        <v>0.36920999999999998</v>
      </c>
      <c r="K117" s="33">
        <v>0.46664499999999998</v>
      </c>
      <c r="L117" s="33">
        <v>20.759209999999999</v>
      </c>
      <c r="M117" s="33">
        <v>25.656645000000001</v>
      </c>
      <c r="N117" s="34">
        <v>1.2354095144678701</v>
      </c>
      <c r="O117" s="34">
        <v>1.2371344131525399</v>
      </c>
      <c r="P117" s="34">
        <v>1.2351443221271601</v>
      </c>
      <c r="Q117" s="34">
        <v>1.2367149166254201</v>
      </c>
      <c r="R117" s="33">
        <v>25.225170684180299</v>
      </c>
      <c r="S117" s="33">
        <v>25.186592728172901</v>
      </c>
      <c r="T117" s="33">
        <v>25.221718182440799</v>
      </c>
      <c r="U117" s="15">
        <v>1.39524232125557E-3</v>
      </c>
      <c r="V117" s="15">
        <v>-1.3527202407907299E-4</v>
      </c>
      <c r="W117" s="15">
        <v>1.25836562489299E-3</v>
      </c>
      <c r="X117" s="34">
        <v>1.23591625114828</v>
      </c>
      <c r="Y117" s="34">
        <v>1.2358474847357901</v>
      </c>
      <c r="Z117" s="34">
        <v>1.2356556251825099</v>
      </c>
      <c r="AA117" s="34">
        <v>1.2358533305683499</v>
      </c>
      <c r="AB117" s="33">
        <v>25.655217463602</v>
      </c>
      <c r="AC117" s="33">
        <v>25.6532346108451</v>
      </c>
      <c r="AD117" s="33">
        <v>25.655779771160901</v>
      </c>
      <c r="AE117" s="15">
        <v>-5.5641574083136102E-5</v>
      </c>
      <c r="AF117" s="15">
        <v>-1.3293304080179601E-4</v>
      </c>
      <c r="AG117" s="15">
        <v>-3.3723950600760802E-5</v>
      </c>
      <c r="AI117" s="12"/>
      <c r="AJ117">
        <f t="shared" si="26"/>
        <v>0</v>
      </c>
      <c r="AK117">
        <f t="shared" si="27"/>
        <v>1</v>
      </c>
      <c r="AL117">
        <f t="shared" si="34"/>
        <v>0</v>
      </c>
      <c r="AM117">
        <f t="shared" si="24"/>
        <v>0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1.9417481829103801E-3</v>
      </c>
      <c r="AT117" s="12"/>
      <c r="AU117">
        <f t="shared" si="30"/>
        <v>0</v>
      </c>
      <c r="AV117">
        <f t="shared" si="31"/>
        <v>1</v>
      </c>
      <c r="AW117">
        <f t="shared" si="38"/>
        <v>0</v>
      </c>
      <c r="AX117">
        <f t="shared" si="25"/>
        <v>0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1.18506828010929E-3</v>
      </c>
      <c r="BE117" s="29">
        <f t="shared" si="42"/>
        <v>0</v>
      </c>
      <c r="BF117" s="29">
        <f t="shared" si="43"/>
        <v>3.1268164630196701E-3</v>
      </c>
      <c r="BH117" s="29"/>
    </row>
    <row r="118" spans="1:60" x14ac:dyDescent="0.25">
      <c r="A118" s="1">
        <v>46195</v>
      </c>
      <c r="B118" s="33">
        <v>20.309999999999999</v>
      </c>
      <c r="C118" s="33">
        <v>25.19</v>
      </c>
      <c r="D118" s="15">
        <v>-3.93120899407061E-3</v>
      </c>
      <c r="E118" s="15">
        <v>0</v>
      </c>
      <c r="F118" s="33">
        <v>7.528E-2</v>
      </c>
      <c r="G118" s="33">
        <v>0.44449</v>
      </c>
      <c r="H118" s="33">
        <v>0</v>
      </c>
      <c r="I118" s="33">
        <v>0.46664499999999998</v>
      </c>
      <c r="J118" s="33">
        <v>0.44449</v>
      </c>
      <c r="K118" s="33">
        <v>0.46664499999999998</v>
      </c>
      <c r="L118" s="33">
        <v>20.754489999999901</v>
      </c>
      <c r="M118" s="33">
        <v>25.656645000000001</v>
      </c>
      <c r="N118" s="34">
        <v>1.24027572624323</v>
      </c>
      <c r="O118" s="34">
        <v>1.2371344131525399</v>
      </c>
      <c r="P118" s="34">
        <v>1.2356453721581599</v>
      </c>
      <c r="Q118" s="34">
        <v>1.2367080539700299</v>
      </c>
      <c r="R118" s="33">
        <v>25.126199931128099</v>
      </c>
      <c r="S118" s="33">
        <v>25.085781182402702</v>
      </c>
      <c r="T118" s="33">
        <v>25.1176799566624</v>
      </c>
      <c r="U118" s="15">
        <v>-2.5359666728150599E-3</v>
      </c>
      <c r="V118" s="15">
        <v>-4.1458914978885798E-3</v>
      </c>
      <c r="W118" s="15">
        <v>-2.8751114429410199E-3</v>
      </c>
      <c r="X118" s="34">
        <v>1.2361973240489099</v>
      </c>
      <c r="Y118" s="34">
        <v>1.2358474847357901</v>
      </c>
      <c r="Z118" s="34">
        <v>1.2356978309957001</v>
      </c>
      <c r="AA118" s="34">
        <v>1.23584614290925</v>
      </c>
      <c r="AB118" s="33">
        <v>25.649384263474101</v>
      </c>
      <c r="AC118" s="33">
        <v>25.645402316294199</v>
      </c>
      <c r="AD118" s="33">
        <v>25.649505590747602</v>
      </c>
      <c r="AE118" s="15">
        <v>-2.8303638689623799E-4</v>
      </c>
      <c r="AF118" s="15">
        <v>-4.3829377086770498E-4</v>
      </c>
      <c r="AG118" s="15">
        <v>-2.7830617640370699E-4</v>
      </c>
      <c r="AI118" s="12"/>
      <c r="AJ118">
        <f t="shared" si="26"/>
        <v>0</v>
      </c>
      <c r="AK118">
        <f t="shared" si="27"/>
        <v>0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1.9417481829103801E-3</v>
      </c>
      <c r="AT118" s="12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1.18506828010929E-3</v>
      </c>
      <c r="BE118" s="29">
        <f t="shared" si="42"/>
        <v>0</v>
      </c>
      <c r="BF118" s="29">
        <f t="shared" si="43"/>
        <v>3.1268164630196701E-3</v>
      </c>
      <c r="BH118" s="29"/>
    </row>
    <row r="119" spans="1:60" x14ac:dyDescent="0.25">
      <c r="A119" s="1">
        <v>46196</v>
      </c>
      <c r="B119" s="33">
        <v>20.32</v>
      </c>
      <c r="C119" s="33">
        <v>25.21</v>
      </c>
      <c r="D119" s="15">
        <v>4.92247117987934E-4</v>
      </c>
      <c r="E119" s="15">
        <v>7.93650835309593E-4</v>
      </c>
      <c r="F119" s="33">
        <v>0</v>
      </c>
      <c r="G119" s="33">
        <v>0.44449</v>
      </c>
      <c r="H119" s="33">
        <v>0</v>
      </c>
      <c r="I119" s="33">
        <v>0.46664499999999998</v>
      </c>
      <c r="J119" s="33">
        <v>0.44449</v>
      </c>
      <c r="K119" s="33">
        <v>0.46664499999999998</v>
      </c>
      <c r="L119" s="33">
        <v>20.764489999999999</v>
      </c>
      <c r="M119" s="33">
        <v>25.676645000000001</v>
      </c>
      <c r="N119" s="34">
        <v>1.2406496062992101</v>
      </c>
      <c r="O119" s="34">
        <v>1.2371344131525399</v>
      </c>
      <c r="P119" s="34">
        <v>1.23619535978858</v>
      </c>
      <c r="Q119" s="34">
        <v>1.2367444674216701</v>
      </c>
      <c r="R119" s="33">
        <v>25.1385712752597</v>
      </c>
      <c r="S119" s="33">
        <v>25.108313962254002</v>
      </c>
      <c r="T119" s="33">
        <v>25.129907656671101</v>
      </c>
      <c r="U119" s="15">
        <v>-2.8373703901368101E-3</v>
      </c>
      <c r="V119" s="15">
        <v>-4.0417163518774203E-3</v>
      </c>
      <c r="W119" s="15">
        <v>-3.1820642761815998E-3</v>
      </c>
      <c r="X119" s="34">
        <v>1.2365651648559599</v>
      </c>
      <c r="Y119" s="34">
        <v>1.2358474847357901</v>
      </c>
      <c r="Z119" s="34">
        <v>1.2357881894646701</v>
      </c>
      <c r="AA119" s="34">
        <v>1.2358814911376199</v>
      </c>
      <c r="AB119" s="33">
        <v>25.661742738321401</v>
      </c>
      <c r="AC119" s="33">
        <v>25.658635254731902</v>
      </c>
      <c r="AD119" s="33">
        <v>25.6617148759778</v>
      </c>
      <c r="AE119" s="15">
        <v>-5.8055045176115799E-4</v>
      </c>
      <c r="AF119" s="15">
        <v>-7.0165180427773802E-4</v>
      </c>
      <c r="AG119" s="15">
        <v>-5.81636206497596E-4</v>
      </c>
      <c r="AI119" s="12"/>
      <c r="AJ119">
        <f t="shared" si="26"/>
        <v>0</v>
      </c>
      <c r="AK119">
        <f t="shared" si="27"/>
        <v>0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1.9417481829103801E-3</v>
      </c>
      <c r="AT119" s="12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1.18506828010929E-3</v>
      </c>
      <c r="BE119" s="29">
        <f t="shared" si="42"/>
        <v>0</v>
      </c>
      <c r="BF119" s="29">
        <f t="shared" si="43"/>
        <v>3.1268164630196701E-3</v>
      </c>
      <c r="BH119" s="29"/>
    </row>
    <row r="120" spans="1:60" x14ac:dyDescent="0.25">
      <c r="A120" s="1">
        <v>46197</v>
      </c>
      <c r="B120" s="33">
        <v>20.34</v>
      </c>
      <c r="C120" s="33">
        <v>25.22</v>
      </c>
      <c r="D120" s="15">
        <v>9.83767910132748E-4</v>
      </c>
      <c r="E120" s="15">
        <v>3.9658933694489699E-4</v>
      </c>
      <c r="F120" s="33">
        <v>0</v>
      </c>
      <c r="G120" s="33">
        <v>0.44449</v>
      </c>
      <c r="H120" s="33">
        <v>0</v>
      </c>
      <c r="I120" s="33">
        <v>0.46664499999999998</v>
      </c>
      <c r="J120" s="33">
        <v>0.44449</v>
      </c>
      <c r="K120" s="33">
        <v>0.46664499999999998</v>
      </c>
      <c r="L120" s="33">
        <v>20.784489999999899</v>
      </c>
      <c r="M120" s="33">
        <v>25.686644999999999</v>
      </c>
      <c r="N120" s="34">
        <v>1.2399213372664699</v>
      </c>
      <c r="O120" s="34">
        <v>1.2371344131525399</v>
      </c>
      <c r="P120" s="34">
        <v>1.23664654206844</v>
      </c>
      <c r="Q120" s="34">
        <v>1.23676213467773</v>
      </c>
      <c r="R120" s="33">
        <v>25.1633139635227</v>
      </c>
      <c r="S120" s="33">
        <v>25.144213618099698</v>
      </c>
      <c r="T120" s="33">
        <v>25.155382467356802</v>
      </c>
      <c r="U120" s="15">
        <v>-2.2501918169489099E-3</v>
      </c>
      <c r="V120" s="15">
        <v>-3.0095352893464802E-3</v>
      </c>
      <c r="W120" s="15">
        <v>-2.5654422822491202E-3</v>
      </c>
      <c r="X120" s="34">
        <v>1.23585640061411</v>
      </c>
      <c r="Y120" s="34">
        <v>1.2358474847357901</v>
      </c>
      <c r="Z120" s="34">
        <v>1.2357822044112501</v>
      </c>
      <c r="AA120" s="34">
        <v>1.2358984600148799</v>
      </c>
      <c r="AB120" s="33">
        <v>25.6864596880161</v>
      </c>
      <c r="AC120" s="33">
        <v>25.6852272660465</v>
      </c>
      <c r="AD120" s="33">
        <v>25.687166493734999</v>
      </c>
      <c r="AE120" s="15">
        <v>-7.2143579773598698E-6</v>
      </c>
      <c r="AF120" s="15">
        <v>-5.5194949735595297E-5</v>
      </c>
      <c r="AG120" s="15">
        <v>2.0301928935579E-5</v>
      </c>
      <c r="AI120" s="12"/>
      <c r="AJ120">
        <f t="shared" si="26"/>
        <v>0</v>
      </c>
      <c r="AK120">
        <f t="shared" si="27"/>
        <v>1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1.9417481829103801E-3</v>
      </c>
      <c r="AT120" s="12"/>
      <c r="AU120">
        <f t="shared" si="30"/>
        <v>0</v>
      </c>
      <c r="AV120">
        <f t="shared" si="31"/>
        <v>1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1.18506828010929E-3</v>
      </c>
      <c r="BE120" s="29">
        <f t="shared" si="42"/>
        <v>0</v>
      </c>
      <c r="BF120" s="29">
        <f t="shared" si="43"/>
        <v>3.1268164630196701E-3</v>
      </c>
      <c r="BH120" s="29"/>
    </row>
    <row r="121" spans="1:60" x14ac:dyDescent="0.25">
      <c r="A121" s="1">
        <v>46198</v>
      </c>
      <c r="B121" s="33">
        <v>20.350000000000001</v>
      </c>
      <c r="C121" s="33">
        <v>25.23</v>
      </c>
      <c r="D121" s="15">
        <v>4.9152126819009001E-4</v>
      </c>
      <c r="E121" s="15">
        <v>3.9643211619287601E-4</v>
      </c>
      <c r="F121" s="33">
        <v>0</v>
      </c>
      <c r="G121" s="33">
        <v>0.44449</v>
      </c>
      <c r="H121" s="33">
        <v>0</v>
      </c>
      <c r="I121" s="33">
        <v>0.46664499999999998</v>
      </c>
      <c r="J121" s="33">
        <v>0.44449</v>
      </c>
      <c r="K121" s="33">
        <v>0.46664499999999998</v>
      </c>
      <c r="L121" s="33">
        <v>20.79449</v>
      </c>
      <c r="M121" s="33">
        <v>25.696645</v>
      </c>
      <c r="N121" s="34">
        <v>1.2398034398034301</v>
      </c>
      <c r="O121" s="34">
        <v>1.2371344131525399</v>
      </c>
      <c r="P121" s="34">
        <v>1.2371840218996899</v>
      </c>
      <c r="Q121" s="34">
        <v>1.23675525073071</v>
      </c>
      <c r="R121" s="33">
        <v>25.175685307654199</v>
      </c>
      <c r="S121" s="33">
        <v>25.1657571310927</v>
      </c>
      <c r="T121" s="33">
        <v>25.168109440691801</v>
      </c>
      <c r="U121" s="15">
        <v>-2.1551026649516999E-3</v>
      </c>
      <c r="V121" s="15">
        <v>-2.5495362055601299E-3</v>
      </c>
      <c r="W121" s="15">
        <v>-2.4560679401147301E-3</v>
      </c>
      <c r="X121" s="34">
        <v>1.23574297806774</v>
      </c>
      <c r="Y121" s="34">
        <v>1.2358474847357901</v>
      </c>
      <c r="Z121" s="34">
        <v>1.2358612198831</v>
      </c>
      <c r="AA121" s="34">
        <v>1.2358913357869099</v>
      </c>
      <c r="AB121" s="33">
        <v>25.6988181628635</v>
      </c>
      <c r="AC121" s="33">
        <v>25.697460691807699</v>
      </c>
      <c r="AD121" s="33">
        <v>25.6998781677949</v>
      </c>
      <c r="AE121" s="15">
        <v>8.4566330609743402E-5</v>
      </c>
      <c r="AF121" s="15">
        <v>3.1742620943974497E-5</v>
      </c>
      <c r="AG121" s="15">
        <v>1.2581270482661799E-4</v>
      </c>
      <c r="AI121" s="12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1.9417481829103801E-3</v>
      </c>
      <c r="AT121" s="12"/>
      <c r="AU121">
        <f t="shared" si="30"/>
        <v>0</v>
      </c>
      <c r="AV121">
        <f t="shared" si="31"/>
        <v>1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1.18506828010929E-3</v>
      </c>
      <c r="BE121" s="29">
        <f t="shared" si="42"/>
        <v>0</v>
      </c>
      <c r="BF121" s="29">
        <f t="shared" si="43"/>
        <v>3.1268164630196701E-3</v>
      </c>
      <c r="BH121" s="29"/>
    </row>
    <row r="122" spans="1:60" x14ac:dyDescent="0.25">
      <c r="A122" s="1">
        <v>46199</v>
      </c>
      <c r="B122" s="33">
        <v>20.37</v>
      </c>
      <c r="C122" s="33">
        <v>25.25</v>
      </c>
      <c r="D122" s="15">
        <v>9.82318350110486E-4</v>
      </c>
      <c r="E122" s="15">
        <v>7.9239306840240696E-4</v>
      </c>
      <c r="F122" s="33">
        <v>0</v>
      </c>
      <c r="G122" s="33">
        <v>0.44449</v>
      </c>
      <c r="H122" s="33">
        <v>0</v>
      </c>
      <c r="I122" s="33">
        <v>0.46664499999999998</v>
      </c>
      <c r="J122" s="33">
        <v>0.44449</v>
      </c>
      <c r="K122" s="33">
        <v>0.46664499999999998</v>
      </c>
      <c r="L122" s="33">
        <v>20.814489999999999</v>
      </c>
      <c r="M122" s="33">
        <v>25.716645</v>
      </c>
      <c r="N122" s="34">
        <v>1.23956799214531</v>
      </c>
      <c r="O122" s="34">
        <v>1.2371344131525399</v>
      </c>
      <c r="P122" s="34">
        <v>1.23768342640315</v>
      </c>
      <c r="Q122" s="34">
        <v>1.23674247819477</v>
      </c>
      <c r="R122" s="33">
        <v>25.200427995917298</v>
      </c>
      <c r="S122" s="33">
        <v>25.201438526096702</v>
      </c>
      <c r="T122" s="33">
        <v>25.1927044573846</v>
      </c>
      <c r="U122" s="15">
        <v>-1.96517738324372E-3</v>
      </c>
      <c r="V122" s="15">
        <v>-1.9250784643239001E-3</v>
      </c>
      <c r="W122" s="15">
        <v>-2.2717087781857202E-3</v>
      </c>
      <c r="X122" s="34">
        <v>1.23551645992767</v>
      </c>
      <c r="Y122" s="34">
        <v>1.2358474847357901</v>
      </c>
      <c r="Z122" s="34">
        <v>1.23590338667969</v>
      </c>
      <c r="AA122" s="34">
        <v>1.2358785671172301</v>
      </c>
      <c r="AB122" s="33">
        <v>25.723535112558199</v>
      </c>
      <c r="AC122" s="33">
        <v>25.723821002644598</v>
      </c>
      <c r="AD122" s="33">
        <v>25.724447849823299</v>
      </c>
      <c r="AE122" s="15">
        <v>2.6788835437149399E-4</v>
      </c>
      <c r="AF122" s="15">
        <v>2.7900224274277302E-4</v>
      </c>
      <c r="AG122" s="15">
        <v>3.0337029992439502E-4</v>
      </c>
      <c r="AI122" s="12"/>
      <c r="AJ122">
        <f t="shared" si="26"/>
        <v>0</v>
      </c>
      <c r="AK122">
        <f t="shared" si="27"/>
        <v>1</v>
      </c>
      <c r="AL122">
        <f t="shared" si="34"/>
        <v>0</v>
      </c>
      <c r="AM122">
        <f t="shared" si="24"/>
        <v>1</v>
      </c>
      <c r="AN122">
        <f t="shared" si="35"/>
        <v>0</v>
      </c>
      <c r="AO122" s="28">
        <f t="shared" si="28"/>
        <v>0</v>
      </c>
      <c r="AP122" s="28">
        <f t="shared" si="29"/>
        <v>0</v>
      </c>
      <c r="AQ122" s="28">
        <f t="shared" si="36"/>
        <v>0</v>
      </c>
      <c r="AR122" s="29">
        <f t="shared" si="37"/>
        <v>1.9417481829103801E-3</v>
      </c>
      <c r="AT122" s="12"/>
      <c r="AU122">
        <f t="shared" si="30"/>
        <v>0</v>
      </c>
      <c r="AV122">
        <f t="shared" si="31"/>
        <v>0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1.18506828010929E-3</v>
      </c>
      <c r="BE122" s="29">
        <f t="shared" si="42"/>
        <v>0</v>
      </c>
      <c r="BF122" s="29">
        <f t="shared" si="43"/>
        <v>3.1268164630196701E-3</v>
      </c>
      <c r="BH122" s="29"/>
    </row>
    <row r="123" spans="1:60" x14ac:dyDescent="0.25">
      <c r="A123" s="1">
        <v>46202</v>
      </c>
      <c r="B123" s="33">
        <v>20.37</v>
      </c>
      <c r="C123" s="33">
        <v>25.26</v>
      </c>
      <c r="D123" s="15">
        <v>0</v>
      </c>
      <c r="E123" s="15">
        <v>3.9596120097621799E-4</v>
      </c>
      <c r="F123" s="33">
        <v>0</v>
      </c>
      <c r="G123" s="33">
        <v>0.44449</v>
      </c>
      <c r="H123" s="33">
        <v>0</v>
      </c>
      <c r="I123" s="33">
        <v>0.46664499999999998</v>
      </c>
      <c r="J123" s="33">
        <v>0.44449</v>
      </c>
      <c r="K123" s="33">
        <v>0.46664499999999998</v>
      </c>
      <c r="L123" s="33">
        <v>20.814489999999999</v>
      </c>
      <c r="M123" s="33">
        <v>25.726645000000001</v>
      </c>
      <c r="N123" s="34">
        <v>1.2400589101620001</v>
      </c>
      <c r="O123" s="34">
        <v>1.2371344131525399</v>
      </c>
      <c r="P123" s="34">
        <v>1.2381224384384599</v>
      </c>
      <c r="Q123" s="34">
        <v>1.23676600185083</v>
      </c>
      <c r="R123" s="33">
        <v>25.200427995917298</v>
      </c>
      <c r="S123" s="33">
        <v>25.2116113958322</v>
      </c>
      <c r="T123" s="33">
        <v>25.192444280827399</v>
      </c>
      <c r="U123" s="15">
        <v>-2.3611385842199199E-3</v>
      </c>
      <c r="V123" s="15">
        <v>-1.91745885083332E-3</v>
      </c>
      <c r="W123" s="15">
        <v>-2.6779974889005699E-3</v>
      </c>
      <c r="X123" s="34">
        <v>1.2359968944711099</v>
      </c>
      <c r="Y123" s="34">
        <v>1.2358474847357901</v>
      </c>
      <c r="Z123" s="34">
        <v>1.23588603293796</v>
      </c>
      <c r="AA123" s="34">
        <v>1.2359011667000901</v>
      </c>
      <c r="AB123" s="33">
        <v>25.723535112558199</v>
      </c>
      <c r="AC123" s="33">
        <v>25.724698683010601</v>
      </c>
      <c r="AD123" s="33">
        <v>25.724182076476001</v>
      </c>
      <c r="AE123" s="15">
        <v>-1.2088927341853001E-4</v>
      </c>
      <c r="AF123" s="15">
        <v>-7.5656604900974602E-5</v>
      </c>
      <c r="AG123" s="15">
        <v>-9.5738928442116805E-5</v>
      </c>
      <c r="AI123" s="12"/>
      <c r="AJ123">
        <f t="shared" si="26"/>
        <v>0</v>
      </c>
      <c r="AK123">
        <f t="shared" si="27"/>
        <v>1</v>
      </c>
      <c r="AL123">
        <f t="shared" si="34"/>
        <v>0</v>
      </c>
      <c r="AM123">
        <f t="shared" si="24"/>
        <v>1</v>
      </c>
      <c r="AN123">
        <f t="shared" si="35"/>
        <v>0</v>
      </c>
      <c r="AO123" s="28">
        <f t="shared" si="28"/>
        <v>0</v>
      </c>
      <c r="AP123" s="28">
        <f t="shared" si="29"/>
        <v>0</v>
      </c>
      <c r="AQ123" s="28">
        <f t="shared" si="36"/>
        <v>0</v>
      </c>
      <c r="AR123" s="29">
        <f t="shared" si="37"/>
        <v>1.9417481829103801E-3</v>
      </c>
      <c r="AT123" s="12"/>
      <c r="AU123">
        <f t="shared" si="30"/>
        <v>0</v>
      </c>
      <c r="AV123">
        <f t="shared" si="31"/>
        <v>1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1.18506828010929E-3</v>
      </c>
      <c r="BE123" s="29">
        <f t="shared" si="42"/>
        <v>0</v>
      </c>
      <c r="BF123" s="29">
        <f t="shared" si="43"/>
        <v>3.1268164630196701E-3</v>
      </c>
      <c r="BH123" s="29"/>
    </row>
    <row r="124" spans="1:60" x14ac:dyDescent="0.25">
      <c r="A124" s="1">
        <v>46203</v>
      </c>
      <c r="B124" s="33">
        <v>20.37</v>
      </c>
      <c r="C124" s="33">
        <v>25.25</v>
      </c>
      <c r="D124" s="15">
        <v>0</v>
      </c>
      <c r="E124" s="15">
        <v>-3.9596120097629302E-4</v>
      </c>
      <c r="F124" s="33">
        <v>0</v>
      </c>
      <c r="G124" s="33">
        <v>0.44449</v>
      </c>
      <c r="H124" s="33">
        <v>0</v>
      </c>
      <c r="I124" s="33">
        <v>0.46664499999999998</v>
      </c>
      <c r="J124" s="33">
        <v>0.44449</v>
      </c>
      <c r="K124" s="33">
        <v>0.46664499999999998</v>
      </c>
      <c r="L124" s="33">
        <v>20.814489999999999</v>
      </c>
      <c r="M124" s="33">
        <v>25.716645</v>
      </c>
      <c r="N124" s="34">
        <v>1.23956799214531</v>
      </c>
      <c r="O124" s="34">
        <v>1.2371344131525399</v>
      </c>
      <c r="P124" s="34">
        <v>1.2385843771537199</v>
      </c>
      <c r="Q124" s="34">
        <v>1.23694940391028</v>
      </c>
      <c r="R124" s="33">
        <v>25.200427995917298</v>
      </c>
      <c r="S124" s="33">
        <v>25.220554070991501</v>
      </c>
      <c r="T124" s="33">
        <v>25.1929234577015</v>
      </c>
      <c r="U124" s="15">
        <v>-1.96517738324372E-3</v>
      </c>
      <c r="V124" s="15">
        <v>-1.1668559179309099E-3</v>
      </c>
      <c r="W124" s="15">
        <v>-2.2630158105278902E-3</v>
      </c>
      <c r="X124" s="34">
        <v>1.23551645992767</v>
      </c>
      <c r="Y124" s="34">
        <v>1.2358474847357901</v>
      </c>
      <c r="Z124" s="34">
        <v>1.23589142404893</v>
      </c>
      <c r="AA124" s="34">
        <v>1.2358570914440801</v>
      </c>
      <c r="AB124" s="33">
        <v>25.723535112558199</v>
      </c>
      <c r="AC124" s="33">
        <v>25.724337473726798</v>
      </c>
      <c r="AD124" s="33">
        <v>25.724652475267401</v>
      </c>
      <c r="AE124" s="15">
        <v>2.6788835437149399E-4</v>
      </c>
      <c r="AF124" s="15">
        <v>2.99079582633148E-4</v>
      </c>
      <c r="AG124" s="15">
        <v>3.1132478087136603E-4</v>
      </c>
      <c r="AI124" s="12"/>
      <c r="AJ124">
        <f t="shared" si="26"/>
        <v>0</v>
      </c>
      <c r="AK124">
        <f t="shared" si="27"/>
        <v>1</v>
      </c>
      <c r="AL124">
        <f t="shared" si="34"/>
        <v>0</v>
      </c>
      <c r="AM124">
        <f t="shared" si="24"/>
        <v>0</v>
      </c>
      <c r="AN124">
        <f t="shared" si="35"/>
        <v>0</v>
      </c>
      <c r="AO124" s="28">
        <f t="shared" si="28"/>
        <v>0</v>
      </c>
      <c r="AP124" s="28">
        <f t="shared" si="29"/>
        <v>0</v>
      </c>
      <c r="AQ124" s="28">
        <f t="shared" si="36"/>
        <v>0</v>
      </c>
      <c r="AR124" s="29">
        <f t="shared" si="37"/>
        <v>1.9417481829103801E-3</v>
      </c>
      <c r="AT124" s="12"/>
      <c r="AU124">
        <f t="shared" si="30"/>
        <v>0</v>
      </c>
      <c r="AV124">
        <f t="shared" si="31"/>
        <v>0</v>
      </c>
      <c r="AW124">
        <f t="shared" si="38"/>
        <v>0</v>
      </c>
      <c r="AX124">
        <f t="shared" si="25"/>
        <v>0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1.18506828010929E-3</v>
      </c>
      <c r="BE124" s="29">
        <f t="shared" si="42"/>
        <v>0</v>
      </c>
      <c r="BF124" s="29">
        <f t="shared" si="43"/>
        <v>3.1268164630196701E-3</v>
      </c>
      <c r="BH124" s="29"/>
    </row>
    <row r="125" spans="1:60" x14ac:dyDescent="0.25">
      <c r="A125" s="1">
        <v>46204</v>
      </c>
      <c r="B125" s="33">
        <v>20.350000000000001</v>
      </c>
      <c r="C125" s="33">
        <v>25.14</v>
      </c>
      <c r="D125" s="15">
        <v>-9.8231835011045195E-4</v>
      </c>
      <c r="E125" s="15">
        <v>-4.3659525592674702E-3</v>
      </c>
      <c r="F125" s="33">
        <v>0</v>
      </c>
      <c r="G125" s="33">
        <v>0.44449</v>
      </c>
      <c r="H125" s="33">
        <v>9.1302999999999995E-2</v>
      </c>
      <c r="I125" s="33">
        <v>0.557948</v>
      </c>
      <c r="J125" s="33">
        <v>0.44449</v>
      </c>
      <c r="K125" s="33">
        <v>0.557948</v>
      </c>
      <c r="L125" s="33">
        <v>20.79449</v>
      </c>
      <c r="M125" s="33">
        <v>25.697948</v>
      </c>
      <c r="N125" s="34">
        <v>1.23538083538083</v>
      </c>
      <c r="O125" s="34">
        <v>1.2371344131525399</v>
      </c>
      <c r="P125" s="34">
        <v>1.23862760019254</v>
      </c>
      <c r="Q125" s="34">
        <v>1.2369234481314999</v>
      </c>
      <c r="R125" s="33">
        <v>25.175685307654199</v>
      </c>
      <c r="S125" s="33">
        <v>25.205192075078301</v>
      </c>
      <c r="T125" s="33">
        <v>25.171920369574298</v>
      </c>
      <c r="U125" s="15">
        <v>1.4184568259132601E-3</v>
      </c>
      <c r="V125" s="15">
        <v>2.5898048583703798E-3</v>
      </c>
      <c r="W125" s="15">
        <v>1.2688990451070099E-3</v>
      </c>
      <c r="X125" s="34">
        <v>1.23580563889761</v>
      </c>
      <c r="Y125" s="34">
        <v>1.2358474847357901</v>
      </c>
      <c r="Z125" s="34">
        <v>1.23592573305689</v>
      </c>
      <c r="AA125" s="34">
        <v>1.2358274751365701</v>
      </c>
      <c r="AB125" s="33">
        <v>25.6988181628635</v>
      </c>
      <c r="AC125" s="33">
        <v>25.699731858471299</v>
      </c>
      <c r="AD125" s="33">
        <v>25.6990179294631</v>
      </c>
      <c r="AE125" s="15">
        <v>3.3860607527997898E-5</v>
      </c>
      <c r="AF125" s="15">
        <v>6.9413968761151303E-5</v>
      </c>
      <c r="AG125" s="15">
        <v>4.1633954221572403E-5</v>
      </c>
      <c r="AI125" s="12"/>
      <c r="AJ125">
        <f t="shared" si="26"/>
        <v>0</v>
      </c>
      <c r="AK125">
        <f t="shared" si="27"/>
        <v>1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1.9417481829103801E-3</v>
      </c>
      <c r="AT125" s="12"/>
      <c r="AU125">
        <f t="shared" si="30"/>
        <v>0</v>
      </c>
      <c r="AV125">
        <f t="shared" si="31"/>
        <v>1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1.18506828010929E-3</v>
      </c>
      <c r="BE125" s="29">
        <f t="shared" si="42"/>
        <v>0</v>
      </c>
      <c r="BF125" s="29">
        <f t="shared" si="43"/>
        <v>3.1268164630196701E-3</v>
      </c>
      <c r="BH125" s="29"/>
    </row>
    <row r="126" spans="1:60" x14ac:dyDescent="0.25">
      <c r="A126" s="1">
        <v>46205</v>
      </c>
      <c r="B126" s="33">
        <v>20.39</v>
      </c>
      <c r="C126" s="33">
        <v>25.19</v>
      </c>
      <c r="D126" s="15">
        <v>1.9636726977598699E-3</v>
      </c>
      <c r="E126" s="15">
        <v>1.9868872024175499E-3</v>
      </c>
      <c r="F126" s="33">
        <v>0</v>
      </c>
      <c r="G126" s="33">
        <v>0.44449</v>
      </c>
      <c r="H126" s="33">
        <v>0</v>
      </c>
      <c r="I126" s="33">
        <v>0.557948</v>
      </c>
      <c r="J126" s="33">
        <v>0.44449</v>
      </c>
      <c r="K126" s="33">
        <v>0.557948</v>
      </c>
      <c r="L126" s="33">
        <v>20.834489999999999</v>
      </c>
      <c r="M126" s="33">
        <v>25.747948000000001</v>
      </c>
      <c r="N126" s="34">
        <v>1.2354095144678701</v>
      </c>
      <c r="O126" s="34">
        <v>1.2371344131525399</v>
      </c>
      <c r="P126" s="34">
        <v>1.2386044868381501</v>
      </c>
      <c r="Q126" s="34">
        <v>1.2369234481314999</v>
      </c>
      <c r="R126" s="33">
        <v>25.225170684180299</v>
      </c>
      <c r="S126" s="33">
        <v>25.255616767926</v>
      </c>
      <c r="T126" s="33">
        <v>25.220869107401398</v>
      </c>
      <c r="U126" s="15">
        <v>1.39524232125557E-3</v>
      </c>
      <c r="V126" s="15">
        <v>2.6014868738467199E-3</v>
      </c>
      <c r="W126" s="15">
        <v>1.2247006174029901E-3</v>
      </c>
      <c r="X126" s="34">
        <v>1.2358328905579099</v>
      </c>
      <c r="Y126" s="34">
        <v>1.2358474847357901</v>
      </c>
      <c r="Z126" s="34">
        <v>1.2358946462517</v>
      </c>
      <c r="AA126" s="34">
        <v>1.2358233071070499</v>
      </c>
      <c r="AB126" s="33">
        <v>25.748252062252899</v>
      </c>
      <c r="AC126" s="33">
        <v>25.749882326116602</v>
      </c>
      <c r="AD126" s="33">
        <v>25.747835172458199</v>
      </c>
      <c r="AE126" s="15">
        <v>1.1809114171783699E-5</v>
      </c>
      <c r="AF126" s="15">
        <v>7.5122625761296096E-5</v>
      </c>
      <c r="AG126" s="15">
        <v>-4.3820109052552303E-6</v>
      </c>
      <c r="AI126" s="12"/>
      <c r="AJ126">
        <f t="shared" si="26"/>
        <v>0</v>
      </c>
      <c r="AK126">
        <f t="shared" si="27"/>
        <v>1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1.9417481829103801E-3</v>
      </c>
      <c r="AT126" s="12"/>
      <c r="AU126">
        <f t="shared" si="30"/>
        <v>0</v>
      </c>
      <c r="AV126">
        <f t="shared" si="31"/>
        <v>1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1.18506828010929E-3</v>
      </c>
      <c r="BE126" s="29">
        <f t="shared" si="42"/>
        <v>0</v>
      </c>
      <c r="BF126" s="29">
        <f t="shared" si="43"/>
        <v>3.1268164630196701E-3</v>
      </c>
      <c r="BH126" s="29"/>
    </row>
    <row r="127" spans="1:60" x14ac:dyDescent="0.25">
      <c r="A127" s="1">
        <v>46209</v>
      </c>
      <c r="B127" s="33">
        <v>20.39</v>
      </c>
      <c r="C127" s="33">
        <v>25.19</v>
      </c>
      <c r="D127" s="15">
        <v>0</v>
      </c>
      <c r="E127" s="15">
        <v>0</v>
      </c>
      <c r="F127" s="33">
        <v>0</v>
      </c>
      <c r="G127" s="33">
        <v>0.44449</v>
      </c>
      <c r="H127" s="33">
        <v>0</v>
      </c>
      <c r="I127" s="33">
        <v>0.557948</v>
      </c>
      <c r="J127" s="33">
        <v>0.44449</v>
      </c>
      <c r="K127" s="33">
        <v>0.557948</v>
      </c>
      <c r="L127" s="33">
        <v>20.834489999999999</v>
      </c>
      <c r="M127" s="33">
        <v>25.747948000000001</v>
      </c>
      <c r="N127" s="34">
        <v>1.2354095144678701</v>
      </c>
      <c r="O127" s="34">
        <v>1.2371344131525399</v>
      </c>
      <c r="P127" s="34">
        <v>1.2386044868381501</v>
      </c>
      <c r="Q127" s="34">
        <v>1.2368744044826601</v>
      </c>
      <c r="R127" s="33">
        <v>25.225170684180299</v>
      </c>
      <c r="S127" s="33">
        <v>25.255145486629999</v>
      </c>
      <c r="T127" s="33">
        <v>25.220869107401398</v>
      </c>
      <c r="U127" s="15">
        <v>1.39524232125557E-3</v>
      </c>
      <c r="V127" s="15">
        <v>2.5828262449036701E-3</v>
      </c>
      <c r="W127" s="15">
        <v>1.2247006174029901E-3</v>
      </c>
      <c r="X127" s="34">
        <v>1.2358328905579099</v>
      </c>
      <c r="Y127" s="34">
        <v>1.2358474847357901</v>
      </c>
      <c r="Z127" s="34">
        <v>1.23588631019266</v>
      </c>
      <c r="AA127" s="34">
        <v>1.2357709676875801</v>
      </c>
      <c r="AB127" s="33">
        <v>25.748252062252899</v>
      </c>
      <c r="AC127" s="33">
        <v>25.749234648384601</v>
      </c>
      <c r="AD127" s="33">
        <v>25.7477483336889</v>
      </c>
      <c r="AE127" s="15">
        <v>1.1809114171783699E-5</v>
      </c>
      <c r="AF127" s="15">
        <v>4.9969661201171901E-5</v>
      </c>
      <c r="AG127" s="15">
        <v>-7.75467952679568E-6</v>
      </c>
      <c r="AI127" s="12"/>
      <c r="AJ127">
        <f t="shared" si="26"/>
        <v>0</v>
      </c>
      <c r="AK127">
        <f t="shared" si="27"/>
        <v>1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1.9417481829103801E-3</v>
      </c>
      <c r="AT127" s="12"/>
      <c r="AU127">
        <f t="shared" si="30"/>
        <v>0</v>
      </c>
      <c r="AV127">
        <f t="shared" si="31"/>
        <v>1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1.18506828010929E-3</v>
      </c>
      <c r="BE127" s="29">
        <f t="shared" si="42"/>
        <v>0</v>
      </c>
      <c r="BF127" s="29">
        <f t="shared" si="43"/>
        <v>3.1268164630196701E-3</v>
      </c>
      <c r="BH127" s="29"/>
    </row>
    <row r="128" spans="1:60" x14ac:dyDescent="0.25">
      <c r="A128" s="1">
        <v>46210</v>
      </c>
      <c r="B128" s="33">
        <v>20.36</v>
      </c>
      <c r="C128" s="33">
        <v>25.16</v>
      </c>
      <c r="D128" s="15">
        <v>-1.4723929040418699E-3</v>
      </c>
      <c r="E128" s="15">
        <v>-1.1916585322791001E-3</v>
      </c>
      <c r="F128" s="33">
        <v>0</v>
      </c>
      <c r="G128" s="33">
        <v>0.44449</v>
      </c>
      <c r="H128" s="33">
        <v>0</v>
      </c>
      <c r="I128" s="33">
        <v>0.557948</v>
      </c>
      <c r="J128" s="33">
        <v>0.44449</v>
      </c>
      <c r="K128" s="33">
        <v>0.557948</v>
      </c>
      <c r="L128" s="33">
        <v>20.804489999999898</v>
      </c>
      <c r="M128" s="33">
        <v>25.717948</v>
      </c>
      <c r="N128" s="34">
        <v>1.2357563850687601</v>
      </c>
      <c r="O128" s="34">
        <v>1.2371344131525399</v>
      </c>
      <c r="P128" s="34">
        <v>1.23815255272071</v>
      </c>
      <c r="Q128" s="34">
        <v>1.23689896243943</v>
      </c>
      <c r="R128" s="33">
        <v>25.1880566517858</v>
      </c>
      <c r="S128" s="33">
        <v>25.217987352024799</v>
      </c>
      <c r="T128" s="33">
        <v>25.182762875266899</v>
      </c>
      <c r="U128" s="15">
        <v>1.11450794949286E-3</v>
      </c>
      <c r="V128" s="15">
        <v>2.3020918731408101E-3</v>
      </c>
      <c r="W128" s="15">
        <v>9.0431575536103299E-4</v>
      </c>
      <c r="X128" s="34">
        <v>1.2361729607406799</v>
      </c>
      <c r="Y128" s="34">
        <v>1.2358474847357901</v>
      </c>
      <c r="Z128" s="34">
        <v>1.2358838738618401</v>
      </c>
      <c r="AA128" s="34">
        <v>1.23579085242877</v>
      </c>
      <c r="AB128" s="33">
        <v>25.711176637710899</v>
      </c>
      <c r="AC128" s="33">
        <v>25.711984381540098</v>
      </c>
      <c r="AD128" s="33">
        <v>25.709584739546699</v>
      </c>
      <c r="AE128" s="15">
        <v>-2.6332792463134398E-4</v>
      </c>
      <c r="AF128" s="15">
        <v>-2.31912359608177E-4</v>
      </c>
      <c r="AG128" s="15">
        <v>-3.25244478256678E-4</v>
      </c>
      <c r="AI128" s="12"/>
      <c r="AJ128">
        <f t="shared" si="26"/>
        <v>0</v>
      </c>
      <c r="AK128">
        <f t="shared" si="27"/>
        <v>0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1.9417481829103801E-3</v>
      </c>
      <c r="AT128" s="12"/>
      <c r="AU128">
        <f t="shared" si="30"/>
        <v>0</v>
      </c>
      <c r="AV128">
        <f t="shared" si="31"/>
        <v>1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1.18506828010929E-3</v>
      </c>
      <c r="BE128" s="29">
        <f t="shared" si="42"/>
        <v>0</v>
      </c>
      <c r="BF128" s="29">
        <f t="shared" si="43"/>
        <v>3.1268164630196701E-3</v>
      </c>
      <c r="BH128" s="29"/>
    </row>
    <row r="129" spans="1:60" x14ac:dyDescent="0.25">
      <c r="A129" s="1">
        <v>46211</v>
      </c>
      <c r="B129" s="33">
        <v>20.36</v>
      </c>
      <c r="C129" s="33">
        <v>25.15</v>
      </c>
      <c r="D129" s="15">
        <v>0</v>
      </c>
      <c r="E129" s="15">
        <v>-3.97535286491591E-4</v>
      </c>
      <c r="F129" s="33">
        <v>0</v>
      </c>
      <c r="G129" s="33">
        <v>0.44449</v>
      </c>
      <c r="H129" s="33">
        <v>0</v>
      </c>
      <c r="I129" s="33">
        <v>0.557948</v>
      </c>
      <c r="J129" s="33">
        <v>0.44449</v>
      </c>
      <c r="K129" s="33">
        <v>0.557948</v>
      </c>
      <c r="L129" s="33">
        <v>20.804489999999898</v>
      </c>
      <c r="M129" s="33">
        <v>25.707947999999998</v>
      </c>
      <c r="N129" s="34">
        <v>1.2352652259332</v>
      </c>
      <c r="O129" s="34">
        <v>1.2371344131525399</v>
      </c>
      <c r="P129" s="34">
        <v>1.2376141146841</v>
      </c>
      <c r="Q129" s="34">
        <v>1.23690473723634</v>
      </c>
      <c r="R129" s="33">
        <v>25.1880566517858</v>
      </c>
      <c r="S129" s="33">
        <v>25.208785973393599</v>
      </c>
      <c r="T129" s="33">
        <v>25.183262875266902</v>
      </c>
      <c r="U129" s="15">
        <v>1.5120432359844701E-3</v>
      </c>
      <c r="V129" s="15">
        <v>2.3346869452763202E-3</v>
      </c>
      <c r="W129" s="15">
        <v>1.3217056955626299E-3</v>
      </c>
      <c r="X129" s="34">
        <v>1.23569229526895</v>
      </c>
      <c r="Y129" s="34">
        <v>1.2358474847357901</v>
      </c>
      <c r="Z129" s="34">
        <v>1.23579658690314</v>
      </c>
      <c r="AA129" s="34">
        <v>1.2357923881838999</v>
      </c>
      <c r="AB129" s="33">
        <v>25.711176637710899</v>
      </c>
      <c r="AC129" s="33">
        <v>25.7119336949199</v>
      </c>
      <c r="AD129" s="33">
        <v>25.709998431445801</v>
      </c>
      <c r="AE129" s="15">
        <v>1.2558120107620499E-4</v>
      </c>
      <c r="AF129" s="15">
        <v>1.5502544138753E-4</v>
      </c>
      <c r="AG129" s="15">
        <v>7.9755477970588697E-5</v>
      </c>
      <c r="AI129" s="12"/>
      <c r="AJ129">
        <f t="shared" si="26"/>
        <v>0</v>
      </c>
      <c r="AK129">
        <f t="shared" si="27"/>
        <v>1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1.9417481829103801E-3</v>
      </c>
      <c r="AT129" s="12"/>
      <c r="AU129">
        <f t="shared" si="30"/>
        <v>0</v>
      </c>
      <c r="AV129">
        <f t="shared" si="31"/>
        <v>1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1.18506828010929E-3</v>
      </c>
      <c r="BE129" s="29">
        <f t="shared" si="42"/>
        <v>0</v>
      </c>
      <c r="BF129" s="29">
        <f t="shared" si="43"/>
        <v>3.1268164630196701E-3</v>
      </c>
      <c r="BH129" s="29"/>
    </row>
    <row r="130" spans="1:60" x14ac:dyDescent="0.25">
      <c r="A130" s="1">
        <v>46212</v>
      </c>
      <c r="B130" s="33">
        <v>20.38</v>
      </c>
      <c r="C130" s="33">
        <v>25.16</v>
      </c>
      <c r="D130" s="15">
        <v>9.8183611225663805E-4</v>
      </c>
      <c r="E130" s="15">
        <v>3.9753528649158899E-4</v>
      </c>
      <c r="F130" s="33">
        <v>0</v>
      </c>
      <c r="G130" s="33">
        <v>0.44449</v>
      </c>
      <c r="H130" s="33">
        <v>0</v>
      </c>
      <c r="I130" s="33">
        <v>0.557948</v>
      </c>
      <c r="J130" s="33">
        <v>0.44449</v>
      </c>
      <c r="K130" s="33">
        <v>0.557948</v>
      </c>
      <c r="L130" s="33">
        <v>20.824489999999901</v>
      </c>
      <c r="M130" s="33">
        <v>25.717948</v>
      </c>
      <c r="N130" s="34">
        <v>1.2345436702649599</v>
      </c>
      <c r="O130" s="34">
        <v>1.2371344131525399</v>
      </c>
      <c r="P130" s="34">
        <v>1.2370763479839499</v>
      </c>
      <c r="Q130" s="34">
        <v>1.2368614450261901</v>
      </c>
      <c r="R130" s="33">
        <v>25.2127993400488</v>
      </c>
      <c r="S130" s="33">
        <v>25.222575657262102</v>
      </c>
      <c r="T130" s="33">
        <v>25.208118544876701</v>
      </c>
      <c r="U130" s="15">
        <v>2.0963440617496501E-3</v>
      </c>
      <c r="V130" s="15">
        <v>2.48402105775684E-3</v>
      </c>
      <c r="W130" s="15">
        <v>1.9106752805396099E-3</v>
      </c>
      <c r="X130" s="34">
        <v>1.2349857307429799</v>
      </c>
      <c r="Y130" s="34">
        <v>1.2358474847357901</v>
      </c>
      <c r="Z130" s="34">
        <v>1.23570951991602</v>
      </c>
      <c r="AA130" s="34">
        <v>1.2357458621636399</v>
      </c>
      <c r="AB130" s="33">
        <v>25.735893587405599</v>
      </c>
      <c r="AC130" s="33">
        <v>25.734833665998501</v>
      </c>
      <c r="AD130" s="33">
        <v>25.734746229811801</v>
      </c>
      <c r="AE130" s="15">
        <v>6.9754123616866002E-4</v>
      </c>
      <c r="AF130" s="15">
        <v>6.5635582987105595E-4</v>
      </c>
      <c r="AG130" s="15">
        <v>6.5295824291262505E-4</v>
      </c>
      <c r="AI130" s="12"/>
      <c r="AJ130">
        <f t="shared" si="26"/>
        <v>0</v>
      </c>
      <c r="AK130">
        <f t="shared" si="27"/>
        <v>1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1.9417481829103801E-3</v>
      </c>
      <c r="AT130" s="12"/>
      <c r="AU130">
        <f t="shared" si="30"/>
        <v>0</v>
      </c>
      <c r="AV130">
        <f t="shared" si="31"/>
        <v>0</v>
      </c>
      <c r="AW130">
        <f t="shared" si="38"/>
        <v>0</v>
      </c>
      <c r="AX130">
        <f t="shared" si="25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1.18506828010929E-3</v>
      </c>
      <c r="BE130" s="29">
        <f t="shared" si="42"/>
        <v>0</v>
      </c>
      <c r="BF130" s="29">
        <f t="shared" si="43"/>
        <v>3.1268164630196701E-3</v>
      </c>
      <c r="BH130" s="29"/>
    </row>
    <row r="131" spans="1:60" x14ac:dyDescent="0.25">
      <c r="A131" s="1">
        <v>46213</v>
      </c>
      <c r="B131" s="33">
        <v>20.36</v>
      </c>
      <c r="C131" s="33">
        <v>25.15</v>
      </c>
      <c r="D131" s="15">
        <v>-9.8183611225670093E-4</v>
      </c>
      <c r="E131" s="15">
        <v>-3.97535286491591E-4</v>
      </c>
      <c r="F131" s="33">
        <v>0</v>
      </c>
      <c r="G131" s="33">
        <v>0.44449</v>
      </c>
      <c r="H131" s="33">
        <v>0</v>
      </c>
      <c r="I131" s="33">
        <v>0.557948</v>
      </c>
      <c r="J131" s="33">
        <v>0.44449</v>
      </c>
      <c r="K131" s="33">
        <v>0.557948</v>
      </c>
      <c r="L131" s="33">
        <v>20.804489999999898</v>
      </c>
      <c r="M131" s="33">
        <v>25.707947999999998</v>
      </c>
      <c r="N131" s="34">
        <v>1.2352652259332</v>
      </c>
      <c r="O131" s="34">
        <v>1.2371344131525399</v>
      </c>
      <c r="P131" s="34">
        <v>1.2366225265969299</v>
      </c>
      <c r="Q131" s="34">
        <v>1.2369032742483099</v>
      </c>
      <c r="R131" s="33">
        <v>25.1880566517858</v>
      </c>
      <c r="S131" s="33">
        <v>25.1868744449533</v>
      </c>
      <c r="T131" s="33">
        <v>25.182499020733399</v>
      </c>
      <c r="U131" s="15">
        <v>1.5120432359844701E-3</v>
      </c>
      <c r="V131" s="15">
        <v>1.4651069203652899E-3</v>
      </c>
      <c r="W131" s="15">
        <v>1.2913734021607001E-3</v>
      </c>
      <c r="X131" s="34">
        <v>1.23569229526895</v>
      </c>
      <c r="Y131" s="34">
        <v>1.2358474847357901</v>
      </c>
      <c r="Z131" s="34">
        <v>1.23570445163614</v>
      </c>
      <c r="AA131" s="34">
        <v>1.2357828357596199</v>
      </c>
      <c r="AB131" s="33">
        <v>25.711176637710899</v>
      </c>
      <c r="AC131" s="33">
        <v>25.708306349997802</v>
      </c>
      <c r="AD131" s="33">
        <v>25.709062431924799</v>
      </c>
      <c r="AE131" s="15">
        <v>1.2558120107620499E-4</v>
      </c>
      <c r="AF131" s="15">
        <v>1.3939171662285499E-5</v>
      </c>
      <c r="AG131" s="15">
        <v>4.3348763985548299E-5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1.9417481829103801E-3</v>
      </c>
      <c r="AT131" s="12"/>
      <c r="AU131">
        <f t="shared" si="30"/>
        <v>0</v>
      </c>
      <c r="AV131">
        <f t="shared" si="31"/>
        <v>1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1.18506828010929E-3</v>
      </c>
      <c r="BE131" s="29">
        <f t="shared" si="42"/>
        <v>0</v>
      </c>
      <c r="BF131" s="29">
        <f t="shared" si="43"/>
        <v>3.1268164630196701E-3</v>
      </c>
      <c r="BH131" s="29"/>
    </row>
    <row r="132" spans="1:60" x14ac:dyDescent="0.25">
      <c r="A132" s="1">
        <v>46216</v>
      </c>
      <c r="B132" s="33">
        <v>20.329999999999998</v>
      </c>
      <c r="C132" s="33">
        <v>25.13</v>
      </c>
      <c r="D132" s="15">
        <v>-1.4745640420667601E-3</v>
      </c>
      <c r="E132" s="15">
        <v>-7.9554499024734595E-4</v>
      </c>
      <c r="F132" s="33">
        <v>0</v>
      </c>
      <c r="G132" s="33">
        <v>0.44449</v>
      </c>
      <c r="H132" s="33">
        <v>0</v>
      </c>
      <c r="I132" s="33">
        <v>0.557948</v>
      </c>
      <c r="J132" s="33">
        <v>0.44449</v>
      </c>
      <c r="K132" s="33">
        <v>0.557948</v>
      </c>
      <c r="L132" s="33">
        <v>20.774489999999901</v>
      </c>
      <c r="M132" s="33">
        <v>25.687947999999999</v>
      </c>
      <c r="N132" s="34">
        <v>1.2361042793900601</v>
      </c>
      <c r="O132" s="34">
        <v>1.2371344131525399</v>
      </c>
      <c r="P132" s="34">
        <v>1.2362761553214101</v>
      </c>
      <c r="Q132" s="34">
        <v>1.2369797908622799</v>
      </c>
      <c r="R132" s="33">
        <v>25.150942619391198</v>
      </c>
      <c r="S132" s="33">
        <v>25.1405359657156</v>
      </c>
      <c r="T132" s="33">
        <v>25.1462435654682</v>
      </c>
      <c r="U132" s="15">
        <v>8.3302418416493604E-4</v>
      </c>
      <c r="V132" s="15">
        <v>4.1917062022725602E-4</v>
      </c>
      <c r="W132" s="15">
        <v>6.4617262076262498E-4</v>
      </c>
      <c r="X132" s="34">
        <v>1.2365140130997201</v>
      </c>
      <c r="Y132" s="34">
        <v>1.2358474847357901</v>
      </c>
      <c r="Z132" s="34">
        <v>1.2358042069533499</v>
      </c>
      <c r="AA132" s="34">
        <v>1.23585379681652</v>
      </c>
      <c r="AB132" s="33">
        <v>25.6741012131688</v>
      </c>
      <c r="AC132" s="33">
        <v>25.6711297734706</v>
      </c>
      <c r="AD132" s="33">
        <v>25.672758163659999</v>
      </c>
      <c r="AE132" s="15">
        <v>-5.3918359484311199E-4</v>
      </c>
      <c r="AF132" s="15">
        <v>-6.5492714665488997E-4</v>
      </c>
      <c r="AG132" s="15">
        <v>-5.91496414962221E-4</v>
      </c>
      <c r="AI132" s="12"/>
      <c r="AJ132">
        <f t="shared" si="26"/>
        <v>0</v>
      </c>
      <c r="AK132">
        <f t="shared" si="27"/>
        <v>0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1.9417481829103801E-3</v>
      </c>
      <c r="AT132" s="12"/>
      <c r="AU132">
        <f t="shared" si="30"/>
        <v>0</v>
      </c>
      <c r="AV132">
        <f t="shared" si="31"/>
        <v>1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1.18506828010929E-3</v>
      </c>
      <c r="BE132" s="29">
        <f t="shared" si="42"/>
        <v>0</v>
      </c>
      <c r="BF132" s="29">
        <f t="shared" si="43"/>
        <v>3.1268164630196701E-3</v>
      </c>
      <c r="BH132" s="29"/>
    </row>
    <row r="133" spans="1:60" x14ac:dyDescent="0.25">
      <c r="A133" s="1">
        <v>46217</v>
      </c>
      <c r="B133" s="33">
        <v>20.37</v>
      </c>
      <c r="C133" s="33">
        <v>25.16</v>
      </c>
      <c r="D133" s="15">
        <v>1.9656025984593401E-3</v>
      </c>
      <c r="E133" s="15">
        <v>1.1930802767389701E-3</v>
      </c>
      <c r="F133" s="33">
        <v>0</v>
      </c>
      <c r="G133" s="33">
        <v>0.44449</v>
      </c>
      <c r="H133" s="33">
        <v>0</v>
      </c>
      <c r="I133" s="33">
        <v>0.557948</v>
      </c>
      <c r="J133" s="33">
        <v>0.44449</v>
      </c>
      <c r="K133" s="33">
        <v>0.557948</v>
      </c>
      <c r="L133" s="33">
        <v>20.814489999999999</v>
      </c>
      <c r="M133" s="33">
        <v>25.717948</v>
      </c>
      <c r="N133" s="34">
        <v>1.23514972999509</v>
      </c>
      <c r="O133" s="34">
        <v>1.2371344131525399</v>
      </c>
      <c r="P133" s="34">
        <v>1.23578523730471</v>
      </c>
      <c r="Q133" s="34">
        <v>1.2369538378715901</v>
      </c>
      <c r="R133" s="33">
        <v>25.200427995917298</v>
      </c>
      <c r="S133" s="33">
        <v>25.182945283897102</v>
      </c>
      <c r="T133" s="33">
        <v>25.197278339864699</v>
      </c>
      <c r="U133" s="15">
        <v>1.60554650588533E-3</v>
      </c>
      <c r="V133" s="15">
        <v>9.1155912140526599E-4</v>
      </c>
      <c r="W133" s="15">
        <v>1.48055446613866E-3</v>
      </c>
      <c r="X133" s="34">
        <v>1.2355790605486801</v>
      </c>
      <c r="Y133" s="34">
        <v>1.2358474847357901</v>
      </c>
      <c r="Z133" s="34">
        <v>1.23576242356111</v>
      </c>
      <c r="AA133" s="34">
        <v>1.23582422824953</v>
      </c>
      <c r="AB133" s="33">
        <v>25.723535112558199</v>
      </c>
      <c r="AC133" s="33">
        <v>25.7226343075885</v>
      </c>
      <c r="AD133" s="33">
        <v>25.723666495299501</v>
      </c>
      <c r="AE133" s="15">
        <v>2.1722206445746201E-4</v>
      </c>
      <c r="AF133" s="15">
        <v>1.82202743096571E-4</v>
      </c>
      <c r="AG133" s="15">
        <v>2.2232954308345899E-4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1.9417481829103801E-3</v>
      </c>
      <c r="AT133" s="12"/>
      <c r="AU133">
        <f t="shared" si="30"/>
        <v>0</v>
      </c>
      <c r="AV133">
        <f t="shared" si="31"/>
        <v>0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1.18506828010929E-3</v>
      </c>
      <c r="BE133" s="29">
        <f t="shared" si="42"/>
        <v>0</v>
      </c>
      <c r="BF133" s="29">
        <f t="shared" si="43"/>
        <v>3.1268164630196701E-3</v>
      </c>
      <c r="BH133" s="29"/>
    </row>
    <row r="134" spans="1:60" x14ac:dyDescent="0.25">
      <c r="A134" s="1">
        <v>46218</v>
      </c>
      <c r="B134" s="33">
        <v>20.39</v>
      </c>
      <c r="C134" s="33">
        <v>25.19</v>
      </c>
      <c r="D134" s="15">
        <v>9.8135434764935292E-4</v>
      </c>
      <c r="E134" s="15">
        <v>1.19165853227913E-3</v>
      </c>
      <c r="F134" s="33">
        <v>0</v>
      </c>
      <c r="G134" s="33">
        <v>0.44449</v>
      </c>
      <c r="H134" s="33">
        <v>0</v>
      </c>
      <c r="I134" s="33">
        <v>0.557948</v>
      </c>
      <c r="J134" s="33">
        <v>0.44449</v>
      </c>
      <c r="K134" s="33">
        <v>0.557948</v>
      </c>
      <c r="L134" s="33">
        <v>20.834489999999999</v>
      </c>
      <c r="M134" s="33">
        <v>25.747948000000001</v>
      </c>
      <c r="N134" s="34">
        <v>1.2354095144678701</v>
      </c>
      <c r="O134" s="34">
        <v>1.2371344131525399</v>
      </c>
      <c r="P134" s="34">
        <v>1.23536938953697</v>
      </c>
      <c r="Q134" s="34">
        <v>1.2369768833453501</v>
      </c>
      <c r="R134" s="33">
        <v>25.225170684180299</v>
      </c>
      <c r="S134" s="33">
        <v>25.1976609886432</v>
      </c>
      <c r="T134" s="33">
        <v>25.221488754201701</v>
      </c>
      <c r="U134" s="15">
        <v>1.39524232125557E-3</v>
      </c>
      <c r="V134" s="15">
        <v>3.0408193402642998E-4</v>
      </c>
      <c r="W134" s="15">
        <v>1.2492691279398799E-3</v>
      </c>
      <c r="X134" s="34">
        <v>1.2358328905579099</v>
      </c>
      <c r="Y134" s="34">
        <v>1.2358474847357901</v>
      </c>
      <c r="Z134" s="34">
        <v>1.23579406662413</v>
      </c>
      <c r="AA134" s="34">
        <v>1.2358427453365299</v>
      </c>
      <c r="AB134" s="33">
        <v>25.748252062252899</v>
      </c>
      <c r="AC134" s="33">
        <v>25.7464798560597</v>
      </c>
      <c r="AD134" s="33">
        <v>25.747767525222599</v>
      </c>
      <c r="AE134" s="15">
        <v>1.1809114171783699E-5</v>
      </c>
      <c r="AF134" s="15">
        <v>-5.7021468217282899E-5</v>
      </c>
      <c r="AG134" s="15">
        <v>-7.0093123464734402E-6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1.9417481829103801E-3</v>
      </c>
      <c r="AT134" s="12"/>
      <c r="AU134">
        <f t="shared" si="30"/>
        <v>0</v>
      </c>
      <c r="AV134">
        <f t="shared" si="31"/>
        <v>1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1.18506828010929E-3</v>
      </c>
      <c r="BE134" s="29">
        <f t="shared" si="42"/>
        <v>0</v>
      </c>
      <c r="BF134" s="29">
        <f t="shared" si="43"/>
        <v>3.1268164630196701E-3</v>
      </c>
      <c r="BH134" s="29"/>
    </row>
    <row r="135" spans="1:60" x14ac:dyDescent="0.25">
      <c r="A135" s="1">
        <v>46219</v>
      </c>
      <c r="B135" s="33">
        <v>20.39</v>
      </c>
      <c r="C135" s="33">
        <v>25.19</v>
      </c>
      <c r="D135" s="15">
        <v>0</v>
      </c>
      <c r="E135" s="15">
        <v>0</v>
      </c>
      <c r="F135" s="33">
        <v>0</v>
      </c>
      <c r="G135" s="33">
        <v>0.44449</v>
      </c>
      <c r="H135" s="33">
        <v>0</v>
      </c>
      <c r="I135" s="33">
        <v>0.557948</v>
      </c>
      <c r="J135" s="33">
        <v>0.44449</v>
      </c>
      <c r="K135" s="33">
        <v>0.557948</v>
      </c>
      <c r="L135" s="33">
        <v>20.834489999999999</v>
      </c>
      <c r="M135" s="33">
        <v>25.747948000000001</v>
      </c>
      <c r="N135" s="34">
        <v>1.2354095144678701</v>
      </c>
      <c r="O135" s="34">
        <v>1.2371344131525399</v>
      </c>
      <c r="P135" s="34">
        <v>1.23537225744567</v>
      </c>
      <c r="Q135" s="34">
        <v>1.23699992881911</v>
      </c>
      <c r="R135" s="33">
        <v>25.225170684180299</v>
      </c>
      <c r="S135" s="33">
        <v>25.189181852658901</v>
      </c>
      <c r="T135" s="33">
        <v>25.2219586514117</v>
      </c>
      <c r="U135" s="15">
        <v>1.39524232125557E-3</v>
      </c>
      <c r="V135" s="15">
        <v>-3.2479580297285198E-5</v>
      </c>
      <c r="W135" s="15">
        <v>1.2678997820351999E-3</v>
      </c>
      <c r="X135" s="34">
        <v>1.2358328905579099</v>
      </c>
      <c r="Y135" s="34">
        <v>1.2358474847357901</v>
      </c>
      <c r="Z135" s="34">
        <v>1.23579679179016</v>
      </c>
      <c r="AA135" s="34">
        <v>1.2358612624235299</v>
      </c>
      <c r="AB135" s="33">
        <v>25.748252062252899</v>
      </c>
      <c r="AC135" s="33">
        <v>25.747139123139799</v>
      </c>
      <c r="AD135" s="33">
        <v>25.748153319286502</v>
      </c>
      <c r="AE135" s="15">
        <v>1.1809114171783699E-5</v>
      </c>
      <c r="AF135" s="15">
        <v>-3.1415690520935099E-5</v>
      </c>
      <c r="AG135" s="15">
        <v>7.9741681918971605E-6</v>
      </c>
      <c r="AI135" s="12"/>
      <c r="AJ135">
        <f t="shared" si="26"/>
        <v>0</v>
      </c>
      <c r="AK135">
        <f t="shared" si="27"/>
        <v>1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1.9417481829103801E-3</v>
      </c>
      <c r="AT135" s="12"/>
      <c r="AU135">
        <f t="shared" si="30"/>
        <v>0</v>
      </c>
      <c r="AV135">
        <f t="shared" si="31"/>
        <v>1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1.18506828010929E-3</v>
      </c>
      <c r="BE135" s="29">
        <f t="shared" si="42"/>
        <v>0</v>
      </c>
      <c r="BF135" s="29">
        <f t="shared" si="43"/>
        <v>3.1268164630196701E-3</v>
      </c>
      <c r="BH135" s="29"/>
    </row>
    <row r="136" spans="1:60" x14ac:dyDescent="0.25">
      <c r="A136" s="1">
        <v>46220</v>
      </c>
      <c r="B136" s="33">
        <v>20.39</v>
      </c>
      <c r="C136" s="33">
        <v>25.2</v>
      </c>
      <c r="D136" s="15">
        <v>0</v>
      </c>
      <c r="E136" s="15">
        <v>3.96904152858668E-4</v>
      </c>
      <c r="F136" s="33">
        <v>0</v>
      </c>
      <c r="G136" s="33">
        <v>0.44449</v>
      </c>
      <c r="H136" s="33">
        <v>0</v>
      </c>
      <c r="I136" s="33">
        <v>0.557948</v>
      </c>
      <c r="J136" s="33">
        <v>0.44449</v>
      </c>
      <c r="K136" s="33">
        <v>0.557948</v>
      </c>
      <c r="L136" s="33">
        <v>20.834489999999999</v>
      </c>
      <c r="M136" s="33">
        <v>25.757947999999999</v>
      </c>
      <c r="N136" s="34">
        <v>1.23589995095635</v>
      </c>
      <c r="O136" s="34">
        <v>1.2371344131525399</v>
      </c>
      <c r="P136" s="34">
        <v>1.2354213010945201</v>
      </c>
      <c r="Q136" s="34">
        <v>1.2370128939663401</v>
      </c>
      <c r="R136" s="33">
        <v>25.225170684180299</v>
      </c>
      <c r="S136" s="33">
        <v>25.1892403293174</v>
      </c>
      <c r="T136" s="33">
        <v>25.2224285486217</v>
      </c>
      <c r="U136" s="15">
        <v>9.9833816839695207E-4</v>
      </c>
      <c r="V136" s="15">
        <v>-4.2706223693022801E-4</v>
      </c>
      <c r="W136" s="15">
        <v>8.8962593617728696E-4</v>
      </c>
      <c r="X136" s="34">
        <v>1.23631286390979</v>
      </c>
      <c r="Y136" s="34">
        <v>1.2358474847357901</v>
      </c>
      <c r="Z136" s="34">
        <v>1.2358447891253499</v>
      </c>
      <c r="AA136" s="34">
        <v>1.2358697176885201</v>
      </c>
      <c r="AB136" s="33">
        <v>25.748252062252899</v>
      </c>
      <c r="AC136" s="33">
        <v>25.747195900584199</v>
      </c>
      <c r="AD136" s="33">
        <v>25.7485391133504</v>
      </c>
      <c r="AE136" s="15">
        <v>-3.7649594999594098E-4</v>
      </c>
      <c r="AF136" s="15">
        <v>-4.1751556282091301E-4</v>
      </c>
      <c r="AG136" s="15">
        <v>-3.6534763993847398E-4</v>
      </c>
      <c r="AI136" s="12"/>
      <c r="AJ136">
        <f t="shared" si="26"/>
        <v>0</v>
      </c>
      <c r="AK136">
        <f t="shared" si="27"/>
        <v>0</v>
      </c>
      <c r="AL136">
        <f t="shared" si="34"/>
        <v>0</v>
      </c>
      <c r="AM136">
        <f t="shared" si="24"/>
        <v>0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1.9417481829103801E-3</v>
      </c>
      <c r="AT136" s="12"/>
      <c r="AU136">
        <f t="shared" si="30"/>
        <v>0</v>
      </c>
      <c r="AV136">
        <f t="shared" si="31"/>
        <v>1</v>
      </c>
      <c r="AW136">
        <f t="shared" si="38"/>
        <v>0</v>
      </c>
      <c r="AX136">
        <f t="shared" si="25"/>
        <v>0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1.18506828010929E-3</v>
      </c>
      <c r="BE136" s="29">
        <f t="shared" si="42"/>
        <v>0</v>
      </c>
      <c r="BF136" s="29">
        <f t="shared" si="43"/>
        <v>3.1268164630196701E-3</v>
      </c>
      <c r="BH136" s="29"/>
    </row>
    <row r="137" spans="1:60" x14ac:dyDescent="0.25">
      <c r="A137" s="1">
        <v>46223</v>
      </c>
      <c r="B137" s="33">
        <v>20.3</v>
      </c>
      <c r="C137" s="33">
        <v>25.17</v>
      </c>
      <c r="D137" s="15">
        <v>-4.4236985386221098E-3</v>
      </c>
      <c r="E137" s="15">
        <v>-1.191185370153E-3</v>
      </c>
      <c r="F137" s="33">
        <v>7.5560000000000002E-2</v>
      </c>
      <c r="G137" s="33">
        <v>0.52005000000000001</v>
      </c>
      <c r="H137" s="33">
        <v>0</v>
      </c>
      <c r="I137" s="33">
        <v>0.557948</v>
      </c>
      <c r="J137" s="33">
        <v>0.52005000000000001</v>
      </c>
      <c r="K137" s="33">
        <v>0.557948</v>
      </c>
      <c r="L137" s="33">
        <v>20.820049999999998</v>
      </c>
      <c r="M137" s="33">
        <v>25.727948000000001</v>
      </c>
      <c r="N137" s="34">
        <v>1.2399014778325099</v>
      </c>
      <c r="O137" s="34">
        <v>1.2371344131525399</v>
      </c>
      <c r="P137" s="34">
        <v>1.23587049743099</v>
      </c>
      <c r="Q137" s="34">
        <v>1.2372374921345699</v>
      </c>
      <c r="R137" s="33">
        <v>25.1138285869966</v>
      </c>
      <c r="S137" s="33">
        <v>25.0790524122188</v>
      </c>
      <c r="T137" s="33">
        <v>25.1113617475167</v>
      </c>
      <c r="U137" s="15">
        <v>-2.2341750000723398E-3</v>
      </c>
      <c r="V137" s="15">
        <v>-3.6198767031875002E-3</v>
      </c>
      <c r="W137" s="15">
        <v>-2.33240616516967E-3</v>
      </c>
      <c r="X137" s="34">
        <v>1.23572940506867</v>
      </c>
      <c r="Y137" s="34">
        <v>1.2358474847357901</v>
      </c>
      <c r="Z137" s="34">
        <v>1.2358344405764199</v>
      </c>
      <c r="AA137" s="34">
        <v>1.2358603753845401</v>
      </c>
      <c r="AB137" s="33">
        <v>25.7304064245733</v>
      </c>
      <c r="AC137" s="33">
        <v>25.730350301829301</v>
      </c>
      <c r="AD137" s="33">
        <v>25.730869315761002</v>
      </c>
      <c r="AE137" s="15">
        <v>9.5550065786280101E-5</v>
      </c>
      <c r="AF137" s="15">
        <v>9.3368879668797499E-5</v>
      </c>
      <c r="AG137" s="15">
        <v>1.13539949674328E-4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1.9417481829103801E-3</v>
      </c>
      <c r="AT137" s="12"/>
      <c r="AU137">
        <f t="shared" si="30"/>
        <v>0</v>
      </c>
      <c r="AV137">
        <f t="shared" si="31"/>
        <v>1</v>
      </c>
      <c r="AW137">
        <f t="shared" si="38"/>
        <v>0</v>
      </c>
      <c r="AX137">
        <f t="shared" si="25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1.18506828010929E-3</v>
      </c>
      <c r="BE137" s="29">
        <f t="shared" si="42"/>
        <v>0</v>
      </c>
      <c r="BF137" s="29">
        <f t="shared" si="43"/>
        <v>3.1268164630196701E-3</v>
      </c>
      <c r="BH137" s="29"/>
    </row>
    <row r="138" spans="1:60" x14ac:dyDescent="0.25">
      <c r="A138" s="1">
        <v>46224</v>
      </c>
      <c r="B138" s="33">
        <v>20.3</v>
      </c>
      <c r="C138" s="33">
        <v>25.17</v>
      </c>
      <c r="D138" s="15">
        <v>0</v>
      </c>
      <c r="E138" s="15">
        <v>0</v>
      </c>
      <c r="F138" s="33">
        <v>0</v>
      </c>
      <c r="G138" s="33">
        <v>0.52005000000000001</v>
      </c>
      <c r="H138" s="33">
        <v>0</v>
      </c>
      <c r="I138" s="33">
        <v>0.557948</v>
      </c>
      <c r="J138" s="33">
        <v>0.52005000000000001</v>
      </c>
      <c r="K138" s="33">
        <v>0.557948</v>
      </c>
      <c r="L138" s="33">
        <v>20.820049999999998</v>
      </c>
      <c r="M138" s="33">
        <v>25.727948000000001</v>
      </c>
      <c r="N138" s="34">
        <v>1.2399014778325099</v>
      </c>
      <c r="O138" s="34">
        <v>1.2371344131525399</v>
      </c>
      <c r="P138" s="34">
        <v>1.2362850067073601</v>
      </c>
      <c r="Q138" s="34">
        <v>1.2372187797140299</v>
      </c>
      <c r="R138" s="33">
        <v>25.1138285869966</v>
      </c>
      <c r="S138" s="33">
        <v>25.088171097849099</v>
      </c>
      <c r="T138" s="33">
        <v>25.115921090331799</v>
      </c>
      <c r="U138" s="15">
        <v>-2.2341750000723398E-3</v>
      </c>
      <c r="V138" s="15">
        <v>-3.2563450945942598E-3</v>
      </c>
      <c r="W138" s="15">
        <v>-2.15085770903087E-3</v>
      </c>
      <c r="X138" s="34">
        <v>1.23572940506867</v>
      </c>
      <c r="Y138" s="34">
        <v>1.2358474847357901</v>
      </c>
      <c r="Z138" s="34">
        <v>1.2357900850092201</v>
      </c>
      <c r="AA138" s="34">
        <v>1.2358369794355299</v>
      </c>
      <c r="AB138" s="33">
        <v>25.7304064245733</v>
      </c>
      <c r="AC138" s="33">
        <v>25.730134844523199</v>
      </c>
      <c r="AD138" s="33">
        <v>25.730674808524999</v>
      </c>
      <c r="AE138" s="15">
        <v>9.5550065786280101E-5</v>
      </c>
      <c r="AF138" s="15">
        <v>8.4995180687222205E-5</v>
      </c>
      <c r="AG138" s="15">
        <v>1.05980625938197E-4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1.9417481829103801E-3</v>
      </c>
      <c r="AT138" s="12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1.18506828010929E-3</v>
      </c>
      <c r="BE138" s="29">
        <f t="shared" si="42"/>
        <v>0</v>
      </c>
      <c r="BF138" s="29">
        <f t="shared" si="43"/>
        <v>3.1268164630196701E-3</v>
      </c>
      <c r="BH138" s="29"/>
    </row>
    <row r="139" spans="1:60" x14ac:dyDescent="0.25">
      <c r="A139" s="1">
        <v>46225</v>
      </c>
      <c r="B139" s="33">
        <v>20.28</v>
      </c>
      <c r="C139" s="33">
        <v>25.15</v>
      </c>
      <c r="D139" s="15">
        <v>-9.8570732475918802E-4</v>
      </c>
      <c r="E139" s="15">
        <v>-7.9491260147636095E-4</v>
      </c>
      <c r="F139" s="33">
        <v>0</v>
      </c>
      <c r="G139" s="33">
        <v>0.52005000000000001</v>
      </c>
      <c r="H139" s="33">
        <v>0</v>
      </c>
      <c r="I139" s="33">
        <v>0.557948</v>
      </c>
      <c r="J139" s="33">
        <v>0.52005000000000001</v>
      </c>
      <c r="K139" s="33">
        <v>0.557948</v>
      </c>
      <c r="L139" s="33">
        <v>20.800049999999999</v>
      </c>
      <c r="M139" s="33">
        <v>25.707947999999998</v>
      </c>
      <c r="N139" s="34">
        <v>1.2401380670611399</v>
      </c>
      <c r="O139" s="34">
        <v>1.2371344131525399</v>
      </c>
      <c r="P139" s="34">
        <v>1.2367722908201499</v>
      </c>
      <c r="Q139" s="34">
        <v>1.23719320275213</v>
      </c>
      <c r="R139" s="33">
        <v>25.0890858987336</v>
      </c>
      <c r="S139" s="33">
        <v>25.071859936025302</v>
      </c>
      <c r="T139" s="33">
        <v>25.090796852600601</v>
      </c>
      <c r="U139" s="15">
        <v>-2.4249697233551101E-3</v>
      </c>
      <c r="V139" s="15">
        <v>-3.1117974176391198E-3</v>
      </c>
      <c r="W139" s="15">
        <v>-2.3567769028884499E-3</v>
      </c>
      <c r="X139" s="34">
        <v>1.2359560674132899</v>
      </c>
      <c r="Y139" s="34">
        <v>1.2358474847357901</v>
      </c>
      <c r="Z139" s="34">
        <v>1.23581646222366</v>
      </c>
      <c r="AA139" s="34">
        <v>1.2358065245634</v>
      </c>
      <c r="AB139" s="33">
        <v>25.7056894748786</v>
      </c>
      <c r="AC139" s="33">
        <v>25.704495557696099</v>
      </c>
      <c r="AD139" s="33">
        <v>25.705470964107999</v>
      </c>
      <c r="AE139" s="15">
        <v>-8.7857044694645401E-5</v>
      </c>
      <c r="AF139" s="15">
        <v>-1.34303762673176E-4</v>
      </c>
      <c r="AG139" s="15">
        <v>-9.6357563598492595E-5</v>
      </c>
      <c r="AI139" s="12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1.9417481829103801E-3</v>
      </c>
      <c r="AT139" s="12"/>
      <c r="AU139">
        <f t="shared" si="30"/>
        <v>0</v>
      </c>
      <c r="AV139">
        <f t="shared" si="31"/>
        <v>1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1.18506828010929E-3</v>
      </c>
      <c r="BE139" s="29">
        <f t="shared" si="42"/>
        <v>0</v>
      </c>
      <c r="BF139" s="29">
        <f t="shared" si="43"/>
        <v>3.1268164630196701E-3</v>
      </c>
      <c r="BH139" s="29"/>
    </row>
    <row r="140" spans="1:60" x14ac:dyDescent="0.25">
      <c r="A140" s="1">
        <v>46226</v>
      </c>
      <c r="B140" s="33">
        <v>20.25</v>
      </c>
      <c r="C140" s="33">
        <v>25.12</v>
      </c>
      <c r="D140" s="15">
        <v>-1.4803851704343299E-3</v>
      </c>
      <c r="E140" s="15">
        <v>-1.19355494575014E-3</v>
      </c>
      <c r="F140" s="33">
        <v>0</v>
      </c>
      <c r="G140" s="33">
        <v>0.52005000000000001</v>
      </c>
      <c r="H140" s="33">
        <v>0</v>
      </c>
      <c r="I140" s="33">
        <v>0.557948</v>
      </c>
      <c r="J140" s="33">
        <v>0.52005000000000001</v>
      </c>
      <c r="K140" s="33">
        <v>0.557948</v>
      </c>
      <c r="L140" s="33">
        <v>20.770050000000001</v>
      </c>
      <c r="M140" s="33">
        <v>25.677948000000001</v>
      </c>
      <c r="N140" s="34">
        <v>1.2404938271604899</v>
      </c>
      <c r="O140" s="34">
        <v>1.2371344131525399</v>
      </c>
      <c r="P140" s="34">
        <v>1.2373673065097099</v>
      </c>
      <c r="Q140" s="34">
        <v>1.2372218272468301</v>
      </c>
      <c r="R140" s="33">
        <v>25.051971866338999</v>
      </c>
      <c r="S140" s="33">
        <v>25.044638889108199</v>
      </c>
      <c r="T140" s="33">
        <v>25.053162355730699</v>
      </c>
      <c r="U140" s="15">
        <v>-2.7117999480391702E-3</v>
      </c>
      <c r="V140" s="15">
        <v>-3.00455337676738E-3</v>
      </c>
      <c r="W140" s="15">
        <v>-2.6642802912055499E-3</v>
      </c>
      <c r="X140" s="34">
        <v>1.23629687940086</v>
      </c>
      <c r="Y140" s="34">
        <v>1.2358474847357901</v>
      </c>
      <c r="Z140" s="34">
        <v>1.2359475770894499</v>
      </c>
      <c r="AA140" s="34">
        <v>1.2358285485027301</v>
      </c>
      <c r="AB140" s="33">
        <v>25.6686140503366</v>
      </c>
      <c r="AC140" s="33">
        <v>25.667969711208499</v>
      </c>
      <c r="AD140" s="33">
        <v>25.667763305508</v>
      </c>
      <c r="AE140" s="15">
        <v>-3.6356668853744002E-4</v>
      </c>
      <c r="AF140" s="15">
        <v>-3.8866922091733799E-4</v>
      </c>
      <c r="AG140" s="15">
        <v>-3.9671062554370601E-4</v>
      </c>
      <c r="AI140" s="12"/>
      <c r="AJ140">
        <f t="shared" si="26"/>
        <v>0</v>
      </c>
      <c r="AK140">
        <f t="shared" si="27"/>
        <v>0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1.9417481829103801E-3</v>
      </c>
      <c r="AT140" s="12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1.18506828010929E-3</v>
      </c>
      <c r="BE140" s="29">
        <f t="shared" si="42"/>
        <v>0</v>
      </c>
      <c r="BF140" s="29">
        <f t="shared" si="43"/>
        <v>3.1268164630196701E-3</v>
      </c>
      <c r="BH140" s="29"/>
    </row>
    <row r="141" spans="1:60" x14ac:dyDescent="0.25">
      <c r="A141" s="1">
        <v>46227</v>
      </c>
      <c r="B141" s="33">
        <v>20.28</v>
      </c>
      <c r="C141" s="33">
        <v>25.15</v>
      </c>
      <c r="D141" s="15">
        <v>1.4803851704344199E-3</v>
      </c>
      <c r="E141" s="15">
        <v>1.1935549457502701E-3</v>
      </c>
      <c r="F141" s="33">
        <v>0</v>
      </c>
      <c r="G141" s="33">
        <v>0.52005000000000001</v>
      </c>
      <c r="H141" s="33">
        <v>0</v>
      </c>
      <c r="I141" s="33">
        <v>0.557948</v>
      </c>
      <c r="J141" s="33">
        <v>0.52005000000000001</v>
      </c>
      <c r="K141" s="33">
        <v>0.557948</v>
      </c>
      <c r="L141" s="33">
        <v>20.800049999999999</v>
      </c>
      <c r="M141" s="33">
        <v>25.707947999999998</v>
      </c>
      <c r="N141" s="34">
        <v>1.2401380670611399</v>
      </c>
      <c r="O141" s="34">
        <v>1.2371344131525399</v>
      </c>
      <c r="P141" s="34">
        <v>1.2378545906225</v>
      </c>
      <c r="Q141" s="34">
        <v>1.2372385586097201</v>
      </c>
      <c r="R141" s="33">
        <v>25.0890858987336</v>
      </c>
      <c r="S141" s="33">
        <v>25.093808976016899</v>
      </c>
      <c r="T141" s="33">
        <v>25.0908586565658</v>
      </c>
      <c r="U141" s="15">
        <v>-2.4249697233551101E-3</v>
      </c>
      <c r="V141" s="15">
        <v>-2.2367351741484501E-3</v>
      </c>
      <c r="W141" s="15">
        <v>-2.35431369339436E-3</v>
      </c>
      <c r="X141" s="34">
        <v>1.2359560674132899</v>
      </c>
      <c r="Y141" s="34">
        <v>1.2358474847357901</v>
      </c>
      <c r="Z141" s="34">
        <v>1.2359739543038799</v>
      </c>
      <c r="AA141" s="34">
        <v>1.23583920297001</v>
      </c>
      <c r="AB141" s="33">
        <v>25.7056894748786</v>
      </c>
      <c r="AC141" s="33">
        <v>25.707771400839398</v>
      </c>
      <c r="AD141" s="33">
        <v>25.705295600284401</v>
      </c>
      <c r="AE141" s="15">
        <v>-8.7857044694645401E-5</v>
      </c>
      <c r="AF141" s="15">
        <v>-6.8694618159563096E-6</v>
      </c>
      <c r="AG141" s="15">
        <v>-1.03179629691166E-4</v>
      </c>
      <c r="AI141" s="12"/>
      <c r="AJ141">
        <f t="shared" si="26"/>
        <v>0</v>
      </c>
      <c r="AK141">
        <f t="shared" si="27"/>
        <v>1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1.9417481829103801E-3</v>
      </c>
      <c r="AT141" s="12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1.18506828010929E-3</v>
      </c>
      <c r="BE141" s="29">
        <f t="shared" si="42"/>
        <v>0</v>
      </c>
      <c r="BF141" s="29">
        <f t="shared" si="43"/>
        <v>3.1268164630196701E-3</v>
      </c>
      <c r="BH141" s="29"/>
    </row>
    <row r="142" spans="1:60" x14ac:dyDescent="0.25">
      <c r="A142" s="1">
        <v>46230</v>
      </c>
      <c r="B142" s="33">
        <v>20.28</v>
      </c>
      <c r="C142" s="33">
        <v>25.14</v>
      </c>
      <c r="D142" s="15">
        <v>0</v>
      </c>
      <c r="E142" s="15">
        <v>-3.9769338364676498E-4</v>
      </c>
      <c r="F142" s="33">
        <v>0</v>
      </c>
      <c r="G142" s="33">
        <v>0.52005000000000001</v>
      </c>
      <c r="H142" s="33">
        <v>0</v>
      </c>
      <c r="I142" s="33">
        <v>0.557948</v>
      </c>
      <c r="J142" s="33">
        <v>0.52005000000000001</v>
      </c>
      <c r="K142" s="33">
        <v>0.557948</v>
      </c>
      <c r="L142" s="33">
        <v>20.800049999999999</v>
      </c>
      <c r="M142" s="33">
        <v>25.697948</v>
      </c>
      <c r="N142" s="34">
        <v>1.2396449704142001</v>
      </c>
      <c r="O142" s="34">
        <v>1.2371344131525399</v>
      </c>
      <c r="P142" s="34">
        <v>1.23820865972492</v>
      </c>
      <c r="Q142" s="34">
        <v>1.2372424075231601</v>
      </c>
      <c r="R142" s="33">
        <v>25.0890858987336</v>
      </c>
      <c r="S142" s="33">
        <v>25.103691097824399</v>
      </c>
      <c r="T142" s="33">
        <v>25.091197968605101</v>
      </c>
      <c r="U142" s="15">
        <v>-2.0272763397083402E-3</v>
      </c>
      <c r="V142" s="15">
        <v>-1.4453121457747599E-3</v>
      </c>
      <c r="W142" s="15">
        <v>-1.9430970680898499E-3</v>
      </c>
      <c r="X142" s="34">
        <v>1.2354752993382201</v>
      </c>
      <c r="Y142" s="34">
        <v>1.2358474847357901</v>
      </c>
      <c r="Z142" s="34">
        <v>1.23587008292773</v>
      </c>
      <c r="AA142" s="34">
        <v>1.2358371449405401</v>
      </c>
      <c r="AB142" s="33">
        <v>25.7056894748786</v>
      </c>
      <c r="AC142" s="33">
        <v>25.7083200482185</v>
      </c>
      <c r="AD142" s="33">
        <v>25.705517213736499</v>
      </c>
      <c r="AE142" s="15">
        <v>3.0120339016814101E-4</v>
      </c>
      <c r="AF142" s="15">
        <v>4.0353243886650202E-4</v>
      </c>
      <c r="AG142" s="15">
        <v>2.9450208306907401E-4</v>
      </c>
      <c r="AI142" s="12"/>
      <c r="AJ142">
        <f t="shared" si="26"/>
        <v>0</v>
      </c>
      <c r="AK142">
        <f t="shared" si="27"/>
        <v>1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1.9417481829103801E-3</v>
      </c>
      <c r="AT142" s="12"/>
      <c r="AU142">
        <f t="shared" si="30"/>
        <v>0</v>
      </c>
      <c r="AV142">
        <f t="shared" si="31"/>
        <v>0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1.18506828010929E-3</v>
      </c>
      <c r="BE142" s="29">
        <f t="shared" si="42"/>
        <v>0</v>
      </c>
      <c r="BF142" s="29">
        <f t="shared" si="43"/>
        <v>3.1268164630196701E-3</v>
      </c>
      <c r="BH142" s="29"/>
    </row>
    <row r="143" spans="1:60" x14ac:dyDescent="0.25">
      <c r="A143" s="1">
        <v>46231</v>
      </c>
      <c r="B143" s="33">
        <v>20.3</v>
      </c>
      <c r="C143" s="33">
        <v>25.18</v>
      </c>
      <c r="D143" s="15">
        <v>9.8570732475912796E-4</v>
      </c>
      <c r="E143" s="15">
        <v>1.5898254540997699E-3</v>
      </c>
      <c r="F143" s="33">
        <v>0</v>
      </c>
      <c r="G143" s="33">
        <v>0.52005000000000001</v>
      </c>
      <c r="H143" s="33">
        <v>0</v>
      </c>
      <c r="I143" s="33">
        <v>0.557948</v>
      </c>
      <c r="J143" s="33">
        <v>0.52005000000000001</v>
      </c>
      <c r="K143" s="33">
        <v>0.557948</v>
      </c>
      <c r="L143" s="33">
        <v>20.820049999999998</v>
      </c>
      <c r="M143" s="33">
        <v>25.737947999999999</v>
      </c>
      <c r="N143" s="34">
        <v>1.24039408866995</v>
      </c>
      <c r="O143" s="34">
        <v>1.2371344131525399</v>
      </c>
      <c r="P143" s="34">
        <v>1.2387330955924001</v>
      </c>
      <c r="Q143" s="34">
        <v>1.2372591664485599</v>
      </c>
      <c r="R143" s="33">
        <v>25.1138285869966</v>
      </c>
      <c r="S143" s="33">
        <v>25.135635792415801</v>
      </c>
      <c r="T143" s="33">
        <v>25.116020872720199</v>
      </c>
      <c r="U143" s="15">
        <v>-2.6313944690488701E-3</v>
      </c>
      <c r="V143" s="15">
        <v>-1.7634366884995199E-3</v>
      </c>
      <c r="W143" s="15">
        <v>-2.5441043119580199E-3</v>
      </c>
      <c r="X143" s="34">
        <v>1.2362097113119299</v>
      </c>
      <c r="Y143" s="34">
        <v>1.2358474847357901</v>
      </c>
      <c r="Z143" s="34">
        <v>1.2359331480040501</v>
      </c>
      <c r="AA143" s="34">
        <v>1.23584778578258</v>
      </c>
      <c r="AB143" s="33">
        <v>25.7304064245733</v>
      </c>
      <c r="AC143" s="33">
        <v>25.730876920059501</v>
      </c>
      <c r="AD143" s="33">
        <v>25.7301911495193</v>
      </c>
      <c r="AE143" s="15">
        <v>-2.9305679440878299E-4</v>
      </c>
      <c r="AF143" s="15">
        <v>-2.7477137843677702E-4</v>
      </c>
      <c r="AG143" s="15">
        <v>-3.01423391928778E-4</v>
      </c>
      <c r="AI143" s="12"/>
      <c r="AJ143">
        <f t="shared" si="26"/>
        <v>0</v>
      </c>
      <c r="AK143">
        <f t="shared" si="27"/>
        <v>0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1.9417481829103801E-3</v>
      </c>
      <c r="AT143" s="12"/>
      <c r="AU143">
        <f t="shared" si="30"/>
        <v>0</v>
      </c>
      <c r="AV143">
        <f t="shared" si="31"/>
        <v>1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1.18506828010929E-3</v>
      </c>
      <c r="BE143" s="29">
        <f t="shared" si="42"/>
        <v>0</v>
      </c>
      <c r="BF143" s="29">
        <f t="shared" si="43"/>
        <v>3.1268164630196701E-3</v>
      </c>
      <c r="BH143" s="29"/>
    </row>
    <row r="144" spans="1:60" x14ac:dyDescent="0.25">
      <c r="A144" s="1">
        <v>46232</v>
      </c>
      <c r="B144" s="33">
        <v>20.32</v>
      </c>
      <c r="C144" s="33">
        <v>25.2</v>
      </c>
      <c r="D144" s="15">
        <v>9.8473666253955897E-4</v>
      </c>
      <c r="E144" s="15">
        <v>7.9396590117652402E-4</v>
      </c>
      <c r="F144" s="33">
        <v>0</v>
      </c>
      <c r="G144" s="33">
        <v>0.52005000000000001</v>
      </c>
      <c r="H144" s="33">
        <v>0</v>
      </c>
      <c r="I144" s="33">
        <v>0.557948</v>
      </c>
      <c r="J144" s="33">
        <v>0.52005000000000001</v>
      </c>
      <c r="K144" s="33">
        <v>0.557948</v>
      </c>
      <c r="L144" s="33">
        <v>20.840050000000002</v>
      </c>
      <c r="M144" s="33">
        <v>25.757947999999999</v>
      </c>
      <c r="N144" s="34">
        <v>1.24015748031496</v>
      </c>
      <c r="O144" s="34">
        <v>1.2371344131525399</v>
      </c>
      <c r="P144" s="34">
        <v>1.2392078921771099</v>
      </c>
      <c r="Q144" s="34">
        <v>1.23728864085704</v>
      </c>
      <c r="R144" s="33">
        <v>25.1385712752597</v>
      </c>
      <c r="S144" s="33">
        <v>25.171056502437601</v>
      </c>
      <c r="T144" s="33">
        <v>25.1411062622347</v>
      </c>
      <c r="U144" s="15">
        <v>-2.4406237076858598E-3</v>
      </c>
      <c r="V144" s="15">
        <v>-1.1492115813113699E-3</v>
      </c>
      <c r="W144" s="15">
        <v>-2.3397882568081401E-3</v>
      </c>
      <c r="X144" s="34">
        <v>1.2359830230733599</v>
      </c>
      <c r="Y144" s="34">
        <v>1.2358474847357901</v>
      </c>
      <c r="Z144" s="34">
        <v>1.2359481612556</v>
      </c>
      <c r="AA144" s="34">
        <v>1.2358711139398599</v>
      </c>
      <c r="AB144" s="33">
        <v>25.755123374268099</v>
      </c>
      <c r="AC144" s="33">
        <v>25.756908601062001</v>
      </c>
      <c r="AD144" s="33">
        <v>25.755129648098301</v>
      </c>
      <c r="AE144" s="15">
        <v>-1.09666368529993E-4</v>
      </c>
      <c r="AF144" s="15">
        <v>-4.0353366260484403E-5</v>
      </c>
      <c r="AG144" s="15">
        <v>-1.09422773133591E-4</v>
      </c>
      <c r="AI144" s="12"/>
      <c r="AJ144">
        <f t="shared" si="26"/>
        <v>0</v>
      </c>
      <c r="AK144">
        <f t="shared" si="27"/>
        <v>1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1.9417481829103801E-3</v>
      </c>
      <c r="AT144" s="12"/>
      <c r="AU144">
        <f t="shared" si="30"/>
        <v>0</v>
      </c>
      <c r="AV144">
        <f t="shared" si="31"/>
        <v>1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1.18506828010929E-3</v>
      </c>
      <c r="BE144" s="29">
        <f t="shared" si="42"/>
        <v>0</v>
      </c>
      <c r="BF144" s="29">
        <f t="shared" si="43"/>
        <v>3.1268164630196701E-3</v>
      </c>
      <c r="BH144" s="29"/>
    </row>
    <row r="145" spans="1:60" x14ac:dyDescent="0.25">
      <c r="A145" s="1">
        <v>46233</v>
      </c>
      <c r="B145" s="33">
        <v>20.32</v>
      </c>
      <c r="C145" s="33">
        <v>25.21</v>
      </c>
      <c r="D145" s="15">
        <v>0</v>
      </c>
      <c r="E145" s="15">
        <v>3.9674668245083202E-4</v>
      </c>
      <c r="F145" s="33">
        <v>0</v>
      </c>
      <c r="G145" s="33">
        <v>0.52005000000000001</v>
      </c>
      <c r="H145" s="33">
        <v>0</v>
      </c>
      <c r="I145" s="33">
        <v>0.557948</v>
      </c>
      <c r="J145" s="33">
        <v>0.52005000000000001</v>
      </c>
      <c r="K145" s="33">
        <v>0.557948</v>
      </c>
      <c r="L145" s="33">
        <v>20.840050000000002</v>
      </c>
      <c r="M145" s="33">
        <v>25.767948000000001</v>
      </c>
      <c r="N145" s="34">
        <v>1.2406496062992101</v>
      </c>
      <c r="O145" s="34">
        <v>1.2371344131525399</v>
      </c>
      <c r="P145" s="34">
        <v>1.2397319013602399</v>
      </c>
      <c r="Q145" s="34">
        <v>1.23755207940296</v>
      </c>
      <c r="R145" s="33">
        <v>25.1385712752597</v>
      </c>
      <c r="S145" s="33">
        <v>25.180704369038899</v>
      </c>
      <c r="T145" s="33">
        <v>25.141705182215102</v>
      </c>
      <c r="U145" s="15">
        <v>-2.8373703901368101E-3</v>
      </c>
      <c r="V145" s="15">
        <v>-1.16273962146028E-3</v>
      </c>
      <c r="W145" s="15">
        <v>-2.7127128830459202E-3</v>
      </c>
      <c r="X145" s="34">
        <v>1.23646286837123</v>
      </c>
      <c r="Y145" s="34">
        <v>1.2358474847357901</v>
      </c>
      <c r="Z145" s="34">
        <v>1.23601115903693</v>
      </c>
      <c r="AA145" s="34">
        <v>1.2359039754135499</v>
      </c>
      <c r="AB145" s="33">
        <v>25.755123374268099</v>
      </c>
      <c r="AC145" s="33">
        <v>25.757221477974799</v>
      </c>
      <c r="AD145" s="33">
        <v>25.755615808062501</v>
      </c>
      <c r="AE145" s="15">
        <v>-4.97820710399389E-4</v>
      </c>
      <c r="AF145" s="15">
        <v>-4.1636048124776701E-4</v>
      </c>
      <c r="AG145" s="15">
        <v>-4.7870105487540099E-4</v>
      </c>
      <c r="AI145" s="12"/>
      <c r="AJ145">
        <f t="shared" si="26"/>
        <v>0</v>
      </c>
      <c r="AK145">
        <f t="shared" si="27"/>
        <v>0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1.9417481829103801E-3</v>
      </c>
      <c r="AT145" s="12"/>
      <c r="AU145">
        <f t="shared" si="30"/>
        <v>0</v>
      </c>
      <c r="AV145">
        <f t="shared" si="31"/>
        <v>1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1.18506828010929E-3</v>
      </c>
      <c r="BE145" s="29">
        <f t="shared" si="42"/>
        <v>0</v>
      </c>
      <c r="BF145" s="29">
        <f t="shared" si="43"/>
        <v>3.1268164630196701E-3</v>
      </c>
      <c r="BH145" s="29"/>
    </row>
    <row r="146" spans="1:60" x14ac:dyDescent="0.25">
      <c r="A146" s="1">
        <v>46234</v>
      </c>
      <c r="B146" s="33">
        <v>20.32</v>
      </c>
      <c r="C146" s="33">
        <v>25.2</v>
      </c>
      <c r="D146" s="15">
        <v>0</v>
      </c>
      <c r="E146" s="15">
        <v>-3.9674668245091101E-4</v>
      </c>
      <c r="F146" s="33">
        <v>0</v>
      </c>
      <c r="G146" s="33">
        <v>0.52005000000000001</v>
      </c>
      <c r="H146" s="33">
        <v>0</v>
      </c>
      <c r="I146" s="33">
        <v>0.557948</v>
      </c>
      <c r="J146" s="33">
        <v>0.52005000000000001</v>
      </c>
      <c r="K146" s="33">
        <v>0.557948</v>
      </c>
      <c r="L146" s="33">
        <v>20.840050000000002</v>
      </c>
      <c r="M146" s="33">
        <v>25.757947999999999</v>
      </c>
      <c r="N146" s="34">
        <v>1.24015748031496</v>
      </c>
      <c r="O146" s="34">
        <v>1.2371344131525399</v>
      </c>
      <c r="P146" s="34">
        <v>1.2401576542960999</v>
      </c>
      <c r="Q146" s="34">
        <v>1.23778947769531</v>
      </c>
      <c r="R146" s="33">
        <v>25.1385712752597</v>
      </c>
      <c r="S146" s="33">
        <v>25.191352235640199</v>
      </c>
      <c r="T146" s="33">
        <v>25.147058253468199</v>
      </c>
      <c r="U146" s="15">
        <v>-2.4406237076858598E-3</v>
      </c>
      <c r="V146" s="15">
        <v>-3.43224147040663E-4</v>
      </c>
      <c r="W146" s="15">
        <v>-2.10307286587889E-3</v>
      </c>
      <c r="X146" s="34">
        <v>1.2359830230733599</v>
      </c>
      <c r="Y146" s="34">
        <v>1.2358474847357901</v>
      </c>
      <c r="Z146" s="34">
        <v>1.2359781749532901</v>
      </c>
      <c r="AA146" s="34">
        <v>1.23591148203932</v>
      </c>
      <c r="AB146" s="33">
        <v>25.755123374268099</v>
      </c>
      <c r="AC146" s="33">
        <v>25.758534354887601</v>
      </c>
      <c r="AD146" s="33">
        <v>25.756300642817099</v>
      </c>
      <c r="AE146" s="15">
        <v>-1.09666368529993E-4</v>
      </c>
      <c r="AF146" s="15">
        <v>2.2763778150893899E-5</v>
      </c>
      <c r="AG146" s="15">
        <v>-6.3957340999653195E-5</v>
      </c>
      <c r="AI146" s="12"/>
      <c r="AJ146">
        <f t="shared" si="26"/>
        <v>0</v>
      </c>
      <c r="AK146">
        <f t="shared" si="27"/>
        <v>1</v>
      </c>
      <c r="AL146">
        <f t="shared" si="34"/>
        <v>0</v>
      </c>
      <c r="AM146">
        <f t="shared" si="24"/>
        <v>0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1.9417481829103801E-3</v>
      </c>
      <c r="AT146" s="12"/>
      <c r="AU146">
        <f t="shared" si="30"/>
        <v>0</v>
      </c>
      <c r="AV146">
        <f t="shared" si="31"/>
        <v>1</v>
      </c>
      <c r="AW146">
        <f t="shared" si="38"/>
        <v>0</v>
      </c>
      <c r="AX146">
        <f t="shared" si="25"/>
        <v>0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1.18506828010929E-3</v>
      </c>
      <c r="BE146" s="29">
        <f t="shared" si="42"/>
        <v>0</v>
      </c>
      <c r="BF146" s="29">
        <f t="shared" si="43"/>
        <v>3.1268164630196701E-3</v>
      </c>
      <c r="BH146" s="29"/>
    </row>
    <row r="147" spans="1:60" x14ac:dyDescent="0.25">
      <c r="A147" s="1">
        <v>46237</v>
      </c>
      <c r="B147" s="33">
        <v>20.34</v>
      </c>
      <c r="C147" s="33">
        <v>25.11</v>
      </c>
      <c r="D147" s="15">
        <v>9.83767910132748E-4</v>
      </c>
      <c r="E147" s="15">
        <v>-3.57782134788396E-3</v>
      </c>
      <c r="F147" s="33">
        <v>0</v>
      </c>
      <c r="G147" s="33">
        <v>0.52005000000000001</v>
      </c>
      <c r="H147" s="33">
        <v>9.3121999999999996E-2</v>
      </c>
      <c r="I147" s="33">
        <v>0.65107000000000004</v>
      </c>
      <c r="J147" s="33">
        <v>0.52005000000000001</v>
      </c>
      <c r="K147" s="33">
        <v>0.65107000000000004</v>
      </c>
      <c r="L147" s="33">
        <v>20.860050000000001</v>
      </c>
      <c r="M147" s="33">
        <v>25.76107</v>
      </c>
      <c r="N147" s="34">
        <v>1.2345132743362801</v>
      </c>
      <c r="O147" s="34">
        <v>1.2371344131525399</v>
      </c>
      <c r="P147" s="34">
        <v>1.23961883394648</v>
      </c>
      <c r="Q147" s="34">
        <v>1.2377446656887301</v>
      </c>
      <c r="R147" s="33">
        <v>25.1633139635227</v>
      </c>
      <c r="S147" s="33">
        <v>25.224806688382799</v>
      </c>
      <c r="T147" s="33">
        <v>25.176637976322699</v>
      </c>
      <c r="U147" s="15">
        <v>2.12096555033092E-3</v>
      </c>
      <c r="V147" s="15">
        <v>4.5617295475681198E-3</v>
      </c>
      <c r="W147" s="15">
        <v>2.6503269262446402E-3</v>
      </c>
      <c r="X147" s="34">
        <v>1.2349476631168099</v>
      </c>
      <c r="Y147" s="34">
        <v>1.2358474847357901</v>
      </c>
      <c r="Z147" s="34">
        <v>1.2359000007581</v>
      </c>
      <c r="AA147" s="34">
        <v>1.2358672206672601</v>
      </c>
      <c r="AB147" s="33">
        <v>25.779840323962802</v>
      </c>
      <c r="AC147" s="33">
        <v>25.782566528434401</v>
      </c>
      <c r="AD147" s="33">
        <v>25.7811753109143</v>
      </c>
      <c r="AE147" s="15">
        <v>7.2836605619382296E-4</v>
      </c>
      <c r="AF147" s="15">
        <v>8.3410993591408395E-4</v>
      </c>
      <c r="AG147" s="15">
        <v>7.80148858972775E-4</v>
      </c>
      <c r="AI147" s="12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1.9417481829103801E-3</v>
      </c>
      <c r="AT147" s="12"/>
      <c r="AU147">
        <f t="shared" si="30"/>
        <v>0</v>
      </c>
      <c r="AV147">
        <f t="shared" si="31"/>
        <v>0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1.18506828010929E-3</v>
      </c>
      <c r="BE147" s="29">
        <f t="shared" si="42"/>
        <v>0</v>
      </c>
      <c r="BF147" s="29">
        <f t="shared" si="43"/>
        <v>3.1268164630196701E-3</v>
      </c>
      <c r="BH147" s="29"/>
    </row>
    <row r="148" spans="1:60" x14ac:dyDescent="0.25">
      <c r="A148" s="1">
        <v>46238</v>
      </c>
      <c r="B148" s="33">
        <v>20.36</v>
      </c>
      <c r="C148" s="33">
        <v>25.14</v>
      </c>
      <c r="D148" s="15">
        <v>9.8280106190807692E-4</v>
      </c>
      <c r="E148" s="15">
        <v>1.19402999260776E-3</v>
      </c>
      <c r="F148" s="33">
        <v>0</v>
      </c>
      <c r="G148" s="33">
        <v>0.52005000000000001</v>
      </c>
      <c r="H148" s="33">
        <v>0</v>
      </c>
      <c r="I148" s="33">
        <v>0.65107000000000004</v>
      </c>
      <c r="J148" s="33">
        <v>0.52005000000000001</v>
      </c>
      <c r="K148" s="33">
        <v>0.65107000000000004</v>
      </c>
      <c r="L148" s="33">
        <v>20.880050000000001</v>
      </c>
      <c r="M148" s="33">
        <v>25.791070000000001</v>
      </c>
      <c r="N148" s="34">
        <v>1.2347740667976399</v>
      </c>
      <c r="O148" s="34">
        <v>1.2371344131525399</v>
      </c>
      <c r="P148" s="34">
        <v>1.23910609284299</v>
      </c>
      <c r="Q148" s="34">
        <v>1.23769554977518</v>
      </c>
      <c r="R148" s="33">
        <v>25.1880566517858</v>
      </c>
      <c r="S148" s="33">
        <v>25.238639459150399</v>
      </c>
      <c r="T148" s="33">
        <v>25.200481393422699</v>
      </c>
      <c r="U148" s="15">
        <v>1.90973661963132E-3</v>
      </c>
      <c r="V148" s="15">
        <v>3.9159289039277199E-3</v>
      </c>
      <c r="W148" s="15">
        <v>2.4028940864175802E-3</v>
      </c>
      <c r="X148" s="34">
        <v>1.2352015440576001</v>
      </c>
      <c r="Y148" s="34">
        <v>1.2358474847357901</v>
      </c>
      <c r="Z148" s="34">
        <v>1.2358472146570001</v>
      </c>
      <c r="AA148" s="34">
        <v>1.2358186498331101</v>
      </c>
      <c r="AB148" s="33">
        <v>25.804557273657501</v>
      </c>
      <c r="AC148" s="33">
        <v>25.805653810829298</v>
      </c>
      <c r="AD148" s="33">
        <v>25.804969360893502</v>
      </c>
      <c r="AE148" s="15">
        <v>5.2280686086861501E-4</v>
      </c>
      <c r="AF148" s="15">
        <v>5.65299892727939E-4</v>
      </c>
      <c r="AG148" s="15">
        <v>5.3877628600881996E-4</v>
      </c>
      <c r="AI148" s="12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1.9417481829103801E-3</v>
      </c>
      <c r="AT148" s="12"/>
      <c r="AU148">
        <f t="shared" si="30"/>
        <v>0</v>
      </c>
      <c r="AV148">
        <f t="shared" si="31"/>
        <v>0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1.18506828010929E-3</v>
      </c>
      <c r="BE148" s="29">
        <f t="shared" si="42"/>
        <v>0</v>
      </c>
      <c r="BF148" s="29">
        <f t="shared" si="43"/>
        <v>3.1268164630196701E-3</v>
      </c>
      <c r="BH148" s="29"/>
    </row>
    <row r="149" spans="1:60" x14ac:dyDescent="0.25">
      <c r="A149" s="1">
        <v>46239</v>
      </c>
      <c r="B149" s="33">
        <v>20.36</v>
      </c>
      <c r="C149" s="33">
        <v>25.16</v>
      </c>
      <c r="D149" s="15">
        <v>0</v>
      </c>
      <c r="E149" s="15">
        <v>7.9522867013831695E-4</v>
      </c>
      <c r="F149" s="33">
        <v>0</v>
      </c>
      <c r="G149" s="33">
        <v>0.52005000000000001</v>
      </c>
      <c r="H149" s="33">
        <v>0</v>
      </c>
      <c r="I149" s="33">
        <v>0.65107000000000004</v>
      </c>
      <c r="J149" s="33">
        <v>0.52005000000000001</v>
      </c>
      <c r="K149" s="33">
        <v>0.65107000000000004</v>
      </c>
      <c r="L149" s="33">
        <v>20.880050000000001</v>
      </c>
      <c r="M149" s="33">
        <v>25.811070000000001</v>
      </c>
      <c r="N149" s="34">
        <v>1.2357563850687601</v>
      </c>
      <c r="O149" s="34">
        <v>1.2371344131525399</v>
      </c>
      <c r="P149" s="34">
        <v>1.23866792464376</v>
      </c>
      <c r="Q149" s="34">
        <v>1.23772010773196</v>
      </c>
      <c r="R149" s="33">
        <v>25.1880566517858</v>
      </c>
      <c r="S149" s="33">
        <v>25.228200050283402</v>
      </c>
      <c r="T149" s="33">
        <v>25.199481393422701</v>
      </c>
      <c r="U149" s="15">
        <v>1.11450794949286E-3</v>
      </c>
      <c r="V149" s="15">
        <v>2.7069866302678702E-3</v>
      </c>
      <c r="W149" s="15">
        <v>1.56798284729169E-3</v>
      </c>
      <c r="X149" s="34">
        <v>1.2361593961700199</v>
      </c>
      <c r="Y149" s="34">
        <v>1.2358474847357901</v>
      </c>
      <c r="Z149" s="34">
        <v>1.2358675475326699</v>
      </c>
      <c r="AA149" s="34">
        <v>1.23584200487816</v>
      </c>
      <c r="AB149" s="33">
        <v>25.804557273657501</v>
      </c>
      <c r="AC149" s="33">
        <v>25.804551634398901</v>
      </c>
      <c r="AD149" s="33">
        <v>25.803955199447898</v>
      </c>
      <c r="AE149" s="15">
        <v>-2.5235482821873398E-4</v>
      </c>
      <c r="AF149" s="15">
        <v>-2.52573365556622E-4</v>
      </c>
      <c r="AG149" s="15">
        <v>-2.7568718874631599E-4</v>
      </c>
      <c r="AI149" s="12"/>
      <c r="AJ149">
        <f t="shared" si="26"/>
        <v>0</v>
      </c>
      <c r="AK149">
        <f t="shared" si="27"/>
        <v>0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1.9417481829103801E-3</v>
      </c>
      <c r="AT149" s="12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1.18506828010929E-3</v>
      </c>
      <c r="BE149" s="29">
        <f t="shared" si="42"/>
        <v>0</v>
      </c>
      <c r="BF149" s="29">
        <f t="shared" si="43"/>
        <v>3.1268164630196701E-3</v>
      </c>
      <c r="BH149" s="29"/>
    </row>
    <row r="150" spans="1:60" x14ac:dyDescent="0.25">
      <c r="A150" s="1">
        <v>46240</v>
      </c>
      <c r="B150" s="33">
        <v>20.34</v>
      </c>
      <c r="C150" s="33">
        <v>25.14</v>
      </c>
      <c r="D150" s="15">
        <v>-9.8280106190808797E-4</v>
      </c>
      <c r="E150" s="15">
        <v>-7.9522867013835695E-4</v>
      </c>
      <c r="F150" s="33">
        <v>0</v>
      </c>
      <c r="G150" s="33">
        <v>0.52005000000000001</v>
      </c>
      <c r="H150" s="33">
        <v>0</v>
      </c>
      <c r="I150" s="33">
        <v>0.65107000000000004</v>
      </c>
      <c r="J150" s="33">
        <v>0.52005000000000001</v>
      </c>
      <c r="K150" s="33">
        <v>0.65107000000000004</v>
      </c>
      <c r="L150" s="33">
        <v>20.860050000000001</v>
      </c>
      <c r="M150" s="33">
        <v>25.791070000000001</v>
      </c>
      <c r="N150" s="34">
        <v>1.2359882005899701</v>
      </c>
      <c r="O150" s="34">
        <v>1.2371344131525399</v>
      </c>
      <c r="P150" s="34">
        <v>1.2382173619867001</v>
      </c>
      <c r="Q150" s="34">
        <v>1.23779233424821</v>
      </c>
      <c r="R150" s="33">
        <v>25.1633139635227</v>
      </c>
      <c r="S150" s="33">
        <v>25.194505587254099</v>
      </c>
      <c r="T150" s="33">
        <v>25.175226991268001</v>
      </c>
      <c r="U150" s="15">
        <v>9.2693555772311404E-4</v>
      </c>
      <c r="V150" s="15">
        <v>2.1657353309677799E-3</v>
      </c>
      <c r="W150" s="15">
        <v>1.4002519368539899E-3</v>
      </c>
      <c r="X150" s="34">
        <v>1.23638581882593</v>
      </c>
      <c r="Y150" s="34">
        <v>1.2358474847357901</v>
      </c>
      <c r="Z150" s="34">
        <v>1.2358764414751799</v>
      </c>
      <c r="AA150" s="34">
        <v>1.2359120092823099</v>
      </c>
      <c r="AB150" s="33">
        <v>25.779840323962802</v>
      </c>
      <c r="AC150" s="33">
        <v>25.780258834908899</v>
      </c>
      <c r="AD150" s="33">
        <v>25.779726013858799</v>
      </c>
      <c r="AE150" s="15">
        <v>-4.3550428503681601E-4</v>
      </c>
      <c r="AF150" s="15">
        <v>-4.1927037730739601E-4</v>
      </c>
      <c r="AG150" s="15">
        <v>-4.3993838377432798E-4</v>
      </c>
      <c r="AI150" s="12"/>
      <c r="AJ150">
        <f t="shared" ref="AJ150:AJ176" si="46">IF($AG150&lt;AI$21,1,0)</f>
        <v>0</v>
      </c>
      <c r="AK150">
        <f t="shared" ref="AK150:AK176" si="47">IF($AG150&gt;AI$22,1,0)</f>
        <v>0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1.9417481829103801E-3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1.18506828010929E-3</v>
      </c>
      <c r="BE150" s="29">
        <f t="shared" si="42"/>
        <v>0</v>
      </c>
      <c r="BF150" s="29">
        <f t="shared" si="43"/>
        <v>3.1268164630196701E-3</v>
      </c>
      <c r="BH150" s="29"/>
    </row>
    <row r="151" spans="1:60" x14ac:dyDescent="0.25">
      <c r="A151" s="1">
        <v>46241</v>
      </c>
      <c r="B151" s="33">
        <v>20.37</v>
      </c>
      <c r="C151" s="33">
        <v>25.16</v>
      </c>
      <c r="D151" s="15">
        <v>1.4738396183005199E-3</v>
      </c>
      <c r="E151" s="15">
        <v>7.9522867013831695E-4</v>
      </c>
      <c r="F151" s="33">
        <v>0</v>
      </c>
      <c r="G151" s="33">
        <v>0.52005000000000001</v>
      </c>
      <c r="H151" s="33">
        <v>0</v>
      </c>
      <c r="I151" s="33">
        <v>0.65107000000000004</v>
      </c>
      <c r="J151" s="33">
        <v>0.52005000000000001</v>
      </c>
      <c r="K151" s="33">
        <v>0.65107000000000004</v>
      </c>
      <c r="L151" s="33">
        <v>20.890049999999999</v>
      </c>
      <c r="M151" s="33">
        <v>25.811070000000001</v>
      </c>
      <c r="N151" s="34">
        <v>1.23514972999509</v>
      </c>
      <c r="O151" s="34">
        <v>1.2371344131525399</v>
      </c>
      <c r="P151" s="34">
        <v>1.2377185282801</v>
      </c>
      <c r="Q151" s="34">
        <v>1.2377865594513</v>
      </c>
      <c r="R151" s="33">
        <v>25.200427995917298</v>
      </c>
      <c r="S151" s="33">
        <v>25.222487663669199</v>
      </c>
      <c r="T151" s="33">
        <v>25.213829848635999</v>
      </c>
      <c r="U151" s="15">
        <v>1.60554650588533E-3</v>
      </c>
      <c r="V151" s="15">
        <v>2.4805323678003602E-3</v>
      </c>
      <c r="W151" s="15">
        <v>2.13721566486581E-3</v>
      </c>
      <c r="X151" s="34">
        <v>1.2355676506279301</v>
      </c>
      <c r="Y151" s="34">
        <v>1.2358474847357901</v>
      </c>
      <c r="Z151" s="34">
        <v>1.23583759979664</v>
      </c>
      <c r="AA151" s="34">
        <v>1.2359057770502599</v>
      </c>
      <c r="AB151" s="33">
        <v>25.816915748504901</v>
      </c>
      <c r="AC151" s="33">
        <v>25.8175206562385</v>
      </c>
      <c r="AD151" s="33">
        <v>25.818263669507999</v>
      </c>
      <c r="AE151" s="15">
        <v>2.26456579513162E-4</v>
      </c>
      <c r="AF151" s="15">
        <v>2.4988697890723403E-4</v>
      </c>
      <c r="AG151" s="15">
        <v>2.7866598475315802E-4</v>
      </c>
      <c r="AI151" s="12"/>
      <c r="AJ151">
        <f t="shared" si="46"/>
        <v>0</v>
      </c>
      <c r="AK151">
        <f t="shared" si="47"/>
        <v>1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1.9417481829103801E-3</v>
      </c>
      <c r="AT151" s="12"/>
      <c r="AU151">
        <f t="shared" si="50"/>
        <v>0</v>
      </c>
      <c r="AV151">
        <f t="shared" si="51"/>
        <v>0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1.18506828010929E-3</v>
      </c>
      <c r="BE151" s="29">
        <f t="shared" ref="BE151:BE176" si="62">AQ151+BB151</f>
        <v>0</v>
      </c>
      <c r="BF151" s="29">
        <f t="shared" ref="BF151:BF176" si="63">BF150+BE151</f>
        <v>3.1268164630196701E-3</v>
      </c>
      <c r="BH151" s="29"/>
    </row>
    <row r="152" spans="1:60" x14ac:dyDescent="0.25">
      <c r="A152" s="1">
        <v>46244</v>
      </c>
      <c r="B152" s="33">
        <v>20.36</v>
      </c>
      <c r="C152" s="33">
        <v>25.16</v>
      </c>
      <c r="D152" s="15">
        <v>-4.9103855639256598E-4</v>
      </c>
      <c r="E152" s="15">
        <v>0</v>
      </c>
      <c r="F152" s="33">
        <v>0</v>
      </c>
      <c r="G152" s="33">
        <v>0.52005000000000001</v>
      </c>
      <c r="H152" s="33">
        <v>0</v>
      </c>
      <c r="I152" s="33">
        <v>0.65107000000000004</v>
      </c>
      <c r="J152" s="33">
        <v>0.52005000000000001</v>
      </c>
      <c r="K152" s="33">
        <v>0.65107000000000004</v>
      </c>
      <c r="L152" s="33">
        <v>20.880050000000001</v>
      </c>
      <c r="M152" s="33">
        <v>25.811070000000001</v>
      </c>
      <c r="N152" s="34">
        <v>1.2357563850687601</v>
      </c>
      <c r="O152" s="34">
        <v>1.2371344131525399</v>
      </c>
      <c r="P152" s="34">
        <v>1.23732966974555</v>
      </c>
      <c r="Q152" s="34">
        <v>1.23776916473524</v>
      </c>
      <c r="R152" s="33">
        <v>25.1880566517858</v>
      </c>
      <c r="S152" s="33">
        <v>25.199949235782899</v>
      </c>
      <c r="T152" s="33">
        <v>25.2013343504285</v>
      </c>
      <c r="U152" s="15">
        <v>1.11450794949286E-3</v>
      </c>
      <c r="V152" s="15">
        <v>1.5865482300495999E-3</v>
      </c>
      <c r="W152" s="15">
        <v>1.64151169714643E-3</v>
      </c>
      <c r="X152" s="34">
        <v>1.2361593961700199</v>
      </c>
      <c r="Y152" s="34">
        <v>1.2358474847357901</v>
      </c>
      <c r="Z152" s="34">
        <v>1.23590600947982</v>
      </c>
      <c r="AA152" s="34">
        <v>1.23588804620377</v>
      </c>
      <c r="AB152" s="33">
        <v>25.804557273657501</v>
      </c>
      <c r="AC152" s="33">
        <v>25.804350875633901</v>
      </c>
      <c r="AD152" s="33">
        <v>25.805774420098299</v>
      </c>
      <c r="AE152" s="15">
        <v>-2.5235482821873398E-4</v>
      </c>
      <c r="AF152" s="15">
        <v>-2.6035337075870299E-4</v>
      </c>
      <c r="AG152" s="15">
        <v>-2.0518805361747599E-4</v>
      </c>
      <c r="AI152" s="12"/>
      <c r="AJ152">
        <f t="shared" si="46"/>
        <v>0</v>
      </c>
      <c r="AK152">
        <f t="shared" si="47"/>
        <v>0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1.9417481829103801E-3</v>
      </c>
      <c r="AT152" s="12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1.18506828010929E-3</v>
      </c>
      <c r="BE152" s="29">
        <f t="shared" si="62"/>
        <v>0</v>
      </c>
      <c r="BF152" s="29">
        <f t="shared" si="63"/>
        <v>3.1268164630196701E-3</v>
      </c>
      <c r="BH152" s="29"/>
    </row>
    <row r="153" spans="1:60" x14ac:dyDescent="0.25">
      <c r="A153" s="1">
        <v>46245</v>
      </c>
      <c r="B153" s="33">
        <v>20.36</v>
      </c>
      <c r="C153" s="33">
        <v>25.16</v>
      </c>
      <c r="D153" s="15">
        <v>0</v>
      </c>
      <c r="E153" s="15">
        <v>0</v>
      </c>
      <c r="F153" s="33">
        <v>0</v>
      </c>
      <c r="G153" s="33">
        <v>0.52005000000000001</v>
      </c>
      <c r="H153" s="33">
        <v>0</v>
      </c>
      <c r="I153" s="33">
        <v>0.65107000000000004</v>
      </c>
      <c r="J153" s="33">
        <v>0.52005000000000001</v>
      </c>
      <c r="K153" s="33">
        <v>0.65107000000000004</v>
      </c>
      <c r="L153" s="33">
        <v>20.880050000000001</v>
      </c>
      <c r="M153" s="33">
        <v>25.811070000000001</v>
      </c>
      <c r="N153" s="34">
        <v>1.2357563850687601</v>
      </c>
      <c r="O153" s="34">
        <v>1.2371344131525399</v>
      </c>
      <c r="P153" s="34">
        <v>1.23686589938544</v>
      </c>
      <c r="Q153" s="34">
        <v>1.2377994974889199</v>
      </c>
      <c r="R153" s="33">
        <v>25.1880566517858</v>
      </c>
      <c r="S153" s="33">
        <v>25.192032076019501</v>
      </c>
      <c r="T153" s="33">
        <v>25.2009801940094</v>
      </c>
      <c r="U153" s="15">
        <v>1.11450794949286E-3</v>
      </c>
      <c r="V153" s="15">
        <v>1.27232522780383E-3</v>
      </c>
      <c r="W153" s="15">
        <v>1.62745851636313E-3</v>
      </c>
      <c r="X153" s="34">
        <v>1.2361593961700199</v>
      </c>
      <c r="Y153" s="34">
        <v>1.2358474847357901</v>
      </c>
      <c r="Z153" s="34">
        <v>1.23590097796563</v>
      </c>
      <c r="AA153" s="34">
        <v>1.2359170629848399</v>
      </c>
      <c r="AB153" s="33">
        <v>25.804557273657501</v>
      </c>
      <c r="AC153" s="33">
        <v>25.8057792732392</v>
      </c>
      <c r="AD153" s="33">
        <v>25.8054041991372</v>
      </c>
      <c r="AE153" s="15">
        <v>-2.5235482821873398E-4</v>
      </c>
      <c r="AF153" s="15">
        <v>-2.04999989492702E-4</v>
      </c>
      <c r="AG153" s="15">
        <v>-2.1953459524106999E-4</v>
      </c>
      <c r="AI153" s="12"/>
      <c r="AJ153">
        <f t="shared" si="46"/>
        <v>0</v>
      </c>
      <c r="AK153">
        <f t="shared" si="47"/>
        <v>0</v>
      </c>
      <c r="AL153">
        <f t="shared" si="54"/>
        <v>0</v>
      </c>
      <c r="AM153">
        <f t="shared" si="44"/>
        <v>1</v>
      </c>
      <c r="AN153">
        <f t="shared" si="55"/>
        <v>0</v>
      </c>
      <c r="AO153" s="28">
        <f t="shared" si="48"/>
        <v>0</v>
      </c>
      <c r="AP153" s="28">
        <f t="shared" si="49"/>
        <v>0</v>
      </c>
      <c r="AQ153" s="28">
        <f t="shared" si="56"/>
        <v>0</v>
      </c>
      <c r="AR153" s="29">
        <f t="shared" si="57"/>
        <v>1.9417481829103801E-3</v>
      </c>
      <c r="AT153" s="12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1.18506828010929E-3</v>
      </c>
      <c r="BE153" s="29">
        <f t="shared" si="62"/>
        <v>0</v>
      </c>
      <c r="BF153" s="29">
        <f t="shared" si="63"/>
        <v>3.1268164630196701E-3</v>
      </c>
      <c r="BH153" s="29"/>
    </row>
    <row r="154" spans="1:60" x14ac:dyDescent="0.25">
      <c r="A154" s="1">
        <v>46246</v>
      </c>
      <c r="B154" s="33">
        <v>20.38</v>
      </c>
      <c r="C154" s="33">
        <v>25.17</v>
      </c>
      <c r="D154" s="15">
        <v>9.8183611225663805E-4</v>
      </c>
      <c r="E154" s="15">
        <v>3.9737731498475299E-4</v>
      </c>
      <c r="F154" s="33">
        <v>0</v>
      </c>
      <c r="G154" s="33">
        <v>0.52005000000000001</v>
      </c>
      <c r="H154" s="33">
        <v>0</v>
      </c>
      <c r="I154" s="33">
        <v>0.65107000000000004</v>
      </c>
      <c r="J154" s="33">
        <v>0.52005000000000001</v>
      </c>
      <c r="K154" s="33">
        <v>0.65107000000000004</v>
      </c>
      <c r="L154" s="33">
        <v>20.90005</v>
      </c>
      <c r="M154" s="33">
        <v>25.821069999999999</v>
      </c>
      <c r="N154" s="34">
        <v>1.2350343473994101</v>
      </c>
      <c r="O154" s="34">
        <v>1.2371344131525399</v>
      </c>
      <c r="P154" s="34">
        <v>1.2363535860938799</v>
      </c>
      <c r="Q154" s="34">
        <v>1.2377807391355</v>
      </c>
      <c r="R154" s="33">
        <v>25.2127993400488</v>
      </c>
      <c r="S154" s="33">
        <v>25.207327029475199</v>
      </c>
      <c r="T154" s="33">
        <v>25.2263537588242</v>
      </c>
      <c r="U154" s="15">
        <v>1.69896674676484E-3</v>
      </c>
      <c r="V154" s="15">
        <v>1.4818982469776401E-3</v>
      </c>
      <c r="W154" s="15">
        <v>2.23642299925621E-3</v>
      </c>
      <c r="X154" s="34">
        <v>1.2354549391030101</v>
      </c>
      <c r="Y154" s="34">
        <v>1.2358474847357901</v>
      </c>
      <c r="Z154" s="34">
        <v>1.2358481695685899</v>
      </c>
      <c r="AA154" s="34">
        <v>1.2358981654121</v>
      </c>
      <c r="AB154" s="33">
        <v>25.829274223352201</v>
      </c>
      <c r="AC154" s="33">
        <v>25.830392234530599</v>
      </c>
      <c r="AD154" s="33">
        <v>25.8307284122364</v>
      </c>
      <c r="AE154" s="15">
        <v>3.1768320403726498E-4</v>
      </c>
      <c r="AF154" s="15">
        <v>3.6096692053122102E-4</v>
      </c>
      <c r="AG154" s="15">
        <v>3.7398164810941001E-4</v>
      </c>
      <c r="AI154" s="12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1.9417481829103801E-3</v>
      </c>
      <c r="AT154" s="12"/>
      <c r="AU154">
        <f t="shared" si="50"/>
        <v>0</v>
      </c>
      <c r="AV154">
        <f t="shared" si="51"/>
        <v>0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1.18506828010929E-3</v>
      </c>
      <c r="BE154" s="29">
        <f t="shared" si="62"/>
        <v>0</v>
      </c>
      <c r="BF154" s="29">
        <f t="shared" si="63"/>
        <v>3.1268164630196701E-3</v>
      </c>
      <c r="BH154" s="29"/>
    </row>
    <row r="155" spans="1:60" x14ac:dyDescent="0.25">
      <c r="A155" s="1">
        <v>46247</v>
      </c>
      <c r="B155" s="33">
        <v>20.39</v>
      </c>
      <c r="C155" s="33">
        <v>25.2</v>
      </c>
      <c r="D155" s="15">
        <v>4.9055679178502303E-4</v>
      </c>
      <c r="E155" s="15">
        <v>1.19118537015301E-3</v>
      </c>
      <c r="F155" s="33">
        <v>0</v>
      </c>
      <c r="G155" s="33">
        <v>0.52005000000000001</v>
      </c>
      <c r="H155" s="33">
        <v>0</v>
      </c>
      <c r="I155" s="33">
        <v>0.65107000000000004</v>
      </c>
      <c r="J155" s="33">
        <v>0.52005000000000001</v>
      </c>
      <c r="K155" s="33">
        <v>0.65107000000000004</v>
      </c>
      <c r="L155" s="33">
        <v>20.910049999999998</v>
      </c>
      <c r="M155" s="33">
        <v>25.85107</v>
      </c>
      <c r="N155" s="34">
        <v>1.23589995095635</v>
      </c>
      <c r="O155" s="34">
        <v>1.2371344131525399</v>
      </c>
      <c r="P155" s="34">
        <v>1.23587862055959</v>
      </c>
      <c r="Q155" s="34">
        <v>1.2378052609599199</v>
      </c>
      <c r="R155" s="33">
        <v>25.225170684180299</v>
      </c>
      <c r="S155" s="33">
        <v>25.209249620454301</v>
      </c>
      <c r="T155" s="33">
        <v>25.238349270972801</v>
      </c>
      <c r="U155" s="15">
        <v>9.9833816839695207E-4</v>
      </c>
      <c r="V155" s="15">
        <v>3.6698108493112599E-4</v>
      </c>
      <c r="W155" s="15">
        <v>1.52063970835173E-3</v>
      </c>
      <c r="X155" s="34">
        <v>1.2362988132500801</v>
      </c>
      <c r="Y155" s="34">
        <v>1.2358474847357901</v>
      </c>
      <c r="Z155" s="34">
        <v>1.23583176405648</v>
      </c>
      <c r="AA155" s="34">
        <v>1.23592146154671</v>
      </c>
      <c r="AB155" s="33">
        <v>25.8416326981996</v>
      </c>
      <c r="AC155" s="33">
        <v>25.841647018087802</v>
      </c>
      <c r="AD155" s="33">
        <v>25.8426924336753</v>
      </c>
      <c r="AE155" s="15">
        <v>-3.6513091452514899E-4</v>
      </c>
      <c r="AF155" s="15">
        <v>-3.6457677444892299E-4</v>
      </c>
      <c r="AG155" s="15">
        <v>-3.24122911686992E-4</v>
      </c>
      <c r="AI155" s="12"/>
      <c r="AJ155">
        <f t="shared" si="46"/>
        <v>0</v>
      </c>
      <c r="AK155">
        <f t="shared" si="47"/>
        <v>0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1.9417481829103801E-3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1.18506828010929E-3</v>
      </c>
      <c r="BE155" s="29">
        <f t="shared" si="62"/>
        <v>0</v>
      </c>
      <c r="BF155" s="29">
        <f t="shared" si="63"/>
        <v>3.1268164630196701E-3</v>
      </c>
      <c r="BH155" s="29"/>
    </row>
    <row r="156" spans="1:60" x14ac:dyDescent="0.25">
      <c r="A156" s="1">
        <v>46248</v>
      </c>
      <c r="B156" s="33">
        <v>20.39</v>
      </c>
      <c r="C156" s="33">
        <v>25.19</v>
      </c>
      <c r="D156" s="15">
        <v>0</v>
      </c>
      <c r="E156" s="15">
        <v>-3.9690415285868503E-4</v>
      </c>
      <c r="F156" s="33">
        <v>0</v>
      </c>
      <c r="G156" s="33">
        <v>0.52005000000000001</v>
      </c>
      <c r="H156" s="33">
        <v>0</v>
      </c>
      <c r="I156" s="33">
        <v>0.65107000000000004</v>
      </c>
      <c r="J156" s="33">
        <v>0.52005000000000001</v>
      </c>
      <c r="K156" s="33">
        <v>0.65107000000000004</v>
      </c>
      <c r="L156" s="33">
        <v>20.910049999999998</v>
      </c>
      <c r="M156" s="33">
        <v>25.841069999999998</v>
      </c>
      <c r="N156" s="34">
        <v>1.2354095144678701</v>
      </c>
      <c r="O156" s="34">
        <v>1.2371344131525399</v>
      </c>
      <c r="P156" s="34">
        <v>1.2354038239748899</v>
      </c>
      <c r="Q156" s="34">
        <v>1.2377807391355</v>
      </c>
      <c r="R156" s="33">
        <v>25.225170684180299</v>
      </c>
      <c r="S156" s="33">
        <v>25.199565073210199</v>
      </c>
      <c r="T156" s="33">
        <v>25.2388492709728</v>
      </c>
      <c r="U156" s="15">
        <v>1.39524232125557E-3</v>
      </c>
      <c r="V156" s="15">
        <v>3.7964500432670399E-4</v>
      </c>
      <c r="W156" s="15">
        <v>1.9373547863197401E-3</v>
      </c>
      <c r="X156" s="34">
        <v>1.23582057431713</v>
      </c>
      <c r="Y156" s="34">
        <v>1.2358474847357901</v>
      </c>
      <c r="Z156" s="34">
        <v>1.23581551918086</v>
      </c>
      <c r="AA156" s="34">
        <v>1.2358968470670699</v>
      </c>
      <c r="AB156" s="33">
        <v>25.8416326981996</v>
      </c>
      <c r="AC156" s="33">
        <v>25.841303978009201</v>
      </c>
      <c r="AD156" s="33">
        <v>25.8431795570147</v>
      </c>
      <c r="AE156" s="15">
        <v>2.1775107347562199E-5</v>
      </c>
      <c r="AF156" s="15">
        <v>9.05446059386267E-6</v>
      </c>
      <c r="AG156" s="15">
        <v>8.16324909051871E-5</v>
      </c>
      <c r="AI156" s="12"/>
      <c r="AJ156">
        <f t="shared" si="46"/>
        <v>0</v>
      </c>
      <c r="AK156">
        <f t="shared" si="47"/>
        <v>1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1.9417481829103801E-3</v>
      </c>
      <c r="AT156" s="12"/>
      <c r="AU156">
        <f t="shared" si="50"/>
        <v>0</v>
      </c>
      <c r="AV156">
        <f t="shared" si="51"/>
        <v>1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1.18506828010929E-3</v>
      </c>
      <c r="BE156" s="29">
        <f t="shared" si="62"/>
        <v>0</v>
      </c>
      <c r="BF156" s="29">
        <f t="shared" si="63"/>
        <v>3.1268164630196701E-3</v>
      </c>
      <c r="BH156" s="29"/>
    </row>
    <row r="157" spans="1:60" x14ac:dyDescent="0.25">
      <c r="A157" s="1">
        <v>46251</v>
      </c>
      <c r="B157" s="33">
        <v>20.39</v>
      </c>
      <c r="C157" s="33">
        <v>25.19</v>
      </c>
      <c r="D157" s="15">
        <v>0</v>
      </c>
      <c r="E157" s="15">
        <v>0</v>
      </c>
      <c r="F157" s="33">
        <v>0</v>
      </c>
      <c r="G157" s="33">
        <v>0.52005000000000001</v>
      </c>
      <c r="H157" s="33">
        <v>0</v>
      </c>
      <c r="I157" s="33">
        <v>0.65107000000000004</v>
      </c>
      <c r="J157" s="33">
        <v>0.52005000000000001</v>
      </c>
      <c r="K157" s="33">
        <v>0.65107000000000004</v>
      </c>
      <c r="L157" s="33">
        <v>20.910049999999998</v>
      </c>
      <c r="M157" s="33">
        <v>25.841069999999998</v>
      </c>
      <c r="N157" s="34">
        <v>1.2354095144678701</v>
      </c>
      <c r="O157" s="34">
        <v>1.2371344131525399</v>
      </c>
      <c r="P157" s="34">
        <v>1.2354934479880499</v>
      </c>
      <c r="Q157" s="34">
        <v>1.23755614096726</v>
      </c>
      <c r="R157" s="33">
        <v>25.225170684180299</v>
      </c>
      <c r="S157" s="33">
        <v>25.189883970848001</v>
      </c>
      <c r="T157" s="33">
        <v>25.238349270972801</v>
      </c>
      <c r="U157" s="15">
        <v>1.39524232125557E-3</v>
      </c>
      <c r="V157" s="15">
        <v>-4.6061698767230202E-6</v>
      </c>
      <c r="W157" s="15">
        <v>1.91754386121065E-3</v>
      </c>
      <c r="X157" s="34">
        <v>1.23582057431713</v>
      </c>
      <c r="Y157" s="34">
        <v>1.2358474847357901</v>
      </c>
      <c r="Z157" s="34">
        <v>1.23590281030089</v>
      </c>
      <c r="AA157" s="34">
        <v>1.2359014055294999</v>
      </c>
      <c r="AB157" s="33">
        <v>25.8416326981996</v>
      </c>
      <c r="AC157" s="33">
        <v>25.840964296847702</v>
      </c>
      <c r="AD157" s="33">
        <v>25.8426648670149</v>
      </c>
      <c r="AE157" s="15">
        <v>2.1775107347562199E-5</v>
      </c>
      <c r="AF157" s="15">
        <v>-4.0905182491951899E-6</v>
      </c>
      <c r="AG157" s="15">
        <v>6.1716399541950797E-5</v>
      </c>
      <c r="AI157" s="12"/>
      <c r="AJ157">
        <f t="shared" si="46"/>
        <v>0</v>
      </c>
      <c r="AK157">
        <f t="shared" si="47"/>
        <v>1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1.9417481829103801E-3</v>
      </c>
      <c r="AT157" s="12"/>
      <c r="AU157">
        <f t="shared" si="50"/>
        <v>0</v>
      </c>
      <c r="AV157">
        <f t="shared" si="51"/>
        <v>1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1.18506828010929E-3</v>
      </c>
      <c r="BE157" s="29">
        <f t="shared" si="62"/>
        <v>0</v>
      </c>
      <c r="BF157" s="29">
        <f t="shared" si="63"/>
        <v>3.1268164630196701E-3</v>
      </c>
      <c r="BH157" s="29"/>
    </row>
    <row r="158" spans="1:60" x14ac:dyDescent="0.25">
      <c r="A158" s="1">
        <v>46252</v>
      </c>
      <c r="B158" s="33">
        <v>20.38</v>
      </c>
      <c r="C158" s="33">
        <v>25.2</v>
      </c>
      <c r="D158" s="15">
        <v>-4.9055679178510901E-4</v>
      </c>
      <c r="E158" s="15">
        <v>3.96904152858668E-4</v>
      </c>
      <c r="F158" s="33">
        <v>0</v>
      </c>
      <c r="G158" s="33">
        <v>0.52005000000000001</v>
      </c>
      <c r="H158" s="33">
        <v>0</v>
      </c>
      <c r="I158" s="33">
        <v>0.65107000000000004</v>
      </c>
      <c r="J158" s="33">
        <v>0.52005000000000001</v>
      </c>
      <c r="K158" s="33">
        <v>0.65107000000000004</v>
      </c>
      <c r="L158" s="33">
        <v>20.90005</v>
      </c>
      <c r="M158" s="33">
        <v>25.85107</v>
      </c>
      <c r="N158" s="34">
        <v>1.2365063788027399</v>
      </c>
      <c r="O158" s="34">
        <v>1.2371344131525399</v>
      </c>
      <c r="P158" s="34">
        <v>1.23566667918856</v>
      </c>
      <c r="Q158" s="34">
        <v>1.2373863860157801</v>
      </c>
      <c r="R158" s="33">
        <v>25.2127993400488</v>
      </c>
      <c r="S158" s="33">
        <v>25.179356469996399</v>
      </c>
      <c r="T158" s="33">
        <v>25.2213941529129</v>
      </c>
      <c r="U158" s="15">
        <v>5.0778137661179796E-4</v>
      </c>
      <c r="V158" s="15">
        <v>-8.1952341615178399E-4</v>
      </c>
      <c r="W158" s="15">
        <v>8.4861414708048497E-4</v>
      </c>
      <c r="X158" s="34">
        <v>1.2368903423676001</v>
      </c>
      <c r="Y158" s="34">
        <v>1.2358474847357901</v>
      </c>
      <c r="Z158" s="34">
        <v>1.23607169013189</v>
      </c>
      <c r="AA158" s="34">
        <v>1.2359594523944399</v>
      </c>
      <c r="AB158" s="33">
        <v>25.829274223352201</v>
      </c>
      <c r="AC158" s="33">
        <v>25.830430530429101</v>
      </c>
      <c r="AD158" s="33">
        <v>25.830401170636801</v>
      </c>
      <c r="AE158" s="15">
        <v>-8.4348424018982498E-4</v>
      </c>
      <c r="AF158" s="15">
        <v>-7.9871793412462303E-4</v>
      </c>
      <c r="AG158" s="15">
        <v>-7.9985457058159403E-4</v>
      </c>
      <c r="AI158" s="12"/>
      <c r="AJ158">
        <f t="shared" si="46"/>
        <v>0</v>
      </c>
      <c r="AK158">
        <f t="shared" si="47"/>
        <v>0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1.9417481829103801E-3</v>
      </c>
      <c r="AT158" s="12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1.18506828010929E-3</v>
      </c>
      <c r="BE158" s="29">
        <f t="shared" si="62"/>
        <v>0</v>
      </c>
      <c r="BF158" s="29">
        <f t="shared" si="63"/>
        <v>3.1268164630196701E-3</v>
      </c>
      <c r="BH158" s="29"/>
    </row>
    <row r="159" spans="1:60" x14ac:dyDescent="0.25">
      <c r="A159" s="1">
        <v>46253</v>
      </c>
      <c r="B159" s="33">
        <v>20.39</v>
      </c>
      <c r="C159" s="33">
        <v>25.2</v>
      </c>
      <c r="D159" s="15">
        <v>4.9055679178502303E-4</v>
      </c>
      <c r="E159" s="15">
        <v>0</v>
      </c>
      <c r="F159" s="33">
        <v>0</v>
      </c>
      <c r="G159" s="33">
        <v>0.52005000000000001</v>
      </c>
      <c r="H159" s="33">
        <v>0</v>
      </c>
      <c r="I159" s="33">
        <v>0.65107000000000004</v>
      </c>
      <c r="J159" s="33">
        <v>0.52005000000000001</v>
      </c>
      <c r="K159" s="33">
        <v>0.65107000000000004</v>
      </c>
      <c r="L159" s="33">
        <v>20.910049999999998</v>
      </c>
      <c r="M159" s="33">
        <v>25.85107</v>
      </c>
      <c r="N159" s="34">
        <v>1.23589995095635</v>
      </c>
      <c r="O159" s="34">
        <v>1.2371344131525399</v>
      </c>
      <c r="P159" s="34">
        <v>1.23568103577732</v>
      </c>
      <c r="Q159" s="34">
        <v>1.23717448021054</v>
      </c>
      <c r="R159" s="33">
        <v>25.225170684180299</v>
      </c>
      <c r="S159" s="33">
        <v>25.195243588654701</v>
      </c>
      <c r="T159" s="33">
        <v>25.230308410861699</v>
      </c>
      <c r="U159" s="15">
        <v>9.9833816839695207E-4</v>
      </c>
      <c r="V159" s="15">
        <v>-1.88764296812804E-4</v>
      </c>
      <c r="W159" s="15">
        <v>1.2019920347871101E-3</v>
      </c>
      <c r="X159" s="34">
        <v>1.2362988132500801</v>
      </c>
      <c r="Y159" s="34">
        <v>1.2358474847357901</v>
      </c>
      <c r="Z159" s="34">
        <v>1.2360856318398901</v>
      </c>
      <c r="AA159" s="34">
        <v>1.23597658968628</v>
      </c>
      <c r="AB159" s="33">
        <v>25.8416326981996</v>
      </c>
      <c r="AC159" s="33">
        <v>25.8463208442423</v>
      </c>
      <c r="AD159" s="33">
        <v>25.843973947540501</v>
      </c>
      <c r="AE159" s="15">
        <v>-3.6513091452514899E-4</v>
      </c>
      <c r="AF159" s="15">
        <v>-1.83729031326967E-4</v>
      </c>
      <c r="AG159" s="15">
        <v>-2.7453511834780499E-4</v>
      </c>
      <c r="AI159" s="12"/>
      <c r="AJ159">
        <f t="shared" si="46"/>
        <v>0</v>
      </c>
      <c r="AK159">
        <f t="shared" si="47"/>
        <v>0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1.9417481829103801E-3</v>
      </c>
      <c r="AT159" s="12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1.18506828010929E-3</v>
      </c>
      <c r="BE159" s="29">
        <f t="shared" si="62"/>
        <v>0</v>
      </c>
      <c r="BF159" s="29">
        <f t="shared" si="63"/>
        <v>3.1268164630196701E-3</v>
      </c>
      <c r="BH159" s="29"/>
    </row>
    <row r="160" spans="1:60" x14ac:dyDescent="0.25">
      <c r="A160" s="1">
        <v>46254</v>
      </c>
      <c r="B160" s="33">
        <v>20.39</v>
      </c>
      <c r="C160" s="33">
        <v>25.2</v>
      </c>
      <c r="D160" s="15">
        <v>0</v>
      </c>
      <c r="E160" s="15">
        <v>0</v>
      </c>
      <c r="F160" s="33">
        <v>0</v>
      </c>
      <c r="G160" s="33">
        <v>0.52005000000000001</v>
      </c>
      <c r="H160" s="33">
        <v>0</v>
      </c>
      <c r="I160" s="33">
        <v>0.65107000000000004</v>
      </c>
      <c r="J160" s="33">
        <v>0.52005000000000001</v>
      </c>
      <c r="K160" s="33">
        <v>0.65107000000000004</v>
      </c>
      <c r="L160" s="33">
        <v>20.910049999999998</v>
      </c>
      <c r="M160" s="33">
        <v>25.85107</v>
      </c>
      <c r="N160" s="34">
        <v>1.23589995095635</v>
      </c>
      <c r="O160" s="34">
        <v>1.2371344131525399</v>
      </c>
      <c r="P160" s="34">
        <v>1.23567221081395</v>
      </c>
      <c r="Q160" s="34">
        <v>1.23694478640033</v>
      </c>
      <c r="R160" s="33">
        <v>25.225170684180299</v>
      </c>
      <c r="S160" s="33">
        <v>25.195536319499499</v>
      </c>
      <c r="T160" s="33">
        <v>25.2259876514929</v>
      </c>
      <c r="U160" s="15">
        <v>9.9833816839695207E-4</v>
      </c>
      <c r="V160" s="15">
        <v>-1.77145867991824E-4</v>
      </c>
      <c r="W160" s="15">
        <v>1.03072463243731E-3</v>
      </c>
      <c r="X160" s="34">
        <v>1.2362988132500801</v>
      </c>
      <c r="Y160" s="34">
        <v>1.2358474847357901</v>
      </c>
      <c r="Z160" s="34">
        <v>1.2360769312823101</v>
      </c>
      <c r="AA160" s="34">
        <v>1.23597668637874</v>
      </c>
      <c r="AB160" s="33">
        <v>25.8416326981996</v>
      </c>
      <c r="AC160" s="33">
        <v>25.846612366053801</v>
      </c>
      <c r="AD160" s="33">
        <v>25.844332289169699</v>
      </c>
      <c r="AE160" s="15">
        <v>-3.6513091452514899E-4</v>
      </c>
      <c r="AF160" s="15">
        <v>-1.7245005010511501E-4</v>
      </c>
      <c r="AG160" s="15">
        <v>-2.6066963675919002E-4</v>
      </c>
      <c r="AI160" s="12"/>
      <c r="AJ160">
        <f t="shared" si="46"/>
        <v>0</v>
      </c>
      <c r="AK160">
        <f t="shared" si="47"/>
        <v>0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1.9417481829103801E-3</v>
      </c>
      <c r="AT160" s="12"/>
      <c r="AU160">
        <f t="shared" si="50"/>
        <v>0</v>
      </c>
      <c r="AV160">
        <f t="shared" si="51"/>
        <v>1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1.18506828010929E-3</v>
      </c>
      <c r="BE160" s="29">
        <f t="shared" si="62"/>
        <v>0</v>
      </c>
      <c r="BF160" s="29">
        <f t="shared" si="63"/>
        <v>3.1268164630196701E-3</v>
      </c>
      <c r="BH160" s="29"/>
    </row>
    <row r="161" spans="1:60" x14ac:dyDescent="0.25">
      <c r="A161" s="1">
        <v>46255</v>
      </c>
      <c r="B161" s="33">
        <v>20.39</v>
      </c>
      <c r="C161" s="33">
        <v>25.19</v>
      </c>
      <c r="D161" s="15">
        <v>0</v>
      </c>
      <c r="E161" s="15">
        <v>-3.9690415285868503E-4</v>
      </c>
      <c r="F161" s="33">
        <v>0</v>
      </c>
      <c r="G161" s="33">
        <v>0.52005000000000001</v>
      </c>
      <c r="H161" s="33">
        <v>0</v>
      </c>
      <c r="I161" s="33">
        <v>0.65107000000000004</v>
      </c>
      <c r="J161" s="33">
        <v>0.52005000000000001</v>
      </c>
      <c r="K161" s="33">
        <v>0.65107000000000004</v>
      </c>
      <c r="L161" s="33">
        <v>20.910049999999998</v>
      </c>
      <c r="M161" s="33">
        <v>25.841069999999998</v>
      </c>
      <c r="N161" s="34">
        <v>1.2354095144678701</v>
      </c>
      <c r="O161" s="34">
        <v>1.2371344131525399</v>
      </c>
      <c r="P161" s="34">
        <v>1.23569818926123</v>
      </c>
      <c r="Q161" s="34">
        <v>1.23670835877067</v>
      </c>
      <c r="R161" s="33">
        <v>25.225170684180299</v>
      </c>
      <c r="S161" s="33">
        <v>25.195356378496601</v>
      </c>
      <c r="T161" s="33">
        <v>25.2213041947027</v>
      </c>
      <c r="U161" s="15">
        <v>1.39524232125557E-3</v>
      </c>
      <c r="V161" s="15">
        <v>2.1261647834932001E-4</v>
      </c>
      <c r="W161" s="15">
        <v>1.24195155140741E-3</v>
      </c>
      <c r="X161" s="34">
        <v>1.23582057431713</v>
      </c>
      <c r="Y161" s="34">
        <v>1.2358474847357901</v>
      </c>
      <c r="Z161" s="34">
        <v>1.23610222365123</v>
      </c>
      <c r="AA161" s="34">
        <v>1.23596991172393</v>
      </c>
      <c r="AB161" s="33">
        <v>25.8416326981996</v>
      </c>
      <c r="AC161" s="33">
        <v>25.8464304369597</v>
      </c>
      <c r="AD161" s="33">
        <v>25.844334311013899</v>
      </c>
      <c r="AE161" s="15">
        <v>2.1775107347562199E-5</v>
      </c>
      <c r="AF161" s="15">
        <v>2.0741714858128001E-4</v>
      </c>
      <c r="AG161" s="15">
        <v>1.2631461673852601E-4</v>
      </c>
      <c r="AI161" s="12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0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1.9417481829103801E-3</v>
      </c>
      <c r="AT161" s="12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0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1.18506828010929E-3</v>
      </c>
      <c r="BE161" s="29">
        <f t="shared" si="62"/>
        <v>0</v>
      </c>
      <c r="BF161" s="29">
        <f t="shared" si="63"/>
        <v>3.1268164630196701E-3</v>
      </c>
      <c r="BH161" s="29"/>
    </row>
    <row r="162" spans="1:60" x14ac:dyDescent="0.25">
      <c r="A162" s="1">
        <v>46258</v>
      </c>
      <c r="B162" s="33">
        <v>20.32</v>
      </c>
      <c r="C162" s="33">
        <v>25.2</v>
      </c>
      <c r="D162" s="15">
        <v>-3.4389618760827202E-3</v>
      </c>
      <c r="E162" s="15">
        <v>3.96904152858668E-4</v>
      </c>
      <c r="F162" s="33">
        <v>7.6480000000000006E-2</v>
      </c>
      <c r="G162" s="33">
        <v>0.59653</v>
      </c>
      <c r="H162" s="33">
        <v>0</v>
      </c>
      <c r="I162" s="33">
        <v>0.65107000000000004</v>
      </c>
      <c r="J162" s="33">
        <v>0.59653</v>
      </c>
      <c r="K162" s="33">
        <v>0.65107000000000004</v>
      </c>
      <c r="L162" s="33">
        <v>20.916530000000002</v>
      </c>
      <c r="M162" s="33">
        <v>25.85107</v>
      </c>
      <c r="N162" s="34">
        <v>1.24015748031496</v>
      </c>
      <c r="O162" s="34">
        <v>1.2371344131525399</v>
      </c>
      <c r="P162" s="34">
        <v>1.23613829878585</v>
      </c>
      <c r="Q162" s="34">
        <v>1.2367339842656999</v>
      </c>
      <c r="R162" s="33">
        <v>25.1385712752597</v>
      </c>
      <c r="S162" s="33">
        <v>25.109387205788298</v>
      </c>
      <c r="T162" s="33">
        <v>25.129913850219999</v>
      </c>
      <c r="U162" s="15">
        <v>-2.4406237076858598E-3</v>
      </c>
      <c r="V162" s="15">
        <v>-3.6022260348303999E-3</v>
      </c>
      <c r="W162" s="15">
        <v>-2.7850711324955801E-3</v>
      </c>
      <c r="X162" s="34">
        <v>1.23591580439011</v>
      </c>
      <c r="Y162" s="34">
        <v>1.2358474847357901</v>
      </c>
      <c r="Z162" s="34">
        <v>1.23607786447324</v>
      </c>
      <c r="AA162" s="34">
        <v>1.23599193697653</v>
      </c>
      <c r="AB162" s="33">
        <v>25.849640989900699</v>
      </c>
      <c r="AC162" s="33">
        <v>25.8549692440677</v>
      </c>
      <c r="AD162" s="33">
        <v>25.852201737671098</v>
      </c>
      <c r="AE162" s="15">
        <v>-5.5280094695062602E-5</v>
      </c>
      <c r="AF162" s="15">
        <v>1.5082354526294801E-4</v>
      </c>
      <c r="AG162" s="15">
        <v>4.3778183982044497E-5</v>
      </c>
      <c r="AI162" s="12"/>
      <c r="AJ162">
        <f t="shared" si="46"/>
        <v>0</v>
      </c>
      <c r="AK162">
        <f t="shared" si="47"/>
        <v>1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1.9417481829103801E-3</v>
      </c>
      <c r="AT162" s="12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1.18506828010929E-3</v>
      </c>
      <c r="BE162" s="29">
        <f t="shared" si="62"/>
        <v>0</v>
      </c>
      <c r="BF162" s="29">
        <f t="shared" si="63"/>
        <v>3.1268164630196701E-3</v>
      </c>
      <c r="BH162" s="29"/>
    </row>
    <row r="163" spans="1:60" x14ac:dyDescent="0.25">
      <c r="A163" s="1">
        <v>46259</v>
      </c>
      <c r="B163" s="33">
        <v>20.34</v>
      </c>
      <c r="C163" s="33">
        <v>25.22</v>
      </c>
      <c r="D163" s="15">
        <v>9.83767910132748E-4</v>
      </c>
      <c r="E163" s="15">
        <v>7.9333601939587397E-4</v>
      </c>
      <c r="F163" s="33">
        <v>0</v>
      </c>
      <c r="G163" s="33">
        <v>0.59653</v>
      </c>
      <c r="H163" s="33">
        <v>0</v>
      </c>
      <c r="I163" s="33">
        <v>0.65107000000000004</v>
      </c>
      <c r="J163" s="33">
        <v>0.59653</v>
      </c>
      <c r="K163" s="33">
        <v>0.65107000000000004</v>
      </c>
      <c r="L163" s="33">
        <v>20.936530000000001</v>
      </c>
      <c r="M163" s="33">
        <v>25.87107</v>
      </c>
      <c r="N163" s="34">
        <v>1.2399213372664699</v>
      </c>
      <c r="O163" s="34">
        <v>1.2371344131525399</v>
      </c>
      <c r="P163" s="34">
        <v>1.2365547940056201</v>
      </c>
      <c r="Q163" s="34">
        <v>1.23671034669553</v>
      </c>
      <c r="R163" s="33">
        <v>25.1633139635227</v>
      </c>
      <c r="S163" s="33">
        <v>25.143052997304299</v>
      </c>
      <c r="T163" s="33">
        <v>25.155169239964501</v>
      </c>
      <c r="U163" s="15">
        <v>-2.2501918169489099E-3</v>
      </c>
      <c r="V163" s="15">
        <v>-3.0556949187615198E-3</v>
      </c>
      <c r="W163" s="15">
        <v>-2.5739187304347801E-3</v>
      </c>
      <c r="X163" s="34">
        <v>1.23569044153926</v>
      </c>
      <c r="Y163" s="34">
        <v>1.2358474847357901</v>
      </c>
      <c r="Z163" s="34">
        <v>1.2360309690101601</v>
      </c>
      <c r="AA163" s="34">
        <v>1.2359659734878901</v>
      </c>
      <c r="AB163" s="33">
        <v>25.874357939595399</v>
      </c>
      <c r="AC163" s="33">
        <v>25.879181291879899</v>
      </c>
      <c r="AD163" s="33">
        <v>25.877382268267301</v>
      </c>
      <c r="AE163" s="15">
        <v>1.2708135697240801E-4</v>
      </c>
      <c r="AF163" s="15">
        <v>3.1347835977312298E-4</v>
      </c>
      <c r="AG163" s="15">
        <v>2.4395969432635601E-4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1.9417481829103801E-3</v>
      </c>
      <c r="AT163" s="12"/>
      <c r="AU163">
        <f t="shared" si="50"/>
        <v>0</v>
      </c>
      <c r="AV163">
        <f t="shared" si="51"/>
        <v>0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1.18506828010929E-3</v>
      </c>
      <c r="BE163" s="29">
        <f t="shared" si="62"/>
        <v>0</v>
      </c>
      <c r="BF163" s="29">
        <f t="shared" si="63"/>
        <v>3.1268164630196701E-3</v>
      </c>
      <c r="BH163" s="29"/>
    </row>
    <row r="164" spans="1:60" x14ac:dyDescent="0.25">
      <c r="A164" s="1">
        <v>46260</v>
      </c>
      <c r="B164" s="33">
        <v>20.32</v>
      </c>
      <c r="C164" s="33">
        <v>25.21</v>
      </c>
      <c r="D164" s="15">
        <v>-9.8376791013272697E-4</v>
      </c>
      <c r="E164" s="15">
        <v>-3.9658933694493E-4</v>
      </c>
      <c r="F164" s="33">
        <v>0</v>
      </c>
      <c r="G164" s="33">
        <v>0.59653</v>
      </c>
      <c r="H164" s="33">
        <v>0</v>
      </c>
      <c r="I164" s="33">
        <v>0.65107000000000004</v>
      </c>
      <c r="J164" s="33">
        <v>0.59653</v>
      </c>
      <c r="K164" s="33">
        <v>0.65107000000000004</v>
      </c>
      <c r="L164" s="33">
        <v>20.916530000000002</v>
      </c>
      <c r="M164" s="33">
        <v>25.861070000000002</v>
      </c>
      <c r="N164" s="34">
        <v>1.2406496062992101</v>
      </c>
      <c r="O164" s="34">
        <v>1.2371344131525399</v>
      </c>
      <c r="P164" s="34">
        <v>1.2371163198955999</v>
      </c>
      <c r="Q164" s="34">
        <v>1.23673495299474</v>
      </c>
      <c r="R164" s="33">
        <v>25.1385712752597</v>
      </c>
      <c r="S164" s="33">
        <v>25.126793414194299</v>
      </c>
      <c r="T164" s="33">
        <v>25.129954244853199</v>
      </c>
      <c r="U164" s="15">
        <v>-2.8373703901368101E-3</v>
      </c>
      <c r="V164" s="15">
        <v>-3.30599769856938E-3</v>
      </c>
      <c r="W164" s="15">
        <v>-3.1802103840173198E-3</v>
      </c>
      <c r="X164" s="34">
        <v>1.23639389516329</v>
      </c>
      <c r="Y164" s="34">
        <v>1.2358474847357901</v>
      </c>
      <c r="Z164" s="34">
        <v>1.23612486461619</v>
      </c>
      <c r="AA164" s="34">
        <v>1.23598651709239</v>
      </c>
      <c r="AB164" s="33">
        <v>25.849640989900699</v>
      </c>
      <c r="AC164" s="33">
        <v>25.853478844230199</v>
      </c>
      <c r="AD164" s="33">
        <v>25.852119363438799</v>
      </c>
      <c r="AE164" s="15">
        <v>-4.4203647819232101E-4</v>
      </c>
      <c r="AF164" s="15">
        <v>-2.9357911821578702E-4</v>
      </c>
      <c r="AG164" s="15">
        <v>-3.4616455727037897E-4</v>
      </c>
      <c r="AI164" s="12"/>
      <c r="AJ164">
        <f t="shared" si="46"/>
        <v>0</v>
      </c>
      <c r="AK164">
        <f t="shared" si="47"/>
        <v>0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1.9417481829103801E-3</v>
      </c>
      <c r="AT164" s="12"/>
      <c r="AU164">
        <f t="shared" si="50"/>
        <v>0</v>
      </c>
      <c r="AV164">
        <f t="shared" si="51"/>
        <v>1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1.18506828010929E-3</v>
      </c>
      <c r="BE164" s="29">
        <f t="shared" si="62"/>
        <v>0</v>
      </c>
      <c r="BF164" s="29">
        <f t="shared" si="63"/>
        <v>3.1268164630196701E-3</v>
      </c>
      <c r="BH164" s="29"/>
    </row>
    <row r="165" spans="1:60" x14ac:dyDescent="0.25">
      <c r="A165" s="1">
        <v>46261</v>
      </c>
      <c r="B165" s="33">
        <v>20.34</v>
      </c>
      <c r="C165" s="33">
        <v>25.21</v>
      </c>
      <c r="D165" s="15">
        <v>9.83767910132748E-4</v>
      </c>
      <c r="E165" s="15">
        <v>0</v>
      </c>
      <c r="F165" s="33">
        <v>0</v>
      </c>
      <c r="G165" s="33">
        <v>0.59653</v>
      </c>
      <c r="H165" s="33">
        <v>0</v>
      </c>
      <c r="I165" s="33">
        <v>0.65107000000000004</v>
      </c>
      <c r="J165" s="33">
        <v>0.59653</v>
      </c>
      <c r="K165" s="33">
        <v>0.65107000000000004</v>
      </c>
      <c r="L165" s="33">
        <v>20.936530000000001</v>
      </c>
      <c r="M165" s="33">
        <v>25.861070000000002</v>
      </c>
      <c r="N165" s="34">
        <v>1.2394296951818999</v>
      </c>
      <c r="O165" s="34">
        <v>1.2371344131525399</v>
      </c>
      <c r="P165" s="34">
        <v>1.23746929431816</v>
      </c>
      <c r="Q165" s="34">
        <v>1.2366739574388801</v>
      </c>
      <c r="R165" s="33">
        <v>25.1633139635227</v>
      </c>
      <c r="S165" s="33">
        <v>25.162945946676601</v>
      </c>
      <c r="T165" s="33">
        <v>25.1551889439131</v>
      </c>
      <c r="U165" s="15">
        <v>-1.85360248000396E-3</v>
      </c>
      <c r="V165" s="15">
        <v>-1.8682277212502499E-3</v>
      </c>
      <c r="W165" s="15">
        <v>-2.1765460975900902E-3</v>
      </c>
      <c r="X165" s="34">
        <v>1.2352128074709601</v>
      </c>
      <c r="Y165" s="34">
        <v>1.2358474847357901</v>
      </c>
      <c r="Z165" s="34">
        <v>1.2360162640382799</v>
      </c>
      <c r="AA165" s="34">
        <v>1.2359240140473799</v>
      </c>
      <c r="AB165" s="33">
        <v>25.874357939595399</v>
      </c>
      <c r="AC165" s="33">
        <v>25.8801653117828</v>
      </c>
      <c r="AD165" s="33">
        <v>25.877268794700399</v>
      </c>
      <c r="AE165" s="15">
        <v>5.13688217796272E-4</v>
      </c>
      <c r="AF165" s="15">
        <v>7.3810810796299999E-4</v>
      </c>
      <c r="AG165" s="15">
        <v>6.2618149740220196E-4</v>
      </c>
      <c r="AI165" s="12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1.9417481829103801E-3</v>
      </c>
      <c r="AT165" s="12"/>
      <c r="AU165">
        <f t="shared" si="50"/>
        <v>0</v>
      </c>
      <c r="AV165">
        <f t="shared" si="51"/>
        <v>0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1.18506828010929E-3</v>
      </c>
      <c r="BE165" s="29">
        <f t="shared" si="62"/>
        <v>0</v>
      </c>
      <c r="BF165" s="29">
        <f t="shared" si="63"/>
        <v>3.1268164630196701E-3</v>
      </c>
      <c r="BH165" s="29"/>
    </row>
    <row r="166" spans="1:60" x14ac:dyDescent="0.25">
      <c r="A166" s="1">
        <v>46262</v>
      </c>
      <c r="B166" s="33">
        <v>20.3</v>
      </c>
      <c r="C166" s="33">
        <v>25.17</v>
      </c>
      <c r="D166" s="15">
        <v>-1.9685045726721899E-3</v>
      </c>
      <c r="E166" s="15">
        <v>-1.5879320526039299E-3</v>
      </c>
      <c r="F166" s="33">
        <v>0</v>
      </c>
      <c r="G166" s="33">
        <v>0.59653</v>
      </c>
      <c r="H166" s="33">
        <v>0</v>
      </c>
      <c r="I166" s="33">
        <v>0.65107000000000004</v>
      </c>
      <c r="J166" s="33">
        <v>0.59653</v>
      </c>
      <c r="K166" s="33">
        <v>0.65107000000000004</v>
      </c>
      <c r="L166" s="33">
        <v>20.896529999999998</v>
      </c>
      <c r="M166" s="33">
        <v>25.821069999999999</v>
      </c>
      <c r="N166" s="34">
        <v>1.2399014778325099</v>
      </c>
      <c r="O166" s="34">
        <v>1.2371344131525399</v>
      </c>
      <c r="P166" s="34">
        <v>1.2379184906546199</v>
      </c>
      <c r="Q166" s="34">
        <v>1.2366611573147499</v>
      </c>
      <c r="R166" s="33">
        <v>25.1138285869966</v>
      </c>
      <c r="S166" s="33">
        <v>25.120626674658698</v>
      </c>
      <c r="T166" s="33">
        <v>25.104481336009201</v>
      </c>
      <c r="U166" s="15">
        <v>-2.2341750000723398E-3</v>
      </c>
      <c r="V166" s="15">
        <v>-1.9635206188054598E-3</v>
      </c>
      <c r="W166" s="15">
        <v>-2.60643966248872E-3</v>
      </c>
      <c r="X166" s="34">
        <v>1.23566305027676</v>
      </c>
      <c r="Y166" s="34">
        <v>1.2358474847357901</v>
      </c>
      <c r="Z166" s="34">
        <v>1.2360005116342401</v>
      </c>
      <c r="AA166" s="34">
        <v>1.2359080154075499</v>
      </c>
      <c r="AB166" s="33">
        <v>25.8249240402059</v>
      </c>
      <c r="AC166" s="33">
        <v>25.828450941963801</v>
      </c>
      <c r="AD166" s="33">
        <v>25.826523237261501</v>
      </c>
      <c r="AE166" s="15">
        <v>1.49248369975578E-4</v>
      </c>
      <c r="AF166" s="15">
        <v>2.8580873082707998E-4</v>
      </c>
      <c r="AG166" s="15">
        <v>2.1117101262683099E-4</v>
      </c>
      <c r="AI166" s="12"/>
      <c r="AJ166">
        <f t="shared" si="46"/>
        <v>0</v>
      </c>
      <c r="AK166">
        <f t="shared" si="47"/>
        <v>1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1.9417481829103801E-3</v>
      </c>
      <c r="AT166" s="12"/>
      <c r="AU166">
        <f t="shared" si="50"/>
        <v>0</v>
      </c>
      <c r="AV166">
        <f t="shared" si="51"/>
        <v>0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1.18506828010929E-3</v>
      </c>
      <c r="BE166" s="29">
        <f t="shared" si="62"/>
        <v>0</v>
      </c>
      <c r="BF166" s="29">
        <f t="shared" si="63"/>
        <v>3.1268164630196701E-3</v>
      </c>
      <c r="BH166" s="29"/>
    </row>
    <row r="167" spans="1:60" x14ac:dyDescent="0.25">
      <c r="A167" s="1">
        <v>46265</v>
      </c>
      <c r="B167" s="33">
        <v>20.3</v>
      </c>
      <c r="C167" s="33">
        <v>25.18</v>
      </c>
      <c r="D167" s="15">
        <v>0</v>
      </c>
      <c r="E167" s="15">
        <v>3.9721946897642202E-4</v>
      </c>
      <c r="F167" s="33">
        <v>0</v>
      </c>
      <c r="G167" s="33">
        <v>0.59653</v>
      </c>
      <c r="H167" s="33">
        <v>0</v>
      </c>
      <c r="I167" s="33">
        <v>0.65107000000000004</v>
      </c>
      <c r="J167" s="33">
        <v>0.59653</v>
      </c>
      <c r="K167" s="33">
        <v>0.65107000000000004</v>
      </c>
      <c r="L167" s="33">
        <v>20.896529999999998</v>
      </c>
      <c r="M167" s="33">
        <v>25.83107</v>
      </c>
      <c r="N167" s="34">
        <v>1.24039408866995</v>
      </c>
      <c r="O167" s="34">
        <v>1.2371344131525399</v>
      </c>
      <c r="P167" s="34">
        <v>1.2384169480748299</v>
      </c>
      <c r="Q167" s="34">
        <v>1.2369551980314399</v>
      </c>
      <c r="R167" s="33">
        <v>25.1138285869966</v>
      </c>
      <c r="S167" s="33">
        <v>25.129745360288901</v>
      </c>
      <c r="T167" s="33">
        <v>25.1042214934896</v>
      </c>
      <c r="U167" s="15">
        <v>-2.6313944690488701E-3</v>
      </c>
      <c r="V167" s="15">
        <v>-1.99781000941537E-3</v>
      </c>
      <c r="W167" s="15">
        <v>-3.0140096286915699E-3</v>
      </c>
      <c r="X167" s="34">
        <v>1.23614159862905</v>
      </c>
      <c r="Y167" s="34">
        <v>1.2358474847357901</v>
      </c>
      <c r="Z167" s="34">
        <v>1.2360326140654301</v>
      </c>
      <c r="AA167" s="34">
        <v>1.23596771218316</v>
      </c>
      <c r="AB167" s="33">
        <v>25.8249240402059</v>
      </c>
      <c r="AC167" s="33">
        <v>25.8281217713803</v>
      </c>
      <c r="AD167" s="33">
        <v>25.826188921204398</v>
      </c>
      <c r="AE167" s="15">
        <v>-2.37957276293293E-4</v>
      </c>
      <c r="AF167" s="15">
        <v>-1.14141492413948E-4</v>
      </c>
      <c r="AG167" s="15">
        <v>-1.8897939658652399E-4</v>
      </c>
      <c r="AI167" s="12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0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1.9417481829103801E-3</v>
      </c>
      <c r="AT167" s="12"/>
      <c r="AU167">
        <f t="shared" si="50"/>
        <v>0</v>
      </c>
      <c r="AV167">
        <f t="shared" si="51"/>
        <v>1</v>
      </c>
      <c r="AW167">
        <f t="shared" si="58"/>
        <v>0</v>
      </c>
      <c r="AX167">
        <f t="shared" si="45"/>
        <v>0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1.18506828010929E-3</v>
      </c>
      <c r="BE167" s="29">
        <f t="shared" si="62"/>
        <v>0</v>
      </c>
      <c r="BF167" s="29">
        <f t="shared" si="63"/>
        <v>3.1268164630196701E-3</v>
      </c>
      <c r="BH167" s="29"/>
    </row>
    <row r="168" spans="1:60" x14ac:dyDescent="0.25">
      <c r="A168" s="1">
        <v>46266</v>
      </c>
      <c r="B168" s="33">
        <v>20.28</v>
      </c>
      <c r="C168" s="33">
        <v>25.05</v>
      </c>
      <c r="D168" s="15">
        <v>-9.8570732475918802E-4</v>
      </c>
      <c r="E168" s="15">
        <v>-5.1762010853272497E-3</v>
      </c>
      <c r="F168" s="33">
        <v>0</v>
      </c>
      <c r="G168" s="33">
        <v>0.59653</v>
      </c>
      <c r="H168" s="33">
        <v>9.3339000000000005E-2</v>
      </c>
      <c r="I168" s="33">
        <v>0.74440899999999999</v>
      </c>
      <c r="J168" s="33">
        <v>0.59653</v>
      </c>
      <c r="K168" s="33">
        <v>0.74440899999999999</v>
      </c>
      <c r="L168" s="33">
        <v>20.876529999999999</v>
      </c>
      <c r="M168" s="33">
        <v>25.794409000000002</v>
      </c>
      <c r="N168" s="34">
        <v>1.23520710059171</v>
      </c>
      <c r="O168" s="34">
        <v>1.2371344131525399</v>
      </c>
      <c r="P168" s="34">
        <v>1.2382870202537299</v>
      </c>
      <c r="Q168" s="34">
        <v>1.23697684972114</v>
      </c>
      <c r="R168" s="33">
        <v>25.0890858987336</v>
      </c>
      <c r="S168" s="33">
        <v>25.1150957069576</v>
      </c>
      <c r="T168" s="33">
        <v>25.0854514160776</v>
      </c>
      <c r="U168" s="15">
        <v>1.55909929151915E-3</v>
      </c>
      <c r="V168" s="15">
        <v>2.59526041273402E-3</v>
      </c>
      <c r="W168" s="15">
        <v>1.41422570197309E-3</v>
      </c>
      <c r="X168" s="34">
        <v>1.2355697522528799</v>
      </c>
      <c r="Y168" s="34">
        <v>1.2358474847357901</v>
      </c>
      <c r="Z168" s="34">
        <v>1.2359005550539599</v>
      </c>
      <c r="AA168" s="34">
        <v>1.2359861225929201</v>
      </c>
      <c r="AB168" s="33">
        <v>25.800207090511201</v>
      </c>
      <c r="AC168" s="33">
        <v>25.804071948515499</v>
      </c>
      <c r="AD168" s="33">
        <v>25.802717022423199</v>
      </c>
      <c r="AE168" s="15">
        <v>2.2475564215879E-4</v>
      </c>
      <c r="AF168" s="15">
        <v>3.7454391876871299E-4</v>
      </c>
      <c r="AG168" s="15">
        <v>3.2203431219825402E-4</v>
      </c>
      <c r="AI168" s="12"/>
      <c r="AJ168">
        <f t="shared" si="46"/>
        <v>0</v>
      </c>
      <c r="AK168">
        <f t="shared" si="47"/>
        <v>1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1.9417481829103801E-3</v>
      </c>
      <c r="AT168" s="12"/>
      <c r="AU168">
        <f t="shared" si="50"/>
        <v>0</v>
      </c>
      <c r="AV168">
        <f t="shared" si="51"/>
        <v>0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1.18506828010929E-3</v>
      </c>
      <c r="BE168" s="29">
        <f t="shared" si="62"/>
        <v>0</v>
      </c>
      <c r="BF168" s="29">
        <f t="shared" si="63"/>
        <v>3.1268164630196701E-3</v>
      </c>
      <c r="BH168" s="29"/>
    </row>
    <row r="169" spans="1:60" x14ac:dyDescent="0.25">
      <c r="A169" s="1">
        <v>46267</v>
      </c>
      <c r="B169" s="33">
        <v>20.28</v>
      </c>
      <c r="C169" s="33">
        <v>25.08</v>
      </c>
      <c r="D169" s="15">
        <v>0</v>
      </c>
      <c r="E169" s="15">
        <v>1.1968882338459501E-3</v>
      </c>
      <c r="F169" s="33">
        <v>0</v>
      </c>
      <c r="G169" s="33">
        <v>0.59653</v>
      </c>
      <c r="H169" s="33">
        <v>0</v>
      </c>
      <c r="I169" s="33">
        <v>0.74440899999999999</v>
      </c>
      <c r="J169" s="33">
        <v>0.59653</v>
      </c>
      <c r="K169" s="33">
        <v>0.74440899999999999</v>
      </c>
      <c r="L169" s="33">
        <v>20.876529999999999</v>
      </c>
      <c r="M169" s="33">
        <v>25.824408999999999</v>
      </c>
      <c r="N169" s="34">
        <v>1.23668639053254</v>
      </c>
      <c r="O169" s="34">
        <v>1.2371344131525399</v>
      </c>
      <c r="P169" s="34">
        <v>1.2383656642113501</v>
      </c>
      <c r="Q169" s="34">
        <v>1.2370233499943299</v>
      </c>
      <c r="R169" s="33">
        <v>25.0890858987336</v>
      </c>
      <c r="S169" s="33">
        <v>25.112460770745599</v>
      </c>
      <c r="T169" s="33">
        <v>25.0858905123448</v>
      </c>
      <c r="U169" s="15">
        <v>3.6221105767319698E-4</v>
      </c>
      <c r="V169" s="15">
        <v>1.2934522345718E-3</v>
      </c>
      <c r="W169" s="15">
        <v>2.34841335886154E-4</v>
      </c>
      <c r="X169" s="34">
        <v>1.23700677267725</v>
      </c>
      <c r="Y169" s="34">
        <v>1.2358474847357901</v>
      </c>
      <c r="Z169" s="34">
        <v>1.2359713509966801</v>
      </c>
      <c r="AA169" s="34">
        <v>1.23602849141829</v>
      </c>
      <c r="AB169" s="33">
        <v>25.800207090511201</v>
      </c>
      <c r="AC169" s="33">
        <v>25.8013150146007</v>
      </c>
      <c r="AD169" s="33">
        <v>25.8031013678949</v>
      </c>
      <c r="AE169" s="15">
        <v>-9.3761128293206697E-4</v>
      </c>
      <c r="AF169" s="15">
        <v>-8.9466975545471805E-4</v>
      </c>
      <c r="AG169" s="15">
        <v>-8.2543718118535702E-4</v>
      </c>
      <c r="AI169" s="12"/>
      <c r="AJ169">
        <f t="shared" si="46"/>
        <v>0</v>
      </c>
      <c r="AK169">
        <f t="shared" si="47"/>
        <v>0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1.9417481829103801E-3</v>
      </c>
      <c r="AT169" s="12"/>
      <c r="AU169">
        <f t="shared" si="50"/>
        <v>0</v>
      </c>
      <c r="AV169">
        <f t="shared" si="51"/>
        <v>1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1.18506828010929E-3</v>
      </c>
      <c r="BE169" s="29">
        <f t="shared" si="62"/>
        <v>0</v>
      </c>
      <c r="BF169" s="29">
        <f t="shared" si="63"/>
        <v>3.1268164630196701E-3</v>
      </c>
      <c r="BH169" s="29"/>
    </row>
    <row r="170" spans="1:60" x14ac:dyDescent="0.25">
      <c r="A170" s="1">
        <v>46268</v>
      </c>
      <c r="B170" s="33">
        <v>20.3</v>
      </c>
      <c r="C170" s="33">
        <v>25.08</v>
      </c>
      <c r="D170" s="15">
        <v>9.8570732475912796E-4</v>
      </c>
      <c r="E170" s="15">
        <v>0</v>
      </c>
      <c r="F170" s="33">
        <v>0</v>
      </c>
      <c r="G170" s="33">
        <v>0.59653</v>
      </c>
      <c r="H170" s="33">
        <v>0</v>
      </c>
      <c r="I170" s="33">
        <v>0.74440899999999999</v>
      </c>
      <c r="J170" s="33">
        <v>0.59653</v>
      </c>
      <c r="K170" s="33">
        <v>0.74440899999999999</v>
      </c>
      <c r="L170" s="33">
        <v>20.896529999999998</v>
      </c>
      <c r="M170" s="33">
        <v>25.824408999999999</v>
      </c>
      <c r="N170" s="34">
        <v>1.2354679802955599</v>
      </c>
      <c r="O170" s="34">
        <v>1.2371344131525399</v>
      </c>
      <c r="P170" s="34">
        <v>1.2383224671452699</v>
      </c>
      <c r="Q170" s="34">
        <v>1.2369973389796101</v>
      </c>
      <c r="R170" s="33">
        <v>25.1138285869966</v>
      </c>
      <c r="S170" s="33">
        <v>25.1388229834904</v>
      </c>
      <c r="T170" s="33">
        <v>25.111574004885</v>
      </c>
      <c r="U170" s="15">
        <v>1.3479183824323499E-3</v>
      </c>
      <c r="V170" s="15">
        <v>2.3426678244496801E-3</v>
      </c>
      <c r="W170" s="15">
        <v>1.25813982429988E-3</v>
      </c>
      <c r="X170" s="34">
        <v>1.2358228375715901</v>
      </c>
      <c r="Y170" s="34">
        <v>1.2358474847357901</v>
      </c>
      <c r="Z170" s="34">
        <v>1.2359237534288301</v>
      </c>
      <c r="AA170" s="34">
        <v>1.2360003423555701</v>
      </c>
      <c r="AB170" s="33">
        <v>25.8249240402059</v>
      </c>
      <c r="AC170" s="33">
        <v>25.827512415242701</v>
      </c>
      <c r="AD170" s="33">
        <v>25.828706451776998</v>
      </c>
      <c r="AE170" s="15">
        <v>1.99437311457192E-5</v>
      </c>
      <c r="AF170" s="15">
        <v>1.20166497641378E-4</v>
      </c>
      <c r="AG170" s="15">
        <v>1.66396615166223E-4</v>
      </c>
      <c r="AI170" s="12"/>
      <c r="AJ170">
        <f t="shared" si="46"/>
        <v>0</v>
      </c>
      <c r="AK170">
        <f t="shared" si="47"/>
        <v>1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1.9417481829103801E-3</v>
      </c>
      <c r="AT170" s="12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1.18506828010929E-3</v>
      </c>
      <c r="BE170" s="29">
        <f t="shared" si="62"/>
        <v>0</v>
      </c>
      <c r="BF170" s="29">
        <f t="shared" si="63"/>
        <v>3.1268164630196701E-3</v>
      </c>
      <c r="BH170" s="29"/>
    </row>
    <row r="171" spans="1:60" x14ac:dyDescent="0.25">
      <c r="A171" s="1">
        <v>46269</v>
      </c>
      <c r="B171" s="33">
        <v>20.3</v>
      </c>
      <c r="C171" s="33">
        <v>25.09</v>
      </c>
      <c r="D171" s="15">
        <v>0</v>
      </c>
      <c r="E171" s="15">
        <v>3.9864461361098399E-4</v>
      </c>
      <c r="F171" s="33">
        <v>0</v>
      </c>
      <c r="G171" s="33">
        <v>0.59653</v>
      </c>
      <c r="H171" s="33">
        <v>0</v>
      </c>
      <c r="I171" s="33">
        <v>0.74440899999999999</v>
      </c>
      <c r="J171" s="33">
        <v>0.59653</v>
      </c>
      <c r="K171" s="33">
        <v>0.74440899999999999</v>
      </c>
      <c r="L171" s="33">
        <v>20.896529999999998</v>
      </c>
      <c r="M171" s="33">
        <v>25.834409000000001</v>
      </c>
      <c r="N171" s="34">
        <v>1.2359605911330001</v>
      </c>
      <c r="O171" s="34">
        <v>1.2371344131525399</v>
      </c>
      <c r="P171" s="34">
        <v>1.23837757481178</v>
      </c>
      <c r="Q171" s="34">
        <v>1.23703788203651</v>
      </c>
      <c r="R171" s="33">
        <v>25.1138285869966</v>
      </c>
      <c r="S171" s="33">
        <v>25.137946083048998</v>
      </c>
      <c r="T171" s="33">
        <v>25.1110459812861</v>
      </c>
      <c r="U171" s="15">
        <v>9.4927376882125605E-4</v>
      </c>
      <c r="V171" s="15">
        <v>1.90914028348376E-3</v>
      </c>
      <c r="W171" s="15">
        <v>8.3846788877767295E-4</v>
      </c>
      <c r="X171" s="34">
        <v>1.2363013859238801</v>
      </c>
      <c r="Y171" s="34">
        <v>1.2358474847357901</v>
      </c>
      <c r="Z171" s="34">
        <v>1.2359718345895001</v>
      </c>
      <c r="AA171" s="34">
        <v>1.2360370291203699</v>
      </c>
      <c r="AB171" s="33">
        <v>25.8249240402059</v>
      </c>
      <c r="AC171" s="33">
        <v>25.826517791238199</v>
      </c>
      <c r="AD171" s="33">
        <v>25.828118234043501</v>
      </c>
      <c r="AE171" s="15">
        <v>-3.6721186056411898E-4</v>
      </c>
      <c r="AF171" s="15">
        <v>-3.0550008732997501E-4</v>
      </c>
      <c r="AG171" s="15">
        <v>-2.4353303349138299E-4</v>
      </c>
      <c r="AI171" s="12"/>
      <c r="AJ171">
        <f t="shared" si="46"/>
        <v>0</v>
      </c>
      <c r="AK171">
        <f t="shared" si="47"/>
        <v>0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1.9417481829103801E-3</v>
      </c>
      <c r="AT171" s="12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1.18506828010929E-3</v>
      </c>
      <c r="BE171" s="29">
        <f t="shared" si="62"/>
        <v>0</v>
      </c>
      <c r="BF171" s="29">
        <f t="shared" si="63"/>
        <v>3.1268164630196701E-3</v>
      </c>
      <c r="BH171" s="29"/>
    </row>
    <row r="172" spans="1:60" x14ac:dyDescent="0.25">
      <c r="A172" s="1">
        <v>46273</v>
      </c>
      <c r="B172" s="33">
        <v>20.3</v>
      </c>
      <c r="C172" s="33">
        <v>25.09</v>
      </c>
      <c r="D172" s="15">
        <v>0</v>
      </c>
      <c r="E172" s="15">
        <v>0</v>
      </c>
      <c r="F172" s="33">
        <v>0</v>
      </c>
      <c r="G172" s="33">
        <v>0.59653</v>
      </c>
      <c r="H172" s="33">
        <v>0</v>
      </c>
      <c r="I172" s="33">
        <v>0.74440899999999999</v>
      </c>
      <c r="J172" s="33">
        <v>0.59653</v>
      </c>
      <c r="K172" s="33">
        <v>0.74440899999999999</v>
      </c>
      <c r="L172" s="33">
        <v>20.896529999999998</v>
      </c>
      <c r="M172" s="33">
        <v>25.834409000000001</v>
      </c>
      <c r="N172" s="34">
        <v>1.2359605911330001</v>
      </c>
      <c r="O172" s="34">
        <v>1.2371344131525399</v>
      </c>
      <c r="P172" s="34">
        <v>1.23795788589358</v>
      </c>
      <c r="Q172" s="34">
        <v>1.23704809233972</v>
      </c>
      <c r="R172" s="33">
        <v>25.1138285869966</v>
      </c>
      <c r="S172" s="33">
        <v>25.139064768679201</v>
      </c>
      <c r="T172" s="33">
        <v>25.111869005341099</v>
      </c>
      <c r="U172" s="15">
        <v>9.4927376882125605E-4</v>
      </c>
      <c r="V172" s="15">
        <v>1.9536411641627701E-3</v>
      </c>
      <c r="W172" s="15">
        <v>8.7124273090998699E-4</v>
      </c>
      <c r="X172" s="34">
        <v>1.2363013859238801</v>
      </c>
      <c r="Y172" s="34">
        <v>1.2358474847357901</v>
      </c>
      <c r="Z172" s="34">
        <v>1.23601039274288</v>
      </c>
      <c r="AA172" s="34">
        <v>1.2360441286080599</v>
      </c>
      <c r="AB172" s="33">
        <v>25.8249240402059</v>
      </c>
      <c r="AC172" s="33">
        <v>25.8275225206547</v>
      </c>
      <c r="AD172" s="33">
        <v>25.828884860124699</v>
      </c>
      <c r="AE172" s="15">
        <v>-3.6721186056411898E-4</v>
      </c>
      <c r="AF172" s="15">
        <v>-2.66597828744542E-4</v>
      </c>
      <c r="AG172" s="15">
        <v>-2.1385163366800699E-4</v>
      </c>
      <c r="AI172" s="12"/>
      <c r="AJ172">
        <f t="shared" si="46"/>
        <v>0</v>
      </c>
      <c r="AK172">
        <f t="shared" si="47"/>
        <v>0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1.9417481829103801E-3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1.18506828010929E-3</v>
      </c>
      <c r="BE172" s="29">
        <f t="shared" si="62"/>
        <v>0</v>
      </c>
      <c r="BF172" s="29">
        <f t="shared" si="63"/>
        <v>3.1268164630196701E-3</v>
      </c>
      <c r="BH172" s="29"/>
    </row>
    <row r="173" spans="1:60" x14ac:dyDescent="0.25">
      <c r="A173" s="1">
        <v>46274</v>
      </c>
      <c r="B173" s="33">
        <v>20.3</v>
      </c>
      <c r="C173" s="33">
        <v>25.09</v>
      </c>
      <c r="D173" s="15">
        <v>0</v>
      </c>
      <c r="E173" s="15">
        <v>0</v>
      </c>
      <c r="F173" s="33">
        <v>0</v>
      </c>
      <c r="G173" s="33">
        <v>0.59653</v>
      </c>
      <c r="H173" s="33">
        <v>0</v>
      </c>
      <c r="I173" s="33">
        <v>0.74440899999999999</v>
      </c>
      <c r="J173" s="33">
        <v>0.59653</v>
      </c>
      <c r="K173" s="33">
        <v>0.74440899999999999</v>
      </c>
      <c r="L173" s="33">
        <v>20.896529999999998</v>
      </c>
      <c r="M173" s="33">
        <v>25.834409000000001</v>
      </c>
      <c r="N173" s="34">
        <v>1.2359605911330001</v>
      </c>
      <c r="O173" s="34">
        <v>1.2371344131525399</v>
      </c>
      <c r="P173" s="34">
        <v>1.23756181128024</v>
      </c>
      <c r="Q173" s="34">
        <v>1.23705830264293</v>
      </c>
      <c r="R173" s="33">
        <v>25.1138285869966</v>
      </c>
      <c r="S173" s="33">
        <v>25.130545083639799</v>
      </c>
      <c r="T173" s="33">
        <v>25.1120762744963</v>
      </c>
      <c r="U173" s="15">
        <v>9.4927376882125605E-4</v>
      </c>
      <c r="V173" s="15">
        <v>1.61468149664288E-3</v>
      </c>
      <c r="W173" s="15">
        <v>8.7949652913505002E-4</v>
      </c>
      <c r="X173" s="34">
        <v>1.2363013859238801</v>
      </c>
      <c r="Y173" s="34">
        <v>1.2358474847357901</v>
      </c>
      <c r="Z173" s="34">
        <v>1.2360714871813401</v>
      </c>
      <c r="AA173" s="34">
        <v>1.2360512280957501</v>
      </c>
      <c r="AB173" s="33">
        <v>25.8249240402059</v>
      </c>
      <c r="AC173" s="33">
        <v>25.8283282522634</v>
      </c>
      <c r="AD173" s="33">
        <v>25.8290332147822</v>
      </c>
      <c r="AE173" s="15">
        <v>-3.6721186056411898E-4</v>
      </c>
      <c r="AF173" s="15">
        <v>-2.3540168748308201E-4</v>
      </c>
      <c r="AG173" s="15">
        <v>-2.0810790015789201E-4</v>
      </c>
      <c r="AI173" s="12"/>
      <c r="AJ173">
        <f t="shared" si="46"/>
        <v>0</v>
      </c>
      <c r="AK173">
        <f t="shared" si="47"/>
        <v>0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1.9417481829103801E-3</v>
      </c>
      <c r="AT173" s="12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1.18506828010929E-3</v>
      </c>
      <c r="BE173" s="29">
        <f t="shared" si="62"/>
        <v>0</v>
      </c>
      <c r="BF173" s="29">
        <f t="shared" si="63"/>
        <v>3.1268164630196701E-3</v>
      </c>
      <c r="BH173" s="29"/>
    </row>
    <row r="174" spans="1:60" x14ac:dyDescent="0.25">
      <c r="A174" s="1">
        <v>46275</v>
      </c>
      <c r="B174" s="33">
        <v>20.25</v>
      </c>
      <c r="C174" s="33">
        <v>25.03</v>
      </c>
      <c r="D174" s="15">
        <v>-2.4660924951935498E-3</v>
      </c>
      <c r="E174" s="15">
        <v>-2.3942549346480501E-3</v>
      </c>
      <c r="F174" s="33">
        <v>0</v>
      </c>
      <c r="G174" s="33">
        <v>0.59653</v>
      </c>
      <c r="H174" s="33">
        <v>0</v>
      </c>
      <c r="I174" s="33">
        <v>0.74440899999999999</v>
      </c>
      <c r="J174" s="33">
        <v>0.59653</v>
      </c>
      <c r="K174" s="33">
        <v>0.74440899999999999</v>
      </c>
      <c r="L174" s="33">
        <v>20.846530000000001</v>
      </c>
      <c r="M174" s="33">
        <v>25.774408999999999</v>
      </c>
      <c r="N174" s="34">
        <v>1.2360493827160399</v>
      </c>
      <c r="O174" s="34">
        <v>1.2371344131525399</v>
      </c>
      <c r="P174" s="34">
        <v>1.23710178892192</v>
      </c>
      <c r="Q174" s="34">
        <v>1.23710905440876</v>
      </c>
      <c r="R174" s="33">
        <v>25.051971866338999</v>
      </c>
      <c r="S174" s="33">
        <v>25.060626678424899</v>
      </c>
      <c r="T174" s="33">
        <v>25.0504306285194</v>
      </c>
      <c r="U174" s="15">
        <v>8.7743620827579298E-4</v>
      </c>
      <c r="V174" s="15">
        <v>1.22285083147506E-3</v>
      </c>
      <c r="W174" s="15">
        <v>8.1591269869014699E-4</v>
      </c>
      <c r="X174" s="34">
        <v>1.23638845409763</v>
      </c>
      <c r="Y174" s="34">
        <v>1.2358474847357901</v>
      </c>
      <c r="Z174" s="34">
        <v>1.23607094307478</v>
      </c>
      <c r="AA174" s="34">
        <v>1.23609790384548</v>
      </c>
      <c r="AB174" s="33">
        <v>25.763131665969102</v>
      </c>
      <c r="AC174" s="33">
        <v>25.767801339670498</v>
      </c>
      <c r="AD174" s="33">
        <v>25.767379008035</v>
      </c>
      <c r="AE174" s="15">
        <v>-4.37635714280068E-4</v>
      </c>
      <c r="AF174" s="15">
        <v>-2.56398021042346E-4</v>
      </c>
      <c r="AG174" s="15">
        <v>-2.7278805335413198E-4</v>
      </c>
      <c r="AI174" s="12"/>
      <c r="AJ174">
        <f t="shared" si="46"/>
        <v>0</v>
      </c>
      <c r="AK174">
        <f t="shared" si="47"/>
        <v>0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1.9417481829103801E-3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1.18506828010929E-3</v>
      </c>
      <c r="BE174" s="29">
        <f t="shared" si="62"/>
        <v>0</v>
      </c>
      <c r="BF174" s="29">
        <f t="shared" si="63"/>
        <v>3.1268164630196701E-3</v>
      </c>
      <c r="BH174" s="29"/>
    </row>
    <row r="175" spans="1:60" x14ac:dyDescent="0.25">
      <c r="A175" s="1">
        <v>46276</v>
      </c>
      <c r="B175" s="33">
        <v>20.23</v>
      </c>
      <c r="C175" s="33">
        <v>25</v>
      </c>
      <c r="D175" s="15">
        <v>-9.8814237289407999E-4</v>
      </c>
      <c r="E175" s="15">
        <v>-1.1992805754821199E-3</v>
      </c>
      <c r="F175" s="33">
        <v>0</v>
      </c>
      <c r="G175" s="33">
        <v>0.59653</v>
      </c>
      <c r="H175" s="33">
        <v>0</v>
      </c>
      <c r="I175" s="33">
        <v>0.74440899999999999</v>
      </c>
      <c r="J175" s="33">
        <v>0.59653</v>
      </c>
      <c r="K175" s="33">
        <v>0.74440899999999999</v>
      </c>
      <c r="L175" s="33">
        <v>20.826530000000002</v>
      </c>
      <c r="M175" s="33">
        <v>25.744409000000001</v>
      </c>
      <c r="N175" s="34">
        <v>1.23578843302026</v>
      </c>
      <c r="O175" s="34">
        <v>1.2371344131525399</v>
      </c>
      <c r="P175" s="34">
        <v>1.23673766270576</v>
      </c>
      <c r="Q175" s="34">
        <v>1.2371034785119599</v>
      </c>
      <c r="R175" s="33">
        <v>25.027229178075899</v>
      </c>
      <c r="S175" s="33">
        <v>25.026569189890498</v>
      </c>
      <c r="T175" s="33">
        <v>25.026716170689301</v>
      </c>
      <c r="U175" s="15">
        <v>1.08857441086394E-3</v>
      </c>
      <c r="V175" s="15">
        <v>1.06220325794605E-3</v>
      </c>
      <c r="W175" s="15">
        <v>1.0680762310278E-3</v>
      </c>
      <c r="X175" s="34">
        <v>1.2361353043449801</v>
      </c>
      <c r="Y175" s="34">
        <v>1.2358474847357901</v>
      </c>
      <c r="Z175" s="34">
        <v>1.2361631927621799</v>
      </c>
      <c r="AA175" s="34">
        <v>1.2360897284002299</v>
      </c>
      <c r="AB175" s="33">
        <v>25.738414716274399</v>
      </c>
      <c r="AC175" s="33">
        <v>25.743068578075199</v>
      </c>
      <c r="AD175" s="33">
        <v>25.743630077375101</v>
      </c>
      <c r="AE175" s="15">
        <v>-2.3286538382757101E-4</v>
      </c>
      <c r="AF175" s="15">
        <v>-5.2067880895613101E-5</v>
      </c>
      <c r="AG175" s="15">
        <v>-3.02564494141231E-5</v>
      </c>
      <c r="AI175" s="12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1.9417481829103801E-3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1.18506828010929E-3</v>
      </c>
      <c r="BE175" s="29">
        <f t="shared" si="62"/>
        <v>0</v>
      </c>
      <c r="BF175" s="29">
        <f t="shared" si="63"/>
        <v>3.1268164630196701E-3</v>
      </c>
      <c r="BH175" s="29"/>
    </row>
    <row r="176" spans="1:60" x14ac:dyDescent="0.25">
      <c r="A176" s="1">
        <v>46279</v>
      </c>
      <c r="B176" s="33">
        <v>20.23</v>
      </c>
      <c r="C176" s="33">
        <v>25.01</v>
      </c>
      <c r="D176" s="15">
        <v>0</v>
      </c>
      <c r="E176" s="15">
        <v>3.99920021326891E-4</v>
      </c>
      <c r="F176" s="33">
        <v>0</v>
      </c>
      <c r="G176" s="33">
        <v>0.59653</v>
      </c>
      <c r="H176" s="33">
        <v>0</v>
      </c>
      <c r="I176" s="33">
        <v>0.74440899999999999</v>
      </c>
      <c r="J176" s="33">
        <v>0.59653</v>
      </c>
      <c r="K176" s="33">
        <v>0.74440899999999999</v>
      </c>
      <c r="L176" s="33">
        <v>20.826530000000002</v>
      </c>
      <c r="M176" s="33">
        <v>25.754408999999999</v>
      </c>
      <c r="N176" s="34">
        <v>1.23628274839347</v>
      </c>
      <c r="O176" s="34">
        <v>1.2371344131525399</v>
      </c>
      <c r="P176" s="34">
        <v>1.2363757897618499</v>
      </c>
      <c r="Q176" s="34">
        <v>1.2371471402082399</v>
      </c>
      <c r="R176" s="33">
        <v>25.027229178075899</v>
      </c>
      <c r="S176" s="33">
        <v>25.019202916537498</v>
      </c>
      <c r="T176" s="33">
        <v>25.026603370297</v>
      </c>
      <c r="U176" s="15">
        <v>6.8865438953698602E-4</v>
      </c>
      <c r="V176" s="15">
        <v>3.6790178954959401E-4</v>
      </c>
      <c r="W176" s="15">
        <v>6.6364900045335902E-4</v>
      </c>
      <c r="X176" s="34">
        <v>1.23661546114499</v>
      </c>
      <c r="Y176" s="34">
        <v>1.2358474847357901</v>
      </c>
      <c r="Z176" s="34">
        <v>1.2362584338489999</v>
      </c>
      <c r="AA176" s="34">
        <v>1.2361294727416201</v>
      </c>
      <c r="AB176" s="33">
        <v>25.738414716274399</v>
      </c>
      <c r="AC176" s="33">
        <v>25.7449898189574</v>
      </c>
      <c r="AD176" s="33">
        <v>25.743459811219299</v>
      </c>
      <c r="AE176" s="15">
        <v>-6.2122381666324599E-4</v>
      </c>
      <c r="AF176" s="15">
        <v>-3.6579771273589603E-4</v>
      </c>
      <c r="AG176" s="15">
        <v>-4.2522881814071901E-4</v>
      </c>
      <c r="AI176" s="12"/>
      <c r="AJ176">
        <f t="shared" si="46"/>
        <v>0</v>
      </c>
      <c r="AK176">
        <f t="shared" si="47"/>
        <v>0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1.9417481829103801E-3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1.18506828010929E-3</v>
      </c>
      <c r="BE176" s="29">
        <f t="shared" si="62"/>
        <v>0</v>
      </c>
      <c r="BF176" s="29">
        <f t="shared" si="63"/>
        <v>3.1268164630196701E-3</v>
      </c>
      <c r="BH176" s="29"/>
    </row>
    <row r="177" spans="1:100" x14ac:dyDescent="0.25">
      <c r="A177">
        <v>46280</v>
      </c>
      <c r="B177" s="33">
        <v>20.23</v>
      </c>
      <c r="C177" s="33">
        <v>25</v>
      </c>
      <c r="D177" s="15">
        <v>0</v>
      </c>
      <c r="E177" s="15">
        <v>-3.9992002132694602E-4</v>
      </c>
      <c r="F177" s="33">
        <v>0</v>
      </c>
      <c r="G177" s="33">
        <v>0.59653</v>
      </c>
      <c r="H177" s="33">
        <v>0</v>
      </c>
      <c r="I177" s="33">
        <v>0.74440899999999999</v>
      </c>
      <c r="J177" s="33">
        <v>0.59653</v>
      </c>
      <c r="K177" s="33">
        <v>0.74440899999999999</v>
      </c>
      <c r="L177" s="33">
        <v>20.826530000000002</v>
      </c>
      <c r="M177" s="33">
        <v>25.744409000000001</v>
      </c>
      <c r="N177" s="34">
        <v>1.23578843302026</v>
      </c>
      <c r="O177" s="34">
        <v>1.2371344131525399</v>
      </c>
      <c r="P177" s="34">
        <v>1.23591522419689</v>
      </c>
      <c r="Q177" s="34">
        <v>1.23716608613586</v>
      </c>
      <c r="R177" s="33">
        <v>25.027229178075899</v>
      </c>
      <c r="S177" s="33">
        <v>25.0118822268823</v>
      </c>
      <c r="T177" s="33">
        <v>25.027486646412701</v>
      </c>
      <c r="U177" s="15">
        <v>1.08857441086394E-3</v>
      </c>
      <c r="V177" s="15">
        <v>4.7517616121984602E-4</v>
      </c>
      <c r="W177" s="15">
        <v>1.0988618865806299E-3</v>
      </c>
      <c r="X177" s="34">
        <v>1.2361353043449801</v>
      </c>
      <c r="Y177" s="34">
        <v>1.2358474847357901</v>
      </c>
      <c r="Z177" s="34">
        <v>1.2362578044205901</v>
      </c>
      <c r="AA177" s="34">
        <v>1.2361452092430101</v>
      </c>
      <c r="AB177" s="33">
        <v>25.738414716274399</v>
      </c>
      <c r="AC177" s="33">
        <v>25.746973360309301</v>
      </c>
      <c r="AD177" s="33">
        <v>25.744287547937599</v>
      </c>
      <c r="AE177" s="15">
        <v>-2.3286538382757101E-4</v>
      </c>
      <c r="AF177" s="15">
        <v>9.9603475141708206E-5</v>
      </c>
      <c r="AG177" s="15">
        <v>-4.7176203899707096E-6</v>
      </c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1:100" x14ac:dyDescent="0.25">
      <c r="A178">
        <v>46281</v>
      </c>
      <c r="B178" s="33">
        <v>20.23</v>
      </c>
      <c r="C178" s="33">
        <v>24.99</v>
      </c>
      <c r="D178" s="15">
        <v>0</v>
      </c>
      <c r="E178" s="15">
        <v>-4.0008002133980197E-4</v>
      </c>
      <c r="F178" s="33">
        <v>0</v>
      </c>
      <c r="G178" s="33">
        <v>0.59653</v>
      </c>
      <c r="H178" s="33">
        <v>0</v>
      </c>
      <c r="I178" s="33">
        <v>0.74440899999999999</v>
      </c>
      <c r="J178" s="33">
        <v>0.59653</v>
      </c>
      <c r="K178" s="33">
        <v>0.74440899999999999</v>
      </c>
      <c r="L178" s="33">
        <v>20.826530000000002</v>
      </c>
      <c r="M178" s="33">
        <v>25.734408999999999</v>
      </c>
      <c r="N178" s="34">
        <v>1.23529411764705</v>
      </c>
      <c r="O178" s="34">
        <v>1.2371344131525399</v>
      </c>
      <c r="P178" s="34">
        <v>1.23592392590242</v>
      </c>
      <c r="Q178" s="34">
        <v>1.23710547307807</v>
      </c>
      <c r="R178" s="33">
        <v>25.027229178075899</v>
      </c>
      <c r="S178" s="33">
        <v>25.002564985503</v>
      </c>
      <c r="T178" s="33">
        <v>25.027869922528399</v>
      </c>
      <c r="U178" s="15">
        <v>1.4886544322037299E-3</v>
      </c>
      <c r="V178" s="15">
        <v>5.0267417850265205E-4</v>
      </c>
      <c r="W178" s="15">
        <v>1.5142559978409799E-3</v>
      </c>
      <c r="X178" s="34">
        <v>1.23565514754498</v>
      </c>
      <c r="Y178" s="34">
        <v>1.2358474847357901</v>
      </c>
      <c r="Z178" s="34">
        <v>1.2362663439498001</v>
      </c>
      <c r="AA178" s="34">
        <v>1.23608344950188</v>
      </c>
      <c r="AB178" s="33">
        <v>25.738414716274399</v>
      </c>
      <c r="AC178" s="33">
        <v>25.746960251499701</v>
      </c>
      <c r="AD178" s="33">
        <v>25.744615284656</v>
      </c>
      <c r="AE178" s="15">
        <v>1.5564392987825199E-4</v>
      </c>
      <c r="AF178" s="15">
        <v>4.8760364888967498E-4</v>
      </c>
      <c r="AG178" s="15">
        <v>3.9652207599343199E-4</v>
      </c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1:100" x14ac:dyDescent="0.25">
      <c r="A179">
        <v>46282</v>
      </c>
      <c r="B179" s="33">
        <v>20.25</v>
      </c>
      <c r="C179" s="33">
        <v>25.01</v>
      </c>
      <c r="D179" s="15">
        <v>9.8814237289403207E-4</v>
      </c>
      <c r="E179" s="15">
        <v>8.0000004266676296E-4</v>
      </c>
      <c r="F179" s="33">
        <v>0</v>
      </c>
      <c r="G179" s="33">
        <v>0.59653</v>
      </c>
      <c r="H179" s="33">
        <v>0</v>
      </c>
      <c r="I179" s="33">
        <v>0.74440899999999999</v>
      </c>
      <c r="J179" s="33">
        <v>0.59653</v>
      </c>
      <c r="K179" s="33">
        <v>0.74440899999999999</v>
      </c>
      <c r="L179" s="33">
        <v>20.846530000000001</v>
      </c>
      <c r="M179" s="33">
        <v>25.754408999999999</v>
      </c>
      <c r="N179" s="34">
        <v>1.23506172839506</v>
      </c>
      <c r="O179" s="34">
        <v>1.2371344131525399</v>
      </c>
      <c r="P179" s="34">
        <v>1.2357614596886699</v>
      </c>
      <c r="Q179" s="34">
        <v>1.2370635619500101</v>
      </c>
      <c r="R179" s="33">
        <v>25.051971866338999</v>
      </c>
      <c r="S179" s="33">
        <v>25.027459499523999</v>
      </c>
      <c r="T179" s="33">
        <v>25.051385829830998</v>
      </c>
      <c r="U179" s="15">
        <v>1.67679676243107E-3</v>
      </c>
      <c r="V179" s="15">
        <v>6.9785718169104402E-4</v>
      </c>
      <c r="W179" s="15">
        <v>1.6534036592567799E-3</v>
      </c>
      <c r="X179" s="34">
        <v>1.2354290618150801</v>
      </c>
      <c r="Y179" s="34">
        <v>1.2358474847357901</v>
      </c>
      <c r="Z179" s="34">
        <v>1.2361085728635901</v>
      </c>
      <c r="AA179" s="34">
        <v>1.2360399619301301</v>
      </c>
      <c r="AB179" s="33">
        <v>25.763131665969102</v>
      </c>
      <c r="AC179" s="33">
        <v>25.771863427140001</v>
      </c>
      <c r="AD179" s="33">
        <v>25.7680507125445</v>
      </c>
      <c r="AE179" s="15">
        <v>3.3862897722936503E-4</v>
      </c>
      <c r="AF179" s="15">
        <v>6.7749623582118201E-4</v>
      </c>
      <c r="AG179" s="15">
        <v>5.2954431676872102E-4</v>
      </c>
      <c r="CG179" s="28"/>
      <c r="CH179" s="28"/>
      <c r="CI179" s="28"/>
      <c r="CJ179" s="29"/>
      <c r="CL179" s="28"/>
      <c r="CS179" s="28"/>
      <c r="CT179" s="28"/>
      <c r="CU179" s="28"/>
      <c r="CV179" s="29"/>
    </row>
    <row r="180" spans="1:100" x14ac:dyDescent="0.25">
      <c r="A180">
        <v>46283</v>
      </c>
      <c r="B180" s="33">
        <v>20.239999999999998</v>
      </c>
      <c r="C180" s="33">
        <v>25</v>
      </c>
      <c r="D180" s="15">
        <v>-4.9394913328347804E-4</v>
      </c>
      <c r="E180" s="15">
        <v>-3.9992002132694602E-4</v>
      </c>
      <c r="F180" s="33">
        <v>0</v>
      </c>
      <c r="G180" s="33">
        <v>0.59653</v>
      </c>
      <c r="H180" s="33">
        <v>0</v>
      </c>
      <c r="I180" s="33">
        <v>0.74440899999999999</v>
      </c>
      <c r="J180" s="33">
        <v>0.59653</v>
      </c>
      <c r="K180" s="33">
        <v>0.74440899999999999</v>
      </c>
      <c r="L180" s="33">
        <v>20.83653</v>
      </c>
      <c r="M180" s="33">
        <v>25.744409000000001</v>
      </c>
      <c r="N180" s="34">
        <v>1.23517786561264</v>
      </c>
      <c r="O180" s="34">
        <v>1.2371344131525399</v>
      </c>
      <c r="P180" s="34">
        <v>1.23573244822038</v>
      </c>
      <c r="Q180" s="34">
        <v>1.23702745768282</v>
      </c>
      <c r="R180" s="33">
        <v>25.039600522207401</v>
      </c>
      <c r="S180" s="33">
        <v>25.011811944098799</v>
      </c>
      <c r="T180" s="33">
        <v>25.0381664938682</v>
      </c>
      <c r="U180" s="15">
        <v>1.58276765047454E-3</v>
      </c>
      <c r="V180" s="15">
        <v>4.7236618147893198E-4</v>
      </c>
      <c r="W180" s="15">
        <v>1.52549559442769E-3</v>
      </c>
      <c r="X180" s="34">
        <v>1.2355420504277801</v>
      </c>
      <c r="Y180" s="34">
        <v>1.2358474847357901</v>
      </c>
      <c r="Z180" s="34">
        <v>1.2360804941492001</v>
      </c>
      <c r="AA180" s="34">
        <v>1.23600212378902</v>
      </c>
      <c r="AB180" s="33">
        <v>25.750773191121802</v>
      </c>
      <c r="AC180" s="33">
        <v>25.756213361729401</v>
      </c>
      <c r="AD180" s="33">
        <v>25.7547837479561</v>
      </c>
      <c r="AE180" s="15">
        <v>2.4717617778760901E-4</v>
      </c>
      <c r="AF180" s="15">
        <v>4.5841628294186602E-4</v>
      </c>
      <c r="AG180" s="15">
        <v>4.0290915421858198E-4</v>
      </c>
    </row>
    <row r="181" spans="1:100" x14ac:dyDescent="0.25">
      <c r="A181">
        <v>46286</v>
      </c>
      <c r="B181" s="33">
        <v>20.16</v>
      </c>
      <c r="C181" s="33">
        <v>25</v>
      </c>
      <c r="D181" s="15">
        <v>-3.9604012160967903E-3</v>
      </c>
      <c r="E181" s="15">
        <v>0</v>
      </c>
      <c r="F181" s="33">
        <v>7.4429999999999996E-2</v>
      </c>
      <c r="G181" s="33">
        <v>0.67096</v>
      </c>
      <c r="H181" s="33">
        <v>0</v>
      </c>
      <c r="I181" s="33">
        <v>0.74440899999999999</v>
      </c>
      <c r="J181" s="33">
        <v>0.67096</v>
      </c>
      <c r="K181" s="33">
        <v>0.74440899999999999</v>
      </c>
      <c r="L181" s="33">
        <v>20.830960000000001</v>
      </c>
      <c r="M181" s="33">
        <v>25.744409000000001</v>
      </c>
      <c r="N181" s="34">
        <v>1.24007936507936</v>
      </c>
      <c r="O181" s="34">
        <v>1.2371344131525399</v>
      </c>
      <c r="P181" s="34">
        <v>1.23614432561502</v>
      </c>
      <c r="Q181" s="34">
        <v>1.2372609502134</v>
      </c>
      <c r="R181" s="33">
        <v>24.940629769155201</v>
      </c>
      <c r="S181" s="33">
        <v>24.9123661561229</v>
      </c>
      <c r="T181" s="33">
        <v>24.938473546885799</v>
      </c>
      <c r="U181" s="15">
        <v>-2.3776335656223199E-3</v>
      </c>
      <c r="V181" s="15">
        <v>-3.51151190275851E-3</v>
      </c>
      <c r="W181" s="15">
        <v>-2.4640915060210999E-3</v>
      </c>
      <c r="X181" s="34">
        <v>1.23587242258638</v>
      </c>
      <c r="Y181" s="34">
        <v>1.2358474847357901</v>
      </c>
      <c r="Z181" s="34">
        <v>1.2360375978154501</v>
      </c>
      <c r="AA181" s="34">
        <v>1.2360047162024801</v>
      </c>
      <c r="AB181" s="33">
        <v>25.7438895206318</v>
      </c>
      <c r="AC181" s="33">
        <v>25.748743330402402</v>
      </c>
      <c r="AD181" s="33">
        <v>25.747110800564101</v>
      </c>
      <c r="AE181" s="15">
        <v>-2.01785408756752E-5</v>
      </c>
      <c r="AF181" s="15">
        <v>1.68345895192091E-4</v>
      </c>
      <c r="AG181" s="15">
        <v>1.04941573956522E-4</v>
      </c>
    </row>
    <row r="182" spans="1:100" x14ac:dyDescent="0.25">
      <c r="A182">
        <v>46287</v>
      </c>
      <c r="B182" s="33">
        <v>20.16</v>
      </c>
      <c r="C182" s="33">
        <v>25.02</v>
      </c>
      <c r="D182" s="15">
        <v>0</v>
      </c>
      <c r="E182" s="15">
        <v>7.9968017056424403E-4</v>
      </c>
      <c r="F182" s="33">
        <v>0</v>
      </c>
      <c r="G182" s="33">
        <v>0.67096</v>
      </c>
      <c r="H182" s="33">
        <v>0</v>
      </c>
      <c r="I182" s="33">
        <v>0.74440899999999999</v>
      </c>
      <c r="J182" s="33">
        <v>0.67096</v>
      </c>
      <c r="K182" s="33">
        <v>0.74440899999999999</v>
      </c>
      <c r="L182" s="33">
        <v>20.830960000000001</v>
      </c>
      <c r="M182" s="33">
        <v>25.764409000000001</v>
      </c>
      <c r="N182" s="34">
        <v>1.2410714285714199</v>
      </c>
      <c r="O182" s="34">
        <v>1.2371344131525399</v>
      </c>
      <c r="P182" s="34">
        <v>1.23665540935886</v>
      </c>
      <c r="Q182" s="34">
        <v>1.23730664762622</v>
      </c>
      <c r="R182" s="33">
        <v>24.940629769155201</v>
      </c>
      <c r="S182" s="33">
        <v>24.9206696043988</v>
      </c>
      <c r="T182" s="33">
        <v>24.943180756302102</v>
      </c>
      <c r="U182" s="15">
        <v>-3.1773137361865598E-3</v>
      </c>
      <c r="V182" s="15">
        <v>-3.9779413200432597E-3</v>
      </c>
      <c r="W182" s="15">
        <v>-3.0750365796400601E-3</v>
      </c>
      <c r="X182" s="34">
        <v>1.2368325319620399</v>
      </c>
      <c r="Y182" s="34">
        <v>1.2358474847357901</v>
      </c>
      <c r="Z182" s="34">
        <v>1.2360907124192699</v>
      </c>
      <c r="AA182" s="34">
        <v>1.2360505525810801</v>
      </c>
      <c r="AB182" s="33">
        <v>25.7438895206318</v>
      </c>
      <c r="AC182" s="33">
        <v>25.747849758589901</v>
      </c>
      <c r="AD182" s="33">
        <v>25.747164803025299</v>
      </c>
      <c r="AE182" s="15">
        <v>-7.9674464282318005E-4</v>
      </c>
      <c r="AF182" s="15">
        <v>-6.4292432052239E-4</v>
      </c>
      <c r="AG182" s="15">
        <v>-6.6952711189926899E-4</v>
      </c>
    </row>
    <row r="183" spans="1:100" x14ac:dyDescent="0.25">
      <c r="A183">
        <v>46288</v>
      </c>
      <c r="B183" s="33">
        <v>20.13</v>
      </c>
      <c r="C183" s="33">
        <v>24.96</v>
      </c>
      <c r="D183" s="15">
        <v>-1.48920355146785E-3</v>
      </c>
      <c r="E183" s="15">
        <v>-2.4009615375381499E-3</v>
      </c>
      <c r="F183" s="33">
        <v>0</v>
      </c>
      <c r="G183" s="33">
        <v>0.67096</v>
      </c>
      <c r="H183" s="33">
        <v>0</v>
      </c>
      <c r="I183" s="33">
        <v>0.74440899999999999</v>
      </c>
      <c r="J183" s="33">
        <v>0.67096</v>
      </c>
      <c r="K183" s="33">
        <v>0.74440899999999999</v>
      </c>
      <c r="L183" s="33">
        <v>20.80096</v>
      </c>
      <c r="M183" s="33">
        <v>25.704408999999998</v>
      </c>
      <c r="N183" s="34">
        <v>1.2399403874813699</v>
      </c>
      <c r="O183" s="34">
        <v>1.2371344131525399</v>
      </c>
      <c r="P183" s="34">
        <v>1.2370533889936901</v>
      </c>
      <c r="Q183" s="34">
        <v>1.2373076001369701</v>
      </c>
      <c r="R183" s="33">
        <v>24.903515736760699</v>
      </c>
      <c r="S183" s="33">
        <v>24.8938733903939</v>
      </c>
      <c r="T183" s="33">
        <v>24.9069828167159</v>
      </c>
      <c r="U183" s="15">
        <v>-2.2655557501162198E-3</v>
      </c>
      <c r="V183" s="15">
        <v>-2.6528188840408301E-3</v>
      </c>
      <c r="W183" s="15">
        <v>-2.1263449386811498E-3</v>
      </c>
      <c r="X183" s="34">
        <v>1.23573186045259</v>
      </c>
      <c r="Y183" s="34">
        <v>1.2358474847357901</v>
      </c>
      <c r="Z183" s="34">
        <v>1.23603375987214</v>
      </c>
      <c r="AA183" s="34">
        <v>1.2360526235267399</v>
      </c>
      <c r="AB183" s="33">
        <v>25.706814096089701</v>
      </c>
      <c r="AC183" s="33">
        <v>25.7118734654048</v>
      </c>
      <c r="AD183" s="33">
        <v>25.7110381022169</v>
      </c>
      <c r="AE183" s="15">
        <v>9.3563076180644894E-5</v>
      </c>
      <c r="AF183" s="15">
        <v>2.9035414850595302E-4</v>
      </c>
      <c r="AG183" s="15">
        <v>2.5786422669852498E-4</v>
      </c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2026-09-28T01:06:41Z</dcterms:created>
  <dcterms:modified xsi:type="dcterms:W3CDTF">2026-09-28T01:47:46Z</dcterms:modified>
</cp:coreProperties>
</file>