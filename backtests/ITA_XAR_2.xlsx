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4A2B0264-794D-4CD7-AA5A-F32A21D03438}" xr6:coauthVersionLast="47" xr6:coauthVersionMax="47" xr10:uidLastSave="{00000000-0000-0000-0000-000000000000}"/>
  <bookViews>
    <workbookView xWindow="2100" yWindow="2820" windowWidth="28305" windowHeight="10515" xr2:uid="{D047D4A6-DD5B-482B-A386-E4560E86C2A7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N176" i="1" s="1"/>
  <c r="AX174" i="1"/>
  <c r="AV174" i="1"/>
  <c r="AU174" i="1"/>
  <c r="AM174" i="1"/>
  <c r="AK174" i="1"/>
  <c r="AJ174" i="1"/>
  <c r="AN175" i="1" s="1"/>
  <c r="AX173" i="1"/>
  <c r="AV173" i="1"/>
  <c r="AU173" i="1"/>
  <c r="AM173" i="1"/>
  <c r="AK173" i="1"/>
  <c r="AJ173" i="1"/>
  <c r="AX172" i="1"/>
  <c r="AV172" i="1"/>
  <c r="AU172" i="1"/>
  <c r="AM172" i="1"/>
  <c r="AK172" i="1"/>
  <c r="AJ172" i="1"/>
  <c r="AN173" i="1" s="1"/>
  <c r="AX171" i="1"/>
  <c r="AV171" i="1"/>
  <c r="AU171" i="1"/>
  <c r="AM171" i="1"/>
  <c r="AK171" i="1"/>
  <c r="AJ171" i="1"/>
  <c r="AN172" i="1" s="1"/>
  <c r="AX170" i="1"/>
  <c r="AV170" i="1"/>
  <c r="AU170" i="1"/>
  <c r="AM170" i="1"/>
  <c r="AK170" i="1"/>
  <c r="AJ170" i="1"/>
  <c r="AN171" i="1" s="1"/>
  <c r="AX169" i="1"/>
  <c r="AV169" i="1"/>
  <c r="AU169" i="1"/>
  <c r="AM169" i="1"/>
  <c r="AK169" i="1"/>
  <c r="AJ169" i="1"/>
  <c r="AN170" i="1" s="1"/>
  <c r="AX168" i="1"/>
  <c r="AV168" i="1"/>
  <c r="AU168" i="1"/>
  <c r="AM168" i="1"/>
  <c r="AK168" i="1"/>
  <c r="AJ168" i="1"/>
  <c r="AN169" i="1" s="1"/>
  <c r="AX167" i="1"/>
  <c r="AV167" i="1"/>
  <c r="AU167" i="1"/>
  <c r="AM167" i="1"/>
  <c r="AK167" i="1"/>
  <c r="AJ167" i="1"/>
  <c r="AN168" i="1" s="1"/>
  <c r="AX166" i="1"/>
  <c r="AV166" i="1"/>
  <c r="AU166" i="1"/>
  <c r="AM166" i="1"/>
  <c r="AK166" i="1"/>
  <c r="AJ166" i="1"/>
  <c r="AN167" i="1" s="1"/>
  <c r="AX165" i="1"/>
  <c r="AV165" i="1"/>
  <c r="AU165" i="1"/>
  <c r="AY166" i="1" s="1"/>
  <c r="AM165" i="1"/>
  <c r="AK165" i="1"/>
  <c r="AJ165" i="1"/>
  <c r="AN166" i="1" s="1"/>
  <c r="AX164" i="1"/>
  <c r="AV164" i="1"/>
  <c r="AU164" i="1"/>
  <c r="AM164" i="1"/>
  <c r="AK164" i="1"/>
  <c r="AJ164" i="1"/>
  <c r="AN165" i="1" s="1"/>
  <c r="AX163" i="1"/>
  <c r="AV163" i="1"/>
  <c r="AU163" i="1"/>
  <c r="AM163" i="1"/>
  <c r="AK163" i="1"/>
  <c r="AJ163" i="1"/>
  <c r="AN164" i="1" s="1"/>
  <c r="AX162" i="1"/>
  <c r="AV162" i="1"/>
  <c r="AU162" i="1"/>
  <c r="AY163" i="1" s="1"/>
  <c r="AM162" i="1"/>
  <c r="AK162" i="1"/>
  <c r="AJ162" i="1"/>
  <c r="AN163" i="1" s="1"/>
  <c r="AX161" i="1"/>
  <c r="AV161" i="1"/>
  <c r="AU161" i="1"/>
  <c r="AY162" i="1" s="1"/>
  <c r="AM161" i="1"/>
  <c r="AK161" i="1"/>
  <c r="AJ161" i="1"/>
  <c r="AX160" i="1"/>
  <c r="AV160" i="1"/>
  <c r="AU160" i="1"/>
  <c r="AM160" i="1"/>
  <c r="AK160" i="1"/>
  <c r="AJ160" i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X157" i="1"/>
  <c r="AV157" i="1"/>
  <c r="AU157" i="1"/>
  <c r="AY158" i="1" s="1"/>
  <c r="AM157" i="1"/>
  <c r="AK157" i="1"/>
  <c r="AJ157" i="1"/>
  <c r="AN158" i="1" s="1"/>
  <c r="AX156" i="1"/>
  <c r="AV156" i="1"/>
  <c r="AU156" i="1"/>
  <c r="AY157" i="1" s="1"/>
  <c r="AM156" i="1"/>
  <c r="AK156" i="1"/>
  <c r="AJ156" i="1"/>
  <c r="AN157" i="1" s="1"/>
  <c r="AX155" i="1"/>
  <c r="AV155" i="1"/>
  <c r="AU155" i="1"/>
  <c r="AY156" i="1" s="1"/>
  <c r="AM155" i="1"/>
  <c r="AK155" i="1"/>
  <c r="AJ155" i="1"/>
  <c r="AN156" i="1" s="1"/>
  <c r="AX154" i="1"/>
  <c r="AV154" i="1"/>
  <c r="AU154" i="1"/>
  <c r="AY155" i="1" s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M147" i="1"/>
  <c r="AK147" i="1"/>
  <c r="AJ147" i="1"/>
  <c r="AX146" i="1"/>
  <c r="AV146" i="1"/>
  <c r="AU146" i="1"/>
  <c r="AM146" i="1"/>
  <c r="AK146" i="1"/>
  <c r="AJ146" i="1"/>
  <c r="AX145" i="1"/>
  <c r="AV145" i="1"/>
  <c r="AU145" i="1"/>
  <c r="AM145" i="1"/>
  <c r="AK145" i="1"/>
  <c r="AJ145" i="1"/>
  <c r="AX144" i="1"/>
  <c r="AV144" i="1"/>
  <c r="AU144" i="1"/>
  <c r="AY145" i="1" s="1"/>
  <c r="AM144" i="1"/>
  <c r="AK144" i="1"/>
  <c r="AJ144" i="1"/>
  <c r="AN145" i="1" s="1"/>
  <c r="AX143" i="1"/>
  <c r="AV143" i="1"/>
  <c r="AU143" i="1"/>
  <c r="AM143" i="1"/>
  <c r="AK143" i="1"/>
  <c r="AJ143" i="1"/>
  <c r="AN144" i="1" s="1"/>
  <c r="AX142" i="1"/>
  <c r="AV142" i="1"/>
  <c r="AU142" i="1"/>
  <c r="AM142" i="1"/>
  <c r="AK142" i="1"/>
  <c r="AJ142" i="1"/>
  <c r="AX141" i="1"/>
  <c r="AV141" i="1"/>
  <c r="AU141" i="1"/>
  <c r="AM141" i="1"/>
  <c r="AK141" i="1"/>
  <c r="AJ141" i="1"/>
  <c r="AN142" i="1" s="1"/>
  <c r="AX140" i="1"/>
  <c r="AV140" i="1"/>
  <c r="AU140" i="1"/>
  <c r="AM140" i="1"/>
  <c r="AK140" i="1"/>
  <c r="AJ140" i="1"/>
  <c r="AN141" i="1" s="1"/>
  <c r="AX139" i="1"/>
  <c r="AV139" i="1"/>
  <c r="AU139" i="1"/>
  <c r="AY140" i="1" s="1"/>
  <c r="AM139" i="1"/>
  <c r="AK139" i="1"/>
  <c r="AJ139" i="1"/>
  <c r="AN140" i="1" s="1"/>
  <c r="AX138" i="1"/>
  <c r="AV138" i="1"/>
  <c r="AU138" i="1"/>
  <c r="AY139" i="1" s="1"/>
  <c r="AM138" i="1"/>
  <c r="AK138" i="1"/>
  <c r="AJ138" i="1"/>
  <c r="AX137" i="1"/>
  <c r="AV137" i="1"/>
  <c r="AU137" i="1"/>
  <c r="AM137" i="1"/>
  <c r="AK137" i="1"/>
  <c r="AJ137" i="1"/>
  <c r="AN138" i="1" s="1"/>
  <c r="AX136" i="1"/>
  <c r="AV136" i="1"/>
  <c r="AU136" i="1"/>
  <c r="AM136" i="1"/>
  <c r="AK136" i="1"/>
  <c r="AJ136" i="1"/>
  <c r="AN137" i="1" s="1"/>
  <c r="AX135" i="1"/>
  <c r="AV135" i="1"/>
  <c r="AU135" i="1"/>
  <c r="AM135" i="1"/>
  <c r="AK135" i="1"/>
  <c r="AJ135" i="1"/>
  <c r="AX134" i="1"/>
  <c r="AV134" i="1"/>
  <c r="AU134" i="1"/>
  <c r="AM134" i="1"/>
  <c r="AK134" i="1"/>
  <c r="AJ134" i="1"/>
  <c r="AX133" i="1"/>
  <c r="AV133" i="1"/>
  <c r="AU133" i="1"/>
  <c r="AM133" i="1"/>
  <c r="AK133" i="1"/>
  <c r="AJ133" i="1"/>
  <c r="AX132" i="1"/>
  <c r="AV132" i="1"/>
  <c r="AU132" i="1"/>
  <c r="AY133" i="1" s="1"/>
  <c r="AM132" i="1"/>
  <c r="AK132" i="1"/>
  <c r="AJ132" i="1"/>
  <c r="AN133" i="1" s="1"/>
  <c r="AX131" i="1"/>
  <c r="AV131" i="1"/>
  <c r="AU131" i="1"/>
  <c r="AM131" i="1"/>
  <c r="AK131" i="1"/>
  <c r="AJ131" i="1"/>
  <c r="AX130" i="1"/>
  <c r="AV130" i="1"/>
  <c r="AU130" i="1"/>
  <c r="AM130" i="1"/>
  <c r="AK130" i="1"/>
  <c r="AJ130" i="1"/>
  <c r="AX129" i="1"/>
  <c r="AV129" i="1"/>
  <c r="AU129" i="1"/>
  <c r="AM129" i="1"/>
  <c r="AK129" i="1"/>
  <c r="AJ129" i="1"/>
  <c r="AX128" i="1"/>
  <c r="AV128" i="1"/>
  <c r="AU128" i="1"/>
  <c r="AM128" i="1"/>
  <c r="AK128" i="1"/>
  <c r="AJ128" i="1"/>
  <c r="AX127" i="1"/>
  <c r="AV127" i="1"/>
  <c r="AU127" i="1"/>
  <c r="AM127" i="1"/>
  <c r="AK127" i="1"/>
  <c r="AJ127" i="1"/>
  <c r="AX126" i="1"/>
  <c r="AV126" i="1"/>
  <c r="AU126" i="1"/>
  <c r="AM126" i="1"/>
  <c r="AK126" i="1"/>
  <c r="AJ126" i="1"/>
  <c r="AX125" i="1"/>
  <c r="AV125" i="1"/>
  <c r="AU125" i="1"/>
  <c r="AM125" i="1"/>
  <c r="AK125" i="1"/>
  <c r="AJ125" i="1"/>
  <c r="AX124" i="1"/>
  <c r="AV124" i="1"/>
  <c r="AU124" i="1"/>
  <c r="AM124" i="1"/>
  <c r="AK124" i="1"/>
  <c r="AJ124" i="1"/>
  <c r="AX123" i="1"/>
  <c r="AV123" i="1"/>
  <c r="AU123" i="1"/>
  <c r="AM123" i="1"/>
  <c r="AK123" i="1"/>
  <c r="AJ123" i="1"/>
  <c r="AN124" i="1" s="1"/>
  <c r="AX122" i="1"/>
  <c r="AV122" i="1"/>
  <c r="AU122" i="1"/>
  <c r="AM122" i="1"/>
  <c r="AK122" i="1"/>
  <c r="AJ122" i="1"/>
  <c r="AN123" i="1" s="1"/>
  <c r="AX121" i="1"/>
  <c r="AV121" i="1"/>
  <c r="AU121" i="1"/>
  <c r="AY122" i="1" s="1"/>
  <c r="AM121" i="1"/>
  <c r="AK121" i="1"/>
  <c r="AJ121" i="1"/>
  <c r="AN122" i="1" s="1"/>
  <c r="AX120" i="1"/>
  <c r="AV120" i="1"/>
  <c r="AU120" i="1"/>
  <c r="AY121" i="1" s="1"/>
  <c r="AM120" i="1"/>
  <c r="AK120" i="1"/>
  <c r="AJ120" i="1"/>
  <c r="AX119" i="1"/>
  <c r="AV119" i="1"/>
  <c r="AU119" i="1"/>
  <c r="AM119" i="1"/>
  <c r="AK119" i="1"/>
  <c r="AJ119" i="1"/>
  <c r="AN120" i="1" s="1"/>
  <c r="AX118" i="1"/>
  <c r="AV118" i="1"/>
  <c r="AU118" i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M116" i="1"/>
  <c r="AK116" i="1"/>
  <c r="AJ116" i="1"/>
  <c r="AN117" i="1" s="1"/>
  <c r="AX115" i="1"/>
  <c r="AV115" i="1"/>
  <c r="AU115" i="1"/>
  <c r="AM115" i="1"/>
  <c r="AK115" i="1"/>
  <c r="AJ115" i="1"/>
  <c r="AN116" i="1" s="1"/>
  <c r="AX114" i="1"/>
  <c r="AV114" i="1"/>
  <c r="AU114" i="1"/>
  <c r="AM114" i="1"/>
  <c r="AK114" i="1"/>
  <c r="AJ114" i="1"/>
  <c r="AN115" i="1" s="1"/>
  <c r="AX113" i="1"/>
  <c r="AV113" i="1"/>
  <c r="AU113" i="1"/>
  <c r="AM113" i="1"/>
  <c r="AK113" i="1"/>
  <c r="AJ113" i="1"/>
  <c r="AN114" i="1" s="1"/>
  <c r="AX112" i="1"/>
  <c r="AV112" i="1"/>
  <c r="AU112" i="1"/>
  <c r="AM112" i="1"/>
  <c r="AK112" i="1"/>
  <c r="AJ112" i="1"/>
  <c r="AN113" i="1" s="1"/>
  <c r="AX111" i="1"/>
  <c r="AV111" i="1"/>
  <c r="AU111" i="1"/>
  <c r="AM111" i="1"/>
  <c r="AK111" i="1"/>
  <c r="AJ111" i="1"/>
  <c r="AN112" i="1" s="1"/>
  <c r="AX110" i="1"/>
  <c r="AV110" i="1"/>
  <c r="AU110" i="1"/>
  <c r="AM110" i="1"/>
  <c r="AK110" i="1"/>
  <c r="AJ110" i="1"/>
  <c r="AN111" i="1" s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X106" i="1"/>
  <c r="AV106" i="1"/>
  <c r="AU106" i="1"/>
  <c r="AY107" i="1" s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Y105" i="1" s="1"/>
  <c r="AM104" i="1"/>
  <c r="AK104" i="1"/>
  <c r="AJ104" i="1"/>
  <c r="AX103" i="1"/>
  <c r="AV103" i="1"/>
  <c r="AU103" i="1"/>
  <c r="AY104" i="1" s="1"/>
  <c r="AM103" i="1"/>
  <c r="AK103" i="1"/>
  <c r="AJ103" i="1"/>
  <c r="AX102" i="1"/>
  <c r="AV102" i="1"/>
  <c r="AU102" i="1"/>
  <c r="AY103" i="1" s="1"/>
  <c r="AM102" i="1"/>
  <c r="AK102" i="1"/>
  <c r="AJ102" i="1"/>
  <c r="AN103" i="1" s="1"/>
  <c r="AX101" i="1"/>
  <c r="AV101" i="1"/>
  <c r="AU101" i="1"/>
  <c r="AY102" i="1" s="1"/>
  <c r="AM101" i="1"/>
  <c r="AK101" i="1"/>
  <c r="AJ101" i="1"/>
  <c r="AX100" i="1"/>
  <c r="AV100" i="1"/>
  <c r="AU100" i="1"/>
  <c r="AY101" i="1" s="1"/>
  <c r="AM100" i="1"/>
  <c r="AK100" i="1"/>
  <c r="AJ100" i="1"/>
  <c r="AX99" i="1"/>
  <c r="AV99" i="1"/>
  <c r="AU99" i="1"/>
  <c r="AY100" i="1" s="1"/>
  <c r="AM99" i="1"/>
  <c r="AK99" i="1"/>
  <c r="AJ99" i="1"/>
  <c r="AX98" i="1"/>
  <c r="AV98" i="1"/>
  <c r="AU98" i="1"/>
  <c r="AY99" i="1" s="1"/>
  <c r="AM98" i="1"/>
  <c r="AK98" i="1"/>
  <c r="AJ98" i="1"/>
  <c r="AX97" i="1"/>
  <c r="AV97" i="1"/>
  <c r="AU97" i="1"/>
  <c r="AY98" i="1" s="1"/>
  <c r="AM97" i="1"/>
  <c r="AK97" i="1"/>
  <c r="AJ97" i="1"/>
  <c r="AN98" i="1" s="1"/>
  <c r="AX96" i="1"/>
  <c r="AV96" i="1"/>
  <c r="AU96" i="1"/>
  <c r="AY97" i="1" s="1"/>
  <c r="AM96" i="1"/>
  <c r="AK96" i="1"/>
  <c r="AJ96" i="1"/>
  <c r="AX95" i="1"/>
  <c r="AV95" i="1"/>
  <c r="AU95" i="1"/>
  <c r="AY96" i="1" s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Y94" i="1" s="1"/>
  <c r="AM93" i="1"/>
  <c r="AK93" i="1"/>
  <c r="AJ93" i="1"/>
  <c r="AX92" i="1"/>
  <c r="AV92" i="1"/>
  <c r="AU92" i="1"/>
  <c r="AY93" i="1" s="1"/>
  <c r="AM92" i="1"/>
  <c r="AK92" i="1"/>
  <c r="AJ92" i="1"/>
  <c r="AX91" i="1"/>
  <c r="AV91" i="1"/>
  <c r="AU91" i="1"/>
  <c r="AY92" i="1" s="1"/>
  <c r="AM91" i="1"/>
  <c r="AK91" i="1"/>
  <c r="AJ91" i="1"/>
  <c r="AX90" i="1"/>
  <c r="AV90" i="1"/>
  <c r="AU90" i="1"/>
  <c r="AY91" i="1" s="1"/>
  <c r="AM90" i="1"/>
  <c r="AK90" i="1"/>
  <c r="AJ90" i="1"/>
  <c r="AX89" i="1"/>
  <c r="AV89" i="1"/>
  <c r="AU89" i="1"/>
  <c r="AY90" i="1" s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X86" i="1"/>
  <c r="AV86" i="1"/>
  <c r="AU86" i="1"/>
  <c r="AY87" i="1" s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N82" i="1" s="1"/>
  <c r="AX80" i="1"/>
  <c r="AV80" i="1"/>
  <c r="AU80" i="1"/>
  <c r="AY81" i="1" s="1"/>
  <c r="AM80" i="1"/>
  <c r="AK80" i="1"/>
  <c r="AJ80" i="1"/>
  <c r="AX79" i="1"/>
  <c r="AV79" i="1"/>
  <c r="AU79" i="1"/>
  <c r="AY80" i="1" s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M77" i="1"/>
  <c r="AK77" i="1"/>
  <c r="AJ77" i="1"/>
  <c r="AN78" i="1" s="1"/>
  <c r="AX76" i="1"/>
  <c r="AV76" i="1"/>
  <c r="AU76" i="1"/>
  <c r="AY77" i="1" s="1"/>
  <c r="AM76" i="1"/>
  <c r="AK76" i="1"/>
  <c r="AJ76" i="1"/>
  <c r="AX75" i="1"/>
  <c r="AV75" i="1"/>
  <c r="AU75" i="1"/>
  <c r="AY76" i="1" s="1"/>
  <c r="AM75" i="1"/>
  <c r="AK75" i="1"/>
  <c r="AJ75" i="1"/>
  <c r="AX74" i="1"/>
  <c r="AV74" i="1"/>
  <c r="AU74" i="1"/>
  <c r="AY75" i="1" s="1"/>
  <c r="AM74" i="1"/>
  <c r="AK74" i="1"/>
  <c r="AJ74" i="1"/>
  <c r="AX73" i="1"/>
  <c r="AV73" i="1"/>
  <c r="AU73" i="1"/>
  <c r="AY74" i="1" s="1"/>
  <c r="AM73" i="1"/>
  <c r="AK73" i="1"/>
  <c r="AJ73" i="1"/>
  <c r="AX72" i="1"/>
  <c r="AV72" i="1"/>
  <c r="AU72" i="1"/>
  <c r="AY73" i="1" s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X69" i="1"/>
  <c r="AV69" i="1"/>
  <c r="AU69" i="1"/>
  <c r="AY70" i="1" s="1"/>
  <c r="AM69" i="1"/>
  <c r="AK69" i="1"/>
  <c r="AJ69" i="1"/>
  <c r="AN70" i="1" s="1"/>
  <c r="AX68" i="1"/>
  <c r="AV68" i="1"/>
  <c r="AU68" i="1"/>
  <c r="AY69" i="1" s="1"/>
  <c r="AM68" i="1"/>
  <c r="AK68" i="1"/>
  <c r="AJ68" i="1"/>
  <c r="AN69" i="1" s="1"/>
  <c r="AX67" i="1"/>
  <c r="AV67" i="1"/>
  <c r="AU67" i="1"/>
  <c r="AY68" i="1" s="1"/>
  <c r="AM67" i="1"/>
  <c r="AK67" i="1"/>
  <c r="AJ67" i="1"/>
  <c r="AX66" i="1"/>
  <c r="AV66" i="1"/>
  <c r="AU66" i="1"/>
  <c r="AY67" i="1" s="1"/>
  <c r="AM66" i="1"/>
  <c r="AK66" i="1"/>
  <c r="AJ66" i="1"/>
  <c r="AN67" i="1" s="1"/>
  <c r="AX65" i="1"/>
  <c r="AV65" i="1"/>
  <c r="AU65" i="1"/>
  <c r="AY66" i="1" s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Y64" i="1" s="1"/>
  <c r="AM63" i="1"/>
  <c r="AK63" i="1"/>
  <c r="AJ63" i="1"/>
  <c r="AX62" i="1"/>
  <c r="AV62" i="1"/>
  <c r="AU62" i="1"/>
  <c r="AY63" i="1" s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N61" i="1" s="1"/>
  <c r="AX59" i="1"/>
  <c r="AV59" i="1"/>
  <c r="AU59" i="1"/>
  <c r="AY60" i="1" s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Y58" i="1" s="1"/>
  <c r="AM57" i="1"/>
  <c r="AK57" i="1"/>
  <c r="AJ57" i="1"/>
  <c r="AX56" i="1"/>
  <c r="AV56" i="1"/>
  <c r="AU56" i="1"/>
  <c r="AM56" i="1"/>
  <c r="AK56" i="1"/>
  <c r="AJ56" i="1"/>
  <c r="AX55" i="1"/>
  <c r="AV55" i="1"/>
  <c r="AU55" i="1"/>
  <c r="AY56" i="1" s="1"/>
  <c r="AM55" i="1"/>
  <c r="AK55" i="1"/>
  <c r="AJ55" i="1"/>
  <c r="AN56" i="1" s="1"/>
  <c r="AX54" i="1"/>
  <c r="AV54" i="1"/>
  <c r="AU54" i="1"/>
  <c r="AY55" i="1" s="1"/>
  <c r="AM54" i="1"/>
  <c r="AK54" i="1"/>
  <c r="AJ54" i="1"/>
  <c r="AX53" i="1"/>
  <c r="AV53" i="1"/>
  <c r="AU53" i="1"/>
  <c r="AY54" i="1" s="1"/>
  <c r="AM53" i="1"/>
  <c r="AK53" i="1"/>
  <c r="AJ53" i="1"/>
  <c r="AX52" i="1"/>
  <c r="AV52" i="1"/>
  <c r="AU52" i="1"/>
  <c r="AY53" i="1" s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Y51" i="1" s="1"/>
  <c r="AM50" i="1"/>
  <c r="AK50" i="1"/>
  <c r="AJ50" i="1"/>
  <c r="AX49" i="1"/>
  <c r="AV49" i="1"/>
  <c r="AU49" i="1"/>
  <c r="AY50" i="1" s="1"/>
  <c r="AM49" i="1"/>
  <c r="AK49" i="1"/>
  <c r="AJ49" i="1"/>
  <c r="AN50" i="1" s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Y44" i="1" s="1"/>
  <c r="AM43" i="1"/>
  <c r="AK43" i="1"/>
  <c r="AJ43" i="1"/>
  <c r="AX42" i="1"/>
  <c r="AV42" i="1"/>
  <c r="AU42" i="1"/>
  <c r="AY43" i="1" s="1"/>
  <c r="AM42" i="1"/>
  <c r="AK42" i="1"/>
  <c r="AJ42" i="1"/>
  <c r="AN43" i="1" s="1"/>
  <c r="AX41" i="1"/>
  <c r="AV41" i="1"/>
  <c r="AU41" i="1"/>
  <c r="AY42" i="1" s="1"/>
  <c r="AM41" i="1"/>
  <c r="AK41" i="1"/>
  <c r="AJ41" i="1"/>
  <c r="AX40" i="1"/>
  <c r="AV40" i="1"/>
  <c r="AU40" i="1"/>
  <c r="AY41" i="1" s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N36" i="1" s="1"/>
  <c r="AX34" i="1"/>
  <c r="AV34" i="1"/>
  <c r="AU34" i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X31" i="1"/>
  <c r="AV31" i="1"/>
  <c r="AU31" i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Y26" i="1" s="1"/>
  <c r="AM25" i="1"/>
  <c r="AK25" i="1"/>
  <c r="AJ25" i="1"/>
  <c r="AN26" i="1" s="1"/>
  <c r="AX24" i="1"/>
  <c r="AV24" i="1"/>
  <c r="AU24" i="1"/>
  <c r="AM24" i="1"/>
  <c r="AK24" i="1"/>
  <c r="AJ24" i="1"/>
  <c r="AN25" i="1" s="1"/>
  <c r="AX23" i="1"/>
  <c r="AV23" i="1"/>
  <c r="AU23" i="1"/>
  <c r="AY24" i="1" s="1"/>
  <c r="AM23" i="1"/>
  <c r="AK23" i="1"/>
  <c r="AJ23" i="1"/>
  <c r="AN24" i="1" s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82" i="1" l="1"/>
  <c r="AY47" i="1"/>
  <c r="AY52" i="1"/>
  <c r="AY161" i="1"/>
  <c r="AY89" i="1"/>
  <c r="AY86" i="1"/>
  <c r="AY57" i="1"/>
  <c r="AY49" i="1"/>
  <c r="AY88" i="1"/>
  <c r="AY79" i="1"/>
  <c r="AY84" i="1"/>
  <c r="AY71" i="1"/>
  <c r="AY85" i="1"/>
  <c r="AY40" i="1"/>
  <c r="AY95" i="1"/>
  <c r="AY72" i="1"/>
  <c r="AY65" i="1"/>
  <c r="AY48" i="1"/>
  <c r="AY39" i="1"/>
  <c r="AY78" i="1"/>
  <c r="AY59" i="1"/>
  <c r="AN174" i="1"/>
  <c r="AN150" i="1"/>
  <c r="AN149" i="1"/>
  <c r="AN132" i="1"/>
  <c r="AN130" i="1"/>
  <c r="AN129" i="1"/>
  <c r="AN127" i="1"/>
  <c r="AN125" i="1"/>
  <c r="AN118" i="1"/>
  <c r="AP118" i="1" s="1"/>
  <c r="AN109" i="1"/>
  <c r="AN97" i="1"/>
  <c r="AN92" i="1"/>
  <c r="AN66" i="1"/>
  <c r="AN46" i="1"/>
  <c r="AN33" i="1"/>
  <c r="AN30" i="1"/>
  <c r="AN51" i="1"/>
  <c r="AN28" i="1"/>
  <c r="AN27" i="1"/>
  <c r="AN63" i="1"/>
  <c r="AN41" i="1"/>
  <c r="AN39" i="1"/>
  <c r="AN37" i="1"/>
  <c r="AN31" i="1"/>
  <c r="AN29" i="1"/>
  <c r="AN96" i="1"/>
  <c r="AN90" i="1"/>
  <c r="AN64" i="1"/>
  <c r="AN48" i="1"/>
  <c r="AN91" i="1"/>
  <c r="AN89" i="1"/>
  <c r="AN87" i="1"/>
  <c r="AN84" i="1"/>
  <c r="AN65" i="1"/>
  <c r="AN60" i="1"/>
  <c r="AN47" i="1"/>
  <c r="AN42" i="1"/>
  <c r="AN40" i="1"/>
  <c r="AN38" i="1"/>
  <c r="AN83" i="1"/>
  <c r="AN62" i="1"/>
  <c r="AN49" i="1"/>
  <c r="AN35" i="1"/>
  <c r="AN32" i="1"/>
  <c r="AN148" i="1"/>
  <c r="AN147" i="1"/>
  <c r="AN146" i="1"/>
  <c r="AN136" i="1"/>
  <c r="AN135" i="1"/>
  <c r="AN134" i="1"/>
  <c r="AN131" i="1"/>
  <c r="AN128" i="1"/>
  <c r="AN126" i="1"/>
  <c r="AN121" i="1"/>
  <c r="AN119" i="1"/>
  <c r="AN110" i="1"/>
  <c r="AN34" i="1"/>
  <c r="AN143" i="1"/>
  <c r="AN99" i="1"/>
  <c r="AN68" i="1"/>
  <c r="AN45" i="1"/>
  <c r="AN44" i="1"/>
  <c r="AY45" i="1"/>
  <c r="AY113" i="1"/>
  <c r="AY108" i="1"/>
  <c r="AN52" i="1"/>
  <c r="AN85" i="1"/>
  <c r="AO176" i="1"/>
  <c r="AP176" i="1"/>
  <c r="AL176" i="1"/>
  <c r="AO175" i="1"/>
  <c r="AP175" i="1"/>
  <c r="AL175" i="1"/>
  <c r="AO174" i="1"/>
  <c r="AP174" i="1"/>
  <c r="AL174" i="1"/>
  <c r="AO173" i="1"/>
  <c r="AP173" i="1"/>
  <c r="AL173" i="1"/>
  <c r="AO172" i="1"/>
  <c r="AP172" i="1"/>
  <c r="AL172" i="1"/>
  <c r="AO171" i="1"/>
  <c r="AP171" i="1"/>
  <c r="AL171" i="1"/>
  <c r="AP170" i="1"/>
  <c r="AO170" i="1"/>
  <c r="AQ170" i="1" s="1"/>
  <c r="AL170" i="1"/>
  <c r="AO169" i="1"/>
  <c r="AL169" i="1"/>
  <c r="AP169" i="1"/>
  <c r="AO168" i="1"/>
  <c r="AP168" i="1"/>
  <c r="AL168" i="1"/>
  <c r="AL167" i="1"/>
  <c r="AO167" i="1"/>
  <c r="AP167" i="1"/>
  <c r="AW166" i="1"/>
  <c r="AY167" i="1" s="1"/>
  <c r="AZ166" i="1"/>
  <c r="BA166" i="1"/>
  <c r="AO166" i="1"/>
  <c r="AL166" i="1"/>
  <c r="AP166" i="1"/>
  <c r="AL165" i="1"/>
  <c r="AO165" i="1"/>
  <c r="AP165" i="1"/>
  <c r="AL164" i="1"/>
  <c r="AP164" i="1"/>
  <c r="AO164" i="1"/>
  <c r="AQ164" i="1" s="1"/>
  <c r="AW163" i="1"/>
  <c r="AY164" i="1" s="1"/>
  <c r="AZ163" i="1"/>
  <c r="BA163" i="1"/>
  <c r="AO163" i="1"/>
  <c r="AP163" i="1"/>
  <c r="AL163" i="1"/>
  <c r="BA162" i="1"/>
  <c r="AW162" i="1"/>
  <c r="AZ162" i="1"/>
  <c r="BB162" i="1" s="1"/>
  <c r="AW161" i="1"/>
  <c r="AZ161" i="1"/>
  <c r="BA161" i="1"/>
  <c r="AW160" i="1"/>
  <c r="BA160" i="1"/>
  <c r="AZ160" i="1"/>
  <c r="BA159" i="1"/>
  <c r="AW159" i="1"/>
  <c r="AZ159" i="1"/>
  <c r="BB159" i="1" s="1"/>
  <c r="AZ158" i="1"/>
  <c r="AW158" i="1"/>
  <c r="BA158" i="1"/>
  <c r="AO158" i="1"/>
  <c r="AL158" i="1"/>
  <c r="AN159" i="1" s="1"/>
  <c r="AP158" i="1"/>
  <c r="AZ157" i="1"/>
  <c r="BA157" i="1"/>
  <c r="AW157" i="1"/>
  <c r="AL157" i="1"/>
  <c r="AO157" i="1"/>
  <c r="AP157" i="1"/>
  <c r="BA156" i="1"/>
  <c r="AZ156" i="1"/>
  <c r="BB156" i="1" s="1"/>
  <c r="AW156" i="1"/>
  <c r="AL156" i="1"/>
  <c r="AP156" i="1"/>
  <c r="AO156" i="1"/>
  <c r="AQ156" i="1" s="1"/>
  <c r="BE156" i="1" s="1"/>
  <c r="AW155" i="1"/>
  <c r="AZ155" i="1"/>
  <c r="BA155" i="1"/>
  <c r="AP155" i="1"/>
  <c r="AL155" i="1"/>
  <c r="AO155" i="1"/>
  <c r="AQ155" i="1" s="1"/>
  <c r="BA154" i="1"/>
  <c r="AZ154" i="1"/>
  <c r="BB154" i="1" s="1"/>
  <c r="AW154" i="1"/>
  <c r="AO154" i="1"/>
  <c r="AL154" i="1"/>
  <c r="AP154" i="1"/>
  <c r="AW153" i="1"/>
  <c r="BA153" i="1"/>
  <c r="AZ153" i="1"/>
  <c r="BB153" i="1" s="1"/>
  <c r="BA152" i="1"/>
  <c r="AZ152" i="1"/>
  <c r="BB152" i="1" s="1"/>
  <c r="AW152" i="1"/>
  <c r="AW151" i="1"/>
  <c r="AZ151" i="1"/>
  <c r="BA151" i="1"/>
  <c r="AO150" i="1"/>
  <c r="AP150" i="1"/>
  <c r="AL150" i="1"/>
  <c r="AN151" i="1" s="1"/>
  <c r="AW149" i="1"/>
  <c r="AY150" i="1" s="1"/>
  <c r="AZ149" i="1"/>
  <c r="BA149" i="1"/>
  <c r="AL149" i="1"/>
  <c r="AO149" i="1"/>
  <c r="AP149" i="1"/>
  <c r="AO148" i="1"/>
  <c r="AP148" i="1"/>
  <c r="AL148" i="1"/>
  <c r="AL147" i="1"/>
  <c r="AP147" i="1"/>
  <c r="AO147" i="1"/>
  <c r="AQ147" i="1" s="1"/>
  <c r="AP146" i="1"/>
  <c r="AL146" i="1"/>
  <c r="AO146" i="1"/>
  <c r="AQ146" i="1" s="1"/>
  <c r="AZ145" i="1"/>
  <c r="AW145" i="1"/>
  <c r="AY146" i="1" s="1"/>
  <c r="BA145" i="1"/>
  <c r="AP145" i="1"/>
  <c r="AO145" i="1"/>
  <c r="AQ145" i="1" s="1"/>
  <c r="AL145" i="1"/>
  <c r="AP144" i="1"/>
  <c r="AO144" i="1"/>
  <c r="AQ144" i="1" s="1"/>
  <c r="AL144" i="1"/>
  <c r="AP143" i="1"/>
  <c r="AO143" i="1"/>
  <c r="AQ143" i="1" s="1"/>
  <c r="AL143" i="1"/>
  <c r="AO142" i="1"/>
  <c r="AP142" i="1"/>
  <c r="AL142" i="1"/>
  <c r="AL141" i="1"/>
  <c r="AP141" i="1"/>
  <c r="AO141" i="1"/>
  <c r="AQ141" i="1" s="1"/>
  <c r="AW140" i="1"/>
  <c r="AY141" i="1" s="1"/>
  <c r="BA140" i="1"/>
  <c r="AZ140" i="1"/>
  <c r="BB140" i="1" s="1"/>
  <c r="AP140" i="1"/>
  <c r="AL140" i="1"/>
  <c r="AO140" i="1"/>
  <c r="AQ140" i="1" s="1"/>
  <c r="AW139" i="1"/>
  <c r="AZ139" i="1"/>
  <c r="BA139" i="1"/>
  <c r="AL138" i="1"/>
  <c r="AN139" i="1" s="1"/>
  <c r="AP138" i="1"/>
  <c r="AO138" i="1"/>
  <c r="AQ138" i="1" s="1"/>
  <c r="AP137" i="1"/>
  <c r="AL137" i="1"/>
  <c r="AO137" i="1"/>
  <c r="AQ137" i="1" s="1"/>
  <c r="AL136" i="1"/>
  <c r="AP136" i="1"/>
  <c r="AO136" i="1"/>
  <c r="AL135" i="1"/>
  <c r="AP135" i="1"/>
  <c r="AO135" i="1"/>
  <c r="AQ135" i="1" s="1"/>
  <c r="AL134" i="1"/>
  <c r="AO134" i="1"/>
  <c r="AP134" i="1"/>
  <c r="BA133" i="1"/>
  <c r="AW133" i="1"/>
  <c r="AY134" i="1" s="1"/>
  <c r="AZ133" i="1"/>
  <c r="BB133" i="1" s="1"/>
  <c r="AO133" i="1"/>
  <c r="AP133" i="1"/>
  <c r="AL133" i="1"/>
  <c r="AL132" i="1"/>
  <c r="AO132" i="1"/>
  <c r="AP132" i="1"/>
  <c r="AP131" i="1"/>
  <c r="AL131" i="1"/>
  <c r="AO131" i="1"/>
  <c r="AQ131" i="1" s="1"/>
  <c r="AL130" i="1"/>
  <c r="AP130" i="1"/>
  <c r="AO130" i="1"/>
  <c r="AQ130" i="1" s="1"/>
  <c r="AO129" i="1"/>
  <c r="AP129" i="1"/>
  <c r="AL129" i="1"/>
  <c r="AL128" i="1"/>
  <c r="AO128" i="1"/>
  <c r="AP128" i="1"/>
  <c r="AP127" i="1"/>
  <c r="AO127" i="1"/>
  <c r="AQ127" i="1" s="1"/>
  <c r="AL127" i="1"/>
  <c r="AO126" i="1"/>
  <c r="AL126" i="1"/>
  <c r="AP126" i="1"/>
  <c r="AL125" i="1"/>
  <c r="AP125" i="1"/>
  <c r="AO125" i="1"/>
  <c r="AQ125" i="1" s="1"/>
  <c r="AP124" i="1"/>
  <c r="AL124" i="1"/>
  <c r="AO124" i="1"/>
  <c r="AQ124" i="1" s="1"/>
  <c r="AO123" i="1"/>
  <c r="AL123" i="1"/>
  <c r="AP123" i="1"/>
  <c r="AW122" i="1"/>
  <c r="AY123" i="1" s="1"/>
  <c r="BA122" i="1"/>
  <c r="AZ122" i="1"/>
  <c r="BB122" i="1" s="1"/>
  <c r="AO122" i="1"/>
  <c r="AP122" i="1"/>
  <c r="AL122" i="1"/>
  <c r="AW121" i="1"/>
  <c r="BA121" i="1"/>
  <c r="AZ121" i="1"/>
  <c r="BB121" i="1" s="1"/>
  <c r="AP121" i="1"/>
  <c r="AL121" i="1"/>
  <c r="AO121" i="1"/>
  <c r="AQ121" i="1" s="1"/>
  <c r="AL120" i="1"/>
  <c r="AO120" i="1"/>
  <c r="AP120" i="1"/>
  <c r="AP119" i="1"/>
  <c r="AO119" i="1"/>
  <c r="AQ119" i="1" s="1"/>
  <c r="AL119" i="1"/>
  <c r="AO118" i="1"/>
  <c r="AL118" i="1"/>
  <c r="AP117" i="1"/>
  <c r="AL117" i="1"/>
  <c r="AO117" i="1"/>
  <c r="AQ117" i="1" s="1"/>
  <c r="AP116" i="1"/>
  <c r="AO116" i="1"/>
  <c r="AQ116" i="1" s="1"/>
  <c r="AL116" i="1"/>
  <c r="AP115" i="1"/>
  <c r="AO115" i="1"/>
  <c r="AQ115" i="1" s="1"/>
  <c r="AL115" i="1"/>
  <c r="AO114" i="1"/>
  <c r="AP114" i="1"/>
  <c r="AL114" i="1"/>
  <c r="AW113" i="1"/>
  <c r="AY114" i="1" s="1"/>
  <c r="AZ113" i="1"/>
  <c r="BA113" i="1"/>
  <c r="AO113" i="1"/>
  <c r="AP113" i="1"/>
  <c r="AL113" i="1"/>
  <c r="AL112" i="1"/>
  <c r="AO112" i="1"/>
  <c r="AP112" i="1"/>
  <c r="AO111" i="1"/>
  <c r="AL111" i="1"/>
  <c r="AP111" i="1"/>
  <c r="AP109" i="1"/>
  <c r="AL109" i="1"/>
  <c r="AO109" i="1"/>
  <c r="AQ109" i="1" s="1"/>
  <c r="AZ108" i="1"/>
  <c r="AW108" i="1"/>
  <c r="AY109" i="1" s="1"/>
  <c r="BA108" i="1"/>
  <c r="BA107" i="1"/>
  <c r="AW107" i="1"/>
  <c r="AZ107" i="1"/>
  <c r="BB107" i="1" s="1"/>
  <c r="AZ106" i="1"/>
  <c r="AW106" i="1"/>
  <c r="BA106" i="1"/>
  <c r="BA105" i="1"/>
  <c r="AZ105" i="1"/>
  <c r="BB105" i="1" s="1"/>
  <c r="AW105" i="1"/>
  <c r="BA104" i="1"/>
  <c r="AW104" i="1"/>
  <c r="AZ104" i="1"/>
  <c r="BB104" i="1" s="1"/>
  <c r="AZ103" i="1"/>
  <c r="AW103" i="1"/>
  <c r="BA103" i="1"/>
  <c r="AL103" i="1"/>
  <c r="AN104" i="1" s="1"/>
  <c r="AO103" i="1"/>
  <c r="AP103" i="1"/>
  <c r="BA102" i="1"/>
  <c r="AW102" i="1"/>
  <c r="AZ102" i="1"/>
  <c r="BB102" i="1" s="1"/>
  <c r="BA101" i="1"/>
  <c r="AW101" i="1"/>
  <c r="AZ101" i="1"/>
  <c r="BB101" i="1" s="1"/>
  <c r="BA100" i="1"/>
  <c r="AZ100" i="1"/>
  <c r="BB100" i="1" s="1"/>
  <c r="AW100" i="1"/>
  <c r="AZ99" i="1"/>
  <c r="AW99" i="1"/>
  <c r="BA99" i="1"/>
  <c r="AW98" i="1"/>
  <c r="BA98" i="1"/>
  <c r="AZ98" i="1"/>
  <c r="BB98" i="1" s="1"/>
  <c r="AO98" i="1"/>
  <c r="AL98" i="1"/>
  <c r="AP98" i="1"/>
  <c r="AW97" i="1"/>
  <c r="BA97" i="1"/>
  <c r="AZ97" i="1"/>
  <c r="BB97" i="1" s="1"/>
  <c r="AL97" i="1"/>
  <c r="AP97" i="1"/>
  <c r="AO97" i="1"/>
  <c r="AQ97" i="1" s="1"/>
  <c r="BE97" i="1" s="1"/>
  <c r="AW96" i="1"/>
  <c r="AZ96" i="1"/>
  <c r="BA96" i="1"/>
  <c r="AL96" i="1"/>
  <c r="AP96" i="1"/>
  <c r="AO96" i="1"/>
  <c r="AQ96" i="1" s="1"/>
  <c r="BA95" i="1"/>
  <c r="AW95" i="1"/>
  <c r="AZ95" i="1"/>
  <c r="BB95" i="1" s="1"/>
  <c r="BA94" i="1"/>
  <c r="AW94" i="1"/>
  <c r="AZ94" i="1"/>
  <c r="BB94" i="1" s="1"/>
  <c r="BA93" i="1"/>
  <c r="AZ93" i="1"/>
  <c r="BB93" i="1" s="1"/>
  <c r="AW93" i="1"/>
  <c r="AZ92" i="1"/>
  <c r="AW92" i="1"/>
  <c r="BA92" i="1"/>
  <c r="AO92" i="1"/>
  <c r="AL92" i="1"/>
  <c r="AN93" i="1" s="1"/>
  <c r="AP92" i="1"/>
  <c r="AW91" i="1"/>
  <c r="AZ91" i="1"/>
  <c r="BA91" i="1"/>
  <c r="AL91" i="1"/>
  <c r="AO91" i="1"/>
  <c r="AP91" i="1"/>
  <c r="AZ90" i="1"/>
  <c r="AW90" i="1"/>
  <c r="BA90" i="1"/>
  <c r="AP90" i="1"/>
  <c r="AO90" i="1"/>
  <c r="AL90" i="1"/>
  <c r="AZ89" i="1"/>
  <c r="BA89" i="1"/>
  <c r="AW89" i="1"/>
  <c r="AL89" i="1"/>
  <c r="AP89" i="1"/>
  <c r="AO89" i="1"/>
  <c r="AQ89" i="1" s="1"/>
  <c r="BA88" i="1"/>
  <c r="AW88" i="1"/>
  <c r="AZ88" i="1"/>
  <c r="BB88" i="1" s="1"/>
  <c r="AW87" i="1"/>
  <c r="AZ87" i="1"/>
  <c r="BA87" i="1"/>
  <c r="AL87" i="1"/>
  <c r="AN88" i="1" s="1"/>
  <c r="AO87" i="1"/>
  <c r="AP87" i="1"/>
  <c r="AW86" i="1"/>
  <c r="BA86" i="1"/>
  <c r="AZ86" i="1"/>
  <c r="AZ85" i="1"/>
  <c r="AW85" i="1"/>
  <c r="BA85" i="1"/>
  <c r="AO85" i="1"/>
  <c r="AL85" i="1"/>
  <c r="AN86" i="1" s="1"/>
  <c r="AP85" i="1"/>
  <c r="BA84" i="1"/>
  <c r="AZ84" i="1"/>
  <c r="BB84" i="1" s="1"/>
  <c r="AW84" i="1"/>
  <c r="AP84" i="1"/>
  <c r="AO84" i="1"/>
  <c r="AQ84" i="1" s="1"/>
  <c r="AL84" i="1"/>
  <c r="AO83" i="1"/>
  <c r="AL83" i="1"/>
  <c r="AP83" i="1"/>
  <c r="AZ82" i="1"/>
  <c r="AW82" i="1"/>
  <c r="AY83" i="1" s="1"/>
  <c r="BA82" i="1"/>
  <c r="AO82" i="1"/>
  <c r="AP82" i="1"/>
  <c r="AL82" i="1"/>
  <c r="AZ81" i="1"/>
  <c r="AW81" i="1"/>
  <c r="BA81" i="1"/>
  <c r="AW80" i="1"/>
  <c r="BA80" i="1"/>
  <c r="AZ80" i="1"/>
  <c r="BB80" i="1" s="1"/>
  <c r="BA79" i="1"/>
  <c r="AW79" i="1"/>
  <c r="AZ79" i="1"/>
  <c r="BB79" i="1" s="1"/>
  <c r="AP78" i="1"/>
  <c r="AL78" i="1"/>
  <c r="AN79" i="1" s="1"/>
  <c r="AO78" i="1"/>
  <c r="AQ78" i="1" s="1"/>
  <c r="AW77" i="1"/>
  <c r="AZ77" i="1"/>
  <c r="BA77" i="1"/>
  <c r="AW76" i="1"/>
  <c r="BA76" i="1"/>
  <c r="AZ76" i="1"/>
  <c r="BB76" i="1" s="1"/>
  <c r="AZ75" i="1"/>
  <c r="BA75" i="1"/>
  <c r="AW75" i="1"/>
  <c r="AZ74" i="1"/>
  <c r="AW74" i="1"/>
  <c r="BA74" i="1"/>
  <c r="AW73" i="1"/>
  <c r="AZ73" i="1"/>
  <c r="BA73" i="1"/>
  <c r="AZ72" i="1"/>
  <c r="BA72" i="1"/>
  <c r="AW72" i="1"/>
  <c r="AW71" i="1"/>
  <c r="AZ71" i="1"/>
  <c r="BA71" i="1"/>
  <c r="BA70" i="1"/>
  <c r="AW70" i="1"/>
  <c r="AZ70" i="1"/>
  <c r="BB70" i="1" s="1"/>
  <c r="AL70" i="1"/>
  <c r="AN71" i="1" s="1"/>
  <c r="AO70" i="1"/>
  <c r="AP70" i="1"/>
  <c r="BA69" i="1"/>
  <c r="AW69" i="1"/>
  <c r="AZ69" i="1"/>
  <c r="BB69" i="1" s="1"/>
  <c r="AP69" i="1"/>
  <c r="AL69" i="1"/>
  <c r="AO69" i="1"/>
  <c r="AQ69" i="1" s="1"/>
  <c r="BA68" i="1"/>
  <c r="AW68" i="1"/>
  <c r="AZ68" i="1"/>
  <c r="BB68" i="1" s="1"/>
  <c r="AP68" i="1"/>
  <c r="AO68" i="1"/>
  <c r="AL68" i="1"/>
  <c r="AZ67" i="1"/>
  <c r="AW67" i="1"/>
  <c r="BA67" i="1"/>
  <c r="AL67" i="1"/>
  <c r="AO67" i="1"/>
  <c r="AP67" i="1"/>
  <c r="AW66" i="1"/>
  <c r="BA66" i="1"/>
  <c r="AZ66" i="1"/>
  <c r="BB66" i="1" s="1"/>
  <c r="AP66" i="1"/>
  <c r="AL66" i="1"/>
  <c r="AO66" i="1"/>
  <c r="AQ66" i="1" s="1"/>
  <c r="AZ65" i="1"/>
  <c r="AW65" i="1"/>
  <c r="BA65" i="1"/>
  <c r="AL65" i="1"/>
  <c r="AO65" i="1"/>
  <c r="AP65" i="1"/>
  <c r="AW64" i="1"/>
  <c r="BA64" i="1"/>
  <c r="AZ64" i="1"/>
  <c r="BB64" i="1" s="1"/>
  <c r="AO64" i="1"/>
  <c r="AP64" i="1"/>
  <c r="AL64" i="1"/>
  <c r="AZ63" i="1"/>
  <c r="AW63" i="1"/>
  <c r="BA63" i="1"/>
  <c r="AP63" i="1"/>
  <c r="AL63" i="1"/>
  <c r="AO63" i="1"/>
  <c r="AQ63" i="1" s="1"/>
  <c r="AL62" i="1"/>
  <c r="AP62" i="1"/>
  <c r="AO62" i="1"/>
  <c r="AQ62" i="1" s="1"/>
  <c r="AL61" i="1"/>
  <c r="AP61" i="1"/>
  <c r="AO61" i="1"/>
  <c r="AQ61" i="1" s="1"/>
  <c r="AW60" i="1"/>
  <c r="AY61" i="1" s="1"/>
  <c r="AZ60" i="1"/>
  <c r="BA60" i="1"/>
  <c r="AL60" i="1"/>
  <c r="AO60" i="1"/>
  <c r="AP60" i="1"/>
  <c r="BA59" i="1"/>
  <c r="AW59" i="1"/>
  <c r="AZ59" i="1"/>
  <c r="AW58" i="1"/>
  <c r="BA58" i="1"/>
  <c r="AZ58" i="1"/>
  <c r="AW57" i="1"/>
  <c r="AZ57" i="1"/>
  <c r="BA57" i="1"/>
  <c r="BA56" i="1"/>
  <c r="AW56" i="1"/>
  <c r="AZ56" i="1"/>
  <c r="BB56" i="1" s="1"/>
  <c r="AL56" i="1"/>
  <c r="AN57" i="1" s="1"/>
  <c r="AO56" i="1"/>
  <c r="AP56" i="1"/>
  <c r="AZ55" i="1"/>
  <c r="BA55" i="1"/>
  <c r="AW55" i="1"/>
  <c r="AZ54" i="1"/>
  <c r="BA54" i="1"/>
  <c r="AW54" i="1"/>
  <c r="BA53" i="1"/>
  <c r="AW53" i="1"/>
  <c r="AZ53" i="1"/>
  <c r="BB53" i="1" s="1"/>
  <c r="AZ52" i="1"/>
  <c r="AW52" i="1"/>
  <c r="BA52" i="1"/>
  <c r="AO52" i="1"/>
  <c r="AP52" i="1"/>
  <c r="AL52" i="1"/>
  <c r="AN53" i="1" s="1"/>
  <c r="BA51" i="1"/>
  <c r="AZ51" i="1"/>
  <c r="BB51" i="1" s="1"/>
  <c r="AW51" i="1"/>
  <c r="AO51" i="1"/>
  <c r="AP51" i="1"/>
  <c r="AL51" i="1"/>
  <c r="AW50" i="1"/>
  <c r="AZ50" i="1"/>
  <c r="BA50" i="1"/>
  <c r="AL50" i="1"/>
  <c r="AO50" i="1"/>
  <c r="AP50" i="1"/>
  <c r="AZ49" i="1"/>
  <c r="BA49" i="1"/>
  <c r="AW49" i="1"/>
  <c r="AL49" i="1"/>
  <c r="AP49" i="1"/>
  <c r="AO49" i="1"/>
  <c r="BA48" i="1"/>
  <c r="AW48" i="1"/>
  <c r="AZ48" i="1"/>
  <c r="BB48" i="1" s="1"/>
  <c r="AP48" i="1"/>
  <c r="AO48" i="1"/>
  <c r="AL48" i="1"/>
  <c r="AW47" i="1"/>
  <c r="AZ47" i="1"/>
  <c r="BA47" i="1"/>
  <c r="AO47" i="1"/>
  <c r="AP47" i="1"/>
  <c r="AL47" i="1"/>
  <c r="AP46" i="1"/>
  <c r="AL46" i="1"/>
  <c r="AO46" i="1"/>
  <c r="AQ46" i="1" s="1"/>
  <c r="BA45" i="1"/>
  <c r="AW45" i="1"/>
  <c r="AY46" i="1" s="1"/>
  <c r="AZ45" i="1"/>
  <c r="BB45" i="1" s="1"/>
  <c r="AP45" i="1"/>
  <c r="AL45" i="1"/>
  <c r="AO45" i="1"/>
  <c r="AQ45" i="1" s="1"/>
  <c r="AZ44" i="1"/>
  <c r="BA44" i="1"/>
  <c r="AW44" i="1"/>
  <c r="AP44" i="1"/>
  <c r="AL44" i="1"/>
  <c r="AO44" i="1"/>
  <c r="BA43" i="1"/>
  <c r="AW43" i="1"/>
  <c r="AZ43" i="1"/>
  <c r="BB43" i="1" s="1"/>
  <c r="AO43" i="1"/>
  <c r="AP43" i="1"/>
  <c r="AL43" i="1"/>
  <c r="BA42" i="1"/>
  <c r="AW42" i="1"/>
  <c r="AZ42" i="1"/>
  <c r="BB42" i="1" s="1"/>
  <c r="AO42" i="1"/>
  <c r="AL42" i="1"/>
  <c r="AP42" i="1"/>
  <c r="BA41" i="1"/>
  <c r="AW41" i="1"/>
  <c r="AZ41" i="1"/>
  <c r="BB41" i="1" s="1"/>
  <c r="AO41" i="1"/>
  <c r="AL41" i="1"/>
  <c r="AP41" i="1"/>
  <c r="AW40" i="1"/>
  <c r="AZ40" i="1"/>
  <c r="BA40" i="1"/>
  <c r="AL40" i="1"/>
  <c r="AO40" i="1"/>
  <c r="AP40" i="1"/>
  <c r="AW39" i="1"/>
  <c r="AZ39" i="1"/>
  <c r="BA39" i="1"/>
  <c r="AL39" i="1"/>
  <c r="AP39" i="1"/>
  <c r="AO39" i="1"/>
  <c r="AQ39" i="1" s="1"/>
  <c r="AO38" i="1"/>
  <c r="AL38" i="1"/>
  <c r="AP38" i="1"/>
  <c r="AL37" i="1"/>
  <c r="AO37" i="1"/>
  <c r="AP37" i="1"/>
  <c r="AL36" i="1"/>
  <c r="AO36" i="1"/>
  <c r="AP36" i="1"/>
  <c r="AL35" i="1"/>
  <c r="AO35" i="1"/>
  <c r="AP35" i="1"/>
  <c r="AL34" i="1"/>
  <c r="AO34" i="1"/>
  <c r="AP34" i="1"/>
  <c r="AL33" i="1"/>
  <c r="AP33" i="1"/>
  <c r="AO33" i="1"/>
  <c r="AO32" i="1"/>
  <c r="AP32" i="1"/>
  <c r="AL32" i="1"/>
  <c r="AL31" i="1"/>
  <c r="AO31" i="1"/>
  <c r="AP31" i="1"/>
  <c r="AP30" i="1"/>
  <c r="AL30" i="1"/>
  <c r="AO30" i="1"/>
  <c r="AQ30" i="1" s="1"/>
  <c r="AO29" i="1"/>
  <c r="AP29" i="1"/>
  <c r="AL29" i="1"/>
  <c r="AL28" i="1"/>
  <c r="AO28" i="1"/>
  <c r="AP28" i="1"/>
  <c r="AO27" i="1"/>
  <c r="AL27" i="1"/>
  <c r="AP27" i="1"/>
  <c r="BA26" i="1"/>
  <c r="AW26" i="1"/>
  <c r="AY27" i="1" s="1"/>
  <c r="AZ26" i="1"/>
  <c r="BB26" i="1" s="1"/>
  <c r="AL26" i="1"/>
  <c r="AO26" i="1"/>
  <c r="AP26" i="1"/>
  <c r="AP25" i="1"/>
  <c r="AO25" i="1"/>
  <c r="AQ25" i="1" s="1"/>
  <c r="AL25" i="1"/>
  <c r="AW24" i="1"/>
  <c r="AY25" i="1" s="1"/>
  <c r="BA24" i="1"/>
  <c r="AZ24" i="1"/>
  <c r="BB24" i="1" s="1"/>
  <c r="AP24" i="1"/>
  <c r="AL24" i="1"/>
  <c r="AO24" i="1"/>
  <c r="AQ24" i="1" s="1"/>
  <c r="BE24" i="1" s="1"/>
  <c r="AZ23" i="1"/>
  <c r="AW23" i="1"/>
  <c r="BA23" i="1"/>
  <c r="AP23" i="1"/>
  <c r="AO23" i="1"/>
  <c r="AQ23" i="1" s="1"/>
  <c r="AL23" i="1"/>
  <c r="BA22" i="1"/>
  <c r="AZ22" i="1"/>
  <c r="BB22" i="1" s="1"/>
  <c r="AP22" i="1"/>
  <c r="AO22" i="1"/>
  <c r="AQ22" i="1" s="1"/>
  <c r="BE140" i="1" l="1"/>
  <c r="BE121" i="1"/>
  <c r="BB160" i="1"/>
  <c r="BB54" i="1"/>
  <c r="BA78" i="1"/>
  <c r="AZ78" i="1"/>
  <c r="BB78" i="1" s="1"/>
  <c r="AW78" i="1"/>
  <c r="BB59" i="1"/>
  <c r="AZ167" i="1"/>
  <c r="AW167" i="1"/>
  <c r="AY168" i="1" s="1"/>
  <c r="BA167" i="1"/>
  <c r="BA146" i="1"/>
  <c r="AZ146" i="1"/>
  <c r="AW146" i="1"/>
  <c r="AY147" i="1" s="1"/>
  <c r="BA134" i="1"/>
  <c r="AW134" i="1"/>
  <c r="AY135" i="1" s="1"/>
  <c r="AZ134" i="1"/>
  <c r="AW123" i="1"/>
  <c r="AY124" i="1" s="1"/>
  <c r="BA123" i="1"/>
  <c r="AZ123" i="1"/>
  <c r="BA27" i="1"/>
  <c r="AW27" i="1"/>
  <c r="AY28" i="1" s="1"/>
  <c r="AZ27" i="1"/>
  <c r="AW25" i="1"/>
  <c r="BA25" i="1"/>
  <c r="AZ25" i="1"/>
  <c r="AP110" i="1"/>
  <c r="AL110" i="1"/>
  <c r="AO110" i="1"/>
  <c r="AQ110" i="1" s="1"/>
  <c r="AQ49" i="1"/>
  <c r="AQ90" i="1"/>
  <c r="AP159" i="1"/>
  <c r="AL159" i="1"/>
  <c r="AN160" i="1" s="1"/>
  <c r="AO159" i="1"/>
  <c r="AO151" i="1"/>
  <c r="AL151" i="1"/>
  <c r="AN152" i="1" s="1"/>
  <c r="AP151" i="1"/>
  <c r="AO139" i="1"/>
  <c r="AL139" i="1"/>
  <c r="AP139" i="1"/>
  <c r="AL93" i="1"/>
  <c r="AN94" i="1" s="1"/>
  <c r="AP93" i="1"/>
  <c r="AO93" i="1"/>
  <c r="AP88" i="1"/>
  <c r="AO88" i="1"/>
  <c r="AL88" i="1"/>
  <c r="AL86" i="1"/>
  <c r="AO86" i="1"/>
  <c r="AP86" i="1"/>
  <c r="AP71" i="1"/>
  <c r="AO71" i="1"/>
  <c r="AQ71" i="1" s="1"/>
  <c r="AL71" i="1"/>
  <c r="AN72" i="1" s="1"/>
  <c r="AL57" i="1"/>
  <c r="AN58" i="1" s="1"/>
  <c r="AO57" i="1"/>
  <c r="AP57" i="1"/>
  <c r="AP53" i="1"/>
  <c r="AL53" i="1"/>
  <c r="AN54" i="1" s="1"/>
  <c r="AO53" i="1"/>
  <c r="AQ53" i="1" s="1"/>
  <c r="BB167" i="1"/>
  <c r="BE69" i="1"/>
  <c r="BE45" i="1"/>
  <c r="BE84" i="1"/>
  <c r="BE66" i="1"/>
  <c r="BE53" i="1"/>
  <c r="BB50" i="1"/>
  <c r="BE78" i="1"/>
  <c r="BB49" i="1"/>
  <c r="BE49" i="1" s="1"/>
  <c r="BB86" i="1"/>
  <c r="AQ91" i="1"/>
  <c r="AQ50" i="1"/>
  <c r="BE50" i="1" s="1"/>
  <c r="AQ44" i="1"/>
  <c r="AQ36" i="1"/>
  <c r="AP99" i="1"/>
  <c r="AL99" i="1"/>
  <c r="AN100" i="1" s="1"/>
  <c r="AO99" i="1"/>
  <c r="AQ99" i="1" s="1"/>
  <c r="BB155" i="1"/>
  <c r="BE155" i="1" s="1"/>
  <c r="BB146" i="1"/>
  <c r="BE146" i="1" s="1"/>
  <c r="AQ134" i="1"/>
  <c r="AQ129" i="1"/>
  <c r="BB123" i="1"/>
  <c r="AQ114" i="1"/>
  <c r="BB113" i="1"/>
  <c r="AQ112" i="1"/>
  <c r="AQ111" i="1"/>
  <c r="AQ103" i="1"/>
  <c r="BB96" i="1"/>
  <c r="BE96" i="1" s="1"/>
  <c r="BB91" i="1"/>
  <c r="BE91" i="1" s="1"/>
  <c r="BB90" i="1"/>
  <c r="BE90" i="1" s="1"/>
  <c r="BB72" i="1"/>
  <c r="AQ67" i="1"/>
  <c r="BB52" i="1"/>
  <c r="BB58" i="1"/>
  <c r="BB57" i="1"/>
  <c r="AQ56" i="1"/>
  <c r="BE56" i="1" s="1"/>
  <c r="BB39" i="1"/>
  <c r="BE39" i="1" s="1"/>
  <c r="AQ43" i="1"/>
  <c r="BE43" i="1" s="1"/>
  <c r="AQ31" i="1"/>
  <c r="AQ42" i="1"/>
  <c r="BE42" i="1" s="1"/>
  <c r="AQ35" i="1"/>
  <c r="BA164" i="1"/>
  <c r="AW164" i="1"/>
  <c r="AY165" i="1" s="1"/>
  <c r="AZ164" i="1"/>
  <c r="BB164" i="1" s="1"/>
  <c r="BE164" i="1" s="1"/>
  <c r="AO160" i="1"/>
  <c r="AP160" i="1"/>
  <c r="AL160" i="1"/>
  <c r="AN161" i="1" s="1"/>
  <c r="AO152" i="1"/>
  <c r="AL152" i="1"/>
  <c r="AN153" i="1" s="1"/>
  <c r="AP152" i="1"/>
  <c r="AZ150" i="1"/>
  <c r="BA150" i="1"/>
  <c r="AW150" i="1"/>
  <c r="AW141" i="1"/>
  <c r="AY142" i="1" s="1"/>
  <c r="BA141" i="1"/>
  <c r="AZ141" i="1"/>
  <c r="BB141" i="1" s="1"/>
  <c r="BE141" i="1" s="1"/>
  <c r="AW114" i="1"/>
  <c r="AY115" i="1" s="1"/>
  <c r="BA114" i="1"/>
  <c r="AZ114" i="1"/>
  <c r="BB114" i="1" s="1"/>
  <c r="BE114" i="1" s="1"/>
  <c r="BA109" i="1"/>
  <c r="AW109" i="1"/>
  <c r="AY110" i="1" s="1"/>
  <c r="AZ109" i="1"/>
  <c r="BB109" i="1" s="1"/>
  <c r="BE109" i="1" s="1"/>
  <c r="AL104" i="1"/>
  <c r="AN105" i="1" s="1"/>
  <c r="AP104" i="1"/>
  <c r="AO104" i="1"/>
  <c r="AQ104" i="1" s="1"/>
  <c r="BE104" i="1" s="1"/>
  <c r="AO94" i="1"/>
  <c r="AP94" i="1"/>
  <c r="AL94" i="1"/>
  <c r="AN95" i="1" s="1"/>
  <c r="AZ83" i="1"/>
  <c r="BA83" i="1"/>
  <c r="AW83" i="1"/>
  <c r="AO79" i="1"/>
  <c r="AL79" i="1"/>
  <c r="AN80" i="1" s="1"/>
  <c r="AP79" i="1"/>
  <c r="BA61" i="1"/>
  <c r="AZ61" i="1"/>
  <c r="BB61" i="1" s="1"/>
  <c r="BE61" i="1" s="1"/>
  <c r="AW61" i="1"/>
  <c r="AY62" i="1" s="1"/>
  <c r="AZ46" i="1"/>
  <c r="BA46" i="1"/>
  <c r="AW46" i="1"/>
  <c r="BA28" i="1"/>
  <c r="AW28" i="1"/>
  <c r="AY29" i="1" s="1"/>
  <c r="AZ28" i="1"/>
  <c r="BB28" i="1" s="1"/>
  <c r="BC22" i="1"/>
  <c r="AR22" i="1"/>
  <c r="AR23" i="1" s="1"/>
  <c r="AR24" i="1" s="1"/>
  <c r="AR25" i="1" s="1"/>
  <c r="BE22" i="1"/>
  <c r="AQ88" i="1"/>
  <c r="BE88" i="1" s="1"/>
  <c r="AQ87" i="1"/>
  <c r="AQ82" i="1"/>
  <c r="BB81" i="1"/>
  <c r="BB75" i="1"/>
  <c r="AQ65" i="1"/>
  <c r="AQ48" i="1"/>
  <c r="BE48" i="1" s="1"/>
  <c r="AQ47" i="1"/>
  <c r="AQ41" i="1"/>
  <c r="BE41" i="1" s="1"/>
  <c r="BB65" i="1"/>
  <c r="BB40" i="1"/>
  <c r="AQ29" i="1"/>
  <c r="AQ28" i="1"/>
  <c r="BE28" i="1" s="1"/>
  <c r="BB27" i="1"/>
  <c r="AQ27" i="1"/>
  <c r="BE27" i="1" s="1"/>
  <c r="AQ26" i="1"/>
  <c r="BB25" i="1"/>
  <c r="BE25" i="1" s="1"/>
  <c r="BB23" i="1"/>
  <c r="BB108" i="1"/>
  <c r="BB92" i="1"/>
  <c r="AQ86" i="1"/>
  <c r="BE86" i="1" s="1"/>
  <c r="BB74" i="1"/>
  <c r="BB71" i="1"/>
  <c r="BE71" i="1" s="1"/>
  <c r="BB60" i="1"/>
  <c r="AQ60" i="1"/>
  <c r="BE60" i="1" s="1"/>
  <c r="BB55" i="1"/>
  <c r="AQ51" i="1"/>
  <c r="BE51" i="1" s="1"/>
  <c r="BB47" i="1"/>
  <c r="AQ33" i="1"/>
  <c r="AQ113" i="1"/>
  <c r="BE113" i="1" s="1"/>
  <c r="BB106" i="1"/>
  <c r="BB103" i="1"/>
  <c r="BE103" i="1" s="1"/>
  <c r="AQ92" i="1"/>
  <c r="BE92" i="1" s="1"/>
  <c r="BB85" i="1"/>
  <c r="BB44" i="1"/>
  <c r="BE44" i="1" s="1"/>
  <c r="AQ40" i="1"/>
  <c r="BE40" i="1" s="1"/>
  <c r="BB151" i="1"/>
  <c r="BB139" i="1"/>
  <c r="AQ133" i="1"/>
  <c r="BE133" i="1" s="1"/>
  <c r="BB89" i="1"/>
  <c r="BE89" i="1" s="1"/>
  <c r="BB87" i="1"/>
  <c r="AQ83" i="1"/>
  <c r="AQ70" i="1"/>
  <c r="BE70" i="1" s="1"/>
  <c r="BB67" i="1"/>
  <c r="BE67" i="1" s="1"/>
  <c r="AQ64" i="1"/>
  <c r="BE64" i="1" s="1"/>
  <c r="AQ37" i="1"/>
  <c r="AQ128" i="1"/>
  <c r="AQ123" i="1"/>
  <c r="BE123" i="1" s="1"/>
  <c r="AQ122" i="1"/>
  <c r="BE122" i="1" s="1"/>
  <c r="AQ120" i="1"/>
  <c r="AQ118" i="1"/>
  <c r="BB99" i="1"/>
  <c r="BE99" i="1" s="1"/>
  <c r="AQ93" i="1"/>
  <c r="BE93" i="1" s="1"/>
  <c r="AQ38" i="1"/>
  <c r="AQ176" i="1"/>
  <c r="AQ175" i="1"/>
  <c r="AQ174" i="1"/>
  <c r="AQ173" i="1"/>
  <c r="AQ172" i="1"/>
  <c r="AQ171" i="1"/>
  <c r="AQ169" i="1"/>
  <c r="AQ168" i="1"/>
  <c r="AQ167" i="1"/>
  <c r="BE167" i="1" s="1"/>
  <c r="BB166" i="1"/>
  <c r="AQ166" i="1"/>
  <c r="BE166" i="1" s="1"/>
  <c r="AQ165" i="1"/>
  <c r="BB163" i="1"/>
  <c r="AQ163" i="1"/>
  <c r="BB161" i="1"/>
  <c r="AQ159" i="1"/>
  <c r="BE159" i="1" s="1"/>
  <c r="BB158" i="1"/>
  <c r="AQ158" i="1"/>
  <c r="BE158" i="1" s="1"/>
  <c r="BB157" i="1"/>
  <c r="AQ157" i="1"/>
  <c r="BE157" i="1" s="1"/>
  <c r="AQ154" i="1"/>
  <c r="BE154" i="1" s="1"/>
  <c r="AQ150" i="1"/>
  <c r="BB149" i="1"/>
  <c r="AQ149" i="1"/>
  <c r="BE149" i="1" s="1"/>
  <c r="AQ148" i="1"/>
  <c r="BB145" i="1"/>
  <c r="BE145" i="1" s="1"/>
  <c r="AQ142" i="1"/>
  <c r="AQ136" i="1"/>
  <c r="BB134" i="1"/>
  <c r="BE134" i="1" s="1"/>
  <c r="AQ132" i="1"/>
  <c r="AQ126" i="1"/>
  <c r="AQ98" i="1"/>
  <c r="BE98" i="1" s="1"/>
  <c r="AQ85" i="1"/>
  <c r="BE85" i="1" s="1"/>
  <c r="BB82" i="1"/>
  <c r="BB77" i="1"/>
  <c r="BB73" i="1"/>
  <c r="AQ68" i="1"/>
  <c r="BE68" i="1" s="1"/>
  <c r="BB63" i="1"/>
  <c r="BE63" i="1" s="1"/>
  <c r="AQ52" i="1"/>
  <c r="BE52" i="1" s="1"/>
  <c r="AQ34" i="1"/>
  <c r="AQ32" i="1"/>
  <c r="AW168" i="1" l="1"/>
  <c r="AY169" i="1" s="1"/>
  <c r="AZ168" i="1"/>
  <c r="BA168" i="1"/>
  <c r="AZ147" i="1"/>
  <c r="BA147" i="1"/>
  <c r="AW147" i="1"/>
  <c r="AY148" i="1" s="1"/>
  <c r="BA135" i="1"/>
  <c r="AZ135" i="1"/>
  <c r="BB135" i="1" s="1"/>
  <c r="BE135" i="1" s="1"/>
  <c r="AW135" i="1"/>
  <c r="AY136" i="1" s="1"/>
  <c r="AZ124" i="1"/>
  <c r="AW124" i="1"/>
  <c r="AY125" i="1" s="1"/>
  <c r="BA124" i="1"/>
  <c r="AW142" i="1"/>
  <c r="AY143" i="1" s="1"/>
  <c r="BA142" i="1"/>
  <c r="AZ142" i="1"/>
  <c r="BB142" i="1" s="1"/>
  <c r="BE142" i="1" s="1"/>
  <c r="BA29" i="1"/>
  <c r="AZ29" i="1"/>
  <c r="BB29" i="1" s="1"/>
  <c r="BE29" i="1" s="1"/>
  <c r="AW29" i="1"/>
  <c r="AY30" i="1" s="1"/>
  <c r="AO72" i="1"/>
  <c r="AL72" i="1"/>
  <c r="AN73" i="1" s="1"/>
  <c r="AP72" i="1"/>
  <c r="AO58" i="1"/>
  <c r="AP58" i="1"/>
  <c r="AL58" i="1"/>
  <c r="AN59" i="1" s="1"/>
  <c r="AL54" i="1"/>
  <c r="AN55" i="1" s="1"/>
  <c r="AP54" i="1"/>
  <c r="AO54" i="1"/>
  <c r="AQ54" i="1" s="1"/>
  <c r="BE54" i="1" s="1"/>
  <c r="AQ151" i="1"/>
  <c r="BE151" i="1" s="1"/>
  <c r="AQ139" i="1"/>
  <c r="BE139" i="1" s="1"/>
  <c r="AQ57" i="1"/>
  <c r="BE57" i="1" s="1"/>
  <c r="AO100" i="1"/>
  <c r="AL100" i="1"/>
  <c r="AN101" i="1" s="1"/>
  <c r="AP100" i="1"/>
  <c r="AP161" i="1"/>
  <c r="AL161" i="1"/>
  <c r="AN162" i="1" s="1"/>
  <c r="AO161" i="1"/>
  <c r="AQ161" i="1" s="1"/>
  <c r="BE161" i="1" s="1"/>
  <c r="AP95" i="1"/>
  <c r="AL95" i="1"/>
  <c r="AO95" i="1"/>
  <c r="AQ95" i="1" s="1"/>
  <c r="BE95" i="1" s="1"/>
  <c r="AO80" i="1"/>
  <c r="AL80" i="1"/>
  <c r="AN81" i="1" s="1"/>
  <c r="AP80" i="1"/>
  <c r="BE163" i="1"/>
  <c r="BA165" i="1"/>
  <c r="AW165" i="1"/>
  <c r="AZ165" i="1"/>
  <c r="BB165" i="1" s="1"/>
  <c r="BE165" i="1" s="1"/>
  <c r="AO153" i="1"/>
  <c r="AL153" i="1"/>
  <c r="AP153" i="1"/>
  <c r="AZ115" i="1"/>
  <c r="AW115" i="1"/>
  <c r="AY116" i="1" s="1"/>
  <c r="BA115" i="1"/>
  <c r="AZ110" i="1"/>
  <c r="AW110" i="1"/>
  <c r="AY111" i="1" s="1"/>
  <c r="BA110" i="1"/>
  <c r="AP105" i="1"/>
  <c r="AO105" i="1"/>
  <c r="AL105" i="1"/>
  <c r="AN106" i="1" s="1"/>
  <c r="AW62" i="1"/>
  <c r="BA62" i="1"/>
  <c r="AZ62" i="1"/>
  <c r="BB62" i="1" s="1"/>
  <c r="BE62" i="1" s="1"/>
  <c r="BF22" i="1"/>
  <c r="AQ160" i="1"/>
  <c r="BE160" i="1" s="1"/>
  <c r="AQ152" i="1"/>
  <c r="BE152" i="1" s="1"/>
  <c r="BB150" i="1"/>
  <c r="BE150" i="1" s="1"/>
  <c r="AQ94" i="1"/>
  <c r="BE94" i="1" s="1"/>
  <c r="BB83" i="1"/>
  <c r="BE83" i="1" s="1"/>
  <c r="AQ79" i="1"/>
  <c r="BE79" i="1" s="1"/>
  <c r="BB46" i="1"/>
  <c r="BE46" i="1" s="1"/>
  <c r="BC23" i="1"/>
  <c r="BC24" i="1" s="1"/>
  <c r="BC25" i="1" s="1"/>
  <c r="BC26" i="1" s="1"/>
  <c r="BC27" i="1" s="1"/>
  <c r="BC28" i="1" s="1"/>
  <c r="BC29" i="1" s="1"/>
  <c r="AR26" i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BE87" i="1"/>
  <c r="BE82" i="1"/>
  <c r="BE65" i="1"/>
  <c r="BE47" i="1"/>
  <c r="BE26" i="1"/>
  <c r="BE23" i="1"/>
  <c r="AW169" i="1" l="1"/>
  <c r="AY170" i="1" s="1"/>
  <c r="BA169" i="1"/>
  <c r="AZ169" i="1"/>
  <c r="BA148" i="1"/>
  <c r="AZ148" i="1"/>
  <c r="BB148" i="1" s="1"/>
  <c r="BE148" i="1" s="1"/>
  <c r="AW148" i="1"/>
  <c r="AW136" i="1"/>
  <c r="AY137" i="1" s="1"/>
  <c r="AZ136" i="1"/>
  <c r="BA136" i="1"/>
  <c r="AZ125" i="1"/>
  <c r="BA125" i="1"/>
  <c r="AW125" i="1"/>
  <c r="AY126" i="1" s="1"/>
  <c r="BA143" i="1"/>
  <c r="AZ143" i="1"/>
  <c r="BB143" i="1" s="1"/>
  <c r="BE143" i="1" s="1"/>
  <c r="AW143" i="1"/>
  <c r="AY144" i="1" s="1"/>
  <c r="AZ30" i="1"/>
  <c r="BA30" i="1"/>
  <c r="AW30" i="1"/>
  <c r="AY31" i="1" s="1"/>
  <c r="BB168" i="1"/>
  <c r="BE168" i="1" s="1"/>
  <c r="BB147" i="1"/>
  <c r="BE147" i="1" s="1"/>
  <c r="BB124" i="1"/>
  <c r="BE124" i="1" s="1"/>
  <c r="BA116" i="1"/>
  <c r="AZ116" i="1"/>
  <c r="BB116" i="1" s="1"/>
  <c r="BE116" i="1" s="1"/>
  <c r="AW116" i="1"/>
  <c r="AY117" i="1" s="1"/>
  <c r="AP73" i="1"/>
  <c r="AO73" i="1"/>
  <c r="AQ73" i="1" s="1"/>
  <c r="BE73" i="1" s="1"/>
  <c r="AL73" i="1"/>
  <c r="AN74" i="1" s="1"/>
  <c r="AL59" i="1"/>
  <c r="AO59" i="1"/>
  <c r="AP59" i="1"/>
  <c r="AL55" i="1"/>
  <c r="AO55" i="1"/>
  <c r="AP55" i="1"/>
  <c r="AL101" i="1"/>
  <c r="AN102" i="1" s="1"/>
  <c r="AP101" i="1"/>
  <c r="AO101" i="1"/>
  <c r="AQ101" i="1" s="1"/>
  <c r="BE101" i="1" s="1"/>
  <c r="AP162" i="1"/>
  <c r="AO162" i="1"/>
  <c r="AQ162" i="1" s="1"/>
  <c r="BE162" i="1" s="1"/>
  <c r="AL162" i="1"/>
  <c r="AO81" i="1"/>
  <c r="AP81" i="1"/>
  <c r="AL81" i="1"/>
  <c r="AR54" i="1"/>
  <c r="AQ72" i="1"/>
  <c r="BE72" i="1" s="1"/>
  <c r="AQ58" i="1"/>
  <c r="BE58" i="1" s="1"/>
  <c r="AQ100" i="1"/>
  <c r="BE100" i="1" s="1"/>
  <c r="AQ80" i="1"/>
  <c r="BE80" i="1" s="1"/>
  <c r="AQ105" i="1"/>
  <c r="BE105" i="1" s="1"/>
  <c r="BF23" i="1"/>
  <c r="BF24" i="1" s="1"/>
  <c r="BF25" i="1" s="1"/>
  <c r="BF26" i="1" s="1"/>
  <c r="BF27" i="1" s="1"/>
  <c r="BF28" i="1" s="1"/>
  <c r="BF29" i="1" s="1"/>
  <c r="AZ111" i="1"/>
  <c r="BA111" i="1"/>
  <c r="AW111" i="1"/>
  <c r="AY112" i="1" s="1"/>
  <c r="AP106" i="1"/>
  <c r="AO106" i="1"/>
  <c r="AQ106" i="1" s="1"/>
  <c r="BE106" i="1" s="1"/>
  <c r="AL106" i="1"/>
  <c r="AN107" i="1" s="1"/>
  <c r="BB110" i="1"/>
  <c r="BE110" i="1" s="1"/>
  <c r="BB115" i="1"/>
  <c r="BE115" i="1" s="1"/>
  <c r="AQ153" i="1"/>
  <c r="BE153" i="1" s="1"/>
  <c r="BB169" i="1" l="1"/>
  <c r="BE169" i="1" s="1"/>
  <c r="AW170" i="1"/>
  <c r="AY171" i="1" s="1"/>
  <c r="BA170" i="1"/>
  <c r="AZ170" i="1"/>
  <c r="BB170" i="1" s="1"/>
  <c r="BE170" i="1" s="1"/>
  <c r="BA137" i="1"/>
  <c r="AW137" i="1"/>
  <c r="AY138" i="1" s="1"/>
  <c r="AZ137" i="1"/>
  <c r="BB137" i="1" s="1"/>
  <c r="BE137" i="1" s="1"/>
  <c r="AW126" i="1"/>
  <c r="AY127" i="1" s="1"/>
  <c r="AZ126" i="1"/>
  <c r="BA126" i="1"/>
  <c r="BA144" i="1"/>
  <c r="AZ144" i="1"/>
  <c r="BB144" i="1" s="1"/>
  <c r="BE144" i="1" s="1"/>
  <c r="AW144" i="1"/>
  <c r="BA31" i="1"/>
  <c r="AZ31" i="1"/>
  <c r="BB31" i="1" s="1"/>
  <c r="BE31" i="1" s="1"/>
  <c r="AW31" i="1"/>
  <c r="AY32" i="1" s="1"/>
  <c r="AW117" i="1"/>
  <c r="AY118" i="1" s="1"/>
  <c r="BA117" i="1"/>
  <c r="AZ117" i="1"/>
  <c r="BB117" i="1" s="1"/>
  <c r="BE117" i="1" s="1"/>
  <c r="BB136" i="1"/>
  <c r="BE136" i="1" s="1"/>
  <c r="BB125" i="1"/>
  <c r="BE125" i="1" s="1"/>
  <c r="BB30" i="1"/>
  <c r="AO74" i="1"/>
  <c r="AL74" i="1"/>
  <c r="AN75" i="1" s="1"/>
  <c r="AP74" i="1"/>
  <c r="AP102" i="1"/>
  <c r="AL102" i="1"/>
  <c r="AO102" i="1"/>
  <c r="AQ102" i="1" s="1"/>
  <c r="BE102" i="1" s="1"/>
  <c r="AQ59" i="1"/>
  <c r="BE59" i="1" s="1"/>
  <c r="AQ55" i="1"/>
  <c r="AQ81" i="1"/>
  <c r="BE81" i="1" s="1"/>
  <c r="AP107" i="1"/>
  <c r="AL107" i="1"/>
  <c r="AN108" i="1" s="1"/>
  <c r="AO107" i="1"/>
  <c r="AQ107" i="1" s="1"/>
  <c r="BE107" i="1" s="1"/>
  <c r="AW112" i="1"/>
  <c r="BA112" i="1"/>
  <c r="AZ112" i="1"/>
  <c r="BB112" i="1" s="1"/>
  <c r="BE112" i="1" s="1"/>
  <c r="BB111" i="1"/>
  <c r="BE111" i="1" s="1"/>
  <c r="AW171" i="1" l="1"/>
  <c r="AY172" i="1" s="1"/>
  <c r="BA171" i="1"/>
  <c r="AZ171" i="1"/>
  <c r="BB171" i="1" s="1"/>
  <c r="BE171" i="1" s="1"/>
  <c r="AW138" i="1"/>
  <c r="BA138" i="1"/>
  <c r="AZ138" i="1"/>
  <c r="AZ127" i="1"/>
  <c r="BA127" i="1"/>
  <c r="AW127" i="1"/>
  <c r="AY128" i="1" s="1"/>
  <c r="AW32" i="1"/>
  <c r="AY33" i="1" s="1"/>
  <c r="AZ32" i="1"/>
  <c r="BA32" i="1"/>
  <c r="BA118" i="1"/>
  <c r="AW118" i="1"/>
  <c r="AY119" i="1" s="1"/>
  <c r="AZ118" i="1"/>
  <c r="BE30" i="1"/>
  <c r="BF30" i="1" s="1"/>
  <c r="BF31" i="1" s="1"/>
  <c r="BC30" i="1"/>
  <c r="BC31" i="1" s="1"/>
  <c r="BB126" i="1"/>
  <c r="BE126" i="1" s="1"/>
  <c r="AO75" i="1"/>
  <c r="AP75" i="1"/>
  <c r="AL75" i="1"/>
  <c r="AN76" i="1" s="1"/>
  <c r="AR55" i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BE55" i="1"/>
  <c r="AP108" i="1"/>
  <c r="AL108" i="1"/>
  <c r="AO108" i="1"/>
  <c r="AQ108" i="1" s="1"/>
  <c r="BE108" i="1" s="1"/>
  <c r="AQ74" i="1"/>
  <c r="BE74" i="1" s="1"/>
  <c r="BB118" i="1" l="1"/>
  <c r="BE118" i="1" s="1"/>
  <c r="BB138" i="1"/>
  <c r="BE138" i="1" s="1"/>
  <c r="AW172" i="1"/>
  <c r="AY173" i="1" s="1"/>
  <c r="BA172" i="1"/>
  <c r="AZ172" i="1"/>
  <c r="BB172" i="1" s="1"/>
  <c r="BE172" i="1" s="1"/>
  <c r="BA128" i="1"/>
  <c r="AW128" i="1"/>
  <c r="AY129" i="1" s="1"/>
  <c r="AZ128" i="1"/>
  <c r="BB128" i="1" s="1"/>
  <c r="BE128" i="1" s="1"/>
  <c r="AZ33" i="1"/>
  <c r="AW33" i="1"/>
  <c r="AY34" i="1" s="1"/>
  <c r="BA33" i="1"/>
  <c r="AW119" i="1"/>
  <c r="AY120" i="1" s="1"/>
  <c r="AZ119" i="1"/>
  <c r="BA119" i="1"/>
  <c r="BB127" i="1"/>
  <c r="BE127" i="1" s="1"/>
  <c r="BB32" i="1"/>
  <c r="AO76" i="1"/>
  <c r="AL76" i="1"/>
  <c r="AN77" i="1" s="1"/>
  <c r="AP76" i="1"/>
  <c r="AQ75" i="1"/>
  <c r="BE75" i="1" s="1"/>
  <c r="AR74" i="1"/>
  <c r="AR75" i="1" s="1"/>
  <c r="AZ173" i="1" l="1"/>
  <c r="BA173" i="1"/>
  <c r="AW173" i="1"/>
  <c r="AY174" i="1" s="1"/>
  <c r="AZ129" i="1"/>
  <c r="BA129" i="1"/>
  <c r="AW129" i="1"/>
  <c r="AY130" i="1" s="1"/>
  <c r="BA34" i="1"/>
  <c r="AW34" i="1"/>
  <c r="AY35" i="1" s="1"/>
  <c r="AZ34" i="1"/>
  <c r="BB34" i="1" s="1"/>
  <c r="BE34" i="1" s="1"/>
  <c r="AZ120" i="1"/>
  <c r="BA120" i="1"/>
  <c r="AW120" i="1"/>
  <c r="BC32" i="1"/>
  <c r="BE32" i="1"/>
  <c r="BF32" i="1" s="1"/>
  <c r="BB33" i="1"/>
  <c r="BB119" i="1"/>
  <c r="BE119" i="1" s="1"/>
  <c r="AP77" i="1"/>
  <c r="AO77" i="1"/>
  <c r="AL77" i="1"/>
  <c r="AQ76" i="1"/>
  <c r="BC33" i="1" l="1"/>
  <c r="BC34" i="1" s="1"/>
  <c r="AW174" i="1"/>
  <c r="AY175" i="1" s="1"/>
  <c r="BA174" i="1"/>
  <c r="AZ174" i="1"/>
  <c r="BB174" i="1" s="1"/>
  <c r="BE174" i="1" s="1"/>
  <c r="AZ130" i="1"/>
  <c r="BA130" i="1"/>
  <c r="AW130" i="1"/>
  <c r="AY131" i="1" s="1"/>
  <c r="AZ35" i="1"/>
  <c r="BA35" i="1"/>
  <c r="AW35" i="1"/>
  <c r="AY36" i="1" s="1"/>
  <c r="BE33" i="1"/>
  <c r="BF33" i="1" s="1"/>
  <c r="BF34" i="1" s="1"/>
  <c r="BB173" i="1"/>
  <c r="BE173" i="1" s="1"/>
  <c r="BB129" i="1"/>
  <c r="BE129" i="1" s="1"/>
  <c r="BB120" i="1"/>
  <c r="BE120" i="1" s="1"/>
  <c r="AQ77" i="1"/>
  <c r="BE77" i="1" s="1"/>
  <c r="AQ14" i="1"/>
  <c r="AQ19" i="1"/>
  <c r="AQ15" i="1"/>
  <c r="AR76" i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76" i="1"/>
  <c r="AW175" i="1" l="1"/>
  <c r="AY176" i="1" s="1"/>
  <c r="BA175" i="1"/>
  <c r="AZ175" i="1"/>
  <c r="BB175" i="1" s="1"/>
  <c r="BE175" i="1" s="1"/>
  <c r="AZ131" i="1"/>
  <c r="BA131" i="1"/>
  <c r="AW131" i="1"/>
  <c r="AY132" i="1" s="1"/>
  <c r="AZ36" i="1"/>
  <c r="AW36" i="1"/>
  <c r="AY37" i="1" s="1"/>
  <c r="BA36" i="1"/>
  <c r="BB130" i="1"/>
  <c r="BE130" i="1" s="1"/>
  <c r="BB35" i="1"/>
  <c r="AQ16" i="1"/>
  <c r="AI1" i="1" s="1"/>
  <c r="AZ176" i="1" l="1"/>
  <c r="BA176" i="1"/>
  <c r="AW176" i="1"/>
  <c r="AZ132" i="1"/>
  <c r="AW132" i="1"/>
  <c r="BA132" i="1"/>
  <c r="AZ37" i="1"/>
  <c r="BA37" i="1"/>
  <c r="AW37" i="1"/>
  <c r="AY38" i="1" s="1"/>
  <c r="BE35" i="1"/>
  <c r="BC35" i="1"/>
  <c r="BB131" i="1"/>
  <c r="BE131" i="1" s="1"/>
  <c r="BB36" i="1"/>
  <c r="BA38" i="1" l="1"/>
  <c r="AZ38" i="1"/>
  <c r="BB38" i="1" s="1"/>
  <c r="BE38" i="1" s="1"/>
  <c r="AW38" i="1"/>
  <c r="BF35" i="1"/>
  <c r="BB176" i="1"/>
  <c r="BE176" i="1" s="1"/>
  <c r="BB132" i="1"/>
  <c r="BE132" i="1" s="1"/>
  <c r="BB37" i="1"/>
  <c r="BE37" i="1" s="1"/>
  <c r="BC36" i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36" i="1"/>
  <c r="BB14" i="1"/>
  <c r="BB19" i="1"/>
  <c r="BB15" i="1"/>
  <c r="BF36" i="1" l="1"/>
  <c r="BB16" i="1"/>
  <c r="AT1" i="1" s="1"/>
  <c r="BF37" i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4" i="1"/>
  <c r="BE18" i="1"/>
  <c r="BE15" i="1"/>
  <c r="BE16" i="1" l="1"/>
</calcChain>
</file>

<file path=xl/sharedStrings.xml><?xml version="1.0" encoding="utf-8"?>
<sst xmlns="http://schemas.openxmlformats.org/spreadsheetml/2006/main" count="74" uniqueCount="53">
  <si>
    <t>date</t>
  </si>
  <si>
    <t>ITA</t>
  </si>
  <si>
    <t>XAR</t>
  </si>
  <si>
    <t>ITA log rtn</t>
  </si>
  <si>
    <t>XAR log rtn</t>
  </si>
  <si>
    <t>ITA div</t>
  </si>
  <si>
    <t>ITA div cumsum</t>
  </si>
  <si>
    <t>XAR div</t>
  </si>
  <si>
    <t>XAR div cumsum</t>
  </si>
  <si>
    <t>ITA div adjustment</t>
  </si>
  <si>
    <t>XAR div adjustment</t>
  </si>
  <si>
    <t>ITA*</t>
  </si>
  <si>
    <t>XAR*</t>
  </si>
  <si>
    <t>XAR/ITA</t>
  </si>
  <si>
    <t>XAR/ITA avg</t>
  </si>
  <si>
    <t>XAR/ITA 10 dma</t>
  </si>
  <si>
    <t>XAR/ITA 20 dma</t>
  </si>
  <si>
    <t>ITA x avg</t>
  </si>
  <si>
    <t>ITA x 10 dma</t>
  </si>
  <si>
    <t>ITA x 20 dma</t>
  </si>
  <si>
    <t>log diff ITA x avg / XAR</t>
  </si>
  <si>
    <t>log diff ITA x 10 dma / XAR</t>
  </si>
  <si>
    <t>log diff ITA x 20 dma / XAR</t>
  </si>
  <si>
    <t>XAR*/ITA*</t>
  </si>
  <si>
    <t>XAR*/ITA* avg</t>
  </si>
  <si>
    <t>XAR*/ITA* 10 dma</t>
  </si>
  <si>
    <t>XAR*/ITA* 20 dma</t>
  </si>
  <si>
    <t>ITA* x avg</t>
  </si>
  <si>
    <t>ITA* x 10 dma</t>
  </si>
  <si>
    <t>ITA* x 20 dma</t>
  </si>
  <si>
    <t>log diff ITA* x avg / XAR*</t>
  </si>
  <si>
    <t>log diff ITA* x 10 dma / XAR*</t>
  </si>
  <si>
    <t>log diff ITA* x 20 dma / XAR*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</si>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</sst>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43" fontId="0" fillId="0" borderId="10" xfId="1" applyFont="1" applyBorder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1" xfId="3" applyNumberFormat="1" applyFont="1" applyBorder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XAR/ITA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1.1658179450689301</c:v>
                </c:pt>
                <c:pt idx="1">
                  <c:v>1.1658179450689301</c:v>
                </c:pt>
                <c:pt idx="2">
                  <c:v>1.1658179450689301</c:v>
                </c:pt>
                <c:pt idx="3">
                  <c:v>1.1658179450689301</c:v>
                </c:pt>
                <c:pt idx="4">
                  <c:v>1.1658179450689301</c:v>
                </c:pt>
                <c:pt idx="5">
                  <c:v>1.1658179450689301</c:v>
                </c:pt>
                <c:pt idx="6">
                  <c:v>1.1658179450689301</c:v>
                </c:pt>
                <c:pt idx="7">
                  <c:v>1.1658179450689301</c:v>
                </c:pt>
                <c:pt idx="8">
                  <c:v>1.1658179450689301</c:v>
                </c:pt>
                <c:pt idx="9">
                  <c:v>1.1658179450689301</c:v>
                </c:pt>
                <c:pt idx="10">
                  <c:v>1.1658179450689301</c:v>
                </c:pt>
                <c:pt idx="11">
                  <c:v>1.1658179450689301</c:v>
                </c:pt>
                <c:pt idx="12">
                  <c:v>1.1658179450689301</c:v>
                </c:pt>
                <c:pt idx="13">
                  <c:v>1.1658179450689301</c:v>
                </c:pt>
                <c:pt idx="14">
                  <c:v>1.1658179450689301</c:v>
                </c:pt>
                <c:pt idx="15">
                  <c:v>1.1658179450689301</c:v>
                </c:pt>
                <c:pt idx="16">
                  <c:v>1.1658179450689301</c:v>
                </c:pt>
                <c:pt idx="17">
                  <c:v>1.1658179450689301</c:v>
                </c:pt>
                <c:pt idx="18">
                  <c:v>1.1658179450689301</c:v>
                </c:pt>
                <c:pt idx="19">
                  <c:v>1.1658179450689301</c:v>
                </c:pt>
                <c:pt idx="20">
                  <c:v>1.1658179450689301</c:v>
                </c:pt>
                <c:pt idx="21">
                  <c:v>1.1658179450689301</c:v>
                </c:pt>
                <c:pt idx="22">
                  <c:v>1.1658179450689301</c:v>
                </c:pt>
                <c:pt idx="23">
                  <c:v>1.1658179450689301</c:v>
                </c:pt>
                <c:pt idx="24">
                  <c:v>1.1658179450689301</c:v>
                </c:pt>
                <c:pt idx="25">
                  <c:v>1.1658179450689301</c:v>
                </c:pt>
                <c:pt idx="26">
                  <c:v>1.1658179450689301</c:v>
                </c:pt>
                <c:pt idx="27">
                  <c:v>1.1658179450689301</c:v>
                </c:pt>
                <c:pt idx="28">
                  <c:v>1.1658179450689301</c:v>
                </c:pt>
                <c:pt idx="29">
                  <c:v>1.1658179450689301</c:v>
                </c:pt>
                <c:pt idx="30">
                  <c:v>1.1658179450689301</c:v>
                </c:pt>
                <c:pt idx="31">
                  <c:v>1.1658179450689301</c:v>
                </c:pt>
                <c:pt idx="32">
                  <c:v>1.1658179450689301</c:v>
                </c:pt>
                <c:pt idx="33">
                  <c:v>1.1658179450689301</c:v>
                </c:pt>
                <c:pt idx="34">
                  <c:v>1.1658179450689301</c:v>
                </c:pt>
                <c:pt idx="35">
                  <c:v>1.1658179450689301</c:v>
                </c:pt>
                <c:pt idx="36">
                  <c:v>1.1658179450689301</c:v>
                </c:pt>
                <c:pt idx="37">
                  <c:v>1.1658179450689301</c:v>
                </c:pt>
                <c:pt idx="38">
                  <c:v>1.1658179450689301</c:v>
                </c:pt>
                <c:pt idx="39">
                  <c:v>1.1658179450689301</c:v>
                </c:pt>
                <c:pt idx="40">
                  <c:v>1.1658179450689301</c:v>
                </c:pt>
                <c:pt idx="41">
                  <c:v>1.1658179450689301</c:v>
                </c:pt>
                <c:pt idx="42">
                  <c:v>1.1658179450689301</c:v>
                </c:pt>
                <c:pt idx="43">
                  <c:v>1.1658179450689301</c:v>
                </c:pt>
                <c:pt idx="44">
                  <c:v>1.1658179450689301</c:v>
                </c:pt>
                <c:pt idx="45">
                  <c:v>1.1658179450689301</c:v>
                </c:pt>
                <c:pt idx="46">
                  <c:v>1.1658179450689301</c:v>
                </c:pt>
                <c:pt idx="47">
                  <c:v>1.1658179450689301</c:v>
                </c:pt>
                <c:pt idx="48">
                  <c:v>1.1658179450689301</c:v>
                </c:pt>
                <c:pt idx="49">
                  <c:v>1.1658179450689301</c:v>
                </c:pt>
                <c:pt idx="50">
                  <c:v>1.1658179450689301</c:v>
                </c:pt>
                <c:pt idx="51">
                  <c:v>1.1658179450689301</c:v>
                </c:pt>
                <c:pt idx="52">
                  <c:v>1.1658179450689301</c:v>
                </c:pt>
                <c:pt idx="53">
                  <c:v>1.1658179450689301</c:v>
                </c:pt>
                <c:pt idx="54">
                  <c:v>1.1658179450689301</c:v>
                </c:pt>
                <c:pt idx="55">
                  <c:v>1.1658179450689301</c:v>
                </c:pt>
                <c:pt idx="56">
                  <c:v>1.1658179450689301</c:v>
                </c:pt>
                <c:pt idx="57">
                  <c:v>1.1658179450689301</c:v>
                </c:pt>
                <c:pt idx="58">
                  <c:v>1.1658179450689301</c:v>
                </c:pt>
                <c:pt idx="59">
                  <c:v>1.1658179450689301</c:v>
                </c:pt>
                <c:pt idx="60">
                  <c:v>1.1658179450689301</c:v>
                </c:pt>
                <c:pt idx="61">
                  <c:v>1.1658179450689301</c:v>
                </c:pt>
                <c:pt idx="62">
                  <c:v>1.1658179450689301</c:v>
                </c:pt>
                <c:pt idx="63">
                  <c:v>1.1658179450689301</c:v>
                </c:pt>
                <c:pt idx="64">
                  <c:v>1.1658179450689301</c:v>
                </c:pt>
                <c:pt idx="65">
                  <c:v>1.1658179450689301</c:v>
                </c:pt>
                <c:pt idx="66">
                  <c:v>1.1658179450689301</c:v>
                </c:pt>
                <c:pt idx="67">
                  <c:v>1.1658179450689301</c:v>
                </c:pt>
                <c:pt idx="68">
                  <c:v>1.1658179450689301</c:v>
                </c:pt>
                <c:pt idx="69">
                  <c:v>1.1658179450689301</c:v>
                </c:pt>
                <c:pt idx="70">
                  <c:v>1.1658179450689301</c:v>
                </c:pt>
                <c:pt idx="71">
                  <c:v>1.1658179450689301</c:v>
                </c:pt>
                <c:pt idx="72">
                  <c:v>1.1658179450689301</c:v>
                </c:pt>
                <c:pt idx="73">
                  <c:v>1.1658179450689301</c:v>
                </c:pt>
                <c:pt idx="74">
                  <c:v>1.1658179450689301</c:v>
                </c:pt>
                <c:pt idx="75">
                  <c:v>1.1658179450689301</c:v>
                </c:pt>
                <c:pt idx="76">
                  <c:v>1.1658179450689301</c:v>
                </c:pt>
                <c:pt idx="77">
                  <c:v>1.1658179450689301</c:v>
                </c:pt>
                <c:pt idx="78">
                  <c:v>1.1658179450689301</c:v>
                </c:pt>
                <c:pt idx="79">
                  <c:v>1.1658179450689301</c:v>
                </c:pt>
                <c:pt idx="80">
                  <c:v>1.1658179450689301</c:v>
                </c:pt>
                <c:pt idx="81">
                  <c:v>1.1658179450689301</c:v>
                </c:pt>
                <c:pt idx="82">
                  <c:v>1.1658179450689301</c:v>
                </c:pt>
                <c:pt idx="83">
                  <c:v>1.1658179450689301</c:v>
                </c:pt>
                <c:pt idx="84">
                  <c:v>1.1658179450689301</c:v>
                </c:pt>
                <c:pt idx="85">
                  <c:v>1.1658179450689301</c:v>
                </c:pt>
                <c:pt idx="86">
                  <c:v>1.1658179450689301</c:v>
                </c:pt>
                <c:pt idx="87">
                  <c:v>1.1658179450689301</c:v>
                </c:pt>
                <c:pt idx="88">
                  <c:v>1.1658179450689301</c:v>
                </c:pt>
                <c:pt idx="89">
                  <c:v>1.1658179450689301</c:v>
                </c:pt>
                <c:pt idx="90">
                  <c:v>1.1658179450689301</c:v>
                </c:pt>
                <c:pt idx="91">
                  <c:v>1.1658179450689301</c:v>
                </c:pt>
                <c:pt idx="92">
                  <c:v>1.1658179450689301</c:v>
                </c:pt>
                <c:pt idx="93">
                  <c:v>1.1658179450689301</c:v>
                </c:pt>
                <c:pt idx="94">
                  <c:v>1.1658179450689301</c:v>
                </c:pt>
                <c:pt idx="95">
                  <c:v>1.1658179450689301</c:v>
                </c:pt>
                <c:pt idx="96">
                  <c:v>1.1658179450689301</c:v>
                </c:pt>
                <c:pt idx="97">
                  <c:v>1.1658179450689301</c:v>
                </c:pt>
                <c:pt idx="98">
                  <c:v>1.1658179450689301</c:v>
                </c:pt>
                <c:pt idx="99">
                  <c:v>1.1658179450689301</c:v>
                </c:pt>
                <c:pt idx="100">
                  <c:v>1.1658179450689301</c:v>
                </c:pt>
                <c:pt idx="101">
                  <c:v>1.1658179450689301</c:v>
                </c:pt>
                <c:pt idx="102">
                  <c:v>1.1658179450689301</c:v>
                </c:pt>
                <c:pt idx="103">
                  <c:v>1.1658179450689301</c:v>
                </c:pt>
                <c:pt idx="104">
                  <c:v>1.1658179450689301</c:v>
                </c:pt>
                <c:pt idx="105">
                  <c:v>1.1658179450689301</c:v>
                </c:pt>
                <c:pt idx="106">
                  <c:v>1.1658179450689301</c:v>
                </c:pt>
                <c:pt idx="107">
                  <c:v>1.1658179450689301</c:v>
                </c:pt>
                <c:pt idx="108">
                  <c:v>1.1658179450689301</c:v>
                </c:pt>
                <c:pt idx="109">
                  <c:v>1.1658179450689301</c:v>
                </c:pt>
                <c:pt idx="110">
                  <c:v>1.1658179450689301</c:v>
                </c:pt>
                <c:pt idx="111">
                  <c:v>1.1658179450689301</c:v>
                </c:pt>
                <c:pt idx="112">
                  <c:v>1.1658179450689301</c:v>
                </c:pt>
                <c:pt idx="113">
                  <c:v>1.1658179450689301</c:v>
                </c:pt>
                <c:pt idx="114">
                  <c:v>1.1658179450689301</c:v>
                </c:pt>
                <c:pt idx="115">
                  <c:v>1.1658179450689301</c:v>
                </c:pt>
                <c:pt idx="116">
                  <c:v>1.1658179450689301</c:v>
                </c:pt>
                <c:pt idx="117">
                  <c:v>1.1658179450689301</c:v>
                </c:pt>
                <c:pt idx="118">
                  <c:v>1.1658179450689301</c:v>
                </c:pt>
                <c:pt idx="119">
                  <c:v>1.1658179450689301</c:v>
                </c:pt>
                <c:pt idx="120">
                  <c:v>1.1658179450689301</c:v>
                </c:pt>
                <c:pt idx="121">
                  <c:v>1.1658179450689301</c:v>
                </c:pt>
                <c:pt idx="122">
                  <c:v>1.1658179450689301</c:v>
                </c:pt>
                <c:pt idx="123">
                  <c:v>1.1658179450689301</c:v>
                </c:pt>
                <c:pt idx="124">
                  <c:v>1.1658179450689301</c:v>
                </c:pt>
                <c:pt idx="125">
                  <c:v>1.1658179450689301</c:v>
                </c:pt>
                <c:pt idx="126">
                  <c:v>1.1658179450689301</c:v>
                </c:pt>
                <c:pt idx="127">
                  <c:v>1.1658179450689301</c:v>
                </c:pt>
                <c:pt idx="128">
                  <c:v>1.1658179450689301</c:v>
                </c:pt>
                <c:pt idx="129">
                  <c:v>1.1658179450689301</c:v>
                </c:pt>
                <c:pt idx="130">
                  <c:v>1.1658179450689301</c:v>
                </c:pt>
                <c:pt idx="131">
                  <c:v>1.1658179450689301</c:v>
                </c:pt>
                <c:pt idx="132">
                  <c:v>1.1658179450689301</c:v>
                </c:pt>
                <c:pt idx="133">
                  <c:v>1.1658179450689301</c:v>
                </c:pt>
                <c:pt idx="134">
                  <c:v>1.1658179450689301</c:v>
                </c:pt>
                <c:pt idx="135">
                  <c:v>1.1658179450689301</c:v>
                </c:pt>
                <c:pt idx="136">
                  <c:v>1.1658179450689301</c:v>
                </c:pt>
                <c:pt idx="137">
                  <c:v>1.1658179450689301</c:v>
                </c:pt>
                <c:pt idx="138">
                  <c:v>1.1658179450689301</c:v>
                </c:pt>
                <c:pt idx="139">
                  <c:v>1.1658179450689301</c:v>
                </c:pt>
                <c:pt idx="140">
                  <c:v>1.1658179450689301</c:v>
                </c:pt>
                <c:pt idx="141">
                  <c:v>1.1658179450689301</c:v>
                </c:pt>
                <c:pt idx="142">
                  <c:v>1.1658179450689301</c:v>
                </c:pt>
                <c:pt idx="143">
                  <c:v>1.1658179450689301</c:v>
                </c:pt>
                <c:pt idx="144">
                  <c:v>1.1658179450689301</c:v>
                </c:pt>
                <c:pt idx="145">
                  <c:v>1.1658179450689301</c:v>
                </c:pt>
                <c:pt idx="146">
                  <c:v>1.1658179450689301</c:v>
                </c:pt>
                <c:pt idx="147">
                  <c:v>1.1658179450689301</c:v>
                </c:pt>
                <c:pt idx="148">
                  <c:v>1.1658179450689301</c:v>
                </c:pt>
                <c:pt idx="149">
                  <c:v>1.1658179450689301</c:v>
                </c:pt>
                <c:pt idx="150">
                  <c:v>1.1658179450689301</c:v>
                </c:pt>
                <c:pt idx="151">
                  <c:v>1.1658179450689301</c:v>
                </c:pt>
                <c:pt idx="152">
                  <c:v>1.1658179450689301</c:v>
                </c:pt>
                <c:pt idx="153">
                  <c:v>1.1658179450689301</c:v>
                </c:pt>
                <c:pt idx="154">
                  <c:v>1.1658179450689301</c:v>
                </c:pt>
                <c:pt idx="155">
                  <c:v>1.1658179450689301</c:v>
                </c:pt>
                <c:pt idx="156">
                  <c:v>1.1658179450689301</c:v>
                </c:pt>
                <c:pt idx="157">
                  <c:v>1.1658179450689301</c:v>
                </c:pt>
                <c:pt idx="158">
                  <c:v>1.1658179450689301</c:v>
                </c:pt>
                <c:pt idx="159">
                  <c:v>1.1658179450689301</c:v>
                </c:pt>
                <c:pt idx="160">
                  <c:v>1.1658179450689301</c:v>
                </c:pt>
                <c:pt idx="161">
                  <c:v>1.1658179450689301</c:v>
                </c:pt>
                <c:pt idx="162">
                  <c:v>1.1658179450689301</c:v>
                </c:pt>
                <c:pt idx="163">
                  <c:v>1.1658179450689301</c:v>
                </c:pt>
                <c:pt idx="164">
                  <c:v>1.1658179450689301</c:v>
                </c:pt>
                <c:pt idx="165">
                  <c:v>1.1658179450689301</c:v>
                </c:pt>
                <c:pt idx="166">
                  <c:v>1.1658179450689301</c:v>
                </c:pt>
                <c:pt idx="167">
                  <c:v>1.1658179450689301</c:v>
                </c:pt>
                <c:pt idx="168">
                  <c:v>1.1658179450689301</c:v>
                </c:pt>
                <c:pt idx="169">
                  <c:v>1.1658179450689301</c:v>
                </c:pt>
                <c:pt idx="170">
                  <c:v>1.1658179450689301</c:v>
                </c:pt>
                <c:pt idx="171">
                  <c:v>1.1658179450689301</c:v>
                </c:pt>
                <c:pt idx="172">
                  <c:v>1.1658179450689301</c:v>
                </c:pt>
                <c:pt idx="173">
                  <c:v>1.1658179450689301</c:v>
                </c:pt>
                <c:pt idx="174">
                  <c:v>1.1658179450689301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3-41BA-A07C-EF56428FD411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XAR/ITA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1.17292210610485</c:v>
                </c:pt>
                <c:pt idx="10">
                  <c:v>1.18022300195384</c:v>
                </c:pt>
                <c:pt idx="11">
                  <c:v>1.1846799803957</c:v>
                </c:pt>
                <c:pt idx="12">
                  <c:v>1.1878307373015</c:v>
                </c:pt>
                <c:pt idx="13">
                  <c:v>1.19288351653196</c:v>
                </c:pt>
                <c:pt idx="14">
                  <c:v>1.19520351782948</c:v>
                </c:pt>
                <c:pt idx="15">
                  <c:v>1.1964389047086501</c:v>
                </c:pt>
                <c:pt idx="16">
                  <c:v>1.1979838718882301</c:v>
                </c:pt>
                <c:pt idx="17">
                  <c:v>1.1999956653718999</c:v>
                </c:pt>
                <c:pt idx="18">
                  <c:v>1.19991911260461</c:v>
                </c:pt>
                <c:pt idx="19">
                  <c:v>1.1973661351840099</c:v>
                </c:pt>
                <c:pt idx="20">
                  <c:v>1.1942008702087601</c:v>
                </c:pt>
                <c:pt idx="21">
                  <c:v>1.19354909233754</c:v>
                </c:pt>
                <c:pt idx="22">
                  <c:v>1.19097940100345</c:v>
                </c:pt>
                <c:pt idx="23">
                  <c:v>1.1846165032806699</c:v>
                </c:pt>
                <c:pt idx="24">
                  <c:v>1.1805226782828999</c:v>
                </c:pt>
                <c:pt idx="25">
                  <c:v>1.1782480605734</c:v>
                </c:pt>
                <c:pt idx="26">
                  <c:v>1.1745231722395499</c:v>
                </c:pt>
                <c:pt idx="27">
                  <c:v>1.1695876406853101</c:v>
                </c:pt>
                <c:pt idx="28">
                  <c:v>1.16531656534494</c:v>
                </c:pt>
                <c:pt idx="29">
                  <c:v>1.1631175517908401</c:v>
                </c:pt>
                <c:pt idx="30">
                  <c:v>1.16103234947567</c:v>
                </c:pt>
                <c:pt idx="31">
                  <c:v>1.15809326712913</c:v>
                </c:pt>
                <c:pt idx="32">
                  <c:v>1.15873520962758</c:v>
                </c:pt>
                <c:pt idx="33">
                  <c:v>1.1598005299722201</c:v>
                </c:pt>
                <c:pt idx="34">
                  <c:v>1.1590253918142099</c:v>
                </c:pt>
                <c:pt idx="35">
                  <c:v>1.1576909098636501</c:v>
                </c:pt>
                <c:pt idx="36">
                  <c:v>1.15742262468931</c:v>
                </c:pt>
                <c:pt idx="37">
                  <c:v>1.1587091089538499</c:v>
                </c:pt>
                <c:pt idx="38">
                  <c:v>1.1596850168713</c:v>
                </c:pt>
                <c:pt idx="39">
                  <c:v>1.16010087721262</c:v>
                </c:pt>
                <c:pt idx="40">
                  <c:v>1.1613293540719101</c:v>
                </c:pt>
                <c:pt idx="41">
                  <c:v>1.1617984334551801</c:v>
                </c:pt>
                <c:pt idx="42">
                  <c:v>1.1611070912952799</c:v>
                </c:pt>
                <c:pt idx="43">
                  <c:v>1.16067698662001</c:v>
                </c:pt>
                <c:pt idx="44">
                  <c:v>1.1616713003722801</c:v>
                </c:pt>
                <c:pt idx="45">
                  <c:v>1.16124788277712</c:v>
                </c:pt>
                <c:pt idx="46">
                  <c:v>1.16119091612888</c:v>
                </c:pt>
                <c:pt idx="47">
                  <c:v>1.1603908515757</c:v>
                </c:pt>
                <c:pt idx="48">
                  <c:v>1.1599391482878501</c:v>
                </c:pt>
                <c:pt idx="49">
                  <c:v>1.1605904386343899</c:v>
                </c:pt>
                <c:pt idx="50">
                  <c:v>1.1620678312561701</c:v>
                </c:pt>
                <c:pt idx="51">
                  <c:v>1.1629018279886101</c:v>
                </c:pt>
                <c:pt idx="52">
                  <c:v>1.16466249486438</c:v>
                </c:pt>
                <c:pt idx="53">
                  <c:v>1.16566789943226</c:v>
                </c:pt>
                <c:pt idx="54">
                  <c:v>1.16675707483005</c:v>
                </c:pt>
                <c:pt idx="55">
                  <c:v>1.16833984500887</c:v>
                </c:pt>
                <c:pt idx="56">
                  <c:v>1.1701296340209599</c:v>
                </c:pt>
                <c:pt idx="57">
                  <c:v>1.17085819075359</c:v>
                </c:pt>
                <c:pt idx="58">
                  <c:v>1.17120080831646</c:v>
                </c:pt>
                <c:pt idx="59">
                  <c:v>1.1697899573174799</c:v>
                </c:pt>
                <c:pt idx="60">
                  <c:v>1.16835108986977</c:v>
                </c:pt>
                <c:pt idx="61">
                  <c:v>1.16747167828434</c:v>
                </c:pt>
                <c:pt idx="62">
                  <c:v>1.1665515509109801</c:v>
                </c:pt>
                <c:pt idx="63">
                  <c:v>1.1673016278455499</c:v>
                </c:pt>
                <c:pt idx="64">
                  <c:v>1.1660830162848901</c:v>
                </c:pt>
                <c:pt idx="65">
                  <c:v>1.1655744834391799</c:v>
                </c:pt>
                <c:pt idx="66">
                  <c:v>1.1636699423610299</c:v>
                </c:pt>
                <c:pt idx="67">
                  <c:v>1.1635234845833999</c:v>
                </c:pt>
                <c:pt idx="68">
                  <c:v>1.1651211932438099</c:v>
                </c:pt>
                <c:pt idx="69">
                  <c:v>1.1676373112279399</c:v>
                </c:pt>
                <c:pt idx="70">
                  <c:v>1.1692543905930199</c:v>
                </c:pt>
                <c:pt idx="71">
                  <c:v>1.17205528313499</c:v>
                </c:pt>
                <c:pt idx="72">
                  <c:v>1.1742400603869401</c:v>
                </c:pt>
                <c:pt idx="73">
                  <c:v>1.1763642326655901</c:v>
                </c:pt>
                <c:pt idx="74">
                  <c:v>1.1797909082372999</c:v>
                </c:pt>
                <c:pt idx="75">
                  <c:v>1.1831978284597</c:v>
                </c:pt>
                <c:pt idx="76">
                  <c:v>1.1864520329078101</c:v>
                </c:pt>
                <c:pt idx="77">
                  <c:v>1.1886672502145299</c:v>
                </c:pt>
                <c:pt idx="78">
                  <c:v>1.19050871948413</c:v>
                </c:pt>
                <c:pt idx="79">
                  <c:v>1.19097180348229</c:v>
                </c:pt>
                <c:pt idx="80">
                  <c:v>1.19042608496655</c:v>
                </c:pt>
                <c:pt idx="81">
                  <c:v>1.18995626145599</c:v>
                </c:pt>
                <c:pt idx="82">
                  <c:v>1.1893701385531099</c:v>
                </c:pt>
                <c:pt idx="83">
                  <c:v>1.1890354637037199</c:v>
                </c:pt>
                <c:pt idx="84">
                  <c:v>1.1876496708786899</c:v>
                </c:pt>
                <c:pt idx="85">
                  <c:v>1.1868429770691999</c:v>
                </c:pt>
                <c:pt idx="86">
                  <c:v>1.1855490933860999</c:v>
                </c:pt>
                <c:pt idx="87">
                  <c:v>1.18546472427168</c:v>
                </c:pt>
                <c:pt idx="88">
                  <c:v>1.1852512096226999</c:v>
                </c:pt>
                <c:pt idx="89">
                  <c:v>1.18644329778516</c:v>
                </c:pt>
                <c:pt idx="90">
                  <c:v>1.18893805365955</c:v>
                </c:pt>
                <c:pt idx="91">
                  <c:v>1.1912612060921499</c:v>
                </c:pt>
                <c:pt idx="92">
                  <c:v>1.1926945654850001</c:v>
                </c:pt>
                <c:pt idx="93">
                  <c:v>1.19335175688396</c:v>
                </c:pt>
                <c:pt idx="94">
                  <c:v>1.19369261447021</c:v>
                </c:pt>
                <c:pt idx="95">
                  <c:v>1.1934272396630601</c:v>
                </c:pt>
                <c:pt idx="96">
                  <c:v>1.1947063030384799</c:v>
                </c:pt>
                <c:pt idx="97">
                  <c:v>1.1962803602255301</c:v>
                </c:pt>
                <c:pt idx="98">
                  <c:v>1.1975822433101</c:v>
                </c:pt>
                <c:pt idx="99">
                  <c:v>1.1994992209846</c:v>
                </c:pt>
                <c:pt idx="100">
                  <c:v>1.20274683901972</c:v>
                </c:pt>
                <c:pt idx="101">
                  <c:v>1.20418086171394</c:v>
                </c:pt>
                <c:pt idx="102">
                  <c:v>1.20596028373847</c:v>
                </c:pt>
                <c:pt idx="103">
                  <c:v>1.2087585175196101</c:v>
                </c:pt>
                <c:pt idx="104">
                  <c:v>1.21151184396571</c:v>
                </c:pt>
                <c:pt idx="105">
                  <c:v>1.2132501158467499</c:v>
                </c:pt>
                <c:pt idx="106">
                  <c:v>1.21267474313134</c:v>
                </c:pt>
                <c:pt idx="107">
                  <c:v>1.2116432495776699</c:v>
                </c:pt>
                <c:pt idx="108">
                  <c:v>1.20976132174201</c:v>
                </c:pt>
                <c:pt idx="109">
                  <c:v>1.20736819119446</c:v>
                </c:pt>
                <c:pt idx="110">
                  <c:v>1.2049331298807799</c:v>
                </c:pt>
                <c:pt idx="111">
                  <c:v>1.20236174043892</c:v>
                </c:pt>
                <c:pt idx="112">
                  <c:v>1.1996945836228201</c:v>
                </c:pt>
                <c:pt idx="113">
                  <c:v>1.1950365348795999</c:v>
                </c:pt>
                <c:pt idx="114">
                  <c:v>1.1910677127161999</c:v>
                </c:pt>
                <c:pt idx="115">
                  <c:v>1.1889273474770701</c:v>
                </c:pt>
                <c:pt idx="116">
                  <c:v>1.18812107955737</c:v>
                </c:pt>
                <c:pt idx="117">
                  <c:v>1.18552162909262</c:v>
                </c:pt>
                <c:pt idx="118">
                  <c:v>1.1822279708571299</c:v>
                </c:pt>
                <c:pt idx="119">
                  <c:v>1.17852556900918</c:v>
                </c:pt>
                <c:pt idx="120">
                  <c:v>1.1737989957172501</c:v>
                </c:pt>
                <c:pt idx="121">
                  <c:v>1.16987443673446</c:v>
                </c:pt>
                <c:pt idx="122">
                  <c:v>1.16782023106177</c:v>
                </c:pt>
                <c:pt idx="123">
                  <c:v>1.1670795287243201</c:v>
                </c:pt>
                <c:pt idx="124">
                  <c:v>1.16531397258993</c:v>
                </c:pt>
                <c:pt idx="125">
                  <c:v>1.1618907461982499</c:v>
                </c:pt>
                <c:pt idx="126">
                  <c:v>1.1578653275089601</c:v>
                </c:pt>
                <c:pt idx="127">
                  <c:v>1.1554417001199799</c:v>
                </c:pt>
                <c:pt idx="128">
                  <c:v>1.1544083997583201</c:v>
                </c:pt>
                <c:pt idx="129">
                  <c:v>1.15304450157077</c:v>
                </c:pt>
                <c:pt idx="130">
                  <c:v>1.1496761119958201</c:v>
                </c:pt>
                <c:pt idx="131">
                  <c:v>1.1471475146094301</c:v>
                </c:pt>
                <c:pt idx="132">
                  <c:v>1.1427290751452099</c:v>
                </c:pt>
                <c:pt idx="133">
                  <c:v>1.13801424686956</c:v>
                </c:pt>
                <c:pt idx="134">
                  <c:v>1.1342174510859</c:v>
                </c:pt>
                <c:pt idx="135">
                  <c:v>1.1317883651156699</c:v>
                </c:pt>
                <c:pt idx="136">
                  <c:v>1.1331358961490501</c:v>
                </c:pt>
                <c:pt idx="137">
                  <c:v>1.13322502021445</c:v>
                </c:pt>
                <c:pt idx="138">
                  <c:v>1.1324857326250199</c:v>
                </c:pt>
                <c:pt idx="139">
                  <c:v>1.13095898651089</c:v>
                </c:pt>
                <c:pt idx="140">
                  <c:v>1.13052536246334</c:v>
                </c:pt>
                <c:pt idx="141">
                  <c:v>1.1282225653196101</c:v>
                </c:pt>
                <c:pt idx="142">
                  <c:v>1.12482386692576</c:v>
                </c:pt>
                <c:pt idx="143">
                  <c:v>1.1229957375313799</c:v>
                </c:pt>
                <c:pt idx="144">
                  <c:v>1.12144458240548</c:v>
                </c:pt>
                <c:pt idx="145">
                  <c:v>1.1195376729493201</c:v>
                </c:pt>
                <c:pt idx="146">
                  <c:v>1.1167724504098799</c:v>
                </c:pt>
                <c:pt idx="147">
                  <c:v>1.1142235957523301</c:v>
                </c:pt>
                <c:pt idx="148">
                  <c:v>1.1138295988817699</c:v>
                </c:pt>
                <c:pt idx="149">
                  <c:v>1.1161962786376201</c:v>
                </c:pt>
                <c:pt idx="150">
                  <c:v>1.11903816628075</c:v>
                </c:pt>
                <c:pt idx="151">
                  <c:v>1.12409137006328</c:v>
                </c:pt>
                <c:pt idx="152">
                  <c:v>1.1314236422607</c:v>
                </c:pt>
                <c:pt idx="153">
                  <c:v>1.13803621811983</c:v>
                </c:pt>
                <c:pt idx="154">
                  <c:v>1.1447040090085601</c:v>
                </c:pt>
                <c:pt idx="155">
                  <c:v>1.1508930169848399</c:v>
                </c:pt>
                <c:pt idx="156">
                  <c:v>1.15352650161896</c:v>
                </c:pt>
                <c:pt idx="157">
                  <c:v>1.1571316579376301</c:v>
                </c:pt>
                <c:pt idx="158">
                  <c:v>1.15836791314638</c:v>
                </c:pt>
                <c:pt idx="159">
                  <c:v>1.1588943910145399</c:v>
                </c:pt>
                <c:pt idx="160">
                  <c:v>1.15789761674273</c:v>
                </c:pt>
                <c:pt idx="161">
                  <c:v>1.1548864359887601</c:v>
                </c:pt>
                <c:pt idx="162">
                  <c:v>1.15111152992091</c:v>
                </c:pt>
                <c:pt idx="163">
                  <c:v>1.1476968603169599</c:v>
                </c:pt>
                <c:pt idx="164">
                  <c:v>1.1429572624071</c:v>
                </c:pt>
                <c:pt idx="165">
                  <c:v>1.1379090340826099</c:v>
                </c:pt>
                <c:pt idx="166">
                  <c:v>1.1345213931608999</c:v>
                </c:pt>
                <c:pt idx="167">
                  <c:v>1.1311199024454499</c:v>
                </c:pt>
                <c:pt idx="168">
                  <c:v>1.1290834716771501</c:v>
                </c:pt>
                <c:pt idx="169">
                  <c:v>1.1262731201960201</c:v>
                </c:pt>
                <c:pt idx="170">
                  <c:v>1.12577747926654</c:v>
                </c:pt>
                <c:pt idx="171">
                  <c:v>1.1251560473256199</c:v>
                </c:pt>
                <c:pt idx="172">
                  <c:v>1.1244152543318899</c:v>
                </c:pt>
                <c:pt idx="173">
                  <c:v>1.12315023664344</c:v>
                </c:pt>
                <c:pt idx="174">
                  <c:v>1.1227291063198801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A3-41BA-A07C-EF56428FD411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XAR/ITA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1.18514412064443</c:v>
                </c:pt>
                <c:pt idx="20">
                  <c:v>1.1872119360813</c:v>
                </c:pt>
                <c:pt idx="21">
                  <c:v>1.18911453636662</c:v>
                </c:pt>
                <c:pt idx="22">
                  <c:v>1.18940506915247</c:v>
                </c:pt>
                <c:pt idx="23">
                  <c:v>1.18875000990632</c:v>
                </c:pt>
                <c:pt idx="24">
                  <c:v>1.1878630980561899</c:v>
                </c:pt>
                <c:pt idx="25">
                  <c:v>1.1873434826410301</c:v>
                </c:pt>
                <c:pt idx="26">
                  <c:v>1.1862535220638899</c:v>
                </c:pt>
                <c:pt idx="27">
                  <c:v>1.1847916530286</c:v>
                </c:pt>
                <c:pt idx="28">
                  <c:v>1.1826178389747699</c:v>
                </c:pt>
                <c:pt idx="29">
                  <c:v>1.18024184348743</c:v>
                </c:pt>
                <c:pt idx="30">
                  <c:v>1.1776166098422101</c:v>
                </c:pt>
                <c:pt idx="31">
                  <c:v>1.17582117973333</c:v>
                </c:pt>
                <c:pt idx="32">
                  <c:v>1.17485730531551</c:v>
                </c:pt>
                <c:pt idx="33">
                  <c:v>1.17220851662644</c:v>
                </c:pt>
                <c:pt idx="34">
                  <c:v>1.1697740350485499</c:v>
                </c:pt>
                <c:pt idx="35">
                  <c:v>1.1679694852185301</c:v>
                </c:pt>
                <c:pt idx="36">
                  <c:v>1.16597289846443</c:v>
                </c:pt>
                <c:pt idx="37">
                  <c:v>1.16414837481958</c:v>
                </c:pt>
                <c:pt idx="38">
                  <c:v>1.16250079110812</c:v>
                </c:pt>
                <c:pt idx="39">
                  <c:v>1.16160921450173</c:v>
                </c:pt>
                <c:pt idx="40">
                  <c:v>1.16118085177379</c:v>
                </c:pt>
                <c:pt idx="41">
                  <c:v>1.15994585029216</c:v>
                </c:pt>
                <c:pt idx="42">
                  <c:v>1.15992115046143</c:v>
                </c:pt>
                <c:pt idx="43">
                  <c:v>1.16023875829611</c:v>
                </c:pt>
                <c:pt idx="44">
                  <c:v>1.16034834609325</c:v>
                </c:pt>
                <c:pt idx="45">
                  <c:v>1.1594693963203799</c:v>
                </c:pt>
                <c:pt idx="46">
                  <c:v>1.1593067704091</c:v>
                </c:pt>
                <c:pt idx="47">
                  <c:v>1.15954998026477</c:v>
                </c:pt>
                <c:pt idx="48">
                  <c:v>1.1598120825795699</c:v>
                </c:pt>
                <c:pt idx="49">
                  <c:v>1.1603456579235001</c:v>
                </c:pt>
                <c:pt idx="50">
                  <c:v>1.16169859266404</c:v>
                </c:pt>
                <c:pt idx="51">
                  <c:v>1.1623501307219</c:v>
                </c:pt>
                <c:pt idx="52">
                  <c:v>1.1628847930798301</c:v>
                </c:pt>
                <c:pt idx="53">
                  <c:v>1.1631724430261401</c:v>
                </c:pt>
                <c:pt idx="54">
                  <c:v>1.16421418760117</c:v>
                </c:pt>
                <c:pt idx="55">
                  <c:v>1.16479386389299</c:v>
                </c:pt>
                <c:pt idx="56">
                  <c:v>1.1656602750749201</c:v>
                </c:pt>
                <c:pt idx="57">
                  <c:v>1.1656245211646501</c:v>
                </c:pt>
                <c:pt idx="58">
                  <c:v>1.16556997830215</c:v>
                </c:pt>
                <c:pt idx="59">
                  <c:v>1.16519019797593</c:v>
                </c:pt>
                <c:pt idx="60">
                  <c:v>1.1652094605629699</c:v>
                </c:pt>
                <c:pt idx="61">
                  <c:v>1.1651867531364699</c:v>
                </c:pt>
                <c:pt idx="62">
                  <c:v>1.16560702288768</c:v>
                </c:pt>
                <c:pt idx="63">
                  <c:v>1.1664847636389</c:v>
                </c:pt>
                <c:pt idx="64">
                  <c:v>1.16642004555747</c:v>
                </c:pt>
                <c:pt idx="65">
                  <c:v>1.16695716422402</c:v>
                </c:pt>
                <c:pt idx="66">
                  <c:v>1.1668997881909899</c:v>
                </c:pt>
                <c:pt idx="67">
                  <c:v>1.1671908376684901</c:v>
                </c:pt>
                <c:pt idx="68">
                  <c:v>1.16816100078014</c:v>
                </c:pt>
                <c:pt idx="69">
                  <c:v>1.16871363427271</c:v>
                </c:pt>
                <c:pt idx="70">
                  <c:v>1.1688027402314001</c:v>
                </c:pt>
                <c:pt idx="71">
                  <c:v>1.16976348070967</c:v>
                </c:pt>
                <c:pt idx="72">
                  <c:v>1.1703958056489601</c:v>
                </c:pt>
                <c:pt idx="73">
                  <c:v>1.1718329302555699</c:v>
                </c:pt>
                <c:pt idx="74">
                  <c:v>1.1729369622610899</c:v>
                </c:pt>
                <c:pt idx="75">
                  <c:v>1.17438615594944</c:v>
                </c:pt>
                <c:pt idx="76">
                  <c:v>1.17506098763442</c:v>
                </c:pt>
                <c:pt idx="77">
                  <c:v>1.17609536739896</c:v>
                </c:pt>
                <c:pt idx="78">
                  <c:v>1.1778149563639699</c:v>
                </c:pt>
                <c:pt idx="79">
                  <c:v>1.17930455735512</c:v>
                </c:pt>
                <c:pt idx="80">
                  <c:v>1.1798402377797901</c:v>
                </c:pt>
                <c:pt idx="81">
                  <c:v>1.1810057722954901</c:v>
                </c:pt>
                <c:pt idx="82">
                  <c:v>1.18180509947002</c:v>
                </c:pt>
                <c:pt idx="83">
                  <c:v>1.18269984818465</c:v>
                </c:pt>
                <c:pt idx="84">
                  <c:v>1.1837202895579899</c:v>
                </c:pt>
                <c:pt idx="85">
                  <c:v>1.18502040276445</c:v>
                </c:pt>
                <c:pt idx="86">
                  <c:v>1.1860005631469499</c:v>
                </c:pt>
                <c:pt idx="87">
                  <c:v>1.18706598724311</c:v>
                </c:pt>
                <c:pt idx="88">
                  <c:v>1.1878799645534199</c:v>
                </c:pt>
                <c:pt idx="89">
                  <c:v>1.1887075506337199</c:v>
                </c:pt>
                <c:pt idx="90">
                  <c:v>1.1896820693130501</c:v>
                </c:pt>
                <c:pt idx="91">
                  <c:v>1.1906087337740701</c:v>
                </c:pt>
                <c:pt idx="92">
                  <c:v>1.19103235201905</c:v>
                </c:pt>
                <c:pt idx="93">
                  <c:v>1.1911936102938401</c:v>
                </c:pt>
                <c:pt idx="94">
                  <c:v>1.1906711426744501</c:v>
                </c:pt>
                <c:pt idx="95">
                  <c:v>1.19013510836613</c:v>
                </c:pt>
                <c:pt idx="96">
                  <c:v>1.1901276982122899</c:v>
                </c:pt>
                <c:pt idx="97">
                  <c:v>1.1908725422486</c:v>
                </c:pt>
                <c:pt idx="98">
                  <c:v>1.1914167264664</c:v>
                </c:pt>
                <c:pt idx="99">
                  <c:v>1.19297125938488</c:v>
                </c:pt>
                <c:pt idx="100">
                  <c:v>1.19584244633963</c:v>
                </c:pt>
                <c:pt idx="101">
                  <c:v>1.19772103390305</c:v>
                </c:pt>
                <c:pt idx="102">
                  <c:v>1.19932742461174</c:v>
                </c:pt>
                <c:pt idx="103">
                  <c:v>1.2010551372017899</c:v>
                </c:pt>
                <c:pt idx="104">
                  <c:v>1.2026022292179599</c:v>
                </c:pt>
                <c:pt idx="105">
                  <c:v>1.20333867775491</c:v>
                </c:pt>
                <c:pt idx="106">
                  <c:v>1.20369052308491</c:v>
                </c:pt>
                <c:pt idx="107">
                  <c:v>1.2039618049016001</c:v>
                </c:pt>
                <c:pt idx="108">
                  <c:v>1.2036717825260499</c:v>
                </c:pt>
                <c:pt idx="109">
                  <c:v>1.2034337060895299</c:v>
                </c:pt>
                <c:pt idx="110">
                  <c:v>1.2038399844502501</c:v>
                </c:pt>
                <c:pt idx="111">
                  <c:v>1.20327130107643</c:v>
                </c:pt>
                <c:pt idx="112">
                  <c:v>1.2028274336806399</c:v>
                </c:pt>
                <c:pt idx="113">
                  <c:v>1.2018975261996101</c:v>
                </c:pt>
                <c:pt idx="114">
                  <c:v>1.20128977834096</c:v>
                </c:pt>
                <c:pt idx="115">
                  <c:v>1.2010887316619101</c:v>
                </c:pt>
                <c:pt idx="116">
                  <c:v>1.2003979113443599</c:v>
                </c:pt>
                <c:pt idx="117">
                  <c:v>1.1985824393351501</c:v>
                </c:pt>
                <c:pt idx="118">
                  <c:v>1.1959946462995701</c:v>
                </c:pt>
                <c:pt idx="119">
                  <c:v>1.1929468801018199</c:v>
                </c:pt>
                <c:pt idx="120">
                  <c:v>1.1893660627990199</c:v>
                </c:pt>
                <c:pt idx="121">
                  <c:v>1.18611808858669</c:v>
                </c:pt>
                <c:pt idx="122">
                  <c:v>1.1837574073422901</c:v>
                </c:pt>
                <c:pt idx="123">
                  <c:v>1.1810580318019599</c:v>
                </c:pt>
                <c:pt idx="124">
                  <c:v>1.1781908426530701</c:v>
                </c:pt>
                <c:pt idx="125">
                  <c:v>1.1754090468376599</c:v>
                </c:pt>
                <c:pt idx="126">
                  <c:v>1.1729932035331601</c:v>
                </c:pt>
                <c:pt idx="127">
                  <c:v>1.1704816646063001</c:v>
                </c:pt>
                <c:pt idx="128">
                  <c:v>1.16831818530773</c:v>
                </c:pt>
                <c:pt idx="129">
                  <c:v>1.1657850352899799</c:v>
                </c:pt>
                <c:pt idx="130">
                  <c:v>1.16173755385654</c:v>
                </c:pt>
                <c:pt idx="131">
                  <c:v>1.1585109756719401</c:v>
                </c:pt>
                <c:pt idx="132">
                  <c:v>1.1552746531034901</c:v>
                </c:pt>
                <c:pt idx="133">
                  <c:v>1.15254688779694</c:v>
                </c:pt>
                <c:pt idx="134">
                  <c:v>1.1497657118379101</c:v>
                </c:pt>
                <c:pt idx="135">
                  <c:v>1.1468395556569599</c:v>
                </c:pt>
                <c:pt idx="136">
                  <c:v>1.1455006118290101</c:v>
                </c:pt>
                <c:pt idx="137">
                  <c:v>1.1443333601672201</c:v>
                </c:pt>
                <c:pt idx="138">
                  <c:v>1.14344706619167</c:v>
                </c:pt>
                <c:pt idx="139">
                  <c:v>1.1420017440408301</c:v>
                </c:pt>
                <c:pt idx="140">
                  <c:v>1.1401007372295799</c:v>
                </c:pt>
                <c:pt idx="141">
                  <c:v>1.13768503996452</c:v>
                </c:pt>
                <c:pt idx="142">
                  <c:v>1.1337764710354801</c:v>
                </c:pt>
                <c:pt idx="143">
                  <c:v>1.13050499220047</c:v>
                </c:pt>
                <c:pt idx="144">
                  <c:v>1.12783101674569</c:v>
                </c:pt>
                <c:pt idx="145">
                  <c:v>1.1256630190325001</c:v>
                </c:pt>
                <c:pt idx="146">
                  <c:v>1.1249541732794599</c:v>
                </c:pt>
                <c:pt idx="147">
                  <c:v>1.1237243079833901</c:v>
                </c:pt>
                <c:pt idx="148">
                  <c:v>1.1231576657533899</c:v>
                </c:pt>
                <c:pt idx="149">
                  <c:v>1.1235776325742599</c:v>
                </c:pt>
                <c:pt idx="150">
                  <c:v>1.1247817643720499</c:v>
                </c:pt>
                <c:pt idx="151">
                  <c:v>1.12615696769144</c:v>
                </c:pt>
                <c:pt idx="152">
                  <c:v>1.1281237545932301</c:v>
                </c:pt>
                <c:pt idx="153">
                  <c:v>1.1305159778256</c:v>
                </c:pt>
                <c:pt idx="154">
                  <c:v>1.1330742957070199</c:v>
                </c:pt>
                <c:pt idx="155">
                  <c:v>1.1352153449670801</c:v>
                </c:pt>
                <c:pt idx="156">
                  <c:v>1.1351494760144201</c:v>
                </c:pt>
                <c:pt idx="157">
                  <c:v>1.13567762684498</c:v>
                </c:pt>
                <c:pt idx="158">
                  <c:v>1.1360987560140801</c:v>
                </c:pt>
                <c:pt idx="159">
                  <c:v>1.13754533482608</c:v>
                </c:pt>
                <c:pt idx="160">
                  <c:v>1.1384678915117401</c:v>
                </c:pt>
                <c:pt idx="161">
                  <c:v>1.13948890302602</c:v>
                </c:pt>
                <c:pt idx="162">
                  <c:v>1.1412675860907999</c:v>
                </c:pt>
                <c:pt idx="163">
                  <c:v>1.1428665392183901</c:v>
                </c:pt>
                <c:pt idx="164">
                  <c:v>1.1438306357078301</c:v>
                </c:pt>
                <c:pt idx="165">
                  <c:v>1.14440102553372</c:v>
                </c:pt>
                <c:pt idx="166">
                  <c:v>1.1440239473899301</c:v>
                </c:pt>
                <c:pt idx="167">
                  <c:v>1.1441257801915401</c:v>
                </c:pt>
                <c:pt idx="168">
                  <c:v>1.14372569241177</c:v>
                </c:pt>
                <c:pt idx="169">
                  <c:v>1.14258375560528</c:v>
                </c:pt>
                <c:pt idx="170">
                  <c:v>1.1418375480046401</c:v>
                </c:pt>
                <c:pt idx="171">
                  <c:v>1.14002124165719</c:v>
                </c:pt>
                <c:pt idx="172">
                  <c:v>1.1377633921264001</c:v>
                </c:pt>
                <c:pt idx="173">
                  <c:v>1.1354235484802</c:v>
                </c:pt>
                <c:pt idx="174">
                  <c:v>1.1328431843634901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A3-41BA-A07C-EF56428FD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log diff ITA* x avg / XAR*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Sheet1!$AE$2:$AE$176</c:f>
              <c:numCache>
                <c:formatCode>0.0000%</c:formatCode>
                <c:ptCount val="175"/>
                <c:pt idx="1">
                  <c:v>1.3782497018065099E-2</c:v>
                </c:pt>
                <c:pt idx="2">
                  <c:v>8.0829378369127805E-3</c:v>
                </c:pt>
                <c:pt idx="3">
                  <c:v>4.7533862968065204E-3</c:v>
                </c:pt>
                <c:pt idx="4">
                  <c:v>-1.3677103678410201E-2</c:v>
                </c:pt>
                <c:pt idx="5">
                  <c:v>-1.8731418817057099E-2</c:v>
                </c:pt>
                <c:pt idx="6">
                  <c:v>-1.8763218826327799E-2</c:v>
                </c:pt>
                <c:pt idx="7">
                  <c:v>-1.6471805253162001E-2</c:v>
                </c:pt>
                <c:pt idx="8">
                  <c:v>-2.4768613154851099E-2</c:v>
                </c:pt>
                <c:pt idx="9">
                  <c:v>-2.93769175319703E-2</c:v>
                </c:pt>
                <c:pt idx="10">
                  <c:v>-2.9983772055102199E-2</c:v>
                </c:pt>
                <c:pt idx="11">
                  <c:v>-2.4259152937357E-2</c:v>
                </c:pt>
                <c:pt idx="12">
                  <c:v>-1.8807200951990299E-2</c:v>
                </c:pt>
                <c:pt idx="13">
                  <c:v>-3.7887134036404403E-2</c:v>
                </c:pt>
                <c:pt idx="14">
                  <c:v>-3.3123482520685102E-2</c:v>
                </c:pt>
                <c:pt idx="15">
                  <c:v>-2.90813772325497E-2</c:v>
                </c:pt>
                <c:pt idx="16">
                  <c:v>-3.16897053154288E-2</c:v>
                </c:pt>
                <c:pt idx="17">
                  <c:v>-3.3309720583390802E-2</c:v>
                </c:pt>
                <c:pt idx="18">
                  <c:v>-2.41276055474667E-2</c:v>
                </c:pt>
                <c:pt idx="19">
                  <c:v>-7.8753883418855308E-3</c:v>
                </c:pt>
                <c:pt idx="20">
                  <c:v>-3.2724340276835901E-3</c:v>
                </c:pt>
                <c:pt idx="21">
                  <c:v>-1.8785566220611099E-2</c:v>
                </c:pt>
                <c:pt idx="22">
                  <c:v>3.06914588312976E-3</c:v>
                </c:pt>
                <c:pt idx="23">
                  <c:v>1.61128877422985E-2</c:v>
                </c:pt>
                <c:pt idx="24">
                  <c:v>1.45054128941965E-3</c:v>
                </c:pt>
                <c:pt idx="25">
                  <c:v>-9.9411037731826392E-3</c:v>
                </c:pt>
                <c:pt idx="26">
                  <c:v>-2.3519518161568801E-4</c:v>
                </c:pt>
                <c:pt idx="27">
                  <c:v>8.5155016389449698E-3</c:v>
                </c:pt>
                <c:pt idx="28">
                  <c:v>1.2302924929728801E-2</c:v>
                </c:pt>
                <c:pt idx="29">
                  <c:v>1.1023006376786999E-2</c:v>
                </c:pt>
                <c:pt idx="30">
                  <c:v>1.4722433346923599E-2</c:v>
                </c:pt>
                <c:pt idx="31">
                  <c:v>6.2757509387963801E-3</c:v>
                </c:pt>
                <c:pt idx="32">
                  <c:v>-2.4408590178349701E-3</c:v>
                </c:pt>
                <c:pt idx="33">
                  <c:v>6.8661511939329704E-3</c:v>
                </c:pt>
                <c:pt idx="34">
                  <c:v>8.1336644985317303E-3</c:v>
                </c:pt>
                <c:pt idx="35">
                  <c:v>1.46110315565083E-3</c:v>
                </c:pt>
                <c:pt idx="36">
                  <c:v>2.0689760702844598E-3</c:v>
                </c:pt>
                <c:pt idx="37">
                  <c:v>-2.5562483729883799E-3</c:v>
                </c:pt>
                <c:pt idx="38">
                  <c:v>3.8610775562184499E-3</c:v>
                </c:pt>
                <c:pt idx="39">
                  <c:v>7.4215974113304899E-3</c:v>
                </c:pt>
                <c:pt idx="40">
                  <c:v>4.0817825587004704E-3</c:v>
                </c:pt>
                <c:pt idx="41">
                  <c:v>2.2335881020227101E-3</c:v>
                </c:pt>
                <c:pt idx="42">
                  <c:v>3.4944202486003502E-3</c:v>
                </c:pt>
                <c:pt idx="43">
                  <c:v>1.0589075810747001E-2</c:v>
                </c:pt>
                <c:pt idx="44">
                  <c:v>-4.3108545079672498E-4</c:v>
                </c:pt>
                <c:pt idx="45">
                  <c:v>5.1062473972191503E-3</c:v>
                </c:pt>
                <c:pt idx="46">
                  <c:v>2.5589190886839901E-3</c:v>
                </c:pt>
                <c:pt idx="47">
                  <c:v>4.3148477747983896E-3</c:v>
                </c:pt>
                <c:pt idx="48">
                  <c:v>7.7595668254211896E-3</c:v>
                </c:pt>
                <c:pt idx="49">
                  <c:v>1.8072657001677601E-3</c:v>
                </c:pt>
                <c:pt idx="50">
                  <c:v>-7.9171886593626603E-3</c:v>
                </c:pt>
                <c:pt idx="51">
                  <c:v>-4.2593905243156396E-3</c:v>
                </c:pt>
                <c:pt idx="52">
                  <c:v>-1.08868808133893E-2</c:v>
                </c:pt>
                <c:pt idx="53">
                  <c:v>2.5877054726234899E-3</c:v>
                </c:pt>
                <c:pt idx="54">
                  <c:v>-9.4774175088078606E-3</c:v>
                </c:pt>
                <c:pt idx="55">
                  <c:v>-8.1997755270547795E-3</c:v>
                </c:pt>
                <c:pt idx="56">
                  <c:v>-1.2470087237958999E-2</c:v>
                </c:pt>
                <c:pt idx="57">
                  <c:v>-1.6916146906942799E-3</c:v>
                </c:pt>
                <c:pt idx="58">
                  <c:v>5.0553627159100603E-3</c:v>
                </c:pt>
                <c:pt idx="59">
                  <c:v>1.42656163025129E-2</c:v>
                </c:pt>
                <c:pt idx="60">
                  <c:v>4.0014264397092696E-3</c:v>
                </c:pt>
                <c:pt idx="61">
                  <c:v>2.8707240261850102E-3</c:v>
                </c:pt>
                <c:pt idx="62">
                  <c:v>-3.4659744416081499E-3</c:v>
                </c:pt>
                <c:pt idx="63">
                  <c:v>-4.27189530540527E-3</c:v>
                </c:pt>
                <c:pt idx="64">
                  <c:v>9.2740930103119804E-4</c:v>
                </c:pt>
                <c:pt idx="65">
                  <c:v>-3.8757061406892199E-3</c:v>
                </c:pt>
                <c:pt idx="66">
                  <c:v>3.7840612958182601E-3</c:v>
                </c:pt>
                <c:pt idx="67">
                  <c:v>-4.4754827934267299E-4</c:v>
                </c:pt>
                <c:pt idx="68">
                  <c:v>-8.6386488983628499E-3</c:v>
                </c:pt>
                <c:pt idx="69">
                  <c:v>-7.4106082622985804E-3</c:v>
                </c:pt>
                <c:pt idx="70">
                  <c:v>-9.8409226920171192E-3</c:v>
                </c:pt>
                <c:pt idx="71">
                  <c:v>-2.0936074766858902E-2</c:v>
                </c:pt>
                <c:pt idx="72">
                  <c:v>-2.1974245727343699E-2</c:v>
                </c:pt>
                <c:pt idx="73">
                  <c:v>-2.22535911134648E-2</c:v>
                </c:pt>
                <c:pt idx="74">
                  <c:v>-2.8058596100605002E-2</c:v>
                </c:pt>
                <c:pt idx="75">
                  <c:v>-3.2546867912705599E-2</c:v>
                </c:pt>
                <c:pt idx="76">
                  <c:v>-2.3827206363864602E-2</c:v>
                </c:pt>
                <c:pt idx="77">
                  <c:v>-1.9240548932611401E-2</c:v>
                </c:pt>
                <c:pt idx="78">
                  <c:v>-2.4153058059231399E-2</c:v>
                </c:pt>
                <c:pt idx="79">
                  <c:v>-1.13232329532962E-2</c:v>
                </c:pt>
                <c:pt idx="80">
                  <c:v>-5.1730215302532101E-3</c:v>
                </c:pt>
                <c:pt idx="81">
                  <c:v>-1.6971094089344298E-2</c:v>
                </c:pt>
                <c:pt idx="82">
                  <c:v>-1.70275197942691E-2</c:v>
                </c:pt>
                <c:pt idx="83">
                  <c:v>-1.9422778062548898E-2</c:v>
                </c:pt>
                <c:pt idx="84">
                  <c:v>-1.6428027648360599E-2</c:v>
                </c:pt>
                <c:pt idx="85">
                  <c:v>-2.5833724192649801E-2</c:v>
                </c:pt>
                <c:pt idx="86">
                  <c:v>-1.2938580317585E-2</c:v>
                </c:pt>
                <c:pt idx="87">
                  <c:v>-1.8539758530884201E-2</c:v>
                </c:pt>
                <c:pt idx="88">
                  <c:v>-2.23760547804134E-2</c:v>
                </c:pt>
                <c:pt idx="89">
                  <c:v>-2.1389957152033099E-2</c:v>
                </c:pt>
                <c:pt idx="90">
                  <c:v>-2.62459149850231E-2</c:v>
                </c:pt>
                <c:pt idx="91">
                  <c:v>-3.63739824535338E-2</c:v>
                </c:pt>
                <c:pt idx="92">
                  <c:v>-2.90393829642718E-2</c:v>
                </c:pt>
                <c:pt idx="93">
                  <c:v>-2.49415316198166E-2</c:v>
                </c:pt>
                <c:pt idx="94">
                  <c:v>-1.9302593640202599E-2</c:v>
                </c:pt>
                <c:pt idx="95">
                  <c:v>-2.3613587216205101E-2</c:v>
                </c:pt>
                <c:pt idx="96">
                  <c:v>-2.37078715348184E-2</c:v>
                </c:pt>
                <c:pt idx="97">
                  <c:v>-3.17042890237621E-2</c:v>
                </c:pt>
                <c:pt idx="98">
                  <c:v>-3.3237349103629597E-2</c:v>
                </c:pt>
                <c:pt idx="99">
                  <c:v>-3.7357653636644901E-2</c:v>
                </c:pt>
                <c:pt idx="100">
                  <c:v>-5.3022298131290203E-2</c:v>
                </c:pt>
                <c:pt idx="101">
                  <c:v>-4.8173989882409701E-2</c:v>
                </c:pt>
                <c:pt idx="102">
                  <c:v>-4.3766924335032098E-2</c:v>
                </c:pt>
                <c:pt idx="103">
                  <c:v>-4.8084638247374203E-2</c:v>
                </c:pt>
                <c:pt idx="104">
                  <c:v>-4.2204075596113298E-2</c:v>
                </c:pt>
                <c:pt idx="105">
                  <c:v>-3.8075642265571703E-2</c:v>
                </c:pt>
                <c:pt idx="106">
                  <c:v>-1.8885129397312499E-2</c:v>
                </c:pt>
                <c:pt idx="107">
                  <c:v>-2.31005708692366E-2</c:v>
                </c:pt>
                <c:pt idx="108">
                  <c:v>-1.7505303316713801E-2</c:v>
                </c:pt>
                <c:pt idx="109">
                  <c:v>-1.7384813532892202E-2</c:v>
                </c:pt>
                <c:pt idx="110">
                  <c:v>-3.3021424706433697E-2</c:v>
                </c:pt>
                <c:pt idx="111">
                  <c:v>-2.6935386264985602E-2</c:v>
                </c:pt>
                <c:pt idx="112">
                  <c:v>-2.0951783101056699E-2</c:v>
                </c:pt>
                <c:pt idx="113">
                  <c:v>-8.6029561163937594E-3</c:v>
                </c:pt>
                <c:pt idx="114">
                  <c:v>-8.3795718218060596E-3</c:v>
                </c:pt>
                <c:pt idx="115">
                  <c:v>-1.9573555021369701E-2</c:v>
                </c:pt>
                <c:pt idx="116">
                  <c:v>-1.1612528921044E-2</c:v>
                </c:pt>
                <c:pt idx="117">
                  <c:v>-6.1959351811826703E-4</c:v>
                </c:pt>
                <c:pt idx="118">
                  <c:v>1.1099394779369999E-2</c:v>
                </c:pt>
                <c:pt idx="119">
                  <c:v>1.47619254833619E-2</c:v>
                </c:pt>
                <c:pt idx="120">
                  <c:v>7.4466201239466196E-3</c:v>
                </c:pt>
                <c:pt idx="121">
                  <c:v>6.8272884597483097E-3</c:v>
                </c:pt>
                <c:pt idx="122">
                  <c:v>-3.80033145159371E-3</c:v>
                </c:pt>
                <c:pt idx="123">
                  <c:v>-2.5231728999164098E-3</c:v>
                </c:pt>
                <c:pt idx="124">
                  <c:v>6.5033406566300201E-3</c:v>
                </c:pt>
                <c:pt idx="125">
                  <c:v>9.3583310351902007E-3</c:v>
                </c:pt>
                <c:pt idx="126">
                  <c:v>2.3051647713136801E-2</c:v>
                </c:pt>
                <c:pt idx="127">
                  <c:v>2.0343893219703799E-2</c:v>
                </c:pt>
                <c:pt idx="128">
                  <c:v>2.0083264887660299E-2</c:v>
                </c:pt>
                <c:pt idx="129">
                  <c:v>2.6689481429191399E-2</c:v>
                </c:pt>
                <c:pt idx="130">
                  <c:v>3.6963124707548999E-2</c:v>
                </c:pt>
                <c:pt idx="131">
                  <c:v>2.88967724967901E-2</c:v>
                </c:pt>
                <c:pt idx="132">
                  <c:v>3.4666543119282502E-2</c:v>
                </c:pt>
                <c:pt idx="133">
                  <c:v>3.8650563745528499E-2</c:v>
                </c:pt>
                <c:pt idx="134">
                  <c:v>3.9850272856792698E-2</c:v>
                </c:pt>
                <c:pt idx="135">
                  <c:v>3.0655212952824001E-2</c:v>
                </c:pt>
                <c:pt idx="136">
                  <c:v>1.1348549927309499E-2</c:v>
                </c:pt>
                <c:pt idx="137">
                  <c:v>1.9589800874050999E-2</c:v>
                </c:pt>
                <c:pt idx="138">
                  <c:v>2.6571940440220598E-2</c:v>
                </c:pt>
                <c:pt idx="139">
                  <c:v>4.0214693858979897E-2</c:v>
                </c:pt>
                <c:pt idx="140">
                  <c:v>4.0801640960518901E-2</c:v>
                </c:pt>
                <c:pt idx="141">
                  <c:v>4.93908587659979E-2</c:v>
                </c:pt>
                <c:pt idx="142">
                  <c:v>6.5282471862959698E-2</c:v>
                </c:pt>
                <c:pt idx="143">
                  <c:v>5.5046356195855399E-2</c:v>
                </c:pt>
                <c:pt idx="144">
                  <c:v>5.3753544986907299E-2</c:v>
                </c:pt>
                <c:pt idx="145">
                  <c:v>4.7600296273638598E-2</c:v>
                </c:pt>
                <c:pt idx="146">
                  <c:v>3.5547529459129701E-2</c:v>
                </c:pt>
                <c:pt idx="147">
                  <c:v>4.2056888804115698E-2</c:v>
                </c:pt>
                <c:pt idx="148">
                  <c:v>3.0013341581102301E-2</c:v>
                </c:pt>
                <c:pt idx="149">
                  <c:v>1.9292540805100199E-2</c:v>
                </c:pt>
                <c:pt idx="150">
                  <c:v>1.5730800998469699E-2</c:v>
                </c:pt>
                <c:pt idx="151">
                  <c:v>4.8803580605838197E-3</c:v>
                </c:pt>
                <c:pt idx="152">
                  <c:v>3.2257614452822498E-4</c:v>
                </c:pt>
                <c:pt idx="153">
                  <c:v>-3.1340016390570299E-3</c:v>
                </c:pt>
                <c:pt idx="154">
                  <c:v>-4.8301889668802304E-3</c:v>
                </c:pt>
                <c:pt idx="155">
                  <c:v>-6.5450783050687699E-3</c:v>
                </c:pt>
                <c:pt idx="156">
                  <c:v>1.24275283891089E-2</c:v>
                </c:pt>
                <c:pt idx="157">
                  <c:v>1.0358263106210399E-2</c:v>
                </c:pt>
                <c:pt idx="158">
                  <c:v>1.91892656317252E-2</c:v>
                </c:pt>
                <c:pt idx="159">
                  <c:v>1.4740184147890099E-2</c:v>
                </c:pt>
                <c:pt idx="160">
                  <c:v>2.4495374343430101E-2</c:v>
                </c:pt>
                <c:pt idx="161">
                  <c:v>3.1202389260097399E-2</c:v>
                </c:pt>
                <c:pt idx="162">
                  <c:v>3.3260026022249603E-2</c:v>
                </c:pt>
                <c:pt idx="163">
                  <c:v>2.6514204529894499E-2</c:v>
                </c:pt>
                <c:pt idx="164">
                  <c:v>3.6487513306602097E-2</c:v>
                </c:pt>
                <c:pt idx="165">
                  <c:v>3.7450275543076797E-2</c:v>
                </c:pt>
                <c:pt idx="166">
                  <c:v>4.2337954090921899E-2</c:v>
                </c:pt>
                <c:pt idx="167">
                  <c:v>4.0320038970279998E-2</c:v>
                </c:pt>
                <c:pt idx="168">
                  <c:v>3.7172775292921303E-2</c:v>
                </c:pt>
                <c:pt idx="169">
                  <c:v>3.9519079184575603E-2</c:v>
                </c:pt>
                <c:pt idx="170">
                  <c:v>2.88879054171951E-2</c:v>
                </c:pt>
                <c:pt idx="171">
                  <c:v>3.67576882751703E-2</c:v>
                </c:pt>
                <c:pt idx="172">
                  <c:v>3.9900232754544199E-2</c:v>
                </c:pt>
                <c:pt idx="173">
                  <c:v>3.7755528245328601E-2</c:v>
                </c:pt>
                <c:pt idx="174">
                  <c:v>4.0288076002617801E-2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4-488D-9D2C-559117138431}"/>
            </c:ext>
          </c:extLst>
        </c:ser>
        <c:ser>
          <c:idx val="1"/>
          <c:order val="1"/>
          <c:tx>
            <c:strRef>
              <c:f>Sheet1!$AF$1</c:f>
              <c:strCache>
                <c:ptCount val="1"/>
                <c:pt idx="0">
                  <c:v>log diff ITA* x 10 dma / XAR*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-2.3561523503145498E-2</c:v>
                </c:pt>
                <c:pt idx="11">
                  <c:v>-1.16316608152074E-2</c:v>
                </c:pt>
                <c:pt idx="12">
                  <c:v>-2.4104347818399499E-3</c:v>
                </c:pt>
                <c:pt idx="13">
                  <c:v>-1.8834313472415699E-2</c:v>
                </c:pt>
                <c:pt idx="14">
                  <c:v>-9.8258964968477094E-3</c:v>
                </c:pt>
                <c:pt idx="15">
                  <c:v>-3.84081174941725E-3</c:v>
                </c:pt>
                <c:pt idx="16">
                  <c:v>-5.4160531322068398E-3</c:v>
                </c:pt>
                <c:pt idx="17">
                  <c:v>-5.7455967181514796E-3</c:v>
                </c:pt>
                <c:pt idx="18">
                  <c:v>5.1144258431680004E-3</c:v>
                </c:pt>
                <c:pt idx="19">
                  <c:v>2.1302846810635601E-2</c:v>
                </c:pt>
                <c:pt idx="20">
                  <c:v>2.3775909917215801E-2</c:v>
                </c:pt>
                <c:pt idx="21">
                  <c:v>5.6157543991651E-3</c:v>
                </c:pt>
                <c:pt idx="22">
                  <c:v>2.6924531712721599E-2</c:v>
                </c:pt>
                <c:pt idx="23">
                  <c:v>3.7812969212119102E-2</c:v>
                </c:pt>
                <c:pt idx="24">
                  <c:v>1.7793724368150601E-2</c:v>
                </c:pt>
                <c:pt idx="25">
                  <c:v>2.9402711226822901E-3</c:v>
                </c:pt>
                <c:pt idx="26">
                  <c:v>1.07175324090253E-2</c:v>
                </c:pt>
                <c:pt idx="27">
                  <c:v>1.6301842804893101E-2</c:v>
                </c:pt>
                <c:pt idx="28">
                  <c:v>1.58782545510417E-2</c:v>
                </c:pt>
                <c:pt idx="29">
                  <c:v>1.0939873185677599E-2</c:v>
                </c:pt>
                <c:pt idx="30">
                  <c:v>1.27504649152517E-2</c:v>
                </c:pt>
                <c:pt idx="31">
                  <c:v>2.5094035184647099E-3</c:v>
                </c:pt>
                <c:pt idx="32">
                  <c:v>-8.7418547547523599E-3</c:v>
                </c:pt>
                <c:pt idx="33">
                  <c:v>1.1193117282432899E-3</c:v>
                </c:pt>
                <c:pt idx="34">
                  <c:v>3.3057847033073902E-3</c:v>
                </c:pt>
                <c:pt idx="35">
                  <c:v>-4.0353375518848702E-3</c:v>
                </c:pt>
                <c:pt idx="36">
                  <c:v>-4.5795108305531299E-3</c:v>
                </c:pt>
                <c:pt idx="37">
                  <c:v>-9.4365037564799106E-3</c:v>
                </c:pt>
                <c:pt idx="38">
                  <c:v>-1.9082873039490899E-3</c:v>
                </c:pt>
                <c:pt idx="39">
                  <c:v>2.49411527008716E-3</c:v>
                </c:pt>
                <c:pt idx="40">
                  <c:v>-4.8716619648040403E-4</c:v>
                </c:pt>
                <c:pt idx="41">
                  <c:v>-1.27698124772583E-3</c:v>
                </c:pt>
                <c:pt idx="42">
                  <c:v>3.87685239919054E-4</c:v>
                </c:pt>
                <c:pt idx="43">
                  <c:v>6.8871016302998397E-3</c:v>
                </c:pt>
                <c:pt idx="44">
                  <c:v>-4.5035546176456004E-3</c:v>
                </c:pt>
                <c:pt idx="45">
                  <c:v>1.8900785696424E-3</c:v>
                </c:pt>
                <c:pt idx="46">
                  <c:v>-1.0218062012303799E-3</c:v>
                </c:pt>
                <c:pt idx="47">
                  <c:v>6.85064875031533E-4</c:v>
                </c:pt>
                <c:pt idx="48">
                  <c:v>3.44054299864535E-3</c:v>
                </c:pt>
                <c:pt idx="49">
                  <c:v>-2.9011021368030901E-3</c:v>
                </c:pt>
                <c:pt idx="50">
                  <c:v>-1.2064227421008201E-2</c:v>
                </c:pt>
                <c:pt idx="51">
                  <c:v>-7.1999538288100599E-3</c:v>
                </c:pt>
                <c:pt idx="52">
                  <c:v>-1.31757854288399E-2</c:v>
                </c:pt>
                <c:pt idx="53">
                  <c:v>1.74453107164465E-3</c:v>
                </c:pt>
                <c:pt idx="54">
                  <c:v>-9.5253528204792496E-3</c:v>
                </c:pt>
                <c:pt idx="55">
                  <c:v>-7.3389510990666002E-3</c:v>
                </c:pt>
                <c:pt idx="56">
                  <c:v>-1.0278623362323099E-2</c:v>
                </c:pt>
                <c:pt idx="57">
                  <c:v>2.0057894482129698E-3</c:v>
                </c:pt>
                <c:pt idx="58">
                  <c:v>9.35023435366702E-3</c:v>
                </c:pt>
                <c:pt idx="59">
                  <c:v>1.8827993951482699E-2</c:v>
                </c:pt>
                <c:pt idx="60">
                  <c:v>7.3328012872980897E-3</c:v>
                </c:pt>
                <c:pt idx="61">
                  <c:v>5.0111573202097697E-3</c:v>
                </c:pt>
                <c:pt idx="62">
                  <c:v>-2.0377773500718701E-3</c:v>
                </c:pt>
                <c:pt idx="63">
                  <c:v>-3.5903472283858001E-3</c:v>
                </c:pt>
                <c:pt idx="64">
                  <c:v>2.2947936990138202E-3</c:v>
                </c:pt>
                <c:pt idx="65">
                  <c:v>-3.5523837043469901E-3</c:v>
                </c:pt>
                <c:pt idx="66">
                  <c:v>3.67240383701523E-3</c:v>
                </c:pt>
                <c:pt idx="67">
                  <c:v>-2.1932296935825899E-3</c:v>
                </c:pt>
                <c:pt idx="68">
                  <c:v>-1.0509095475502E-2</c:v>
                </c:pt>
                <c:pt idx="69">
                  <c:v>-7.9075625478165594E-3</c:v>
                </c:pt>
                <c:pt idx="70">
                  <c:v>-8.1788875309513395E-3</c:v>
                </c:pt>
                <c:pt idx="71">
                  <c:v>-1.7889011156660601E-2</c:v>
                </c:pt>
                <c:pt idx="72">
                  <c:v>-1.6535016632866498E-2</c:v>
                </c:pt>
                <c:pt idx="73">
                  <c:v>-1.49517192480445E-2</c:v>
                </c:pt>
                <c:pt idx="74">
                  <c:v>-1.8949413785998199E-2</c:v>
                </c:pt>
                <c:pt idx="75">
                  <c:v>-2.0530267587783198E-2</c:v>
                </c:pt>
                <c:pt idx="76">
                  <c:v>-8.9297287505390802E-3</c:v>
                </c:pt>
                <c:pt idx="77">
                  <c:v>-1.5990557491972299E-3</c:v>
                </c:pt>
                <c:pt idx="78">
                  <c:v>-4.6485705774437901E-3</c:v>
                </c:pt>
                <c:pt idx="79">
                  <c:v>9.7267007648351791E-3</c:v>
                </c:pt>
                <c:pt idx="80">
                  <c:v>1.62635556214565E-2</c:v>
                </c:pt>
                <c:pt idx="81">
                  <c:v>4.0050436672543401E-3</c:v>
                </c:pt>
                <c:pt idx="82">
                  <c:v>3.5528424546354899E-3</c:v>
                </c:pt>
                <c:pt idx="83">
                  <c:v>6.6332266293155496E-4</c:v>
                </c:pt>
                <c:pt idx="84">
                  <c:v>3.3747385610429599E-3</c:v>
                </c:pt>
                <c:pt idx="85">
                  <c:v>-7.1975435561038503E-3</c:v>
                </c:pt>
                <c:pt idx="86">
                  <c:v>5.0189317797258203E-3</c:v>
                </c:pt>
                <c:pt idx="87">
                  <c:v>-1.6721714523734699E-3</c:v>
                </c:pt>
                <c:pt idx="88">
                  <c:v>-5.5786910920821E-3</c:v>
                </c:pt>
                <c:pt idx="89">
                  <c:v>-4.7714627576882903E-3</c:v>
                </c:pt>
                <c:pt idx="90">
                  <c:v>-8.6215136276945794E-3</c:v>
                </c:pt>
                <c:pt idx="91">
                  <c:v>-1.66484931233324E-2</c:v>
                </c:pt>
                <c:pt idx="92">
                  <c:v>-7.3619542124369096E-3</c:v>
                </c:pt>
                <c:pt idx="93">
                  <c:v>-2.0620021917207398E-3</c:v>
                </c:pt>
                <c:pt idx="94">
                  <c:v>4.1282750983405898E-3</c:v>
                </c:pt>
                <c:pt idx="95">
                  <c:v>1.03101956787629E-4</c:v>
                </c:pt>
                <c:pt idx="96">
                  <c:v>-2.1344447646564799E-4</c:v>
                </c:pt>
                <c:pt idx="97">
                  <c:v>-7.1390558265791697E-3</c:v>
                </c:pt>
                <c:pt idx="98">
                  <c:v>-7.3557868942312104E-3</c:v>
                </c:pt>
                <c:pt idx="99">
                  <c:v>-1.03884553716407E-2</c:v>
                </c:pt>
                <c:pt idx="100">
                  <c:v>-2.4453748633966401E-2</c:v>
                </c:pt>
                <c:pt idx="101">
                  <c:v>-1.6901585799953801E-2</c:v>
                </c:pt>
                <c:pt idx="102">
                  <c:v>-1.1302170171719099E-2</c:v>
                </c:pt>
                <c:pt idx="103">
                  <c:v>-1.41423968752725E-2</c:v>
                </c:pt>
                <c:pt idx="104">
                  <c:v>-5.9442021799726097E-3</c:v>
                </c:pt>
                <c:pt idx="105">
                  <c:v>4.5926313729871001E-4</c:v>
                </c:pt>
                <c:pt idx="106">
                  <c:v>2.1083886104077899E-2</c:v>
                </c:pt>
                <c:pt idx="107">
                  <c:v>1.63949796106234E-2</c:v>
                </c:pt>
                <c:pt idx="108">
                  <c:v>2.1139853164397999E-2</c:v>
                </c:pt>
                <c:pt idx="109">
                  <c:v>1.9706660486858499E-2</c:v>
                </c:pt>
                <c:pt idx="110">
                  <c:v>2.0900936379600202E-3</c:v>
                </c:pt>
                <c:pt idx="111">
                  <c:v>6.1580921421049099E-3</c:v>
                </c:pt>
                <c:pt idx="112">
                  <c:v>1.0006019762619899E-2</c:v>
                </c:pt>
                <c:pt idx="113">
                  <c:v>2.0067469116228101E-2</c:v>
                </c:pt>
                <c:pt idx="114">
                  <c:v>1.6335907716684101E-2</c:v>
                </c:pt>
                <c:pt idx="115">
                  <c:v>1.75162219753059E-3</c:v>
                </c:pt>
                <c:pt idx="116">
                  <c:v>7.84674561541902E-3</c:v>
                </c:pt>
                <c:pt idx="117">
                  <c:v>1.8115212662257098E-2</c:v>
                </c:pt>
                <c:pt idx="118">
                  <c:v>2.7598961969968298E-2</c:v>
                </c:pt>
                <c:pt idx="119">
                  <c:v>2.8434717875431399E-2</c:v>
                </c:pt>
                <c:pt idx="120">
                  <c:v>1.7939042981998998E-2</c:v>
                </c:pt>
                <c:pt idx="121">
                  <c:v>1.32550826363526E-2</c:v>
                </c:pt>
                <c:pt idx="122">
                  <c:v>-7.6698575187509504E-4</c:v>
                </c:pt>
                <c:pt idx="123">
                  <c:v>-1.2225931521437001E-3</c:v>
                </c:pt>
                <c:pt idx="124">
                  <c:v>7.1931576354615301E-3</c:v>
                </c:pt>
                <c:pt idx="125">
                  <c:v>8.5583642635216096E-3</c:v>
                </c:pt>
                <c:pt idx="126">
                  <c:v>1.9337004961696099E-2</c:v>
                </c:pt>
                <c:pt idx="127">
                  <c:v>1.3163604092362099E-2</c:v>
                </c:pt>
                <c:pt idx="128">
                  <c:v>1.08100146697746E-2</c:v>
                </c:pt>
                <c:pt idx="129">
                  <c:v>1.6523100663327201E-2</c:v>
                </c:pt>
                <c:pt idx="130">
                  <c:v>2.56158127550845E-2</c:v>
                </c:pt>
                <c:pt idx="131">
                  <c:v>1.4625307293329899E-2</c:v>
                </c:pt>
                <c:pt idx="132">
                  <c:v>1.81935733332661E-2</c:v>
                </c:pt>
                <c:pt idx="133">
                  <c:v>1.8319233064396701E-2</c:v>
                </c:pt>
                <c:pt idx="134">
                  <c:v>1.53833900924493E-2</c:v>
                </c:pt>
                <c:pt idx="135">
                  <c:v>2.8435900610056701E-3</c:v>
                </c:pt>
                <c:pt idx="136">
                  <c:v>-1.8611795504484299E-2</c:v>
                </c:pt>
                <c:pt idx="137">
                  <c:v>-9.1859008570721393E-3</c:v>
                </c:pt>
                <c:pt idx="138">
                  <c:v>-2.1276877448771899E-3</c:v>
                </c:pt>
                <c:pt idx="139">
                  <c:v>1.08624889797543E-2</c:v>
                </c:pt>
                <c:pt idx="140">
                  <c:v>1.0101530381256401E-2</c:v>
                </c:pt>
                <c:pt idx="141">
                  <c:v>1.8309951798084999E-2</c:v>
                </c:pt>
                <c:pt idx="142">
                  <c:v>3.2166509125348998E-2</c:v>
                </c:pt>
                <c:pt idx="143">
                  <c:v>1.8915323617250901E-2</c:v>
                </c:pt>
                <c:pt idx="144">
                  <c:v>1.59990761777207E-2</c:v>
                </c:pt>
                <c:pt idx="145">
                  <c:v>8.4670612628417897E-3</c:v>
                </c:pt>
                <c:pt idx="146">
                  <c:v>-5.2816807969538002E-3</c:v>
                </c:pt>
                <c:pt idx="147">
                  <c:v>-1.2377444624733999E-3</c:v>
                </c:pt>
                <c:pt idx="148">
                  <c:v>-1.5558834758775401E-2</c:v>
                </c:pt>
                <c:pt idx="149">
                  <c:v>-2.6629835390006899E-2</c:v>
                </c:pt>
                <c:pt idx="150">
                  <c:v>-2.80674751204061E-2</c:v>
                </c:pt>
                <c:pt idx="151">
                  <c:v>-3.6374759795641601E-2</c:v>
                </c:pt>
                <c:pt idx="152">
                  <c:v>-3.6427987310870498E-2</c:v>
                </c:pt>
                <c:pt idx="153">
                  <c:v>-3.3382913291836597E-2</c:v>
                </c:pt>
                <c:pt idx="154">
                  <c:v>-2.9252221015712201E-2</c:v>
                </c:pt>
                <c:pt idx="155">
                  <c:v>-2.5125228519971701E-2</c:v>
                </c:pt>
                <c:pt idx="156">
                  <c:v>-7.6251132579693804E-4</c:v>
                </c:pt>
                <c:pt idx="157">
                  <c:v>-5.4716677726028302E-4</c:v>
                </c:pt>
                <c:pt idx="158">
                  <c:v>1.14008296743745E-2</c:v>
                </c:pt>
                <c:pt idx="159">
                  <c:v>8.0155486989425401E-3</c:v>
                </c:pt>
                <c:pt idx="160">
                  <c:v>1.8221212336375001E-2</c:v>
                </c:pt>
                <c:pt idx="161">
                  <c:v>2.4063439016185201E-2</c:v>
                </c:pt>
                <c:pt idx="162">
                  <c:v>2.3513943399645899E-2</c:v>
                </c:pt>
                <c:pt idx="163">
                  <c:v>1.34919920192045E-2</c:v>
                </c:pt>
                <c:pt idx="164">
                  <c:v>2.0492003471601399E-2</c:v>
                </c:pt>
                <c:pt idx="165">
                  <c:v>1.7313448665215E-2</c:v>
                </c:pt>
                <c:pt idx="166">
                  <c:v>1.7770779046690201E-2</c:v>
                </c:pt>
                <c:pt idx="167">
                  <c:v>1.2765662559999299E-2</c:v>
                </c:pt>
                <c:pt idx="168">
                  <c:v>6.6109465558775197E-3</c:v>
                </c:pt>
                <c:pt idx="169">
                  <c:v>7.1529618103971402E-3</c:v>
                </c:pt>
                <c:pt idx="170">
                  <c:v>-5.9722822604335096E-3</c:v>
                </c:pt>
                <c:pt idx="171">
                  <c:v>1.4545462897576E-3</c:v>
                </c:pt>
                <c:pt idx="172">
                  <c:v>4.0406698690561996E-3</c:v>
                </c:pt>
                <c:pt idx="173">
                  <c:v>1.2322015237910401E-3</c:v>
                </c:pt>
                <c:pt idx="174">
                  <c:v>2.63502902012306E-3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C4-488D-9D2C-559117138431}"/>
            </c:ext>
          </c:extLst>
        </c:ser>
        <c:ser>
          <c:idx val="2"/>
          <c:order val="2"/>
          <c:tx>
            <c:strRef>
              <c:f>Sheet1!$AG$1</c:f>
              <c:strCache>
                <c:ptCount val="1"/>
                <c:pt idx="0">
                  <c:v>log diff ITA* x 20 dma / XAR*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1.3516040754480501E-2</c:v>
                </c:pt>
                <c:pt idx="21">
                  <c:v>-2.5383207004588598E-4</c:v>
                </c:pt>
                <c:pt idx="22">
                  <c:v>2.3202175742785099E-2</c:v>
                </c:pt>
                <c:pt idx="23">
                  <c:v>3.6490214757735298E-2</c:v>
                </c:pt>
                <c:pt idx="24">
                  <c:v>2.12769712935615E-2</c:v>
                </c:pt>
                <c:pt idx="25">
                  <c:v>9.13895999379063E-3</c:v>
                </c:pt>
                <c:pt idx="26">
                  <c:v>1.8407335759645201E-2</c:v>
                </c:pt>
                <c:pt idx="27">
                  <c:v>2.6239628443712401E-2</c:v>
                </c:pt>
                <c:pt idx="28">
                  <c:v>2.8793950622899099E-2</c:v>
                </c:pt>
                <c:pt idx="29">
                  <c:v>2.5677581999014799E-2</c:v>
                </c:pt>
                <c:pt idx="30">
                  <c:v>2.7365889725962201E-2</c:v>
                </c:pt>
                <c:pt idx="31">
                  <c:v>1.6692411450339499E-2</c:v>
                </c:pt>
                <c:pt idx="32">
                  <c:v>6.4500076400065597E-3</c:v>
                </c:pt>
                <c:pt idx="33">
                  <c:v>1.49369359239638E-2</c:v>
                </c:pt>
                <c:pt idx="34">
                  <c:v>1.39473418318864E-2</c:v>
                </c:pt>
                <c:pt idx="35">
                  <c:v>5.1957876690023903E-3</c:v>
                </c:pt>
                <c:pt idx="36">
                  <c:v>4.2598212592591502E-3</c:v>
                </c:pt>
                <c:pt idx="37">
                  <c:v>-2.07631709096301E-3</c:v>
                </c:pt>
                <c:pt idx="38">
                  <c:v>2.7749753114449998E-3</c:v>
                </c:pt>
                <c:pt idx="39">
                  <c:v>4.9192232068796804E-3</c:v>
                </c:pt>
                <c:pt idx="40">
                  <c:v>8.1216700338736995E-4</c:v>
                </c:pt>
                <c:pt idx="41">
                  <c:v>-1.40486210521489E-3</c:v>
                </c:pt>
                <c:pt idx="42">
                  <c:v>-1.20816971204118E-3</c:v>
                </c:pt>
                <c:pt idx="43">
                  <c:v>5.8651916718417798E-3</c:v>
                </c:pt>
                <c:pt idx="44">
                  <c:v>-4.8811886011829097E-3</c:v>
                </c:pt>
                <c:pt idx="45">
                  <c:v>7.5059258450270797E-4</c:v>
                </c:pt>
                <c:pt idx="46">
                  <c:v>-2.5545106119909001E-3</c:v>
                </c:pt>
                <c:pt idx="47">
                  <c:v>-9.38850670991364E-4</c:v>
                </c:pt>
                <c:pt idx="48">
                  <c:v>2.71563541806577E-3</c:v>
                </c:pt>
                <c:pt idx="49">
                  <c:v>-3.01065328755469E-3</c:v>
                </c:pt>
                <c:pt idx="50">
                  <c:v>-1.2275160166770899E-2</c:v>
                </c:pt>
                <c:pt idx="51">
                  <c:v>-7.4849162380764096E-3</c:v>
                </c:pt>
                <c:pt idx="52">
                  <c:v>-1.3584617019638799E-2</c:v>
                </c:pt>
                <c:pt idx="53">
                  <c:v>3.1615277358496198E-4</c:v>
                </c:pt>
                <c:pt idx="54">
                  <c:v>-1.15355951403404E-2</c:v>
                </c:pt>
                <c:pt idx="55">
                  <c:v>-9.3753699940371301E-3</c:v>
                </c:pt>
                <c:pt idx="56">
                  <c:v>-1.3160553179909501E-2</c:v>
                </c:pt>
                <c:pt idx="57">
                  <c:v>-1.6510931273988299E-3</c:v>
                </c:pt>
                <c:pt idx="58">
                  <c:v>5.0525614921102403E-3</c:v>
                </c:pt>
                <c:pt idx="59">
                  <c:v>1.42033645102726E-2</c:v>
                </c:pt>
                <c:pt idx="60">
                  <c:v>3.6005853001540101E-3</c:v>
                </c:pt>
                <c:pt idx="61">
                  <c:v>2.4738860832832798E-3</c:v>
                </c:pt>
                <c:pt idx="62">
                  <c:v>-3.8946010989220499E-3</c:v>
                </c:pt>
                <c:pt idx="63">
                  <c:v>-4.35241787008384E-3</c:v>
                </c:pt>
                <c:pt idx="64">
                  <c:v>1.5873842354011301E-3</c:v>
                </c:pt>
                <c:pt idx="65">
                  <c:v>-3.28359659497553E-3</c:v>
                </c:pt>
                <c:pt idx="66">
                  <c:v>4.82462755007332E-3</c:v>
                </c:pt>
                <c:pt idx="67">
                  <c:v>5.3201647596178795E-4</c:v>
                </c:pt>
                <c:pt idx="68">
                  <c:v>-7.4216849819929301E-3</c:v>
                </c:pt>
                <c:pt idx="69">
                  <c:v>-5.3746969790321496E-3</c:v>
                </c:pt>
                <c:pt idx="70">
                  <c:v>-7.3438693508565698E-3</c:v>
                </c:pt>
                <c:pt idx="71">
                  <c:v>-1.83422235674345E-2</c:v>
                </c:pt>
                <c:pt idx="72">
                  <c:v>-1.8538521588469001E-2</c:v>
                </c:pt>
                <c:pt idx="73">
                  <c:v>-1.82564025663671E-2</c:v>
                </c:pt>
                <c:pt idx="74">
                  <c:v>-2.2812820833646899E-2</c:v>
                </c:pt>
                <c:pt idx="75">
                  <c:v>-2.6359815035974302E-2</c:v>
                </c:pt>
                <c:pt idx="76">
                  <c:v>-1.6406137283962501E-2</c:v>
                </c:pt>
                <c:pt idx="77">
                  <c:v>-1.1245660966440901E-2</c:v>
                </c:pt>
                <c:pt idx="78">
                  <c:v>-1.5278927718342199E-2</c:v>
                </c:pt>
                <c:pt idx="79">
                  <c:v>-9.88710811755447E-4</c:v>
                </c:pt>
                <c:pt idx="80">
                  <c:v>6.4251628936351996E-3</c:v>
                </c:pt>
                <c:pt idx="81">
                  <c:v>-4.9193124816493596E-3</c:v>
                </c:pt>
                <c:pt idx="82">
                  <c:v>-3.9890676571603103E-3</c:v>
                </c:pt>
                <c:pt idx="83">
                  <c:v>-5.7083623427761701E-3</c:v>
                </c:pt>
                <c:pt idx="84">
                  <c:v>-1.9577593623974401E-3</c:v>
                </c:pt>
                <c:pt idx="85">
                  <c:v>-1.0501856366478299E-2</c:v>
                </c:pt>
                <c:pt idx="86">
                  <c:v>3.4900850136569102E-3</c:v>
                </c:pt>
                <c:pt idx="87">
                  <c:v>-1.2851435335911199E-3</c:v>
                </c:pt>
                <c:pt idx="88">
                  <c:v>-4.2242131307296399E-3</c:v>
                </c:pt>
                <c:pt idx="89">
                  <c:v>-2.5532883909934901E-3</c:v>
                </c:pt>
                <c:pt idx="90">
                  <c:v>-6.7136091460681599E-3</c:v>
                </c:pt>
                <c:pt idx="91">
                  <c:v>-1.6022973394960699E-2</c:v>
                </c:pt>
                <c:pt idx="92">
                  <c:v>-7.9103370195458492E-3</c:v>
                </c:pt>
                <c:pt idx="93">
                  <c:v>-3.45774113785595E-3</c:v>
                </c:pt>
                <c:pt idx="94">
                  <c:v>2.3158692238637898E-3</c:v>
                </c:pt>
                <c:pt idx="95">
                  <c:v>-2.4339258690320199E-3</c:v>
                </c:pt>
                <c:pt idx="96">
                  <c:v>-2.9780697834712001E-3</c:v>
                </c:pt>
                <c:pt idx="97">
                  <c:v>-1.0980472184730999E-2</c:v>
                </c:pt>
                <c:pt idx="98">
                  <c:v>-1.18875708573872E-2</c:v>
                </c:pt>
                <c:pt idx="99">
                  <c:v>-1.5550415232925699E-2</c:v>
                </c:pt>
                <c:pt idx="100">
                  <c:v>-2.9910850981367799E-2</c:v>
                </c:pt>
                <c:pt idx="101">
                  <c:v>-2.2658376863632802E-2</c:v>
                </c:pt>
                <c:pt idx="102">
                  <c:v>-1.66812871492929E-2</c:v>
                </c:pt>
                <c:pt idx="103">
                  <c:v>-1.96584549758392E-2</c:v>
                </c:pt>
                <c:pt idx="104">
                  <c:v>-1.23381317397243E-2</c:v>
                </c:pt>
                <c:pt idx="105">
                  <c:v>-6.9223977872276904E-3</c:v>
                </c:pt>
                <c:pt idx="106">
                  <c:v>1.28805180069426E-2</c:v>
                </c:pt>
                <c:pt idx="107">
                  <c:v>8.9576850072523306E-3</c:v>
                </c:pt>
                <c:pt idx="108">
                  <c:v>1.4778419557658099E-2</c:v>
                </c:pt>
                <c:pt idx="109">
                  <c:v>1.4658330113114701E-2</c:v>
                </c:pt>
                <c:pt idx="110">
                  <c:v>-1.17603948995381E-3</c:v>
                </c:pt>
                <c:pt idx="111">
                  <c:v>5.2479695186924804E-3</c:v>
                </c:pt>
                <c:pt idx="112">
                  <c:v>1.0759779275188799E-2</c:v>
                </c:pt>
                <c:pt idx="113">
                  <c:v>2.2706851187620801E-2</c:v>
                </c:pt>
                <c:pt idx="114">
                  <c:v>2.21247636917517E-2</c:v>
                </c:pt>
                <c:pt idx="115">
                  <c:v>1.0393507675673199E-2</c:v>
                </c:pt>
                <c:pt idx="116">
                  <c:v>1.8154196360620801E-2</c:v>
                </c:pt>
                <c:pt idx="117">
                  <c:v>2.85494599074675E-2</c:v>
                </c:pt>
                <c:pt idx="118">
                  <c:v>3.8733058753192197E-2</c:v>
                </c:pt>
                <c:pt idx="119">
                  <c:v>4.0212611453911397E-2</c:v>
                </c:pt>
                <c:pt idx="120">
                  <c:v>3.0324351294749599E-2</c:v>
                </c:pt>
                <c:pt idx="121">
                  <c:v>2.6676804457798901E-2</c:v>
                </c:pt>
                <c:pt idx="122">
                  <c:v>1.3292711576831699E-2</c:v>
                </c:pt>
                <c:pt idx="123">
                  <c:v>1.25559652229337E-2</c:v>
                </c:pt>
                <c:pt idx="124">
                  <c:v>1.92781412376338E-2</c:v>
                </c:pt>
                <c:pt idx="125">
                  <c:v>1.9682125260339699E-2</c:v>
                </c:pt>
                <c:pt idx="126">
                  <c:v>3.0991090908917902E-2</c:v>
                </c:pt>
                <c:pt idx="127">
                  <c:v>2.6205098417780799E-2</c:v>
                </c:pt>
                <c:pt idx="128">
                  <c:v>2.37794508407843E-2</c:v>
                </c:pt>
                <c:pt idx="129">
                  <c:v>2.8513723832319399E-2</c:v>
                </c:pt>
                <c:pt idx="130">
                  <c:v>3.6595300727537201E-2</c:v>
                </c:pt>
                <c:pt idx="131">
                  <c:v>2.5028493444617599E-2</c:v>
                </c:pt>
                <c:pt idx="132">
                  <c:v>2.7994292365082201E-2</c:v>
                </c:pt>
                <c:pt idx="133">
                  <c:v>2.91936795820298E-2</c:v>
                </c:pt>
                <c:pt idx="134">
                  <c:v>2.8040845320874998E-2</c:v>
                </c:pt>
                <c:pt idx="135">
                  <c:v>1.6440619044304602E-2</c:v>
                </c:pt>
                <c:pt idx="136">
                  <c:v>-5.4028420218808501E-3</c:v>
                </c:pt>
                <c:pt idx="137">
                  <c:v>1.67009954276654E-3</c:v>
                </c:pt>
                <c:pt idx="138">
                  <c:v>7.6326735170986204E-3</c:v>
                </c:pt>
                <c:pt idx="139">
                  <c:v>2.0501412311615199E-2</c:v>
                </c:pt>
                <c:pt idx="140">
                  <c:v>1.98247453159194E-2</c:v>
                </c:pt>
                <c:pt idx="141">
                  <c:v>2.6749991931047101E-2</c:v>
                </c:pt>
                <c:pt idx="142">
                  <c:v>4.0522628853352498E-2</c:v>
                </c:pt>
                <c:pt idx="143">
                  <c:v>2.68463780639394E-2</c:v>
                </c:pt>
                <c:pt idx="144">
                  <c:v>2.26649390306451E-2</c:v>
                </c:pt>
                <c:pt idx="145">
                  <c:v>1.4143889599381501E-2</c:v>
                </c:pt>
                <c:pt idx="146">
                  <c:v>1.6751807032947699E-4</c:v>
                </c:pt>
                <c:pt idx="147">
                  <c:v>6.0480709954398902E-3</c:v>
                </c:pt>
                <c:pt idx="148">
                  <c:v>-7.0869757433288799E-3</c:v>
                </c:pt>
                <c:pt idx="149">
                  <c:v>-1.8310428802530102E-2</c:v>
                </c:pt>
                <c:pt idx="150">
                  <c:v>-2.1496947261334401E-2</c:v>
                </c:pt>
                <c:pt idx="151">
                  <c:v>-3.1274715086393602E-2</c:v>
                </c:pt>
                <c:pt idx="152">
                  <c:v>-3.46090356625883E-2</c:v>
                </c:pt>
                <c:pt idx="153">
                  <c:v>-3.63196488426605E-2</c:v>
                </c:pt>
                <c:pt idx="154">
                  <c:v>-3.5896220326706203E-2</c:v>
                </c:pt>
                <c:pt idx="155">
                  <c:v>-3.5348968185473E-2</c:v>
                </c:pt>
                <c:pt idx="156">
                  <c:v>-1.44866091671819E-2</c:v>
                </c:pt>
                <c:pt idx="157">
                  <c:v>-1.6610641638360599E-2</c:v>
                </c:pt>
                <c:pt idx="158">
                  <c:v>-7.3125997511820102E-3</c:v>
                </c:pt>
                <c:pt idx="159">
                  <c:v>-1.1391276108334399E-2</c:v>
                </c:pt>
                <c:pt idx="160">
                  <c:v>-3.6484765228220602E-4</c:v>
                </c:pt>
                <c:pt idx="161">
                  <c:v>7.1508372664513403E-3</c:v>
                </c:pt>
                <c:pt idx="162">
                  <c:v>1.0102855461754301E-2</c:v>
                </c:pt>
                <c:pt idx="163">
                  <c:v>4.91573688490841E-3</c:v>
                </c:pt>
                <c:pt idx="164">
                  <c:v>1.6287618123003399E-2</c:v>
                </c:pt>
                <c:pt idx="165">
                  <c:v>1.8092089901943199E-2</c:v>
                </c:pt>
                <c:pt idx="166">
                  <c:v>2.34755265251286E-2</c:v>
                </c:pt>
                <c:pt idx="167">
                  <c:v>2.1124783850796799E-2</c:v>
                </c:pt>
                <c:pt idx="168">
                  <c:v>1.80624699722014E-2</c:v>
                </c:pt>
                <c:pt idx="169">
                  <c:v>2.0055886221029998E-2</c:v>
                </c:pt>
                <c:pt idx="170">
                  <c:v>8.4228722051233103E-3</c:v>
                </c:pt>
                <c:pt idx="171">
                  <c:v>1.5635791595650799E-2</c:v>
                </c:pt>
                <c:pt idx="172">
                  <c:v>1.7182646810129699E-2</c:v>
                </c:pt>
                <c:pt idx="173">
                  <c:v>1.30517948366783E-2</c:v>
                </c:pt>
                <c:pt idx="174">
                  <c:v>1.35224275624486E-2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C4-488D-9D2C-559117138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XAR*/ITA*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1.1654134458566101</c:v>
                </c:pt>
                <c:pt idx="1">
                  <c:v>1.1654134458566101</c:v>
                </c:pt>
                <c:pt idx="2">
                  <c:v>1.1654134458566101</c:v>
                </c:pt>
                <c:pt idx="3">
                  <c:v>1.1654134458566101</c:v>
                </c:pt>
                <c:pt idx="4">
                  <c:v>1.1654134458566101</c:v>
                </c:pt>
                <c:pt idx="5">
                  <c:v>1.1654134458566101</c:v>
                </c:pt>
                <c:pt idx="6">
                  <c:v>1.1654134458566101</c:v>
                </c:pt>
                <c:pt idx="7">
                  <c:v>1.1654134458566101</c:v>
                </c:pt>
                <c:pt idx="8">
                  <c:v>1.1654134458566101</c:v>
                </c:pt>
                <c:pt idx="9">
                  <c:v>1.1654134458566101</c:v>
                </c:pt>
                <c:pt idx="10">
                  <c:v>1.1654134458566101</c:v>
                </c:pt>
                <c:pt idx="11">
                  <c:v>1.1654134458566101</c:v>
                </c:pt>
                <c:pt idx="12">
                  <c:v>1.1654134458566101</c:v>
                </c:pt>
                <c:pt idx="13">
                  <c:v>1.1654134458566101</c:v>
                </c:pt>
                <c:pt idx="14">
                  <c:v>1.1654134458566101</c:v>
                </c:pt>
                <c:pt idx="15">
                  <c:v>1.1654134458566101</c:v>
                </c:pt>
                <c:pt idx="16">
                  <c:v>1.1654134458566101</c:v>
                </c:pt>
                <c:pt idx="17">
                  <c:v>1.1654134458566101</c:v>
                </c:pt>
                <c:pt idx="18">
                  <c:v>1.1654134458566101</c:v>
                </c:pt>
                <c:pt idx="19">
                  <c:v>1.1654134458566101</c:v>
                </c:pt>
                <c:pt idx="20">
                  <c:v>1.1654134458566101</c:v>
                </c:pt>
                <c:pt idx="21">
                  <c:v>1.1654134458566101</c:v>
                </c:pt>
                <c:pt idx="22">
                  <c:v>1.1654134458566101</c:v>
                </c:pt>
                <c:pt idx="23">
                  <c:v>1.1654134458566101</c:v>
                </c:pt>
                <c:pt idx="24">
                  <c:v>1.1654134458566101</c:v>
                </c:pt>
                <c:pt idx="25">
                  <c:v>1.1654134458566101</c:v>
                </c:pt>
                <c:pt idx="26">
                  <c:v>1.1654134458566101</c:v>
                </c:pt>
                <c:pt idx="27">
                  <c:v>1.1654134458566101</c:v>
                </c:pt>
                <c:pt idx="28">
                  <c:v>1.1654134458566101</c:v>
                </c:pt>
                <c:pt idx="29">
                  <c:v>1.1654134458566101</c:v>
                </c:pt>
                <c:pt idx="30">
                  <c:v>1.1654134458566101</c:v>
                </c:pt>
                <c:pt idx="31">
                  <c:v>1.1654134458566101</c:v>
                </c:pt>
                <c:pt idx="32">
                  <c:v>1.1654134458566101</c:v>
                </c:pt>
                <c:pt idx="33">
                  <c:v>1.1654134458566101</c:v>
                </c:pt>
                <c:pt idx="34">
                  <c:v>1.1654134458566101</c:v>
                </c:pt>
                <c:pt idx="35">
                  <c:v>1.1654134458566101</c:v>
                </c:pt>
                <c:pt idx="36">
                  <c:v>1.1654134458566101</c:v>
                </c:pt>
                <c:pt idx="37">
                  <c:v>1.1654134458566101</c:v>
                </c:pt>
                <c:pt idx="38">
                  <c:v>1.1654134458566101</c:v>
                </c:pt>
                <c:pt idx="39">
                  <c:v>1.1654134458566101</c:v>
                </c:pt>
                <c:pt idx="40">
                  <c:v>1.1654134458566101</c:v>
                </c:pt>
                <c:pt idx="41">
                  <c:v>1.1654134458566101</c:v>
                </c:pt>
                <c:pt idx="42">
                  <c:v>1.1654134458566101</c:v>
                </c:pt>
                <c:pt idx="43">
                  <c:v>1.1654134458566101</c:v>
                </c:pt>
                <c:pt idx="44">
                  <c:v>1.1654134458566101</c:v>
                </c:pt>
                <c:pt idx="45">
                  <c:v>1.1654134458566101</c:v>
                </c:pt>
                <c:pt idx="46">
                  <c:v>1.1654134458566101</c:v>
                </c:pt>
                <c:pt idx="47">
                  <c:v>1.1654134458566101</c:v>
                </c:pt>
                <c:pt idx="48">
                  <c:v>1.1654134458566101</c:v>
                </c:pt>
                <c:pt idx="49">
                  <c:v>1.1654134458566101</c:v>
                </c:pt>
                <c:pt idx="50">
                  <c:v>1.1654134458566101</c:v>
                </c:pt>
                <c:pt idx="51">
                  <c:v>1.1654134458566101</c:v>
                </c:pt>
                <c:pt idx="52">
                  <c:v>1.1654134458566101</c:v>
                </c:pt>
                <c:pt idx="53">
                  <c:v>1.1654134458566101</c:v>
                </c:pt>
                <c:pt idx="54">
                  <c:v>1.1654134458566101</c:v>
                </c:pt>
                <c:pt idx="55">
                  <c:v>1.1654134458566101</c:v>
                </c:pt>
                <c:pt idx="56">
                  <c:v>1.1654134458566101</c:v>
                </c:pt>
                <c:pt idx="57">
                  <c:v>1.1654134458566101</c:v>
                </c:pt>
                <c:pt idx="58">
                  <c:v>1.1654134458566101</c:v>
                </c:pt>
                <c:pt idx="59">
                  <c:v>1.1654134458566101</c:v>
                </c:pt>
                <c:pt idx="60">
                  <c:v>1.1654134458566101</c:v>
                </c:pt>
                <c:pt idx="61">
                  <c:v>1.1654134458566101</c:v>
                </c:pt>
                <c:pt idx="62">
                  <c:v>1.1654134458566101</c:v>
                </c:pt>
                <c:pt idx="63">
                  <c:v>1.1654134458566101</c:v>
                </c:pt>
                <c:pt idx="64">
                  <c:v>1.1654134458566101</c:v>
                </c:pt>
                <c:pt idx="65">
                  <c:v>1.1654134458566101</c:v>
                </c:pt>
                <c:pt idx="66">
                  <c:v>1.1654134458566101</c:v>
                </c:pt>
                <c:pt idx="67">
                  <c:v>1.1654134458566101</c:v>
                </c:pt>
                <c:pt idx="68">
                  <c:v>1.1654134458566101</c:v>
                </c:pt>
                <c:pt idx="69">
                  <c:v>1.1654134458566101</c:v>
                </c:pt>
                <c:pt idx="70">
                  <c:v>1.1654134458566101</c:v>
                </c:pt>
                <c:pt idx="71">
                  <c:v>1.1654134458566101</c:v>
                </c:pt>
                <c:pt idx="72">
                  <c:v>1.1654134458566101</c:v>
                </c:pt>
                <c:pt idx="73">
                  <c:v>1.1654134458566101</c:v>
                </c:pt>
                <c:pt idx="74">
                  <c:v>1.1654134458566101</c:v>
                </c:pt>
                <c:pt idx="75">
                  <c:v>1.1654134458566101</c:v>
                </c:pt>
                <c:pt idx="76">
                  <c:v>1.1654134458566101</c:v>
                </c:pt>
                <c:pt idx="77">
                  <c:v>1.1654134458566101</c:v>
                </c:pt>
                <c:pt idx="78">
                  <c:v>1.1654134458566101</c:v>
                </c:pt>
                <c:pt idx="79">
                  <c:v>1.1654134458566101</c:v>
                </c:pt>
                <c:pt idx="80">
                  <c:v>1.1654134458566101</c:v>
                </c:pt>
                <c:pt idx="81">
                  <c:v>1.1654134458566101</c:v>
                </c:pt>
                <c:pt idx="82">
                  <c:v>1.1654134458566101</c:v>
                </c:pt>
                <c:pt idx="83">
                  <c:v>1.1654134458566101</c:v>
                </c:pt>
                <c:pt idx="84">
                  <c:v>1.1654134458566101</c:v>
                </c:pt>
                <c:pt idx="85">
                  <c:v>1.1654134458566101</c:v>
                </c:pt>
                <c:pt idx="86">
                  <c:v>1.1654134458566101</c:v>
                </c:pt>
                <c:pt idx="87">
                  <c:v>1.1654134458566101</c:v>
                </c:pt>
                <c:pt idx="88">
                  <c:v>1.1654134458566101</c:v>
                </c:pt>
                <c:pt idx="89">
                  <c:v>1.1654134458566101</c:v>
                </c:pt>
                <c:pt idx="90">
                  <c:v>1.1654134458566101</c:v>
                </c:pt>
                <c:pt idx="91">
                  <c:v>1.1654134458566101</c:v>
                </c:pt>
                <c:pt idx="92">
                  <c:v>1.1654134458566101</c:v>
                </c:pt>
                <c:pt idx="93">
                  <c:v>1.1654134458566101</c:v>
                </c:pt>
                <c:pt idx="94">
                  <c:v>1.1654134458566101</c:v>
                </c:pt>
                <c:pt idx="95">
                  <c:v>1.1654134458566101</c:v>
                </c:pt>
                <c:pt idx="96">
                  <c:v>1.1654134458566101</c:v>
                </c:pt>
                <c:pt idx="97">
                  <c:v>1.1654134458566101</c:v>
                </c:pt>
                <c:pt idx="98">
                  <c:v>1.1654134458566101</c:v>
                </c:pt>
                <c:pt idx="99">
                  <c:v>1.1654134458566101</c:v>
                </c:pt>
                <c:pt idx="100">
                  <c:v>1.1654134458566101</c:v>
                </c:pt>
                <c:pt idx="101">
                  <c:v>1.1654134458566101</c:v>
                </c:pt>
                <c:pt idx="102">
                  <c:v>1.1654134458566101</c:v>
                </c:pt>
                <c:pt idx="103">
                  <c:v>1.1654134458566101</c:v>
                </c:pt>
                <c:pt idx="104">
                  <c:v>1.1654134458566101</c:v>
                </c:pt>
                <c:pt idx="105">
                  <c:v>1.1654134458566101</c:v>
                </c:pt>
                <c:pt idx="106">
                  <c:v>1.1654134458566101</c:v>
                </c:pt>
                <c:pt idx="107">
                  <c:v>1.1654134458566101</c:v>
                </c:pt>
                <c:pt idx="108">
                  <c:v>1.1654134458566101</c:v>
                </c:pt>
                <c:pt idx="109">
                  <c:v>1.1654134458566101</c:v>
                </c:pt>
                <c:pt idx="110">
                  <c:v>1.1654134458566101</c:v>
                </c:pt>
                <c:pt idx="111">
                  <c:v>1.1654134458566101</c:v>
                </c:pt>
                <c:pt idx="112">
                  <c:v>1.1654134458566101</c:v>
                </c:pt>
                <c:pt idx="113">
                  <c:v>1.1654134458566101</c:v>
                </c:pt>
                <c:pt idx="114">
                  <c:v>1.1654134458566101</c:v>
                </c:pt>
                <c:pt idx="115">
                  <c:v>1.1654134458566101</c:v>
                </c:pt>
                <c:pt idx="116">
                  <c:v>1.1654134458566101</c:v>
                </c:pt>
                <c:pt idx="117">
                  <c:v>1.1654134458566101</c:v>
                </c:pt>
                <c:pt idx="118">
                  <c:v>1.1654134458566101</c:v>
                </c:pt>
                <c:pt idx="119">
                  <c:v>1.1654134458566101</c:v>
                </c:pt>
                <c:pt idx="120">
                  <c:v>1.1654134458566101</c:v>
                </c:pt>
                <c:pt idx="121">
                  <c:v>1.1654134458566101</c:v>
                </c:pt>
                <c:pt idx="122">
                  <c:v>1.1654134458566101</c:v>
                </c:pt>
                <c:pt idx="123">
                  <c:v>1.1654134458566101</c:v>
                </c:pt>
                <c:pt idx="124">
                  <c:v>1.1654134458566101</c:v>
                </c:pt>
                <c:pt idx="125">
                  <c:v>1.1654134458566101</c:v>
                </c:pt>
                <c:pt idx="126">
                  <c:v>1.1654134458566101</c:v>
                </c:pt>
                <c:pt idx="127">
                  <c:v>1.1654134458566101</c:v>
                </c:pt>
                <c:pt idx="128">
                  <c:v>1.1654134458566101</c:v>
                </c:pt>
                <c:pt idx="129">
                  <c:v>1.1654134458566101</c:v>
                </c:pt>
                <c:pt idx="130">
                  <c:v>1.1654134458566101</c:v>
                </c:pt>
                <c:pt idx="131">
                  <c:v>1.1654134458566101</c:v>
                </c:pt>
                <c:pt idx="132">
                  <c:v>1.1654134458566101</c:v>
                </c:pt>
                <c:pt idx="133">
                  <c:v>1.1654134458566101</c:v>
                </c:pt>
                <c:pt idx="134">
                  <c:v>1.1654134458566101</c:v>
                </c:pt>
                <c:pt idx="135">
                  <c:v>1.1654134458566101</c:v>
                </c:pt>
                <c:pt idx="136">
                  <c:v>1.1654134458566101</c:v>
                </c:pt>
                <c:pt idx="137">
                  <c:v>1.1654134458566101</c:v>
                </c:pt>
                <c:pt idx="138">
                  <c:v>1.1654134458566101</c:v>
                </c:pt>
                <c:pt idx="139">
                  <c:v>1.1654134458566101</c:v>
                </c:pt>
                <c:pt idx="140">
                  <c:v>1.1654134458566101</c:v>
                </c:pt>
                <c:pt idx="141">
                  <c:v>1.1654134458566101</c:v>
                </c:pt>
                <c:pt idx="142">
                  <c:v>1.1654134458566101</c:v>
                </c:pt>
                <c:pt idx="143">
                  <c:v>1.1654134458566101</c:v>
                </c:pt>
                <c:pt idx="144">
                  <c:v>1.1654134458566101</c:v>
                </c:pt>
                <c:pt idx="145">
                  <c:v>1.1654134458566101</c:v>
                </c:pt>
                <c:pt idx="146">
                  <c:v>1.1654134458566101</c:v>
                </c:pt>
                <c:pt idx="147">
                  <c:v>1.1654134458566101</c:v>
                </c:pt>
                <c:pt idx="148">
                  <c:v>1.1654134458566101</c:v>
                </c:pt>
                <c:pt idx="149">
                  <c:v>1.1654134458566101</c:v>
                </c:pt>
                <c:pt idx="150">
                  <c:v>1.1654134458566101</c:v>
                </c:pt>
                <c:pt idx="151">
                  <c:v>1.1654134458566101</c:v>
                </c:pt>
                <c:pt idx="152">
                  <c:v>1.1654134458566101</c:v>
                </c:pt>
                <c:pt idx="153">
                  <c:v>1.1654134458566101</c:v>
                </c:pt>
                <c:pt idx="154">
                  <c:v>1.1654134458566101</c:v>
                </c:pt>
                <c:pt idx="155">
                  <c:v>1.1654134458566101</c:v>
                </c:pt>
                <c:pt idx="156">
                  <c:v>1.1654134458566101</c:v>
                </c:pt>
                <c:pt idx="157">
                  <c:v>1.1654134458566101</c:v>
                </c:pt>
                <c:pt idx="158">
                  <c:v>1.1654134458566101</c:v>
                </c:pt>
                <c:pt idx="159">
                  <c:v>1.1654134458566101</c:v>
                </c:pt>
                <c:pt idx="160">
                  <c:v>1.1654134458566101</c:v>
                </c:pt>
                <c:pt idx="161">
                  <c:v>1.1654134458566101</c:v>
                </c:pt>
                <c:pt idx="162">
                  <c:v>1.1654134458566101</c:v>
                </c:pt>
                <c:pt idx="163">
                  <c:v>1.1654134458566101</c:v>
                </c:pt>
                <c:pt idx="164">
                  <c:v>1.1654134458566101</c:v>
                </c:pt>
                <c:pt idx="165">
                  <c:v>1.1654134458566101</c:v>
                </c:pt>
                <c:pt idx="166">
                  <c:v>1.1654134458566101</c:v>
                </c:pt>
                <c:pt idx="167">
                  <c:v>1.1654134458566101</c:v>
                </c:pt>
                <c:pt idx="168">
                  <c:v>1.1654134458566101</c:v>
                </c:pt>
                <c:pt idx="169">
                  <c:v>1.1654134458566101</c:v>
                </c:pt>
                <c:pt idx="170">
                  <c:v>1.1654134458566101</c:v>
                </c:pt>
                <c:pt idx="171">
                  <c:v>1.1654134458566101</c:v>
                </c:pt>
                <c:pt idx="172">
                  <c:v>1.1654134458566101</c:v>
                </c:pt>
                <c:pt idx="173">
                  <c:v>1.1654134458566101</c:v>
                </c:pt>
                <c:pt idx="174">
                  <c:v>1.1654134458566101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F-45FF-A527-4B8FE8C4FBA4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XAR*/ITA*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1.17292210610485</c:v>
                </c:pt>
                <c:pt idx="10">
                  <c:v>1.18022300195384</c:v>
                </c:pt>
                <c:pt idx="11">
                  <c:v>1.1846799803957</c:v>
                </c:pt>
                <c:pt idx="12">
                  <c:v>1.1878307373015</c:v>
                </c:pt>
                <c:pt idx="13">
                  <c:v>1.19288351653196</c:v>
                </c:pt>
                <c:pt idx="14">
                  <c:v>1.19520351782948</c:v>
                </c:pt>
                <c:pt idx="15">
                  <c:v>1.1964389047086501</c:v>
                </c:pt>
                <c:pt idx="16">
                  <c:v>1.1979838718882301</c:v>
                </c:pt>
                <c:pt idx="17">
                  <c:v>1.1999956653718999</c:v>
                </c:pt>
                <c:pt idx="18">
                  <c:v>1.19991911260461</c:v>
                </c:pt>
                <c:pt idx="19">
                  <c:v>1.1973661351840099</c:v>
                </c:pt>
                <c:pt idx="20">
                  <c:v>1.1942008702087601</c:v>
                </c:pt>
                <c:pt idx="21">
                  <c:v>1.19354909233754</c:v>
                </c:pt>
                <c:pt idx="22">
                  <c:v>1.19097940100345</c:v>
                </c:pt>
                <c:pt idx="23">
                  <c:v>1.1846165032806699</c:v>
                </c:pt>
                <c:pt idx="24">
                  <c:v>1.1805226782828999</c:v>
                </c:pt>
                <c:pt idx="25">
                  <c:v>1.1782480605734</c:v>
                </c:pt>
                <c:pt idx="26">
                  <c:v>1.1745231722395499</c:v>
                </c:pt>
                <c:pt idx="27">
                  <c:v>1.1695876406853101</c:v>
                </c:pt>
                <c:pt idx="28">
                  <c:v>1.16531656534494</c:v>
                </c:pt>
                <c:pt idx="29">
                  <c:v>1.1631175517908401</c:v>
                </c:pt>
                <c:pt idx="30">
                  <c:v>1.16103234947567</c:v>
                </c:pt>
                <c:pt idx="31">
                  <c:v>1.15809326712913</c:v>
                </c:pt>
                <c:pt idx="32">
                  <c:v>1.15873520962758</c:v>
                </c:pt>
                <c:pt idx="33">
                  <c:v>1.1598005299722201</c:v>
                </c:pt>
                <c:pt idx="34">
                  <c:v>1.1590253918142099</c:v>
                </c:pt>
                <c:pt idx="35">
                  <c:v>1.1576909098636501</c:v>
                </c:pt>
                <c:pt idx="36">
                  <c:v>1.15742262468931</c:v>
                </c:pt>
                <c:pt idx="37">
                  <c:v>1.1587091089538499</c:v>
                </c:pt>
                <c:pt idx="38">
                  <c:v>1.1596850168713</c:v>
                </c:pt>
                <c:pt idx="39">
                  <c:v>1.16010087721262</c:v>
                </c:pt>
                <c:pt idx="40">
                  <c:v>1.1613293540719101</c:v>
                </c:pt>
                <c:pt idx="41">
                  <c:v>1.1617984334551801</c:v>
                </c:pt>
                <c:pt idx="42">
                  <c:v>1.1611070912952799</c:v>
                </c:pt>
                <c:pt idx="43">
                  <c:v>1.16067698662001</c:v>
                </c:pt>
                <c:pt idx="44">
                  <c:v>1.1616713003722801</c:v>
                </c:pt>
                <c:pt idx="45">
                  <c:v>1.16124788277712</c:v>
                </c:pt>
                <c:pt idx="46">
                  <c:v>1.16119091612888</c:v>
                </c:pt>
                <c:pt idx="47">
                  <c:v>1.1603908515757</c:v>
                </c:pt>
                <c:pt idx="48">
                  <c:v>1.1599391482878501</c:v>
                </c:pt>
                <c:pt idx="49">
                  <c:v>1.1605904386343899</c:v>
                </c:pt>
                <c:pt idx="50">
                  <c:v>1.1619915075220699</c:v>
                </c:pt>
                <c:pt idx="51">
                  <c:v>1.1627489761632499</c:v>
                </c:pt>
                <c:pt idx="52">
                  <c:v>1.1644312132274</c:v>
                </c:pt>
                <c:pt idx="53">
                  <c:v>1.1653575827387701</c:v>
                </c:pt>
                <c:pt idx="54">
                  <c:v>1.16641709414001</c:v>
                </c:pt>
                <c:pt idx="55">
                  <c:v>1.16797020782589</c:v>
                </c:pt>
                <c:pt idx="56">
                  <c:v>1.16973042624739</c:v>
                </c:pt>
                <c:pt idx="57">
                  <c:v>1.1704295109789</c:v>
                </c:pt>
                <c:pt idx="58">
                  <c:v>1.1707426497901801</c:v>
                </c:pt>
                <c:pt idx="59">
                  <c:v>1.16930234899763</c:v>
                </c:pt>
                <c:pt idx="60">
                  <c:v>1.16791060714762</c:v>
                </c:pt>
                <c:pt idx="61">
                  <c:v>1.1670790750907101</c:v>
                </c:pt>
                <c:pt idx="62">
                  <c:v>1.16620800188287</c:v>
                </c:pt>
                <c:pt idx="63">
                  <c:v>1.1670081040265601</c:v>
                </c:pt>
                <c:pt idx="64">
                  <c:v>1.1657903110924801</c:v>
                </c:pt>
                <c:pt idx="65">
                  <c:v>1.1652833260173501</c:v>
                </c:pt>
                <c:pt idx="66">
                  <c:v>1.1633807799739899</c:v>
                </c:pt>
                <c:pt idx="67">
                  <c:v>1.1632356396358801</c:v>
                </c:pt>
                <c:pt idx="68">
                  <c:v>1.1648344325337801</c:v>
                </c:pt>
                <c:pt idx="69">
                  <c:v>1.16735201451919</c:v>
                </c:pt>
                <c:pt idx="70">
                  <c:v>1.1689699504544599</c:v>
                </c:pt>
                <c:pt idx="71">
                  <c:v>1.1717696673800899</c:v>
                </c:pt>
                <c:pt idx="72">
                  <c:v>1.17395428963405</c:v>
                </c:pt>
                <c:pt idx="73">
                  <c:v>1.1760779079293</c:v>
                </c:pt>
                <c:pt idx="74">
                  <c:v>1.17950223358121</c:v>
                </c:pt>
                <c:pt idx="75">
                  <c:v>1.18290513409343</c:v>
                </c:pt>
                <c:pt idx="76">
                  <c:v>1.18615550168947</c:v>
                </c:pt>
                <c:pt idx="77">
                  <c:v>1.18836736232825</c:v>
                </c:pt>
                <c:pt idx="78">
                  <c:v>1.1902053400778301</c:v>
                </c:pt>
                <c:pt idx="79">
                  <c:v>1.1906656141324099</c:v>
                </c:pt>
                <c:pt idx="80">
                  <c:v>1.19011751097109</c:v>
                </c:pt>
                <c:pt idx="81">
                  <c:v>1.1896465848056399</c:v>
                </c:pt>
                <c:pt idx="82">
                  <c:v>1.1890587335603899</c:v>
                </c:pt>
                <c:pt idx="83">
                  <c:v>1.18872187990292</c:v>
                </c:pt>
                <c:pt idx="84">
                  <c:v>1.18733594267205</c:v>
                </c:pt>
                <c:pt idx="85">
                  <c:v>1.18653040849853</c:v>
                </c:pt>
                <c:pt idx="86">
                  <c:v>1.1852378838261799</c:v>
                </c:pt>
                <c:pt idx="87">
                  <c:v>1.1851546553261301</c:v>
                </c:pt>
                <c:pt idx="88">
                  <c:v>1.18494268650759</c:v>
                </c:pt>
                <c:pt idx="89">
                  <c:v>1.1861352282991799</c:v>
                </c:pt>
                <c:pt idx="90">
                  <c:v>1.1886300227350599</c:v>
                </c:pt>
                <c:pt idx="91">
                  <c:v>1.1909524223885199</c:v>
                </c:pt>
                <c:pt idx="92">
                  <c:v>1.1923849279363099</c:v>
                </c:pt>
                <c:pt idx="93">
                  <c:v>1.1930425178812001</c:v>
                </c:pt>
                <c:pt idx="94">
                  <c:v>1.1933835625484199</c:v>
                </c:pt>
                <c:pt idx="95">
                  <c:v>1.1931183480688901</c:v>
                </c:pt>
                <c:pt idx="96">
                  <c:v>1.19439663079471</c:v>
                </c:pt>
                <c:pt idx="97">
                  <c:v>1.1959698849647999</c:v>
                </c:pt>
                <c:pt idx="98">
                  <c:v>1.1972713725772299</c:v>
                </c:pt>
                <c:pt idx="99">
                  <c:v>1.19918776210386</c:v>
                </c:pt>
                <c:pt idx="100">
                  <c:v>1.2024345789150499</c:v>
                </c:pt>
                <c:pt idx="101">
                  <c:v>1.2038691569721101</c:v>
                </c:pt>
                <c:pt idx="102">
                  <c:v>1.2056491729041701</c:v>
                </c:pt>
                <c:pt idx="103">
                  <c:v>1.2084466645871399</c:v>
                </c:pt>
                <c:pt idx="104">
                  <c:v>1.2111990490975899</c:v>
                </c:pt>
                <c:pt idx="105">
                  <c:v>1.21293728800028</c:v>
                </c:pt>
                <c:pt idx="106">
                  <c:v>1.2123631405512001</c:v>
                </c:pt>
                <c:pt idx="107">
                  <c:v>1.2113325924602301</c:v>
                </c:pt>
                <c:pt idx="108">
                  <c:v>1.2094520275351199</c:v>
                </c:pt>
                <c:pt idx="109">
                  <c:v>1.20705973522702</c:v>
                </c:pt>
                <c:pt idx="110">
                  <c:v>1.2046262966885399</c:v>
                </c:pt>
                <c:pt idx="111">
                  <c:v>1.2020563510296101</c:v>
                </c:pt>
                <c:pt idx="112">
                  <c:v>1.1993099364620801</c:v>
                </c:pt>
                <c:pt idx="113">
                  <c:v>1.1945760980003599</c:v>
                </c:pt>
                <c:pt idx="114">
                  <c:v>1.1905329814507799</c:v>
                </c:pt>
                <c:pt idx="115">
                  <c:v>1.1883136339542799</c:v>
                </c:pt>
                <c:pt idx="116">
                  <c:v>1.1874530500999001</c:v>
                </c:pt>
                <c:pt idx="117">
                  <c:v>1.18480177296668</c:v>
                </c:pt>
                <c:pt idx="118">
                  <c:v>1.18145733438797</c:v>
                </c:pt>
                <c:pt idx="119">
                  <c:v>1.1777058322196701</c:v>
                </c:pt>
                <c:pt idx="120">
                  <c:v>1.1729286107086301</c:v>
                </c:pt>
                <c:pt idx="121">
                  <c:v>1.16895391473931</c:v>
                </c:pt>
                <c:pt idx="122">
                  <c:v>1.1669301450624101</c:v>
                </c:pt>
                <c:pt idx="123">
                  <c:v>1.1662176451821999</c:v>
                </c:pt>
                <c:pt idx="124">
                  <c:v>1.16448152662657</c:v>
                </c:pt>
                <c:pt idx="125">
                  <c:v>1.1610923818208301</c:v>
                </c:pt>
                <c:pt idx="126">
                  <c:v>1.15707541093654</c:v>
                </c:pt>
                <c:pt idx="127">
                  <c:v>1.1546562296318901</c:v>
                </c:pt>
                <c:pt idx="128">
                  <c:v>1.15362543126807</c:v>
                </c:pt>
                <c:pt idx="129">
                  <c:v>1.15226388312419</c:v>
                </c:pt>
                <c:pt idx="130">
                  <c:v>1.1488994084614901</c:v>
                </c:pt>
                <c:pt idx="131">
                  <c:v>1.14637288324771</c:v>
                </c:pt>
                <c:pt idx="132">
                  <c:v>1.14195828497709</c:v>
                </c:pt>
                <c:pt idx="133">
                  <c:v>1.13724540890189</c:v>
                </c:pt>
                <c:pt idx="134">
                  <c:v>1.13344797280664</c:v>
                </c:pt>
                <c:pt idx="135">
                  <c:v>1.1310151222959901</c:v>
                </c:pt>
                <c:pt idx="136">
                  <c:v>1.13235576617186</c:v>
                </c:pt>
                <c:pt idx="137">
                  <c:v>1.1324419117670099</c:v>
                </c:pt>
                <c:pt idx="138">
                  <c:v>1.13170314764428</c:v>
                </c:pt>
                <c:pt idx="139">
                  <c:v>1.1301787461263699</c:v>
                </c:pt>
                <c:pt idx="140">
                  <c:v>1.1297484600722001</c:v>
                </c:pt>
                <c:pt idx="141">
                  <c:v>1.1274516967635999</c:v>
                </c:pt>
                <c:pt idx="142">
                  <c:v>1.1240574706412201</c:v>
                </c:pt>
                <c:pt idx="143">
                  <c:v>1.1222341154690101</c:v>
                </c:pt>
                <c:pt idx="144">
                  <c:v>1.12068788319166</c:v>
                </c:pt>
                <c:pt idx="145">
                  <c:v>1.11878883510854</c:v>
                </c:pt>
                <c:pt idx="146">
                  <c:v>1.1160339447510299</c:v>
                </c:pt>
                <c:pt idx="147">
                  <c:v>1.1134950217213699</c:v>
                </c:pt>
                <c:pt idx="148">
                  <c:v>1.11310514419748</c:v>
                </c:pt>
                <c:pt idx="149">
                  <c:v>1.1154720037525001</c:v>
                </c:pt>
                <c:pt idx="150">
                  <c:v>1.11831243589893</c:v>
                </c:pt>
                <c:pt idx="151">
                  <c:v>1.12336129800336</c:v>
                </c:pt>
                <c:pt idx="152">
                  <c:v>1.13068879662182</c:v>
                </c:pt>
                <c:pt idx="153">
                  <c:v>1.1372964163160399</c:v>
                </c:pt>
                <c:pt idx="154">
                  <c:v>1.1439598120250301</c:v>
                </c:pt>
                <c:pt idx="155">
                  <c:v>1.15014252961589</c:v>
                </c:pt>
                <c:pt idx="156">
                  <c:v>1.1527731603848499</c:v>
                </c:pt>
                <c:pt idx="157">
                  <c:v>1.1563719531178001</c:v>
                </c:pt>
                <c:pt idx="158">
                  <c:v>1.15760275673811</c:v>
                </c:pt>
                <c:pt idx="159">
                  <c:v>1.15812434350796</c:v>
                </c:pt>
                <c:pt idx="160">
                  <c:v>1.15712324413075</c:v>
                </c:pt>
                <c:pt idx="161">
                  <c:v>1.1541103998033999</c:v>
                </c:pt>
                <c:pt idx="162">
                  <c:v>1.1503355710194301</c:v>
                </c:pt>
                <c:pt idx="163">
                  <c:v>1.14692036107736</c:v>
                </c:pt>
                <c:pt idx="164">
                  <c:v>1.14218042180922</c:v>
                </c:pt>
                <c:pt idx="165">
                  <c:v>1.13713135768636</c:v>
                </c:pt>
                <c:pt idx="166">
                  <c:v>1.13373958581626</c:v>
                </c:pt>
                <c:pt idx="167">
                  <c:v>1.13033504013148</c:v>
                </c:pt>
                <c:pt idx="168">
                  <c:v>1.1282974282351901</c:v>
                </c:pt>
                <c:pt idx="169">
                  <c:v>1.1254868814335199</c:v>
                </c:pt>
                <c:pt idx="170">
                  <c:v>1.12498845256979</c:v>
                </c:pt>
                <c:pt idx="171">
                  <c:v>1.1243626596007299</c:v>
                </c:pt>
                <c:pt idx="172">
                  <c:v>1.1236165959611</c:v>
                </c:pt>
                <c:pt idx="173">
                  <c:v>1.12234794027504</c:v>
                </c:pt>
                <c:pt idx="174">
                  <c:v>1.1219216979425899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0F-45FF-A527-4B8FE8C4FBA4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XAR*/ITA*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1.18514412064443</c:v>
                </c:pt>
                <c:pt idx="20">
                  <c:v>1.1872119360813</c:v>
                </c:pt>
                <c:pt idx="21">
                  <c:v>1.18911453636662</c:v>
                </c:pt>
                <c:pt idx="22">
                  <c:v>1.18940506915247</c:v>
                </c:pt>
                <c:pt idx="23">
                  <c:v>1.18875000990632</c:v>
                </c:pt>
                <c:pt idx="24">
                  <c:v>1.1878630980561899</c:v>
                </c:pt>
                <c:pt idx="25">
                  <c:v>1.1873434826410301</c:v>
                </c:pt>
                <c:pt idx="26">
                  <c:v>1.1862535220638899</c:v>
                </c:pt>
                <c:pt idx="27">
                  <c:v>1.1847916530286</c:v>
                </c:pt>
                <c:pt idx="28">
                  <c:v>1.1826178389747699</c:v>
                </c:pt>
                <c:pt idx="29">
                  <c:v>1.18024184348743</c:v>
                </c:pt>
                <c:pt idx="30">
                  <c:v>1.1776166098422101</c:v>
                </c:pt>
                <c:pt idx="31">
                  <c:v>1.17582117973333</c:v>
                </c:pt>
                <c:pt idx="32">
                  <c:v>1.17485730531551</c:v>
                </c:pt>
                <c:pt idx="33">
                  <c:v>1.17220851662644</c:v>
                </c:pt>
                <c:pt idx="34">
                  <c:v>1.1697740350485499</c:v>
                </c:pt>
                <c:pt idx="35">
                  <c:v>1.1679694852185301</c:v>
                </c:pt>
                <c:pt idx="36">
                  <c:v>1.16597289846443</c:v>
                </c:pt>
                <c:pt idx="37">
                  <c:v>1.16414837481958</c:v>
                </c:pt>
                <c:pt idx="38">
                  <c:v>1.16250079110812</c:v>
                </c:pt>
                <c:pt idx="39">
                  <c:v>1.16160921450173</c:v>
                </c:pt>
                <c:pt idx="40">
                  <c:v>1.16118085177379</c:v>
                </c:pt>
                <c:pt idx="41">
                  <c:v>1.15994585029216</c:v>
                </c:pt>
                <c:pt idx="42">
                  <c:v>1.15992115046143</c:v>
                </c:pt>
                <c:pt idx="43">
                  <c:v>1.16023875829611</c:v>
                </c:pt>
                <c:pt idx="44">
                  <c:v>1.16034834609325</c:v>
                </c:pt>
                <c:pt idx="45">
                  <c:v>1.1594693963203799</c:v>
                </c:pt>
                <c:pt idx="46">
                  <c:v>1.1593067704091</c:v>
                </c:pt>
                <c:pt idx="47">
                  <c:v>1.15954998026477</c:v>
                </c:pt>
                <c:pt idx="48">
                  <c:v>1.1598120825795699</c:v>
                </c:pt>
                <c:pt idx="49">
                  <c:v>1.1603456579235001</c:v>
                </c:pt>
                <c:pt idx="50">
                  <c:v>1.16166043079699</c:v>
                </c:pt>
                <c:pt idx="51">
                  <c:v>1.16227370480922</c:v>
                </c:pt>
                <c:pt idx="52">
                  <c:v>1.1627691522613399</c:v>
                </c:pt>
                <c:pt idx="53">
                  <c:v>1.16301728467939</c:v>
                </c:pt>
                <c:pt idx="54">
                  <c:v>1.1640441972561499</c:v>
                </c:pt>
                <c:pt idx="55">
                  <c:v>1.1646090453014999</c:v>
                </c:pt>
                <c:pt idx="56">
                  <c:v>1.1654606711881399</c:v>
                </c:pt>
                <c:pt idx="57">
                  <c:v>1.1654101812772999</c:v>
                </c:pt>
                <c:pt idx="58">
                  <c:v>1.1653408990390099</c:v>
                </c:pt>
                <c:pt idx="59">
                  <c:v>1.1649463938160101</c:v>
                </c:pt>
                <c:pt idx="60">
                  <c:v>1.16495105733485</c:v>
                </c:pt>
                <c:pt idx="61">
                  <c:v>1.1649140256269801</c:v>
                </c:pt>
                <c:pt idx="62">
                  <c:v>1.16531960755514</c:v>
                </c:pt>
                <c:pt idx="63">
                  <c:v>1.16618284338267</c:v>
                </c:pt>
                <c:pt idx="64">
                  <c:v>1.16610370261624</c:v>
                </c:pt>
                <c:pt idx="65">
                  <c:v>1.1666267669216199</c:v>
                </c:pt>
                <c:pt idx="66">
                  <c:v>1.1665556031106901</c:v>
                </c:pt>
                <c:pt idx="67">
                  <c:v>1.16683257530739</c:v>
                </c:pt>
                <c:pt idx="68">
                  <c:v>1.1677885411619799</c:v>
                </c:pt>
                <c:pt idx="69">
                  <c:v>1.16832718175841</c:v>
                </c:pt>
                <c:pt idx="70">
                  <c:v>1.16844027880104</c:v>
                </c:pt>
                <c:pt idx="71">
                  <c:v>1.1694243712354</c:v>
                </c:pt>
                <c:pt idx="72">
                  <c:v>1.1700811457584599</c:v>
                </c:pt>
                <c:pt idx="73">
                  <c:v>1.1715430059779299</c:v>
                </c:pt>
                <c:pt idx="74">
                  <c:v>1.17264627233684</c:v>
                </c:pt>
                <c:pt idx="75">
                  <c:v>1.17409423005539</c:v>
                </c:pt>
                <c:pt idx="76">
                  <c:v>1.1747681408317301</c:v>
                </c:pt>
                <c:pt idx="77">
                  <c:v>1.1758015009820599</c:v>
                </c:pt>
                <c:pt idx="78">
                  <c:v>1.1775198863058001</c:v>
                </c:pt>
                <c:pt idx="79">
                  <c:v>1.1790088143258</c:v>
                </c:pt>
                <c:pt idx="80">
                  <c:v>1.1795437307127701</c:v>
                </c:pt>
                <c:pt idx="81">
                  <c:v>1.18070812609286</c:v>
                </c:pt>
                <c:pt idx="82">
                  <c:v>1.1815065115972201</c:v>
                </c:pt>
                <c:pt idx="83">
                  <c:v>1.18239989391611</c:v>
                </c:pt>
                <c:pt idx="84">
                  <c:v>1.18341908812663</c:v>
                </c:pt>
                <c:pt idx="85">
                  <c:v>1.18471777129598</c:v>
                </c:pt>
                <c:pt idx="86">
                  <c:v>1.1856966927578201</c:v>
                </c:pt>
                <c:pt idx="87">
                  <c:v>1.18676100882719</c:v>
                </c:pt>
                <c:pt idx="88">
                  <c:v>1.18757401329271</c:v>
                </c:pt>
                <c:pt idx="89">
                  <c:v>1.1884004212157999</c:v>
                </c:pt>
                <c:pt idx="90">
                  <c:v>1.1893737668530799</c:v>
                </c:pt>
                <c:pt idx="91">
                  <c:v>1.19029950359708</c:v>
                </c:pt>
                <c:pt idx="92">
                  <c:v>1.19072183074835</c:v>
                </c:pt>
                <c:pt idx="93">
                  <c:v>1.1908821988920599</c:v>
                </c:pt>
                <c:pt idx="94">
                  <c:v>1.1903597526102401</c:v>
                </c:pt>
                <c:pt idx="95">
                  <c:v>1.1898243782837099</c:v>
                </c:pt>
                <c:pt idx="96">
                  <c:v>1.18981725731044</c:v>
                </c:pt>
                <c:pt idx="97">
                  <c:v>1.1905622701454699</c:v>
                </c:pt>
                <c:pt idx="98">
                  <c:v>1.19110702954241</c:v>
                </c:pt>
                <c:pt idx="99">
                  <c:v>1.19266149520152</c:v>
                </c:pt>
                <c:pt idx="100">
                  <c:v>1.19553230082506</c:v>
                </c:pt>
                <c:pt idx="101">
                  <c:v>1.1974107896803201</c:v>
                </c:pt>
                <c:pt idx="102">
                  <c:v>1.19901705042024</c:v>
                </c:pt>
                <c:pt idx="103">
                  <c:v>1.2007445912341701</c:v>
                </c:pt>
                <c:pt idx="104">
                  <c:v>1.20229130582301</c:v>
                </c:pt>
                <c:pt idx="105">
                  <c:v>1.2030278180345899</c:v>
                </c:pt>
                <c:pt idx="106">
                  <c:v>1.2033798856729501</c:v>
                </c:pt>
                <c:pt idx="107">
                  <c:v>1.20365123871252</c:v>
                </c:pt>
                <c:pt idx="108">
                  <c:v>1.20336170005618</c:v>
                </c:pt>
                <c:pt idx="109">
                  <c:v>1.20312374866544</c:v>
                </c:pt>
                <c:pt idx="110">
                  <c:v>1.2035304378017999</c:v>
                </c:pt>
                <c:pt idx="111">
                  <c:v>1.2029627540008601</c:v>
                </c:pt>
                <c:pt idx="112">
                  <c:v>1.2024795546831299</c:v>
                </c:pt>
                <c:pt idx="113">
                  <c:v>1.2015113812937499</c:v>
                </c:pt>
                <c:pt idx="114">
                  <c:v>1.2008660152741799</c:v>
                </c:pt>
                <c:pt idx="115">
                  <c:v>1.20062546097728</c:v>
                </c:pt>
                <c:pt idx="116">
                  <c:v>1.1999080953255501</c:v>
                </c:pt>
                <c:pt idx="117">
                  <c:v>1.1980671827134499</c:v>
                </c:pt>
                <c:pt idx="118">
                  <c:v>1.1954546809615401</c:v>
                </c:pt>
                <c:pt idx="119">
                  <c:v>1.1923827837233401</c:v>
                </c:pt>
                <c:pt idx="120">
                  <c:v>1.18877745369858</c:v>
                </c:pt>
                <c:pt idx="121">
                  <c:v>1.1855051328844599</c:v>
                </c:pt>
                <c:pt idx="122">
                  <c:v>1.18312004076225</c:v>
                </c:pt>
                <c:pt idx="123">
                  <c:v>1.18039687159128</c:v>
                </c:pt>
                <c:pt idx="124">
                  <c:v>1.17750725403867</c:v>
                </c:pt>
                <c:pt idx="125">
                  <c:v>1.17470300788756</c:v>
                </c:pt>
                <c:pt idx="126">
                  <c:v>1.17226423051822</c:v>
                </c:pt>
                <c:pt idx="127">
                  <c:v>1.16972900129929</c:v>
                </c:pt>
                <c:pt idx="128">
                  <c:v>1.1675413828280199</c:v>
                </c:pt>
                <c:pt idx="129">
                  <c:v>1.1649848576719299</c:v>
                </c:pt>
                <c:pt idx="130">
                  <c:v>1.1609140095850601</c:v>
                </c:pt>
                <c:pt idx="131">
                  <c:v>1.1576633989935099</c:v>
                </c:pt>
                <c:pt idx="132">
                  <c:v>1.15444421501975</c:v>
                </c:pt>
                <c:pt idx="133">
                  <c:v>1.1517315270420501</c:v>
                </c:pt>
                <c:pt idx="134">
                  <c:v>1.14896474971661</c:v>
                </c:pt>
                <c:pt idx="135">
                  <c:v>1.14605375205841</c:v>
                </c:pt>
                <c:pt idx="136">
                  <c:v>1.1447155885542</c:v>
                </c:pt>
                <c:pt idx="137">
                  <c:v>1.14354907069945</c:v>
                </c:pt>
                <c:pt idx="138">
                  <c:v>1.14266428945617</c:v>
                </c:pt>
                <c:pt idx="139">
                  <c:v>1.1412213146252801</c:v>
                </c:pt>
                <c:pt idx="140">
                  <c:v>1.13932393426685</c:v>
                </c:pt>
                <c:pt idx="141">
                  <c:v>1.1369122900056501</c:v>
                </c:pt>
                <c:pt idx="142">
                  <c:v>1.1330078778091599</c:v>
                </c:pt>
                <c:pt idx="143">
                  <c:v>1.1297397621854499</c:v>
                </c:pt>
                <c:pt idx="144">
                  <c:v>1.12706792799915</c:v>
                </c:pt>
                <c:pt idx="145">
                  <c:v>1.1249019787022601</c:v>
                </c:pt>
                <c:pt idx="146">
                  <c:v>1.12419485546144</c:v>
                </c:pt>
                <c:pt idx="147">
                  <c:v>1.1229684667441899</c:v>
                </c:pt>
                <c:pt idx="148">
                  <c:v>1.12240414592088</c:v>
                </c:pt>
                <c:pt idx="149">
                  <c:v>1.1228253749394399</c:v>
                </c:pt>
                <c:pt idx="150">
                  <c:v>1.1240304479855701</c:v>
                </c:pt>
                <c:pt idx="151">
                  <c:v>1.1254064973834801</c:v>
                </c:pt>
                <c:pt idx="152">
                  <c:v>1.12737313363152</c:v>
                </c:pt>
                <c:pt idx="153">
                  <c:v>1.1297652658925299</c:v>
                </c:pt>
                <c:pt idx="154">
                  <c:v>1.1323238476083499</c:v>
                </c:pt>
                <c:pt idx="155">
                  <c:v>1.1344656823622099</c:v>
                </c:pt>
                <c:pt idx="156">
                  <c:v>1.1344035525679399</c:v>
                </c:pt>
                <c:pt idx="157">
                  <c:v>1.13493348741959</c:v>
                </c:pt>
                <c:pt idx="158">
                  <c:v>1.1353539504678001</c:v>
                </c:pt>
                <c:pt idx="159">
                  <c:v>1.1367981736302299</c:v>
                </c:pt>
                <c:pt idx="160">
                  <c:v>1.13771784001484</c:v>
                </c:pt>
                <c:pt idx="161">
                  <c:v>1.1387358489033801</c:v>
                </c:pt>
                <c:pt idx="162">
                  <c:v>1.14051218382062</c:v>
                </c:pt>
                <c:pt idx="163">
                  <c:v>1.1421083886967001</c:v>
                </c:pt>
                <c:pt idx="164">
                  <c:v>1.14307011691713</c:v>
                </c:pt>
                <c:pt idx="165">
                  <c:v>1.14363694365112</c:v>
                </c:pt>
                <c:pt idx="166">
                  <c:v>1.1432563731005601</c:v>
                </c:pt>
                <c:pt idx="167">
                  <c:v>1.1433534966246399</c:v>
                </c:pt>
                <c:pt idx="168">
                  <c:v>1.14295009248665</c:v>
                </c:pt>
                <c:pt idx="169">
                  <c:v>1.1418056124707401</c:v>
                </c:pt>
                <c:pt idx="170">
                  <c:v>1.14105584835027</c:v>
                </c:pt>
                <c:pt idx="171">
                  <c:v>1.1392365297020599</c:v>
                </c:pt>
                <c:pt idx="172">
                  <c:v>1.13697608349027</c:v>
                </c:pt>
                <c:pt idx="173">
                  <c:v>1.1346341506762001</c:v>
                </c:pt>
                <c:pt idx="174">
                  <c:v>1.1320510598759099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0F-45FF-A527-4B8FE8C4F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ITA x avg / XAR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1.41295232445964E-2</c:v>
                </c:pt>
                <c:pt idx="2">
                  <c:v>8.4299640634442202E-3</c:v>
                </c:pt>
                <c:pt idx="3">
                  <c:v>5.1004125233375603E-3</c:v>
                </c:pt>
                <c:pt idx="4">
                  <c:v>-1.3330077451879E-2</c:v>
                </c:pt>
                <c:pt idx="5">
                  <c:v>-1.8384392590525898E-2</c:v>
                </c:pt>
                <c:pt idx="6">
                  <c:v>-1.8416192599796499E-2</c:v>
                </c:pt>
                <c:pt idx="7">
                  <c:v>-1.6124779026630901E-2</c:v>
                </c:pt>
                <c:pt idx="8">
                  <c:v>-2.4421586928319999E-2</c:v>
                </c:pt>
                <c:pt idx="9">
                  <c:v>-2.90298913054392E-2</c:v>
                </c:pt>
                <c:pt idx="10">
                  <c:v>-2.9636745828570999E-2</c:v>
                </c:pt>
                <c:pt idx="11">
                  <c:v>-2.39121267108258E-2</c:v>
                </c:pt>
                <c:pt idx="12">
                  <c:v>-1.8460174725458901E-2</c:v>
                </c:pt>
                <c:pt idx="13">
                  <c:v>-3.7540107809872901E-2</c:v>
                </c:pt>
                <c:pt idx="14">
                  <c:v>-3.2776456294153801E-2</c:v>
                </c:pt>
                <c:pt idx="15">
                  <c:v>-2.87343510060185E-2</c:v>
                </c:pt>
                <c:pt idx="16">
                  <c:v>-3.1342679088897603E-2</c:v>
                </c:pt>
                <c:pt idx="17">
                  <c:v>-3.2962694356859598E-2</c:v>
                </c:pt>
                <c:pt idx="18">
                  <c:v>-2.3780579320935601E-2</c:v>
                </c:pt>
                <c:pt idx="19">
                  <c:v>-7.5283621153541102E-3</c:v>
                </c:pt>
                <c:pt idx="20">
                  <c:v>-2.9254078011521599E-3</c:v>
                </c:pt>
                <c:pt idx="21">
                  <c:v>-1.8438539994079899E-2</c:v>
                </c:pt>
                <c:pt idx="22">
                  <c:v>3.4161721096612101E-3</c:v>
                </c:pt>
                <c:pt idx="23">
                  <c:v>1.6459913968829801E-2</c:v>
                </c:pt>
                <c:pt idx="24">
                  <c:v>1.79756751595088E-3</c:v>
                </c:pt>
                <c:pt idx="25">
                  <c:v>-9.5940775466512498E-3</c:v>
                </c:pt>
                <c:pt idx="26">
                  <c:v>1.11831044915418E-4</c:v>
                </c:pt>
                <c:pt idx="27">
                  <c:v>8.8625278654762708E-3</c:v>
                </c:pt>
                <c:pt idx="28">
                  <c:v>1.2649951156260201E-2</c:v>
                </c:pt>
                <c:pt idx="29">
                  <c:v>1.13700326033182E-2</c:v>
                </c:pt>
                <c:pt idx="30">
                  <c:v>1.5069459573454701E-2</c:v>
                </c:pt>
                <c:pt idx="31">
                  <c:v>6.62277716532759E-3</c:v>
                </c:pt>
                <c:pt idx="32">
                  <c:v>-2.0938327913038201E-3</c:v>
                </c:pt>
                <c:pt idx="33">
                  <c:v>7.2131774204641699E-3</c:v>
                </c:pt>
                <c:pt idx="34">
                  <c:v>8.480690725063E-3</c:v>
                </c:pt>
                <c:pt idx="35">
                  <c:v>1.8081293821819999E-3</c:v>
                </c:pt>
                <c:pt idx="36">
                  <c:v>2.4160022968158202E-3</c:v>
                </c:pt>
                <c:pt idx="37">
                  <c:v>-2.20922214645702E-3</c:v>
                </c:pt>
                <c:pt idx="38">
                  <c:v>4.2081037827494698E-3</c:v>
                </c:pt>
                <c:pt idx="39">
                  <c:v>7.7686236378616998E-3</c:v>
                </c:pt>
                <c:pt idx="40">
                  <c:v>4.42880878523161E-3</c:v>
                </c:pt>
                <c:pt idx="41">
                  <c:v>2.5806143285539802E-3</c:v>
                </c:pt>
                <c:pt idx="42">
                  <c:v>3.84144647513174E-3</c:v>
                </c:pt>
                <c:pt idx="43">
                  <c:v>1.09361020372781E-2</c:v>
                </c:pt>
                <c:pt idx="44">
                  <c:v>-8.4059224265519705E-5</c:v>
                </c:pt>
                <c:pt idx="45">
                  <c:v>5.4532736237502396E-3</c:v>
                </c:pt>
                <c:pt idx="46">
                  <c:v>2.9059453152150698E-3</c:v>
                </c:pt>
                <c:pt idx="47">
                  <c:v>4.6618740013297201E-3</c:v>
                </c:pt>
                <c:pt idx="48">
                  <c:v>8.1065930519524706E-3</c:v>
                </c:pt>
                <c:pt idx="49">
                  <c:v>2.1542919266990201E-3</c:v>
                </c:pt>
                <c:pt idx="50">
                  <c:v>-8.2196938203437896E-3</c:v>
                </c:pt>
                <c:pt idx="51">
                  <c:v>-4.5660200388746601E-3</c:v>
                </c:pt>
                <c:pt idx="52">
                  <c:v>-1.12053246486917E-2</c:v>
                </c:pt>
                <c:pt idx="53">
                  <c:v>2.2550337382501499E-3</c:v>
                </c:pt>
                <c:pt idx="54">
                  <c:v>-9.3824947982952198E-3</c:v>
                </c:pt>
                <c:pt idx="55">
                  <c:v>-8.1051112357840398E-3</c:v>
                </c:pt>
                <c:pt idx="56">
                  <c:v>-1.23736199350011E-2</c:v>
                </c:pt>
                <c:pt idx="57">
                  <c:v>-1.5970179753336E-3</c:v>
                </c:pt>
                <c:pt idx="58">
                  <c:v>5.1481925516477503E-3</c:v>
                </c:pt>
                <c:pt idx="59">
                  <c:v>1.43563463959634E-2</c:v>
                </c:pt>
                <c:pt idx="60">
                  <c:v>4.0969409100807602E-3</c:v>
                </c:pt>
                <c:pt idx="61">
                  <c:v>2.9712507619639398E-3</c:v>
                </c:pt>
                <c:pt idx="62">
                  <c:v>-3.37010655848272E-3</c:v>
                </c:pt>
                <c:pt idx="63">
                  <c:v>-4.1727004857396704E-3</c:v>
                </c:pt>
                <c:pt idx="64">
                  <c:v>1.02672465618264E-3</c:v>
                </c:pt>
                <c:pt idx="65">
                  <c:v>-3.7689090712854502E-3</c:v>
                </c:pt>
                <c:pt idx="66">
                  <c:v>3.8936025809437501E-3</c:v>
                </c:pt>
                <c:pt idx="67">
                  <c:v>-3.4196912670014101E-4</c:v>
                </c:pt>
                <c:pt idx="68">
                  <c:v>-8.5331410886863492E-3</c:v>
                </c:pt>
                <c:pt idx="69">
                  <c:v>-7.3019168255878302E-3</c:v>
                </c:pt>
                <c:pt idx="70">
                  <c:v>-9.7346749507988394E-3</c:v>
                </c:pt>
                <c:pt idx="71">
                  <c:v>-2.08396257905526E-2</c:v>
                </c:pt>
                <c:pt idx="72">
                  <c:v>-2.1875073413537199E-2</c:v>
                </c:pt>
                <c:pt idx="73">
                  <c:v>-2.21546280085579E-2</c:v>
                </c:pt>
                <c:pt idx="74">
                  <c:v>-2.79718055268478E-2</c:v>
                </c:pt>
                <c:pt idx="75">
                  <c:v>-3.2466660622263603E-2</c:v>
                </c:pt>
                <c:pt idx="76">
                  <c:v>-2.3743337808173001E-2</c:v>
                </c:pt>
                <c:pt idx="77">
                  <c:v>-1.9158721577998802E-2</c:v>
                </c:pt>
                <c:pt idx="78">
                  <c:v>-2.4073069763682699E-2</c:v>
                </c:pt>
                <c:pt idx="79">
                  <c:v>-1.1237444645855899E-2</c:v>
                </c:pt>
                <c:pt idx="80">
                  <c:v>-5.08825130260856E-3</c:v>
                </c:pt>
                <c:pt idx="81">
                  <c:v>-1.68849403849952E-2</c:v>
                </c:pt>
                <c:pt idx="82">
                  <c:v>-1.69441526012153E-2</c:v>
                </c:pt>
                <c:pt idx="83">
                  <c:v>-1.9342849320548701E-2</c:v>
                </c:pt>
                <c:pt idx="84">
                  <c:v>-1.63454996160847E-2</c:v>
                </c:pt>
                <c:pt idx="85">
                  <c:v>-2.57456197769684E-2</c:v>
                </c:pt>
                <c:pt idx="86">
                  <c:v>-1.28460841744516E-2</c:v>
                </c:pt>
                <c:pt idx="87">
                  <c:v>-1.8448512141531301E-2</c:v>
                </c:pt>
                <c:pt idx="88">
                  <c:v>-2.22835740373062E-2</c:v>
                </c:pt>
                <c:pt idx="89">
                  <c:v>-2.12977434872368E-2</c:v>
                </c:pt>
                <c:pt idx="90">
                  <c:v>-2.61553545610087E-2</c:v>
                </c:pt>
                <c:pt idx="91">
                  <c:v>-3.6289043488059898E-2</c:v>
                </c:pt>
                <c:pt idx="92">
                  <c:v>-2.8959983054238699E-2</c:v>
                </c:pt>
                <c:pt idx="93">
                  <c:v>-2.4856798426340102E-2</c:v>
                </c:pt>
                <c:pt idx="94">
                  <c:v>-1.9217732309539E-2</c:v>
                </c:pt>
                <c:pt idx="95">
                  <c:v>-2.3524714944588399E-2</c:v>
                </c:pt>
                <c:pt idx="96">
                  <c:v>-2.3619189203822E-2</c:v>
                </c:pt>
                <c:pt idx="97">
                  <c:v>-3.1616371570344602E-2</c:v>
                </c:pt>
                <c:pt idx="98">
                  <c:v>-3.3145400613604603E-2</c:v>
                </c:pt>
                <c:pt idx="99">
                  <c:v>-3.7266264423925798E-2</c:v>
                </c:pt>
                <c:pt idx="100">
                  <c:v>-5.2931480787181302E-2</c:v>
                </c:pt>
                <c:pt idx="101">
                  <c:v>-4.8081436777484401E-2</c:v>
                </c:pt>
                <c:pt idx="102">
                  <c:v>-4.3678735740160402E-2</c:v>
                </c:pt>
                <c:pt idx="103">
                  <c:v>-4.7999972416126198E-2</c:v>
                </c:pt>
                <c:pt idx="104">
                  <c:v>-4.2121025677297398E-2</c:v>
                </c:pt>
                <c:pt idx="105">
                  <c:v>-3.7983336229869102E-2</c:v>
                </c:pt>
                <c:pt idx="106">
                  <c:v>-1.8787381574950499E-2</c:v>
                </c:pt>
                <c:pt idx="107">
                  <c:v>-2.3006966658866802E-2</c:v>
                </c:pt>
                <c:pt idx="108">
                  <c:v>-1.7405910124745301E-2</c:v>
                </c:pt>
                <c:pt idx="109">
                  <c:v>-1.7291513919171501E-2</c:v>
                </c:pt>
                <c:pt idx="110">
                  <c:v>-3.2922313944662399E-2</c:v>
                </c:pt>
                <c:pt idx="111">
                  <c:v>-2.6836238615077501E-2</c:v>
                </c:pt>
                <c:pt idx="112">
                  <c:v>-2.1535151109477201E-2</c:v>
                </c:pt>
                <c:pt idx="113">
                  <c:v>-9.1732248907959498E-3</c:v>
                </c:pt>
                <c:pt idx="114">
                  <c:v>-8.9374042378579203E-3</c:v>
                </c:pt>
                <c:pt idx="115">
                  <c:v>-2.0150194441265399E-2</c:v>
                </c:pt>
                <c:pt idx="116">
                  <c:v>-1.1977063587061699E-2</c:v>
                </c:pt>
                <c:pt idx="117">
                  <c:v>-9.7596723829714298E-4</c:v>
                </c:pt>
                <c:pt idx="118">
                  <c:v>1.0751220976664101E-2</c:v>
                </c:pt>
                <c:pt idx="119">
                  <c:v>1.4419562562874201E-2</c:v>
                </c:pt>
                <c:pt idx="120">
                  <c:v>7.0978598089048899E-3</c:v>
                </c:pt>
                <c:pt idx="121">
                  <c:v>6.4849751266140201E-3</c:v>
                </c:pt>
                <c:pt idx="122">
                  <c:v>-4.1398295477792398E-3</c:v>
                </c:pt>
                <c:pt idx="123">
                  <c:v>-2.85784115027147E-3</c:v>
                </c:pt>
                <c:pt idx="124">
                  <c:v>6.1859871877747302E-3</c:v>
                </c:pt>
                <c:pt idx="125">
                  <c:v>9.0495453796816897E-3</c:v>
                </c:pt>
                <c:pt idx="126">
                  <c:v>2.2736150240081601E-2</c:v>
                </c:pt>
                <c:pt idx="127">
                  <c:v>2.0011530637132201E-2</c:v>
                </c:pt>
                <c:pt idx="128">
                  <c:v>1.9750708717522901E-2</c:v>
                </c:pt>
                <c:pt idx="129">
                  <c:v>2.6359545531619E-2</c:v>
                </c:pt>
                <c:pt idx="130">
                  <c:v>3.6628361603137698E-2</c:v>
                </c:pt>
                <c:pt idx="131">
                  <c:v>2.85573712470941E-2</c:v>
                </c:pt>
                <c:pt idx="132">
                  <c:v>3.43342304887055E-2</c:v>
                </c:pt>
                <c:pt idx="133">
                  <c:v>3.8304650962046299E-2</c:v>
                </c:pt>
                <c:pt idx="134">
                  <c:v>3.95046848428987E-2</c:v>
                </c:pt>
                <c:pt idx="135">
                  <c:v>3.0299030598521699E-2</c:v>
                </c:pt>
                <c:pt idx="136">
                  <c:v>1.09810284906198E-2</c:v>
                </c:pt>
                <c:pt idx="137">
                  <c:v>1.92319054782801E-2</c:v>
                </c:pt>
                <c:pt idx="138">
                  <c:v>2.6239571347425598E-2</c:v>
                </c:pt>
                <c:pt idx="139">
                  <c:v>3.9896472403750202E-2</c:v>
                </c:pt>
                <c:pt idx="140">
                  <c:v>4.0494071650750502E-2</c:v>
                </c:pt>
                <c:pt idx="141">
                  <c:v>4.9091608604922898E-2</c:v>
                </c:pt>
                <c:pt idx="142">
                  <c:v>6.4969982306997701E-2</c:v>
                </c:pt>
                <c:pt idx="143">
                  <c:v>5.4732247122713899E-2</c:v>
                </c:pt>
                <c:pt idx="144">
                  <c:v>5.34428071887963E-2</c:v>
                </c:pt>
                <c:pt idx="145">
                  <c:v>4.7302796890346603E-2</c:v>
                </c:pt>
                <c:pt idx="146">
                  <c:v>3.5254314185661502E-2</c:v>
                </c:pt>
                <c:pt idx="147">
                  <c:v>4.1771802579134598E-2</c:v>
                </c:pt>
                <c:pt idx="148">
                  <c:v>2.9715030633111299E-2</c:v>
                </c:pt>
                <c:pt idx="149">
                  <c:v>1.8989660509824799E-2</c:v>
                </c:pt>
                <c:pt idx="150">
                  <c:v>1.54267548214163E-2</c:v>
                </c:pt>
                <c:pt idx="151">
                  <c:v>4.5718216612964501E-3</c:v>
                </c:pt>
                <c:pt idx="152">
                  <c:v>1.0606537619903101E-5</c:v>
                </c:pt>
                <c:pt idx="153">
                  <c:v>-3.4531215343376301E-3</c:v>
                </c:pt>
                <c:pt idx="154">
                  <c:v>-5.1410188945078296E-3</c:v>
                </c:pt>
                <c:pt idx="155">
                  <c:v>-6.8622072193598102E-3</c:v>
                </c:pt>
                <c:pt idx="156">
                  <c:v>1.2124162702668501E-2</c:v>
                </c:pt>
                <c:pt idx="157">
                  <c:v>1.00377567773115E-2</c:v>
                </c:pt>
                <c:pt idx="158">
                  <c:v>1.8850247088552399E-2</c:v>
                </c:pt>
                <c:pt idx="159">
                  <c:v>1.43976912405491E-2</c:v>
                </c:pt>
                <c:pt idx="160">
                  <c:v>2.41475917897775E-2</c:v>
                </c:pt>
                <c:pt idx="161">
                  <c:v>3.0861656956458299E-2</c:v>
                </c:pt>
                <c:pt idx="162">
                  <c:v>3.2926681970727602E-2</c:v>
                </c:pt>
                <c:pt idx="163">
                  <c:v>2.6170288032594299E-2</c:v>
                </c:pt>
                <c:pt idx="164">
                  <c:v>3.6145906604087702E-2</c:v>
                </c:pt>
                <c:pt idx="165">
                  <c:v>3.7095844783590001E-2</c:v>
                </c:pt>
                <c:pt idx="166">
                  <c:v>4.1977893975774699E-2</c:v>
                </c:pt>
                <c:pt idx="167">
                  <c:v>3.9951963519019598E-2</c:v>
                </c:pt>
                <c:pt idx="168">
                  <c:v>3.6810800729043303E-2</c:v>
                </c:pt>
                <c:pt idx="169">
                  <c:v>3.9157551125491602E-2</c:v>
                </c:pt>
                <c:pt idx="170">
                  <c:v>2.8512459309932101E-2</c:v>
                </c:pt>
                <c:pt idx="171">
                  <c:v>3.6374332032176299E-2</c:v>
                </c:pt>
                <c:pt idx="172">
                  <c:v>3.9515324214556898E-2</c:v>
                </c:pt>
                <c:pt idx="173">
                  <c:v>3.7371409222450497E-2</c:v>
                </c:pt>
                <c:pt idx="174">
                  <c:v>3.9898213003104803E-2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3A-497B-83FE-6839F6629E8E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ITA x 10 dma / XAR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-2.3561523503145498E-2</c:v>
                </c:pt>
                <c:pt idx="11">
                  <c:v>-1.16316608152074E-2</c:v>
                </c:pt>
                <c:pt idx="12">
                  <c:v>-2.4104347818399499E-3</c:v>
                </c:pt>
                <c:pt idx="13">
                  <c:v>-1.8834313472415699E-2</c:v>
                </c:pt>
                <c:pt idx="14">
                  <c:v>-9.8258964968477094E-3</c:v>
                </c:pt>
                <c:pt idx="15">
                  <c:v>-3.84081174941725E-3</c:v>
                </c:pt>
                <c:pt idx="16">
                  <c:v>-5.4160531322068398E-3</c:v>
                </c:pt>
                <c:pt idx="17">
                  <c:v>-5.7455967181514796E-3</c:v>
                </c:pt>
                <c:pt idx="18">
                  <c:v>5.1144258431680004E-3</c:v>
                </c:pt>
                <c:pt idx="19">
                  <c:v>2.1302846810635601E-2</c:v>
                </c:pt>
                <c:pt idx="20">
                  <c:v>2.3775909917215801E-2</c:v>
                </c:pt>
                <c:pt idx="21">
                  <c:v>5.6157543991651E-3</c:v>
                </c:pt>
                <c:pt idx="22">
                  <c:v>2.6924531712721599E-2</c:v>
                </c:pt>
                <c:pt idx="23">
                  <c:v>3.7812969212119102E-2</c:v>
                </c:pt>
                <c:pt idx="24">
                  <c:v>1.7793724368150601E-2</c:v>
                </c:pt>
                <c:pt idx="25">
                  <c:v>2.9402711226822901E-3</c:v>
                </c:pt>
                <c:pt idx="26">
                  <c:v>1.07175324090253E-2</c:v>
                </c:pt>
                <c:pt idx="27">
                  <c:v>1.6301842804893101E-2</c:v>
                </c:pt>
                <c:pt idx="28">
                  <c:v>1.58782545510417E-2</c:v>
                </c:pt>
                <c:pt idx="29">
                  <c:v>1.0939873185677599E-2</c:v>
                </c:pt>
                <c:pt idx="30">
                  <c:v>1.27504649152517E-2</c:v>
                </c:pt>
                <c:pt idx="31">
                  <c:v>2.5094035184647099E-3</c:v>
                </c:pt>
                <c:pt idx="32">
                  <c:v>-8.7418547547523599E-3</c:v>
                </c:pt>
                <c:pt idx="33">
                  <c:v>1.1193117282432899E-3</c:v>
                </c:pt>
                <c:pt idx="34">
                  <c:v>3.3057847033073902E-3</c:v>
                </c:pt>
                <c:pt idx="35">
                  <c:v>-4.0353375518848702E-3</c:v>
                </c:pt>
                <c:pt idx="36">
                  <c:v>-4.5795108305531299E-3</c:v>
                </c:pt>
                <c:pt idx="37">
                  <c:v>-9.4365037564799106E-3</c:v>
                </c:pt>
                <c:pt idx="38">
                  <c:v>-1.9082873039490899E-3</c:v>
                </c:pt>
                <c:pt idx="39">
                  <c:v>2.49411527008716E-3</c:v>
                </c:pt>
                <c:pt idx="40">
                  <c:v>-4.8716619648040403E-4</c:v>
                </c:pt>
                <c:pt idx="41">
                  <c:v>-1.27698124772583E-3</c:v>
                </c:pt>
                <c:pt idx="42">
                  <c:v>3.87685239919054E-4</c:v>
                </c:pt>
                <c:pt idx="43">
                  <c:v>6.8871016302998397E-3</c:v>
                </c:pt>
                <c:pt idx="44">
                  <c:v>-4.5035546176456004E-3</c:v>
                </c:pt>
                <c:pt idx="45">
                  <c:v>1.8900785696424E-3</c:v>
                </c:pt>
                <c:pt idx="46">
                  <c:v>-1.0218062012303799E-3</c:v>
                </c:pt>
                <c:pt idx="47">
                  <c:v>6.85064875031533E-4</c:v>
                </c:pt>
                <c:pt idx="48">
                  <c:v>3.44054299864535E-3</c:v>
                </c:pt>
                <c:pt idx="49">
                  <c:v>-2.9011021368030901E-3</c:v>
                </c:pt>
                <c:pt idx="50">
                  <c:v>-1.27137588085207E-2</c:v>
                </c:pt>
                <c:pt idx="51">
                  <c:v>-7.7879281711108602E-3</c:v>
                </c:pt>
                <c:pt idx="52">
                  <c:v>-1.3709806843864299E-2</c:v>
                </c:pt>
                <c:pt idx="53">
                  <c:v>1.26343537129877E-3</c:v>
                </c:pt>
                <c:pt idx="54">
                  <c:v>-9.5112072562573806E-3</c:v>
                </c:pt>
                <c:pt idx="55">
                  <c:v>-7.2998811326977601E-3</c:v>
                </c:pt>
                <c:pt idx="56">
                  <c:v>-1.0212754091263401E-2</c:v>
                </c:pt>
                <c:pt idx="57">
                  <c:v>2.0945835719238699E-3</c:v>
                </c:pt>
                <c:pt idx="58">
                  <c:v>9.4622294216742901E-3</c:v>
                </c:pt>
                <c:pt idx="59">
                  <c:v>1.8962961348308102E-2</c:v>
                </c:pt>
                <c:pt idx="60">
                  <c:v>7.4982105099296202E-3</c:v>
                </c:pt>
                <c:pt idx="61">
                  <c:v>5.1417412083694797E-3</c:v>
                </c:pt>
                <c:pt idx="62">
                  <c:v>-1.9525941538782001E-3</c:v>
                </c:pt>
                <c:pt idx="63">
                  <c:v>-3.5436356077243902E-3</c:v>
                </c:pt>
                <c:pt idx="64">
                  <c:v>2.2985694375972599E-3</c:v>
                </c:pt>
                <c:pt idx="65">
                  <c:v>-3.5415656107445998E-3</c:v>
                </c:pt>
                <c:pt idx="66">
                  <c:v>3.68474745414797E-3</c:v>
                </c:pt>
                <c:pt idx="67">
                  <c:v>-2.1861541325765002E-3</c:v>
                </c:pt>
                <c:pt idx="68">
                  <c:v>-1.05031925362021E-2</c:v>
                </c:pt>
                <c:pt idx="69">
                  <c:v>-7.8997461162988794E-3</c:v>
                </c:pt>
                <c:pt idx="70">
                  <c:v>-8.1752994086505392E-3</c:v>
                </c:pt>
                <c:pt idx="71">
                  <c:v>-1.7896292556292E-2</c:v>
                </c:pt>
                <c:pt idx="72">
                  <c:v>-1.65391528940186E-2</c:v>
                </c:pt>
                <c:pt idx="73">
                  <c:v>-1.49563862007816E-2</c:v>
                </c:pt>
                <c:pt idx="74">
                  <c:v>-1.8966221783086299E-2</c:v>
                </c:pt>
                <c:pt idx="75">
                  <c:v>-2.0552373688138E-2</c:v>
                </c:pt>
                <c:pt idx="76">
                  <c:v>-8.9454801399164192E-3</c:v>
                </c:pt>
                <c:pt idx="77">
                  <c:v>-1.6142923196745299E-3</c:v>
                </c:pt>
                <c:pt idx="78">
                  <c:v>-4.66328749778746E-3</c:v>
                </c:pt>
                <c:pt idx="79">
                  <c:v>9.7203270590504494E-3</c:v>
                </c:pt>
                <c:pt idx="80">
                  <c:v>1.6258424699039199E-2</c:v>
                </c:pt>
                <c:pt idx="81">
                  <c:v>4.0034178126954097E-3</c:v>
                </c:pt>
                <c:pt idx="82">
                  <c:v>3.5494593344997999E-3</c:v>
                </c:pt>
                <c:pt idx="83">
                  <c:v>6.5808290990292302E-4</c:v>
                </c:pt>
                <c:pt idx="84">
                  <c:v>3.3740047104945901E-3</c:v>
                </c:pt>
                <c:pt idx="85">
                  <c:v>-7.1922715910661301E-3</c:v>
                </c:pt>
                <c:pt idx="86">
                  <c:v>5.0277977337032896E-3</c:v>
                </c:pt>
                <c:pt idx="87">
                  <c:v>-1.66541436430039E-3</c:v>
                </c:pt>
                <c:pt idx="88">
                  <c:v>-5.5716433817777399E-3</c:v>
                </c:pt>
                <c:pt idx="89">
                  <c:v>-4.7659395575678203E-3</c:v>
                </c:pt>
                <c:pt idx="90">
                  <c:v>-8.61828771984385E-3</c:v>
                </c:pt>
                <c:pt idx="91">
                  <c:v>-1.6651466099276601E-2</c:v>
                </c:pt>
                <c:pt idx="92">
                  <c:v>-7.37033954259268E-3</c:v>
                </c:pt>
                <c:pt idx="93">
                  <c:v>-2.0646497485684698E-3</c:v>
                </c:pt>
                <c:pt idx="94">
                  <c:v>4.12527861211749E-3</c:v>
                </c:pt>
                <c:pt idx="95">
                  <c:v>1.03885631503757E-4</c:v>
                </c:pt>
                <c:pt idx="96">
                  <c:v>-2.1292753356998999E-4</c:v>
                </c:pt>
                <c:pt idx="97">
                  <c:v>-7.1389273427917696E-3</c:v>
                </c:pt>
                <c:pt idx="98">
                  <c:v>-7.3512970849952501E-3</c:v>
                </c:pt>
                <c:pt idx="99">
                  <c:v>-1.03844767391794E-2</c:v>
                </c:pt>
                <c:pt idx="100">
                  <c:v>-2.4450266373123E-2</c:v>
                </c:pt>
                <c:pt idx="101">
                  <c:v>-1.6896402744194301E-2</c:v>
                </c:pt>
                <c:pt idx="102">
                  <c:v>-1.13021221978885E-2</c:v>
                </c:pt>
                <c:pt idx="103">
                  <c:v>-1.41467463101397E-2</c:v>
                </c:pt>
                <c:pt idx="104">
                  <c:v>-5.9501507980939897E-3</c:v>
                </c:pt>
                <c:pt idx="105">
                  <c:v>4.6276184560361801E-4</c:v>
                </c:pt>
                <c:pt idx="106">
                  <c:v>2.10924837796393E-2</c:v>
                </c:pt>
                <c:pt idx="107">
                  <c:v>1.63985453998538E-2</c:v>
                </c:pt>
                <c:pt idx="108">
                  <c:v>2.1148646226828299E-2</c:v>
                </c:pt>
                <c:pt idx="109">
                  <c:v>1.9708632040286399E-2</c:v>
                </c:pt>
                <c:pt idx="110">
                  <c:v>2.09768877738228E-3</c:v>
                </c:pt>
                <c:pt idx="111">
                  <c:v>6.1648934795913001E-3</c:v>
                </c:pt>
                <c:pt idx="112">
                  <c:v>9.3296490787518303E-3</c:v>
                </c:pt>
                <c:pt idx="113">
                  <c:v>1.94708464281718E-2</c:v>
                </c:pt>
                <c:pt idx="114">
                  <c:v>1.5816414366031602E-2</c:v>
                </c:pt>
                <c:pt idx="115">
                  <c:v>1.2770085485443699E-3</c:v>
                </c:pt>
                <c:pt idx="116">
                  <c:v>7.65150893334031E-3</c:v>
                </c:pt>
                <c:pt idx="117">
                  <c:v>1.79742278948791E-2</c:v>
                </c:pt>
                <c:pt idx="118">
                  <c:v>2.7511152600966E-2</c:v>
                </c:pt>
                <c:pt idx="119">
                  <c:v>2.8397392262208901E-2</c:v>
                </c:pt>
                <c:pt idx="120">
                  <c:v>1.7939059766159199E-2</c:v>
                </c:pt>
                <c:pt idx="121">
                  <c:v>1.3307529252595599E-2</c:v>
                </c:pt>
                <c:pt idx="122">
                  <c:v>-6.6634496083018595E-4</c:v>
                </c:pt>
                <c:pt idx="123">
                  <c:v>-1.1418197852936401E-3</c:v>
                </c:pt>
                <c:pt idx="124">
                  <c:v>7.2675467441091603E-3</c:v>
                </c:pt>
                <c:pt idx="125">
                  <c:v>8.6171610233676497E-3</c:v>
                </c:pt>
                <c:pt idx="126">
                  <c:v>1.93618426115903E-2</c:v>
                </c:pt>
                <c:pt idx="127">
                  <c:v>1.3166666103674399E-2</c:v>
                </c:pt>
                <c:pt idx="128">
                  <c:v>1.08104644987915E-2</c:v>
                </c:pt>
                <c:pt idx="129">
                  <c:v>1.6524610847356201E-2</c:v>
                </c:pt>
                <c:pt idx="130">
                  <c:v>2.5611259043980601E-2</c:v>
                </c:pt>
                <c:pt idx="131">
                  <c:v>1.46146927777658E-2</c:v>
                </c:pt>
                <c:pt idx="132">
                  <c:v>1.81897300086146E-2</c:v>
                </c:pt>
                <c:pt idx="133">
                  <c:v>1.8301038626283E-2</c:v>
                </c:pt>
                <c:pt idx="134">
                  <c:v>1.53666002529705E-2</c:v>
                </c:pt>
                <c:pt idx="135">
                  <c:v>2.81903389571632E-3</c:v>
                </c:pt>
                <c:pt idx="136">
                  <c:v>-1.8642905251794101E-2</c:v>
                </c:pt>
                <c:pt idx="137">
                  <c:v>-9.2021154574013497E-3</c:v>
                </c:pt>
                <c:pt idx="138">
                  <c:v>-2.1158000979613701E-3</c:v>
                </c:pt>
                <c:pt idx="139">
                  <c:v>1.0888513142603499E-2</c:v>
                </c:pt>
                <c:pt idx="140">
                  <c:v>1.0137065662050899E-2</c:v>
                </c:pt>
                <c:pt idx="141">
                  <c:v>1.83511163868702E-2</c:v>
                </c:pt>
                <c:pt idx="142">
                  <c:v>3.2190486167133499E-2</c:v>
                </c:pt>
                <c:pt idx="143">
                  <c:v>1.8935768355973201E-2</c:v>
                </c:pt>
                <c:pt idx="144">
                  <c:v>1.6019747895914701E-2</c:v>
                </c:pt>
                <c:pt idx="145">
                  <c:v>8.4975173984433994E-3</c:v>
                </c:pt>
                <c:pt idx="146">
                  <c:v>-5.2528171721848097E-3</c:v>
                </c:pt>
                <c:pt idx="147">
                  <c:v>-1.2083524616672799E-3</c:v>
                </c:pt>
                <c:pt idx="148">
                  <c:v>-1.5550073115591799E-2</c:v>
                </c:pt>
                <c:pt idx="149">
                  <c:v>-2.6629112420226201E-2</c:v>
                </c:pt>
                <c:pt idx="150">
                  <c:v>-2.8069459201806202E-2</c:v>
                </c:pt>
                <c:pt idx="151">
                  <c:v>-3.6381581534302702E-2</c:v>
                </c:pt>
                <c:pt idx="152">
                  <c:v>-3.6437294636095699E-2</c:v>
                </c:pt>
                <c:pt idx="153">
                  <c:v>-3.33993607938151E-2</c:v>
                </c:pt>
                <c:pt idx="154">
                  <c:v>-2.9259797014208E-2</c:v>
                </c:pt>
                <c:pt idx="155">
                  <c:v>-2.5139050481300301E-2</c:v>
                </c:pt>
                <c:pt idx="156">
                  <c:v>-7.6059919533413498E-4</c:v>
                </c:pt>
                <c:pt idx="157">
                  <c:v>-5.6140932592760795E-4</c:v>
                </c:pt>
                <c:pt idx="158">
                  <c:v>1.1371541906052799E-2</c:v>
                </c:pt>
                <c:pt idx="159">
                  <c:v>7.9867947863764294E-3</c:v>
                </c:pt>
                <c:pt idx="160">
                  <c:v>1.81910917811604E-2</c:v>
                </c:pt>
                <c:pt idx="161">
                  <c:v>2.4044678898906598E-2</c:v>
                </c:pt>
                <c:pt idx="162">
                  <c:v>2.3505757857888901E-2</c:v>
                </c:pt>
                <c:pt idx="163">
                  <c:v>1.34753719253102E-2</c:v>
                </c:pt>
                <c:pt idx="164">
                  <c:v>2.0480171241161998E-2</c:v>
                </c:pt>
                <c:pt idx="165">
                  <c:v>1.7291898744026899E-2</c:v>
                </c:pt>
                <c:pt idx="166">
                  <c:v>1.7747352150661699E-2</c:v>
                </c:pt>
                <c:pt idx="167">
                  <c:v>1.2739906052669401E-2</c:v>
                </c:pt>
                <c:pt idx="168">
                  <c:v>6.59606735127436E-3</c:v>
                </c:pt>
                <c:pt idx="169">
                  <c:v>7.1408282960917198E-3</c:v>
                </c:pt>
                <c:pt idx="170">
                  <c:v>-5.9964219176666302E-3</c:v>
                </c:pt>
                <c:pt idx="171">
                  <c:v>1.4252822421123E-3</c:v>
                </c:pt>
                <c:pt idx="172">
                  <c:v>4.01411955241449E-3</c:v>
                </c:pt>
                <c:pt idx="173">
                  <c:v>1.2115963890935899E-3</c:v>
                </c:pt>
                <c:pt idx="174">
                  <c:v>2.6127218950884202E-3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3A-497B-83FE-6839F6629E8E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ITA x 20 dma / XAR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1.3516040754480501E-2</c:v>
                </c:pt>
                <c:pt idx="21">
                  <c:v>-2.5383207004588598E-4</c:v>
                </c:pt>
                <c:pt idx="22">
                  <c:v>2.3202175742785099E-2</c:v>
                </c:pt>
                <c:pt idx="23">
                  <c:v>3.6490214757735298E-2</c:v>
                </c:pt>
                <c:pt idx="24">
                  <c:v>2.12769712935615E-2</c:v>
                </c:pt>
                <c:pt idx="25">
                  <c:v>9.13895999379063E-3</c:v>
                </c:pt>
                <c:pt idx="26">
                  <c:v>1.8407335759645201E-2</c:v>
                </c:pt>
                <c:pt idx="27">
                  <c:v>2.6239628443712401E-2</c:v>
                </c:pt>
                <c:pt idx="28">
                  <c:v>2.8793950622899099E-2</c:v>
                </c:pt>
                <c:pt idx="29">
                  <c:v>2.5677581999014799E-2</c:v>
                </c:pt>
                <c:pt idx="30">
                  <c:v>2.7365889725962201E-2</c:v>
                </c:pt>
                <c:pt idx="31">
                  <c:v>1.6692411450339499E-2</c:v>
                </c:pt>
                <c:pt idx="32">
                  <c:v>6.4500076400065597E-3</c:v>
                </c:pt>
                <c:pt idx="33">
                  <c:v>1.49369359239638E-2</c:v>
                </c:pt>
                <c:pt idx="34">
                  <c:v>1.39473418318864E-2</c:v>
                </c:pt>
                <c:pt idx="35">
                  <c:v>5.1957876690023903E-3</c:v>
                </c:pt>
                <c:pt idx="36">
                  <c:v>4.2598212592591502E-3</c:v>
                </c:pt>
                <c:pt idx="37">
                  <c:v>-2.07631709096301E-3</c:v>
                </c:pt>
                <c:pt idx="38">
                  <c:v>2.7749753114449998E-3</c:v>
                </c:pt>
                <c:pt idx="39">
                  <c:v>4.9192232068796804E-3</c:v>
                </c:pt>
                <c:pt idx="40">
                  <c:v>8.1216700338736995E-4</c:v>
                </c:pt>
                <c:pt idx="41">
                  <c:v>-1.40486210521489E-3</c:v>
                </c:pt>
                <c:pt idx="42">
                  <c:v>-1.20816971204118E-3</c:v>
                </c:pt>
                <c:pt idx="43">
                  <c:v>5.8651916718417798E-3</c:v>
                </c:pt>
                <c:pt idx="44">
                  <c:v>-4.8811886011829097E-3</c:v>
                </c:pt>
                <c:pt idx="45">
                  <c:v>7.5059258450270797E-4</c:v>
                </c:pt>
                <c:pt idx="46">
                  <c:v>-2.5545106119909001E-3</c:v>
                </c:pt>
                <c:pt idx="47">
                  <c:v>-9.38850670991364E-4</c:v>
                </c:pt>
                <c:pt idx="48">
                  <c:v>2.71563541806577E-3</c:v>
                </c:pt>
                <c:pt idx="49">
                  <c:v>-3.01065328755469E-3</c:v>
                </c:pt>
                <c:pt idx="50">
                  <c:v>-1.2924691554283101E-2</c:v>
                </c:pt>
                <c:pt idx="51">
                  <c:v>-8.1057213808175908E-3</c:v>
                </c:pt>
                <c:pt idx="52">
                  <c:v>-1.4184333722551699E-2</c:v>
                </c:pt>
                <c:pt idx="53">
                  <c:v>-2.6409718576557401E-4</c:v>
                </c:pt>
                <c:pt idx="54">
                  <c:v>-1.1654297373456701E-2</c:v>
                </c:pt>
                <c:pt idx="55">
                  <c:v>-9.48170832089704E-3</c:v>
                </c:pt>
                <c:pt idx="56">
                  <c:v>-1.32524288708427E-2</c:v>
                </c:pt>
                <c:pt idx="57">
                  <c:v>-1.7322712175821199E-3</c:v>
                </c:pt>
                <c:pt idx="58">
                  <c:v>4.9822661712810102E-3</c:v>
                </c:pt>
                <c:pt idx="59">
                  <c:v>1.4143626097271799E-2</c:v>
                </c:pt>
                <c:pt idx="60">
                  <c:v>3.5583352342103401E-3</c:v>
                </c:pt>
                <c:pt idx="61">
                  <c:v>2.4491766599490702E-3</c:v>
                </c:pt>
                <c:pt idx="62">
                  <c:v>-3.91166869979409E-3</c:v>
                </c:pt>
                <c:pt idx="63">
                  <c:v>-4.3536389115743004E-3</c:v>
                </c:pt>
                <c:pt idx="64">
                  <c:v>1.59853601296149E-3</c:v>
                </c:pt>
                <c:pt idx="65">
                  <c:v>-3.2525805453511702E-3</c:v>
                </c:pt>
                <c:pt idx="66">
                  <c:v>4.8703098864353398E-3</c:v>
                </c:pt>
                <c:pt idx="67">
                  <c:v>5.8556975569429097E-4</c:v>
                </c:pt>
                <c:pt idx="68">
                  <c:v>-7.3562121648052701E-3</c:v>
                </c:pt>
                <c:pt idx="69">
                  <c:v>-5.2941382186071501E-3</c:v>
                </c:pt>
                <c:pt idx="70">
                  <c:v>-7.2539283081452903E-3</c:v>
                </c:pt>
                <c:pt idx="71">
                  <c:v>-1.82826392894745E-2</c:v>
                </c:pt>
                <c:pt idx="72">
                  <c:v>-1.8496437712434002E-2</c:v>
                </c:pt>
                <c:pt idx="73">
                  <c:v>-1.8235580414669699E-2</c:v>
                </c:pt>
                <c:pt idx="74">
                  <c:v>-2.2825614943099301E-2</c:v>
                </c:pt>
                <c:pt idx="75">
                  <c:v>-2.63787724411234E-2</c:v>
                </c:pt>
                <c:pt idx="76">
                  <c:v>-1.6420686622968798E-2</c:v>
                </c:pt>
                <c:pt idx="77">
                  <c:v>-1.1261610392384399E-2</c:v>
                </c:pt>
                <c:pt idx="78">
                  <c:v>-1.52960682814766E-2</c:v>
                </c:pt>
                <c:pt idx="79">
                  <c:v>-9.9939407138602298E-4</c:v>
                </c:pt>
                <c:pt idx="80">
                  <c:v>6.4137158282995699E-3</c:v>
                </c:pt>
                <c:pt idx="81">
                  <c:v>-4.9288422189917398E-3</c:v>
                </c:pt>
                <c:pt idx="82">
                  <c:v>-4.0006671973962897E-3</c:v>
                </c:pt>
                <c:pt idx="83">
                  <c:v>-5.7227738311037999E-3</c:v>
                </c:pt>
                <c:pt idx="84">
                  <c:v>-1.96860713775858E-3</c:v>
                </c:pt>
                <c:pt idx="85">
                  <c:v>-1.0506292585284901E-2</c:v>
                </c:pt>
                <c:pt idx="86">
                  <c:v>3.4909683539284201E-3</c:v>
                </c:pt>
                <c:pt idx="87">
                  <c:v>-1.2846761705523899E-3</c:v>
                </c:pt>
                <c:pt idx="88">
                  <c:v>-4.2218077764562901E-3</c:v>
                </c:pt>
                <c:pt idx="89">
                  <c:v>-2.5505070231043301E-3</c:v>
                </c:pt>
                <c:pt idx="90">
                  <c:v>-6.7116690004548401E-3</c:v>
                </c:pt>
                <c:pt idx="91">
                  <c:v>-1.6025880138256701E-2</c:v>
                </c:pt>
                <c:pt idx="92">
                  <c:v>-7.9182051699137196E-3</c:v>
                </c:pt>
                <c:pt idx="93">
                  <c:v>-3.4592841113876001E-3</c:v>
                </c:pt>
                <c:pt idx="94">
                  <c:v>2.3151665386865398E-3</c:v>
                </c:pt>
                <c:pt idx="95">
                  <c:v>-2.43052079369386E-3</c:v>
                </c:pt>
                <c:pt idx="96">
                  <c:v>-2.9752915162686998E-3</c:v>
                </c:pt>
                <c:pt idx="97">
                  <c:v>-1.09787002152953E-2</c:v>
                </c:pt>
                <c:pt idx="98">
                  <c:v>-1.1882072823960499E-2</c:v>
                </c:pt>
                <c:pt idx="99">
                  <c:v>-1.5546078406017801E-2</c:v>
                </c:pt>
                <c:pt idx="100">
                  <c:v>-2.99073684385253E-2</c:v>
                </c:pt>
                <c:pt idx="101">
                  <c:v>-2.2653463189684399E-2</c:v>
                </c:pt>
                <c:pt idx="102">
                  <c:v>-1.6681062443413101E-2</c:v>
                </c:pt>
                <c:pt idx="103">
                  <c:v>-1.96619916729758E-2</c:v>
                </c:pt>
                <c:pt idx="104">
                  <c:v>-1.2343513656183301E-2</c:v>
                </c:pt>
                <c:pt idx="105">
                  <c:v>-6.9185423761371299E-3</c:v>
                </c:pt>
                <c:pt idx="106">
                  <c:v>1.28896040061933E-2</c:v>
                </c:pt>
                <c:pt idx="107">
                  <c:v>8.9623671267696093E-3</c:v>
                </c:pt>
                <c:pt idx="108">
                  <c:v>1.4788773321788001E-2</c:v>
                </c:pt>
                <c:pt idx="109">
                  <c:v>1.46622504951097E-2</c:v>
                </c:pt>
                <c:pt idx="110">
                  <c:v>-1.1663609170648201E-3</c:v>
                </c:pt>
                <c:pt idx="111">
                  <c:v>5.25725672536617E-3</c:v>
                </c:pt>
                <c:pt idx="112">
                  <c:v>1.0085841453198199E-2</c:v>
                </c:pt>
                <c:pt idx="113">
                  <c:v>2.2078815729545499E-2</c:v>
                </c:pt>
                <c:pt idx="114">
                  <c:v>2.1541236061944E-2</c:v>
                </c:pt>
                <c:pt idx="115">
                  <c:v>9.8226610031838402E-3</c:v>
                </c:pt>
                <c:pt idx="116">
                  <c:v>1.7828418832128601E-2</c:v>
                </c:pt>
                <c:pt idx="117">
                  <c:v>2.8254187944641702E-2</c:v>
                </c:pt>
                <c:pt idx="118">
                  <c:v>3.8467839497856399E-2</c:v>
                </c:pt>
                <c:pt idx="119">
                  <c:v>3.9974802309899998E-2</c:v>
                </c:pt>
                <c:pt idx="120">
                  <c:v>3.0101536181443001E-2</c:v>
                </c:pt>
                <c:pt idx="121">
                  <c:v>2.6482480533959098E-2</c:v>
                </c:pt>
                <c:pt idx="122">
                  <c:v>1.3123095429344801E-2</c:v>
                </c:pt>
                <c:pt idx="123">
                  <c:v>1.2412842437588801E-2</c:v>
                </c:pt>
                <c:pt idx="124">
                  <c:v>1.9173721613472999E-2</c:v>
                </c:pt>
                <c:pt idx="125">
                  <c:v>1.9606683702103E-2</c:v>
                </c:pt>
                <c:pt idx="126">
                  <c:v>3.0929422789745999E-2</c:v>
                </c:pt>
                <c:pt idx="127">
                  <c:v>2.6147366769070899E-2</c:v>
                </c:pt>
                <c:pt idx="128">
                  <c:v>2.3743112528021401E-2</c:v>
                </c:pt>
                <c:pt idx="129">
                  <c:v>2.8501872332962901E-2</c:v>
                </c:pt>
                <c:pt idx="130">
                  <c:v>3.6600132286883899E-2</c:v>
                </c:pt>
                <c:pt idx="131">
                  <c:v>2.5051207467660201E-2</c:v>
                </c:pt>
                <c:pt idx="132">
                  <c:v>2.8046829937950501E-2</c:v>
                </c:pt>
                <c:pt idx="133">
                  <c:v>2.9219822128634301E-2</c:v>
                </c:pt>
                <c:pt idx="134">
                  <c:v>2.8055924025597499E-2</c:v>
                </c:pt>
                <c:pt idx="135">
                  <c:v>1.6434283948306101E-2</c:v>
                </c:pt>
                <c:pt idx="136">
                  <c:v>-5.4319643086418899E-3</c:v>
                </c:pt>
                <c:pt idx="137">
                  <c:v>1.65072307154985E-3</c:v>
                </c:pt>
                <c:pt idx="138">
                  <c:v>7.6388811709905196E-3</c:v>
                </c:pt>
                <c:pt idx="139">
                  <c:v>2.0520975336171501E-2</c:v>
                </c:pt>
                <c:pt idx="140">
                  <c:v>1.9853770631278501E-2</c:v>
                </c:pt>
                <c:pt idx="141">
                  <c:v>2.67852936649055E-2</c:v>
                </c:pt>
                <c:pt idx="142">
                  <c:v>4.0542573983270901E-2</c:v>
                </c:pt>
                <c:pt idx="143">
                  <c:v>2.6863378076232201E-2</c:v>
                </c:pt>
                <c:pt idx="144">
                  <c:v>2.2684296404266498E-2</c:v>
                </c:pt>
                <c:pt idx="145">
                  <c:v>1.4176191461091499E-2</c:v>
                </c:pt>
                <c:pt idx="146">
                  <c:v>2.0358706125621199E-4</c:v>
                </c:pt>
                <c:pt idx="147">
                  <c:v>6.0911631098926802E-3</c:v>
                </c:pt>
                <c:pt idx="148">
                  <c:v>-7.0594650089437902E-3</c:v>
                </c:pt>
                <c:pt idx="149">
                  <c:v>-1.82892160909412E-2</c:v>
                </c:pt>
                <c:pt idx="150">
                  <c:v>-2.1478275491301099E-2</c:v>
                </c:pt>
                <c:pt idx="151">
                  <c:v>-3.1262088158362303E-2</c:v>
                </c:pt>
                <c:pt idx="152">
                  <c:v>-3.4601409970676698E-2</c:v>
                </c:pt>
                <c:pt idx="153">
                  <c:v>-3.6320202390760899E-2</c:v>
                </c:pt>
                <c:pt idx="154">
                  <c:v>-3.5889812276783797E-2</c:v>
                </c:pt>
                <c:pt idx="155">
                  <c:v>-3.53505924344584E-2</c:v>
                </c:pt>
                <c:pt idx="156">
                  <c:v>-1.4476412545372601E-2</c:v>
                </c:pt>
                <c:pt idx="157">
                  <c:v>-1.6620843464840399E-2</c:v>
                </c:pt>
                <c:pt idx="158">
                  <c:v>-7.3431915044152203E-3</c:v>
                </c:pt>
                <c:pt idx="159">
                  <c:v>-1.14249985612124E-2</c:v>
                </c:pt>
                <c:pt idx="160">
                  <c:v>-4.0262180251637403E-4</c:v>
                </c:pt>
                <c:pt idx="161">
                  <c:v>7.1221211981161801E-3</c:v>
                </c:pt>
                <c:pt idx="162">
                  <c:v>1.0083573734716E-2</c:v>
                </c:pt>
                <c:pt idx="163">
                  <c:v>4.8869109067304298E-3</c:v>
                </c:pt>
                <c:pt idx="164">
                  <c:v>1.62625815776637E-2</c:v>
                </c:pt>
                <c:pt idx="165">
                  <c:v>1.8055741638171599E-2</c:v>
                </c:pt>
                <c:pt idx="166">
                  <c:v>2.34363328681821E-2</c:v>
                </c:pt>
                <c:pt idx="167">
                  <c:v>2.1080849857446401E-2</c:v>
                </c:pt>
                <c:pt idx="168">
                  <c:v>1.80286959294821E-2</c:v>
                </c:pt>
                <c:pt idx="169">
                  <c:v>2.0025696537848602E-2</c:v>
                </c:pt>
                <c:pt idx="170">
                  <c:v>8.38167003964152E-3</c:v>
                </c:pt>
                <c:pt idx="171">
                  <c:v>1.5590241528873E-2</c:v>
                </c:pt>
                <c:pt idx="172">
                  <c:v>1.7139280046751301E-2</c:v>
                </c:pt>
                <c:pt idx="173">
                  <c:v>1.30128683455155E-2</c:v>
                </c:pt>
                <c:pt idx="174">
                  <c:v>1.34810253595845E-2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3A-497B-83FE-6839F6629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8.7233228140905818E-3</c:v>
                </c:pt>
                <c:pt idx="57">
                  <c:v>1.3307939044264682E-2</c:v>
                </c:pt>
                <c:pt idx="58">
                  <c:v>8.3935908585808013E-3</c:v>
                </c:pt>
                <c:pt idx="59">
                  <c:v>2.1229215976407773E-2</c:v>
                </c:pt>
                <c:pt idx="60">
                  <c:v>2.1229215976407773E-2</c:v>
                </c:pt>
                <c:pt idx="61">
                  <c:v>2.1229215976407773E-2</c:v>
                </c:pt>
                <c:pt idx="62">
                  <c:v>2.1229215976407773E-2</c:v>
                </c:pt>
                <c:pt idx="63">
                  <c:v>2.1229215976407773E-2</c:v>
                </c:pt>
                <c:pt idx="64">
                  <c:v>2.1229215976407773E-2</c:v>
                </c:pt>
                <c:pt idx="65">
                  <c:v>2.1229215976407773E-2</c:v>
                </c:pt>
                <c:pt idx="66">
                  <c:v>2.1229215976407773E-2</c:v>
                </c:pt>
                <c:pt idx="67">
                  <c:v>2.1229215976407773E-2</c:v>
                </c:pt>
                <c:pt idx="68">
                  <c:v>2.1229215976407773E-2</c:v>
                </c:pt>
                <c:pt idx="69">
                  <c:v>2.1229215976407773E-2</c:v>
                </c:pt>
                <c:pt idx="70">
                  <c:v>2.1229215976407773E-2</c:v>
                </c:pt>
                <c:pt idx="71">
                  <c:v>2.1229215976407773E-2</c:v>
                </c:pt>
                <c:pt idx="72">
                  <c:v>2.1229215976407773E-2</c:v>
                </c:pt>
                <c:pt idx="73">
                  <c:v>2.1229215976407773E-2</c:v>
                </c:pt>
                <c:pt idx="74">
                  <c:v>2.1229215976407773E-2</c:v>
                </c:pt>
                <c:pt idx="75">
                  <c:v>2.1229215976407773E-2</c:v>
                </c:pt>
                <c:pt idx="76">
                  <c:v>2.1229215976407773E-2</c:v>
                </c:pt>
                <c:pt idx="77">
                  <c:v>2.1229215976407773E-2</c:v>
                </c:pt>
                <c:pt idx="78">
                  <c:v>2.1229215976407773E-2</c:v>
                </c:pt>
                <c:pt idx="79">
                  <c:v>2.1229215976407773E-2</c:v>
                </c:pt>
                <c:pt idx="80">
                  <c:v>2.1229215976407773E-2</c:v>
                </c:pt>
                <c:pt idx="81">
                  <c:v>2.6079259986104837E-2</c:v>
                </c:pt>
                <c:pt idx="82">
                  <c:v>3.0481961023428837E-2</c:v>
                </c:pt>
                <c:pt idx="83">
                  <c:v>2.6160724347462836E-2</c:v>
                </c:pt>
                <c:pt idx="84">
                  <c:v>3.2039671086291736E-2</c:v>
                </c:pt>
                <c:pt idx="85">
                  <c:v>3.6177360533719741E-2</c:v>
                </c:pt>
                <c:pt idx="86">
                  <c:v>5.537331518863832E-2</c:v>
                </c:pt>
                <c:pt idx="87">
                  <c:v>5.537331518863832E-2</c:v>
                </c:pt>
                <c:pt idx="88">
                  <c:v>5.537331518863832E-2</c:v>
                </c:pt>
                <c:pt idx="89">
                  <c:v>5.537331518863832E-2</c:v>
                </c:pt>
                <c:pt idx="90">
                  <c:v>5.537331518863832E-2</c:v>
                </c:pt>
                <c:pt idx="91">
                  <c:v>5.537331518863832E-2</c:v>
                </c:pt>
                <c:pt idx="92">
                  <c:v>5.537331518863832E-2</c:v>
                </c:pt>
                <c:pt idx="93">
                  <c:v>5.537331518863832E-2</c:v>
                </c:pt>
                <c:pt idx="94">
                  <c:v>5.537331518863832E-2</c:v>
                </c:pt>
                <c:pt idx="95">
                  <c:v>5.537331518863832E-2</c:v>
                </c:pt>
                <c:pt idx="96">
                  <c:v>5.537331518863832E-2</c:v>
                </c:pt>
                <c:pt idx="97">
                  <c:v>5.537331518863832E-2</c:v>
                </c:pt>
                <c:pt idx="98">
                  <c:v>5.537331518863832E-2</c:v>
                </c:pt>
                <c:pt idx="99">
                  <c:v>5.537331518863832E-2</c:v>
                </c:pt>
                <c:pt idx="100">
                  <c:v>5.537331518863832E-2</c:v>
                </c:pt>
                <c:pt idx="101">
                  <c:v>5.537331518863832E-2</c:v>
                </c:pt>
                <c:pt idx="102">
                  <c:v>5.537331518863832E-2</c:v>
                </c:pt>
                <c:pt idx="103">
                  <c:v>5.537331518863832E-2</c:v>
                </c:pt>
                <c:pt idx="104">
                  <c:v>5.537331518863832E-2</c:v>
                </c:pt>
                <c:pt idx="105">
                  <c:v>5.537331518863832E-2</c:v>
                </c:pt>
                <c:pt idx="106">
                  <c:v>5.537331518863832E-2</c:v>
                </c:pt>
                <c:pt idx="107">
                  <c:v>5.537331518863832E-2</c:v>
                </c:pt>
                <c:pt idx="108">
                  <c:v>5.537331518863832E-2</c:v>
                </c:pt>
                <c:pt idx="109">
                  <c:v>5.537331518863832E-2</c:v>
                </c:pt>
                <c:pt idx="110">
                  <c:v>5.537331518863832E-2</c:v>
                </c:pt>
                <c:pt idx="111">
                  <c:v>5.537331518863832E-2</c:v>
                </c:pt>
                <c:pt idx="112">
                  <c:v>5.537331518863832E-2</c:v>
                </c:pt>
                <c:pt idx="113">
                  <c:v>5.537331518863832E-2</c:v>
                </c:pt>
                <c:pt idx="114">
                  <c:v>5.537331518863832E-2</c:v>
                </c:pt>
                <c:pt idx="115">
                  <c:v>5.537331518863832E-2</c:v>
                </c:pt>
                <c:pt idx="116">
                  <c:v>5.537331518863832E-2</c:v>
                </c:pt>
                <c:pt idx="117">
                  <c:v>5.537331518863832E-2</c:v>
                </c:pt>
                <c:pt idx="118">
                  <c:v>5.537331518863832E-2</c:v>
                </c:pt>
                <c:pt idx="119">
                  <c:v>5.537331518863832E-2</c:v>
                </c:pt>
                <c:pt idx="120">
                  <c:v>5.537331518863832E-2</c:v>
                </c:pt>
                <c:pt idx="121">
                  <c:v>5.537331518863832E-2</c:v>
                </c:pt>
                <c:pt idx="122">
                  <c:v>5.537331518863832E-2</c:v>
                </c:pt>
                <c:pt idx="123">
                  <c:v>5.537331518863832E-2</c:v>
                </c:pt>
                <c:pt idx="124">
                  <c:v>5.537331518863832E-2</c:v>
                </c:pt>
                <c:pt idx="125">
                  <c:v>5.537331518863832E-2</c:v>
                </c:pt>
                <c:pt idx="126">
                  <c:v>5.537331518863832E-2</c:v>
                </c:pt>
                <c:pt idx="127">
                  <c:v>5.537331518863832E-2</c:v>
                </c:pt>
                <c:pt idx="128">
                  <c:v>5.537331518863832E-2</c:v>
                </c:pt>
                <c:pt idx="129">
                  <c:v>5.537331518863832E-2</c:v>
                </c:pt>
                <c:pt idx="130">
                  <c:v>5.537331518863832E-2</c:v>
                </c:pt>
                <c:pt idx="131">
                  <c:v>5.537331518863832E-2</c:v>
                </c:pt>
                <c:pt idx="132">
                  <c:v>5.0812100064961729E-2</c:v>
                </c:pt>
                <c:pt idx="133">
                  <c:v>4.734837199300404E-2</c:v>
                </c:pt>
                <c:pt idx="134">
                  <c:v>4.5660474632834042E-2</c:v>
                </c:pt>
                <c:pt idx="135">
                  <c:v>4.393928630798194E-2</c:v>
                </c:pt>
                <c:pt idx="136">
                  <c:v>6.2925656230010327E-2</c:v>
                </c:pt>
                <c:pt idx="137">
                  <c:v>6.0839250304653231E-2</c:v>
                </c:pt>
                <c:pt idx="138">
                  <c:v>6.9651740615894131E-2</c:v>
                </c:pt>
                <c:pt idx="139">
                  <c:v>6.5199184767891077E-2</c:v>
                </c:pt>
                <c:pt idx="140">
                  <c:v>7.4949085317119274E-2</c:v>
                </c:pt>
                <c:pt idx="141">
                  <c:v>7.4949085317119274E-2</c:v>
                </c:pt>
                <c:pt idx="142">
                  <c:v>7.4949085317119274E-2</c:v>
                </c:pt>
                <c:pt idx="143">
                  <c:v>7.4949085317119274E-2</c:v>
                </c:pt>
                <c:pt idx="144">
                  <c:v>7.4949085317119274E-2</c:v>
                </c:pt>
                <c:pt idx="145">
                  <c:v>7.4949085317119274E-2</c:v>
                </c:pt>
                <c:pt idx="146">
                  <c:v>7.4949085317119274E-2</c:v>
                </c:pt>
                <c:pt idx="147">
                  <c:v>7.4949085317119274E-2</c:v>
                </c:pt>
                <c:pt idx="148">
                  <c:v>7.4949085317119274E-2</c:v>
                </c:pt>
                <c:pt idx="149">
                  <c:v>7.4949085317119274E-2</c:v>
                </c:pt>
                <c:pt idx="150">
                  <c:v>7.4949085317119274E-2</c:v>
                </c:pt>
                <c:pt idx="151">
                  <c:v>7.4949085317119274E-2</c:v>
                </c:pt>
                <c:pt idx="152">
                  <c:v>7.4949085317119274E-2</c:v>
                </c:pt>
                <c:pt idx="153">
                  <c:v>7.4949085317119274E-2</c:v>
                </c:pt>
                <c:pt idx="154">
                  <c:v>7.4949085317119274E-2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3A-4EC2-8F4C-3A8C5C45B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1.4662346452878998E-2</c:v>
                </c:pt>
                <c:pt idx="5">
                  <c:v>2.605399151548099E-2</c:v>
                </c:pt>
                <c:pt idx="6">
                  <c:v>2.605399151548099E-2</c:v>
                </c:pt>
                <c:pt idx="7">
                  <c:v>2.605399151548099E-2</c:v>
                </c:pt>
                <c:pt idx="8">
                  <c:v>2.605399151548099E-2</c:v>
                </c:pt>
                <c:pt idx="9">
                  <c:v>2.605399151548099E-2</c:v>
                </c:pt>
                <c:pt idx="10">
                  <c:v>2.605399151548099E-2</c:v>
                </c:pt>
                <c:pt idx="11">
                  <c:v>2.605399151548099E-2</c:v>
                </c:pt>
                <c:pt idx="12">
                  <c:v>2.605399151548099E-2</c:v>
                </c:pt>
                <c:pt idx="13">
                  <c:v>2.605399151548099E-2</c:v>
                </c:pt>
                <c:pt idx="14">
                  <c:v>2.605399151548099E-2</c:v>
                </c:pt>
                <c:pt idx="15">
                  <c:v>2.605399151548099E-2</c:v>
                </c:pt>
                <c:pt idx="16">
                  <c:v>2.605399151548099E-2</c:v>
                </c:pt>
                <c:pt idx="17">
                  <c:v>2.605399151548099E-2</c:v>
                </c:pt>
                <c:pt idx="18">
                  <c:v>2.605399151548099E-2</c:v>
                </c:pt>
                <c:pt idx="19">
                  <c:v>2.605399151548099E-2</c:v>
                </c:pt>
                <c:pt idx="20">
                  <c:v>2.605399151548099E-2</c:v>
                </c:pt>
                <c:pt idx="21">
                  <c:v>2.605399151548099E-2</c:v>
                </c:pt>
                <c:pt idx="22">
                  <c:v>2.605399151548099E-2</c:v>
                </c:pt>
                <c:pt idx="23">
                  <c:v>2.605399151548099E-2</c:v>
                </c:pt>
                <c:pt idx="24">
                  <c:v>2.605399151548099E-2</c:v>
                </c:pt>
                <c:pt idx="25">
                  <c:v>2.605399151548099E-2</c:v>
                </c:pt>
                <c:pt idx="26">
                  <c:v>2.605399151548099E-2</c:v>
                </c:pt>
                <c:pt idx="27">
                  <c:v>2.605399151548099E-2</c:v>
                </c:pt>
                <c:pt idx="28">
                  <c:v>2.605399151548099E-2</c:v>
                </c:pt>
                <c:pt idx="29">
                  <c:v>2.605399151548099E-2</c:v>
                </c:pt>
                <c:pt idx="30">
                  <c:v>2.605399151548099E-2</c:v>
                </c:pt>
                <c:pt idx="31">
                  <c:v>2.605399151548099E-2</c:v>
                </c:pt>
                <c:pt idx="32">
                  <c:v>2.605399151548099E-2</c:v>
                </c:pt>
                <c:pt idx="33">
                  <c:v>2.605399151548099E-2</c:v>
                </c:pt>
                <c:pt idx="34">
                  <c:v>2.605399151548099E-2</c:v>
                </c:pt>
                <c:pt idx="35">
                  <c:v>2.605399151548099E-2</c:v>
                </c:pt>
                <c:pt idx="36">
                  <c:v>2.605399151548099E-2</c:v>
                </c:pt>
                <c:pt idx="37">
                  <c:v>2.605399151548099E-2</c:v>
                </c:pt>
                <c:pt idx="38">
                  <c:v>2.605399151548099E-2</c:v>
                </c:pt>
                <c:pt idx="39">
                  <c:v>2.605399151548099E-2</c:v>
                </c:pt>
                <c:pt idx="40">
                  <c:v>2.605399151548099E-2</c:v>
                </c:pt>
                <c:pt idx="41">
                  <c:v>2.605399151548099E-2</c:v>
                </c:pt>
                <c:pt idx="42">
                  <c:v>2.605399151548099E-2</c:v>
                </c:pt>
                <c:pt idx="43">
                  <c:v>2.605399151548099E-2</c:v>
                </c:pt>
                <c:pt idx="44">
                  <c:v>2.605399151548099E-2</c:v>
                </c:pt>
                <c:pt idx="45">
                  <c:v>2.605399151548099E-2</c:v>
                </c:pt>
                <c:pt idx="46">
                  <c:v>2.605399151548099E-2</c:v>
                </c:pt>
                <c:pt idx="47">
                  <c:v>2.605399151548099E-2</c:v>
                </c:pt>
                <c:pt idx="48">
                  <c:v>2.605399151548099E-2</c:v>
                </c:pt>
                <c:pt idx="49">
                  <c:v>2.605399151548099E-2</c:v>
                </c:pt>
                <c:pt idx="50">
                  <c:v>2.605399151548099E-2</c:v>
                </c:pt>
                <c:pt idx="51">
                  <c:v>2.605399151548099E-2</c:v>
                </c:pt>
                <c:pt idx="52">
                  <c:v>2.605399151548099E-2</c:v>
                </c:pt>
                <c:pt idx="53">
                  <c:v>2.605399151548099E-2</c:v>
                </c:pt>
                <c:pt idx="54">
                  <c:v>2.605399151548099E-2</c:v>
                </c:pt>
                <c:pt idx="55">
                  <c:v>2.605399151548099E-2</c:v>
                </c:pt>
                <c:pt idx="56">
                  <c:v>2.605399151548099E-2</c:v>
                </c:pt>
                <c:pt idx="57">
                  <c:v>2.605399151548099E-2</c:v>
                </c:pt>
                <c:pt idx="58">
                  <c:v>2.605399151548099E-2</c:v>
                </c:pt>
                <c:pt idx="59">
                  <c:v>2.605399151548099E-2</c:v>
                </c:pt>
                <c:pt idx="60">
                  <c:v>2.605399151548099E-2</c:v>
                </c:pt>
                <c:pt idx="61">
                  <c:v>2.605399151548099E-2</c:v>
                </c:pt>
                <c:pt idx="62">
                  <c:v>2.605399151548099E-2</c:v>
                </c:pt>
                <c:pt idx="63">
                  <c:v>2.605399151548099E-2</c:v>
                </c:pt>
                <c:pt idx="64">
                  <c:v>2.605399151548099E-2</c:v>
                </c:pt>
                <c:pt idx="65">
                  <c:v>2.605399151548099E-2</c:v>
                </c:pt>
                <c:pt idx="66">
                  <c:v>2.605399151548099E-2</c:v>
                </c:pt>
                <c:pt idx="67">
                  <c:v>2.605399151548099E-2</c:v>
                </c:pt>
                <c:pt idx="68">
                  <c:v>2.605399151548099E-2</c:v>
                </c:pt>
                <c:pt idx="69">
                  <c:v>2.605399151548099E-2</c:v>
                </c:pt>
                <c:pt idx="70">
                  <c:v>2.605399151548099E-2</c:v>
                </c:pt>
                <c:pt idx="71">
                  <c:v>2.605399151548099E-2</c:v>
                </c:pt>
                <c:pt idx="72">
                  <c:v>2.605399151548099E-2</c:v>
                </c:pt>
                <c:pt idx="73">
                  <c:v>2.605399151548099E-2</c:v>
                </c:pt>
                <c:pt idx="74">
                  <c:v>2.605399151548099E-2</c:v>
                </c:pt>
                <c:pt idx="75">
                  <c:v>2.605399151548099E-2</c:v>
                </c:pt>
                <c:pt idx="76">
                  <c:v>2.605399151548099E-2</c:v>
                </c:pt>
                <c:pt idx="77">
                  <c:v>2.605399151548099E-2</c:v>
                </c:pt>
                <c:pt idx="78">
                  <c:v>2.605399151548099E-2</c:v>
                </c:pt>
                <c:pt idx="79">
                  <c:v>2.605399151548099E-2</c:v>
                </c:pt>
                <c:pt idx="80">
                  <c:v>2.605399151548099E-2</c:v>
                </c:pt>
                <c:pt idx="81">
                  <c:v>2.605399151548099E-2</c:v>
                </c:pt>
                <c:pt idx="82">
                  <c:v>2.605399151548099E-2</c:v>
                </c:pt>
                <c:pt idx="83">
                  <c:v>2.605399151548099E-2</c:v>
                </c:pt>
                <c:pt idx="84">
                  <c:v>2.605399151548099E-2</c:v>
                </c:pt>
                <c:pt idx="85">
                  <c:v>2.605399151548099E-2</c:v>
                </c:pt>
                <c:pt idx="86">
                  <c:v>2.605399151548099E-2</c:v>
                </c:pt>
                <c:pt idx="87">
                  <c:v>2.605399151548099E-2</c:v>
                </c:pt>
                <c:pt idx="88">
                  <c:v>2.605399151548099E-2</c:v>
                </c:pt>
                <c:pt idx="89">
                  <c:v>2.605399151548099E-2</c:v>
                </c:pt>
                <c:pt idx="90">
                  <c:v>2.605399151548099E-2</c:v>
                </c:pt>
                <c:pt idx="91">
                  <c:v>2.605399151548099E-2</c:v>
                </c:pt>
                <c:pt idx="92">
                  <c:v>2.605399151548099E-2</c:v>
                </c:pt>
                <c:pt idx="93">
                  <c:v>2.605399151548099E-2</c:v>
                </c:pt>
                <c:pt idx="94">
                  <c:v>2.605399151548099E-2</c:v>
                </c:pt>
                <c:pt idx="95">
                  <c:v>2.605399151548099E-2</c:v>
                </c:pt>
                <c:pt idx="96">
                  <c:v>2.605399151548099E-2</c:v>
                </c:pt>
                <c:pt idx="97">
                  <c:v>2.605399151548099E-2</c:v>
                </c:pt>
                <c:pt idx="98">
                  <c:v>2.605399151548099E-2</c:v>
                </c:pt>
                <c:pt idx="99">
                  <c:v>2.2385649929270651E-2</c:v>
                </c:pt>
                <c:pt idx="100">
                  <c:v>2.9707352683240009E-2</c:v>
                </c:pt>
                <c:pt idx="101">
                  <c:v>3.0320237365531189E-2</c:v>
                </c:pt>
                <c:pt idx="102">
                  <c:v>4.0945042039924488E-2</c:v>
                </c:pt>
                <c:pt idx="103">
                  <c:v>4.0945042039924488E-2</c:v>
                </c:pt>
                <c:pt idx="104">
                  <c:v>4.0945042039924488E-2</c:v>
                </c:pt>
                <c:pt idx="105">
                  <c:v>4.0945042039924488E-2</c:v>
                </c:pt>
                <c:pt idx="106">
                  <c:v>4.0945042039924488E-2</c:v>
                </c:pt>
                <c:pt idx="107">
                  <c:v>4.0945042039924488E-2</c:v>
                </c:pt>
                <c:pt idx="108">
                  <c:v>4.0945042039924488E-2</c:v>
                </c:pt>
                <c:pt idx="109">
                  <c:v>4.0945042039924488E-2</c:v>
                </c:pt>
                <c:pt idx="110">
                  <c:v>4.0945042039924488E-2</c:v>
                </c:pt>
                <c:pt idx="111">
                  <c:v>4.9016032395968356E-2</c:v>
                </c:pt>
                <c:pt idx="112">
                  <c:v>4.3239173154356741E-2</c:v>
                </c:pt>
                <c:pt idx="113">
                  <c:v>3.9268752681015942E-2</c:v>
                </c:pt>
                <c:pt idx="114">
                  <c:v>3.8068718800163555E-2</c:v>
                </c:pt>
                <c:pt idx="115">
                  <c:v>4.7274373044540637E-2</c:v>
                </c:pt>
                <c:pt idx="116">
                  <c:v>6.6592375152442512E-2</c:v>
                </c:pt>
                <c:pt idx="117">
                  <c:v>6.6592375152442512E-2</c:v>
                </c:pt>
                <c:pt idx="118">
                  <c:v>6.6592375152442512E-2</c:v>
                </c:pt>
                <c:pt idx="119">
                  <c:v>6.6592375152442512E-2</c:v>
                </c:pt>
                <c:pt idx="120">
                  <c:v>6.6592375152442512E-2</c:v>
                </c:pt>
                <c:pt idx="121">
                  <c:v>6.6592375152442512E-2</c:v>
                </c:pt>
                <c:pt idx="122">
                  <c:v>6.6592375152442512E-2</c:v>
                </c:pt>
                <c:pt idx="123">
                  <c:v>7.6830110336726348E-2</c:v>
                </c:pt>
                <c:pt idx="124">
                  <c:v>7.8119550270643573E-2</c:v>
                </c:pt>
                <c:pt idx="125">
                  <c:v>8.425956056909327E-2</c:v>
                </c:pt>
                <c:pt idx="126">
                  <c:v>8.425956056909327E-2</c:v>
                </c:pt>
                <c:pt idx="127">
                  <c:v>8.425956056909327E-2</c:v>
                </c:pt>
                <c:pt idx="128">
                  <c:v>8.425956056909327E-2</c:v>
                </c:pt>
                <c:pt idx="129">
                  <c:v>8.425956056909327E-2</c:v>
                </c:pt>
                <c:pt idx="130">
                  <c:v>8.425956056909327E-2</c:v>
                </c:pt>
                <c:pt idx="131">
                  <c:v>8.425956056909327E-2</c:v>
                </c:pt>
                <c:pt idx="132">
                  <c:v>8.425956056909327E-2</c:v>
                </c:pt>
                <c:pt idx="133">
                  <c:v>8.425956056909327E-2</c:v>
                </c:pt>
                <c:pt idx="134">
                  <c:v>8.425956056909327E-2</c:v>
                </c:pt>
                <c:pt idx="135">
                  <c:v>8.425956056909327E-2</c:v>
                </c:pt>
                <c:pt idx="136">
                  <c:v>8.425956056909327E-2</c:v>
                </c:pt>
                <c:pt idx="137">
                  <c:v>8.425956056909327E-2</c:v>
                </c:pt>
                <c:pt idx="138">
                  <c:v>8.425956056909327E-2</c:v>
                </c:pt>
                <c:pt idx="139">
                  <c:v>8.425956056909327E-2</c:v>
                </c:pt>
                <c:pt idx="140">
                  <c:v>8.425956056909327E-2</c:v>
                </c:pt>
                <c:pt idx="141">
                  <c:v>8.425956056909327E-2</c:v>
                </c:pt>
                <c:pt idx="142">
                  <c:v>8.425956056909327E-2</c:v>
                </c:pt>
                <c:pt idx="143">
                  <c:v>8.425956056909327E-2</c:v>
                </c:pt>
                <c:pt idx="144">
                  <c:v>8.425956056909327E-2</c:v>
                </c:pt>
                <c:pt idx="145">
                  <c:v>8.425956056909327E-2</c:v>
                </c:pt>
                <c:pt idx="146">
                  <c:v>8.425956056909327E-2</c:v>
                </c:pt>
                <c:pt idx="147">
                  <c:v>8.425956056909327E-2</c:v>
                </c:pt>
                <c:pt idx="148">
                  <c:v>8.425956056909327E-2</c:v>
                </c:pt>
                <c:pt idx="149">
                  <c:v>8.425956056909327E-2</c:v>
                </c:pt>
                <c:pt idx="150">
                  <c:v>8.425956056909327E-2</c:v>
                </c:pt>
                <c:pt idx="151">
                  <c:v>8.425956056909327E-2</c:v>
                </c:pt>
                <c:pt idx="152">
                  <c:v>8.425956056909327E-2</c:v>
                </c:pt>
                <c:pt idx="153">
                  <c:v>8.425956056909327E-2</c:v>
                </c:pt>
                <c:pt idx="154">
                  <c:v>8.425956056909327E-2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F-4F01-B8A8-C121F0F93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1.4662346452878998E-2</c:v>
                </c:pt>
                <c:pt idx="5">
                  <c:v>2.605399151548099E-2</c:v>
                </c:pt>
                <c:pt idx="6">
                  <c:v>2.605399151548099E-2</c:v>
                </c:pt>
                <c:pt idx="7">
                  <c:v>2.605399151548099E-2</c:v>
                </c:pt>
                <c:pt idx="8">
                  <c:v>2.605399151548099E-2</c:v>
                </c:pt>
                <c:pt idx="9">
                  <c:v>2.605399151548099E-2</c:v>
                </c:pt>
                <c:pt idx="10">
                  <c:v>2.605399151548099E-2</c:v>
                </c:pt>
                <c:pt idx="11">
                  <c:v>2.605399151548099E-2</c:v>
                </c:pt>
                <c:pt idx="12">
                  <c:v>2.605399151548099E-2</c:v>
                </c:pt>
                <c:pt idx="13">
                  <c:v>2.605399151548099E-2</c:v>
                </c:pt>
                <c:pt idx="14">
                  <c:v>2.605399151548099E-2</c:v>
                </c:pt>
                <c:pt idx="15">
                  <c:v>2.605399151548099E-2</c:v>
                </c:pt>
                <c:pt idx="16">
                  <c:v>2.605399151548099E-2</c:v>
                </c:pt>
                <c:pt idx="17">
                  <c:v>2.605399151548099E-2</c:v>
                </c:pt>
                <c:pt idx="18">
                  <c:v>2.605399151548099E-2</c:v>
                </c:pt>
                <c:pt idx="19">
                  <c:v>2.605399151548099E-2</c:v>
                </c:pt>
                <c:pt idx="20">
                  <c:v>2.605399151548099E-2</c:v>
                </c:pt>
                <c:pt idx="21">
                  <c:v>2.605399151548099E-2</c:v>
                </c:pt>
                <c:pt idx="22">
                  <c:v>2.605399151548099E-2</c:v>
                </c:pt>
                <c:pt idx="23">
                  <c:v>2.605399151548099E-2</c:v>
                </c:pt>
                <c:pt idx="24">
                  <c:v>2.605399151548099E-2</c:v>
                </c:pt>
                <c:pt idx="25">
                  <c:v>2.605399151548099E-2</c:v>
                </c:pt>
                <c:pt idx="26">
                  <c:v>2.605399151548099E-2</c:v>
                </c:pt>
                <c:pt idx="27">
                  <c:v>2.605399151548099E-2</c:v>
                </c:pt>
                <c:pt idx="28">
                  <c:v>2.605399151548099E-2</c:v>
                </c:pt>
                <c:pt idx="29">
                  <c:v>2.605399151548099E-2</c:v>
                </c:pt>
                <c:pt idx="30">
                  <c:v>2.605399151548099E-2</c:v>
                </c:pt>
                <c:pt idx="31">
                  <c:v>2.605399151548099E-2</c:v>
                </c:pt>
                <c:pt idx="32">
                  <c:v>2.605399151548099E-2</c:v>
                </c:pt>
                <c:pt idx="33">
                  <c:v>2.605399151548099E-2</c:v>
                </c:pt>
                <c:pt idx="34">
                  <c:v>2.605399151548099E-2</c:v>
                </c:pt>
                <c:pt idx="35">
                  <c:v>2.605399151548099E-2</c:v>
                </c:pt>
                <c:pt idx="36">
                  <c:v>2.605399151548099E-2</c:v>
                </c:pt>
                <c:pt idx="37">
                  <c:v>2.605399151548099E-2</c:v>
                </c:pt>
                <c:pt idx="38">
                  <c:v>2.605399151548099E-2</c:v>
                </c:pt>
                <c:pt idx="39">
                  <c:v>2.605399151548099E-2</c:v>
                </c:pt>
                <c:pt idx="40">
                  <c:v>2.605399151548099E-2</c:v>
                </c:pt>
                <c:pt idx="41">
                  <c:v>2.605399151548099E-2</c:v>
                </c:pt>
                <c:pt idx="42">
                  <c:v>2.605399151548099E-2</c:v>
                </c:pt>
                <c:pt idx="43">
                  <c:v>2.605399151548099E-2</c:v>
                </c:pt>
                <c:pt idx="44">
                  <c:v>2.605399151548099E-2</c:v>
                </c:pt>
                <c:pt idx="45">
                  <c:v>2.605399151548099E-2</c:v>
                </c:pt>
                <c:pt idx="46">
                  <c:v>2.605399151548099E-2</c:v>
                </c:pt>
                <c:pt idx="47">
                  <c:v>2.605399151548099E-2</c:v>
                </c:pt>
                <c:pt idx="48">
                  <c:v>2.605399151548099E-2</c:v>
                </c:pt>
                <c:pt idx="49">
                  <c:v>2.605399151548099E-2</c:v>
                </c:pt>
                <c:pt idx="50">
                  <c:v>2.605399151548099E-2</c:v>
                </c:pt>
                <c:pt idx="51">
                  <c:v>2.605399151548099E-2</c:v>
                </c:pt>
                <c:pt idx="52">
                  <c:v>2.605399151548099E-2</c:v>
                </c:pt>
                <c:pt idx="53">
                  <c:v>2.605399151548099E-2</c:v>
                </c:pt>
                <c:pt idx="54">
                  <c:v>2.605399151548099E-2</c:v>
                </c:pt>
                <c:pt idx="55">
                  <c:v>2.605399151548099E-2</c:v>
                </c:pt>
                <c:pt idx="56">
                  <c:v>3.4777314329571568E-2</c:v>
                </c:pt>
                <c:pt idx="57">
                  <c:v>3.936193055974567E-2</c:v>
                </c:pt>
                <c:pt idx="58">
                  <c:v>3.4447582374061786E-2</c:v>
                </c:pt>
                <c:pt idx="59">
                  <c:v>4.728320749188876E-2</c:v>
                </c:pt>
                <c:pt idx="60">
                  <c:v>4.728320749188876E-2</c:v>
                </c:pt>
                <c:pt idx="61">
                  <c:v>4.728320749188876E-2</c:v>
                </c:pt>
                <c:pt idx="62">
                  <c:v>4.728320749188876E-2</c:v>
                </c:pt>
                <c:pt idx="63">
                  <c:v>4.728320749188876E-2</c:v>
                </c:pt>
                <c:pt idx="64">
                  <c:v>4.728320749188876E-2</c:v>
                </c:pt>
                <c:pt idx="65">
                  <c:v>4.728320749188876E-2</c:v>
                </c:pt>
                <c:pt idx="66">
                  <c:v>4.728320749188876E-2</c:v>
                </c:pt>
                <c:pt idx="67">
                  <c:v>4.728320749188876E-2</c:v>
                </c:pt>
                <c:pt idx="68">
                  <c:v>4.728320749188876E-2</c:v>
                </c:pt>
                <c:pt idx="69">
                  <c:v>4.728320749188876E-2</c:v>
                </c:pt>
                <c:pt idx="70">
                  <c:v>4.728320749188876E-2</c:v>
                </c:pt>
                <c:pt idx="71">
                  <c:v>4.728320749188876E-2</c:v>
                </c:pt>
                <c:pt idx="72">
                  <c:v>4.728320749188876E-2</c:v>
                </c:pt>
                <c:pt idx="73">
                  <c:v>4.728320749188876E-2</c:v>
                </c:pt>
                <c:pt idx="74">
                  <c:v>4.728320749188876E-2</c:v>
                </c:pt>
                <c:pt idx="75">
                  <c:v>4.728320749188876E-2</c:v>
                </c:pt>
                <c:pt idx="76">
                  <c:v>4.728320749188876E-2</c:v>
                </c:pt>
                <c:pt idx="77">
                  <c:v>4.728320749188876E-2</c:v>
                </c:pt>
                <c:pt idx="78">
                  <c:v>4.728320749188876E-2</c:v>
                </c:pt>
                <c:pt idx="79">
                  <c:v>4.728320749188876E-2</c:v>
                </c:pt>
                <c:pt idx="80">
                  <c:v>4.728320749188876E-2</c:v>
                </c:pt>
                <c:pt idx="81">
                  <c:v>5.2133251501585827E-2</c:v>
                </c:pt>
                <c:pt idx="82">
                  <c:v>5.6535952538909827E-2</c:v>
                </c:pt>
                <c:pt idx="83">
                  <c:v>5.2214715862943829E-2</c:v>
                </c:pt>
                <c:pt idx="84">
                  <c:v>5.8093662601772733E-2</c:v>
                </c:pt>
                <c:pt idx="85">
                  <c:v>6.223135204920073E-2</c:v>
                </c:pt>
                <c:pt idx="86">
                  <c:v>8.1427306704119309E-2</c:v>
                </c:pt>
                <c:pt idx="87">
                  <c:v>8.1427306704119309E-2</c:v>
                </c:pt>
                <c:pt idx="88">
                  <c:v>8.1427306704119309E-2</c:v>
                </c:pt>
                <c:pt idx="89">
                  <c:v>8.1427306704119309E-2</c:v>
                </c:pt>
                <c:pt idx="90">
                  <c:v>8.1427306704119309E-2</c:v>
                </c:pt>
                <c:pt idx="91">
                  <c:v>8.1427306704119309E-2</c:v>
                </c:pt>
                <c:pt idx="92">
                  <c:v>8.1427306704119309E-2</c:v>
                </c:pt>
                <c:pt idx="93">
                  <c:v>8.1427306704119309E-2</c:v>
                </c:pt>
                <c:pt idx="94">
                  <c:v>8.1427306704119309E-2</c:v>
                </c:pt>
                <c:pt idx="95">
                  <c:v>8.1427306704119309E-2</c:v>
                </c:pt>
                <c:pt idx="96">
                  <c:v>8.1427306704119309E-2</c:v>
                </c:pt>
                <c:pt idx="97">
                  <c:v>8.1427306704119309E-2</c:v>
                </c:pt>
                <c:pt idx="98">
                  <c:v>8.1427306704119309E-2</c:v>
                </c:pt>
                <c:pt idx="99">
                  <c:v>7.7758965117908974E-2</c:v>
                </c:pt>
                <c:pt idx="100">
                  <c:v>8.5080667871878332E-2</c:v>
                </c:pt>
                <c:pt idx="101">
                  <c:v>8.5693552554169508E-2</c:v>
                </c:pt>
                <c:pt idx="102">
                  <c:v>9.6318357228562815E-2</c:v>
                </c:pt>
                <c:pt idx="103">
                  <c:v>9.6318357228562815E-2</c:v>
                </c:pt>
                <c:pt idx="104">
                  <c:v>9.6318357228562815E-2</c:v>
                </c:pt>
                <c:pt idx="105">
                  <c:v>9.6318357228562815E-2</c:v>
                </c:pt>
                <c:pt idx="106">
                  <c:v>9.6318357228562815E-2</c:v>
                </c:pt>
                <c:pt idx="107">
                  <c:v>9.6318357228562815E-2</c:v>
                </c:pt>
                <c:pt idx="108">
                  <c:v>9.6318357228562815E-2</c:v>
                </c:pt>
                <c:pt idx="109">
                  <c:v>9.6318357228562815E-2</c:v>
                </c:pt>
                <c:pt idx="110">
                  <c:v>9.6318357228562815E-2</c:v>
                </c:pt>
                <c:pt idx="111">
                  <c:v>0.10438934758460669</c:v>
                </c:pt>
                <c:pt idx="112">
                  <c:v>9.8612488342995075E-2</c:v>
                </c:pt>
                <c:pt idx="113">
                  <c:v>9.4642067869654276E-2</c:v>
                </c:pt>
                <c:pt idx="114">
                  <c:v>9.3442033988801881E-2</c:v>
                </c:pt>
                <c:pt idx="115">
                  <c:v>0.10264768823317896</c:v>
                </c:pt>
                <c:pt idx="116">
                  <c:v>0.12196569034108083</c:v>
                </c:pt>
                <c:pt idx="117">
                  <c:v>0.12196569034108083</c:v>
                </c:pt>
                <c:pt idx="118">
                  <c:v>0.12196569034108083</c:v>
                </c:pt>
                <c:pt idx="119">
                  <c:v>0.12196569034108083</c:v>
                </c:pt>
                <c:pt idx="120">
                  <c:v>0.12196569034108083</c:v>
                </c:pt>
                <c:pt idx="121">
                  <c:v>0.12196569034108083</c:v>
                </c:pt>
                <c:pt idx="122">
                  <c:v>0.12196569034108083</c:v>
                </c:pt>
                <c:pt idx="123">
                  <c:v>0.13220342552536465</c:v>
                </c:pt>
                <c:pt idx="124">
                  <c:v>0.13349286545928188</c:v>
                </c:pt>
                <c:pt idx="125">
                  <c:v>0.13963287575773159</c:v>
                </c:pt>
                <c:pt idx="126">
                  <c:v>0.13963287575773159</c:v>
                </c:pt>
                <c:pt idx="127">
                  <c:v>0.13963287575773159</c:v>
                </c:pt>
                <c:pt idx="128">
                  <c:v>0.13963287575773159</c:v>
                </c:pt>
                <c:pt idx="129">
                  <c:v>0.13963287575773159</c:v>
                </c:pt>
                <c:pt idx="130">
                  <c:v>0.13963287575773159</c:v>
                </c:pt>
                <c:pt idx="131">
                  <c:v>0.13963287575773159</c:v>
                </c:pt>
                <c:pt idx="132">
                  <c:v>0.13507166063405501</c:v>
                </c:pt>
                <c:pt idx="133">
                  <c:v>0.13160793256209732</c:v>
                </c:pt>
                <c:pt idx="134">
                  <c:v>0.12992003520192733</c:v>
                </c:pt>
                <c:pt idx="135">
                  <c:v>0.12819884687707522</c:v>
                </c:pt>
                <c:pt idx="136">
                  <c:v>0.14718521679910362</c:v>
                </c:pt>
                <c:pt idx="137">
                  <c:v>0.14509881087374651</c:v>
                </c:pt>
                <c:pt idx="138">
                  <c:v>0.15391130118498741</c:v>
                </c:pt>
                <c:pt idx="139">
                  <c:v>0.14945874533698436</c:v>
                </c:pt>
                <c:pt idx="140">
                  <c:v>0.15920864588621256</c:v>
                </c:pt>
                <c:pt idx="141">
                  <c:v>0.15920864588621256</c:v>
                </c:pt>
                <c:pt idx="142">
                  <c:v>0.15920864588621256</c:v>
                </c:pt>
                <c:pt idx="143">
                  <c:v>0.15920864588621256</c:v>
                </c:pt>
                <c:pt idx="144">
                  <c:v>0.15920864588621256</c:v>
                </c:pt>
                <c:pt idx="145">
                  <c:v>0.15920864588621256</c:v>
                </c:pt>
                <c:pt idx="146">
                  <c:v>0.15920864588621256</c:v>
                </c:pt>
                <c:pt idx="147">
                  <c:v>0.15920864588621256</c:v>
                </c:pt>
                <c:pt idx="148">
                  <c:v>0.15920864588621256</c:v>
                </c:pt>
                <c:pt idx="149">
                  <c:v>0.15920864588621256</c:v>
                </c:pt>
                <c:pt idx="150">
                  <c:v>0.15920864588621256</c:v>
                </c:pt>
                <c:pt idx="151">
                  <c:v>0.15920864588621256</c:v>
                </c:pt>
                <c:pt idx="152">
                  <c:v>0.15920864588621256</c:v>
                </c:pt>
                <c:pt idx="153">
                  <c:v>0.15920864588621256</c:v>
                </c:pt>
                <c:pt idx="154">
                  <c:v>0.15920864588621256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5-48BC-A9F4-98E952AB0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6D77AA-29B7-41F7-BE51-510B74D1F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3C841-2C8A-4EA0-9C9A-AB01427D4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8624C7-BA60-492F-972F-886541DB2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CDE107-E62B-48DA-A76A-53BDD55E7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12105F-E80A-4F19-8503-8BC7EB03A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F8B723-3F04-4836-BE4D-300C6EE21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0215A1-3FFD-4895-8569-DF4719F7A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XBI_IBB_2.xlsx" TargetMode="External"/><Relationship Id="rId1" Type="http://schemas.openxmlformats.org/officeDocument/2006/relationships/externalLinkPath" Target="XBI_IBB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IBB/XBI avg</v>
          </cell>
          <cell r="P1" t="str">
            <v>IBB/XBI 10 dma</v>
          </cell>
          <cell r="Q1" t="str">
            <v>IBB/XBI 20 dma</v>
          </cell>
          <cell r="U1" t="str">
            <v>log diff XBI x avg / IBB</v>
          </cell>
          <cell r="V1" t="str">
            <v>log diff XBI x 10 dma / IBB</v>
          </cell>
          <cell r="W1" t="str">
            <v>log diff XBI x 20 dma / IBB</v>
          </cell>
          <cell r="Y1" t="str">
            <v>IBB*/XBI* avg</v>
          </cell>
          <cell r="Z1" t="str">
            <v>IBB*/XBI* 10 dma</v>
          </cell>
          <cell r="AA1" t="str">
            <v>IBB*/XBI* 20 dma</v>
          </cell>
          <cell r="AE1" t="str">
            <v>log diff XBI* x avg / IBB*</v>
          </cell>
          <cell r="AF1" t="str">
            <v>log diff XBI* x 10 dma / IBB*</v>
          </cell>
          <cell r="AG1" t="str">
            <v>log diff XBI* x 20 dma / IBB*</v>
          </cell>
        </row>
        <row r="2">
          <cell r="O2">
            <v>1.3022492118915701</v>
          </cell>
          <cell r="Y2">
            <v>1.30254549159954</v>
          </cell>
        </row>
        <row r="3">
          <cell r="O3">
            <v>1.3022492118915701</v>
          </cell>
          <cell r="U3">
            <v>-6.7193776231800603E-2</v>
          </cell>
          <cell r="Y3">
            <v>1.30254549159954</v>
          </cell>
          <cell r="AE3">
            <v>-6.6966288277488795E-2</v>
          </cell>
        </row>
        <row r="4">
          <cell r="O4">
            <v>1.3022492118915701</v>
          </cell>
          <cell r="U4">
            <v>-7.4214671142807206E-2</v>
          </cell>
          <cell r="Y4">
            <v>1.30254549159954</v>
          </cell>
          <cell r="AE4">
            <v>-7.3987183188495495E-2</v>
          </cell>
        </row>
        <row r="5">
          <cell r="O5">
            <v>1.3022492118915701</v>
          </cell>
          <cell r="U5">
            <v>-7.0897998312877797E-2</v>
          </cell>
          <cell r="Y5">
            <v>1.30254549159954</v>
          </cell>
          <cell r="AE5">
            <v>-7.0670510358566196E-2</v>
          </cell>
        </row>
        <row r="6">
          <cell r="O6">
            <v>1.3022492118915701</v>
          </cell>
          <cell r="U6">
            <v>-6.69719140331132E-2</v>
          </cell>
          <cell r="Y6">
            <v>1.30254549159954</v>
          </cell>
          <cell r="AE6">
            <v>-6.6744426078801294E-2</v>
          </cell>
        </row>
        <row r="7">
          <cell r="O7">
            <v>1.3022492118915701</v>
          </cell>
          <cell r="U7">
            <v>-6.1360703548950797E-2</v>
          </cell>
          <cell r="Y7">
            <v>1.30254549159954</v>
          </cell>
          <cell r="AE7">
            <v>-6.1133215594639002E-2</v>
          </cell>
        </row>
        <row r="8">
          <cell r="O8">
            <v>1.3022492118915701</v>
          </cell>
          <cell r="U8">
            <v>-6.0190183633722402E-2</v>
          </cell>
          <cell r="Y8">
            <v>1.30254549159954</v>
          </cell>
          <cell r="AE8">
            <v>-5.9962695679410698E-2</v>
          </cell>
        </row>
        <row r="9">
          <cell r="O9">
            <v>1.3022492118915701</v>
          </cell>
          <cell r="U9">
            <v>-6.0369064358627503E-2</v>
          </cell>
          <cell r="Y9">
            <v>1.30254549159954</v>
          </cell>
          <cell r="AE9">
            <v>-6.0141576404315798E-2</v>
          </cell>
        </row>
        <row r="10">
          <cell r="O10">
            <v>1.3022492118915701</v>
          </cell>
          <cell r="U10">
            <v>-4.5446761687341901E-2</v>
          </cell>
          <cell r="Y10">
            <v>1.30254549159954</v>
          </cell>
          <cell r="AE10">
            <v>-4.5219273733030203E-2</v>
          </cell>
        </row>
        <row r="11">
          <cell r="O11">
            <v>1.3022492118915701</v>
          </cell>
          <cell r="P11">
            <v>1.38618200241551</v>
          </cell>
          <cell r="U11">
            <v>-5.1894038274891897E-2</v>
          </cell>
          <cell r="Y11">
            <v>1.30254549159954</v>
          </cell>
          <cell r="Z11">
            <v>1.38618200241551</v>
          </cell>
          <cell r="AE11">
            <v>-5.16665503205802E-2</v>
          </cell>
        </row>
        <row r="12">
          <cell r="O12">
            <v>1.3022492118915701</v>
          </cell>
          <cell r="P12">
            <v>1.38397608458996</v>
          </cell>
          <cell r="U12">
            <v>-4.9738056856689999E-2</v>
          </cell>
          <cell r="V12">
            <v>1.2722217710910699E-2</v>
          </cell>
          <cell r="Y12">
            <v>1.30254549159954</v>
          </cell>
          <cell r="Z12">
            <v>1.38397608458996</v>
          </cell>
          <cell r="AE12">
            <v>-4.9510568902378101E-2</v>
          </cell>
          <cell r="AF12">
            <v>1.2722217710910699E-2</v>
          </cell>
        </row>
        <row r="13">
          <cell r="O13">
            <v>1.3022492118915701</v>
          </cell>
          <cell r="P13">
            <v>1.3809600565565201</v>
          </cell>
          <cell r="U13">
            <v>-4.5300804842807699E-2</v>
          </cell>
          <cell r="V13">
            <v>1.5566839829653E-2</v>
          </cell>
          <cell r="Y13">
            <v>1.30254549159954</v>
          </cell>
          <cell r="Z13">
            <v>1.3809600565565201</v>
          </cell>
          <cell r="AE13">
            <v>-4.5073316888496001E-2</v>
          </cell>
          <cell r="AF13">
            <v>1.5566839829653E-2</v>
          </cell>
        </row>
        <row r="14">
          <cell r="O14">
            <v>1.3022492118915701</v>
          </cell>
          <cell r="P14">
            <v>1.3773544529460999</v>
          </cell>
          <cell r="U14">
            <v>-4.81713834039426E-2</v>
          </cell>
          <cell r="V14">
            <v>1.05146345865944E-2</v>
          </cell>
          <cell r="Y14">
            <v>1.30254549159954</v>
          </cell>
          <cell r="Z14">
            <v>1.3773544529460999</v>
          </cell>
          <cell r="AE14">
            <v>-4.7943895449630701E-2</v>
          </cell>
          <cell r="AF14">
            <v>1.05146345865944E-2</v>
          </cell>
        </row>
        <row r="15">
          <cell r="O15">
            <v>1.3022492118915701</v>
          </cell>
          <cell r="P15">
            <v>1.37257726330246</v>
          </cell>
          <cell r="U15">
            <v>-3.61270685929806E-2</v>
          </cell>
          <cell r="V15">
            <v>1.9944595123128701E-2</v>
          </cell>
          <cell r="Y15">
            <v>1.30254549159954</v>
          </cell>
          <cell r="Z15">
            <v>1.37257726330246</v>
          </cell>
          <cell r="AE15">
            <v>-3.5899580638668799E-2</v>
          </cell>
          <cell r="AF15">
            <v>1.9944595123128701E-2</v>
          </cell>
        </row>
        <row r="16">
          <cell r="O16">
            <v>1.3022492118915701</v>
          </cell>
          <cell r="P16">
            <v>1.37026602551152</v>
          </cell>
          <cell r="U16">
            <v>-5.0234264927200602E-2</v>
          </cell>
          <cell r="V16">
            <v>2.3629892818810899E-3</v>
          </cell>
          <cell r="Y16">
            <v>1.30254549159954</v>
          </cell>
          <cell r="Z16">
            <v>1.37026602551152</v>
          </cell>
          <cell r="AE16">
            <v>-5.0006776972888897E-2</v>
          </cell>
          <cell r="AF16">
            <v>2.3629892818810899E-3</v>
          </cell>
        </row>
        <row r="17">
          <cell r="O17">
            <v>1.3022492118915701</v>
          </cell>
          <cell r="P17">
            <v>1.36933340153839</v>
          </cell>
          <cell r="U17">
            <v>-5.46025111282364E-2</v>
          </cell>
          <cell r="V17">
            <v>-3.6905433862237302E-3</v>
          </cell>
          <cell r="Y17">
            <v>1.30254549159954</v>
          </cell>
          <cell r="Z17">
            <v>1.36933340153839</v>
          </cell>
          <cell r="AE17">
            <v>-5.4375023173924703E-2</v>
          </cell>
          <cell r="AF17">
            <v>-3.6905433862237302E-3</v>
          </cell>
        </row>
        <row r="18">
          <cell r="O18">
            <v>1.3022492118915701</v>
          </cell>
          <cell r="P18">
            <v>1.3686627576916099</v>
          </cell>
          <cell r="U18">
            <v>-5.5329328590525001E-2</v>
          </cell>
          <cell r="V18">
            <v>-5.0982078365435501E-3</v>
          </cell>
          <cell r="Y18">
            <v>1.30254549159954</v>
          </cell>
          <cell r="Z18">
            <v>1.3686627576916099</v>
          </cell>
          <cell r="AE18">
            <v>-5.5101840636213102E-2</v>
          </cell>
          <cell r="AF18">
            <v>-5.0982078365435501E-3</v>
          </cell>
        </row>
        <row r="19">
          <cell r="O19">
            <v>1.3022492118915701</v>
          </cell>
          <cell r="P19">
            <v>1.3685189842854699</v>
          </cell>
          <cell r="U19">
            <v>-5.9329162632311999E-2</v>
          </cell>
          <cell r="V19">
            <v>-9.5879212070025793E-3</v>
          </cell>
          <cell r="Y19">
            <v>1.30254549159954</v>
          </cell>
          <cell r="Z19">
            <v>1.3685189842854699</v>
          </cell>
          <cell r="AE19">
            <v>-5.9101674678000003E-2</v>
          </cell>
          <cell r="AF19">
            <v>-9.5879212070025793E-3</v>
          </cell>
        </row>
        <row r="20">
          <cell r="O20">
            <v>1.3022492118915701</v>
          </cell>
          <cell r="P20">
            <v>1.36972540989165</v>
          </cell>
          <cell r="U20">
            <v>-5.4260373292088299E-2</v>
          </cell>
          <cell r="V20">
            <v>-4.6241840115225996E-3</v>
          </cell>
          <cell r="Y20">
            <v>1.30254549159954</v>
          </cell>
          <cell r="Z20">
            <v>1.36972540989165</v>
          </cell>
          <cell r="AE20">
            <v>-5.4032885337776497E-2</v>
          </cell>
          <cell r="AF20">
            <v>-4.6241840115225996E-3</v>
          </cell>
        </row>
        <row r="21">
          <cell r="O21">
            <v>1.3022492118915701</v>
          </cell>
          <cell r="P21">
            <v>1.3707846123335301</v>
          </cell>
          <cell r="Q21">
            <v>1.37848330737452</v>
          </cell>
          <cell r="U21">
            <v>-5.9586689927238E-2</v>
          </cell>
          <cell r="V21">
            <v>-9.0693333653211593E-3</v>
          </cell>
          <cell r="Y21">
            <v>1.30254549159954</v>
          </cell>
          <cell r="Z21">
            <v>1.3707846123335301</v>
          </cell>
          <cell r="AA21">
            <v>1.37848330737452</v>
          </cell>
          <cell r="AE21">
            <v>-5.9359201972926302E-2</v>
          </cell>
          <cell r="AF21">
            <v>-9.0693333653211593E-3</v>
          </cell>
        </row>
        <row r="22">
          <cell r="O22">
            <v>1.3022492118915701</v>
          </cell>
          <cell r="P22">
            <v>1.3706600366561501</v>
          </cell>
          <cell r="Q22">
            <v>1.3773180606230599</v>
          </cell>
          <cell r="U22">
            <v>-4.8827439521829399E-2</v>
          </cell>
          <cell r="V22">
            <v>2.4629136619045799E-3</v>
          </cell>
          <cell r="W22">
            <v>8.0634701657267202E-3</v>
          </cell>
          <cell r="Y22">
            <v>1.30254549159954</v>
          </cell>
          <cell r="Z22">
            <v>1.3706600366561501</v>
          </cell>
          <cell r="AA22">
            <v>1.3773180606230599</v>
          </cell>
          <cell r="AE22">
            <v>-4.8599951567517598E-2</v>
          </cell>
          <cell r="AF22">
            <v>2.4629136619045799E-3</v>
          </cell>
          <cell r="AG22">
            <v>8.0634701657267202E-3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1.3022492118915701</v>
          </cell>
          <cell r="P23">
            <v>1.3705537044201801</v>
          </cell>
          <cell r="Q23">
            <v>1.37575688048835</v>
          </cell>
          <cell r="U23">
            <v>-4.4520136690624698E-2</v>
          </cell>
          <cell r="V23">
            <v>6.6793332593297998E-3</v>
          </cell>
          <cell r="W23">
            <v>1.15251047753844E-2</v>
          </cell>
          <cell r="Y23">
            <v>1.30254549159954</v>
          </cell>
          <cell r="Z23">
            <v>1.3705537044201801</v>
          </cell>
          <cell r="AA23">
            <v>1.37575688048835</v>
          </cell>
          <cell r="AE23">
            <v>-4.4292648736312903E-2</v>
          </cell>
          <cell r="AF23">
            <v>6.6793332593297998E-3</v>
          </cell>
          <cell r="AG23">
            <v>1.15251047753844E-2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1.3022492118915701</v>
          </cell>
          <cell r="P24">
            <v>1.3728198316204601</v>
          </cell>
          <cell r="Q24">
            <v>1.37508714228328</v>
          </cell>
          <cell r="U24">
            <v>-6.4618631546812494E-2</v>
          </cell>
          <cell r="V24">
            <v>-1.3496742001789901E-2</v>
          </cell>
          <cell r="W24">
            <v>-9.7075257911902399E-3</v>
          </cell>
          <cell r="Y24">
            <v>1.30254549159954</v>
          </cell>
          <cell r="Z24">
            <v>1.3728198316204601</v>
          </cell>
          <cell r="AA24">
            <v>1.37508714228328</v>
          </cell>
          <cell r="AE24">
            <v>-6.4391143592500699E-2</v>
          </cell>
          <cell r="AF24">
            <v>-1.3496742001789901E-2</v>
          </cell>
          <cell r="AG24">
            <v>-9.7075257911902399E-3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1.3022492118915701</v>
          </cell>
          <cell r="P25">
            <v>1.3786591213363</v>
          </cell>
          <cell r="Q25">
            <v>1.37561819231938</v>
          </cell>
          <cell r="U25">
            <v>-7.8466956577821698E-2</v>
          </cell>
          <cell r="V25">
            <v>-2.5692993273298499E-2</v>
          </cell>
          <cell r="W25">
            <v>-2.4042783714620802E-2</v>
          </cell>
          <cell r="Y25">
            <v>1.30254549159954</v>
          </cell>
          <cell r="Z25">
            <v>1.3786591213363</v>
          </cell>
          <cell r="AA25">
            <v>1.37561819231938</v>
          </cell>
          <cell r="AE25">
            <v>-7.8239468623510097E-2</v>
          </cell>
          <cell r="AF25">
            <v>-2.5692993273298499E-2</v>
          </cell>
          <cell r="AG25">
            <v>-2.4042783714620802E-2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1.3022492118915701</v>
          </cell>
          <cell r="P26">
            <v>1.38114053668059</v>
          </cell>
          <cell r="Q26">
            <v>1.3757032810960601</v>
          </cell>
          <cell r="U26">
            <v>-6.8193312552589397E-2</v>
          </cell>
          <cell r="V26">
            <v>-1.1174869401263301E-2</v>
          </cell>
          <cell r="W26">
            <v>-1.33830205104177E-2</v>
          </cell>
          <cell r="Y26">
            <v>1.30254549159954</v>
          </cell>
          <cell r="Z26">
            <v>1.38114053668059</v>
          </cell>
          <cell r="AA26">
            <v>1.3757032810960601</v>
          </cell>
          <cell r="AE26">
            <v>-6.7965824598277796E-2</v>
          </cell>
          <cell r="AF26">
            <v>-1.1174869401263301E-2</v>
          </cell>
          <cell r="AG26">
            <v>-1.33830205104177E-2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1.3022492118915701</v>
          </cell>
          <cell r="P27">
            <v>1.38187547577417</v>
          </cell>
          <cell r="Q27">
            <v>1.37560443865628</v>
          </cell>
          <cell r="U27">
            <v>-5.9932003908445101E-2</v>
          </cell>
          <cell r="V27">
            <v>-1.1153026801074199E-3</v>
          </cell>
          <cell r="W27">
            <v>-5.0598588421687596E-3</v>
          </cell>
          <cell r="Y27">
            <v>1.30254549159954</v>
          </cell>
          <cell r="Z27">
            <v>1.38187547577417</v>
          </cell>
          <cell r="AA27">
            <v>1.37560443865628</v>
          </cell>
          <cell r="AE27">
            <v>-5.97045159541333E-2</v>
          </cell>
          <cell r="AF27">
            <v>-1.1153026801074199E-3</v>
          </cell>
          <cell r="AG27">
            <v>-5.0598588421687596E-3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1.3022492118915701</v>
          </cell>
          <cell r="P28">
            <v>1.3815168514501801</v>
          </cell>
          <cell r="Q28">
            <v>1.3750898045708899</v>
          </cell>
          <cell r="U28">
            <v>-5.2720275943498401E-2</v>
          </cell>
          <cell r="V28">
            <v>6.6284085289451296E-3</v>
          </cell>
          <cell r="W28">
            <v>2.0800178797415799E-3</v>
          </cell>
          <cell r="Y28">
            <v>1.30254549159954</v>
          </cell>
          <cell r="Z28">
            <v>1.3815168514501801</v>
          </cell>
          <cell r="AA28">
            <v>1.3750898045708899</v>
          </cell>
          <cell r="AE28">
            <v>-5.24927879891866E-2</v>
          </cell>
          <cell r="AF28">
            <v>6.6284085289451296E-3</v>
          </cell>
          <cell r="AG28">
            <v>2.0800178797415799E-3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1.3022492118915701</v>
          </cell>
          <cell r="P29">
            <v>1.38187993573745</v>
          </cell>
          <cell r="Q29">
            <v>1.3751994600114601</v>
          </cell>
          <cell r="U29">
            <v>-6.1953242729891798E-2</v>
          </cell>
          <cell r="V29">
            <v>-2.86411193896528E-3</v>
          </cell>
          <cell r="W29">
            <v>-7.5271337820944596E-3</v>
          </cell>
          <cell r="Y29">
            <v>1.30254549159954</v>
          </cell>
          <cell r="Z29">
            <v>1.38187993573745</v>
          </cell>
          <cell r="AA29">
            <v>1.3751994600114601</v>
          </cell>
          <cell r="AE29">
            <v>-6.17257547755799E-2</v>
          </cell>
          <cell r="AF29">
            <v>-2.86411193896528E-3</v>
          </cell>
          <cell r="AG29">
            <v>-7.5271337820944596E-3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1.3022492118915701</v>
          </cell>
          <cell r="P30">
            <v>1.3829227255105301</v>
          </cell>
          <cell r="Q30">
            <v>1.3763240677010899</v>
          </cell>
          <cell r="U30">
            <v>-6.1816441451023697E-2</v>
          </cell>
          <cell r="V30">
            <v>-2.46452951260558E-3</v>
          </cell>
          <cell r="W30">
            <v>-7.3105914795945203E-3</v>
          </cell>
          <cell r="Y30">
            <v>1.30254549159954</v>
          </cell>
          <cell r="Z30">
            <v>1.3829227255105301</v>
          </cell>
          <cell r="AA30">
            <v>1.3763240677010899</v>
          </cell>
          <cell r="AE30">
            <v>-6.1588953496711799E-2</v>
          </cell>
          <cell r="AF30">
            <v>-2.46452951260558E-3</v>
          </cell>
          <cell r="AG30">
            <v>-7.3105914795945203E-3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1.3022492118915701</v>
          </cell>
          <cell r="P31">
            <v>1.38510599617036</v>
          </cell>
          <cell r="Q31">
            <v>1.3779453042519401</v>
          </cell>
          <cell r="U31">
            <v>-7.52588082824589E-2</v>
          </cell>
          <cell r="V31">
            <v>-1.51525641545189E-2</v>
          </cell>
          <cell r="W31">
            <v>-1.9935514635967998E-2</v>
          </cell>
          <cell r="Y31">
            <v>1.30254549159954</v>
          </cell>
          <cell r="Z31">
            <v>1.38510599617036</v>
          </cell>
          <cell r="AA31">
            <v>1.3779453042519401</v>
          </cell>
          <cell r="AE31">
            <v>-7.5031320328147202E-2</v>
          </cell>
          <cell r="AF31">
            <v>-1.51525641545189E-2</v>
          </cell>
          <cell r="AG31">
            <v>-1.9935514635967998E-2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1.3022492118915701</v>
          </cell>
          <cell r="P32">
            <v>1.38799403467403</v>
          </cell>
          <cell r="Q32">
            <v>1.37932703566509</v>
          </cell>
          <cell r="U32">
            <v>-6.9727954846418805E-2</v>
          </cell>
          <cell r="V32">
            <v>-8.0442190577313197E-3</v>
          </cell>
          <cell r="W32">
            <v>-1.3227407620736001E-2</v>
          </cell>
          <cell r="Y32">
            <v>1.30254549159954</v>
          </cell>
          <cell r="Z32">
            <v>1.38799403467403</v>
          </cell>
          <cell r="AA32">
            <v>1.37932703566509</v>
          </cell>
          <cell r="AE32">
            <v>-6.9500466892107093E-2</v>
          </cell>
          <cell r="AF32">
            <v>-8.0442190577313197E-3</v>
          </cell>
          <cell r="AG32">
            <v>-1.3227407620736001E-2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1.3022492118915701</v>
          </cell>
          <cell r="P33">
            <v>1.3909806172133601</v>
          </cell>
          <cell r="Q33">
            <v>1.38076716081677</v>
          </cell>
          <cell r="U33">
            <v>-6.6218417595962795E-2</v>
          </cell>
          <cell r="V33">
            <v>-2.4517857590393502E-3</v>
          </cell>
          <cell r="W33">
            <v>-8.7156251376970806E-3</v>
          </cell>
          <cell r="Y33">
            <v>1.30254549159954</v>
          </cell>
          <cell r="Z33">
            <v>1.3909806172133601</v>
          </cell>
          <cell r="AA33">
            <v>1.38076716081677</v>
          </cell>
          <cell r="AE33">
            <v>-6.5990929641650903E-2</v>
          </cell>
          <cell r="AF33">
            <v>-2.4517857590393502E-3</v>
          </cell>
          <cell r="AG33">
            <v>-8.7156251376970806E-3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1.3022492118915701</v>
          </cell>
          <cell r="P34">
            <v>1.39016453167746</v>
          </cell>
          <cell r="Q34">
            <v>1.38149218164896</v>
          </cell>
          <cell r="U34">
            <v>-5.8726711454199297E-2</v>
          </cell>
          <cell r="V34">
            <v>7.18933451080115E-3</v>
          </cell>
          <cell r="W34">
            <v>-1.8038556565552199E-4</v>
          </cell>
          <cell r="Y34">
            <v>1.30254549159954</v>
          </cell>
          <cell r="Z34">
            <v>1.39016453167746</v>
          </cell>
          <cell r="AA34">
            <v>1.38149218164896</v>
          </cell>
          <cell r="AE34">
            <v>-5.8499223499887398E-2</v>
          </cell>
          <cell r="AF34">
            <v>7.18933451080115E-3</v>
          </cell>
          <cell r="AG34">
            <v>-1.8038556565552199E-4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1.3022492118915701</v>
          </cell>
          <cell r="P35">
            <v>1.3890676349364099</v>
          </cell>
          <cell r="Q35">
            <v>1.3838633781363601</v>
          </cell>
          <cell r="U35">
            <v>-7.0649051245554401E-2</v>
          </cell>
          <cell r="V35">
            <v>-5.31987544779594E-3</v>
          </cell>
          <cell r="W35">
            <v>-1.1577777653736399E-2</v>
          </cell>
          <cell r="Y35">
            <v>1.30254549159954</v>
          </cell>
          <cell r="Z35">
            <v>1.3890676349364099</v>
          </cell>
          <cell r="AA35">
            <v>1.3838633781363601</v>
          </cell>
          <cell r="AE35">
            <v>-7.0421563291242495E-2</v>
          </cell>
          <cell r="AF35">
            <v>-5.31987544779594E-3</v>
          </cell>
          <cell r="AG35">
            <v>-1.1577777653736399E-2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1.3022492118915701</v>
          </cell>
          <cell r="P36">
            <v>1.3875590410038301</v>
          </cell>
          <cell r="Q36">
            <v>1.38434978884221</v>
          </cell>
          <cell r="U36">
            <v>-5.7313468756932003E-2</v>
          </cell>
          <cell r="V36">
            <v>7.2263546353827602E-3</v>
          </cell>
          <cell r="W36">
            <v>3.4727358933112399E-3</v>
          </cell>
          <cell r="Y36">
            <v>1.30254549159954</v>
          </cell>
          <cell r="Z36">
            <v>1.3875590410038301</v>
          </cell>
          <cell r="AA36">
            <v>1.38434978884221</v>
          </cell>
          <cell r="AE36">
            <v>-5.7085980802620201E-2</v>
          </cell>
          <cell r="AF36">
            <v>7.2263546353827602E-3</v>
          </cell>
          <cell r="AG36">
            <v>3.4727358933112399E-3</v>
          </cell>
          <cell r="AR36">
            <v>0</v>
          </cell>
          <cell r="BC36">
            <v>0</v>
          </cell>
          <cell r="BF36">
            <v>0</v>
          </cell>
        </row>
        <row r="37">
          <cell r="O37">
            <v>1.3022492118915701</v>
          </cell>
          <cell r="P37">
            <v>1.3858346840461699</v>
          </cell>
          <cell r="Q37">
            <v>1.3838550799101701</v>
          </cell>
          <cell r="U37">
            <v>-4.7382482146488401E-2</v>
          </cell>
          <cell r="V37">
            <v>1.6070703208313799E-2</v>
          </cell>
          <cell r="W37">
            <v>1.37551482658065E-2</v>
          </cell>
          <cell r="Y37">
            <v>1.30254549159954</v>
          </cell>
          <cell r="Z37">
            <v>1.3858346840461699</v>
          </cell>
          <cell r="AA37">
            <v>1.3838550799101701</v>
          </cell>
          <cell r="AE37">
            <v>-4.71549941921766E-2</v>
          </cell>
          <cell r="AF37">
            <v>1.6070703208313799E-2</v>
          </cell>
          <cell r="AG37">
            <v>1.37551482658065E-2</v>
          </cell>
          <cell r="AR37">
            <v>0</v>
          </cell>
          <cell r="BC37">
            <v>0</v>
          </cell>
          <cell r="BF37">
            <v>0</v>
          </cell>
        </row>
        <row r="38">
          <cell r="O38">
            <v>1.3022492118915701</v>
          </cell>
          <cell r="P38">
            <v>1.3852142649444099</v>
          </cell>
          <cell r="Q38">
            <v>1.3833655581972899</v>
          </cell>
          <cell r="U38">
            <v>-4.8190484649060603E-2</v>
          </cell>
          <cell r="V38">
            <v>1.40192009716197E-2</v>
          </cell>
          <cell r="W38">
            <v>1.25897235630986E-2</v>
          </cell>
          <cell r="Y38">
            <v>1.30254549159954</v>
          </cell>
          <cell r="Z38">
            <v>1.3852142649444099</v>
          </cell>
          <cell r="AA38">
            <v>1.3833655581972899</v>
          </cell>
          <cell r="AE38">
            <v>-4.7962996694748898E-2</v>
          </cell>
          <cell r="AF38">
            <v>1.40192009716197E-2</v>
          </cell>
          <cell r="AG38">
            <v>1.25897235630986E-2</v>
          </cell>
          <cell r="AR38">
            <v>0</v>
          </cell>
          <cell r="BC38">
            <v>0</v>
          </cell>
          <cell r="BF38">
            <v>0</v>
          </cell>
        </row>
        <row r="39">
          <cell r="O39">
            <v>1.3022492118915701</v>
          </cell>
          <cell r="P39">
            <v>1.38286120814695</v>
          </cell>
          <cell r="Q39">
            <v>1.3823705719421999</v>
          </cell>
          <cell r="U39">
            <v>-4.4823663835157797E-2</v>
          </cell>
          <cell r="V39">
            <v>1.69382353165341E-2</v>
          </cell>
          <cell r="W39">
            <v>1.56027440972243E-2</v>
          </cell>
          <cell r="Y39">
            <v>1.30254549159954</v>
          </cell>
          <cell r="Z39">
            <v>1.38286120814695</v>
          </cell>
          <cell r="AA39">
            <v>1.3823705719421999</v>
          </cell>
          <cell r="AE39">
            <v>-4.4596175880845898E-2</v>
          </cell>
          <cell r="AF39">
            <v>1.69382353165341E-2</v>
          </cell>
          <cell r="AG39">
            <v>1.56027440972243E-2</v>
          </cell>
          <cell r="AR39">
            <v>0</v>
          </cell>
          <cell r="BC39">
            <v>0</v>
          </cell>
          <cell r="BF39">
            <v>0</v>
          </cell>
        </row>
        <row r="40">
          <cell r="O40">
            <v>1.3022492118915701</v>
          </cell>
          <cell r="P40">
            <v>1.38201770940716</v>
          </cell>
          <cell r="Q40">
            <v>1.3824702174588499</v>
          </cell>
          <cell r="U40">
            <v>-5.5708858626358999E-2</v>
          </cell>
          <cell r="V40">
            <v>4.3529009250062797E-3</v>
          </cell>
          <cell r="W40">
            <v>3.9980401039855602E-3</v>
          </cell>
          <cell r="Y40">
            <v>1.30254549159954</v>
          </cell>
          <cell r="Z40">
            <v>1.38201770940716</v>
          </cell>
          <cell r="AA40">
            <v>1.3824702174588499</v>
          </cell>
          <cell r="AE40">
            <v>-5.5481370672047101E-2</v>
          </cell>
          <cell r="AF40">
            <v>4.3529009250062797E-3</v>
          </cell>
          <cell r="AG40">
            <v>3.9980401039855602E-3</v>
          </cell>
          <cell r="AR40">
            <v>0</v>
          </cell>
          <cell r="BC40">
            <v>1.0885194791201321E-2</v>
          </cell>
          <cell r="BF40">
            <v>1.0885194791201321E-2</v>
          </cell>
        </row>
        <row r="41">
          <cell r="O41">
            <v>1.3022492118915701</v>
          </cell>
          <cell r="P41">
            <v>1.3790458429860799</v>
          </cell>
          <cell r="Q41">
            <v>1.38207591957822</v>
          </cell>
          <cell r="U41">
            <v>-5.3865003928591997E-2</v>
          </cell>
          <cell r="V41">
            <v>5.5866032138586798E-3</v>
          </cell>
          <cell r="W41">
            <v>5.9139752753004302E-3</v>
          </cell>
          <cell r="Y41">
            <v>1.30254549159954</v>
          </cell>
          <cell r="Z41">
            <v>1.3790458429860799</v>
          </cell>
          <cell r="AA41">
            <v>1.38207591957822</v>
          </cell>
          <cell r="AE41">
            <v>-5.3637515974280299E-2</v>
          </cell>
          <cell r="AF41">
            <v>5.5866032138586798E-3</v>
          </cell>
          <cell r="AG41">
            <v>5.9139752753004302E-3</v>
          </cell>
          <cell r="AR41">
            <v>0</v>
          </cell>
          <cell r="BC41">
            <v>1.0885194791201321E-2</v>
          </cell>
          <cell r="BF41">
            <v>1.0885194791201321E-2</v>
          </cell>
        </row>
        <row r="42">
          <cell r="O42">
            <v>1.3022492118915701</v>
          </cell>
          <cell r="P42">
            <v>1.37714933377225</v>
          </cell>
          <cell r="Q42">
            <v>1.3825716842231399</v>
          </cell>
          <cell r="U42">
            <v>-5.6052410880609999E-2</v>
          </cell>
          <cell r="V42">
            <v>1.2464985695529499E-3</v>
          </cell>
          <cell r="W42">
            <v>3.4413150746421799E-3</v>
          </cell>
          <cell r="Y42">
            <v>1.30254549159954</v>
          </cell>
          <cell r="Z42">
            <v>1.37714933377225</v>
          </cell>
          <cell r="AA42">
            <v>1.3825716842231399</v>
          </cell>
          <cell r="AE42">
            <v>-5.5824922926298398E-2</v>
          </cell>
          <cell r="AF42">
            <v>1.2464985695529499E-3</v>
          </cell>
          <cell r="AG42">
            <v>3.4413150746421799E-3</v>
          </cell>
          <cell r="AR42">
            <v>0</v>
          </cell>
          <cell r="BC42">
            <v>1.0885194791201321E-2</v>
          </cell>
          <cell r="BF42">
            <v>1.0885194791201321E-2</v>
          </cell>
        </row>
        <row r="43">
          <cell r="O43">
            <v>1.3022492118915701</v>
          </cell>
          <cell r="P43">
            <v>1.3748309118100699</v>
          </cell>
          <cell r="Q43">
            <v>1.38290576451172</v>
          </cell>
          <cell r="U43">
            <v>-4.9415539558505098E-2</v>
          </cell>
          <cell r="V43">
            <v>6.5071904910581502E-3</v>
          </cell>
          <cell r="W43">
            <v>1.0436832214428E-2</v>
          </cell>
          <cell r="Y43">
            <v>1.30254549159954</v>
          </cell>
          <cell r="Z43">
            <v>1.3748309118100699</v>
          </cell>
          <cell r="AA43">
            <v>1.38290576451172</v>
          </cell>
          <cell r="AE43">
            <v>-4.9188051604193303E-2</v>
          </cell>
          <cell r="AF43">
            <v>6.5071904910581502E-3</v>
          </cell>
          <cell r="AG43">
            <v>1.0436832214428E-2</v>
          </cell>
          <cell r="AR43">
            <v>0</v>
          </cell>
          <cell r="BC43">
            <v>1.0885194791201321E-2</v>
          </cell>
          <cell r="BF43">
            <v>1.0885194791201321E-2</v>
          </cell>
        </row>
        <row r="44">
          <cell r="O44">
            <v>1.3022492118915701</v>
          </cell>
          <cell r="P44">
            <v>1.3728632654506201</v>
          </cell>
          <cell r="Q44">
            <v>1.3815138985640401</v>
          </cell>
          <cell r="U44">
            <v>-4.4376422181652102E-2</v>
          </cell>
          <cell r="V44">
            <v>9.8613956928426602E-3</v>
          </cell>
          <cell r="W44">
            <v>1.5717557267639199E-2</v>
          </cell>
          <cell r="Y44">
            <v>1.30254549159954</v>
          </cell>
          <cell r="Z44">
            <v>1.3728632654506201</v>
          </cell>
          <cell r="AA44">
            <v>1.3815138985640401</v>
          </cell>
          <cell r="AE44">
            <v>-4.4148934227340501E-2</v>
          </cell>
          <cell r="AF44">
            <v>9.8613956928426602E-3</v>
          </cell>
          <cell r="AG44">
            <v>1.5717557267639199E-2</v>
          </cell>
          <cell r="AR44">
            <v>0</v>
          </cell>
          <cell r="BC44">
            <v>1.0885194791201321E-2</v>
          </cell>
          <cell r="BF44">
            <v>1.0885194791201321E-2</v>
          </cell>
        </row>
        <row r="45">
          <cell r="O45">
            <v>1.3022492118915701</v>
          </cell>
          <cell r="P45">
            <v>1.3682343236743799</v>
          </cell>
          <cell r="Q45">
            <v>1.3786509793054</v>
          </cell>
          <cell r="U45">
            <v>-3.6966998020623199E-2</v>
          </cell>
          <cell r="V45">
            <v>1.5838603188657999E-2</v>
          </cell>
          <cell r="W45">
            <v>2.2119995344838599E-2</v>
          </cell>
          <cell r="Y45">
            <v>1.30254549159954</v>
          </cell>
          <cell r="Z45">
            <v>1.3682343236743799</v>
          </cell>
          <cell r="AA45">
            <v>1.3786509793054</v>
          </cell>
          <cell r="AE45">
            <v>-3.67395100663113E-2</v>
          </cell>
          <cell r="AF45">
            <v>1.5838603188657999E-2</v>
          </cell>
          <cell r="AG45">
            <v>2.2119995344838599E-2</v>
          </cell>
          <cell r="AR45">
            <v>0</v>
          </cell>
          <cell r="BC45">
            <v>3.47577063017219E-3</v>
          </cell>
          <cell r="BF45">
            <v>3.47577063017219E-3</v>
          </cell>
        </row>
        <row r="46">
          <cell r="O46">
            <v>1.3022492118915701</v>
          </cell>
          <cell r="P46">
            <v>1.3650744276012501</v>
          </cell>
          <cell r="Q46">
            <v>1.37631673430254</v>
          </cell>
          <cell r="U46">
            <v>-3.4133571828258803E-2</v>
          </cell>
          <cell r="V46">
            <v>1.52945894862639E-2</v>
          </cell>
          <cell r="W46">
            <v>2.28789655448969E-2</v>
          </cell>
          <cell r="Y46">
            <v>1.30254549159954</v>
          </cell>
          <cell r="Z46">
            <v>1.3650744276012501</v>
          </cell>
          <cell r="AA46">
            <v>1.37631673430254</v>
          </cell>
          <cell r="AE46">
            <v>-3.3906083873947203E-2</v>
          </cell>
          <cell r="AF46">
            <v>1.52945894862639E-2</v>
          </cell>
          <cell r="AG46">
            <v>2.28789655448969E-2</v>
          </cell>
          <cell r="AR46">
            <v>0</v>
          </cell>
          <cell r="BC46">
            <v>6.4234443780788845E-4</v>
          </cell>
          <cell r="BF46">
            <v>6.4234443780788845E-4</v>
          </cell>
        </row>
        <row r="47">
          <cell r="O47">
            <v>1.3022492118915701</v>
          </cell>
          <cell r="P47">
            <v>1.3637185523081301</v>
          </cell>
          <cell r="Q47">
            <v>1.3747766181771499</v>
          </cell>
          <cell r="U47">
            <v>-3.7402886780915801E-2</v>
          </cell>
          <cell r="V47">
            <v>9.7131336315680796E-3</v>
          </cell>
          <cell r="W47">
            <v>1.7915078601500899E-2</v>
          </cell>
          <cell r="Y47">
            <v>1.30254549159954</v>
          </cell>
          <cell r="Z47">
            <v>1.3637185523081301</v>
          </cell>
          <cell r="AA47">
            <v>1.3747766181771499</v>
          </cell>
          <cell r="AE47">
            <v>-3.7175398826604103E-2</v>
          </cell>
          <cell r="AF47">
            <v>9.7131336315680796E-3</v>
          </cell>
          <cell r="AG47">
            <v>1.7915078601500899E-2</v>
          </cell>
          <cell r="AR47">
            <v>0</v>
          </cell>
          <cell r="BC47">
            <v>3.911659390465028E-3</v>
          </cell>
          <cell r="BF47">
            <v>3.911659390465028E-3</v>
          </cell>
        </row>
        <row r="48">
          <cell r="O48">
            <v>1.3022492118915701</v>
          </cell>
          <cell r="P48">
            <v>1.3622677133186201</v>
          </cell>
          <cell r="Q48">
            <v>1.37374098913151</v>
          </cell>
          <cell r="U48">
            <v>-3.7516859661698702E-2</v>
          </cell>
          <cell r="V48">
            <v>8.60540606533069E-3</v>
          </cell>
          <cell r="W48">
            <v>1.66814662981618E-2</v>
          </cell>
          <cell r="Y48">
            <v>1.30254549159954</v>
          </cell>
          <cell r="Z48">
            <v>1.3622677133186201</v>
          </cell>
          <cell r="AA48">
            <v>1.37374098913151</v>
          </cell>
          <cell r="AE48">
            <v>-3.7289371707386998E-2</v>
          </cell>
          <cell r="AF48">
            <v>8.60540606533069E-3</v>
          </cell>
          <cell r="AG48">
            <v>1.66814662981618E-2</v>
          </cell>
          <cell r="AR48">
            <v>0</v>
          </cell>
          <cell r="BC48">
            <v>4.0256322712478865E-3</v>
          </cell>
          <cell r="BF48">
            <v>4.0256322712478865E-3</v>
          </cell>
        </row>
        <row r="49">
          <cell r="O49">
            <v>1.3022492118915701</v>
          </cell>
          <cell r="P49">
            <v>1.36163799655922</v>
          </cell>
          <cell r="Q49">
            <v>1.3722496023530899</v>
          </cell>
          <cell r="U49">
            <v>-4.0189296759651903E-2</v>
          </cell>
          <cell r="V49">
            <v>4.8685181704022397E-3</v>
          </cell>
          <cell r="W49">
            <v>1.32554381794405E-2</v>
          </cell>
          <cell r="Y49">
            <v>1.30254549159954</v>
          </cell>
          <cell r="Z49">
            <v>1.36163799655922</v>
          </cell>
          <cell r="AA49">
            <v>1.3722496023530899</v>
          </cell>
          <cell r="AE49">
            <v>-3.9961808805339998E-2</v>
          </cell>
          <cell r="AF49">
            <v>4.8685181704022397E-3</v>
          </cell>
          <cell r="AG49">
            <v>1.32554381794405E-2</v>
          </cell>
          <cell r="AR49">
            <v>0</v>
          </cell>
          <cell r="BC49">
            <v>6.6980693692009867E-3</v>
          </cell>
          <cell r="BF49">
            <v>6.6980693692009867E-3</v>
          </cell>
        </row>
        <row r="50">
          <cell r="O50">
            <v>1.3022492118915701</v>
          </cell>
          <cell r="P50">
            <v>1.3598057514401001</v>
          </cell>
          <cell r="Q50">
            <v>1.37091173042363</v>
          </cell>
          <cell r="U50">
            <v>-4.2312053132958799E-2</v>
          </cell>
          <cell r="V50">
            <v>2.2833986775993402E-3</v>
          </cell>
          <cell r="W50">
            <v>1.0046453084379001E-2</v>
          </cell>
          <cell r="Y50">
            <v>1.30254549159954</v>
          </cell>
          <cell r="Z50">
            <v>1.3598057514401001</v>
          </cell>
          <cell r="AA50">
            <v>1.37091173042363</v>
          </cell>
          <cell r="AE50">
            <v>-4.2084565178646997E-2</v>
          </cell>
          <cell r="AF50">
            <v>2.2833986775993402E-3</v>
          </cell>
          <cell r="AG50">
            <v>1.0046453084379001E-2</v>
          </cell>
          <cell r="AR50">
            <v>0</v>
          </cell>
          <cell r="BC50">
            <v>8.8208257425079171E-3</v>
          </cell>
          <cell r="BF50">
            <v>8.8208257425079171E-3</v>
          </cell>
        </row>
        <row r="51">
          <cell r="O51">
            <v>1.3022492118915701</v>
          </cell>
          <cell r="P51">
            <v>1.35726213164443</v>
          </cell>
          <cell r="Q51">
            <v>1.36815398731525</v>
          </cell>
          <cell r="U51">
            <v>-3.5183356491714397E-2</v>
          </cell>
          <cell r="V51">
            <v>8.0655707784709103E-3</v>
          </cell>
          <cell r="W51">
            <v>1.6199726210030099E-2</v>
          </cell>
          <cell r="Y51">
            <v>1.30254549159954</v>
          </cell>
          <cell r="Z51">
            <v>1.35726213164443</v>
          </cell>
          <cell r="AA51">
            <v>1.36815398731525</v>
          </cell>
          <cell r="AE51">
            <v>-3.4955868537402499E-2</v>
          </cell>
          <cell r="AF51">
            <v>8.0655707784709103E-3</v>
          </cell>
          <cell r="AG51">
            <v>1.6199726210030099E-2</v>
          </cell>
          <cell r="AR51">
            <v>0</v>
          </cell>
          <cell r="BC51">
            <v>1.6921291012634669E-3</v>
          </cell>
          <cell r="BF51">
            <v>1.6921291012634669E-3</v>
          </cell>
        </row>
        <row r="52">
          <cell r="O52">
            <v>1.3022492118915701</v>
          </cell>
          <cell r="P52">
            <v>1.3541375996569101</v>
          </cell>
          <cell r="Q52">
            <v>1.36564346671458</v>
          </cell>
          <cell r="U52">
            <v>-3.3105675301423998E-2</v>
          </cell>
          <cell r="V52">
            <v>8.2709244096397395E-3</v>
          </cell>
          <cell r="W52">
            <v>1.6263768937871698E-2</v>
          </cell>
          <cell r="Y52">
            <v>1.30254549159954</v>
          </cell>
          <cell r="Z52">
            <v>1.3542356896802601</v>
          </cell>
          <cell r="AA52">
            <v>1.3656925117262499</v>
          </cell>
          <cell r="AE52">
            <v>-3.3606629272801003E-2</v>
          </cell>
          <cell r="AF52">
            <v>7.5424824839509397E-3</v>
          </cell>
          <cell r="AG52">
            <v>1.55353270121829E-2</v>
          </cell>
          <cell r="AR52">
            <v>0</v>
          </cell>
          <cell r="BC52">
            <v>1.6921291012634669E-3</v>
          </cell>
          <cell r="BF52">
            <v>1.6921291012634669E-3</v>
          </cell>
        </row>
        <row r="53">
          <cell r="O53">
            <v>1.3022492118915701</v>
          </cell>
          <cell r="P53">
            <v>1.35254832755563</v>
          </cell>
          <cell r="Q53">
            <v>1.3636896196828501</v>
          </cell>
          <cell r="U53">
            <v>-3.7731907855908998E-2</v>
          </cell>
          <cell r="V53">
            <v>1.3399535795475201E-3</v>
          </cell>
          <cell r="W53">
            <v>9.8008814382994896E-3</v>
          </cell>
          <cell r="Y53">
            <v>1.30254549159954</v>
          </cell>
          <cell r="Z53">
            <v>1.3527470021715</v>
          </cell>
          <cell r="AA53">
            <v>1.36378895699078</v>
          </cell>
          <cell r="AE53">
            <v>-3.8247933877168898E-2</v>
          </cell>
          <cell r="AF53">
            <v>6.6887424493216696E-4</v>
          </cell>
          <cell r="AG53">
            <v>9.0932802995726796E-3</v>
          </cell>
          <cell r="AR53">
            <v>0</v>
          </cell>
          <cell r="BC53">
            <v>6.3183616557484674E-3</v>
          </cell>
          <cell r="BF53">
            <v>6.3183616557484674E-3</v>
          </cell>
        </row>
        <row r="54">
          <cell r="O54">
            <v>1.3022492118915701</v>
          </cell>
          <cell r="P54">
            <v>1.3508539790479399</v>
          </cell>
          <cell r="Q54">
            <v>1.3618586222492799</v>
          </cell>
          <cell r="U54">
            <v>-3.1852136030750301E-2</v>
          </cell>
          <cell r="V54">
            <v>6.04539463515316E-3</v>
          </cell>
          <cell r="W54">
            <v>1.42489134914019E-2</v>
          </cell>
          <cell r="Y54">
            <v>1.30254549159954</v>
          </cell>
          <cell r="Z54">
            <v>1.3511522351237899</v>
          </cell>
          <cell r="AA54">
            <v>1.3620077502872101</v>
          </cell>
          <cell r="AE54">
            <v>-3.2365088949917797E-2</v>
          </cell>
          <cell r="AF54">
            <v>5.4518320814230404E-3</v>
          </cell>
          <cell r="AG54">
            <v>1.3581314479141E-2</v>
          </cell>
          <cell r="AR54">
            <v>0</v>
          </cell>
          <cell r="BC54">
            <v>4.3858983059004691E-4</v>
          </cell>
          <cell r="BF54">
            <v>4.3858983059004691E-4</v>
          </cell>
        </row>
        <row r="55">
          <cell r="O55">
            <v>1.3022492118915701</v>
          </cell>
          <cell r="P55">
            <v>1.3500861802700499</v>
          </cell>
          <cell r="Q55">
            <v>1.3591602519722199</v>
          </cell>
          <cell r="U55">
            <v>-3.1268826672834898E-2</v>
          </cell>
          <cell r="V55">
            <v>5.37521040433707E-3</v>
          </cell>
          <cell r="W55">
            <v>1.3488641634467001E-2</v>
          </cell>
          <cell r="Y55">
            <v>1.30254549159954</v>
          </cell>
          <cell r="Z55">
            <v>1.3504856897745501</v>
          </cell>
          <cell r="AA55">
            <v>1.35936000672446</v>
          </cell>
          <cell r="AE55">
            <v>-3.1794646003195398E-2</v>
          </cell>
          <cell r="AF55">
            <v>4.8426695083597197E-3</v>
          </cell>
          <cell r="AG55">
            <v>1.28448316728504E-2</v>
          </cell>
          <cell r="AR55">
            <v>0</v>
          </cell>
          <cell r="BC55">
            <v>-1.4471952732545302E-4</v>
          </cell>
          <cell r="BF55">
            <v>-1.4471952732545302E-4</v>
          </cell>
        </row>
        <row r="56">
          <cell r="O56">
            <v>1.3022492118915701</v>
          </cell>
          <cell r="P56">
            <v>1.34902066747227</v>
          </cell>
          <cell r="Q56">
            <v>1.35704754753676</v>
          </cell>
          <cell r="U56">
            <v>-2.6194617074423401E-2</v>
          </cell>
          <cell r="V56">
            <v>9.8808781223064697E-3</v>
          </cell>
          <cell r="W56">
            <v>1.65794977271955E-2</v>
          </cell>
          <cell r="Y56">
            <v>1.30254549159954</v>
          </cell>
          <cell r="Z56">
            <v>1.34952027393651</v>
          </cell>
          <cell r="AA56">
            <v>1.3572973507688799</v>
          </cell>
          <cell r="AE56">
            <v>-2.67156226703829E-2</v>
          </cell>
          <cell r="AF56">
            <v>9.4282548740586402E-3</v>
          </cell>
          <cell r="AG56">
            <v>1.5977962620194699E-2</v>
          </cell>
          <cell r="AR56">
            <v>0</v>
          </cell>
          <cell r="BC56">
            <v>-5.2189291257371141E-3</v>
          </cell>
          <cell r="BF56">
            <v>-5.2189291257371141E-3</v>
          </cell>
        </row>
        <row r="57">
          <cell r="O57">
            <v>1.3022492118915701</v>
          </cell>
          <cell r="P57">
            <v>1.34905105810714</v>
          </cell>
          <cell r="Q57">
            <v>1.3563848052076299</v>
          </cell>
          <cell r="U57">
            <v>-3.76276643609905E-2</v>
          </cell>
          <cell r="V57">
            <v>-2.3416991185967501E-3</v>
          </cell>
          <cell r="W57">
            <v>3.5908221401046098E-3</v>
          </cell>
          <cell r="Y57">
            <v>1.30254549159954</v>
          </cell>
          <cell r="Z57">
            <v>1.34965257020966</v>
          </cell>
          <cell r="AA57">
            <v>1.3566855612588899</v>
          </cell>
          <cell r="AE57">
            <v>-3.8153530277814998E-2</v>
          </cell>
          <cell r="AF57">
            <v>-2.7247740272925299E-3</v>
          </cell>
          <cell r="AG57">
            <v>3.0215297955480998E-3</v>
          </cell>
          <cell r="AR57">
            <v>0</v>
          </cell>
          <cell r="BC57">
            <v>6.2141181608300657E-3</v>
          </cell>
          <cell r="BF57">
            <v>6.2141181608300657E-3</v>
          </cell>
        </row>
        <row r="58">
          <cell r="O58">
            <v>1.3022492118915701</v>
          </cell>
          <cell r="P58">
            <v>1.3476033519516</v>
          </cell>
          <cell r="Q58">
            <v>1.35493553263511</v>
          </cell>
          <cell r="U58">
            <v>-2.6751500504184501E-2</v>
          </cell>
          <cell r="V58">
            <v>8.5569924083093406E-3</v>
          </cell>
          <cell r="W58">
            <v>1.39784959546669E-2</v>
          </cell>
          <cell r="Y58">
            <v>1.30254549159954</v>
          </cell>
          <cell r="Z58">
            <v>1.34830316779846</v>
          </cell>
          <cell r="AA58">
            <v>1.3552854405585399</v>
          </cell>
          <cell r="AE58">
            <v>-2.7258692832454998E-2</v>
          </cell>
          <cell r="AF58">
            <v>8.2680906885638592E-3</v>
          </cell>
          <cell r="AG58">
            <v>1.3465524667330199E-2</v>
          </cell>
          <cell r="AR58">
            <v>0</v>
          </cell>
          <cell r="BC58">
            <v>6.2141181608300657E-3</v>
          </cell>
          <cell r="BF58">
            <v>6.2141181608300657E-3</v>
          </cell>
        </row>
        <row r="59">
          <cell r="O59">
            <v>1.3022492118915701</v>
          </cell>
          <cell r="P59">
            <v>1.3454199507761</v>
          </cell>
          <cell r="Q59">
            <v>1.3535289736676599</v>
          </cell>
          <cell r="U59">
            <v>-2.3952270184767199E-2</v>
          </cell>
          <cell r="V59">
            <v>1.02825172582911E-2</v>
          </cell>
          <cell r="W59">
            <v>1.5708673170822599E-2</v>
          </cell>
          <cell r="Y59">
            <v>1.30254549159954</v>
          </cell>
          <cell r="Z59">
            <v>1.3462180862355599</v>
          </cell>
          <cell r="AA59">
            <v>1.35392804139739</v>
          </cell>
          <cell r="AE59">
            <v>-2.44616400559339E-2</v>
          </cell>
          <cell r="AF59">
            <v>1.0064828667694399E-2</v>
          </cell>
          <cell r="AG59">
            <v>1.5230028921903701E-2</v>
          </cell>
          <cell r="AR59">
            <v>0</v>
          </cell>
          <cell r="BC59">
            <v>6.2141181608300657E-3</v>
          </cell>
          <cell r="BF59">
            <v>6.2141181608300657E-3</v>
          </cell>
        </row>
        <row r="60">
          <cell r="O60">
            <v>1.3022492118915701</v>
          </cell>
          <cell r="P60">
            <v>1.34370000139393</v>
          </cell>
          <cell r="Q60">
            <v>1.3517528764170199</v>
          </cell>
          <cell r="U60">
            <v>-2.9570879194859599E-2</v>
          </cell>
          <cell r="V60">
            <v>3.0423837320987701E-3</v>
          </cell>
          <cell r="W60">
            <v>9.0514246728446105E-3</v>
          </cell>
          <cell r="Y60">
            <v>1.30254549159954</v>
          </cell>
          <cell r="Z60">
            <v>1.3445999998854099</v>
          </cell>
          <cell r="AA60">
            <v>1.35220287566276</v>
          </cell>
          <cell r="AE60">
            <v>-3.01025195249775E-2</v>
          </cell>
          <cell r="AF60">
            <v>2.8763036004109599E-3</v>
          </cell>
          <cell r="AG60">
            <v>8.5870879440321599E-3</v>
          </cell>
          <cell r="AR60">
            <v>0</v>
          </cell>
          <cell r="BC60">
            <v>1.1832727170922364E-2</v>
          </cell>
          <cell r="BF60">
            <v>1.1832727170922364E-2</v>
          </cell>
        </row>
        <row r="61">
          <cell r="O61">
            <v>1.3022492118915701</v>
          </cell>
          <cell r="P61">
            <v>1.3450805081788799</v>
          </cell>
          <cell r="Q61">
            <v>1.35117131991165</v>
          </cell>
          <cell r="U61">
            <v>-4.5365789026667602E-2</v>
          </cell>
          <cell r="V61">
            <v>-1.40317175432291E-2</v>
          </cell>
          <cell r="W61">
            <v>-8.0565442812695499E-3</v>
          </cell>
          <cell r="Y61">
            <v>1.30254549159954</v>
          </cell>
          <cell r="Z61">
            <v>1.3460830643400099</v>
          </cell>
          <cell r="AA61">
            <v>1.3516725979922199</v>
          </cell>
          <cell r="AE61">
            <v>-4.5890631370512303E-2</v>
          </cell>
          <cell r="AF61">
            <v>-1.4114480810414999E-2</v>
          </cell>
          <cell r="AG61">
            <v>-8.4760294509138804E-3</v>
          </cell>
          <cell r="AR61">
            <v>0</v>
          </cell>
          <cell r="BC61">
            <v>2.7627637002730316E-2</v>
          </cell>
          <cell r="BF61">
            <v>2.7627637002730316E-2</v>
          </cell>
        </row>
        <row r="62">
          <cell r="O62">
            <v>1.3022492118915701</v>
          </cell>
          <cell r="P62">
            <v>1.3426651535571501</v>
          </cell>
          <cell r="Q62">
            <v>1.34840137660703</v>
          </cell>
          <cell r="U62">
            <v>-1.4999153323717001E-2</v>
          </cell>
          <cell r="V62">
            <v>1.73617828676004E-2</v>
          </cell>
          <cell r="W62">
            <v>2.1879774866651099E-2</v>
          </cell>
          <cell r="Y62">
            <v>1.30254549159954</v>
          </cell>
          <cell r="Z62">
            <v>1.3436649911816601</v>
          </cell>
          <cell r="AA62">
            <v>1.34895034043096</v>
          </cell>
          <cell r="AE62">
            <v>-1.5492862158891599E-2</v>
          </cell>
          <cell r="AF62">
            <v>1.73856587431441E-2</v>
          </cell>
          <cell r="AG62">
            <v>2.1529504480268701E-2</v>
          </cell>
          <cell r="AR62">
            <v>0</v>
          </cell>
          <cell r="BC62">
            <v>2.7627637002730316E-2</v>
          </cell>
          <cell r="BF62">
            <v>2.7627637002730316E-2</v>
          </cell>
        </row>
        <row r="63">
          <cell r="O63">
            <v>1.3022492118915701</v>
          </cell>
          <cell r="P63">
            <v>1.33977811113056</v>
          </cell>
          <cell r="Q63">
            <v>1.3461632193430899</v>
          </cell>
          <cell r="U63">
            <v>-1.6151984528973599E-2</v>
          </cell>
          <cell r="V63">
            <v>1.4411642261897799E-2</v>
          </cell>
          <cell r="W63">
            <v>1.86748083139931E-2</v>
          </cell>
          <cell r="Y63">
            <v>1.30254549159954</v>
          </cell>
          <cell r="Z63">
            <v>1.3407721272897299</v>
          </cell>
          <cell r="AA63">
            <v>1.3467595647306201</v>
          </cell>
          <cell r="AE63">
            <v>-1.6640269267320301E-2</v>
          </cell>
          <cell r="AF63">
            <v>1.4440258841444399E-2</v>
          </cell>
          <cell r="AG63">
            <v>1.8366074739028598E-2</v>
          </cell>
          <cell r="AR63">
            <v>0</v>
          </cell>
          <cell r="BC63">
            <v>2.8780468207986874E-2</v>
          </cell>
          <cell r="BF63">
            <v>2.8780468207986874E-2</v>
          </cell>
        </row>
        <row r="64">
          <cell r="O64">
            <v>1.3022492118915701</v>
          </cell>
          <cell r="P64">
            <v>1.3367203044442599</v>
          </cell>
          <cell r="Q64">
            <v>1.3437871417461</v>
          </cell>
          <cell r="U64">
            <v>-8.8446509585227307E-3</v>
          </cell>
          <cell r="V64">
            <v>1.95664281312669E-2</v>
          </cell>
          <cell r="W64">
            <v>2.43209029725816E-2</v>
          </cell>
          <cell r="Y64">
            <v>1.30254549159954</v>
          </cell>
          <cell r="Z64">
            <v>1.3377092009920799</v>
          </cell>
          <cell r="AA64">
            <v>1.34443071805794</v>
          </cell>
          <cell r="AE64">
            <v>-9.3358918490951091E-3</v>
          </cell>
          <cell r="AF64">
            <v>1.9589350153796099E-2</v>
          </cell>
          <cell r="AG64">
            <v>2.40450723799581E-2</v>
          </cell>
          <cell r="AR64">
            <v>0</v>
          </cell>
          <cell r="BC64">
            <v>2.1473134637535883E-2</v>
          </cell>
          <cell r="BF64">
            <v>2.1473134637535883E-2</v>
          </cell>
        </row>
        <row r="65">
          <cell r="O65">
            <v>1.3022492118915701</v>
          </cell>
          <cell r="P65">
            <v>1.3334382635106701</v>
          </cell>
          <cell r="Q65">
            <v>1.34176222189036</v>
          </cell>
          <cell r="U65">
            <v>-6.53854536567484E-3</v>
          </cell>
          <cell r="V65">
            <v>1.9587602039576199E-2</v>
          </cell>
          <cell r="W65">
            <v>2.4860375062190802E-2</v>
          </cell>
          <cell r="Y65">
            <v>1.30254549159954</v>
          </cell>
          <cell r="Z65">
            <v>1.33442048582239</v>
          </cell>
          <cell r="AA65">
            <v>1.3424530877984699</v>
          </cell>
          <cell r="AE65">
            <v>-7.03233960471832E-3</v>
          </cell>
          <cell r="AF65">
            <v>1.96058395014445E-2</v>
          </cell>
          <cell r="AG65">
            <v>2.4617905493182501E-2</v>
          </cell>
          <cell r="AR65">
            <v>0</v>
          </cell>
          <cell r="BC65">
            <v>1.9167029044688193E-2</v>
          </cell>
          <cell r="BF65">
            <v>1.9167029044688193E-2</v>
          </cell>
        </row>
        <row r="66">
          <cell r="O66">
            <v>1.3022492118915701</v>
          </cell>
          <cell r="P66">
            <v>1.33052929602795</v>
          </cell>
          <cell r="Q66">
            <v>1.3397749817501099</v>
          </cell>
          <cell r="U66">
            <v>-4.1938802408682703E-3</v>
          </cell>
          <cell r="V66">
            <v>1.9473954294245199E-2</v>
          </cell>
          <cell r="W66">
            <v>2.5697028257000602E-2</v>
          </cell>
          <cell r="Y66">
            <v>1.30254549159954</v>
          </cell>
          <cell r="Z66">
            <v>1.3315059638712099</v>
          </cell>
          <cell r="AA66">
            <v>1.3405131189038599</v>
          </cell>
          <cell r="AE66">
            <v>-4.6890865697370001E-3</v>
          </cell>
          <cell r="AF66">
            <v>1.9487597612409899E-2</v>
          </cell>
          <cell r="AG66">
            <v>2.5489095901355601E-2</v>
          </cell>
          <cell r="AR66">
            <v>0</v>
          </cell>
          <cell r="BC66">
            <v>1.6822363919881622E-2</v>
          </cell>
          <cell r="BF66">
            <v>1.6822363919881622E-2</v>
          </cell>
        </row>
        <row r="67">
          <cell r="O67">
            <v>1.3022492118915701</v>
          </cell>
          <cell r="P67">
            <v>1.32685324762682</v>
          </cell>
          <cell r="Q67">
            <v>1.33795215286698</v>
          </cell>
          <cell r="U67">
            <v>-1.0065267465281301E-2</v>
          </cell>
          <cell r="V67">
            <v>1.14186300856803E-2</v>
          </cell>
          <cell r="W67">
            <v>1.8343475876462699E-2</v>
          </cell>
          <cell r="Y67">
            <v>1.30254549159954</v>
          </cell>
          <cell r="Z67">
            <v>1.3278212497858799</v>
          </cell>
          <cell r="AA67">
            <v>1.33873690999777</v>
          </cell>
          <cell r="AE67">
            <v>-1.0546349549397999E-2</v>
          </cell>
          <cell r="AF67">
            <v>1.14438353670552E-2</v>
          </cell>
          <cell r="AG67">
            <v>1.8185695264161701E-2</v>
          </cell>
          <cell r="AR67">
            <v>0</v>
          </cell>
          <cell r="BC67">
            <v>2.2693751144294821E-2</v>
          </cell>
          <cell r="BF67">
            <v>2.2693751144294821E-2</v>
          </cell>
        </row>
        <row r="68">
          <cell r="O68">
            <v>1.3022492118915701</v>
          </cell>
          <cell r="P68">
            <v>1.32369993534064</v>
          </cell>
          <cell r="Q68">
            <v>1.3356516436461201</v>
          </cell>
          <cell r="U68">
            <v>-2.8939888956716099E-3</v>
          </cell>
          <cell r="V68">
            <v>1.5823238305360799E-2</v>
          </cell>
          <cell r="W68">
            <v>2.4153279528682899E-2</v>
          </cell>
          <cell r="Y68">
            <v>1.30254549159954</v>
          </cell>
          <cell r="Z68">
            <v>1.32466204613586</v>
          </cell>
          <cell r="AA68">
            <v>1.33648260696716</v>
          </cell>
          <cell r="AE68">
            <v>-3.3738366869809099E-3</v>
          </cell>
          <cell r="AF68">
            <v>1.58451838353913E-2</v>
          </cell>
          <cell r="AG68">
            <v>2.4032307858110301E-2</v>
          </cell>
          <cell r="AR68">
            <v>0</v>
          </cell>
          <cell r="BC68">
            <v>1.5522472574685061E-2</v>
          </cell>
          <cell r="BF68">
            <v>1.5522472574685061E-2</v>
          </cell>
        </row>
        <row r="69">
          <cell r="O69">
            <v>1.3022492118915701</v>
          </cell>
          <cell r="P69">
            <v>1.32116644532566</v>
          </cell>
          <cell r="Q69">
            <v>1.33329319805088</v>
          </cell>
          <cell r="U69">
            <v>-4.7752851396743604E-3</v>
          </cell>
          <cell r="V69">
            <v>1.15625792972988E-2</v>
          </cell>
          <cell r="W69">
            <v>2.0551077747655001E-2</v>
          </cell>
          <cell r="Y69">
            <v>1.30254549159954</v>
          </cell>
          <cell r="Z69">
            <v>1.3221243480657701</v>
          </cell>
          <cell r="AA69">
            <v>1.3341712171506701</v>
          </cell>
          <cell r="AE69">
            <v>-5.2667805513059796E-3</v>
          </cell>
          <cell r="AF69">
            <v>1.1570166426080599E-2</v>
          </cell>
          <cell r="AG69">
            <v>2.0454041686671601E-2</v>
          </cell>
          <cell r="AR69">
            <v>0</v>
          </cell>
          <cell r="BC69">
            <v>1.7403768818687659E-2</v>
          </cell>
          <cell r="BF69">
            <v>1.7403768818687659E-2</v>
          </cell>
        </row>
        <row r="70">
          <cell r="O70">
            <v>1.3022492118915701</v>
          </cell>
          <cell r="P70">
            <v>1.31743073326465</v>
          </cell>
          <cell r="Q70">
            <v>1.3305653673292901</v>
          </cell>
          <cell r="U70">
            <v>-1.32494710177912E-3</v>
          </cell>
          <cell r="V70">
            <v>1.3097137537496001E-2</v>
          </cell>
          <cell r="W70">
            <v>2.2234090981936301E-2</v>
          </cell>
          <cell r="Y70">
            <v>1.30254549159954</v>
          </cell>
          <cell r="Z70">
            <v>1.3183790243926501</v>
          </cell>
          <cell r="AA70">
            <v>1.33148951213903</v>
          </cell>
          <cell r="AE70">
            <v>-1.8046717002745301E-3</v>
          </cell>
          <cell r="AF70">
            <v>1.3114705462445199E-2</v>
          </cell>
          <cell r="AG70">
            <v>2.2185195838343E-2</v>
          </cell>
          <cell r="AR70">
            <v>0</v>
          </cell>
          <cell r="BC70">
            <v>1.3953430780792558E-2</v>
          </cell>
          <cell r="BF70">
            <v>1.3953430780792558E-2</v>
          </cell>
        </row>
        <row r="71">
          <cell r="O71">
            <v>1.3022492118915701</v>
          </cell>
          <cell r="P71">
            <v>1.3107302298610299</v>
          </cell>
          <cell r="Q71">
            <v>1.32790536901995</v>
          </cell>
          <cell r="U71">
            <v>5.0555134492120497E-3</v>
          </cell>
          <cell r="V71">
            <v>1.6646006675158798E-2</v>
          </cell>
          <cell r="W71">
            <v>2.6566521122815E-2</v>
          </cell>
          <cell r="Y71">
            <v>1.30254549159954</v>
          </cell>
          <cell r="Z71">
            <v>1.3116657201717301</v>
          </cell>
          <cell r="AA71">
            <v>1.3288743922558699</v>
          </cell>
          <cell r="AE71">
            <v>4.5905031067400197E-3</v>
          </cell>
          <cell r="AF71">
            <v>1.6673052849411899E-2</v>
          </cell>
          <cell r="AG71">
            <v>2.6568332213861099E-2</v>
          </cell>
          <cell r="AR71">
            <v>0</v>
          </cell>
          <cell r="BC71">
            <v>7.5729702298014574E-3</v>
          </cell>
          <cell r="BF71">
            <v>7.5729702298014574E-3</v>
          </cell>
        </row>
        <row r="72">
          <cell r="O72">
            <v>1.3022492118915701</v>
          </cell>
          <cell r="P72">
            <v>1.3075149704379301</v>
          </cell>
          <cell r="Q72">
            <v>1.3250900619975401</v>
          </cell>
          <cell r="U72">
            <v>9.6240043654018705E-3</v>
          </cell>
          <cell r="V72">
            <v>1.6115481195193401E-2</v>
          </cell>
          <cell r="W72">
            <v>2.9133862159375402E-2</v>
          </cell>
          <cell r="Y72">
            <v>1.30254549159954</v>
          </cell>
          <cell r="Z72">
            <v>1.30844436592002</v>
          </cell>
          <cell r="AA72">
            <v>1.32605467855084</v>
          </cell>
          <cell r="AE72">
            <v>9.1595447146010592E-3</v>
          </cell>
          <cell r="AF72">
            <v>1.61369959109572E-2</v>
          </cell>
          <cell r="AG72">
            <v>2.9171386596324698E-2</v>
          </cell>
          <cell r="AR72">
            <v>0</v>
          </cell>
          <cell r="BC72">
            <v>3.0044793136117581E-3</v>
          </cell>
          <cell r="BF72">
            <v>3.0044793136117581E-3</v>
          </cell>
        </row>
        <row r="73">
          <cell r="O73">
            <v>1.3022492118915701</v>
          </cell>
          <cell r="P73">
            <v>1.3037093698834601</v>
          </cell>
          <cell r="Q73">
            <v>1.32174374050701</v>
          </cell>
          <cell r="U73">
            <v>1.30246095558348E-2</v>
          </cell>
          <cell r="V73">
            <v>1.7060043659779402E-2</v>
          </cell>
          <cell r="W73">
            <v>3.04121055498047E-2</v>
          </cell>
          <cell r="Y73">
            <v>1.30254549159954</v>
          </cell>
          <cell r="Z73">
            <v>1.3046339313687301</v>
          </cell>
          <cell r="AA73">
            <v>1.3227030293292299</v>
          </cell>
          <cell r="AE73">
            <v>1.25527211797282E-2</v>
          </cell>
          <cell r="AF73">
            <v>1.70712254089718E-2</v>
          </cell>
          <cell r="AG73">
            <v>3.04404273952791E-2</v>
          </cell>
          <cell r="AR73">
            <v>0</v>
          </cell>
          <cell r="BC73">
            <v>-3.9612587682133233E-4</v>
          </cell>
          <cell r="BF73">
            <v>-3.9612587682133233E-4</v>
          </cell>
        </row>
        <row r="74">
          <cell r="O74">
            <v>1.3022492118915701</v>
          </cell>
          <cell r="P74">
            <v>1.29972352212039</v>
          </cell>
          <cell r="Q74">
            <v>1.3182219132823201</v>
          </cell>
          <cell r="U74">
            <v>2.19629609019606E-2</v>
          </cell>
          <cell r="V74">
            <v>2.30835912564945E-2</v>
          </cell>
          <cell r="W74">
            <v>3.6821908809327501E-2</v>
          </cell>
          <cell r="Y74">
            <v>1.30254549159954</v>
          </cell>
          <cell r="Z74">
            <v>1.30064146916454</v>
          </cell>
          <cell r="AA74">
            <v>1.31917533507831</v>
          </cell>
          <cell r="AE74">
            <v>2.15011246245616E-2</v>
          </cell>
          <cell r="AF74">
            <v>2.3103193279658599E-2</v>
          </cell>
          <cell r="AG74">
            <v>3.6858096526083101E-2</v>
          </cell>
          <cell r="AR74">
            <v>0</v>
          </cell>
          <cell r="BC74">
            <v>-9.3344772229470331E-3</v>
          </cell>
          <cell r="BF74">
            <v>-9.3344772229470331E-3</v>
          </cell>
        </row>
        <row r="75">
          <cell r="O75">
            <v>1.3022492118915701</v>
          </cell>
          <cell r="P75">
            <v>1.2962007560198401</v>
          </cell>
          <cell r="Q75">
            <v>1.31481950976526</v>
          </cell>
          <cell r="U75">
            <v>2.0704291382630899E-2</v>
          </cell>
          <cell r="V75">
            <v>1.8762925486345401E-2</v>
          </cell>
          <cell r="W75">
            <v>3.2895152067828802E-2</v>
          </cell>
          <cell r="Y75">
            <v>1.30254549159954</v>
          </cell>
          <cell r="Z75">
            <v>1.29711253231909</v>
          </cell>
          <cell r="AA75">
            <v>1.31576650907074</v>
          </cell>
          <cell r="AE75">
            <v>2.0238926560978698E-2</v>
          </cell>
          <cell r="AF75">
            <v>1.87760867394548E-2</v>
          </cell>
          <cell r="AG75">
            <v>3.2925301363782897E-2</v>
          </cell>
          <cell r="AR75">
            <v>0</v>
          </cell>
          <cell r="BC75">
            <v>-8.0758077036173926E-3</v>
          </cell>
          <cell r="BF75">
            <v>-8.0758077036173926E-3</v>
          </cell>
        </row>
        <row r="76">
          <cell r="O76">
            <v>1.3022492118915701</v>
          </cell>
          <cell r="P76">
            <v>1.29299654378441</v>
          </cell>
          <cell r="Q76">
            <v>1.31176291990618</v>
          </cell>
          <cell r="U76">
            <v>2.0613535093332799E-2</v>
          </cell>
          <cell r="V76">
            <v>1.5958092910107802E-2</v>
          </cell>
          <cell r="W76">
            <v>3.0220003918205601E-2</v>
          </cell>
          <cell r="Y76">
            <v>1.30254549159954</v>
          </cell>
          <cell r="Z76">
            <v>1.2939030935246401</v>
          </cell>
          <cell r="AA76">
            <v>1.31270452869792</v>
          </cell>
          <cell r="AE76">
            <v>2.0141124347473099E-2</v>
          </cell>
          <cell r="AF76">
            <v>1.5961369056500099E-2</v>
          </cell>
          <cell r="AG76">
            <v>3.0240096383205201E-2</v>
          </cell>
          <cell r="AR76">
            <v>0</v>
          </cell>
          <cell r="BC76">
            <v>-7.9850514143191918E-3</v>
          </cell>
          <cell r="BF76">
            <v>-7.9850514143191918E-3</v>
          </cell>
        </row>
        <row r="77">
          <cell r="O77">
            <v>1.3022492118915701</v>
          </cell>
          <cell r="P77">
            <v>1.2884369950130801</v>
          </cell>
          <cell r="Q77">
            <v>1.30764512131995</v>
          </cell>
          <cell r="U77">
            <v>2.52119484166425E-2</v>
          </cell>
          <cell r="V77">
            <v>1.8081442729056301E-2</v>
          </cell>
          <cell r="W77">
            <v>3.2490988865903098E-2</v>
          </cell>
          <cell r="Y77">
            <v>1.30254549159954</v>
          </cell>
          <cell r="Z77">
            <v>1.28933902229978</v>
          </cell>
          <cell r="AA77">
            <v>1.30858013604283</v>
          </cell>
          <cell r="AE77">
            <v>2.47410223697309E-2</v>
          </cell>
          <cell r="AF77">
            <v>1.8083906152113902E-2</v>
          </cell>
          <cell r="AG77">
            <v>3.2510136694333898E-2</v>
          </cell>
          <cell r="AR77">
            <v>0</v>
          </cell>
          <cell r="BC77">
            <v>-1.2583464737628862E-2</v>
          </cell>
          <cell r="BF77">
            <v>-1.2583464737628862E-2</v>
          </cell>
        </row>
        <row r="78">
          <cell r="O78">
            <v>1.3022492118915701</v>
          </cell>
          <cell r="P78">
            <v>1.28537573961486</v>
          </cell>
          <cell r="Q78">
            <v>1.3045378374777501</v>
          </cell>
          <cell r="U78">
            <v>2.0824600866898298E-2</v>
          </cell>
          <cell r="V78">
            <v>1.0161520395276499E-2</v>
          </cell>
          <cell r="W78">
            <v>2.49595706608687E-2</v>
          </cell>
          <cell r="Y78">
            <v>1.30254549159954</v>
          </cell>
          <cell r="Z78">
            <v>1.2862759322591599</v>
          </cell>
          <cell r="AA78">
            <v>1.30546898919751</v>
          </cell>
          <cell r="AE78">
            <v>2.0342156075784799E-2</v>
          </cell>
          <cell r="AF78">
            <v>1.0151436913289E-2</v>
          </cell>
          <cell r="AG78">
            <v>2.4964419458089498E-2</v>
          </cell>
          <cell r="AR78">
            <v>0</v>
          </cell>
          <cell r="BC78">
            <v>-8.1961171878845631E-3</v>
          </cell>
          <cell r="BF78">
            <v>-8.1961171878845631E-3</v>
          </cell>
        </row>
        <row r="79">
          <cell r="O79">
            <v>1.3022492118915701</v>
          </cell>
          <cell r="P79">
            <v>1.2819134245281301</v>
          </cell>
          <cell r="Q79">
            <v>1.3015399349268999</v>
          </cell>
          <cell r="U79">
            <v>2.20416295618849E-2</v>
          </cell>
          <cell r="V79">
            <v>8.9997770836124508E-3</v>
          </cell>
          <cell r="W79">
            <v>2.37975276316971E-2</v>
          </cell>
          <cell r="Y79">
            <v>1.30254549159954</v>
          </cell>
          <cell r="Z79">
            <v>1.2828109056749799</v>
          </cell>
          <cell r="AA79">
            <v>1.3024676268703701</v>
          </cell>
          <cell r="AE79">
            <v>2.15518697933741E-2</v>
          </cell>
          <cell r="AF79">
            <v>8.9826184832092898E-3</v>
          </cell>
          <cell r="AG79">
            <v>2.3793804294902E-2</v>
          </cell>
          <cell r="AR79">
            <v>0</v>
          </cell>
          <cell r="BC79">
            <v>-9.4131458828711125E-3</v>
          </cell>
          <cell r="BF79">
            <v>-9.4131458828711125E-3</v>
          </cell>
        </row>
        <row r="80">
          <cell r="O80">
            <v>1.3022492118915701</v>
          </cell>
          <cell r="P80">
            <v>1.2785603457479999</v>
          </cell>
          <cell r="Q80">
            <v>1.2979955395063301</v>
          </cell>
          <cell r="U80">
            <v>2.4725716221509899E-2</v>
          </cell>
          <cell r="V80">
            <v>8.9866084171397395E-3</v>
          </cell>
          <cell r="W80">
            <v>2.4180912520272501E-2</v>
          </cell>
          <cell r="Y80">
            <v>1.30254549159954</v>
          </cell>
          <cell r="Z80">
            <v>1.2794571404177999</v>
          </cell>
          <cell r="AA80">
            <v>1.29891808240523</v>
          </cell>
          <cell r="AE80">
            <v>2.4232732503473301E-2</v>
          </cell>
          <cell r="AF80">
            <v>8.9660023583448805E-3</v>
          </cell>
          <cell r="AG80">
            <v>2.4172951822418201E-2</v>
          </cell>
          <cell r="AR80">
            <v>0</v>
          </cell>
          <cell r="BC80">
            <v>-1.2097232542496204E-2</v>
          </cell>
          <cell r="BF80">
            <v>-1.2097232542496204E-2</v>
          </cell>
        </row>
        <row r="81">
          <cell r="O81">
            <v>1.3022492118915701</v>
          </cell>
          <cell r="P81">
            <v>1.2769350874596499</v>
          </cell>
          <cell r="Q81">
            <v>1.2938326586603399</v>
          </cell>
          <cell r="U81">
            <v>1.7678497416551E-2</v>
          </cell>
          <cell r="V81">
            <v>-6.7971997279194602E-4</v>
          </cell>
          <cell r="W81">
            <v>1.44067468035694E-2</v>
          </cell>
          <cell r="Y81">
            <v>1.30254549159954</v>
          </cell>
          <cell r="Z81">
            <v>1.2778350026787599</v>
          </cell>
          <cell r="AA81">
            <v>1.29475036142524</v>
          </cell>
          <cell r="AE81">
            <v>1.7180320596237499E-2</v>
          </cell>
          <cell r="AF81">
            <v>-7.0422088798931801E-4</v>
          </cell>
          <cell r="AG81">
            <v>1.43915738450173E-2</v>
          </cell>
          <cell r="AR81">
            <v>0</v>
          </cell>
          <cell r="BC81">
            <v>-5.0500137375374945E-3</v>
          </cell>
          <cell r="BF81">
            <v>-5.0500137375374945E-3</v>
          </cell>
        </row>
        <row r="82">
          <cell r="O82">
            <v>1.3022492118915701</v>
          </cell>
          <cell r="P82">
            <v>1.27625844850348</v>
          </cell>
          <cell r="Q82">
            <v>1.2918867094707001</v>
          </cell>
          <cell r="U82">
            <v>1.4883986104295E-2</v>
          </cell>
          <cell r="V82">
            <v>-4.7462026502530699E-3</v>
          </cell>
          <cell r="W82">
            <v>8.3999203936927398E-3</v>
          </cell>
          <cell r="Y82">
            <v>1.30254549159954</v>
          </cell>
          <cell r="Z82">
            <v>1.2771635928829299</v>
          </cell>
          <cell r="AA82">
            <v>1.2928039794014701</v>
          </cell>
          <cell r="AE82">
            <v>1.4375150701583701E-2</v>
          </cell>
          <cell r="AF82">
            <v>-4.77802797060441E-3</v>
          </cell>
          <cell r="AG82">
            <v>8.3726357626669207E-3</v>
          </cell>
          <cell r="AR82">
            <v>0</v>
          </cell>
          <cell r="BC82">
            <v>-2.2555024252814944E-3</v>
          </cell>
          <cell r="BF82">
            <v>-2.2555024252814944E-3</v>
          </cell>
        </row>
        <row r="83">
          <cell r="O83">
            <v>1.3022492118915701</v>
          </cell>
          <cell r="P83">
            <v>1.2761660806828801</v>
          </cell>
          <cell r="Q83">
            <v>1.2899377252831701</v>
          </cell>
          <cell r="U83">
            <v>1.37434610780227E-2</v>
          </cell>
          <cell r="V83">
            <v>-6.41676111307169E-3</v>
          </cell>
          <cell r="W83">
            <v>5.7542439724187896E-3</v>
          </cell>
          <cell r="Y83">
            <v>1.30254549159954</v>
          </cell>
          <cell r="Z83">
            <v>1.2770740531085401</v>
          </cell>
          <cell r="AA83">
            <v>1.29085399223863</v>
          </cell>
          <cell r="AE83">
            <v>1.3249068445071699E-2</v>
          </cell>
          <cell r="AF83">
            <v>-6.4296759260171E-3</v>
          </cell>
          <cell r="AG83">
            <v>5.7421349436853298E-3</v>
          </cell>
          <cell r="AR83">
            <v>0</v>
          </cell>
          <cell r="BC83">
            <v>-1.1149773990087953E-3</v>
          </cell>
          <cell r="BF83">
            <v>-1.1149773990087953E-3</v>
          </cell>
        </row>
        <row r="84">
          <cell r="O84">
            <v>1.3022492118915701</v>
          </cell>
          <cell r="P84">
            <v>1.2770249735097501</v>
          </cell>
          <cell r="Q84">
            <v>1.2883742478150699</v>
          </cell>
          <cell r="U84">
            <v>1.52436710943127E-2</v>
          </cell>
          <cell r="V84">
            <v>-4.9889276310008199E-3</v>
          </cell>
          <cell r="W84">
            <v>5.7446808751608703E-3</v>
          </cell>
          <cell r="Y84">
            <v>1.30254549159954</v>
          </cell>
          <cell r="Z84">
            <v>1.27793850291373</v>
          </cell>
          <cell r="AA84">
            <v>1.28928998603913</v>
          </cell>
          <cell r="AE84">
            <v>1.47431524531411E-2</v>
          </cell>
          <cell r="AF84">
            <v>-5.0057026804039197E-3</v>
          </cell>
          <cell r="AG84">
            <v>5.7267408749340802E-3</v>
          </cell>
          <cell r="AR84">
            <v>0</v>
          </cell>
          <cell r="BC84">
            <v>-2.6151874152988653E-3</v>
          </cell>
          <cell r="BF84">
            <v>-2.6151874152988653E-3</v>
          </cell>
        </row>
        <row r="85">
          <cell r="O85">
            <v>1.3022492118915701</v>
          </cell>
          <cell r="P85">
            <v>1.2769292212210099</v>
          </cell>
          <cell r="Q85">
            <v>1.28656498862043</v>
          </cell>
          <cell r="U85">
            <v>2.1455239401496601E-2</v>
          </cell>
          <cell r="V85">
            <v>1.89544019728491E-3</v>
          </cell>
          <cell r="W85">
            <v>1.07434574984433E-2</v>
          </cell>
          <cell r="Y85">
            <v>1.30254549159954</v>
          </cell>
          <cell r="Z85">
            <v>1.27784559161555</v>
          </cell>
          <cell r="AA85">
            <v>1.28747906196732</v>
          </cell>
          <cell r="AE85">
            <v>2.0967080812062701E-2</v>
          </cell>
          <cell r="AF85">
            <v>1.89489541631244E-3</v>
          </cell>
          <cell r="AG85">
            <v>1.0738328834071499E-2</v>
          </cell>
          <cell r="AR85">
            <v>0</v>
          </cell>
          <cell r="BC85">
            <v>-8.8267557224827632E-3</v>
          </cell>
          <cell r="BF85">
            <v>-8.8267557224827632E-3</v>
          </cell>
        </row>
        <row r="86">
          <cell r="O86">
            <v>1.3022492118915701</v>
          </cell>
          <cell r="P86">
            <v>1.2766801503573499</v>
          </cell>
          <cell r="Q86">
            <v>1.28483834707088</v>
          </cell>
          <cell r="U86">
            <v>2.2567899225767098E-2</v>
          </cell>
          <cell r="V86">
            <v>2.9331164615682601E-3</v>
          </cell>
          <cell r="W86">
            <v>1.0450834070367E-2</v>
          </cell>
          <cell r="Y86">
            <v>1.30254549159954</v>
          </cell>
          <cell r="Z86">
            <v>1.2775982564677399</v>
          </cell>
          <cell r="AA86">
            <v>1.28575067499619</v>
          </cell>
          <cell r="AE86">
            <v>2.2080496597024001E-2</v>
          </cell>
          <cell r="AF86">
            <v>2.93560451340194E-3</v>
          </cell>
          <cell r="AG86">
            <v>1.0446167063404E-2</v>
          </cell>
          <cell r="AR86">
            <v>0</v>
          </cell>
          <cell r="BC86">
            <v>-9.9394155467533232E-3</v>
          </cell>
          <cell r="BF86">
            <v>-9.9394155467533232E-3</v>
          </cell>
        </row>
        <row r="87">
          <cell r="O87">
            <v>1.3022492118915701</v>
          </cell>
          <cell r="P87">
            <v>1.27598300034485</v>
          </cell>
          <cell r="Q87">
            <v>1.28220999767897</v>
          </cell>
          <cell r="U87">
            <v>3.07171908167597E-2</v>
          </cell>
          <cell r="V87">
            <v>1.08873344698687E-2</v>
          </cell>
          <cell r="W87">
            <v>1.7257168852454E-2</v>
          </cell>
          <cell r="Y87">
            <v>1.30254549159954</v>
          </cell>
          <cell r="Z87">
            <v>1.2769008680366201</v>
          </cell>
          <cell r="AA87">
            <v>1.2831199451682</v>
          </cell>
          <cell r="AE87">
            <v>3.0244297190362101E-2</v>
          </cell>
          <cell r="AF87">
            <v>1.09058300072355E-2</v>
          </cell>
          <cell r="AG87">
            <v>1.7266607438082601E-2</v>
          </cell>
          <cell r="AR87">
            <v>0</v>
          </cell>
          <cell r="BC87">
            <v>-1.8088707137745921E-2</v>
          </cell>
          <cell r="BF87">
            <v>-1.8088707137745921E-2</v>
          </cell>
        </row>
        <row r="88">
          <cell r="O88">
            <v>1.3022492118915701</v>
          </cell>
          <cell r="P88">
            <v>1.2757051243709601</v>
          </cell>
          <cell r="Q88">
            <v>1.2805404319929099</v>
          </cell>
          <cell r="U88">
            <v>2.3005695134281901E-2</v>
          </cell>
          <cell r="V88">
            <v>2.6296249012074898E-3</v>
          </cell>
          <cell r="W88">
            <v>7.49791250684097E-3</v>
          </cell>
          <cell r="Y88">
            <v>1.30254549159954</v>
          </cell>
          <cell r="Z88">
            <v>1.27662355453111</v>
          </cell>
          <cell r="AA88">
            <v>1.28144974339514</v>
          </cell>
          <cell r="AE88">
            <v>2.25172842025416E-2</v>
          </cell>
          <cell r="AF88">
            <v>2.6328090433299402E-3</v>
          </cell>
          <cell r="AG88">
            <v>7.49143310886309E-3</v>
          </cell>
          <cell r="AR88">
            <v>0</v>
          </cell>
          <cell r="BC88">
            <v>-1.037721145526822E-2</v>
          </cell>
          <cell r="BF88">
            <v>-1.037721145526822E-2</v>
          </cell>
        </row>
        <row r="89">
          <cell r="O89">
            <v>1.3022492118915701</v>
          </cell>
          <cell r="P89">
            <v>1.2744716456777301</v>
          </cell>
          <cell r="Q89">
            <v>1.27819253510293</v>
          </cell>
          <cell r="U89">
            <v>3.1771818588255403E-2</v>
          </cell>
          <cell r="V89">
            <v>1.11779505982442E-2</v>
          </cell>
          <cell r="W89">
            <v>1.4961087454458301E-2</v>
          </cell>
          <cell r="Y89">
            <v>1.30254549159954</v>
          </cell>
          <cell r="Z89">
            <v>1.2753891055900399</v>
          </cell>
          <cell r="AA89">
            <v>1.2791000056325099</v>
          </cell>
          <cell r="AE89">
            <v>3.1282733872873197E-2</v>
          </cell>
          <cell r="AF89">
            <v>1.1181058122861499E-2</v>
          </cell>
          <cell r="AG89">
            <v>1.4954362503261501E-2</v>
          </cell>
          <cell r="AR89">
            <v>0</v>
          </cell>
          <cell r="BC89">
            <v>-1.9143334909241604E-2</v>
          </cell>
          <cell r="BF89">
            <v>-1.9143334909241604E-2</v>
          </cell>
        </row>
        <row r="90">
          <cell r="O90">
            <v>1.3022492118915701</v>
          </cell>
          <cell r="P90">
            <v>1.2735867025133401</v>
          </cell>
          <cell r="Q90">
            <v>1.27607352413067</v>
          </cell>
          <cell r="U90">
            <v>3.1715705192018898E-2</v>
          </cell>
          <cell r="V90">
            <v>1.0154469916794801E-2</v>
          </cell>
          <cell r="W90">
            <v>1.3069770792273099E-2</v>
          </cell>
          <cell r="Y90">
            <v>1.30254549159954</v>
          </cell>
          <cell r="Z90">
            <v>1.2745030004512401</v>
          </cell>
          <cell r="AA90">
            <v>1.27698007043452</v>
          </cell>
          <cell r="AE90">
            <v>3.1226873294077799E-2</v>
          </cell>
          <cell r="AF90">
            <v>1.01577657937138E-2</v>
          </cell>
          <cell r="AG90">
            <v>1.30631629132995E-2</v>
          </cell>
          <cell r="AR90">
            <v>0</v>
          </cell>
          <cell r="BC90">
            <v>-1.9087221513004994E-2</v>
          </cell>
          <cell r="BF90">
            <v>-1.9087221513004994E-2</v>
          </cell>
        </row>
        <row r="91">
          <cell r="O91">
            <v>1.3022492118915701</v>
          </cell>
          <cell r="P91">
            <v>1.2733436802090901</v>
          </cell>
          <cell r="Q91">
            <v>1.2751393838343701</v>
          </cell>
          <cell r="U91">
            <v>1.9579761717989901E-2</v>
          </cell>
          <cell r="V91">
            <v>-2.6760755474865001E-3</v>
          </cell>
          <cell r="W91">
            <v>-7.2536668053435898E-4</v>
          </cell>
          <cell r="Y91">
            <v>1.30254549159954</v>
          </cell>
          <cell r="Z91">
            <v>1.2742573964980599</v>
          </cell>
          <cell r="AA91">
            <v>1.27604619958841</v>
          </cell>
          <cell r="AE91">
            <v>1.9100406440600098E-2</v>
          </cell>
          <cell r="AF91">
            <v>-2.66371491730703E-3</v>
          </cell>
          <cell r="AG91">
            <v>-7.2204358914729704E-4</v>
          </cell>
          <cell r="AR91">
            <v>0</v>
          </cell>
          <cell r="BC91">
            <v>-6.9512780389760637E-3</v>
          </cell>
          <cell r="BF91">
            <v>-6.9512780389760637E-3</v>
          </cell>
        </row>
        <row r="92">
          <cell r="O92">
            <v>1.3022492118915701</v>
          </cell>
          <cell r="P92">
            <v>1.2721313724482499</v>
          </cell>
          <cell r="Q92">
            <v>1.2741949104758601</v>
          </cell>
          <cell r="U92">
            <v>2.4377844489529499E-2</v>
          </cell>
          <cell r="V92">
            <v>1.9311717723740701E-3</v>
          </cell>
          <cell r="W92">
            <v>3.3404053260888398E-3</v>
          </cell>
          <cell r="Y92">
            <v>1.30254549159954</v>
          </cell>
          <cell r="Z92">
            <v>1.2730402538793799</v>
          </cell>
          <cell r="AA92">
            <v>1.27510192338116</v>
          </cell>
          <cell r="AE92">
            <v>2.3900003488330601E-2</v>
          </cell>
          <cell r="AF92">
            <v>1.9431578914326001E-3</v>
          </cell>
          <cell r="AG92">
            <v>3.34597392199372E-3</v>
          </cell>
          <cell r="AR92">
            <v>0</v>
          </cell>
          <cell r="BC92">
            <v>-6.9512780389760637E-3</v>
          </cell>
          <cell r="BF92">
            <v>-6.9512780389760637E-3</v>
          </cell>
        </row>
        <row r="93">
          <cell r="O93">
            <v>1.3022492118915701</v>
          </cell>
          <cell r="P93">
            <v>1.2707362302362899</v>
          </cell>
          <cell r="Q93">
            <v>1.27345115545959</v>
          </cell>
          <cell r="U93">
            <v>2.4664460694031502E-2</v>
          </cell>
          <cell r="V93">
            <v>1.26526805236939E-3</v>
          </cell>
          <cell r="W93">
            <v>2.88606464327738E-3</v>
          </cell>
          <cell r="Y93">
            <v>1.30254549159954</v>
          </cell>
          <cell r="Z93">
            <v>1.27164269041966</v>
          </cell>
          <cell r="AA93">
            <v>1.2743583717641001</v>
          </cell>
          <cell r="AE93">
            <v>2.4181187465973399E-2</v>
          </cell>
          <cell r="AF93">
            <v>1.2687074059183001E-3</v>
          </cell>
          <cell r="AG93">
            <v>2.88688238064525E-3</v>
          </cell>
          <cell r="AR93">
            <v>0</v>
          </cell>
          <cell r="BC93">
            <v>-6.9512780389760637E-3</v>
          </cell>
          <cell r="BF93">
            <v>-6.9512780389760637E-3</v>
          </cell>
        </row>
        <row r="94">
          <cell r="O94">
            <v>1.3022492118915701</v>
          </cell>
          <cell r="P94">
            <v>1.27013458654053</v>
          </cell>
          <cell r="Q94">
            <v>1.2735797800251401</v>
          </cell>
          <cell r="U94">
            <v>1.9945709194536299E-2</v>
          </cell>
          <cell r="V94">
            <v>-4.5507819069207896E-3</v>
          </cell>
          <cell r="W94">
            <v>-2.4165631232960999E-3</v>
          </cell>
          <cell r="Y94">
            <v>1.30254549159954</v>
          </cell>
          <cell r="Z94">
            <v>1.27104085375439</v>
          </cell>
          <cell r="AA94">
            <v>1.27448967833406</v>
          </cell>
          <cell r="AE94">
            <v>1.9443271198186299E-2</v>
          </cell>
          <cell r="AF94">
            <v>-4.5676275103471199E-3</v>
          </cell>
          <cell r="AG94">
            <v>-2.4343350976423401E-3</v>
          </cell>
          <cell r="AR94">
            <v>0</v>
          </cell>
          <cell r="BC94">
            <v>-6.9512780389760637E-3</v>
          </cell>
          <cell r="BF94">
            <v>-6.9512780389760637E-3</v>
          </cell>
        </row>
        <row r="95">
          <cell r="O95">
            <v>1.3022492118915701</v>
          </cell>
          <cell r="P95">
            <v>1.27115358654317</v>
          </cell>
          <cell r="Q95">
            <v>1.27404140388209</v>
          </cell>
          <cell r="U95">
            <v>1.3492404361039E-2</v>
          </cell>
          <cell r="V95">
            <v>-1.1477659582478299E-2</v>
          </cell>
          <cell r="W95">
            <v>-8.7688683467194092E-3</v>
          </cell>
          <cell r="Y95">
            <v>1.30254549159954</v>
          </cell>
          <cell r="Z95">
            <v>1.2720640206264999</v>
          </cell>
          <cell r="AA95">
            <v>1.2749548061210301</v>
          </cell>
          <cell r="AE95">
            <v>1.2977511117409E-2</v>
          </cell>
          <cell r="AF95">
            <v>-1.15067745982338E-2</v>
          </cell>
          <cell r="AG95">
            <v>-8.7970630890220405E-3</v>
          </cell>
          <cell r="AR95">
            <v>0</v>
          </cell>
          <cell r="BC95">
            <v>-6.9512780389760637E-3</v>
          </cell>
          <cell r="BF95">
            <v>-6.9512780389760637E-3</v>
          </cell>
        </row>
        <row r="96">
          <cell r="O96">
            <v>1.3022492118915701</v>
          </cell>
          <cell r="P96">
            <v>1.27333224833503</v>
          </cell>
          <cell r="Q96">
            <v>1.2750061993461901</v>
          </cell>
          <cell r="U96">
            <v>5.6008131690943701E-3</v>
          </cell>
          <cell r="V96">
            <v>-1.8567295240182399E-2</v>
          </cell>
          <cell r="W96">
            <v>-1.62980635396676E-2</v>
          </cell>
          <cell r="Y96">
            <v>1.30254549159954</v>
          </cell>
          <cell r="Z96">
            <v>1.2742477093253399</v>
          </cell>
          <cell r="AA96">
            <v>1.2759229828965399</v>
          </cell>
          <cell r="AE96">
            <v>5.0866430934716801E-3</v>
          </cell>
          <cell r="AF96">
            <v>-1.8592982981414801E-2</v>
          </cell>
          <cell r="AG96">
            <v>-1.63230455114384E-2</v>
          </cell>
          <cell r="AR96">
            <v>0</v>
          </cell>
          <cell r="BC96">
            <v>-6.9512780389760637E-3</v>
          </cell>
          <cell r="BF96">
            <v>-6.9512780389760637E-3</v>
          </cell>
        </row>
        <row r="97">
          <cell r="O97">
            <v>1.3022492118915701</v>
          </cell>
          <cell r="P97">
            <v>1.2745312838748299</v>
          </cell>
          <cell r="Q97">
            <v>1.27525714210984</v>
          </cell>
          <cell r="U97">
            <v>2.12673468927514E-2</v>
          </cell>
          <cell r="V97">
            <v>-1.18830370331498E-3</v>
          </cell>
          <cell r="W97">
            <v>1.2545527045494499E-4</v>
          </cell>
          <cell r="Y97">
            <v>1.30254549159954</v>
          </cell>
          <cell r="Z97">
            <v>1.2754507553436101</v>
          </cell>
          <cell r="AA97">
            <v>1.2761758116901201</v>
          </cell>
          <cell r="AE97">
            <v>2.0769602090602201E-2</v>
          </cell>
          <cell r="AF97">
            <v>-1.19484574550478E-3</v>
          </cell>
          <cell r="AG97">
            <v>1.19006552536476E-4</v>
          </cell>
          <cell r="AR97">
            <v>0</v>
          </cell>
          <cell r="BC97">
            <v>-6.9512780389760637E-3</v>
          </cell>
          <cell r="BF97">
            <v>-6.9512780389760637E-3</v>
          </cell>
        </row>
        <row r="98">
          <cell r="O98">
            <v>1.3022492118915701</v>
          </cell>
          <cell r="P98">
            <v>1.27459147080456</v>
          </cell>
          <cell r="Q98">
            <v>1.2751482975877599</v>
          </cell>
          <cell r="U98">
            <v>2.2532874243405599E-2</v>
          </cell>
          <cell r="V98">
            <v>1.01843232131922E-3</v>
          </cell>
          <cell r="W98">
            <v>1.5877801520794699E-3</v>
          </cell>
          <cell r="Y98">
            <v>1.30254549159954</v>
          </cell>
          <cell r="Z98">
            <v>1.2755115463054401</v>
          </cell>
          <cell r="AA98">
            <v>1.2760675504182799</v>
          </cell>
          <cell r="AE98">
            <v>2.2040060929310001E-2</v>
          </cell>
          <cell r="AF98">
            <v>1.01929025677187E-3</v>
          </cell>
          <cell r="AG98">
            <v>1.58759940936324E-3</v>
          </cell>
          <cell r="AR98">
            <v>0</v>
          </cell>
          <cell r="BC98">
            <v>-6.9512780389760637E-3</v>
          </cell>
          <cell r="BF98">
            <v>-6.9512780389760637E-3</v>
          </cell>
        </row>
        <row r="99">
          <cell r="O99">
            <v>1.3022492118915701</v>
          </cell>
          <cell r="P99">
            <v>1.2766404230364501</v>
          </cell>
          <cell r="Q99">
            <v>1.27555603435709</v>
          </cell>
          <cell r="U99">
            <v>1.56604357920683E-2</v>
          </cell>
          <cell r="V99">
            <v>-5.8067844498287799E-3</v>
          </cell>
          <cell r="W99">
            <v>-5.3700129808695396E-3</v>
          </cell>
          <cell r="Y99">
            <v>1.30254549159954</v>
          </cell>
          <cell r="Z99">
            <v>1.2775625934099299</v>
          </cell>
          <cell r="AA99">
            <v>1.2764758494999899</v>
          </cell>
          <cell r="AE99">
            <v>1.51664706845918E-2</v>
          </cell>
          <cell r="AF99">
            <v>-5.8066387882495301E-3</v>
          </cell>
          <cell r="AG99">
            <v>-5.3708270022460904E-3</v>
          </cell>
          <cell r="AR99">
            <v>0</v>
          </cell>
          <cell r="BC99">
            <v>-6.9512780389760637E-3</v>
          </cell>
          <cell r="BF99">
            <v>-6.9512780389760637E-3</v>
          </cell>
        </row>
        <row r="100">
          <cell r="O100">
            <v>1.3022492118915701</v>
          </cell>
          <cell r="P100">
            <v>1.2775299871656101</v>
          </cell>
          <cell r="Q100">
            <v>1.2755583448394701</v>
          </cell>
          <cell r="U100">
            <v>2.4689344077792299E-2</v>
          </cell>
          <cell r="V100">
            <v>4.82836956946459E-3</v>
          </cell>
          <cell r="W100">
            <v>3.9786005468077099E-3</v>
          </cell>
          <cell r="Y100">
            <v>1.30254549159954</v>
          </cell>
          <cell r="Z100">
            <v>1.27845310665162</v>
          </cell>
          <cell r="AA100">
            <v>1.27647805355143</v>
          </cell>
          <cell r="AE100">
            <v>2.4198060779558099E-2</v>
          </cell>
          <cell r="AF100">
            <v>4.8316790658746202E-3</v>
          </cell>
          <cell r="AG100">
            <v>3.9806785818787896E-3</v>
          </cell>
          <cell r="AR100">
            <v>0</v>
          </cell>
          <cell r="BC100">
            <v>-6.9512780389760637E-3</v>
          </cell>
          <cell r="BF100">
            <v>-6.9512780389760637E-3</v>
          </cell>
        </row>
        <row r="101">
          <cell r="O101">
            <v>1.3022492118915701</v>
          </cell>
          <cell r="P101">
            <v>1.2761818426965299</v>
          </cell>
          <cell r="Q101">
            <v>1.2747627614528101</v>
          </cell>
          <cell r="U101">
            <v>3.0193009722977199E-2</v>
          </cell>
          <cell r="V101">
            <v>1.1028593409493199E-2</v>
          </cell>
          <cell r="W101">
            <v>9.4840775434590196E-3</v>
          </cell>
          <cell r="Y101">
            <v>1.30254549159954</v>
          </cell>
          <cell r="Z101">
            <v>1.2771052711155699</v>
          </cell>
          <cell r="AA101">
            <v>1.27568133380682</v>
          </cell>
          <cell r="AE101">
            <v>2.97036720116324E-2</v>
          </cell>
          <cell r="AF101">
            <v>1.1034088269649999E-2</v>
          </cell>
          <cell r="AG101">
            <v>9.4880164815918395E-3</v>
          </cell>
          <cell r="AR101">
            <v>0</v>
          </cell>
          <cell r="BC101">
            <v>-6.9512780389760637E-3</v>
          </cell>
          <cell r="BF101">
            <v>-6.9512780389760637E-3</v>
          </cell>
        </row>
        <row r="102">
          <cell r="O102">
            <v>1.3022492118915701</v>
          </cell>
          <cell r="P102">
            <v>1.27574951371566</v>
          </cell>
          <cell r="Q102">
            <v>1.2739404430819601</v>
          </cell>
          <cell r="U102">
            <v>2.77854330179341E-2</v>
          </cell>
          <cell r="V102">
            <v>7.56518528404025E-3</v>
          </cell>
          <cell r="W102">
            <v>6.4525924133073198E-3</v>
          </cell>
          <cell r="Y102">
            <v>1.30254549159954</v>
          </cell>
          <cell r="Z102">
            <v>1.2766728498195701</v>
          </cell>
          <cell r="AA102">
            <v>1.2748565518494801</v>
          </cell>
          <cell r="AE102">
            <v>2.7305913645463201E-2</v>
          </cell>
          <cell r="AF102">
            <v>7.5815031597473801E-3</v>
          </cell>
          <cell r="AG102">
            <v>6.4659085748425601E-3</v>
          </cell>
          <cell r="AR102">
            <v>0</v>
          </cell>
          <cell r="BC102">
            <v>-6.9512780389760637E-3</v>
          </cell>
          <cell r="BF102">
            <v>-6.9512780389760637E-3</v>
          </cell>
        </row>
        <row r="103">
          <cell r="O103">
            <v>1.3022492118915701</v>
          </cell>
          <cell r="P103">
            <v>1.27466109323301</v>
          </cell>
          <cell r="Q103">
            <v>1.2726986617346501</v>
          </cell>
          <cell r="U103">
            <v>3.3268079387927002E-2</v>
          </cell>
          <cell r="V103">
            <v>1.2709006721366E-2</v>
          </cell>
          <cell r="W103">
            <v>1.1289955018660499E-2</v>
          </cell>
          <cell r="Y103">
            <v>1.30254549159954</v>
          </cell>
          <cell r="Z103">
            <v>1.27558321331447</v>
          </cell>
          <cell r="AA103">
            <v>1.27361295186707</v>
          </cell>
          <cell r="AE103">
            <v>3.2788313729928603E-2</v>
          </cell>
          <cell r="AF103">
            <v>1.27252510358746E-2</v>
          </cell>
          <cell r="AG103">
            <v>1.13015572499463E-2</v>
          </cell>
          <cell r="AR103">
            <v>0</v>
          </cell>
          <cell r="BC103">
            <v>-6.9512780389760637E-3</v>
          </cell>
          <cell r="BF103">
            <v>-6.9512780389760637E-3</v>
          </cell>
        </row>
        <row r="104">
          <cell r="O104">
            <v>1.3022492118915701</v>
          </cell>
          <cell r="P104">
            <v>1.2737628448435101</v>
          </cell>
          <cell r="Q104">
            <v>1.2719487156920199</v>
          </cell>
          <cell r="U104">
            <v>2.7007212047475498E-2</v>
          </cell>
          <cell r="V104">
            <v>5.5946136421498698E-3</v>
          </cell>
          <cell r="W104">
            <v>4.0538560928833501E-3</v>
          </cell>
          <cell r="Y104">
            <v>1.30254549159954</v>
          </cell>
          <cell r="Z104">
            <v>1.27468292099854</v>
          </cell>
          <cell r="AA104">
            <v>1.2728618873764701</v>
          </cell>
          <cell r="AE104">
            <v>2.6515716635843602E-2</v>
          </cell>
          <cell r="AF104">
            <v>5.5987924605366297E-3</v>
          </cell>
          <cell r="AG104">
            <v>4.05300177824767E-3</v>
          </cell>
          <cell r="AR104">
            <v>0</v>
          </cell>
          <cell r="BC104">
            <v>-6.9512780389760637E-3</v>
          </cell>
          <cell r="BF104">
            <v>-6.9512780389760637E-3</v>
          </cell>
        </row>
        <row r="105">
          <cell r="O105">
            <v>1.3022492118915701</v>
          </cell>
          <cell r="P105">
            <v>1.27386019009497</v>
          </cell>
          <cell r="Q105">
            <v>1.27250688831907</v>
          </cell>
          <cell r="U105">
            <v>1.2735020806822501E-2</v>
          </cell>
          <cell r="V105">
            <v>-9.3825218687843496E-3</v>
          </cell>
          <cell r="W105">
            <v>-1.0807765393386499E-2</v>
          </cell>
          <cell r="Y105">
            <v>1.30254549159954</v>
          </cell>
          <cell r="Z105">
            <v>1.2747801990343799</v>
          </cell>
          <cell r="AA105">
            <v>1.2734221098304399</v>
          </cell>
          <cell r="AE105">
            <v>1.22212117871217E-2</v>
          </cell>
          <cell r="AF105">
            <v>-9.4017503512176595E-3</v>
          </cell>
          <cell r="AG105">
            <v>-1.0831388743641699E-2</v>
          </cell>
          <cell r="AR105">
            <v>0</v>
          </cell>
          <cell r="BC105">
            <v>-6.9512780389760637E-3</v>
          </cell>
          <cell r="BF105">
            <v>-6.9512780389760637E-3</v>
          </cell>
        </row>
        <row r="106">
          <cell r="O106">
            <v>1.3022492118915701</v>
          </cell>
          <cell r="P106">
            <v>1.2733774612409201</v>
          </cell>
          <cell r="Q106">
            <v>1.2733548547879801</v>
          </cell>
          <cell r="U106">
            <v>9.3354835602149893E-3</v>
          </cell>
          <cell r="V106">
            <v>-1.27056386637277E-2</v>
          </cell>
          <cell r="W106">
            <v>-1.3768566247722099E-2</v>
          </cell>
          <cell r="Y106">
            <v>1.30254549159954</v>
          </cell>
          <cell r="Z106">
            <v>1.27429522047836</v>
          </cell>
          <cell r="AA106">
            <v>1.2742714649018501</v>
          </cell>
          <cell r="AE106">
            <v>8.8359642066025892E-3</v>
          </cell>
          <cell r="AF106">
            <v>-1.27106853660714E-2</v>
          </cell>
          <cell r="AG106">
            <v>-1.37766049186908E-2</v>
          </cell>
          <cell r="AR106">
            <v>0</v>
          </cell>
          <cell r="BC106">
            <v>-6.9512780389760637E-3</v>
          </cell>
          <cell r="BF106">
            <v>-6.9512780389760637E-3</v>
          </cell>
        </row>
        <row r="107">
          <cell r="O107">
            <v>1.3022492118915701</v>
          </cell>
          <cell r="P107">
            <v>1.27438181808933</v>
          </cell>
          <cell r="Q107">
            <v>1.27445655098208</v>
          </cell>
          <cell r="U107">
            <v>1.34199597151534E-2</v>
          </cell>
          <cell r="V107">
            <v>-9.0001839633194903E-3</v>
          </cell>
          <cell r="W107">
            <v>-9.0179372645237694E-3</v>
          </cell>
          <cell r="Y107">
            <v>1.30254549159954</v>
          </cell>
          <cell r="Z107">
            <v>1.27529839191867</v>
          </cell>
          <cell r="AA107">
            <v>1.2753745736311399</v>
          </cell>
          <cell r="AE107">
            <v>1.2937100947107399E-2</v>
          </cell>
          <cell r="AF107">
            <v>-8.9900619349478402E-3</v>
          </cell>
          <cell r="AG107">
            <v>-9.0087042382027503E-3</v>
          </cell>
          <cell r="AR107">
            <v>0</v>
          </cell>
          <cell r="BC107">
            <v>-6.9512780389760637E-3</v>
          </cell>
          <cell r="BF107">
            <v>-6.9512780389760637E-3</v>
          </cell>
        </row>
        <row r="108">
          <cell r="O108">
            <v>1.3022492118915701</v>
          </cell>
          <cell r="P108">
            <v>1.2779669516980701</v>
          </cell>
          <cell r="Q108">
            <v>1.2762792112513199</v>
          </cell>
          <cell r="U108">
            <v>-5.2356836436542103E-3</v>
          </cell>
          <cell r="V108">
            <v>-2.6867403620891499E-2</v>
          </cell>
          <cell r="W108">
            <v>-2.6808762874048299E-2</v>
          </cell>
          <cell r="Y108">
            <v>1.30254549159954</v>
          </cell>
          <cell r="Z108">
            <v>1.2788864560381801</v>
          </cell>
          <cell r="AA108">
            <v>1.27719900117181</v>
          </cell>
          <cell r="AE108">
            <v>-5.7311473103675899E-3</v>
          </cell>
          <cell r="AF108">
            <v>-2.6871383611495801E-2</v>
          </cell>
          <cell r="AG108">
            <v>-2.68116490131961E-2</v>
          </cell>
          <cell r="AR108">
            <v>0</v>
          </cell>
          <cell r="BC108">
            <v>-6.9512780389760637E-3</v>
          </cell>
          <cell r="BF108">
            <v>-6.9512780389760637E-3</v>
          </cell>
        </row>
        <row r="109">
          <cell r="O109">
            <v>1.3022492118915701</v>
          </cell>
          <cell r="P109">
            <v>1.2797351570409301</v>
          </cell>
          <cell r="Q109">
            <v>1.27818779003869</v>
          </cell>
          <cell r="U109">
            <v>1.9622855547866201E-3</v>
          </cell>
          <cell r="V109">
            <v>-1.6860150668579699E-2</v>
          </cell>
          <cell r="W109">
            <v>-1.8181668317786798E-2</v>
          </cell>
          <cell r="Y109">
            <v>1.30254549159954</v>
          </cell>
          <cell r="Z109">
            <v>1.2806569883664101</v>
          </cell>
          <cell r="AA109">
            <v>1.2791097908881699</v>
          </cell>
          <cell r="AE109">
            <v>1.46024097671316E-3</v>
          </cell>
          <cell r="AF109">
            <v>-1.6870436350939499E-2</v>
          </cell>
          <cell r="AG109">
            <v>-1.81907796178324E-2</v>
          </cell>
          <cell r="AR109">
            <v>7.1979691984409896E-3</v>
          </cell>
          <cell r="BC109">
            <v>-6.9512780389760637E-3</v>
          </cell>
          <cell r="BF109">
            <v>2.4669115946492591E-4</v>
          </cell>
        </row>
        <row r="110">
          <cell r="O110">
            <v>1.3022492118915701</v>
          </cell>
          <cell r="P110">
            <v>1.2815945478474</v>
          </cell>
          <cell r="Q110">
            <v>1.2795622675064999</v>
          </cell>
          <cell r="U110">
            <v>1.01601930908912E-2</v>
          </cell>
          <cell r="V110">
            <v>-7.2795914010582198E-3</v>
          </cell>
          <cell r="W110">
            <v>-8.4894536392896205E-3</v>
          </cell>
          <cell r="Y110">
            <v>1.30254549159954</v>
          </cell>
          <cell r="Z110">
            <v>1.28251774896737</v>
          </cell>
          <cell r="AA110">
            <v>1.2804854278094899</v>
          </cell>
          <cell r="AE110">
            <v>9.6686552415561709E-3</v>
          </cell>
          <cell r="AF110">
            <v>-7.2785467522415801E-3</v>
          </cell>
          <cell r="AG110">
            <v>-8.4874050585483102E-3</v>
          </cell>
          <cell r="AR110">
            <v>1.5395876734545389E-2</v>
          </cell>
          <cell r="BC110">
            <v>-6.9512780389760637E-3</v>
          </cell>
          <cell r="BF110">
            <v>8.4445986955693254E-3</v>
          </cell>
        </row>
        <row r="111">
          <cell r="O111">
            <v>1.3022492118915701</v>
          </cell>
          <cell r="P111">
            <v>1.2840203926313301</v>
          </cell>
          <cell r="Q111">
            <v>1.2801011176639301</v>
          </cell>
          <cell r="U111">
            <v>1.11758568768516E-2</v>
          </cell>
          <cell r="V111">
            <v>-4.8120324299071099E-3</v>
          </cell>
          <cell r="W111">
            <v>-6.3990346433218902E-3</v>
          </cell>
          <cell r="Y111">
            <v>1.30254549159954</v>
          </cell>
          <cell r="Z111">
            <v>1.28494753155681</v>
          </cell>
          <cell r="AA111">
            <v>1.2810264013361901</v>
          </cell>
          <cell r="AE111">
            <v>1.0669461233553701E-2</v>
          </cell>
          <cell r="AF111">
            <v>-4.82582185612789E-3</v>
          </cell>
          <cell r="AG111">
            <v>-6.4117126597283596E-3</v>
          </cell>
          <cell r="AR111">
            <v>1.5395876734545389E-2</v>
          </cell>
          <cell r="BC111">
            <v>-6.9512780389760637E-3</v>
          </cell>
          <cell r="BF111">
            <v>8.4445986955693254E-3</v>
          </cell>
        </row>
        <row r="112">
          <cell r="O112">
            <v>1.3022492118915701</v>
          </cell>
          <cell r="P112">
            <v>1.28580307462865</v>
          </cell>
          <cell r="Q112">
            <v>1.2807762941721501</v>
          </cell>
          <cell r="U112">
            <v>1.3808616193813201E-2</v>
          </cell>
          <cell r="V112">
            <v>-2.8822900608035999E-4</v>
          </cell>
          <cell r="W112">
            <v>-3.3452432730788901E-3</v>
          </cell>
          <cell r="Y112">
            <v>1.30254549159954</v>
          </cell>
          <cell r="Z112">
            <v>1.28673240679353</v>
          </cell>
          <cell r="AA112">
            <v>1.28170262830655</v>
          </cell>
          <cell r="AE112">
            <v>1.33218423133846E-2</v>
          </cell>
          <cell r="AF112">
            <v>-2.8069205384156698E-4</v>
          </cell>
          <cell r="AG112">
            <v>-3.3369454495005301E-3</v>
          </cell>
          <cell r="AR112">
            <v>1.5395876734545389E-2</v>
          </cell>
          <cell r="BC112">
            <v>-6.9512780389760637E-3</v>
          </cell>
          <cell r="BF112">
            <v>8.4445986955693254E-3</v>
          </cell>
        </row>
        <row r="113">
          <cell r="O113">
            <v>1.3022492118915701</v>
          </cell>
          <cell r="P113">
            <v>1.2873973282612301</v>
          </cell>
          <cell r="Q113">
            <v>1.28102921074712</v>
          </cell>
          <cell r="U113">
            <v>2.0691065830263099E-2</v>
          </cell>
          <cell r="V113">
            <v>7.9816173181057794E-3</v>
          </cell>
          <cell r="W113">
            <v>4.0645072960506599E-3</v>
          </cell>
          <cell r="Y113">
            <v>1.30254549159954</v>
          </cell>
          <cell r="Z113">
            <v>1.28832859216786</v>
          </cell>
          <cell r="AA113">
            <v>1.28195590274117</v>
          </cell>
          <cell r="AE113">
            <v>2.0205003195591899E-2</v>
          </cell>
          <cell r="AF113">
            <v>7.9905696543635697E-3</v>
          </cell>
          <cell r="AG113">
            <v>4.0739551806341897E-3</v>
          </cell>
          <cell r="AR113">
            <v>1.5395876734545389E-2</v>
          </cell>
          <cell r="BC113">
            <v>-6.9512780389760637E-3</v>
          </cell>
          <cell r="BF113">
            <v>8.4445986955693254E-3</v>
          </cell>
        </row>
        <row r="114">
          <cell r="O114">
            <v>1.3022492118915701</v>
          </cell>
          <cell r="P114">
            <v>1.2868666916373099</v>
          </cell>
          <cell r="Q114">
            <v>1.2803147682404099</v>
          </cell>
          <cell r="U114">
            <v>3.1202317074155099E-2</v>
          </cell>
          <cell r="V114">
            <v>1.97319899571149E-2</v>
          </cell>
          <cell r="W114">
            <v>1.4773210356877901E-2</v>
          </cell>
          <cell r="Y114">
            <v>1.30254549159954</v>
          </cell>
          <cell r="Z114">
            <v>1.2878135270569699</v>
          </cell>
          <cell r="AA114">
            <v>1.2812482240277601</v>
          </cell>
          <cell r="AE114">
            <v>3.0584533051642899E-2</v>
          </cell>
          <cell r="AF114">
            <v>1.9609825931972101E-2</v>
          </cell>
          <cell r="AG114">
            <v>1.46510733132622E-2</v>
          </cell>
          <cell r="AR114">
            <v>1.5395876734545389E-2</v>
          </cell>
          <cell r="BC114">
            <v>-6.9512780389760637E-3</v>
          </cell>
          <cell r="BF114">
            <v>8.4445986955693254E-3</v>
          </cell>
        </row>
        <row r="115">
          <cell r="O115">
            <v>1.3022492118915701</v>
          </cell>
          <cell r="P115">
            <v>1.2849632351045901</v>
          </cell>
          <cell r="Q115">
            <v>1.2794117125997799</v>
          </cell>
          <cell r="U115">
            <v>2.7649712091931799E-2</v>
          </cell>
          <cell r="V115">
            <v>1.5767122186505601E-2</v>
          </cell>
          <cell r="W115">
            <v>1.06627400265384E-2</v>
          </cell>
          <cell r="Y115">
            <v>1.30254549159954</v>
          </cell>
          <cell r="Z115">
            <v>1.28592229642851</v>
          </cell>
          <cell r="AA115">
            <v>1.28035124773144</v>
          </cell>
          <cell r="AE115">
            <v>2.7028330386731199E-2</v>
          </cell>
          <cell r="AF115">
            <v>1.5653750050508598E-2</v>
          </cell>
          <cell r="AG115">
            <v>1.0542687758192001E-2</v>
          </cell>
          <cell r="AR115">
            <v>1.5395876734545389E-2</v>
          </cell>
          <cell r="BC115">
            <v>-6.9512780389760637E-3</v>
          </cell>
          <cell r="BF115">
            <v>8.4445986955693254E-3</v>
          </cell>
        </row>
        <row r="116">
          <cell r="O116">
            <v>1.3022492118915701</v>
          </cell>
          <cell r="P116">
            <v>1.2803762337768501</v>
          </cell>
          <cell r="Q116">
            <v>1.2768768475088801</v>
          </cell>
          <cell r="U116">
            <v>4.5536973943687602E-2</v>
          </cell>
          <cell r="V116">
            <v>3.2174148614850899E-2</v>
          </cell>
          <cell r="W116">
            <v>2.78444142423812E-2</v>
          </cell>
          <cell r="Y116">
            <v>1.30254549159954</v>
          </cell>
          <cell r="Z116">
            <v>1.2813459156342699</v>
          </cell>
          <cell r="AA116">
            <v>1.2778205680563099</v>
          </cell>
          <cell r="AE116">
            <v>4.4925376759044199E-2</v>
          </cell>
          <cell r="AF116">
            <v>3.2081157657567597E-2</v>
          </cell>
          <cell r="AG116">
            <v>2.77394089291105E-2</v>
          </cell>
          <cell r="AR116">
            <v>1.5395876734545389E-2</v>
          </cell>
          <cell r="BC116">
            <v>-6.9512780389760637E-3</v>
          </cell>
          <cell r="BF116">
            <v>8.4445986955693254E-3</v>
          </cell>
        </row>
        <row r="117">
          <cell r="O117">
            <v>1.3022492118915701</v>
          </cell>
          <cell r="P117">
            <v>1.27528122546403</v>
          </cell>
          <cell r="Q117">
            <v>1.2748315217766799</v>
          </cell>
          <cell r="U117">
            <v>5.3880842451084099E-2</v>
          </cell>
          <cell r="V117">
            <v>3.6941877377865598E-2</v>
          </cell>
          <cell r="W117">
            <v>3.4205043485400002E-2</v>
          </cell>
          <cell r="Y117">
            <v>1.30254549159954</v>
          </cell>
          <cell r="Z117">
            <v>1.27626306536358</v>
          </cell>
          <cell r="AA117">
            <v>1.27578072864112</v>
          </cell>
          <cell r="AE117">
            <v>5.32702113268076E-2</v>
          </cell>
          <cell r="AF117">
            <v>3.6860813004804399E-2</v>
          </cell>
          <cell r="AG117">
            <v>3.4105736435668402E-2</v>
          </cell>
          <cell r="AR117">
            <v>1.5395876734545389E-2</v>
          </cell>
          <cell r="BC117">
            <v>-1.5295146546372543E-2</v>
          </cell>
          <cell r="BF117">
            <v>1.0073018817284562E-4</v>
          </cell>
        </row>
        <row r="118">
          <cell r="O118">
            <v>1.3022492118915701</v>
          </cell>
          <cell r="P118">
            <v>1.26572193877446</v>
          </cell>
          <cell r="Q118">
            <v>1.27184444523627</v>
          </cell>
          <cell r="U118">
            <v>7.0590457435432005E-2</v>
          </cell>
          <cell r="V118">
            <v>4.96642482622826E-2</v>
          </cell>
          <cell r="W118">
            <v>4.9311555078424198E-2</v>
          </cell>
          <cell r="Y118">
            <v>1.30254549159954</v>
          </cell>
          <cell r="Z118">
            <v>1.26659404618143</v>
          </cell>
          <cell r="AA118">
            <v>1.27274025110981</v>
          </cell>
          <cell r="AE118">
            <v>7.0942039101816096E-2</v>
          </cell>
          <cell r="AF118">
            <v>5.0557946446076599E-2</v>
          </cell>
          <cell r="AG118">
            <v>5.0179946092532297E-2</v>
          </cell>
          <cell r="AR118">
            <v>1.5395876734545389E-2</v>
          </cell>
          <cell r="BC118">
            <v>-1.5295146546372543E-2</v>
          </cell>
          <cell r="BF118">
            <v>1.0073018817284562E-4</v>
          </cell>
        </row>
        <row r="119">
          <cell r="O119">
            <v>1.3022492118915701</v>
          </cell>
          <cell r="P119">
            <v>1.2568772459995401</v>
          </cell>
          <cell r="Q119">
            <v>1.26830620152024</v>
          </cell>
          <cell r="U119">
            <v>7.24405395548256E-2</v>
          </cell>
          <cell r="V119">
            <v>4.3990269080858499E-2</v>
          </cell>
          <cell r="W119">
            <v>4.8815773060451602E-2</v>
          </cell>
          <cell r="Y119">
            <v>1.30254549159954</v>
          </cell>
          <cell r="Z119">
            <v>1.25763977417228</v>
          </cell>
          <cell r="AA119">
            <v>1.26914838126935</v>
          </cell>
          <cell r="AE119">
            <v>7.2789624757674296E-2</v>
          </cell>
          <cell r="AF119">
            <v>4.4800648808855599E-2</v>
          </cell>
          <cell r="AG119">
            <v>4.9641458415649799E-2</v>
          </cell>
          <cell r="AR119">
            <v>1.5395876734545389E-2</v>
          </cell>
          <cell r="BC119">
            <v>-1.7145228665766024E-2</v>
          </cell>
          <cell r="BF119">
            <v>-1.749351931220635E-3</v>
          </cell>
        </row>
        <row r="120">
          <cell r="O120">
            <v>1.3022492118915701</v>
          </cell>
          <cell r="P120">
            <v>1.24922316155502</v>
          </cell>
          <cell r="Q120">
            <v>1.2654088547012099</v>
          </cell>
          <cell r="U120">
            <v>7.1372092612579596E-2</v>
          </cell>
          <cell r="V120">
            <v>3.5909428673884497E-2</v>
          </cell>
          <cell r="W120">
            <v>4.4961470870677998E-2</v>
          </cell>
          <cell r="Y120">
            <v>1.30254549159954</v>
          </cell>
          <cell r="Z120">
            <v>1.24987838435951</v>
          </cell>
          <cell r="AA120">
            <v>1.26619806666344</v>
          </cell>
          <cell r="AE120">
            <v>7.1719859639702094E-2</v>
          </cell>
          <cell r="AF120">
            <v>3.6636208470290602E-2</v>
          </cell>
          <cell r="AG120">
            <v>4.5745548843179197E-2</v>
          </cell>
          <cell r="AR120">
            <v>1.5395876734545389E-2</v>
          </cell>
          <cell r="BC120">
            <v>-1.6076781723519926E-2</v>
          </cell>
          <cell r="BF120">
            <v>-6.8090498897453722E-4</v>
          </cell>
        </row>
        <row r="121">
          <cell r="O121">
            <v>1.3022492118915701</v>
          </cell>
          <cell r="P121">
            <v>1.2416078589277899</v>
          </cell>
          <cell r="Q121">
            <v>1.26281412577956</v>
          </cell>
          <cell r="U121">
            <v>7.2131771284657503E-2</v>
          </cell>
          <cell r="V121">
            <v>3.05607261967186E-2</v>
          </cell>
          <cell r="W121">
            <v>4.3434114088790901E-2</v>
          </cell>
          <cell r="Y121">
            <v>1.30254549159954</v>
          </cell>
          <cell r="Z121">
            <v>1.2421542202515301</v>
          </cell>
          <cell r="AA121">
            <v>1.26355087590417</v>
          </cell>
          <cell r="AE121">
            <v>7.2477446416326904E-2</v>
          </cell>
          <cell r="AF121">
            <v>3.1203280077438299E-2</v>
          </cell>
          <cell r="AG121">
            <v>4.4175788254695897E-2</v>
          </cell>
          <cell r="AR121">
            <v>1.5395876734545389E-2</v>
          </cell>
          <cell r="BC121">
            <v>-1.6836460395597726E-2</v>
          </cell>
          <cell r="BF121">
            <v>-1.4405836610523366E-3</v>
          </cell>
        </row>
        <row r="122">
          <cell r="O122">
            <v>1.3022492118915701</v>
          </cell>
          <cell r="P122">
            <v>1.2337506045978199</v>
          </cell>
          <cell r="Q122">
            <v>1.2597768396132301</v>
          </cell>
          <cell r="U122">
            <v>7.69347621260415E-2</v>
          </cell>
          <cell r="V122">
            <v>2.9249029777323798E-2</v>
          </cell>
          <cell r="W122">
            <v>4.6184493390214701E-2</v>
          </cell>
          <cell r="Y122">
            <v>1.30254549159954</v>
          </cell>
          <cell r="Z122">
            <v>1.2341917395056901</v>
          </cell>
          <cell r="AA122">
            <v>1.2604620731496099</v>
          </cell>
          <cell r="AE122">
            <v>7.7273836420338401E-2</v>
          </cell>
          <cell r="AF122">
            <v>2.9800562710530901E-2</v>
          </cell>
          <cell r="AG122">
            <v>4.6879328900455E-2</v>
          </cell>
          <cell r="AR122">
            <v>1.5395876734545389E-2</v>
          </cell>
          <cell r="BC122">
            <v>-2.1639451236981726E-2</v>
          </cell>
          <cell r="BF122">
            <v>-6.2435745024363373E-3</v>
          </cell>
        </row>
        <row r="123">
          <cell r="O123">
            <v>1.3022492118915701</v>
          </cell>
          <cell r="P123">
            <v>1.2260775268258901</v>
          </cell>
          <cell r="Q123">
            <v>1.2567374275435601</v>
          </cell>
          <cell r="U123">
            <v>8.2729870790031995E-2</v>
          </cell>
          <cell r="V123">
            <v>2.8695740151187199E-2</v>
          </cell>
          <cell r="W123">
            <v>4.9571532196100603E-2</v>
          </cell>
          <cell r="Y123">
            <v>1.30254549159954</v>
          </cell>
          <cell r="Z123">
            <v>1.22641501161213</v>
          </cell>
          <cell r="AA123">
            <v>1.25737180188999</v>
          </cell>
          <cell r="AE123">
            <v>8.30624522239439E-2</v>
          </cell>
          <cell r="AF123">
            <v>2.9158325703987999E-2</v>
          </cell>
          <cell r="AG123">
            <v>5.0220410274684199E-2</v>
          </cell>
          <cell r="AR123">
            <v>1.5395876734545389E-2</v>
          </cell>
          <cell r="BC123">
            <v>-2.7434559900972329E-2</v>
          </cell>
          <cell r="BF123">
            <v>-1.2038683166426938E-2</v>
          </cell>
        </row>
        <row r="124">
          <cell r="O124">
            <v>1.3022492118915701</v>
          </cell>
          <cell r="P124">
            <v>1.2200364409943301</v>
          </cell>
          <cell r="Q124">
            <v>1.2534515663158201</v>
          </cell>
          <cell r="U124">
            <v>8.0245420983889995E-2</v>
          </cell>
          <cell r="V124">
            <v>1.9972559629381399E-2</v>
          </cell>
          <cell r="W124">
            <v>4.4671508127375401E-2</v>
          </cell>
          <cell r="Y124">
            <v>1.30254549159954</v>
          </cell>
          <cell r="Z124">
            <v>1.22025432352337</v>
          </cell>
          <cell r="AA124">
            <v>1.25403392529017</v>
          </cell>
          <cell r="AE124">
            <v>8.0579945003767001E-2</v>
          </cell>
          <cell r="AF124">
            <v>2.03548134850699E-2</v>
          </cell>
          <cell r="AG124">
            <v>4.52831955839509E-2</v>
          </cell>
          <cell r="AR124">
            <v>1.5395876734545389E-2</v>
          </cell>
          <cell r="BC124">
            <v>-2.4950110094830339E-2</v>
          </cell>
          <cell r="BF124">
            <v>-9.55423336028495E-3</v>
          </cell>
        </row>
        <row r="125">
          <cell r="O125">
            <v>1.3022492118915701</v>
          </cell>
          <cell r="P125">
            <v>1.21480650634945</v>
          </cell>
          <cell r="Q125">
            <v>1.24988487072702</v>
          </cell>
          <cell r="U125">
            <v>6.9812928479780198E-2</v>
          </cell>
          <cell r="V125">
            <v>4.6007239931721696E-3</v>
          </cell>
          <cell r="W125">
            <v>3.1620995137505097E-2</v>
          </cell>
          <cell r="Y125">
            <v>1.30254549159954</v>
          </cell>
          <cell r="Z125">
            <v>1.21490270026103</v>
          </cell>
          <cell r="AA125">
            <v>1.25041249834477</v>
          </cell>
          <cell r="AE125">
            <v>7.0156638598467505E-2</v>
          </cell>
          <cell r="AF125">
            <v>4.89551711538773E-3</v>
          </cell>
          <cell r="AG125">
            <v>3.2201713696192402E-2</v>
          </cell>
          <cell r="AR125">
            <v>1.5395876734545389E-2</v>
          </cell>
          <cell r="BC125">
            <v>-1.4517617590720525E-2</v>
          </cell>
          <cell r="BF125">
            <v>8.782591438248645E-4</v>
          </cell>
        </row>
        <row r="126">
          <cell r="O126">
            <v>1.3022492118915701</v>
          </cell>
          <cell r="P126">
            <v>1.21234050173722</v>
          </cell>
          <cell r="Q126">
            <v>1.24635836775703</v>
          </cell>
          <cell r="U126">
            <v>6.5554748376653593E-2</v>
          </cell>
          <cell r="V126">
            <v>-3.9533739996502901E-3</v>
          </cell>
          <cell r="W126">
            <v>2.4513259577526401E-2</v>
          </cell>
          <cell r="Y126">
            <v>1.30254549159954</v>
          </cell>
          <cell r="Z126">
            <v>1.21231803064486</v>
          </cell>
          <cell r="AA126">
            <v>1.2468319731395601</v>
          </cell>
          <cell r="AE126">
            <v>6.5898801016828906E-2</v>
          </cell>
          <cell r="AF126">
            <v>-3.7576278945711901E-3</v>
          </cell>
          <cell r="AG126">
            <v>2.5051876161783899E-2</v>
          </cell>
          <cell r="AR126">
            <v>1.5395876734545389E-2</v>
          </cell>
          <cell r="BC126">
            <v>-1.0259437487593923E-2</v>
          </cell>
          <cell r="BF126">
            <v>5.1364392469514658E-3</v>
          </cell>
        </row>
        <row r="127">
          <cell r="O127">
            <v>1.3022492118915701</v>
          </cell>
          <cell r="P127">
            <v>1.2104004175719201</v>
          </cell>
          <cell r="Q127">
            <v>1.24284082151797</v>
          </cell>
          <cell r="U127">
            <v>6.9728436470307395E-2</v>
          </cell>
          <cell r="V127">
            <v>-1.8117057651558699E-3</v>
          </cell>
          <cell r="W127">
            <v>2.58614976015124E-2</v>
          </cell>
          <cell r="Y127">
            <v>1.30254549159954</v>
          </cell>
          <cell r="Z127">
            <v>1.21026073542122</v>
          </cell>
          <cell r="AA127">
            <v>1.2432619003923999</v>
          </cell>
          <cell r="AE127">
            <v>7.0069133167561498E-2</v>
          </cell>
          <cell r="AF127">
            <v>-1.71703249189383E-3</v>
          </cell>
          <cell r="AG127">
            <v>2.635462550302E-2</v>
          </cell>
          <cell r="AR127">
            <v>1.5395876734545389E-2</v>
          </cell>
          <cell r="BC127">
            <v>-1.4433125581247853E-2</v>
          </cell>
          <cell r="BF127">
            <v>9.6275115329753566E-4</v>
          </cell>
        </row>
        <row r="128">
          <cell r="O128">
            <v>1.3022492118915701</v>
          </cell>
          <cell r="P128">
            <v>1.21001901893688</v>
          </cell>
          <cell r="Q128">
            <v>1.23787047885567</v>
          </cell>
          <cell r="U128">
            <v>7.3738390309187302E-2</v>
          </cell>
          <cell r="V128">
            <v>5.9668633467816195E-4</v>
          </cell>
          <cell r="W128">
            <v>2.70452022630383E-2</v>
          </cell>
          <cell r="Y128">
            <v>1.30254549159954</v>
          </cell>
          <cell r="Z128">
            <v>1.2098813114376199</v>
          </cell>
          <cell r="AA128">
            <v>1.23823767880952</v>
          </cell>
          <cell r="AE128">
            <v>7.4074037583242006E-2</v>
          </cell>
          <cell r="AF128">
            <v>5.8943739029264396E-4</v>
          </cell>
          <cell r="AG128">
            <v>2.7492107745390699E-2</v>
          </cell>
          <cell r="AR128">
            <v>1.5395876734545389E-2</v>
          </cell>
          <cell r="BC128">
            <v>-1.8443079420127753E-2</v>
          </cell>
          <cell r="BF128">
            <v>-3.0472026855823658E-3</v>
          </cell>
        </row>
        <row r="129">
          <cell r="O129">
            <v>1.3022492118915701</v>
          </cell>
          <cell r="P129">
            <v>1.20937023970522</v>
          </cell>
          <cell r="Q129">
            <v>1.23312374285238</v>
          </cell>
          <cell r="U129">
            <v>7.7811216976696101E-2</v>
          </cell>
          <cell r="V129">
            <v>4.3543621382999796E-3</v>
          </cell>
          <cell r="W129">
            <v>2.71108320329943E-2</v>
          </cell>
          <cell r="Y129">
            <v>1.30254549159954</v>
          </cell>
          <cell r="Z129">
            <v>1.20923452076386</v>
          </cell>
          <cell r="AA129">
            <v>1.2334371474680701</v>
          </cell>
          <cell r="AE129">
            <v>7.8144449333620594E-2</v>
          </cell>
          <cell r="AF129">
            <v>4.3462940026989796E-3</v>
          </cell>
          <cell r="AG129">
            <v>2.7513170875884299E-2</v>
          </cell>
          <cell r="AR129">
            <v>1.5395876734545389E-2</v>
          </cell>
          <cell r="BC129">
            <v>-2.2515906087636504E-2</v>
          </cell>
          <cell r="BF129">
            <v>-7.1200293530911162E-3</v>
          </cell>
        </row>
        <row r="130">
          <cell r="O130">
            <v>1.3022492118915701</v>
          </cell>
          <cell r="P130">
            <v>1.2082399927154099</v>
          </cell>
          <cell r="Q130">
            <v>1.2287315771352201</v>
          </cell>
          <cell r="U130">
            <v>8.0737092112511205E-2</v>
          </cell>
          <cell r="V130">
            <v>6.7439207265428203E-3</v>
          </cell>
          <cell r="W130">
            <v>2.6194737972473198E-2</v>
          </cell>
          <cell r="Y130">
            <v>1.30254549159954</v>
          </cell>
          <cell r="Z130">
            <v>1.2081065153875401</v>
          </cell>
          <cell r="AA130">
            <v>1.2289924498735301</v>
          </cell>
          <cell r="AE130">
            <v>8.1067328019244295E-2</v>
          </cell>
          <cell r="AF130">
            <v>6.73443955933714E-3</v>
          </cell>
          <cell r="AG130">
            <v>2.6551608674192199E-2</v>
          </cell>
          <cell r="AR130">
            <v>1.5395876734545389E-2</v>
          </cell>
          <cell r="BC130">
            <v>-2.5441781223451504E-2</v>
          </cell>
          <cell r="BF130">
            <v>-1.0045904488906115E-2</v>
          </cell>
        </row>
        <row r="131">
          <cell r="O131">
            <v>1.3022492118915701</v>
          </cell>
          <cell r="P131">
            <v>1.2078473130149701</v>
          </cell>
          <cell r="Q131">
            <v>1.22472758597138</v>
          </cell>
          <cell r="U131">
            <v>7.5377972911171695E-2</v>
          </cell>
          <cell r="V131">
            <v>4.4978970485658399E-4</v>
          </cell>
          <cell r="W131">
            <v>1.72674396490256E-2</v>
          </cell>
          <cell r="Y131">
            <v>1.30254549159954</v>
          </cell>
          <cell r="Z131">
            <v>1.2077148456884701</v>
          </cell>
          <cell r="AA131">
            <v>1.2249345329700001</v>
          </cell>
          <cell r="AE131">
            <v>7.5715668353242199E-2</v>
          </cell>
          <cell r="AF131">
            <v>4.4951856088572398E-4</v>
          </cell>
          <cell r="AG131">
            <v>1.7589935202021199E-2</v>
          </cell>
          <cell r="AR131">
            <v>1.5395876734545389E-2</v>
          </cell>
          <cell r="BC131">
            <v>-2.0082662022111904E-2</v>
          </cell>
          <cell r="BF131">
            <v>-4.6867852875665146E-3</v>
          </cell>
        </row>
        <row r="132">
          <cell r="O132">
            <v>1.3022492118915701</v>
          </cell>
          <cell r="P132">
            <v>1.20928817352725</v>
          </cell>
          <cell r="Q132">
            <v>1.22151938906254</v>
          </cell>
          <cell r="U132">
            <v>6.5056353482331297E-2</v>
          </cell>
          <cell r="V132">
            <v>-1.0196883957714901E-2</v>
          </cell>
          <cell r="W132">
            <v>3.6818614971470599E-3</v>
          </cell>
          <cell r="Y132">
            <v>1.30254549159954</v>
          </cell>
          <cell r="Z132">
            <v>1.20915442298221</v>
          </cell>
          <cell r="AA132">
            <v>1.22167308124395</v>
          </cell>
          <cell r="AE132">
            <v>6.5404627523463002E-2</v>
          </cell>
          <cell r="AF132">
            <v>-1.0185776130388E-2</v>
          </cell>
          <cell r="AG132">
            <v>3.9716072111039098E-3</v>
          </cell>
          <cell r="AR132">
            <v>1.5395876734545389E-2</v>
          </cell>
          <cell r="BC132">
            <v>-9.7610425932716047E-3</v>
          </cell>
          <cell r="BF132">
            <v>5.6348341412737844E-3</v>
          </cell>
        </row>
        <row r="133">
          <cell r="O133">
            <v>1.3022492118915701</v>
          </cell>
          <cell r="P133">
            <v>1.21077335334116</v>
          </cell>
          <cell r="Q133">
            <v>1.2184254400835299</v>
          </cell>
          <cell r="U133">
            <v>7.04176117344152E-2</v>
          </cell>
          <cell r="V133">
            <v>-3.6434205595222801E-3</v>
          </cell>
          <cell r="W133">
            <v>6.4201640289583998E-3</v>
          </cell>
          <cell r="Y133">
            <v>1.30254549159954</v>
          </cell>
          <cell r="Z133">
            <v>1.21063805302423</v>
          </cell>
          <cell r="AA133">
            <v>1.21852653231818</v>
          </cell>
          <cell r="AE133">
            <v>7.0761677467482104E-2</v>
          </cell>
          <cell r="AF133">
            <v>-3.6374516042869099E-3</v>
          </cell>
          <cell r="AG133">
            <v>6.6625543938976196E-3</v>
          </cell>
          <cell r="AR133">
            <v>1.5395876734545389E-2</v>
          </cell>
          <cell r="BC133">
            <v>-9.7610425932716047E-3</v>
          </cell>
          <cell r="BF133">
            <v>5.6348341412737844E-3</v>
          </cell>
        </row>
        <row r="134">
          <cell r="O134">
            <v>1.3022492118915701</v>
          </cell>
          <cell r="P134">
            <v>1.2121494383899301</v>
          </cell>
          <cell r="Q134">
            <v>1.2160929396921301</v>
          </cell>
          <cell r="U134">
            <v>6.8860584817084902E-2</v>
          </cell>
          <cell r="V134">
            <v>-3.9730571945237698E-3</v>
          </cell>
          <cell r="W134">
            <v>2.3270546557191802E-3</v>
          </cell>
          <cell r="Y134">
            <v>1.30254549159954</v>
          </cell>
          <cell r="Z134">
            <v>1.2120127557237399</v>
          </cell>
          <cell r="AA134">
            <v>1.21613353962355</v>
          </cell>
          <cell r="AE134">
            <v>6.9205270169643507E-2</v>
          </cell>
          <cell r="AF134">
            <v>-3.9676130627568796E-3</v>
          </cell>
          <cell r="AG134">
            <v>2.5272181820232601E-3</v>
          </cell>
          <cell r="AR134">
            <v>1.5395876734545389E-2</v>
          </cell>
          <cell r="BC134">
            <v>-9.7610425932716047E-3</v>
          </cell>
          <cell r="BF134">
            <v>5.6348341412737844E-3</v>
          </cell>
        </row>
        <row r="135">
          <cell r="O135">
            <v>1.3022492118915701</v>
          </cell>
          <cell r="P135">
            <v>1.2153834417350899</v>
          </cell>
          <cell r="Q135">
            <v>1.2150949740422701</v>
          </cell>
          <cell r="U135">
            <v>4.3531659720731801E-2</v>
          </cell>
          <cell r="V135">
            <v>-2.8166093684418199E-2</v>
          </cell>
          <cell r="W135">
            <v>-2.4918061441265099E-2</v>
          </cell>
          <cell r="Y135">
            <v>1.30254549159954</v>
          </cell>
          <cell r="Z135">
            <v>1.2152434015045901</v>
          </cell>
          <cell r="AA135">
            <v>1.21507305088281</v>
          </cell>
          <cell r="AE135">
            <v>4.38992883680916E-2</v>
          </cell>
          <cell r="AF135">
            <v>-2.8138719923110799E-2</v>
          </cell>
          <cell r="AG135">
            <v>-2.4744535755683798E-2</v>
          </cell>
          <cell r="AR135">
            <v>1.5395876734545389E-2</v>
          </cell>
          <cell r="BC135">
            <v>-9.7610425932716047E-3</v>
          </cell>
          <cell r="BF135">
            <v>5.6348341412737844E-3</v>
          </cell>
        </row>
        <row r="136">
          <cell r="O136">
            <v>1.3022492118915701</v>
          </cell>
          <cell r="P136">
            <v>1.2164346768566501</v>
          </cell>
          <cell r="Q136">
            <v>1.21438758929693</v>
          </cell>
          <cell r="U136">
            <v>5.6972307149666397E-2</v>
          </cell>
          <cell r="V136">
            <v>-1.2061008393588001E-2</v>
          </cell>
          <cell r="W136">
            <v>-1.2298383629922E-2</v>
          </cell>
          <cell r="Y136">
            <v>1.30254549159954</v>
          </cell>
          <cell r="Z136">
            <v>1.2162931255576901</v>
          </cell>
          <cell r="AA136">
            <v>1.2143055781012699</v>
          </cell>
          <cell r="AE136">
            <v>5.7327648900288602E-2</v>
          </cell>
          <cell r="AF136">
            <v>-1.20483843216945E-2</v>
          </cell>
          <cell r="AG136">
            <v>-1.21885723386853E-2</v>
          </cell>
          <cell r="AR136">
            <v>1.5395876734545389E-2</v>
          </cell>
          <cell r="BC136">
            <v>-9.7610425932716047E-3</v>
          </cell>
          <cell r="BF136">
            <v>5.6348341412737844E-3</v>
          </cell>
        </row>
        <row r="137">
          <cell r="O137">
            <v>1.3022492118915701</v>
          </cell>
          <cell r="P137">
            <v>1.21855969269854</v>
          </cell>
          <cell r="Q137">
            <v>1.2144800551352299</v>
          </cell>
          <cell r="U137">
            <v>5.2383255253425097E-2</v>
          </cell>
          <cell r="V137">
            <v>-1.5785493010719999E-2</v>
          </cell>
          <cell r="W137">
            <v>-1.7469769209888301E-2</v>
          </cell>
          <cell r="Y137">
            <v>1.30254549159954</v>
          </cell>
          <cell r="Z137">
            <v>1.2184153007943499</v>
          </cell>
          <cell r="AA137">
            <v>1.2143380181077801</v>
          </cell>
          <cell r="AE137">
            <v>5.2744994135757201E-2</v>
          </cell>
          <cell r="AF137">
            <v>-1.57676145753219E-2</v>
          </cell>
          <cell r="AG137">
            <v>-1.7403053528221201E-2</v>
          </cell>
          <cell r="AR137">
            <v>1.5395876734545389E-2</v>
          </cell>
          <cell r="BC137">
            <v>-9.7610425932716047E-3</v>
          </cell>
          <cell r="BF137">
            <v>5.6348341412737844E-3</v>
          </cell>
        </row>
        <row r="138">
          <cell r="O138">
            <v>1.3022492118915701</v>
          </cell>
          <cell r="P138">
            <v>1.22012259667385</v>
          </cell>
          <cell r="Q138">
            <v>1.21507080780537</v>
          </cell>
          <cell r="U138">
            <v>6.0901145769155597E-2</v>
          </cell>
          <cell r="V138">
            <v>-5.5222051273909802E-3</v>
          </cell>
          <cell r="W138">
            <v>-8.8757396434730098E-3</v>
          </cell>
          <cell r="Y138">
            <v>1.30254549159954</v>
          </cell>
          <cell r="Z138">
            <v>1.21997601632939</v>
          </cell>
          <cell r="AA138">
            <v>1.2149286638835</v>
          </cell>
          <cell r="AE138">
            <v>6.1253275778719397E-2</v>
          </cell>
          <cell r="AF138">
            <v>-5.5160640044401498E-3</v>
          </cell>
          <cell r="AG138">
            <v>-8.8680573796299598E-3</v>
          </cell>
          <cell r="AR138">
            <v>1.5395876734545389E-2</v>
          </cell>
          <cell r="BC138">
            <v>-9.7610425932716047E-3</v>
          </cell>
          <cell r="BF138">
            <v>5.6348341412737844E-3</v>
          </cell>
        </row>
        <row r="139">
          <cell r="O139">
            <v>1.3022492118915701</v>
          </cell>
          <cell r="P139">
            <v>1.2225837833890401</v>
          </cell>
          <cell r="Q139">
            <v>1.21597701154713</v>
          </cell>
          <cell r="U139">
            <v>5.7588258922239101E-2</v>
          </cell>
          <cell r="V139">
            <v>-7.5533307575265801E-3</v>
          </cell>
          <cell r="W139">
            <v>-1.1702320407409801E-2</v>
          </cell>
          <cell r="Y139">
            <v>1.30254549159954</v>
          </cell>
          <cell r="Z139">
            <v>1.2224340619824401</v>
          </cell>
          <cell r="AA139">
            <v>1.2158342913731499</v>
          </cell>
          <cell r="AE139">
            <v>5.7944927262152897E-2</v>
          </cell>
          <cell r="AF139">
            <v>-7.5442933397984503E-3</v>
          </cell>
          <cell r="AG139">
            <v>-1.16901309295667E-2</v>
          </cell>
          <cell r="AR139">
            <v>1.5395876734545389E-2</v>
          </cell>
          <cell r="BC139">
            <v>-9.7610425932716047E-3</v>
          </cell>
          <cell r="BF139">
            <v>5.6348341412737844E-3</v>
          </cell>
        </row>
        <row r="140">
          <cell r="O140">
            <v>1.3022492118915701</v>
          </cell>
          <cell r="P140">
            <v>1.2266007074362</v>
          </cell>
          <cell r="Q140">
            <v>1.2174203500758001</v>
          </cell>
          <cell r="U140">
            <v>4.7844278169856799E-2</v>
          </cell>
          <cell r="V140">
            <v>-1.5282179795238699E-2</v>
          </cell>
          <cell r="W140">
            <v>-2.0700775895728898E-2</v>
          </cell>
          <cell r="Y140">
            <v>1.30254549159954</v>
          </cell>
          <cell r="Z140">
            <v>1.22644636936257</v>
          </cell>
          <cell r="AA140">
            <v>1.2172764423750599</v>
          </cell>
          <cell r="AE140">
            <v>4.8208382477912599E-2</v>
          </cell>
          <cell r="AF140">
            <v>-1.52680340460152E-2</v>
          </cell>
          <cell r="AG140">
            <v>-2.0681537213494802E-2</v>
          </cell>
          <cell r="AR140">
            <v>1.5395876734545389E-2</v>
          </cell>
          <cell r="BC140">
            <v>-9.7610425932716047E-3</v>
          </cell>
          <cell r="BF140">
            <v>5.6348341412737844E-3</v>
          </cell>
        </row>
        <row r="141">
          <cell r="O141">
            <v>1.3022492118915701</v>
          </cell>
          <cell r="P141">
            <v>1.23085762294099</v>
          </cell>
          <cell r="Q141">
            <v>1.2193524679779799</v>
          </cell>
          <cell r="U141">
            <v>4.0736750902143501E-2</v>
          </cell>
          <cell r="V141">
            <v>-1.9109490595807199E-2</v>
          </cell>
          <cell r="W141">
            <v>-2.6622028598754299E-2</v>
          </cell>
          <cell r="Y141">
            <v>1.30254549159954</v>
          </cell>
          <cell r="Z141">
            <v>1.2306986264208299</v>
          </cell>
          <cell r="AA141">
            <v>1.2192067360546499</v>
          </cell>
          <cell r="AE141">
            <v>4.1107958100617903E-2</v>
          </cell>
          <cell r="AF141">
            <v>-1.9091605115938801E-2</v>
          </cell>
          <cell r="AG141">
            <v>-2.6596523418338999E-2</v>
          </cell>
          <cell r="AR141">
            <v>1.5395876734545389E-2</v>
          </cell>
          <cell r="BC141">
            <v>-9.7610425932716047E-3</v>
          </cell>
          <cell r="BF141">
            <v>5.6348341412737844E-3</v>
          </cell>
        </row>
        <row r="142">
          <cell r="O142">
            <v>1.3022492118915701</v>
          </cell>
          <cell r="P142">
            <v>1.2338963880307401</v>
          </cell>
          <cell r="Q142">
            <v>1.2215922807790001</v>
          </cell>
          <cell r="U142">
            <v>4.0458101345246099E-2</v>
          </cell>
          <cell r="V142">
            <v>-1.5923650268956601E-2</v>
          </cell>
          <cell r="W142">
            <v>-2.5314877220279801E-2</v>
          </cell>
          <cell r="Y142">
            <v>1.30254549159954</v>
          </cell>
          <cell r="Z142">
            <v>1.2337341430150699</v>
          </cell>
          <cell r="AA142">
            <v>1.2214442829986401</v>
          </cell>
          <cell r="AE142">
            <v>4.0829418929959699E-2</v>
          </cell>
          <cell r="AF142">
            <v>-1.5909004377846099E-2</v>
          </cell>
          <cell r="AG142">
            <v>-2.5290570563331598E-2</v>
          </cell>
          <cell r="AR142">
            <v>1.5117227177648037E-2</v>
          </cell>
          <cell r="BC142">
            <v>-9.7610425932716047E-3</v>
          </cell>
          <cell r="BF142">
            <v>5.3561845843764326E-3</v>
          </cell>
        </row>
        <row r="143">
          <cell r="O143">
            <v>1.3022492118915701</v>
          </cell>
          <cell r="P143">
            <v>1.2397260657040301</v>
          </cell>
          <cell r="Q143">
            <v>1.22524970952259</v>
          </cell>
          <cell r="U143">
            <v>2.35033073417352E-2</v>
          </cell>
          <cell r="V143">
            <v>-3.0412667472123098E-2</v>
          </cell>
          <cell r="W143">
            <v>-4.0434469152303601E-2</v>
          </cell>
          <cell r="Y143">
            <v>1.30254549159954</v>
          </cell>
          <cell r="Z143">
            <v>1.2395579157035901</v>
          </cell>
          <cell r="AA143">
            <v>1.22509798436391</v>
          </cell>
          <cell r="AE143">
            <v>2.3888459037442002E-2</v>
          </cell>
          <cell r="AF143">
            <v>-3.0386502359769502E-2</v>
          </cell>
          <cell r="AG143">
            <v>-4.0397964285672598E-2</v>
          </cell>
          <cell r="AR143">
            <v>-1.8375668258628717E-3</v>
          </cell>
          <cell r="BC143">
            <v>-9.7610425932716047E-3</v>
          </cell>
          <cell r="BF143">
            <v>-1.1598609419134476E-2</v>
          </cell>
        </row>
        <row r="144">
          <cell r="O144">
            <v>1.3022492118915701</v>
          </cell>
          <cell r="P144">
            <v>1.2456293725146399</v>
          </cell>
          <cell r="Q144">
            <v>1.2288894054522801</v>
          </cell>
          <cell r="U144">
            <v>2.14397677179608E-2</v>
          </cell>
          <cell r="V144">
            <v>-2.7762724278340201E-2</v>
          </cell>
          <cell r="W144">
            <v>-3.95084970037482E-2</v>
          </cell>
          <cell r="Y144">
            <v>1.30254549159954</v>
          </cell>
          <cell r="Z144">
            <v>1.2454549165078901</v>
          </cell>
          <cell r="AA144">
            <v>1.22873383611581</v>
          </cell>
          <cell r="AE144">
            <v>2.1828505006563699E-2</v>
          </cell>
          <cell r="AF144">
            <v>-2.7737118946068E-2</v>
          </cell>
          <cell r="AG144">
            <v>-3.9471087367191501E-2</v>
          </cell>
          <cell r="AR144">
            <v>-3.9011064496373721E-3</v>
          </cell>
          <cell r="BC144">
            <v>-9.7610425932716047E-3</v>
          </cell>
          <cell r="BF144">
            <v>-1.3662149042908977E-2</v>
          </cell>
        </row>
        <row r="145">
          <cell r="O145">
            <v>1.3022492118915701</v>
          </cell>
          <cell r="P145">
            <v>1.24637099354364</v>
          </cell>
          <cell r="Q145">
            <v>1.2308772176393601</v>
          </cell>
          <cell r="U145">
            <v>3.76009724579296E-2</v>
          </cell>
          <cell r="V145">
            <v>-6.8510377187292002E-3</v>
          </cell>
          <cell r="W145">
            <v>-2.0381120887399701E-2</v>
          </cell>
          <cell r="Y145">
            <v>1.30254549159954</v>
          </cell>
          <cell r="Z145">
            <v>1.24619579974493</v>
          </cell>
          <cell r="AA145">
            <v>1.23071960062476</v>
          </cell>
          <cell r="AE145">
            <v>3.7973655818825398E-2</v>
          </cell>
          <cell r="AF145">
            <v>-6.84590662695201E-3</v>
          </cell>
          <cell r="AG145">
            <v>-2.0362526933834502E-2</v>
          </cell>
          <cell r="AR145">
            <v>1.2260098290331185E-2</v>
          </cell>
          <cell r="BC145">
            <v>-9.7610425932716047E-3</v>
          </cell>
          <cell r="BF145">
            <v>2.4990556970595802E-3</v>
          </cell>
        </row>
        <row r="146">
          <cell r="O146">
            <v>1.3022492118915701</v>
          </cell>
          <cell r="P146">
            <v>1.2501587966666801</v>
          </cell>
          <cell r="Q146">
            <v>1.2332967367616701</v>
          </cell>
          <cell r="U146">
            <v>2.66449952478948E-2</v>
          </cell>
          <cell r="V146">
            <v>-1.72118135307248E-2</v>
          </cell>
          <cell r="W146">
            <v>-2.9720836943918499E-2</v>
          </cell>
          <cell r="Y146">
            <v>1.30254549159954</v>
          </cell>
          <cell r="Z146">
            <v>1.2499792732749899</v>
          </cell>
          <cell r="AA146">
            <v>1.2331361994163399</v>
          </cell>
          <cell r="AE146">
            <v>2.7030667138116801E-2</v>
          </cell>
          <cell r="AF146">
            <v>-1.7194202597284498E-2</v>
          </cell>
          <cell r="AG146">
            <v>-2.96907137965568E-2</v>
          </cell>
          <cell r="AR146">
            <v>1.3041210802962836E-3</v>
          </cell>
          <cell r="BC146">
            <v>-9.7610425932716047E-3</v>
          </cell>
          <cell r="BF146">
            <v>-8.4569215129753211E-3</v>
          </cell>
        </row>
        <row r="147">
          <cell r="O147">
            <v>1.3022492118915701</v>
          </cell>
          <cell r="P147">
            <v>1.25278313599909</v>
          </cell>
          <cell r="Q147">
            <v>1.2356714143488201</v>
          </cell>
          <cell r="U147">
            <v>3.1369456637895102E-2</v>
          </cell>
          <cell r="V147">
            <v>-9.4528952362766504E-3</v>
          </cell>
          <cell r="W147">
            <v>-2.3032618169401199E-2</v>
          </cell>
          <cell r="Y147">
            <v>1.30254549159954</v>
          </cell>
          <cell r="Z147">
            <v>1.2526007463425499</v>
          </cell>
          <cell r="AA147">
            <v>1.2355080235684499</v>
          </cell>
          <cell r="AE147">
            <v>3.1751118392102498E-2</v>
          </cell>
          <cell r="AF147">
            <v>-9.4423322186525296E-3</v>
          </cell>
          <cell r="AG147">
            <v>-2.3008622119891999E-2</v>
          </cell>
          <cell r="AR147">
            <v>6.0285824702968633E-3</v>
          </cell>
          <cell r="BC147">
            <v>-9.7610425932716047E-3</v>
          </cell>
          <cell r="BF147">
            <v>-3.7324601229747414E-3</v>
          </cell>
        </row>
        <row r="148">
          <cell r="O148">
            <v>1.3022492118915701</v>
          </cell>
          <cell r="P148">
            <v>1.2554499160238599</v>
          </cell>
          <cell r="Q148">
            <v>1.23778625634886</v>
          </cell>
          <cell r="U148">
            <v>3.9370433442507E-2</v>
          </cell>
          <cell r="V148">
            <v>6.4508610515932505E-4</v>
          </cell>
          <cell r="W148">
            <v>-1.3108021314576401E-2</v>
          </cell>
          <cell r="Y148">
            <v>1.30254549159954</v>
          </cell>
          <cell r="Z148">
            <v>1.2552648406492899</v>
          </cell>
          <cell r="AA148">
            <v>1.23762042848934</v>
          </cell>
          <cell r="AE148">
            <v>3.9741363035152202E-2</v>
          </cell>
          <cell r="AF148">
            <v>6.4292957136993995E-4</v>
          </cell>
          <cell r="AG148">
            <v>-1.3096816759556301E-2</v>
          </cell>
          <cell r="AR148">
            <v>1.4029559274908466E-2</v>
          </cell>
          <cell r="BC148">
            <v>-9.7610425932716047E-3</v>
          </cell>
          <cell r="BF148">
            <v>4.2685166816368615E-3</v>
          </cell>
        </row>
        <row r="149">
          <cell r="O149">
            <v>1.3022492118915701</v>
          </cell>
          <cell r="P149">
            <v>1.25786385228179</v>
          </cell>
          <cell r="Q149">
            <v>1.2402238178354099</v>
          </cell>
          <cell r="U149">
            <v>3.8143048737558201E-2</v>
          </cell>
          <cell r="V149">
            <v>1.5441234465796399E-3</v>
          </cell>
          <cell r="W149">
            <v>-1.2625376743145299E-2</v>
          </cell>
          <cell r="Y149">
            <v>1.30254549159954</v>
          </cell>
          <cell r="Z149">
            <v>1.2576766935770001</v>
          </cell>
          <cell r="AA149">
            <v>1.2400553777797201</v>
          </cell>
          <cell r="AE149">
            <v>3.8513851424276303E-2</v>
          </cell>
          <cell r="AF149">
            <v>1.5400097429915599E-3</v>
          </cell>
          <cell r="AG149">
            <v>-1.2616042306402399E-2</v>
          </cell>
          <cell r="AR149">
            <v>1.4029559274908466E-2</v>
          </cell>
          <cell r="BC149">
            <v>-9.7610425932716047E-3</v>
          </cell>
          <cell r="BF149">
            <v>4.2685166816368615E-3</v>
          </cell>
        </row>
        <row r="150">
          <cell r="O150">
            <v>1.3022492118915701</v>
          </cell>
          <cell r="P150">
            <v>1.2586224263777499</v>
          </cell>
          <cell r="Q150">
            <v>1.2426115669069699</v>
          </cell>
          <cell r="U150">
            <v>4.1752292382709597E-2</v>
          </cell>
          <cell r="V150">
            <v>7.0742868198124002E-3</v>
          </cell>
          <cell r="W150">
            <v>-7.0487784869981201E-3</v>
          </cell>
          <cell r="Y150">
            <v>1.30254549159954</v>
          </cell>
          <cell r="Z150">
            <v>1.25843483919748</v>
          </cell>
          <cell r="AA150">
            <v>1.24244060428003</v>
          </cell>
          <cell r="AE150">
            <v>4.21189979283614E-2</v>
          </cell>
          <cell r="AF150">
            <v>7.0647024326360303E-3</v>
          </cell>
          <cell r="AG150">
            <v>-7.0453843596074801E-3</v>
          </cell>
          <cell r="AR150">
            <v>1.4029559274908466E-2</v>
          </cell>
          <cell r="BC150">
            <v>-9.7610425932716047E-3</v>
          </cell>
          <cell r="BF150">
            <v>4.2685166816368615E-3</v>
          </cell>
        </row>
        <row r="151">
          <cell r="O151">
            <v>1.3022492118915701</v>
          </cell>
          <cell r="P151">
            <v>1.2592297012887099</v>
          </cell>
          <cell r="Q151">
            <v>1.24504366211485</v>
          </cell>
          <cell r="U151">
            <v>3.5891342479157901E-2</v>
          </cell>
          <cell r="V151">
            <v>1.8162204887785E-3</v>
          </cell>
          <cell r="W151">
            <v>-1.09863227371963E-2</v>
          </cell>
          <cell r="Y151">
            <v>1.30254549159954</v>
          </cell>
          <cell r="Z151">
            <v>1.2590423676484499</v>
          </cell>
          <cell r="AA151">
            <v>1.24487049703464</v>
          </cell>
          <cell r="AE151">
            <v>3.6259836560660501E-2</v>
          </cell>
          <cell r="AF151">
            <v>1.8081738445643999E-3</v>
          </cell>
          <cell r="AG151">
            <v>-1.0982909397148599E-2</v>
          </cell>
          <cell r="AR151">
            <v>1.4029559274908466E-2</v>
          </cell>
          <cell r="BC151">
            <v>-9.7610425932716047E-3</v>
          </cell>
          <cell r="BF151">
            <v>4.2685166816368615E-3</v>
          </cell>
        </row>
        <row r="152">
          <cell r="O152">
            <v>1.3022492118915701</v>
          </cell>
          <cell r="P152">
            <v>1.26073918048597</v>
          </cell>
          <cell r="Q152">
            <v>1.24731778425836</v>
          </cell>
          <cell r="U152">
            <v>2.8460459325816499E-2</v>
          </cell>
          <cell r="V152">
            <v>-5.1322872970315297E-3</v>
          </cell>
          <cell r="W152">
            <v>-1.6461873853852099E-2</v>
          </cell>
          <cell r="Y152">
            <v>1.30254549159954</v>
          </cell>
          <cell r="Z152">
            <v>1.26055137499102</v>
          </cell>
          <cell r="AA152">
            <v>1.2471427590030499</v>
          </cell>
          <cell r="AE152">
            <v>2.8833790006446099E-2</v>
          </cell>
          <cell r="AF152">
            <v>-5.1352240794191196E-3</v>
          </cell>
          <cell r="AG152">
            <v>-1.64551243407298E-2</v>
          </cell>
          <cell r="AR152">
            <v>1.4029559274908466E-2</v>
          </cell>
          <cell r="BC152">
            <v>-9.7610425932716047E-3</v>
          </cell>
          <cell r="BF152">
            <v>4.2685166816368615E-3</v>
          </cell>
        </row>
        <row r="153">
          <cell r="O153">
            <v>1.3022492118915701</v>
          </cell>
          <cell r="P153">
            <v>1.2599010257796099</v>
          </cell>
          <cell r="Q153">
            <v>1.24981354574182</v>
          </cell>
          <cell r="U153">
            <v>3.01143845274894E-2</v>
          </cell>
          <cell r="V153">
            <v>-2.2803477954869401E-3</v>
          </cell>
          <cell r="W153">
            <v>-1.2983074673395399E-2</v>
          </cell>
          <cell r="Y153">
            <v>1.30254549159954</v>
          </cell>
          <cell r="Z153">
            <v>1.2597150026549999</v>
          </cell>
          <cell r="AA153">
            <v>1.2496364591793001</v>
          </cell>
          <cell r="AE153">
            <v>3.0486474646223099E-2</v>
          </cell>
          <cell r="AF153">
            <v>-2.28472131725654E-3</v>
          </cell>
          <cell r="AG153">
            <v>-1.29788036567804E-2</v>
          </cell>
          <cell r="AR153">
            <v>1.4029559274908466E-2</v>
          </cell>
          <cell r="BC153">
            <v>-9.7610425932716047E-3</v>
          </cell>
          <cell r="BF153">
            <v>4.2685166816368615E-3</v>
          </cell>
        </row>
        <row r="154">
          <cell r="O154">
            <v>1.3022492118915701</v>
          </cell>
          <cell r="P154">
            <v>1.25836848811464</v>
          </cell>
          <cell r="Q154">
            <v>1.2519989303146399</v>
          </cell>
          <cell r="U154">
            <v>3.3536059525968803E-2</v>
          </cell>
          <cell r="V154">
            <v>4.7629398232970199E-4</v>
          </cell>
          <cell r="W154">
            <v>-7.5624961455061403E-3</v>
          </cell>
          <cell r="Y154">
            <v>1.30254549159954</v>
          </cell>
          <cell r="Z154">
            <v>1.2581852705569101</v>
          </cell>
          <cell r="AA154">
            <v>1.2518200935324</v>
          </cell>
          <cell r="AE154">
            <v>3.3904477188529202E-2</v>
          </cell>
          <cell r="AF154">
            <v>4.6956379093753502E-4</v>
          </cell>
          <cell r="AG154">
            <v>-7.5632668613247796E-3</v>
          </cell>
          <cell r="AR154">
            <v>1.4029559274908466E-2</v>
          </cell>
          <cell r="BC154">
            <v>-9.7610425932716047E-3</v>
          </cell>
          <cell r="BF154">
            <v>4.2685166816368615E-3</v>
          </cell>
        </row>
        <row r="155">
          <cell r="O155">
            <v>1.3022492118915701</v>
          </cell>
          <cell r="P155">
            <v>1.2597757049699001</v>
          </cell>
          <cell r="Q155">
            <v>1.2530733492567701</v>
          </cell>
          <cell r="U155">
            <v>2.6443348513426699E-2</v>
          </cell>
          <cell r="V155">
            <v>-7.8335527225653397E-3</v>
          </cell>
          <cell r="W155">
            <v>-1.29081656434823E-2</v>
          </cell>
          <cell r="Y155">
            <v>1.30254549159954</v>
          </cell>
          <cell r="Z155">
            <v>1.2595918759415301</v>
          </cell>
          <cell r="AA155">
            <v>1.2528938378432299</v>
          </cell>
          <cell r="AE155">
            <v>2.6819242748486901E-2</v>
          </cell>
          <cell r="AF155">
            <v>-7.8307563318647192E-3</v>
          </cell>
          <cell r="AG155">
            <v>-1.29026105679035E-2</v>
          </cell>
          <cell r="AR155">
            <v>1.4029559274908466E-2</v>
          </cell>
          <cell r="BC155">
            <v>-9.7610425932716047E-3</v>
          </cell>
          <cell r="BF155">
            <v>4.2685166816368615E-3</v>
          </cell>
        </row>
        <row r="156">
          <cell r="O156">
            <v>1.3022492118915701</v>
          </cell>
          <cell r="P156">
            <v>1.2589261443438899</v>
          </cell>
          <cell r="Q156">
            <v>1.2545424705052901</v>
          </cell>
          <cell r="U156">
            <v>3.3367498215152801E-2</v>
          </cell>
          <cell r="V156">
            <v>2.0825895071772401E-4</v>
          </cell>
          <cell r="W156">
            <v>-5.1262211253936298E-3</v>
          </cell>
          <cell r="Y156">
            <v>1.30254549159954</v>
          </cell>
          <cell r="Z156">
            <v>1.2587443839189301</v>
          </cell>
          <cell r="AA156">
            <v>1.25436182859696</v>
          </cell>
          <cell r="AE156">
            <v>3.3737810853403903E-2</v>
          </cell>
          <cell r="AF156">
            <v>2.0515095687418099E-4</v>
          </cell>
          <cell r="AG156">
            <v>-5.1266636117282202E-3</v>
          </cell>
          <cell r="AR156">
            <v>1.4029559274908466E-2</v>
          </cell>
          <cell r="BC156">
            <v>-9.7610425932716047E-3</v>
          </cell>
          <cell r="BF156">
            <v>4.2685166816368615E-3</v>
          </cell>
        </row>
        <row r="157">
          <cell r="O157">
            <v>1.3022492118915701</v>
          </cell>
          <cell r="P157">
            <v>1.25930097257581</v>
          </cell>
          <cell r="Q157">
            <v>1.25604205428745</v>
          </cell>
          <cell r="U157">
            <v>2.8403822075348702E-2</v>
          </cell>
          <cell r="V157">
            <v>-5.4300191936548304E-3</v>
          </cell>
          <cell r="W157">
            <v>-8.9181695986021593E-3</v>
          </cell>
          <cell r="Y157">
            <v>1.30254549159954</v>
          </cell>
          <cell r="Z157">
            <v>1.25912037698932</v>
          </cell>
          <cell r="AA157">
            <v>1.25586056166594</v>
          </cell>
          <cell r="AE157">
            <v>2.8775823346575701E-2</v>
          </cell>
          <cell r="AF157">
            <v>-5.4298936536479299E-3</v>
          </cell>
          <cell r="AG157">
            <v>-8.9176569187045893E-3</v>
          </cell>
          <cell r="AR157">
            <v>1.4029559274908466E-2</v>
          </cell>
          <cell r="BC157">
            <v>-9.7610425932716047E-3</v>
          </cell>
          <cell r="BF157">
            <v>4.2685166816368615E-3</v>
          </cell>
        </row>
        <row r="158">
          <cell r="O158">
            <v>1.3022492118915701</v>
          </cell>
          <cell r="P158">
            <v>1.26124104111935</v>
          </cell>
          <cell r="Q158">
            <v>1.2583454785716099</v>
          </cell>
          <cell r="U158">
            <v>2.3993209746505401E-2</v>
          </cell>
          <cell r="V158">
            <v>-9.5429393626705397E-3</v>
          </cell>
          <cell r="W158">
            <v>-1.2134172508251301E-2</v>
          </cell>
          <cell r="Y158">
            <v>1.30254549159954</v>
          </cell>
          <cell r="Z158">
            <v>1.2610596959223399</v>
          </cell>
          <cell r="AA158">
            <v>1.25816226828582</v>
          </cell>
          <cell r="AE158">
            <v>2.43678472303249E-2</v>
          </cell>
          <cell r="AF158">
            <v>-9.5392095090072807E-3</v>
          </cell>
          <cell r="AG158">
            <v>-1.2131529075978399E-2</v>
          </cell>
          <cell r="AR158">
            <v>1.4029559274908466E-2</v>
          </cell>
          <cell r="BC158">
            <v>-9.7610425932716047E-3</v>
          </cell>
          <cell r="BF158">
            <v>4.2685166816368615E-3</v>
          </cell>
        </row>
        <row r="159">
          <cell r="O159">
            <v>1.3022492118915701</v>
          </cell>
          <cell r="P159">
            <v>1.2638520099122701</v>
          </cell>
          <cell r="Q159">
            <v>1.26085793109703</v>
          </cell>
          <cell r="U159">
            <v>1.7527796272791E-2</v>
          </cell>
          <cell r="V159">
            <v>-1.4468946695859901E-2</v>
          </cell>
          <cell r="W159">
            <v>-1.6767390349094299E-2</v>
          </cell>
          <cell r="Y159">
            <v>1.30254549159954</v>
          </cell>
          <cell r="Z159">
            <v>1.26367029082625</v>
          </cell>
          <cell r="AA159">
            <v>1.2606734922016301</v>
          </cell>
          <cell r="AE159">
            <v>1.7898596814239401E-2</v>
          </cell>
          <cell r="AF159">
            <v>-1.44694275863681E-2</v>
          </cell>
          <cell r="AG159">
            <v>-1.6769684534947898E-2</v>
          </cell>
          <cell r="AR159">
            <v>1.4029559274908466E-2</v>
          </cell>
          <cell r="BC159">
            <v>-9.7610425932716047E-3</v>
          </cell>
          <cell r="BF159">
            <v>4.2685166816368615E-3</v>
          </cell>
        </row>
        <row r="160">
          <cell r="O160">
            <v>1.3022492118915701</v>
          </cell>
          <cell r="P160">
            <v>1.2679950560243201</v>
          </cell>
          <cell r="Q160">
            <v>1.26330874120103</v>
          </cell>
          <cell r="U160">
            <v>9.1195868349953097E-3</v>
          </cell>
          <cell r="V160">
            <v>-2.08091375136061E-2</v>
          </cell>
          <cell r="W160">
            <v>-2.3180958664397299E-2</v>
          </cell>
          <cell r="Y160">
            <v>1.30254549159954</v>
          </cell>
          <cell r="Z160">
            <v>1.2678107822787801</v>
          </cell>
          <cell r="AA160">
            <v>1.26312281073813</v>
          </cell>
          <cell r="AE160">
            <v>9.5016222285927796E-3</v>
          </cell>
          <cell r="AF160">
            <v>-2.0798382345729401E-2</v>
          </cell>
          <cell r="AG160">
            <v>-2.3172702398821202E-2</v>
          </cell>
          <cell r="AR160">
            <v>1.4029559274908466E-2</v>
          </cell>
          <cell r="BC160">
            <v>-9.7610425932716047E-3</v>
          </cell>
          <cell r="BF160">
            <v>4.2685166816368615E-3</v>
          </cell>
        </row>
        <row r="161">
          <cell r="O161">
            <v>1.3022492118915701</v>
          </cell>
          <cell r="P161">
            <v>1.2712213937997501</v>
          </cell>
          <cell r="Q161">
            <v>1.26522554754423</v>
          </cell>
          <cell r="U161">
            <v>1.0535066956641101E-2</v>
          </cell>
          <cell r="V161">
            <v>-1.6120908523545301E-2</v>
          </cell>
          <cell r="W161">
            <v>-1.9823601327554501E-2</v>
          </cell>
          <cell r="Y161">
            <v>1.30254549159954</v>
          </cell>
          <cell r="Z161">
            <v>1.27103532676339</v>
          </cell>
          <cell r="AA161">
            <v>1.26503884720592</v>
          </cell>
          <cell r="AE161">
            <v>1.0913948925481099E-2</v>
          </cell>
          <cell r="AF161">
            <v>-1.6114851934369699E-2</v>
          </cell>
          <cell r="AG161">
            <v>-1.9819395518537002E-2</v>
          </cell>
          <cell r="AR161">
            <v>1.4029559274908466E-2</v>
          </cell>
          <cell r="BC161">
            <v>-9.7610425932716047E-3</v>
          </cell>
          <cell r="BF161">
            <v>4.2685166816368615E-3</v>
          </cell>
        </row>
        <row r="162">
          <cell r="O162">
            <v>1.3022492118915701</v>
          </cell>
          <cell r="P162">
            <v>1.2741077594442101</v>
          </cell>
          <cell r="Q162">
            <v>1.2674234699650899</v>
          </cell>
          <cell r="U162">
            <v>5.9122538890011098E-3</v>
          </cell>
          <cell r="V162">
            <v>-1.8202512855796198E-2</v>
          </cell>
          <cell r="W162">
            <v>-2.29302738240303E-2</v>
          </cell>
          <cell r="Y162">
            <v>1.30254549159954</v>
          </cell>
          <cell r="Z162">
            <v>1.27391995629713</v>
          </cell>
          <cell r="AA162">
            <v>1.26723566564407</v>
          </cell>
          <cell r="AE162">
            <v>6.2957453315417196E-3</v>
          </cell>
          <cell r="AF162">
            <v>-1.81928887911595E-2</v>
          </cell>
          <cell r="AG162">
            <v>-2.29218441142836E-2</v>
          </cell>
          <cell r="AR162">
            <v>1.4029559274908466E-2</v>
          </cell>
          <cell r="BC162">
            <v>-9.7610425932716047E-3</v>
          </cell>
          <cell r="BF162">
            <v>4.2685166816368615E-3</v>
          </cell>
        </row>
        <row r="163">
          <cell r="O163">
            <v>1.3022492118915701</v>
          </cell>
          <cell r="P163">
            <v>1.27571763540325</v>
          </cell>
          <cell r="Q163">
            <v>1.26780933059143</v>
          </cell>
          <cell r="U163">
            <v>1.7454641385382001E-2</v>
          </cell>
          <cell r="V163">
            <v>-4.3921539436156502E-3</v>
          </cell>
          <cell r="W163">
            <v>-9.65221513322264E-3</v>
          </cell>
          <cell r="Y163">
            <v>1.30254549159954</v>
          </cell>
          <cell r="Z163">
            <v>1.27552970943141</v>
          </cell>
          <cell r="AA163">
            <v>1.2676223560432001</v>
          </cell>
          <cell r="AE163">
            <v>1.7825872205580101E-2</v>
          </cell>
          <cell r="AF163">
            <v>-4.3958216779101901E-3</v>
          </cell>
          <cell r="AG163">
            <v>-9.6566612831474399E-3</v>
          </cell>
          <cell r="AR163">
            <v>1.4029559274908466E-2</v>
          </cell>
          <cell r="BC163">
            <v>-9.7610425932716047E-3</v>
          </cell>
          <cell r="BF163">
            <v>4.2685166816368615E-3</v>
          </cell>
        </row>
        <row r="164">
          <cell r="O164">
            <v>1.3022492118915701</v>
          </cell>
          <cell r="P164">
            <v>1.2776039055092601</v>
          </cell>
          <cell r="Q164">
            <v>1.2679861968119499</v>
          </cell>
          <cell r="U164">
            <v>1.8668426299303799E-2</v>
          </cell>
          <cell r="V164">
            <v>-1.91563458819121E-3</v>
          </cell>
          <cell r="W164">
            <v>-8.1340316415992198E-3</v>
          </cell>
          <cell r="Y164">
            <v>1.30254549159954</v>
          </cell>
          <cell r="Z164">
            <v>1.2774153816062701</v>
          </cell>
          <cell r="AA164">
            <v>1.26780032608159</v>
          </cell>
          <cell r="AE164">
            <v>1.9039442733877601E-2</v>
          </cell>
          <cell r="AF164">
            <v>-1.91942696457419E-3</v>
          </cell>
          <cell r="AG164">
            <v>-8.13799248202942E-3</v>
          </cell>
          <cell r="AR164">
            <v>1.4029559274908466E-2</v>
          </cell>
          <cell r="BC164">
            <v>-9.7610425932716047E-3</v>
          </cell>
          <cell r="BF164">
            <v>4.2685166816368615E-3</v>
          </cell>
        </row>
        <row r="165">
          <cell r="O165">
            <v>1.3022492118915701</v>
          </cell>
          <cell r="P165">
            <v>1.27845977570009</v>
          </cell>
          <cell r="Q165">
            <v>1.26911774033499</v>
          </cell>
          <cell r="U165">
            <v>1.9717660549533299E-2</v>
          </cell>
          <cell r="V165">
            <v>6.11102921169922E-4</v>
          </cell>
          <cell r="W165">
            <v>-6.9453017428480496E-3</v>
          </cell>
          <cell r="Y165">
            <v>1.30254549159954</v>
          </cell>
          <cell r="Z165">
            <v>1.2782718207763699</v>
          </cell>
          <cell r="AA165">
            <v>1.26893184835895</v>
          </cell>
          <cell r="AE165">
            <v>2.00881030693069E-2</v>
          </cell>
          <cell r="AF165">
            <v>6.0648607354525002E-4</v>
          </cell>
          <cell r="AG165">
            <v>-6.9489452675747703E-3</v>
          </cell>
          <cell r="AR165">
            <v>1.4029559274908466E-2</v>
          </cell>
          <cell r="BC165">
            <v>-9.7610425932716047E-3</v>
          </cell>
          <cell r="BF165">
            <v>4.2685166816368615E-3</v>
          </cell>
        </row>
        <row r="166">
          <cell r="O166">
            <v>1.3022492118915701</v>
          </cell>
          <cell r="P166">
            <v>1.2811880787777901</v>
          </cell>
          <cell r="Q166">
            <v>1.2700571115608399</v>
          </cell>
          <cell r="U166">
            <v>1.19372109935501E-2</v>
          </cell>
          <cell r="V166">
            <v>-6.4996683094199299E-3</v>
          </cell>
          <cell r="W166">
            <v>-1.383375504948E-2</v>
          </cell>
          <cell r="Y166">
            <v>1.30254549159954</v>
          </cell>
          <cell r="Z166">
            <v>1.28099835565995</v>
          </cell>
          <cell r="AA166">
            <v>1.2698713697894399</v>
          </cell>
          <cell r="AE166">
            <v>1.2318238281080199E-2</v>
          </cell>
          <cell r="AF166">
            <v>-6.4931564735819999E-3</v>
          </cell>
          <cell r="AG166">
            <v>-1.38266998332028E-2</v>
          </cell>
          <cell r="AR166">
            <v>1.4029559274908466E-2</v>
          </cell>
          <cell r="BC166">
            <v>-9.7610425932716047E-3</v>
          </cell>
          <cell r="BF166">
            <v>4.2685166816368615E-3</v>
          </cell>
        </row>
        <row r="167">
          <cell r="O167">
            <v>1.3022492118915701</v>
          </cell>
          <cell r="P167">
            <v>1.28325615953424</v>
          </cell>
          <cell r="Q167">
            <v>1.2712785660550301</v>
          </cell>
          <cell r="U167">
            <v>1.2197476420391999E-2</v>
          </cell>
          <cell r="V167">
            <v>-4.1076220548670996E-3</v>
          </cell>
          <cell r="W167">
            <v>-1.28335868404398E-2</v>
          </cell>
          <cell r="Y167">
            <v>1.30254549159954</v>
          </cell>
          <cell r="Z167">
            <v>1.28306501445198</v>
          </cell>
          <cell r="AA167">
            <v>1.2710926957206501</v>
          </cell>
          <cell r="AE167">
            <v>1.25782093015443E-2</v>
          </cell>
          <cell r="AF167">
            <v>-4.1024718299830301E-3</v>
          </cell>
          <cell r="AG167">
            <v>-1.28265993953322E-2</v>
          </cell>
          <cell r="AR167">
            <v>1.4029559274908466E-2</v>
          </cell>
          <cell r="BC167">
            <v>-9.7610425932716047E-3</v>
          </cell>
          <cell r="BF167">
            <v>4.2685166816368615E-3</v>
          </cell>
        </row>
        <row r="168">
          <cell r="O168">
            <v>1.3022492118915701</v>
          </cell>
          <cell r="P168">
            <v>1.2851393744629001</v>
          </cell>
          <cell r="Q168">
            <v>1.2731902077911299</v>
          </cell>
          <cell r="U168">
            <v>9.2894260520335805E-3</v>
          </cell>
          <cell r="V168">
            <v>-5.4027840056237904E-3</v>
          </cell>
          <cell r="W168">
            <v>-1.4780367433223199E-2</v>
          </cell>
          <cell r="Y168">
            <v>1.30254549159954</v>
          </cell>
          <cell r="Z168">
            <v>1.2849470155037599</v>
          </cell>
          <cell r="AA168">
            <v>1.27300335571305</v>
          </cell>
          <cell r="AE168">
            <v>9.6713253438517107E-3</v>
          </cell>
          <cell r="AF168">
            <v>-5.3973369400525497E-3</v>
          </cell>
          <cell r="AG168">
            <v>-1.4772174185499099E-2</v>
          </cell>
          <cell r="AR168">
            <v>1.4029559274908466E-2</v>
          </cell>
          <cell r="BC168">
            <v>-9.7610425932716047E-3</v>
          </cell>
          <cell r="BF168">
            <v>4.2685166816368615E-3</v>
          </cell>
        </row>
        <row r="169">
          <cell r="O169">
            <v>1.3022492118915701</v>
          </cell>
          <cell r="P169">
            <v>1.28646296530547</v>
          </cell>
          <cell r="Q169">
            <v>1.27515748760887</v>
          </cell>
          <cell r="U169">
            <v>7.2373215243342198E-3</v>
          </cell>
          <cell r="V169">
            <v>-5.9884358462528996E-3</v>
          </cell>
          <cell r="W169">
            <v>-1.53298855543464E-2</v>
          </cell>
          <cell r="Y169">
            <v>1.30254549159954</v>
          </cell>
          <cell r="Z169">
            <v>1.2862690388712299</v>
          </cell>
          <cell r="AA169">
            <v>1.2749696648487401</v>
          </cell>
          <cell r="AE169">
            <v>7.61878066716904E-3</v>
          </cell>
          <cell r="AF169">
            <v>-5.9841553142399896E-3</v>
          </cell>
          <cell r="AG169">
            <v>-1.53226841017064E-2</v>
          </cell>
          <cell r="AR169">
            <v>1.4029559274908466E-2</v>
          </cell>
          <cell r="BC169">
            <v>-9.7610425932716047E-3</v>
          </cell>
          <cell r="BF169">
            <v>4.2685166816368615E-3</v>
          </cell>
        </row>
        <row r="170">
          <cell r="O170">
            <v>1.3022492118915701</v>
          </cell>
          <cell r="P170">
            <v>1.28749081101366</v>
          </cell>
          <cell r="Q170">
            <v>1.27774293351899</v>
          </cell>
          <cell r="U170">
            <v>1.18598299163883E-3</v>
          </cell>
          <cell r="V170">
            <v>-1.1010384306483E-2</v>
          </cell>
          <cell r="W170">
            <v>-1.9837258785840799E-2</v>
          </cell>
          <cell r="Y170">
            <v>1.30254549159954</v>
          </cell>
          <cell r="Z170">
            <v>1.28729614303397</v>
          </cell>
          <cell r="AA170">
            <v>1.27755346265637</v>
          </cell>
          <cell r="AE170">
            <v>1.57249901585046E-3</v>
          </cell>
          <cell r="AF170">
            <v>-1.1002111491535E-2</v>
          </cell>
          <cell r="AG170">
            <v>-1.9825535339780199E-2</v>
          </cell>
          <cell r="AR170">
            <v>1.4029559274908466E-2</v>
          </cell>
          <cell r="BC170">
            <v>-9.7610425932716047E-3</v>
          </cell>
          <cell r="BF170">
            <v>4.2685166816368615E-3</v>
          </cell>
        </row>
        <row r="171">
          <cell r="O171">
            <v>1.3022492118915701</v>
          </cell>
          <cell r="P171">
            <v>1.28800000808979</v>
          </cell>
          <cell r="Q171">
            <v>1.2796107009447699</v>
          </cell>
          <cell r="U171">
            <v>6.5913071058997501E-3</v>
          </cell>
          <cell r="V171">
            <v>-4.8064088937553604E-3</v>
          </cell>
          <cell r="W171">
            <v>-1.24064371060249E-2</v>
          </cell>
          <cell r="Y171">
            <v>1.30254549159954</v>
          </cell>
          <cell r="Z171">
            <v>1.2878046827626799</v>
          </cell>
          <cell r="AA171">
            <v>1.27942000476303</v>
          </cell>
          <cell r="AE171">
            <v>6.9746750897035203E-3</v>
          </cell>
          <cell r="AF171">
            <v>-4.80173980600991E-3</v>
          </cell>
          <cell r="AG171">
            <v>-1.23988536602451E-2</v>
          </cell>
          <cell r="AR171">
            <v>1.4029559274908466E-2</v>
          </cell>
          <cell r="BC171">
            <v>-9.7610425932716047E-3</v>
          </cell>
          <cell r="BF171">
            <v>4.2685166816368615E-3</v>
          </cell>
        </row>
        <row r="172">
          <cell r="O172">
            <v>1.3022492118915701</v>
          </cell>
          <cell r="P172">
            <v>1.2865795442139301</v>
          </cell>
          <cell r="Q172">
            <v>1.2803436518290701</v>
          </cell>
          <cell r="U172">
            <v>1.6945348767140801E-2</v>
          </cell>
          <cell r="V172">
            <v>5.9430502770222602E-3</v>
          </cell>
          <cell r="W172">
            <v>-5.9169190131918995E-4</v>
          </cell>
          <cell r="Y172">
            <v>1.30254549159954</v>
          </cell>
          <cell r="Z172">
            <v>1.2863851501158099</v>
          </cell>
          <cell r="AA172">
            <v>1.2801525532064699</v>
          </cell>
          <cell r="AE172">
            <v>1.73232968216279E-2</v>
          </cell>
          <cell r="AF172">
            <v>5.9418487794225703E-3</v>
          </cell>
          <cell r="AG172">
            <v>-5.9026962367729702E-4</v>
          </cell>
          <cell r="AR172">
            <v>1.4029559274908466E-2</v>
          </cell>
          <cell r="BC172">
            <v>-9.7610425932716047E-3</v>
          </cell>
          <cell r="BF172">
            <v>4.2685166816368615E-3</v>
          </cell>
        </row>
        <row r="173">
          <cell r="O173">
            <v>1.3022492118915701</v>
          </cell>
          <cell r="P173">
            <v>1.28753878685575</v>
          </cell>
          <cell r="Q173">
            <v>1.2816282111295001</v>
          </cell>
          <cell r="U173">
            <v>9.9868494709971101E-3</v>
          </cell>
          <cell r="V173">
            <v>-2.1189022169167699E-3</v>
          </cell>
          <cell r="W173">
            <v>-6.9775630929506203E-3</v>
          </cell>
          <cell r="Y173">
            <v>1.30254549159954</v>
          </cell>
          <cell r="Z173">
            <v>1.2873424415540999</v>
          </cell>
          <cell r="AA173">
            <v>1.2814360754927601</v>
          </cell>
          <cell r="AE173">
            <v>1.03721467654185E-2</v>
          </cell>
          <cell r="AF173">
            <v>-2.1121980193859599E-3</v>
          </cell>
          <cell r="AG173">
            <v>-6.9690206196181999E-3</v>
          </cell>
          <cell r="AR173">
            <v>1.4029559274908466E-2</v>
          </cell>
          <cell r="BC173">
            <v>-9.7610425932716047E-3</v>
          </cell>
          <cell r="BF173">
            <v>4.2685166816368615E-3</v>
          </cell>
        </row>
        <row r="174">
          <cell r="O174">
            <v>1.3022492118915701</v>
          </cell>
          <cell r="P174">
            <v>1.2889406201736999</v>
          </cell>
          <cell r="Q174">
            <v>1.2832722628414801</v>
          </cell>
          <cell r="U174">
            <v>7.76057756253027E-3</v>
          </cell>
          <cell r="V174">
            <v>-3.5998760754508701E-3</v>
          </cell>
          <cell r="W174">
            <v>-8.2010453715677892E-3</v>
          </cell>
          <cell r="Y174">
            <v>1.30254549159954</v>
          </cell>
          <cell r="Z174">
            <v>1.2887416893121699</v>
          </cell>
          <cell r="AA174">
            <v>1.28307853545922</v>
          </cell>
          <cell r="AE174">
            <v>8.1500491013113009E-3</v>
          </cell>
          <cell r="AF174">
            <v>-3.5904007308684501E-3</v>
          </cell>
          <cell r="AG174">
            <v>-8.1889882935122608E-3</v>
          </cell>
          <cell r="AR174">
            <v>1.4029559274908466E-2</v>
          </cell>
          <cell r="BC174">
            <v>-9.7610425932716047E-3</v>
          </cell>
          <cell r="BF174">
            <v>4.2685166816368615E-3</v>
          </cell>
        </row>
        <row r="175">
          <cell r="O175">
            <v>1.3022492118915701</v>
          </cell>
          <cell r="P175">
            <v>1.2911750538871301</v>
          </cell>
          <cell r="Q175">
            <v>1.28481741479361</v>
          </cell>
          <cell r="U175">
            <v>2.3690778698821401E-3</v>
          </cell>
          <cell r="V175">
            <v>-7.9031982709669799E-3</v>
          </cell>
          <cell r="W175">
            <v>-1.2310583480272801E-2</v>
          </cell>
          <cell r="Y175">
            <v>1.30254549159954</v>
          </cell>
          <cell r="Z175">
            <v>1.2909727449170101</v>
          </cell>
          <cell r="AA175">
            <v>1.28462228284669</v>
          </cell>
          <cell r="AE175">
            <v>2.7630676356989298E-3</v>
          </cell>
          <cell r="AF175">
            <v>-7.8910450858953995E-3</v>
          </cell>
          <cell r="AG175">
            <v>-1.22950566506418E-2</v>
          </cell>
          <cell r="AR175">
            <v>1.4029559274908466E-2</v>
          </cell>
          <cell r="BC175">
            <v>-9.7610425932716047E-3</v>
          </cell>
          <cell r="BF175">
            <v>4.2685166816368615E-3</v>
          </cell>
        </row>
        <row r="176">
          <cell r="O176">
            <v>1.3022492118915701</v>
          </cell>
          <cell r="P176">
            <v>1.29231774856272</v>
          </cell>
          <cell r="Q176">
            <v>1.28675291367025</v>
          </cell>
          <cell r="U176">
            <v>3.0962563594267001E-3</v>
          </cell>
          <cell r="V176">
            <v>-5.4439778466370799E-3</v>
          </cell>
          <cell r="W176">
            <v>-1.03800574970314E-2</v>
          </cell>
          <cell r="Y176">
            <v>1.30254549159954</v>
          </cell>
          <cell r="Z176">
            <v>1.2921138405347601</v>
          </cell>
          <cell r="AA176">
            <v>1.28655609809736</v>
          </cell>
          <cell r="AE176">
            <v>3.4882513215794501E-3</v>
          </cell>
          <cell r="AF176">
            <v>-5.43616904997606E-3</v>
          </cell>
          <cell r="AG176">
            <v>-1.0367437258490601E-2</v>
          </cell>
          <cell r="AR176">
            <v>1.4029559274908466E-2</v>
          </cell>
          <cell r="BC176">
            <v>-9.7610425932716047E-3</v>
          </cell>
          <cell r="BF176">
            <v>4.2685166816368615E-3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416B-107C-47FA-AC3B-37877DD96F55}">
  <dimension ref="A1:DT179"/>
  <sheetViews>
    <sheetView tabSelected="1" topLeftCell="AG1" workbookViewId="0">
      <selection activeCell="BB5" sqref="BB5"/>
    </sheetView>
  </sheetViews>
  <sheetFormatPr defaultRowHeight="15" x14ac:dyDescent="0.25"/>
  <cols>
    <col min="1" max="1" width="9.42578125" bestFit="1" customWidth="1"/>
    <col min="2" max="3" width="11" style="34" bestFit="1" customWidth="1"/>
    <col min="4" max="4" width="9.85546875" style="16" bestFit="1" customWidth="1"/>
    <col min="5" max="5" width="10.7109375" style="16" bestFit="1" customWidth="1"/>
    <col min="6" max="6" width="9" style="34" bestFit="1" customWidth="1"/>
    <col min="7" max="7" width="16.5703125" style="34" bestFit="1" customWidth="1"/>
    <col min="8" max="8" width="9.140625" style="34"/>
    <col min="9" max="9" width="17.5703125" style="34" bestFit="1" customWidth="1"/>
    <col min="10" max="10" width="19.28515625" style="34" bestFit="1" customWidth="1"/>
    <col min="11" max="11" width="20.140625" style="34" bestFit="1" customWidth="1"/>
    <col min="12" max="13" width="11" style="34" bestFit="1" customWidth="1"/>
    <col min="14" max="14" width="9.42578125" style="35" bestFit="1" customWidth="1"/>
    <col min="15" max="15" width="12.85546875" style="35" bestFit="1" customWidth="1"/>
    <col min="16" max="17" width="16.28515625" style="35" bestFit="1" customWidth="1"/>
    <col min="18" max="18" width="11" style="34" bestFit="1" customWidth="1"/>
    <col min="19" max="20" width="13.42578125" style="34" bestFit="1" customWidth="1"/>
    <col min="21" max="21" width="20.7109375" style="16" bestFit="1" customWidth="1"/>
    <col min="22" max="23" width="24.140625" style="16" bestFit="1" customWidth="1"/>
    <col min="24" max="24" width="11.42578125" style="35" bestFit="1" customWidth="1"/>
    <col min="25" max="25" width="15" style="35" bestFit="1" customWidth="1"/>
    <col min="26" max="27" width="18.42578125" style="35" bestFit="1" customWidth="1"/>
    <col min="28" max="28" width="11" style="34" bestFit="1" customWidth="1"/>
    <col min="29" max="30" width="14.42578125" style="34" bestFit="1" customWidth="1"/>
    <col min="31" max="31" width="22.85546875" style="16" bestFit="1" customWidth="1"/>
    <col min="32" max="33" width="26.28515625" style="16" bestFit="1" customWidth="1"/>
    <col min="34" max="34" width="1.7109375" style="9" customWidth="1"/>
    <col min="35" max="35" width="7.7109375" style="16" bestFit="1" customWidth="1"/>
    <col min="36" max="36" width="8.140625" style="16" bestFit="1" customWidth="1"/>
    <col min="37" max="38" width="7.42578125" style="16" bestFit="1" customWidth="1"/>
    <col min="39" max="39" width="7.85546875" style="16" bestFit="1" customWidth="1"/>
    <col min="40" max="40" width="8.42578125" style="16" bestFit="1" customWidth="1"/>
    <col min="41" max="41" width="11.85546875" style="16" bestFit="1" customWidth="1"/>
    <col min="42" max="42" width="10.28515625" style="16" bestFit="1" customWidth="1"/>
    <col min="43" max="43" width="7.42578125" style="16" bestFit="1" customWidth="1"/>
    <col min="44" max="44" width="8.7109375" style="16" bestFit="1" customWidth="1"/>
    <col min="45" max="45" width="1.7109375" style="9" customWidth="1"/>
    <col min="46" max="46" width="7.7109375" style="16" bestFit="1" customWidth="1"/>
    <col min="47" max="49" width="7.42578125" style="16" bestFit="1" customWidth="1"/>
    <col min="50" max="50" width="7.85546875" style="16" bestFit="1" customWidth="1"/>
    <col min="51" max="51" width="8.42578125" style="16" bestFit="1" customWidth="1"/>
    <col min="52" max="52" width="11.85546875" style="16" bestFit="1" customWidth="1"/>
    <col min="53" max="53" width="10.28515625" style="16" bestFit="1" customWidth="1"/>
    <col min="54" max="54" width="7.42578125" style="16" bestFit="1" customWidth="1"/>
    <col min="55" max="55" width="8.7109375" style="16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</cols>
  <sheetData>
    <row r="1" spans="1:124" s="7" customFormat="1" x14ac:dyDescent="0.25">
      <c r="A1" s="7" t="s">
        <v>0</v>
      </c>
      <c r="B1" s="31" t="s">
        <v>1</v>
      </c>
      <c r="C1" s="31" t="s">
        <v>2</v>
      </c>
      <c r="D1" s="32" t="s">
        <v>3</v>
      </c>
      <c r="E1" s="32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1" t="s">
        <v>17</v>
      </c>
      <c r="S1" s="31" t="s">
        <v>18</v>
      </c>
      <c r="T1" s="31" t="s">
        <v>19</v>
      </c>
      <c r="U1" s="32" t="s">
        <v>20</v>
      </c>
      <c r="V1" s="32" t="s">
        <v>21</v>
      </c>
      <c r="W1" s="32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1" t="s">
        <v>27</v>
      </c>
      <c r="AC1" s="31" t="s">
        <v>28</v>
      </c>
      <c r="AD1" s="31" t="s">
        <v>29</v>
      </c>
      <c r="AE1" s="32" t="s">
        <v>30</v>
      </c>
      <c r="AF1" s="32" t="s">
        <v>31</v>
      </c>
      <c r="AG1" s="32" t="s">
        <v>32</v>
      </c>
      <c r="AH1" s="2"/>
      <c r="AI1" s="3">
        <f>AQ16</f>
        <v>2.6144164825620151</v>
      </c>
      <c r="AJ1" s="4">
        <v>0</v>
      </c>
      <c r="AK1" s="4">
        <f t="shared" ref="AK1:AQ1" si="0">AJ1-$AK12</f>
        <v>-5.0000000000000001E-3</v>
      </c>
      <c r="AL1" s="4">
        <f t="shared" si="0"/>
        <v>-0.01</v>
      </c>
      <c r="AM1" s="4">
        <f t="shared" si="0"/>
        <v>-1.4999999999999999E-2</v>
      </c>
      <c r="AN1" s="4">
        <f t="shared" si="0"/>
        <v>-0.02</v>
      </c>
      <c r="AO1" s="4">
        <f t="shared" si="0"/>
        <v>-2.5000000000000001E-2</v>
      </c>
      <c r="AP1" s="4">
        <f t="shared" si="0"/>
        <v>-3.0000000000000002E-2</v>
      </c>
      <c r="AQ1" s="4">
        <f t="shared" si="0"/>
        <v>-3.5000000000000003E-2</v>
      </c>
      <c r="AR1" s="5" t="s">
        <v>33</v>
      </c>
      <c r="AS1" s="2"/>
      <c r="AT1" s="3">
        <f>BB16</f>
        <v>3.0951637851345337</v>
      </c>
      <c r="AU1" s="4">
        <v>0</v>
      </c>
      <c r="AV1" s="6">
        <f>AU1+$AV12</f>
        <v>5.0000000000000001E-3</v>
      </c>
      <c r="AW1" s="6">
        <f t="shared" ref="AW1:BB1" si="1">AV1+$AV12</f>
        <v>0.01</v>
      </c>
      <c r="AX1" s="6">
        <f t="shared" si="1"/>
        <v>1.4999999999999999E-2</v>
      </c>
      <c r="AY1" s="6">
        <f t="shared" si="1"/>
        <v>0.02</v>
      </c>
      <c r="AZ1" s="6">
        <f t="shared" si="1"/>
        <v>2.5000000000000001E-2</v>
      </c>
      <c r="BA1" s="6">
        <f t="shared" si="1"/>
        <v>3.0000000000000002E-2</v>
      </c>
      <c r="BB1" s="6">
        <f t="shared" si="1"/>
        <v>3.5000000000000003E-2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</row>
    <row r="2" spans="1:124" x14ac:dyDescent="0.25">
      <c r="A2" s="1">
        <v>46024</v>
      </c>
      <c r="B2" s="34">
        <v>222.01</v>
      </c>
      <c r="C2" s="34">
        <v>250.4</v>
      </c>
      <c r="F2" s="34">
        <v>0</v>
      </c>
      <c r="G2" s="34">
        <v>0</v>
      </c>
      <c r="H2" s="34">
        <v>0</v>
      </c>
      <c r="I2" s="34">
        <v>0</v>
      </c>
      <c r="J2" s="34">
        <v>0</v>
      </c>
      <c r="K2" s="34">
        <v>0</v>
      </c>
      <c r="L2" s="34">
        <v>222.01</v>
      </c>
      <c r="M2" s="34">
        <v>250.4</v>
      </c>
      <c r="N2" s="35">
        <v>1.12787712265213</v>
      </c>
      <c r="O2" s="35">
        <v>1.1658179450689301</v>
      </c>
      <c r="X2" s="35">
        <v>1.12787712265213</v>
      </c>
      <c r="Y2" s="35">
        <v>1.1654134458566101</v>
      </c>
      <c r="AI2" s="4">
        <v>0</v>
      </c>
      <c r="AJ2" s="10">
        <f t="dataTable" ref="AJ2:AQ9" dt2D="1" dtr="1" r1="AI21" r2="AI22"/>
        <v>2.2756409567285325</v>
      </c>
      <c r="AK2" s="10">
        <v>1.4698027293566338</v>
      </c>
      <c r="AL2" s="10">
        <v>2.4126233218042641</v>
      </c>
      <c r="AM2" s="10">
        <v>1.816187996521059</v>
      </c>
      <c r="AN2" s="10">
        <v>2.3386401887352957</v>
      </c>
      <c r="AO2" s="10">
        <v>2.9860788922623596</v>
      </c>
      <c r="AP2" s="10">
        <v>1.3242762696499424</v>
      </c>
      <c r="AQ2" s="10">
        <v>1.779469457581216</v>
      </c>
      <c r="AR2"/>
      <c r="AT2" s="4">
        <v>0</v>
      </c>
      <c r="AU2" s="10">
        <f t="dataTable" ref="AU2:BB9" dt2D="1" dtr="1" r1="AT21" r2="AT22"/>
        <v>1.0375317637168604</v>
      </c>
      <c r="AV2" s="11">
        <v>0.52724185307420601</v>
      </c>
      <c r="AW2" s="11">
        <v>0.59669215473831072</v>
      </c>
      <c r="AX2" s="11">
        <v>1.547479827455338E-3</v>
      </c>
      <c r="AY2" s="11">
        <v>0.36386682727722058</v>
      </c>
      <c r="AZ2" s="11">
        <v>0.61582233038586887</v>
      </c>
      <c r="BA2" s="11">
        <v>1.3661768954854276</v>
      </c>
      <c r="BB2" s="11">
        <v>1.3661768954854276</v>
      </c>
      <c r="BC2"/>
    </row>
    <row r="3" spans="1:124" ht="15.75" thickBot="1" x14ac:dyDescent="0.3">
      <c r="A3" s="1">
        <v>46027</v>
      </c>
      <c r="B3" s="34">
        <v>226.48</v>
      </c>
      <c r="C3" s="34">
        <v>260.33</v>
      </c>
      <c r="D3" s="16">
        <v>1.9934214900817301E-2</v>
      </c>
      <c r="E3" s="16">
        <v>3.8890417766348301E-2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226.48</v>
      </c>
      <c r="M3" s="34">
        <v>260.33</v>
      </c>
      <c r="N3" s="35">
        <v>1.1494613210879501</v>
      </c>
      <c r="O3" s="35">
        <v>1.1658179450689301</v>
      </c>
      <c r="R3" s="34">
        <v>264.03444819921202</v>
      </c>
      <c r="U3" s="16">
        <v>1.41295232445964E-2</v>
      </c>
      <c r="X3" s="35">
        <v>1.1494613210879501</v>
      </c>
      <c r="Y3" s="35">
        <v>1.1654134458566101</v>
      </c>
      <c r="AB3" s="34">
        <v>263.94283721760502</v>
      </c>
      <c r="AE3" s="16">
        <v>1.3782497018065099E-2</v>
      </c>
      <c r="AI3" s="4">
        <f t="shared" ref="AI3:AI9" si="2">AI2-AK$12</f>
        <v>-5.0000000000000001E-3</v>
      </c>
      <c r="AJ3" s="10">
        <v>2.2756409567285325</v>
      </c>
      <c r="AK3" s="10">
        <v>1.151801019506582</v>
      </c>
      <c r="AL3" s="10">
        <v>1.8230136477019063</v>
      </c>
      <c r="AM3" s="10">
        <v>1.3190810499905896</v>
      </c>
      <c r="AN3" s="10">
        <v>1.9697176172315112</v>
      </c>
      <c r="AO3" s="11">
        <v>2.6144164825620151</v>
      </c>
      <c r="AP3" s="10">
        <v>1.0212433389982565</v>
      </c>
      <c r="AQ3" s="10">
        <v>1.4846499425530952</v>
      </c>
      <c r="AR3"/>
      <c r="AT3" s="4">
        <f>AT2+AV$12</f>
        <v>5.0000000000000001E-3</v>
      </c>
      <c r="AU3" s="10">
        <v>1.0375317637168604</v>
      </c>
      <c r="AV3" s="11">
        <v>0.6177631658756666</v>
      </c>
      <c r="AW3" s="11">
        <v>0.47146464228048762</v>
      </c>
      <c r="AX3" s="11">
        <v>-0.21914988044785241</v>
      </c>
      <c r="AY3" s="11">
        <v>0.14962707076582146</v>
      </c>
      <c r="AZ3" s="11">
        <v>0.3900364100183672</v>
      </c>
      <c r="BA3" s="11">
        <v>1.1555233977268571</v>
      </c>
      <c r="BB3" s="11">
        <v>1.1555233977268571</v>
      </c>
      <c r="BC3"/>
    </row>
    <row r="4" spans="1:124" ht="15.75" thickBot="1" x14ac:dyDescent="0.3">
      <c r="A4" s="1">
        <v>46028</v>
      </c>
      <c r="B4" s="34">
        <v>230.21</v>
      </c>
      <c r="C4" s="34">
        <v>266.13</v>
      </c>
      <c r="D4" s="16">
        <v>1.6335295027160902E-2</v>
      </c>
      <c r="E4" s="16">
        <v>2.20348542083133E-2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230.21</v>
      </c>
      <c r="M4" s="34">
        <v>266.13</v>
      </c>
      <c r="N4" s="35">
        <v>1.15603144954606</v>
      </c>
      <c r="O4" s="35">
        <v>1.1658179450689301</v>
      </c>
      <c r="R4" s="34">
        <v>268.38294913431901</v>
      </c>
      <c r="U4" s="16">
        <v>8.4299640634442202E-3</v>
      </c>
      <c r="X4" s="35">
        <v>1.15603144954606</v>
      </c>
      <c r="Y4" s="35">
        <v>1.1654134458566101</v>
      </c>
      <c r="AB4" s="34">
        <v>268.28982937065001</v>
      </c>
      <c r="AE4" s="16">
        <v>8.0829378369127805E-3</v>
      </c>
      <c r="AI4" s="4">
        <f t="shared" si="2"/>
        <v>-0.01</v>
      </c>
      <c r="AJ4" s="10">
        <v>2.2756409567285325</v>
      </c>
      <c r="AK4" s="11">
        <v>1.151801019506582</v>
      </c>
      <c r="AL4" s="11">
        <v>1.7991389541818366</v>
      </c>
      <c r="AM4" s="11">
        <v>0.55326988005794531</v>
      </c>
      <c r="AN4" s="10">
        <v>1.4036150336669382</v>
      </c>
      <c r="AO4" s="11">
        <v>2.1816827888280046</v>
      </c>
      <c r="AP4" s="11">
        <v>0.82848000337111483</v>
      </c>
      <c r="AQ4" s="11">
        <v>1.3436056184867351</v>
      </c>
      <c r="AR4"/>
      <c r="AT4" s="4">
        <f t="shared" ref="AT4:AT9" si="3">AT3+AV$12</f>
        <v>0.01</v>
      </c>
      <c r="AU4" s="10">
        <v>1.0375317637168604</v>
      </c>
      <c r="AV4" s="11">
        <v>0.6177631658756666</v>
      </c>
      <c r="AW4" s="11">
        <v>1.1560066221177956</v>
      </c>
      <c r="AX4" s="11">
        <v>0.2720609452238576</v>
      </c>
      <c r="AY4" s="11">
        <v>0.97282210698655014</v>
      </c>
      <c r="AZ4" s="11">
        <v>1.0130657313577014</v>
      </c>
      <c r="BA4" s="13">
        <v>1.6620601913615582</v>
      </c>
      <c r="BB4" s="11">
        <v>1.6620601913615582</v>
      </c>
      <c r="BC4"/>
      <c r="BE4" s="8"/>
      <c r="BF4" s="8"/>
    </row>
    <row r="5" spans="1:124" ht="15.75" thickBot="1" x14ac:dyDescent="0.3">
      <c r="A5" s="1">
        <v>46029</v>
      </c>
      <c r="B5" s="34">
        <v>226.41</v>
      </c>
      <c r="C5" s="34">
        <v>262.61</v>
      </c>
      <c r="D5" s="16">
        <v>-1.66444208659184E-2</v>
      </c>
      <c r="E5" s="16">
        <v>-1.33148693258119E-2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226.41</v>
      </c>
      <c r="M5" s="34">
        <v>262.61</v>
      </c>
      <c r="N5" s="35">
        <v>1.1598869307892701</v>
      </c>
      <c r="O5" s="35">
        <v>1.1658179450689301</v>
      </c>
      <c r="R5" s="34">
        <v>263.95284094305703</v>
      </c>
      <c r="U5" s="16">
        <v>5.1004125233375603E-3</v>
      </c>
      <c r="X5" s="35">
        <v>1.1598869307892701</v>
      </c>
      <c r="Y5" s="35">
        <v>1.1654134458566101</v>
      </c>
      <c r="AB5" s="34">
        <v>263.86125827639501</v>
      </c>
      <c r="AE5" s="16">
        <v>4.7533862968065204E-3</v>
      </c>
      <c r="AI5" s="4">
        <f t="shared" si="2"/>
        <v>-1.4999999999999999E-2</v>
      </c>
      <c r="AJ5" s="10">
        <v>2.2756409567285325</v>
      </c>
      <c r="AK5" s="11">
        <v>1.151801019506582</v>
      </c>
      <c r="AL5" s="11">
        <v>1.7991389541818366</v>
      </c>
      <c r="AM5" s="11">
        <v>0.66316145812866312</v>
      </c>
      <c r="AN5" s="11">
        <v>0.76843935546249065</v>
      </c>
      <c r="AO5" s="13">
        <v>1.6629614638642383</v>
      </c>
      <c r="AP5" s="10">
        <v>0.4806979238066395</v>
      </c>
      <c r="AQ5" s="11">
        <v>1.0366591495499067</v>
      </c>
      <c r="AR5"/>
      <c r="AT5" s="4">
        <f t="shared" si="3"/>
        <v>1.4999999999999999E-2</v>
      </c>
      <c r="AU5" s="10">
        <v>1.0375317637168604</v>
      </c>
      <c r="AV5" s="11">
        <v>0.6177631658756666</v>
      </c>
      <c r="AW5" s="11">
        <v>1.1560066221177956</v>
      </c>
      <c r="AX5" s="11">
        <v>0.30185005707625645</v>
      </c>
      <c r="AY5" s="11">
        <v>1.4362056619450112</v>
      </c>
      <c r="AZ5" s="11">
        <v>1.547056975653035</v>
      </c>
      <c r="BA5" s="11">
        <v>2.4183829919090702</v>
      </c>
      <c r="BB5" s="11">
        <v>3.0951637851345337</v>
      </c>
      <c r="BC5"/>
    </row>
    <row r="6" spans="1:124" x14ac:dyDescent="0.25">
      <c r="A6" s="1">
        <v>46030</v>
      </c>
      <c r="B6" s="34">
        <v>227.43</v>
      </c>
      <c r="C6" s="34">
        <v>268.7</v>
      </c>
      <c r="D6" s="16">
        <v>4.4949837714355701E-3</v>
      </c>
      <c r="E6" s="16">
        <v>2.29254737466521E-2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227.43</v>
      </c>
      <c r="M6" s="34">
        <v>268.7</v>
      </c>
      <c r="N6" s="35">
        <v>1.18146242799982</v>
      </c>
      <c r="O6" s="35">
        <v>1.1658179450689301</v>
      </c>
      <c r="R6" s="34">
        <v>265.14197524702797</v>
      </c>
      <c r="U6" s="16">
        <v>-1.3330077451879E-2</v>
      </c>
      <c r="X6" s="35">
        <v>1.18146242799982</v>
      </c>
      <c r="Y6" s="35">
        <v>1.1654134458566101</v>
      </c>
      <c r="AB6" s="34">
        <v>265.04997999116898</v>
      </c>
      <c r="AE6" s="16">
        <v>-1.3677103678410201E-2</v>
      </c>
      <c r="AI6" s="4">
        <f t="shared" si="2"/>
        <v>-0.02</v>
      </c>
      <c r="AJ6" s="10">
        <v>2.2756409567285325</v>
      </c>
      <c r="AK6" s="11">
        <v>1.151801019506582</v>
      </c>
      <c r="AL6" s="11">
        <v>1.7991389541818366</v>
      </c>
      <c r="AM6" s="11">
        <v>0.66316145812866312</v>
      </c>
      <c r="AN6" s="11">
        <v>0.50529327165201987</v>
      </c>
      <c r="AO6" s="11">
        <v>1.4312508184595507</v>
      </c>
      <c r="AP6" s="11">
        <v>0.4806979238066395</v>
      </c>
      <c r="AQ6" s="11">
        <v>1.0366591495499067</v>
      </c>
      <c r="AR6"/>
      <c r="AT6" s="4">
        <f t="shared" si="3"/>
        <v>0.02</v>
      </c>
      <c r="AU6" s="10">
        <v>1.0375317637168604</v>
      </c>
      <c r="AV6" s="11">
        <v>0.6177631658756666</v>
      </c>
      <c r="AW6" s="11">
        <v>1.1560066221177956</v>
      </c>
      <c r="AX6" s="11">
        <v>0.30185005707625645</v>
      </c>
      <c r="AY6" s="11">
        <v>1.1231523834745503</v>
      </c>
      <c r="AZ6" s="11">
        <v>0.8392695565479994</v>
      </c>
      <c r="BA6" s="11">
        <v>2.0420289844212891</v>
      </c>
      <c r="BB6" s="11">
        <v>2.8435778585027491</v>
      </c>
      <c r="BC6"/>
    </row>
    <row r="7" spans="1:124" x14ac:dyDescent="0.25">
      <c r="A7" s="1">
        <v>46031</v>
      </c>
      <c r="B7" s="34">
        <v>232.97</v>
      </c>
      <c r="C7" s="34">
        <v>276.64</v>
      </c>
      <c r="D7" s="16">
        <v>2.40671911748878E-2</v>
      </c>
      <c r="E7" s="16">
        <v>2.91215063135347E-2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232.97</v>
      </c>
      <c r="M7" s="34">
        <v>276.64</v>
      </c>
      <c r="N7" s="35">
        <v>1.1874490277718099</v>
      </c>
      <c r="O7" s="35">
        <v>1.1658179450689301</v>
      </c>
      <c r="R7" s="34">
        <v>271.60060666270999</v>
      </c>
      <c r="U7" s="16">
        <v>-1.8384392590525898E-2</v>
      </c>
      <c r="X7" s="35">
        <v>1.1874490277718099</v>
      </c>
      <c r="Y7" s="35">
        <v>1.1654134458566101</v>
      </c>
      <c r="AB7" s="34">
        <v>271.50637048121501</v>
      </c>
      <c r="AE7" s="16">
        <v>-1.8731418817057099E-2</v>
      </c>
      <c r="AI7" s="4">
        <f t="shared" si="2"/>
        <v>-2.5000000000000001E-2</v>
      </c>
      <c r="AJ7" s="10">
        <v>2.2756409567285325</v>
      </c>
      <c r="AK7" s="11">
        <v>1.151801019506582</v>
      </c>
      <c r="AL7" s="11">
        <v>1.7991389541818366</v>
      </c>
      <c r="AM7" s="11">
        <v>0.66316145812866312</v>
      </c>
      <c r="AN7" s="11">
        <v>0.50529327165201987</v>
      </c>
      <c r="AO7" s="11">
        <v>1.2057888626619628</v>
      </c>
      <c r="AP7" s="11">
        <v>0.4806979238066395</v>
      </c>
      <c r="AQ7" s="11">
        <v>1.0366591495499067</v>
      </c>
      <c r="AR7"/>
      <c r="AT7" s="4">
        <f t="shared" si="3"/>
        <v>2.5000000000000001E-2</v>
      </c>
      <c r="AU7" s="10">
        <v>1.0375317637168604</v>
      </c>
      <c r="AV7" s="11">
        <v>0.6177631658756666</v>
      </c>
      <c r="AW7" s="11">
        <v>1.1560066221177956</v>
      </c>
      <c r="AX7" s="11">
        <v>0.30185005707625645</v>
      </c>
      <c r="AY7" s="11">
        <v>1.1231523834745503</v>
      </c>
      <c r="AZ7" s="11">
        <v>0.51942579505640107</v>
      </c>
      <c r="BA7" s="11">
        <v>2.4324413172821262</v>
      </c>
      <c r="BB7" s="11">
        <v>2.2976529184918726</v>
      </c>
      <c r="BC7"/>
    </row>
    <row r="8" spans="1:124" x14ac:dyDescent="0.25">
      <c r="A8" s="1">
        <v>46034</v>
      </c>
      <c r="B8" s="34">
        <v>236.55</v>
      </c>
      <c r="C8" s="34">
        <v>280.89999999999998</v>
      </c>
      <c r="D8" s="16">
        <v>1.5249912165947E-2</v>
      </c>
      <c r="E8" s="16">
        <v>1.52817121752175E-2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236.55</v>
      </c>
      <c r="M8" s="34">
        <v>280.89999999999998</v>
      </c>
      <c r="N8" s="35">
        <v>1.18748678926231</v>
      </c>
      <c r="O8" s="35">
        <v>1.1658179450689301</v>
      </c>
      <c r="R8" s="34">
        <v>275.77423490605599</v>
      </c>
      <c r="U8" s="16">
        <v>-1.8416192599796499E-2</v>
      </c>
      <c r="X8" s="35">
        <v>1.18748678926231</v>
      </c>
      <c r="Y8" s="35">
        <v>1.1654134458566101</v>
      </c>
      <c r="AB8" s="34">
        <v>275.67855061738101</v>
      </c>
      <c r="AE8" s="16">
        <v>-1.8763218826327799E-2</v>
      </c>
      <c r="AI8" s="4">
        <f t="shared" si="2"/>
        <v>-3.0000000000000002E-2</v>
      </c>
      <c r="AJ8" s="10">
        <v>2.2756409567285325</v>
      </c>
      <c r="AK8" s="11">
        <v>1.151801019506582</v>
      </c>
      <c r="AL8" s="11">
        <v>1.7991389541818366</v>
      </c>
      <c r="AM8" s="11">
        <v>0.66316145812866312</v>
      </c>
      <c r="AN8" s="11">
        <v>0.50529327165201987</v>
      </c>
      <c r="AO8" s="11">
        <v>1.2057888626619628</v>
      </c>
      <c r="AP8" s="11">
        <v>0.4806979238066395</v>
      </c>
      <c r="AQ8" s="11">
        <v>1.0366591495499067</v>
      </c>
      <c r="AR8"/>
      <c r="AT8" s="4">
        <f t="shared" si="3"/>
        <v>3.0000000000000002E-2</v>
      </c>
      <c r="AU8" s="10">
        <v>1.0375317637168604</v>
      </c>
      <c r="AV8" s="11">
        <v>0.6177631658756666</v>
      </c>
      <c r="AW8" s="11">
        <v>1.1560066221177956</v>
      </c>
      <c r="AX8" s="11">
        <v>0.30185005707625645</v>
      </c>
      <c r="AY8" s="11">
        <v>1.1231523834745503</v>
      </c>
      <c r="AZ8" s="11">
        <v>0.51942579505640107</v>
      </c>
      <c r="BA8" s="11">
        <v>2.3955881876925318</v>
      </c>
      <c r="BB8" s="11">
        <v>2.2474738768564948</v>
      </c>
      <c r="BC8"/>
    </row>
    <row r="9" spans="1:124" x14ac:dyDescent="0.25">
      <c r="A9" s="1">
        <v>46035</v>
      </c>
      <c r="B9" s="34">
        <v>237.54</v>
      </c>
      <c r="C9" s="34">
        <v>281.43</v>
      </c>
      <c r="D9" s="16">
        <v>4.1764282689371497E-3</v>
      </c>
      <c r="E9" s="16">
        <v>1.88501469577142E-3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237.54</v>
      </c>
      <c r="M9" s="34">
        <v>281.43</v>
      </c>
      <c r="N9" s="35">
        <v>1.1847688810305601</v>
      </c>
      <c r="O9" s="35">
        <v>1.1658179450689301</v>
      </c>
      <c r="R9" s="34">
        <v>276.92839467167499</v>
      </c>
      <c r="U9" s="16">
        <v>-1.6124779026630901E-2</v>
      </c>
      <c r="X9" s="35">
        <v>1.1847688810305601</v>
      </c>
      <c r="Y9" s="35">
        <v>1.1654134458566101</v>
      </c>
      <c r="AB9" s="34">
        <v>276.83230992877901</v>
      </c>
      <c r="AE9" s="16">
        <v>-1.6471805253162001E-2</v>
      </c>
      <c r="AI9" s="4">
        <f t="shared" si="2"/>
        <v>-3.5000000000000003E-2</v>
      </c>
      <c r="AJ9" s="10">
        <v>2.2756409567285325</v>
      </c>
      <c r="AK9" s="11">
        <v>1.151801019506582</v>
      </c>
      <c r="AL9" s="11">
        <v>1.7991389541818366</v>
      </c>
      <c r="AM9" s="11">
        <v>0.66316145812866312</v>
      </c>
      <c r="AN9" s="11">
        <v>0.50529327165201987</v>
      </c>
      <c r="AO9" s="11">
        <v>1.2057888626619628</v>
      </c>
      <c r="AP9" s="11">
        <v>0.4806979238066395</v>
      </c>
      <c r="AQ9" s="11">
        <v>1.0366591495499067</v>
      </c>
      <c r="AR9"/>
      <c r="AT9" s="4">
        <f t="shared" si="3"/>
        <v>3.5000000000000003E-2</v>
      </c>
      <c r="AU9" s="10">
        <v>1.0375317637168604</v>
      </c>
      <c r="AV9" s="10">
        <v>0.6177631658756666</v>
      </c>
      <c r="AW9" s="10">
        <v>1.1560066221177956</v>
      </c>
      <c r="AX9" s="10">
        <v>0.30185005707625645</v>
      </c>
      <c r="AY9" s="10">
        <v>1.1231523834745503</v>
      </c>
      <c r="AZ9" s="10">
        <v>0.51942579505640107</v>
      </c>
      <c r="BA9" s="10">
        <v>2.3955881876925318</v>
      </c>
      <c r="BB9" s="10">
        <v>2.2106912950309803</v>
      </c>
      <c r="BC9"/>
    </row>
    <row r="10" spans="1:124" x14ac:dyDescent="0.25">
      <c r="A10" s="1">
        <v>46036</v>
      </c>
      <c r="B10" s="34">
        <v>239.16</v>
      </c>
      <c r="C10" s="34">
        <v>285.70999999999998</v>
      </c>
      <c r="D10" s="16">
        <v>6.7967536666093198E-3</v>
      </c>
      <c r="E10" s="16">
        <v>1.50935615682984E-2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239.16</v>
      </c>
      <c r="M10" s="34">
        <v>285.70999999999998</v>
      </c>
      <c r="N10" s="35">
        <v>1.19463957183475</v>
      </c>
      <c r="O10" s="35">
        <v>1.1658179450689301</v>
      </c>
      <c r="R10" s="34">
        <v>278.817019742686</v>
      </c>
      <c r="U10" s="16">
        <v>-2.4421586928319999E-2</v>
      </c>
      <c r="X10" s="35">
        <v>1.19463957183475</v>
      </c>
      <c r="Y10" s="35">
        <v>1.1654134458566101</v>
      </c>
      <c r="AB10" s="34">
        <v>278.72027971106701</v>
      </c>
      <c r="AE10" s="16">
        <v>-2.4768613154851099E-2</v>
      </c>
      <c r="AI10" s="14" t="s">
        <v>34</v>
      </c>
      <c r="AJ10"/>
      <c r="AK10"/>
      <c r="AL10"/>
      <c r="AM10"/>
      <c r="AN10"/>
      <c r="AO10"/>
      <c r="AP10"/>
      <c r="AQ10"/>
      <c r="AR10"/>
      <c r="AT10" s="14" t="s">
        <v>34</v>
      </c>
      <c r="AU10"/>
      <c r="AV10"/>
      <c r="AW10"/>
      <c r="AX10"/>
      <c r="AY10"/>
      <c r="AZ10"/>
      <c r="BA10"/>
      <c r="BB10"/>
      <c r="BC10"/>
      <c r="BZ10" s="15"/>
      <c r="CL10" s="15"/>
    </row>
    <row r="11" spans="1:124" x14ac:dyDescent="0.25">
      <c r="A11" s="1">
        <v>46037</v>
      </c>
      <c r="B11" s="34">
        <v>241.21</v>
      </c>
      <c r="C11" s="34">
        <v>289.49</v>
      </c>
      <c r="D11" s="16">
        <v>8.5351393507285007E-3</v>
      </c>
      <c r="E11" s="16">
        <v>1.31434437278474E-2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241.21</v>
      </c>
      <c r="M11" s="34">
        <v>289.49</v>
      </c>
      <c r="N11" s="35">
        <v>1.2001575390738299</v>
      </c>
      <c r="O11" s="35">
        <v>1.1658179450689301</v>
      </c>
      <c r="P11" s="35">
        <v>1.17292210610485</v>
      </c>
      <c r="R11" s="34">
        <v>281.20694653007803</v>
      </c>
      <c r="U11" s="16">
        <v>-2.90298913054392E-2</v>
      </c>
      <c r="X11" s="35">
        <v>1.2001575390738299</v>
      </c>
      <c r="Y11" s="35">
        <v>1.1654134458566101</v>
      </c>
      <c r="Z11" s="35">
        <v>1.17292210610485</v>
      </c>
      <c r="AB11" s="34">
        <v>281.10937727507297</v>
      </c>
      <c r="AE11" s="16">
        <v>-2.93769175319703E-2</v>
      </c>
      <c r="AL11" s="17" t="s">
        <v>35</v>
      </c>
      <c r="AM11" s="17" t="s">
        <v>36</v>
      </c>
      <c r="AW11" s="17" t="s">
        <v>35</v>
      </c>
      <c r="AX11" s="17" t="s">
        <v>36</v>
      </c>
    </row>
    <row r="12" spans="1:124" x14ac:dyDescent="0.25">
      <c r="A12" s="1">
        <v>46038</v>
      </c>
      <c r="B12" s="34">
        <v>243.77</v>
      </c>
      <c r="C12" s="34">
        <v>292.74</v>
      </c>
      <c r="D12" s="16">
        <v>1.0557234430553401E-2</v>
      </c>
      <c r="E12" s="16">
        <v>1.11640889536853E-2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243.77</v>
      </c>
      <c r="M12" s="34">
        <v>292.74</v>
      </c>
      <c r="N12" s="35">
        <v>1.2008860811420601</v>
      </c>
      <c r="O12" s="35">
        <v>1.1658179450689301</v>
      </c>
      <c r="P12" s="35">
        <v>1.18022300195384</v>
      </c>
      <c r="R12" s="34">
        <v>284.19144046945399</v>
      </c>
      <c r="S12" s="34">
        <v>285.92322180517999</v>
      </c>
      <c r="U12" s="16">
        <v>-2.9636745828570999E-2</v>
      </c>
      <c r="V12" s="16">
        <v>-2.3561523503145498E-2</v>
      </c>
      <c r="X12" s="35">
        <v>1.2008860811420601</v>
      </c>
      <c r="Y12" s="35">
        <v>1.1654134458566101</v>
      </c>
      <c r="Z12" s="35">
        <v>1.18022300195384</v>
      </c>
      <c r="AB12" s="34">
        <v>284.09283569646601</v>
      </c>
      <c r="AC12" s="34">
        <v>285.92322180517999</v>
      </c>
      <c r="AE12" s="16">
        <v>-2.9983772055102199E-2</v>
      </c>
      <c r="AF12" s="16">
        <v>-2.3561523503145498E-2</v>
      </c>
      <c r="AK12" s="18">
        <v>5.0000000000000001E-3</v>
      </c>
      <c r="AL12" s="19" t="s">
        <v>37</v>
      </c>
      <c r="AM12" s="20" t="s">
        <v>38</v>
      </c>
      <c r="AV12" s="18">
        <v>5.0000000000000001E-3</v>
      </c>
      <c r="AW12" s="19" t="s">
        <v>39</v>
      </c>
      <c r="AX12" s="20" t="s">
        <v>40</v>
      </c>
    </row>
    <row r="13" spans="1:124" x14ac:dyDescent="0.25">
      <c r="A13" s="1">
        <v>46042</v>
      </c>
      <c r="B13" s="34">
        <v>237.9</v>
      </c>
      <c r="C13" s="34">
        <v>284.06</v>
      </c>
      <c r="D13" s="16">
        <v>-2.4374740485073501E-2</v>
      </c>
      <c r="E13" s="16">
        <v>-3.0099359602818801E-2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237.9</v>
      </c>
      <c r="M13" s="34">
        <v>284.06</v>
      </c>
      <c r="N13" s="35">
        <v>1.19403110550651</v>
      </c>
      <c r="O13" s="35">
        <v>1.1658179450689301</v>
      </c>
      <c r="P13" s="35">
        <v>1.1846799803957</v>
      </c>
      <c r="R13" s="34">
        <v>277.34808913189897</v>
      </c>
      <c r="S13" s="34">
        <v>280.77505216482001</v>
      </c>
      <c r="U13" s="16">
        <v>-2.39121267108258E-2</v>
      </c>
      <c r="V13" s="16">
        <v>-1.16316608152074E-2</v>
      </c>
      <c r="X13" s="35">
        <v>1.19403110550651</v>
      </c>
      <c r="Y13" s="35">
        <v>1.1654134458566101</v>
      </c>
      <c r="Z13" s="35">
        <v>1.1846799803957</v>
      </c>
      <c r="AB13" s="34">
        <v>277.25185876928799</v>
      </c>
      <c r="AC13" s="34">
        <v>280.77505216482001</v>
      </c>
      <c r="AE13" s="16">
        <v>-2.4259152937357E-2</v>
      </c>
      <c r="AF13" s="16">
        <v>-1.16316608152074E-2</v>
      </c>
    </row>
    <row r="14" spans="1:124" x14ac:dyDescent="0.25">
      <c r="A14" s="1">
        <v>46043</v>
      </c>
      <c r="B14" s="34">
        <v>240.27</v>
      </c>
      <c r="C14" s="34">
        <v>285.33</v>
      </c>
      <c r="D14" s="16">
        <v>9.9128736947886702E-3</v>
      </c>
      <c r="E14" s="16">
        <v>4.4609217094218499E-3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240.27</v>
      </c>
      <c r="M14" s="34">
        <v>285.33</v>
      </c>
      <c r="N14" s="35">
        <v>1.18753901860407</v>
      </c>
      <c r="O14" s="35">
        <v>1.1658179450689301</v>
      </c>
      <c r="P14" s="35">
        <v>1.1878307373015</v>
      </c>
      <c r="R14" s="34">
        <v>280.11107766171301</v>
      </c>
      <c r="S14" s="34">
        <v>284.64305888967499</v>
      </c>
      <c r="U14" s="16">
        <v>-1.8460174725458901E-2</v>
      </c>
      <c r="V14" s="16">
        <v>-2.4104347818399499E-3</v>
      </c>
      <c r="X14" s="35">
        <v>1.18753901860407</v>
      </c>
      <c r="Y14" s="35">
        <v>1.1654134458566101</v>
      </c>
      <c r="Z14" s="35">
        <v>1.1878307373015</v>
      </c>
      <c r="AB14" s="34">
        <v>280.01388863596799</v>
      </c>
      <c r="AC14" s="34">
        <v>284.64305888967499</v>
      </c>
      <c r="AE14" s="16">
        <v>-1.8807200951990299E-2</v>
      </c>
      <c r="AF14" s="16">
        <v>-2.4104347818399499E-3</v>
      </c>
      <c r="AQ14" s="21">
        <f>AVERAGE(AQ22:AQ176)</f>
        <v>4.8354248591689851E-4</v>
      </c>
      <c r="AR14" s="22" t="s">
        <v>41</v>
      </c>
      <c r="BB14" s="21">
        <f>AVERAGE(BB22:BB176)</f>
        <v>5.4361006818769847E-4</v>
      </c>
      <c r="BC14" s="22" t="s">
        <v>41</v>
      </c>
      <c r="BD14" s="23"/>
      <c r="BE14" s="21">
        <f>AVERAGE(BE22:BE176)</f>
        <v>1.0271525541045972E-3</v>
      </c>
      <c r="BF14" s="22" t="s">
        <v>41</v>
      </c>
    </row>
    <row r="15" spans="1:124" x14ac:dyDescent="0.25">
      <c r="A15" s="1">
        <v>46044</v>
      </c>
      <c r="B15" s="34">
        <v>235.82</v>
      </c>
      <c r="C15" s="34">
        <v>285.44</v>
      </c>
      <c r="D15" s="16">
        <v>-1.8694488855173299E-2</v>
      </c>
      <c r="E15" s="16">
        <v>3.8544422924072902E-4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235.82</v>
      </c>
      <c r="M15" s="34">
        <v>285.44</v>
      </c>
      <c r="N15" s="35">
        <v>1.21041472309388</v>
      </c>
      <c r="O15" s="35">
        <v>1.1658179450689301</v>
      </c>
      <c r="P15" s="35">
        <v>1.19288351653196</v>
      </c>
      <c r="R15" s="34">
        <v>274.92318780615602</v>
      </c>
      <c r="S15" s="34">
        <v>280.11424447043998</v>
      </c>
      <c r="U15" s="16">
        <v>-3.7540107809872901E-2</v>
      </c>
      <c r="V15" s="16">
        <v>-1.8834313472415699E-2</v>
      </c>
      <c r="X15" s="35">
        <v>1.21041472309388</v>
      </c>
      <c r="Y15" s="35">
        <v>1.1654134458566101</v>
      </c>
      <c r="Z15" s="35">
        <v>1.19288351653196</v>
      </c>
      <c r="AB15" s="34">
        <v>274.827798801906</v>
      </c>
      <c r="AC15" s="34">
        <v>280.11424447043998</v>
      </c>
      <c r="AE15" s="16">
        <v>-3.7887134036404403E-2</v>
      </c>
      <c r="AF15" s="16">
        <v>-1.8834313472415699E-2</v>
      </c>
      <c r="AQ15" s="21">
        <f>STDEV(AQ22:AQ176)</f>
        <v>2.9360276174889501E-3</v>
      </c>
      <c r="AR15" s="22" t="s">
        <v>42</v>
      </c>
      <c r="BB15" s="21">
        <f>STDEV(BB22:BB176)</f>
        <v>2.7880729107580969E-3</v>
      </c>
      <c r="BC15" s="22" t="s">
        <v>42</v>
      </c>
      <c r="BD15" s="23"/>
      <c r="BE15" s="21">
        <f>STDEV(BE22:BE176)</f>
        <v>3.983023707097166E-3</v>
      </c>
      <c r="BF15" s="22" t="s">
        <v>42</v>
      </c>
    </row>
    <row r="16" spans="1:124" x14ac:dyDescent="0.25">
      <c r="A16" s="1">
        <v>46045</v>
      </c>
      <c r="B16" s="34">
        <v>235.07</v>
      </c>
      <c r="C16" s="34">
        <v>283.18</v>
      </c>
      <c r="D16" s="16">
        <v>-3.1854600191005E-3</v>
      </c>
      <c r="E16" s="16">
        <v>-7.9491115348197701E-3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235.07</v>
      </c>
      <c r="M16" s="34">
        <v>283.18</v>
      </c>
      <c r="N16" s="35">
        <v>1.20466244097502</v>
      </c>
      <c r="O16" s="35">
        <v>1.1658179450689301</v>
      </c>
      <c r="P16" s="35">
        <v>1.19520351782948</v>
      </c>
      <c r="R16" s="34">
        <v>274.04882434735401</v>
      </c>
      <c r="S16" s="34">
        <v>280.41112823116799</v>
      </c>
      <c r="U16" s="16">
        <v>-3.2776456294153801E-2</v>
      </c>
      <c r="V16" s="16">
        <v>-9.8258964968477094E-3</v>
      </c>
      <c r="X16" s="35">
        <v>1.20466244097502</v>
      </c>
      <c r="Y16" s="35">
        <v>1.1654134458566101</v>
      </c>
      <c r="Z16" s="35">
        <v>1.19520351782948</v>
      </c>
      <c r="AB16" s="34">
        <v>273.953738717514</v>
      </c>
      <c r="AC16" s="34">
        <v>280.41112823116799</v>
      </c>
      <c r="AE16" s="16">
        <v>-3.3123482520685102E-2</v>
      </c>
      <c r="AF16" s="16">
        <v>-9.8258964968477094E-3</v>
      </c>
      <c r="AQ16" s="24">
        <f>SQRT(252)*AQ14/AQ15</f>
        <v>2.6144164825620151</v>
      </c>
      <c r="AR16" s="22" t="s">
        <v>43</v>
      </c>
      <c r="BB16" s="24">
        <f>SQRT(252)*BB14/BB15</f>
        <v>3.0951637851345337</v>
      </c>
      <c r="BC16" s="22" t="s">
        <v>43</v>
      </c>
      <c r="BD16" s="23"/>
      <c r="BE16" s="24">
        <f>SQRT(252)*BE14/BE15</f>
        <v>4.0937595402857871</v>
      </c>
      <c r="BF16" s="22" t="s">
        <v>43</v>
      </c>
    </row>
    <row r="17" spans="1:124" x14ac:dyDescent="0.25">
      <c r="A17" s="1">
        <v>46048</v>
      </c>
      <c r="B17" s="34">
        <v>233.38</v>
      </c>
      <c r="C17" s="34">
        <v>280.01</v>
      </c>
      <c r="D17" s="16">
        <v>-7.2153157514655104E-3</v>
      </c>
      <c r="E17" s="16">
        <v>-1.12574210396008E-2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233.38</v>
      </c>
      <c r="M17" s="34">
        <v>280.01</v>
      </c>
      <c r="N17" s="35">
        <v>1.1998028965635399</v>
      </c>
      <c r="O17" s="35">
        <v>1.1658179450689301</v>
      </c>
      <c r="P17" s="35">
        <v>1.1964389047086501</v>
      </c>
      <c r="R17" s="34">
        <v>272.07859202018801</v>
      </c>
      <c r="S17" s="34">
        <v>278.93659699104501</v>
      </c>
      <c r="U17" s="16">
        <v>-2.87343510060185E-2</v>
      </c>
      <c r="V17" s="16">
        <v>-3.84081174941725E-3</v>
      </c>
      <c r="X17" s="35">
        <v>1.1998028965635399</v>
      </c>
      <c r="Y17" s="35">
        <v>1.1654134458566101</v>
      </c>
      <c r="Z17" s="35">
        <v>1.1964389047086501</v>
      </c>
      <c r="AB17" s="34">
        <v>271.98418999401599</v>
      </c>
      <c r="AC17" s="34">
        <v>278.93659699104501</v>
      </c>
      <c r="AE17" s="16">
        <v>-2.90813772325497E-2</v>
      </c>
      <c r="AF17" s="16">
        <v>-3.84081174941725E-3</v>
      </c>
    </row>
    <row r="18" spans="1:124" x14ac:dyDescent="0.25">
      <c r="A18" s="1">
        <v>46049</v>
      </c>
      <c r="B18" s="34">
        <v>237.02</v>
      </c>
      <c r="C18" s="34">
        <v>285.12</v>
      </c>
      <c r="D18" s="16">
        <v>1.5476499382341399E-2</v>
      </c>
      <c r="E18" s="16">
        <v>1.8084827465220499E-2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237.02</v>
      </c>
      <c r="M18" s="34">
        <v>285.12</v>
      </c>
      <c r="N18" s="35">
        <v>1.2029364610581299</v>
      </c>
      <c r="O18" s="35">
        <v>1.1658179450689301</v>
      </c>
      <c r="P18" s="35">
        <v>1.1979838718882301</v>
      </c>
      <c r="R18" s="34">
        <v>276.32216934023899</v>
      </c>
      <c r="S18" s="34">
        <v>283.57994919404501</v>
      </c>
      <c r="U18" s="16">
        <v>-3.1342679088897603E-2</v>
      </c>
      <c r="V18" s="16">
        <v>-5.4160531322068398E-3</v>
      </c>
      <c r="X18" s="35">
        <v>1.2029364610581299</v>
      </c>
      <c r="Y18" s="35">
        <v>1.1654134458566101</v>
      </c>
      <c r="Z18" s="35">
        <v>1.1979838718882301</v>
      </c>
      <c r="AB18" s="34">
        <v>276.22629493693398</v>
      </c>
      <c r="AC18" s="34">
        <v>283.57994919404501</v>
      </c>
      <c r="AE18" s="16">
        <v>-3.16897053154288E-2</v>
      </c>
      <c r="AF18" s="16">
        <v>-5.4160531322068398E-3</v>
      </c>
      <c r="BE18" s="25">
        <f>SUM(BE22:BE176)</f>
        <v>0.15920864588621256</v>
      </c>
      <c r="BF18" s="21">
        <f>BF176</f>
        <v>0.15920864588621256</v>
      </c>
    </row>
    <row r="19" spans="1:124" x14ac:dyDescent="0.25">
      <c r="A19" s="1">
        <v>46050</v>
      </c>
      <c r="B19" s="34">
        <v>233.69</v>
      </c>
      <c r="C19" s="34">
        <v>281.57</v>
      </c>
      <c r="D19" s="16">
        <v>-1.4149075032587499E-2</v>
      </c>
      <c r="E19" s="16">
        <v>-1.2529059764625599E-2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233.69</v>
      </c>
      <c r="M19" s="34">
        <v>281.57</v>
      </c>
      <c r="N19" s="35">
        <v>1.2048868158671699</v>
      </c>
      <c r="O19" s="35">
        <v>1.1658179450689301</v>
      </c>
      <c r="P19" s="35">
        <v>1.1999956653718999</v>
      </c>
      <c r="R19" s="34">
        <v>272.43999558315898</v>
      </c>
      <c r="S19" s="34">
        <v>279.95685102156199</v>
      </c>
      <c r="U19" s="16">
        <v>-3.2962694356859598E-2</v>
      </c>
      <c r="V19" s="16">
        <v>-5.7455967181514796E-3</v>
      </c>
      <c r="X19" s="35">
        <v>1.2048868158671699</v>
      </c>
      <c r="Y19" s="35">
        <v>1.1654134458566101</v>
      </c>
      <c r="Z19" s="35">
        <v>1.1999956653718999</v>
      </c>
      <c r="AB19" s="34">
        <v>272.34546816223099</v>
      </c>
      <c r="AC19" s="34">
        <v>279.95685102156199</v>
      </c>
      <c r="AE19" s="16">
        <v>-3.3309720583390802E-2</v>
      </c>
      <c r="AF19" s="16">
        <v>-5.7455967181514796E-3</v>
      </c>
      <c r="AI19" s="12"/>
      <c r="AJ19"/>
      <c r="AK19"/>
      <c r="AL19"/>
      <c r="AM19"/>
      <c r="AN19"/>
      <c r="AO19"/>
      <c r="AP19"/>
      <c r="AQ19" s="25">
        <f>SUM(AQ22:AQ176)</f>
        <v>7.4949085317119274E-2</v>
      </c>
      <c r="AR19" s="25">
        <f>AR176</f>
        <v>7.4949085317119274E-2</v>
      </c>
      <c r="AU19"/>
      <c r="AV19"/>
      <c r="AW19"/>
      <c r="AX19"/>
      <c r="AY19"/>
      <c r="AZ19"/>
      <c r="BA19"/>
      <c r="BB19" s="25">
        <f>SUM(BB22:BB176)</f>
        <v>8.425956056909327E-2</v>
      </c>
      <c r="BC19" s="25">
        <f>BC176</f>
        <v>8.425956056909327E-2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4">
        <v>232.78</v>
      </c>
      <c r="C20" s="34">
        <v>277.91000000000003</v>
      </c>
      <c r="D20" s="16">
        <v>-3.9016492138847802E-3</v>
      </c>
      <c r="E20" s="16">
        <v>-1.30837642498088E-2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232.78</v>
      </c>
      <c r="M20" s="34">
        <v>277.91000000000003</v>
      </c>
      <c r="N20" s="35">
        <v>1.19387404416186</v>
      </c>
      <c r="O20" s="35">
        <v>1.1658179450689301</v>
      </c>
      <c r="P20" s="35">
        <v>1.19991911260461</v>
      </c>
      <c r="R20" s="34">
        <v>271.37910125314602</v>
      </c>
      <c r="S20" s="34">
        <v>279.33499098527102</v>
      </c>
      <c r="U20" s="16">
        <v>-2.3780579320935601E-2</v>
      </c>
      <c r="V20" s="16">
        <v>5.1144258431680004E-3</v>
      </c>
      <c r="X20" s="35">
        <v>1.19387404416186</v>
      </c>
      <c r="Y20" s="35">
        <v>1.1654134458566101</v>
      </c>
      <c r="Z20" s="35">
        <v>1.19991911260461</v>
      </c>
      <c r="AB20" s="34">
        <v>271.28494192650197</v>
      </c>
      <c r="AC20" s="34">
        <v>279.33499098527102</v>
      </c>
      <c r="AE20" s="16">
        <v>-2.41276055474667E-2</v>
      </c>
      <c r="AF20" s="16">
        <v>5.1144258431680004E-3</v>
      </c>
      <c r="AI20" s="26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ITA log rtn</v>
      </c>
      <c r="AP20" s="7" t="str">
        <f>E1</f>
        <v>XAR log rtn</v>
      </c>
      <c r="AQ20" s="7" t="s">
        <v>51</v>
      </c>
      <c r="AR20" s="7" t="s">
        <v>52</v>
      </c>
      <c r="AT20" s="26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5" t="str">
        <f>D1</f>
        <v>ITA log rtn</v>
      </c>
      <c r="BA20" s="25" t="str">
        <f>E1</f>
        <v>XAR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4">
        <v>232.38</v>
      </c>
      <c r="C21" s="34">
        <v>272.95999999999998</v>
      </c>
      <c r="D21" s="16">
        <v>-1.7198387591145299E-3</v>
      </c>
      <c r="E21" s="16">
        <v>-1.7972055964695699E-2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232.38</v>
      </c>
      <c r="M21" s="34">
        <v>272.95999999999998</v>
      </c>
      <c r="N21" s="35">
        <v>1.17462776486788</v>
      </c>
      <c r="O21" s="35">
        <v>1.1658179450689301</v>
      </c>
      <c r="P21" s="35">
        <v>1.1973661351840099</v>
      </c>
      <c r="Q21" s="35">
        <v>1.18514412064443</v>
      </c>
      <c r="R21" s="34">
        <v>270.91277407511899</v>
      </c>
      <c r="S21" s="34">
        <v>278.83720338705899</v>
      </c>
      <c r="U21" s="16">
        <v>-7.5283621153541102E-3</v>
      </c>
      <c r="V21" s="16">
        <v>2.1302846810635601E-2</v>
      </c>
      <c r="X21" s="35">
        <v>1.17462776486788</v>
      </c>
      <c r="Y21" s="35">
        <v>1.1654134458566101</v>
      </c>
      <c r="Z21" s="35">
        <v>1.1973661351840099</v>
      </c>
      <c r="AA21" s="35">
        <v>1.18514412064443</v>
      </c>
      <c r="AB21" s="34">
        <v>270.81877654815901</v>
      </c>
      <c r="AC21" s="34">
        <v>278.83720338705899</v>
      </c>
      <c r="AE21" s="16">
        <v>-7.8753883418855308E-3</v>
      </c>
      <c r="AF21" s="16">
        <v>2.1302846810635601E-2</v>
      </c>
      <c r="AI21" s="27">
        <v>-2.5000000000000001E-2</v>
      </c>
      <c r="AJ21"/>
      <c r="AK21"/>
      <c r="AL21"/>
      <c r="AM21">
        <f t="shared" ref="AM21:AM84" si="4">IF(F22+H22&gt;0,0,1)</f>
        <v>1</v>
      </c>
      <c r="AN21" s="28">
        <v>0</v>
      </c>
      <c r="AO21"/>
      <c r="AP21"/>
      <c r="AQ21"/>
      <c r="AR21"/>
      <c r="AT21" s="27">
        <v>3.5000000000000003E-2</v>
      </c>
      <c r="AU21"/>
      <c r="AV21"/>
      <c r="AW21"/>
      <c r="AX21">
        <f t="shared" ref="AX21:AX84" si="5">IF(F22+H22&gt;0,0,1)</f>
        <v>1</v>
      </c>
      <c r="AY21" s="28">
        <v>0</v>
      </c>
      <c r="AZ21"/>
      <c r="BA21"/>
      <c r="BB21"/>
      <c r="BC21"/>
    </row>
    <row r="22" spans="1:124" x14ac:dyDescent="0.25">
      <c r="A22" s="1">
        <v>46055</v>
      </c>
      <c r="B22" s="34">
        <v>231.16</v>
      </c>
      <c r="C22" s="34">
        <v>270.27999999999997</v>
      </c>
      <c r="D22" s="16">
        <v>-5.2638513051385402E-3</v>
      </c>
      <c r="E22" s="16">
        <v>-9.8668056193404394E-3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231.16</v>
      </c>
      <c r="M22" s="34">
        <v>270.27999999999997</v>
      </c>
      <c r="N22" s="35">
        <v>1.1692334313895101</v>
      </c>
      <c r="O22" s="35">
        <v>1.1658179450689301</v>
      </c>
      <c r="P22" s="35">
        <v>1.1942008702087601</v>
      </c>
      <c r="Q22" s="35">
        <v>1.1872119360813</v>
      </c>
      <c r="R22" s="34">
        <v>269.49047618213501</v>
      </c>
      <c r="S22" s="34">
        <v>276.78315580913699</v>
      </c>
      <c r="T22" s="34">
        <v>273.95791492816699</v>
      </c>
      <c r="U22" s="16">
        <v>-2.9254078011521599E-3</v>
      </c>
      <c r="V22" s="16">
        <v>2.3775909917215801E-2</v>
      </c>
      <c r="W22" s="16">
        <v>1.3516040754480501E-2</v>
      </c>
      <c r="X22" s="35">
        <v>1.1692334313895101</v>
      </c>
      <c r="Y22" s="35">
        <v>1.1654134458566101</v>
      </c>
      <c r="Z22" s="35">
        <v>1.1942008702087601</v>
      </c>
      <c r="AA22" s="35">
        <v>1.1872119360813</v>
      </c>
      <c r="AB22" s="34">
        <v>269.39697214421398</v>
      </c>
      <c r="AC22" s="34">
        <v>276.78315580913699</v>
      </c>
      <c r="AD22" s="34">
        <v>273.95791492816699</v>
      </c>
      <c r="AE22" s="16">
        <v>-3.2724340276835901E-3</v>
      </c>
      <c r="AF22" s="16">
        <v>2.3775909917215801E-2</v>
      </c>
      <c r="AG22" s="16">
        <v>1.3516040754480501E-2</v>
      </c>
      <c r="AI22" s="27">
        <v>-5.0000000000000001E-3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9">
        <f t="shared" ref="AO22:AO85" si="8">AN22*D22</f>
        <v>0</v>
      </c>
      <c r="AP22" s="29">
        <f t="shared" ref="AP22:AP85" si="9">-AN22*$E22</f>
        <v>0</v>
      </c>
      <c r="AQ22" s="29">
        <f>AO22+AP22</f>
        <v>0</v>
      </c>
      <c r="AR22" s="30">
        <f>AR21+AQ22</f>
        <v>0</v>
      </c>
      <c r="AT22" s="27">
        <v>1.4999999999999999E-2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9">
        <f t="shared" ref="AZ22:AZ85" si="12">-AY22*D22</f>
        <v>0</v>
      </c>
      <c r="BA22" s="29">
        <f t="shared" ref="BA22:BA85" si="13">AY22*$E22</f>
        <v>0</v>
      </c>
      <c r="BB22" s="29">
        <f>AZ22+BA22</f>
        <v>0</v>
      </c>
      <c r="BC22" s="30">
        <f>BC21+BB22</f>
        <v>0</v>
      </c>
      <c r="BE22" s="30">
        <f>AQ22+BB22</f>
        <v>0</v>
      </c>
      <c r="BF22" s="30">
        <f>BF21+BE22</f>
        <v>0</v>
      </c>
      <c r="BH22" s="30"/>
    </row>
    <row r="23" spans="1:124" x14ac:dyDescent="0.25">
      <c r="A23" s="1">
        <v>46056</v>
      </c>
      <c r="B23" s="34">
        <v>234.49</v>
      </c>
      <c r="C23" s="34">
        <v>278.45999999999998</v>
      </c>
      <c r="D23" s="16">
        <v>1.4302831604238E-2</v>
      </c>
      <c r="E23" s="16">
        <v>2.9815963797165598E-2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234.49</v>
      </c>
      <c r="M23" s="34">
        <v>278.45999999999998</v>
      </c>
      <c r="N23" s="35">
        <v>1.1875133267943101</v>
      </c>
      <c r="O23" s="35">
        <v>1.1658179450689301</v>
      </c>
      <c r="P23" s="35">
        <v>1.19354909233754</v>
      </c>
      <c r="Q23" s="35">
        <v>1.18911453636662</v>
      </c>
      <c r="R23" s="34">
        <v>273.372649939214</v>
      </c>
      <c r="S23" s="34">
        <v>280.02816205525198</v>
      </c>
      <c r="T23" s="34">
        <v>278.38932689170502</v>
      </c>
      <c r="U23" s="16">
        <v>-1.8438539994079899E-2</v>
      </c>
      <c r="V23" s="16">
        <v>5.6157543991651E-3</v>
      </c>
      <c r="W23" s="16">
        <v>-2.5383207004588598E-4</v>
      </c>
      <c r="X23" s="35">
        <v>1.1875133267943101</v>
      </c>
      <c r="Y23" s="35">
        <v>1.1654134458566101</v>
      </c>
      <c r="Z23" s="35">
        <v>1.19354909233754</v>
      </c>
      <c r="AA23" s="35">
        <v>1.18911453636662</v>
      </c>
      <c r="AB23" s="34">
        <v>273.27779891891697</v>
      </c>
      <c r="AC23" s="34">
        <v>280.02816205525198</v>
      </c>
      <c r="AD23" s="34">
        <v>278.38932689170502</v>
      </c>
      <c r="AE23" s="16">
        <v>-1.8785566220611099E-2</v>
      </c>
      <c r="AF23" s="16">
        <v>5.6157543991651E-3</v>
      </c>
      <c r="AG23" s="16">
        <v>-2.5383207004588598E-4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9">
        <f t="shared" si="8"/>
        <v>0</v>
      </c>
      <c r="AP23" s="29">
        <f t="shared" si="9"/>
        <v>0</v>
      </c>
      <c r="AQ23" s="29">
        <f t="shared" ref="AQ23:AQ86" si="16">AO23+AP23</f>
        <v>0</v>
      </c>
      <c r="AR23" s="30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9">
        <f t="shared" si="12"/>
        <v>0</v>
      </c>
      <c r="BA23" s="29">
        <f t="shared" si="13"/>
        <v>0</v>
      </c>
      <c r="BB23" s="29">
        <f t="shared" ref="BB23:BB86" si="20">AZ23+BA23</f>
        <v>0</v>
      </c>
      <c r="BC23" s="30">
        <f t="shared" ref="BC23:BC86" si="21">BC22+BB23</f>
        <v>0</v>
      </c>
      <c r="BE23" s="30">
        <f t="shared" ref="BE23:BE86" si="22">AQ23+BB23</f>
        <v>0</v>
      </c>
      <c r="BF23" s="30">
        <f t="shared" ref="BF23:BF86" si="23">BF22+BE23</f>
        <v>0</v>
      </c>
      <c r="BH23" s="30"/>
    </row>
    <row r="24" spans="1:124" x14ac:dyDescent="0.25">
      <c r="A24" s="1">
        <v>46057</v>
      </c>
      <c r="B24" s="34">
        <v>228</v>
      </c>
      <c r="C24" s="34">
        <v>264.89999999999998</v>
      </c>
      <c r="D24" s="16">
        <v>-2.80673140993743E-2</v>
      </c>
      <c r="E24" s="16">
        <v>-4.9922026203115401E-2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228</v>
      </c>
      <c r="M24" s="34">
        <v>264.89999999999998</v>
      </c>
      <c r="N24" s="35">
        <v>1.16184210526315</v>
      </c>
      <c r="O24" s="35">
        <v>1.1658179450689301</v>
      </c>
      <c r="P24" s="35">
        <v>1.19097940100345</v>
      </c>
      <c r="Q24" s="35">
        <v>1.18940506915247</v>
      </c>
      <c r="R24" s="34">
        <v>265.806491475717</v>
      </c>
      <c r="S24" s="34">
        <v>272.12919305295901</v>
      </c>
      <c r="T24" s="34">
        <v>271.11811429159002</v>
      </c>
      <c r="U24" s="16">
        <v>3.4161721096612101E-3</v>
      </c>
      <c r="V24" s="16">
        <v>2.6924531712721599E-2</v>
      </c>
      <c r="W24" s="16">
        <v>2.3202175742785099E-2</v>
      </c>
      <c r="X24" s="35">
        <v>1.16184210526315</v>
      </c>
      <c r="Y24" s="35">
        <v>1.1654134458566101</v>
      </c>
      <c r="Z24" s="35">
        <v>1.19097940100345</v>
      </c>
      <c r="AA24" s="35">
        <v>1.18940506915247</v>
      </c>
      <c r="AB24" s="34">
        <v>265.71426565530697</v>
      </c>
      <c r="AC24" s="34">
        <v>272.12919305295901</v>
      </c>
      <c r="AD24" s="34">
        <v>271.11811429159002</v>
      </c>
      <c r="AE24" s="16">
        <v>3.06914588312976E-3</v>
      </c>
      <c r="AF24" s="16">
        <v>2.6924531712721599E-2</v>
      </c>
      <c r="AG24" s="16">
        <v>2.3202175742785099E-2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9">
        <f t="shared" si="8"/>
        <v>0</v>
      </c>
      <c r="AP24" s="29">
        <f t="shared" si="9"/>
        <v>0</v>
      </c>
      <c r="AQ24" s="29">
        <f t="shared" si="16"/>
        <v>0</v>
      </c>
      <c r="AR24" s="30">
        <f t="shared" si="17"/>
        <v>0</v>
      </c>
      <c r="AT24" s="12"/>
      <c r="AU24">
        <f t="shared" si="10"/>
        <v>0</v>
      </c>
      <c r="AV24">
        <f t="shared" si="11"/>
        <v>0</v>
      </c>
      <c r="AW24">
        <f t="shared" si="18"/>
        <v>0</v>
      </c>
      <c r="AX24">
        <f t="shared" si="5"/>
        <v>1</v>
      </c>
      <c r="AY24">
        <f t="shared" si="19"/>
        <v>0</v>
      </c>
      <c r="AZ24" s="29">
        <f t="shared" si="12"/>
        <v>0</v>
      </c>
      <c r="BA24" s="29">
        <f t="shared" si="13"/>
        <v>0</v>
      </c>
      <c r="BB24" s="29">
        <f t="shared" si="20"/>
        <v>0</v>
      </c>
      <c r="BC24" s="30">
        <f t="shared" si="21"/>
        <v>0</v>
      </c>
      <c r="BE24" s="30">
        <f t="shared" si="22"/>
        <v>0</v>
      </c>
      <c r="BF24" s="30">
        <f t="shared" si="23"/>
        <v>0</v>
      </c>
      <c r="BH24" s="30"/>
    </row>
    <row r="25" spans="1:124" x14ac:dyDescent="0.25">
      <c r="A25" s="1">
        <v>46058</v>
      </c>
      <c r="B25" s="34">
        <v>226.18</v>
      </c>
      <c r="C25" s="34">
        <v>259.38</v>
      </c>
      <c r="D25" s="16">
        <v>-8.0144865112598395E-3</v>
      </c>
      <c r="E25" s="16">
        <v>-2.1058228370428402E-2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226.18</v>
      </c>
      <c r="M25" s="34">
        <v>259.38</v>
      </c>
      <c r="N25" s="35">
        <v>1.1467857458661199</v>
      </c>
      <c r="O25" s="35">
        <v>1.1658179450689301</v>
      </c>
      <c r="P25" s="35">
        <v>1.1846165032806699</v>
      </c>
      <c r="Q25" s="35">
        <v>1.18875000990632</v>
      </c>
      <c r="R25" s="34">
        <v>263.68470281569103</v>
      </c>
      <c r="S25" s="34">
        <v>269.37572091895998</v>
      </c>
      <c r="T25" s="34">
        <v>269.01963854090701</v>
      </c>
      <c r="U25" s="16">
        <v>1.6459913968829801E-2</v>
      </c>
      <c r="V25" s="16">
        <v>3.7812969212119102E-2</v>
      </c>
      <c r="W25" s="16">
        <v>3.6490214757735298E-2</v>
      </c>
      <c r="X25" s="35">
        <v>1.1467857458661199</v>
      </c>
      <c r="Y25" s="35">
        <v>1.1654134458566101</v>
      </c>
      <c r="Z25" s="35">
        <v>1.1846165032806699</v>
      </c>
      <c r="AA25" s="35">
        <v>1.18875000990632</v>
      </c>
      <c r="AB25" s="34">
        <v>263.59321318384798</v>
      </c>
      <c r="AC25" s="34">
        <v>269.37572091895998</v>
      </c>
      <c r="AD25" s="34">
        <v>269.01963854090701</v>
      </c>
      <c r="AE25" s="16">
        <v>1.61128877422985E-2</v>
      </c>
      <c r="AF25" s="16">
        <v>3.7812969212119102E-2</v>
      </c>
      <c r="AG25" s="16">
        <v>3.6490214757735298E-2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9">
        <f t="shared" si="8"/>
        <v>0</v>
      </c>
      <c r="AP25" s="29">
        <f t="shared" si="9"/>
        <v>0</v>
      </c>
      <c r="AQ25" s="29">
        <f t="shared" si="16"/>
        <v>0</v>
      </c>
      <c r="AR25" s="30">
        <f t="shared" si="17"/>
        <v>0</v>
      </c>
      <c r="AT25" s="12"/>
      <c r="AU25">
        <f t="shared" si="10"/>
        <v>1</v>
      </c>
      <c r="AV25">
        <f t="shared" si="11"/>
        <v>0</v>
      </c>
      <c r="AW25">
        <f t="shared" si="18"/>
        <v>0</v>
      </c>
      <c r="AX25">
        <f t="shared" si="5"/>
        <v>1</v>
      </c>
      <c r="AY25">
        <f t="shared" si="19"/>
        <v>0</v>
      </c>
      <c r="AZ25" s="29">
        <f t="shared" si="12"/>
        <v>0</v>
      </c>
      <c r="BA25" s="29">
        <f t="shared" si="13"/>
        <v>0</v>
      </c>
      <c r="BB25" s="29">
        <f t="shared" si="20"/>
        <v>0</v>
      </c>
      <c r="BC25" s="30">
        <f t="shared" si="21"/>
        <v>0</v>
      </c>
      <c r="BE25" s="30">
        <f t="shared" si="22"/>
        <v>0</v>
      </c>
      <c r="BF25" s="30">
        <f t="shared" si="23"/>
        <v>0</v>
      </c>
      <c r="BH25" s="30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4">
        <v>233.93</v>
      </c>
      <c r="C26" s="34">
        <v>272.23</v>
      </c>
      <c r="D26" s="16">
        <v>3.36907828624948E-2</v>
      </c>
      <c r="E26" s="16">
        <v>4.8353129315373798E-2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233.93</v>
      </c>
      <c r="M26" s="34">
        <v>272.23</v>
      </c>
      <c r="N26" s="35">
        <v>1.1637241909973</v>
      </c>
      <c r="O26" s="35">
        <v>1.1658179450689301</v>
      </c>
      <c r="P26" s="35">
        <v>1.1805226782828999</v>
      </c>
      <c r="Q26" s="35">
        <v>1.1878630980561899</v>
      </c>
      <c r="R26" s="34">
        <v>272.71979188997602</v>
      </c>
      <c r="S26" s="34">
        <v>277.11733861244801</v>
      </c>
      <c r="T26" s="34">
        <v>278.08428981738501</v>
      </c>
      <c r="U26" s="16">
        <v>1.79756751595088E-3</v>
      </c>
      <c r="V26" s="16">
        <v>1.7793724368150601E-2</v>
      </c>
      <c r="W26" s="16">
        <v>2.12769712935615E-2</v>
      </c>
      <c r="X26" s="35">
        <v>1.1637241909973</v>
      </c>
      <c r="Y26" s="35">
        <v>1.1654134458566101</v>
      </c>
      <c r="Z26" s="35">
        <v>1.1805226782828999</v>
      </c>
      <c r="AA26" s="35">
        <v>1.1878630980561899</v>
      </c>
      <c r="AB26" s="34">
        <v>272.62516738923699</v>
      </c>
      <c r="AC26" s="34">
        <v>277.11733861244801</v>
      </c>
      <c r="AD26" s="34">
        <v>278.08428981738501</v>
      </c>
      <c r="AE26" s="16">
        <v>1.45054128941965E-3</v>
      </c>
      <c r="AF26" s="16">
        <v>1.7793724368150601E-2</v>
      </c>
      <c r="AG26" s="16">
        <v>2.12769712935615E-2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9">
        <f t="shared" si="8"/>
        <v>0</v>
      </c>
      <c r="AP26" s="29">
        <f t="shared" si="9"/>
        <v>0</v>
      </c>
      <c r="AQ26" s="29">
        <f t="shared" si="16"/>
        <v>0</v>
      </c>
      <c r="AR26" s="30">
        <f t="shared" si="17"/>
        <v>0</v>
      </c>
      <c r="AT26" s="12"/>
      <c r="AU26">
        <f t="shared" si="10"/>
        <v>0</v>
      </c>
      <c r="AV26">
        <f t="shared" si="11"/>
        <v>0</v>
      </c>
      <c r="AW26">
        <f t="shared" si="18"/>
        <v>1</v>
      </c>
      <c r="AX26">
        <f t="shared" si="5"/>
        <v>1</v>
      </c>
      <c r="AY26">
        <f t="shared" si="19"/>
        <v>1</v>
      </c>
      <c r="AZ26" s="29">
        <f t="shared" si="12"/>
        <v>-3.36907828624948E-2</v>
      </c>
      <c r="BA26" s="29">
        <f t="shared" si="13"/>
        <v>4.8353129315373798E-2</v>
      </c>
      <c r="BB26" s="29">
        <f t="shared" si="20"/>
        <v>1.4662346452878998E-2</v>
      </c>
      <c r="BC26" s="30">
        <f t="shared" si="21"/>
        <v>1.4662346452878998E-2</v>
      </c>
      <c r="BE26" s="30">
        <f t="shared" si="22"/>
        <v>1.4662346452878998E-2</v>
      </c>
      <c r="BF26" s="30">
        <f t="shared" si="23"/>
        <v>1.4662346452878998E-2</v>
      </c>
      <c r="BH26" s="30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4">
        <v>234.84</v>
      </c>
      <c r="C27" s="34">
        <v>276.42</v>
      </c>
      <c r="D27" s="16">
        <v>3.8825058903093099E-3</v>
      </c>
      <c r="E27" s="16">
        <v>1.52741509529113E-2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234.84</v>
      </c>
      <c r="M27" s="34">
        <v>276.42</v>
      </c>
      <c r="N27" s="35">
        <v>1.1770567194685699</v>
      </c>
      <c r="O27" s="35">
        <v>1.1658179450689301</v>
      </c>
      <c r="P27" s="35">
        <v>1.1782480605734</v>
      </c>
      <c r="Q27" s="35">
        <v>1.1873434826410301</v>
      </c>
      <c r="R27" s="34">
        <v>273.78068621998801</v>
      </c>
      <c r="S27" s="34">
        <v>277.23394576795698</v>
      </c>
      <c r="T27" s="34">
        <v>278.957769947516</v>
      </c>
      <c r="U27" s="16">
        <v>-9.5940775466512498E-3</v>
      </c>
      <c r="V27" s="16">
        <v>2.9402711226822901E-3</v>
      </c>
      <c r="W27" s="16">
        <v>9.13895999379063E-3</v>
      </c>
      <c r="X27" s="35">
        <v>1.1770567194685699</v>
      </c>
      <c r="Y27" s="35">
        <v>1.1654134458566101</v>
      </c>
      <c r="Z27" s="35">
        <v>1.1782480605734</v>
      </c>
      <c r="AA27" s="35">
        <v>1.1873434826410301</v>
      </c>
      <c r="AB27" s="34">
        <v>273.68569362496697</v>
      </c>
      <c r="AC27" s="34">
        <v>277.23394576795698</v>
      </c>
      <c r="AD27" s="34">
        <v>278.957769947516</v>
      </c>
      <c r="AE27" s="16">
        <v>-9.9411037731826392E-3</v>
      </c>
      <c r="AF27" s="16">
        <v>2.9402711226822901E-3</v>
      </c>
      <c r="AG27" s="16">
        <v>9.13895999379063E-3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9">
        <f t="shared" si="8"/>
        <v>0</v>
      </c>
      <c r="AP27" s="29">
        <f t="shared" si="9"/>
        <v>0</v>
      </c>
      <c r="AQ27" s="29">
        <f t="shared" si="16"/>
        <v>0</v>
      </c>
      <c r="AR27" s="30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1</v>
      </c>
      <c r="AX27">
        <f t="shared" si="5"/>
        <v>1</v>
      </c>
      <c r="AY27">
        <f t="shared" si="19"/>
        <v>1</v>
      </c>
      <c r="AZ27" s="29">
        <f t="shared" si="12"/>
        <v>-3.8825058903093099E-3</v>
      </c>
      <c r="BA27" s="29">
        <f t="shared" si="13"/>
        <v>1.52741509529113E-2</v>
      </c>
      <c r="BB27" s="29">
        <f t="shared" si="20"/>
        <v>1.139164506260199E-2</v>
      </c>
      <c r="BC27" s="30">
        <f t="shared" si="21"/>
        <v>2.605399151548099E-2</v>
      </c>
      <c r="BE27" s="30">
        <f t="shared" si="22"/>
        <v>1.139164506260199E-2</v>
      </c>
      <c r="BF27" s="30">
        <f t="shared" si="23"/>
        <v>2.605399151548099E-2</v>
      </c>
      <c r="BH27" s="30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4">
        <v>233.21</v>
      </c>
      <c r="C28" s="34">
        <v>271.85000000000002</v>
      </c>
      <c r="D28" s="16">
        <v>-6.9650959923841698E-3</v>
      </c>
      <c r="E28" s="16">
        <v>-1.6671004583950901E-2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233.21</v>
      </c>
      <c r="M28" s="34">
        <v>271.85000000000002</v>
      </c>
      <c r="N28" s="35">
        <v>1.16568757771965</v>
      </c>
      <c r="O28" s="35">
        <v>1.1658179450689301</v>
      </c>
      <c r="P28" s="35">
        <v>1.1745231722395499</v>
      </c>
      <c r="Q28" s="35">
        <v>1.1862535220638899</v>
      </c>
      <c r="R28" s="34">
        <v>271.88040296952602</v>
      </c>
      <c r="S28" s="34">
        <v>274.77923020632397</v>
      </c>
      <c r="T28" s="34">
        <v>276.90037358671498</v>
      </c>
      <c r="U28" s="16">
        <v>1.11831044915418E-4</v>
      </c>
      <c r="V28" s="16">
        <v>1.07175324090253E-2</v>
      </c>
      <c r="W28" s="16">
        <v>1.8407335759645201E-2</v>
      </c>
      <c r="X28" s="35">
        <v>1.16568757771965</v>
      </c>
      <c r="Y28" s="35">
        <v>1.1654134458566101</v>
      </c>
      <c r="Z28" s="35">
        <v>1.1745231722395499</v>
      </c>
      <c r="AA28" s="35">
        <v>1.1862535220638899</v>
      </c>
      <c r="AB28" s="34">
        <v>271.78606970822</v>
      </c>
      <c r="AC28" s="34">
        <v>274.77923020632397</v>
      </c>
      <c r="AD28" s="34">
        <v>276.90037358671498</v>
      </c>
      <c r="AE28" s="16">
        <v>-2.3519518161568801E-4</v>
      </c>
      <c r="AF28" s="16">
        <v>1.07175324090253E-2</v>
      </c>
      <c r="AG28" s="16">
        <v>1.8407335759645201E-2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9">
        <f t="shared" si="8"/>
        <v>0</v>
      </c>
      <c r="AP28" s="29">
        <f t="shared" si="9"/>
        <v>0</v>
      </c>
      <c r="AQ28" s="29">
        <f t="shared" si="16"/>
        <v>0</v>
      </c>
      <c r="AR28" s="30">
        <f t="shared" si="17"/>
        <v>0</v>
      </c>
      <c r="AT28" s="12"/>
      <c r="AU28">
        <f t="shared" si="10"/>
        <v>0</v>
      </c>
      <c r="AV28">
        <f t="shared" si="11"/>
        <v>0</v>
      </c>
      <c r="AW28">
        <f t="shared" si="18"/>
        <v>0</v>
      </c>
      <c r="AX28">
        <f t="shared" si="5"/>
        <v>1</v>
      </c>
      <c r="AY28">
        <f t="shared" si="19"/>
        <v>0</v>
      </c>
      <c r="AZ28" s="29">
        <f t="shared" si="12"/>
        <v>0</v>
      </c>
      <c r="BA28" s="29">
        <f t="shared" si="13"/>
        <v>0</v>
      </c>
      <c r="BB28" s="29">
        <f t="shared" si="20"/>
        <v>0</v>
      </c>
      <c r="BC28" s="30">
        <f t="shared" si="21"/>
        <v>2.605399151548099E-2</v>
      </c>
      <c r="BE28" s="30">
        <f t="shared" si="22"/>
        <v>0</v>
      </c>
      <c r="BF28" s="30">
        <f t="shared" si="23"/>
        <v>2.605399151548099E-2</v>
      </c>
      <c r="BH28" s="30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4">
        <v>230.95</v>
      </c>
      <c r="C29" s="34">
        <v>266.87</v>
      </c>
      <c r="D29" s="16">
        <v>-9.7380983269867299E-3</v>
      </c>
      <c r="E29" s="16">
        <v>-1.84887951475474E-2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230.95</v>
      </c>
      <c r="M29" s="34">
        <v>266.87</v>
      </c>
      <c r="N29" s="35">
        <v>1.1555315003247399</v>
      </c>
      <c r="O29" s="35">
        <v>1.1658179450689301</v>
      </c>
      <c r="P29" s="35">
        <v>1.1695876406853101</v>
      </c>
      <c r="Q29" s="35">
        <v>1.1847916530286</v>
      </c>
      <c r="R29" s="34">
        <v>269.24565441367002</v>
      </c>
      <c r="S29" s="34">
        <v>271.25612662872499</v>
      </c>
      <c r="T29" s="34">
        <v>273.96525092065701</v>
      </c>
      <c r="U29" s="16">
        <v>8.8625278654762708E-3</v>
      </c>
      <c r="V29" s="16">
        <v>1.6301842804893101E-2</v>
      </c>
      <c r="W29" s="16">
        <v>2.6239628443712401E-2</v>
      </c>
      <c r="X29" s="35">
        <v>1.1555315003247399</v>
      </c>
      <c r="Y29" s="35">
        <v>1.1654134458566101</v>
      </c>
      <c r="Z29" s="35">
        <v>1.1695876406853101</v>
      </c>
      <c r="AA29" s="35">
        <v>1.1847916530286</v>
      </c>
      <c r="AB29" s="34">
        <v>269.152235320584</v>
      </c>
      <c r="AC29" s="34">
        <v>271.25612662872499</v>
      </c>
      <c r="AD29" s="34">
        <v>273.96525092065701</v>
      </c>
      <c r="AE29" s="16">
        <v>8.5155016389449698E-3</v>
      </c>
      <c r="AF29" s="16">
        <v>1.6301842804893101E-2</v>
      </c>
      <c r="AG29" s="16">
        <v>2.6239628443712401E-2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9">
        <f t="shared" si="8"/>
        <v>0</v>
      </c>
      <c r="AP29" s="29">
        <f t="shared" si="9"/>
        <v>0</v>
      </c>
      <c r="AQ29" s="29">
        <f t="shared" si="16"/>
        <v>0</v>
      </c>
      <c r="AR29" s="30">
        <f t="shared" si="17"/>
        <v>0</v>
      </c>
      <c r="AT29" s="12"/>
      <c r="AU29">
        <f t="shared" si="10"/>
        <v>0</v>
      </c>
      <c r="AV29">
        <f t="shared" si="11"/>
        <v>0</v>
      </c>
      <c r="AW29">
        <f t="shared" si="18"/>
        <v>0</v>
      </c>
      <c r="AX29">
        <f t="shared" si="5"/>
        <v>1</v>
      </c>
      <c r="AY29">
        <f t="shared" si="19"/>
        <v>0</v>
      </c>
      <c r="AZ29" s="29">
        <f t="shared" si="12"/>
        <v>0</v>
      </c>
      <c r="BA29" s="29">
        <f t="shared" si="13"/>
        <v>0</v>
      </c>
      <c r="BB29" s="29">
        <f t="shared" si="20"/>
        <v>0</v>
      </c>
      <c r="BC29" s="30">
        <f t="shared" si="21"/>
        <v>2.605399151548099E-2</v>
      </c>
      <c r="BE29" s="30">
        <f t="shared" si="22"/>
        <v>0</v>
      </c>
      <c r="BF29" s="30">
        <f t="shared" si="23"/>
        <v>2.605399151548099E-2</v>
      </c>
      <c r="BH29" s="30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4">
        <v>232.53</v>
      </c>
      <c r="C30" s="34">
        <v>267.68</v>
      </c>
      <c r="D30" s="16">
        <v>6.8180120849153196E-3</v>
      </c>
      <c r="E30" s="16">
        <v>3.0305887941315499E-3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232.53</v>
      </c>
      <c r="M30" s="34">
        <v>267.68</v>
      </c>
      <c r="N30" s="35">
        <v>1.1511632907581799</v>
      </c>
      <c r="O30" s="35">
        <v>1.1658179450689301</v>
      </c>
      <c r="P30" s="35">
        <v>1.16531656534494</v>
      </c>
      <c r="Q30" s="35">
        <v>1.1826178389747699</v>
      </c>
      <c r="R30" s="34">
        <v>271.087646766879</v>
      </c>
      <c r="S30" s="34">
        <v>271.96421408855599</v>
      </c>
      <c r="T30" s="34">
        <v>275.49960307874198</v>
      </c>
      <c r="U30" s="16">
        <v>1.2649951156260201E-2</v>
      </c>
      <c r="V30" s="16">
        <v>1.58782545510417E-2</v>
      </c>
      <c r="W30" s="16">
        <v>2.8793950622899099E-2</v>
      </c>
      <c r="X30" s="35">
        <v>1.1511632907581799</v>
      </c>
      <c r="Y30" s="35">
        <v>1.1654134458566101</v>
      </c>
      <c r="Z30" s="35">
        <v>1.16531656534494</v>
      </c>
      <c r="AA30" s="35">
        <v>1.1826178389747699</v>
      </c>
      <c r="AB30" s="34">
        <v>270.99358856503801</v>
      </c>
      <c r="AC30" s="34">
        <v>271.96421408855599</v>
      </c>
      <c r="AD30" s="34">
        <v>275.49960307874198</v>
      </c>
      <c r="AE30" s="16">
        <v>1.2302924929728801E-2</v>
      </c>
      <c r="AF30" s="16">
        <v>1.58782545510417E-2</v>
      </c>
      <c r="AG30" s="16">
        <v>2.8793950622899099E-2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9">
        <f t="shared" si="8"/>
        <v>0</v>
      </c>
      <c r="AP30" s="29">
        <f t="shared" si="9"/>
        <v>0</v>
      </c>
      <c r="AQ30" s="29">
        <f t="shared" si="16"/>
        <v>0</v>
      </c>
      <c r="AR30" s="30">
        <f t="shared" si="17"/>
        <v>0</v>
      </c>
      <c r="AT30" s="12"/>
      <c r="AU30">
        <f t="shared" si="10"/>
        <v>0</v>
      </c>
      <c r="AV30">
        <f t="shared" si="11"/>
        <v>0</v>
      </c>
      <c r="AW30">
        <f t="shared" si="18"/>
        <v>0</v>
      </c>
      <c r="AX30">
        <f t="shared" si="5"/>
        <v>1</v>
      </c>
      <c r="AY30">
        <f t="shared" si="19"/>
        <v>0</v>
      </c>
      <c r="AZ30" s="29">
        <f t="shared" si="12"/>
        <v>0</v>
      </c>
      <c r="BA30" s="29">
        <f t="shared" si="13"/>
        <v>0</v>
      </c>
      <c r="BB30" s="29">
        <f t="shared" si="20"/>
        <v>0</v>
      </c>
      <c r="BC30" s="30">
        <f t="shared" si="21"/>
        <v>2.605399151548099E-2</v>
      </c>
      <c r="BE30" s="30">
        <f t="shared" si="22"/>
        <v>0</v>
      </c>
      <c r="BF30" s="30">
        <f t="shared" si="23"/>
        <v>2.605399151548099E-2</v>
      </c>
      <c r="BH30" s="30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4">
        <v>234.87</v>
      </c>
      <c r="C31" s="34">
        <v>270.72000000000003</v>
      </c>
      <c r="D31" s="16">
        <v>1.0012920626402799E-2</v>
      </c>
      <c r="E31" s="16">
        <v>1.1292839179344601E-2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234.87</v>
      </c>
      <c r="M31" s="34">
        <v>270.72000000000003</v>
      </c>
      <c r="N31" s="35">
        <v>1.1526376293268601</v>
      </c>
      <c r="O31" s="35">
        <v>1.1658179450689301</v>
      </c>
      <c r="P31" s="35">
        <v>1.1631175517908401</v>
      </c>
      <c r="Q31" s="35">
        <v>1.18024184348743</v>
      </c>
      <c r="R31" s="34">
        <v>273.81566075834098</v>
      </c>
      <c r="S31" s="34">
        <v>273.69790170256698</v>
      </c>
      <c r="T31" s="34">
        <v>277.76145184000598</v>
      </c>
      <c r="U31" s="16">
        <v>1.13700326033182E-2</v>
      </c>
      <c r="V31" s="16">
        <v>1.0939873185677599E-2</v>
      </c>
      <c r="W31" s="16">
        <v>2.5677581999014799E-2</v>
      </c>
      <c r="X31" s="35">
        <v>1.1526376293268601</v>
      </c>
      <c r="Y31" s="35">
        <v>1.1654134458566101</v>
      </c>
      <c r="Z31" s="35">
        <v>1.1631175517908401</v>
      </c>
      <c r="AA31" s="35">
        <v>1.18024184348743</v>
      </c>
      <c r="AB31" s="34">
        <v>273.72065602834198</v>
      </c>
      <c r="AC31" s="34">
        <v>273.69790170256698</v>
      </c>
      <c r="AD31" s="34">
        <v>277.76145184000598</v>
      </c>
      <c r="AE31" s="16">
        <v>1.1023006376786999E-2</v>
      </c>
      <c r="AF31" s="16">
        <v>1.0939873185677599E-2</v>
      </c>
      <c r="AG31" s="16">
        <v>2.5677581999014799E-2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9">
        <f t="shared" si="8"/>
        <v>0</v>
      </c>
      <c r="AP31" s="29">
        <f t="shared" si="9"/>
        <v>0</v>
      </c>
      <c r="AQ31" s="29">
        <f t="shared" si="16"/>
        <v>0</v>
      </c>
      <c r="AR31" s="30">
        <f t="shared" si="17"/>
        <v>0</v>
      </c>
      <c r="AT31" s="12"/>
      <c r="AU31">
        <f t="shared" si="10"/>
        <v>0</v>
      </c>
      <c r="AV31">
        <f t="shared" si="11"/>
        <v>0</v>
      </c>
      <c r="AW31">
        <f t="shared" si="18"/>
        <v>0</v>
      </c>
      <c r="AX31">
        <f t="shared" si="5"/>
        <v>1</v>
      </c>
      <c r="AY31">
        <f t="shared" si="19"/>
        <v>0</v>
      </c>
      <c r="AZ31" s="29">
        <f t="shared" si="12"/>
        <v>0</v>
      </c>
      <c r="BA31" s="29">
        <f t="shared" si="13"/>
        <v>0</v>
      </c>
      <c r="BB31" s="29">
        <f t="shared" si="20"/>
        <v>0</v>
      </c>
      <c r="BC31" s="30">
        <f t="shared" si="21"/>
        <v>2.605399151548099E-2</v>
      </c>
      <c r="BE31" s="30">
        <f t="shared" si="22"/>
        <v>0</v>
      </c>
      <c r="BF31" s="30">
        <f t="shared" si="23"/>
        <v>2.605399151548099E-2</v>
      </c>
      <c r="BH31" s="30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4">
        <v>238.17</v>
      </c>
      <c r="C32" s="34">
        <v>273.51</v>
      </c>
      <c r="D32" s="16">
        <v>1.39525348171992E-2</v>
      </c>
      <c r="E32" s="16">
        <v>1.02531078470624E-2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238.17</v>
      </c>
      <c r="M32" s="34">
        <v>273.51</v>
      </c>
      <c r="N32" s="35">
        <v>1.1483814082378101</v>
      </c>
      <c r="O32" s="35">
        <v>1.1658179450689301</v>
      </c>
      <c r="P32" s="35">
        <v>1.16103234947567</v>
      </c>
      <c r="Q32" s="35">
        <v>1.1776166098422101</v>
      </c>
      <c r="R32" s="34">
        <v>277.66285997706802</v>
      </c>
      <c r="S32" s="34">
        <v>277.01970731002501</v>
      </c>
      <c r="T32" s="34">
        <v>281.09819986340102</v>
      </c>
      <c r="U32" s="16">
        <v>1.5069459573454701E-2</v>
      </c>
      <c r="V32" s="16">
        <v>1.27504649152517E-2</v>
      </c>
      <c r="W32" s="16">
        <v>2.7365889725962201E-2</v>
      </c>
      <c r="X32" s="35">
        <v>1.1483814082378101</v>
      </c>
      <c r="Y32" s="35">
        <v>1.1654134458566101</v>
      </c>
      <c r="Z32" s="35">
        <v>1.16103234947567</v>
      </c>
      <c r="AA32" s="35">
        <v>1.1776166098422101</v>
      </c>
      <c r="AB32" s="34">
        <v>277.566520399669</v>
      </c>
      <c r="AC32" s="34">
        <v>277.01970731002501</v>
      </c>
      <c r="AD32" s="34">
        <v>281.09819986340102</v>
      </c>
      <c r="AE32" s="16">
        <v>1.4722433346923599E-2</v>
      </c>
      <c r="AF32" s="16">
        <v>1.27504649152517E-2</v>
      </c>
      <c r="AG32" s="16">
        <v>2.7365889725962201E-2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9">
        <f t="shared" si="8"/>
        <v>0</v>
      </c>
      <c r="AP32" s="29">
        <f t="shared" si="9"/>
        <v>0</v>
      </c>
      <c r="AQ32" s="29">
        <f t="shared" si="16"/>
        <v>0</v>
      </c>
      <c r="AR32" s="30">
        <f t="shared" si="17"/>
        <v>0</v>
      </c>
      <c r="AT32" s="12"/>
      <c r="AU32">
        <f t="shared" si="10"/>
        <v>0</v>
      </c>
      <c r="AV32">
        <f t="shared" si="11"/>
        <v>0</v>
      </c>
      <c r="AW32">
        <f t="shared" si="18"/>
        <v>0</v>
      </c>
      <c r="AX32">
        <f t="shared" si="5"/>
        <v>1</v>
      </c>
      <c r="AY32">
        <f t="shared" si="19"/>
        <v>0</v>
      </c>
      <c r="AZ32" s="29">
        <f t="shared" si="12"/>
        <v>0</v>
      </c>
      <c r="BA32" s="29">
        <f t="shared" si="13"/>
        <v>0</v>
      </c>
      <c r="BB32" s="29">
        <f t="shared" si="20"/>
        <v>0</v>
      </c>
      <c r="BC32" s="30">
        <f t="shared" si="21"/>
        <v>2.605399151548099E-2</v>
      </c>
      <c r="BE32" s="30">
        <f t="shared" si="22"/>
        <v>0</v>
      </c>
      <c r="BF32" s="30">
        <f t="shared" si="23"/>
        <v>2.605399151548099E-2</v>
      </c>
      <c r="BH32" s="30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4">
        <v>240.32</v>
      </c>
      <c r="C33" s="34">
        <v>278.32</v>
      </c>
      <c r="D33" s="16">
        <v>8.9866641706382502E-3</v>
      </c>
      <c r="E33" s="16">
        <v>1.74333465787655E-2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240.32</v>
      </c>
      <c r="M33" s="34">
        <v>278.32</v>
      </c>
      <c r="N33" s="35">
        <v>1.15812250332889</v>
      </c>
      <c r="O33" s="35">
        <v>1.1658179450689301</v>
      </c>
      <c r="P33" s="35">
        <v>1.15809326712913</v>
      </c>
      <c r="Q33" s="35">
        <v>1.17582117973333</v>
      </c>
      <c r="R33" s="34">
        <v>280.16936855896603</v>
      </c>
      <c r="S33" s="34">
        <v>279.01929422599301</v>
      </c>
      <c r="T33" s="34">
        <v>283.00482367728102</v>
      </c>
      <c r="U33" s="16">
        <v>6.62277716532759E-3</v>
      </c>
      <c r="V33" s="16">
        <v>2.5094035184647099E-3</v>
      </c>
      <c r="W33" s="16">
        <v>1.6692411450339499E-2</v>
      </c>
      <c r="X33" s="35">
        <v>1.15812250332889</v>
      </c>
      <c r="Y33" s="35">
        <v>1.1654134458566101</v>
      </c>
      <c r="Z33" s="35">
        <v>1.15809326712913</v>
      </c>
      <c r="AA33" s="35">
        <v>1.17582117973333</v>
      </c>
      <c r="AB33" s="34">
        <v>280.07215930826101</v>
      </c>
      <c r="AC33" s="34">
        <v>279.01929422599301</v>
      </c>
      <c r="AD33" s="34">
        <v>283.00482367728102</v>
      </c>
      <c r="AE33" s="16">
        <v>6.2757509387963801E-3</v>
      </c>
      <c r="AF33" s="16">
        <v>2.5094035184647099E-3</v>
      </c>
      <c r="AG33" s="16">
        <v>1.6692411450339499E-2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9">
        <f t="shared" si="8"/>
        <v>0</v>
      </c>
      <c r="AP33" s="29">
        <f t="shared" si="9"/>
        <v>0</v>
      </c>
      <c r="AQ33" s="29">
        <f t="shared" si="16"/>
        <v>0</v>
      </c>
      <c r="AR33" s="30">
        <f t="shared" si="17"/>
        <v>0</v>
      </c>
      <c r="AT33" s="12"/>
      <c r="AU33">
        <f t="shared" si="10"/>
        <v>0</v>
      </c>
      <c r="AV33">
        <f t="shared" si="11"/>
        <v>0</v>
      </c>
      <c r="AW33">
        <f t="shared" si="18"/>
        <v>0</v>
      </c>
      <c r="AX33">
        <f t="shared" si="5"/>
        <v>1</v>
      </c>
      <c r="AY33">
        <f t="shared" si="19"/>
        <v>0</v>
      </c>
      <c r="AZ33" s="29">
        <f t="shared" si="12"/>
        <v>0</v>
      </c>
      <c r="BA33" s="29">
        <f t="shared" si="13"/>
        <v>0</v>
      </c>
      <c r="BB33" s="29">
        <f t="shared" si="20"/>
        <v>0</v>
      </c>
      <c r="BC33" s="30">
        <f t="shared" si="21"/>
        <v>2.605399151548099E-2</v>
      </c>
      <c r="BE33" s="30">
        <f t="shared" si="22"/>
        <v>0</v>
      </c>
      <c r="BF33" s="30">
        <f t="shared" si="23"/>
        <v>2.605399151548099E-2</v>
      </c>
      <c r="BH33" s="30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4">
        <v>243.49</v>
      </c>
      <c r="C34" s="34">
        <v>284.45999999999998</v>
      </c>
      <c r="D34" s="16">
        <v>1.3104505341763901E-2</v>
      </c>
      <c r="E34" s="16">
        <v>2.18211152983953E-2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243.49</v>
      </c>
      <c r="M34" s="34">
        <v>284.45999999999998</v>
      </c>
      <c r="N34" s="35">
        <v>1.16826153024764</v>
      </c>
      <c r="O34" s="35">
        <v>1.1658179450689301</v>
      </c>
      <c r="P34" s="35">
        <v>1.15873520962758</v>
      </c>
      <c r="Q34" s="35">
        <v>1.17485730531551</v>
      </c>
      <c r="R34" s="34">
        <v>283.86501144483498</v>
      </c>
      <c r="S34" s="34">
        <v>281.98412961327199</v>
      </c>
      <c r="T34" s="34">
        <v>286.30069905327002</v>
      </c>
      <c r="U34" s="16">
        <v>-2.0938327913038201E-3</v>
      </c>
      <c r="V34" s="16">
        <v>-8.7418547547523599E-3</v>
      </c>
      <c r="W34" s="16">
        <v>6.4500076400065597E-3</v>
      </c>
      <c r="X34" s="35">
        <v>1.16826153024764</v>
      </c>
      <c r="Y34" s="35">
        <v>1.1654134458566101</v>
      </c>
      <c r="Z34" s="35">
        <v>1.15873520962758</v>
      </c>
      <c r="AA34" s="35">
        <v>1.17485730531551</v>
      </c>
      <c r="AB34" s="34">
        <v>283.76651993162602</v>
      </c>
      <c r="AC34" s="34">
        <v>281.98412961327199</v>
      </c>
      <c r="AD34" s="34">
        <v>286.30069905327002</v>
      </c>
      <c r="AE34" s="16">
        <v>-2.4408590178349701E-3</v>
      </c>
      <c r="AF34" s="16">
        <v>-8.7418547547523599E-3</v>
      </c>
      <c r="AG34" s="16">
        <v>6.4500076400065597E-3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9">
        <f t="shared" si="8"/>
        <v>0</v>
      </c>
      <c r="AP34" s="29">
        <f t="shared" si="9"/>
        <v>0</v>
      </c>
      <c r="AQ34" s="29">
        <f t="shared" si="16"/>
        <v>0</v>
      </c>
      <c r="AR34" s="30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9">
        <f t="shared" si="12"/>
        <v>0</v>
      </c>
      <c r="BA34" s="29">
        <f t="shared" si="13"/>
        <v>0</v>
      </c>
      <c r="BB34" s="29">
        <f t="shared" si="20"/>
        <v>0</v>
      </c>
      <c r="BC34" s="30">
        <f t="shared" si="21"/>
        <v>2.605399151548099E-2</v>
      </c>
      <c r="BE34" s="30">
        <f t="shared" si="22"/>
        <v>0</v>
      </c>
      <c r="BF34" s="30">
        <f t="shared" si="23"/>
        <v>2.605399151548099E-2</v>
      </c>
      <c r="BH34" s="30"/>
    </row>
    <row r="35" spans="1:124" x14ac:dyDescent="0.25">
      <c r="A35" s="1">
        <v>46073</v>
      </c>
      <c r="B35" s="34">
        <v>243.65</v>
      </c>
      <c r="C35" s="34">
        <v>282.01</v>
      </c>
      <c r="D35" s="16">
        <v>6.5689537198128096E-4</v>
      </c>
      <c r="E35" s="16">
        <v>-8.6501148397867093E-3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243.65</v>
      </c>
      <c r="M35" s="34">
        <v>282.01</v>
      </c>
      <c r="N35" s="35">
        <v>1.1574389493125301</v>
      </c>
      <c r="O35" s="35">
        <v>1.1658179450689301</v>
      </c>
      <c r="P35" s="35">
        <v>1.1598005299722201</v>
      </c>
      <c r="Q35" s="35">
        <v>1.17220851662644</v>
      </c>
      <c r="R35" s="34">
        <v>284.05154231604598</v>
      </c>
      <c r="S35" s="34">
        <v>282.32583382575899</v>
      </c>
      <c r="T35" s="34">
        <v>286.25398244012501</v>
      </c>
      <c r="U35" s="16">
        <v>7.2131774204641699E-3</v>
      </c>
      <c r="V35" s="16">
        <v>1.1193117282432899E-3</v>
      </c>
      <c r="W35" s="16">
        <v>1.49369359239638E-2</v>
      </c>
      <c r="X35" s="35">
        <v>1.1574389493125301</v>
      </c>
      <c r="Y35" s="35">
        <v>1.1654134458566101</v>
      </c>
      <c r="Z35" s="35">
        <v>1.1598005299722201</v>
      </c>
      <c r="AA35" s="35">
        <v>1.17220851662644</v>
      </c>
      <c r="AB35" s="34">
        <v>283.95298608296298</v>
      </c>
      <c r="AC35" s="34">
        <v>282.32583382575899</v>
      </c>
      <c r="AD35" s="34">
        <v>286.25398244012501</v>
      </c>
      <c r="AE35" s="16">
        <v>6.8661511939329704E-3</v>
      </c>
      <c r="AF35" s="16">
        <v>1.1193117282432899E-3</v>
      </c>
      <c r="AG35" s="16">
        <v>1.49369359239638E-2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9">
        <f t="shared" si="8"/>
        <v>0</v>
      </c>
      <c r="AP35" s="29">
        <f t="shared" si="9"/>
        <v>0</v>
      </c>
      <c r="AQ35" s="29">
        <f t="shared" si="16"/>
        <v>0</v>
      </c>
      <c r="AR35" s="30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9">
        <f t="shared" si="12"/>
        <v>0</v>
      </c>
      <c r="BA35" s="29">
        <f t="shared" si="13"/>
        <v>0</v>
      </c>
      <c r="BB35" s="29">
        <f t="shared" si="20"/>
        <v>0</v>
      </c>
      <c r="BC35" s="30">
        <f t="shared" si="21"/>
        <v>2.605399151548099E-2</v>
      </c>
      <c r="BE35" s="30">
        <f t="shared" si="22"/>
        <v>0</v>
      </c>
      <c r="BF35" s="30">
        <f t="shared" si="23"/>
        <v>2.605399151548099E-2</v>
      </c>
      <c r="BH35" s="30"/>
    </row>
    <row r="36" spans="1:124" x14ac:dyDescent="0.25">
      <c r="A36" s="1">
        <v>46076</v>
      </c>
      <c r="B36" s="34">
        <v>241.26</v>
      </c>
      <c r="C36" s="34">
        <v>278.89</v>
      </c>
      <c r="D36" s="16">
        <v>-9.8575791522776193E-3</v>
      </c>
      <c r="E36" s="16">
        <v>-1.1125092456876399E-2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241.26</v>
      </c>
      <c r="M36" s="34">
        <v>278.89</v>
      </c>
      <c r="N36" s="35">
        <v>1.1559728094172199</v>
      </c>
      <c r="O36" s="35">
        <v>1.1658179450689301</v>
      </c>
      <c r="P36" s="35">
        <v>1.1590253918142099</v>
      </c>
      <c r="Q36" s="35">
        <v>1.1697740350485499</v>
      </c>
      <c r="R36" s="34">
        <v>281.26523742733099</v>
      </c>
      <c r="S36" s="34">
        <v>279.81347586109803</v>
      </c>
      <c r="T36" s="34">
        <v>282.80702672129701</v>
      </c>
      <c r="U36" s="16">
        <v>8.480690725063E-3</v>
      </c>
      <c r="V36" s="16">
        <v>3.3057847033073902E-3</v>
      </c>
      <c r="W36" s="16">
        <v>1.39473418318864E-2</v>
      </c>
      <c r="X36" s="35">
        <v>1.1559728094172199</v>
      </c>
      <c r="Y36" s="35">
        <v>1.1654134458566101</v>
      </c>
      <c r="Z36" s="35">
        <v>1.1590253918142099</v>
      </c>
      <c r="AA36" s="35">
        <v>1.1697740350485499</v>
      </c>
      <c r="AB36" s="34">
        <v>281.16764794736599</v>
      </c>
      <c r="AC36" s="34">
        <v>279.81347586109803</v>
      </c>
      <c r="AD36" s="34">
        <v>282.80702672129701</v>
      </c>
      <c r="AE36" s="16">
        <v>8.1336644985317303E-3</v>
      </c>
      <c r="AF36" s="16">
        <v>3.3057847033073902E-3</v>
      </c>
      <c r="AG36" s="16">
        <v>1.39473418318864E-2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9">
        <f t="shared" si="8"/>
        <v>0</v>
      </c>
      <c r="AP36" s="29">
        <f t="shared" si="9"/>
        <v>0</v>
      </c>
      <c r="AQ36" s="29">
        <f t="shared" si="16"/>
        <v>0</v>
      </c>
      <c r="AR36" s="30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9">
        <f t="shared" si="12"/>
        <v>0</v>
      </c>
      <c r="BA36" s="29">
        <f t="shared" si="13"/>
        <v>0</v>
      </c>
      <c r="BB36" s="29">
        <f t="shared" si="20"/>
        <v>0</v>
      </c>
      <c r="BC36" s="30">
        <f t="shared" si="21"/>
        <v>2.605399151548099E-2</v>
      </c>
      <c r="BE36" s="30">
        <f t="shared" si="22"/>
        <v>0</v>
      </c>
      <c r="BF36" s="30">
        <f t="shared" si="23"/>
        <v>2.605399151548099E-2</v>
      </c>
      <c r="BH36" s="30"/>
    </row>
    <row r="37" spans="1:124" x14ac:dyDescent="0.25">
      <c r="A37" s="1">
        <v>46077</v>
      </c>
      <c r="B37" s="34">
        <v>243.11</v>
      </c>
      <c r="C37" s="34">
        <v>282.91000000000003</v>
      </c>
      <c r="D37" s="16">
        <v>7.6388256740583501E-3</v>
      </c>
      <c r="E37" s="16">
        <v>1.43113870169394E-2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243.11</v>
      </c>
      <c r="M37" s="34">
        <v>282.91000000000003</v>
      </c>
      <c r="N37" s="35">
        <v>1.1637118999629701</v>
      </c>
      <c r="O37" s="35">
        <v>1.1658179450689301</v>
      </c>
      <c r="P37" s="35">
        <v>1.1576909098636501</v>
      </c>
      <c r="Q37" s="35">
        <v>1.1679694852185301</v>
      </c>
      <c r="R37" s="34">
        <v>283.42200062570902</v>
      </c>
      <c r="S37" s="34">
        <v>281.77066300395302</v>
      </c>
      <c r="T37" s="34">
        <v>284.383765660655</v>
      </c>
      <c r="U37" s="16">
        <v>1.8081293821819999E-3</v>
      </c>
      <c r="V37" s="16">
        <v>-4.0353375518848702E-3</v>
      </c>
      <c r="W37" s="16">
        <v>5.1957876690023903E-3</v>
      </c>
      <c r="X37" s="35">
        <v>1.1637118999629701</v>
      </c>
      <c r="Y37" s="35">
        <v>1.1654134458566101</v>
      </c>
      <c r="Z37" s="35">
        <v>1.1576909098636501</v>
      </c>
      <c r="AA37" s="35">
        <v>1.1679694852185301</v>
      </c>
      <c r="AB37" s="34">
        <v>283.32366282220102</v>
      </c>
      <c r="AC37" s="34">
        <v>281.77066300395302</v>
      </c>
      <c r="AD37" s="34">
        <v>284.383765660655</v>
      </c>
      <c r="AE37" s="16">
        <v>1.46110315565083E-3</v>
      </c>
      <c r="AF37" s="16">
        <v>-4.0353375518848702E-3</v>
      </c>
      <c r="AG37" s="16">
        <v>5.1957876690023903E-3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9">
        <f t="shared" si="8"/>
        <v>0</v>
      </c>
      <c r="AP37" s="29">
        <f t="shared" si="9"/>
        <v>0</v>
      </c>
      <c r="AQ37" s="29">
        <f t="shared" si="16"/>
        <v>0</v>
      </c>
      <c r="AR37" s="30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9">
        <f t="shared" si="12"/>
        <v>0</v>
      </c>
      <c r="BA37" s="29">
        <f t="shared" si="13"/>
        <v>0</v>
      </c>
      <c r="BB37" s="29">
        <f t="shared" si="20"/>
        <v>0</v>
      </c>
      <c r="BC37" s="30">
        <f t="shared" si="21"/>
        <v>2.605399151548099E-2</v>
      </c>
      <c r="BE37" s="30">
        <f t="shared" si="22"/>
        <v>0</v>
      </c>
      <c r="BF37" s="30">
        <f t="shared" si="23"/>
        <v>2.605399151548099E-2</v>
      </c>
      <c r="BH37" s="30"/>
    </row>
    <row r="38" spans="1:124" x14ac:dyDescent="0.25">
      <c r="A38" s="1">
        <v>46078</v>
      </c>
      <c r="B38" s="34">
        <v>241.22</v>
      </c>
      <c r="C38" s="34">
        <v>280.54000000000002</v>
      </c>
      <c r="D38" s="16">
        <v>-7.80463565619916E-3</v>
      </c>
      <c r="E38" s="16">
        <v>-8.4125085708327395E-3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241.22</v>
      </c>
      <c r="M38" s="34">
        <v>280.54000000000002</v>
      </c>
      <c r="N38" s="35">
        <v>1.1630047259762799</v>
      </c>
      <c r="O38" s="35">
        <v>1.1658179450689301</v>
      </c>
      <c r="P38" s="35">
        <v>1.15742262468931</v>
      </c>
      <c r="Q38" s="35">
        <v>1.16597289846443</v>
      </c>
      <c r="R38" s="34">
        <v>281.21860470952799</v>
      </c>
      <c r="S38" s="34">
        <v>279.25820127730998</v>
      </c>
      <c r="T38" s="34">
        <v>281.73759922441297</v>
      </c>
      <c r="U38" s="16">
        <v>2.4160022968158202E-3</v>
      </c>
      <c r="V38" s="16">
        <v>-4.5795108305531299E-3</v>
      </c>
      <c r="W38" s="16">
        <v>4.2598212592591502E-3</v>
      </c>
      <c r="X38" s="35">
        <v>1.1630047259762799</v>
      </c>
      <c r="Y38" s="35">
        <v>1.1654134458566101</v>
      </c>
      <c r="Z38" s="35">
        <v>1.15742262468931</v>
      </c>
      <c r="AA38" s="35">
        <v>1.16597289846443</v>
      </c>
      <c r="AB38" s="34">
        <v>281.12103140953201</v>
      </c>
      <c r="AC38" s="34">
        <v>279.25820127730998</v>
      </c>
      <c r="AD38" s="34">
        <v>281.73759922441297</v>
      </c>
      <c r="AE38" s="16">
        <v>2.0689760702844598E-3</v>
      </c>
      <c r="AF38" s="16">
        <v>-4.5795108305531299E-3</v>
      </c>
      <c r="AG38" s="16">
        <v>4.2598212592591502E-3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9">
        <f t="shared" si="8"/>
        <v>0</v>
      </c>
      <c r="AP38" s="29">
        <f t="shared" si="9"/>
        <v>0</v>
      </c>
      <c r="AQ38" s="29">
        <f t="shared" si="16"/>
        <v>0</v>
      </c>
      <c r="AR38" s="30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9">
        <f t="shared" si="12"/>
        <v>0</v>
      </c>
      <c r="BA38" s="29">
        <f t="shared" si="13"/>
        <v>0</v>
      </c>
      <c r="BB38" s="29">
        <f t="shared" si="20"/>
        <v>0</v>
      </c>
      <c r="BC38" s="30">
        <f t="shared" si="21"/>
        <v>2.605399151548099E-2</v>
      </c>
      <c r="BE38" s="30">
        <f t="shared" si="22"/>
        <v>0</v>
      </c>
      <c r="BF38" s="30">
        <f t="shared" si="23"/>
        <v>2.605399151548099E-2</v>
      </c>
      <c r="BH38" s="30"/>
    </row>
    <row r="39" spans="1:124" x14ac:dyDescent="0.25">
      <c r="A39" s="1">
        <v>46079</v>
      </c>
      <c r="B39" s="34">
        <v>242.82</v>
      </c>
      <c r="C39" s="34">
        <v>283.70999999999998</v>
      </c>
      <c r="D39" s="16">
        <v>6.61104796073238E-3</v>
      </c>
      <c r="E39" s="16">
        <v>1.1236272404004899E-2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242.82</v>
      </c>
      <c r="M39" s="34">
        <v>283.70999999999998</v>
      </c>
      <c r="N39" s="35">
        <v>1.1683963429701001</v>
      </c>
      <c r="O39" s="35">
        <v>1.1658179450689301</v>
      </c>
      <c r="P39" s="35">
        <v>1.1587091089538499</v>
      </c>
      <c r="Q39" s="35">
        <v>1.16414837481958</v>
      </c>
      <c r="R39" s="34">
        <v>283.08391342163901</v>
      </c>
      <c r="S39" s="34">
        <v>281.04536172706003</v>
      </c>
      <c r="T39" s="34">
        <v>283.12153920513401</v>
      </c>
      <c r="U39" s="16">
        <v>-2.20922214645702E-3</v>
      </c>
      <c r="V39" s="16">
        <v>-9.4365037564799106E-3</v>
      </c>
      <c r="W39" s="16">
        <v>-2.07631709096301E-3</v>
      </c>
      <c r="X39" s="35">
        <v>1.1683963429701001</v>
      </c>
      <c r="Y39" s="35">
        <v>1.1654134458566101</v>
      </c>
      <c r="Z39" s="35">
        <v>1.1587091089538499</v>
      </c>
      <c r="AA39" s="35">
        <v>1.16414837481958</v>
      </c>
      <c r="AB39" s="34">
        <v>282.98569292290199</v>
      </c>
      <c r="AC39" s="34">
        <v>281.04536172706003</v>
      </c>
      <c r="AD39" s="34">
        <v>283.12153920513401</v>
      </c>
      <c r="AE39" s="16">
        <v>-2.5562483729883799E-3</v>
      </c>
      <c r="AF39" s="16">
        <v>-9.4365037564799106E-3</v>
      </c>
      <c r="AG39" s="16">
        <v>-2.07631709096301E-3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9">
        <f t="shared" si="8"/>
        <v>0</v>
      </c>
      <c r="AP39" s="29">
        <f t="shared" si="9"/>
        <v>0</v>
      </c>
      <c r="AQ39" s="29">
        <f t="shared" si="16"/>
        <v>0</v>
      </c>
      <c r="AR39" s="30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9">
        <f t="shared" si="12"/>
        <v>0</v>
      </c>
      <c r="BA39" s="29">
        <f t="shared" si="13"/>
        <v>0</v>
      </c>
      <c r="BB39" s="29">
        <f t="shared" si="20"/>
        <v>0</v>
      </c>
      <c r="BC39" s="30">
        <f t="shared" si="21"/>
        <v>2.605399151548099E-2</v>
      </c>
      <c r="BE39" s="30">
        <f t="shared" si="22"/>
        <v>0</v>
      </c>
      <c r="BF39" s="30">
        <f t="shared" si="23"/>
        <v>2.605399151548099E-2</v>
      </c>
      <c r="BH39" s="30"/>
    </row>
    <row r="40" spans="1:124" x14ac:dyDescent="0.25">
      <c r="A40" s="1">
        <v>46080</v>
      </c>
      <c r="B40" s="34">
        <v>243.72</v>
      </c>
      <c r="C40" s="34">
        <v>282.94</v>
      </c>
      <c r="D40" s="16">
        <v>3.6995972644643998E-3</v>
      </c>
      <c r="E40" s="16">
        <v>-2.7177286647421901E-3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243.72</v>
      </c>
      <c r="M40" s="34">
        <v>282.94</v>
      </c>
      <c r="N40" s="35">
        <v>1.1609223699327</v>
      </c>
      <c r="O40" s="35">
        <v>1.1658179450689301</v>
      </c>
      <c r="P40" s="35">
        <v>1.1596850168713</v>
      </c>
      <c r="Q40" s="35">
        <v>1.16250079110812</v>
      </c>
      <c r="R40" s="34">
        <v>284.13314957220098</v>
      </c>
      <c r="S40" s="34">
        <v>282.40058403423302</v>
      </c>
      <c r="T40" s="34">
        <v>283.72624191102898</v>
      </c>
      <c r="U40" s="16">
        <v>4.2081037827494698E-3</v>
      </c>
      <c r="V40" s="16">
        <v>-1.9082873039490899E-3</v>
      </c>
      <c r="W40" s="16">
        <v>2.7749753114449998E-3</v>
      </c>
      <c r="X40" s="35">
        <v>1.1609223699327</v>
      </c>
      <c r="Y40" s="35">
        <v>1.1654134458566101</v>
      </c>
      <c r="Z40" s="35">
        <v>1.1596850168713</v>
      </c>
      <c r="AA40" s="35">
        <v>1.16250079110812</v>
      </c>
      <c r="AB40" s="34">
        <v>284.03456502417299</v>
      </c>
      <c r="AC40" s="34">
        <v>282.40058403423302</v>
      </c>
      <c r="AD40" s="34">
        <v>283.72624191102898</v>
      </c>
      <c r="AE40" s="16">
        <v>3.8610775562184499E-3</v>
      </c>
      <c r="AF40" s="16">
        <v>-1.9082873039490899E-3</v>
      </c>
      <c r="AG40" s="16">
        <v>2.7749753114449998E-3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1</v>
      </c>
      <c r="AN40">
        <f t="shared" si="15"/>
        <v>0</v>
      </c>
      <c r="AO40" s="29">
        <f t="shared" si="8"/>
        <v>0</v>
      </c>
      <c r="AP40" s="29">
        <f t="shared" si="9"/>
        <v>0</v>
      </c>
      <c r="AQ40" s="29">
        <f t="shared" si="16"/>
        <v>0</v>
      </c>
      <c r="AR40" s="30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9">
        <f t="shared" si="12"/>
        <v>0</v>
      </c>
      <c r="BA40" s="29">
        <f t="shared" si="13"/>
        <v>0</v>
      </c>
      <c r="BB40" s="29">
        <f t="shared" si="20"/>
        <v>0</v>
      </c>
      <c r="BC40" s="30">
        <f t="shared" si="21"/>
        <v>2.605399151548099E-2</v>
      </c>
      <c r="BE40" s="30">
        <f t="shared" si="22"/>
        <v>0</v>
      </c>
      <c r="BF40" s="30">
        <f t="shared" si="23"/>
        <v>2.605399151548099E-2</v>
      </c>
      <c r="BH40" s="30"/>
    </row>
    <row r="41" spans="1:124" x14ac:dyDescent="0.25">
      <c r="A41" s="1">
        <v>46083</v>
      </c>
      <c r="B41" s="34">
        <v>250.58</v>
      </c>
      <c r="C41" s="34">
        <v>289.87</v>
      </c>
      <c r="D41" s="16">
        <v>2.7758205437112899E-2</v>
      </c>
      <c r="E41" s="16">
        <v>2.4197685582000899E-2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250.58</v>
      </c>
      <c r="M41" s="34">
        <v>289.87</v>
      </c>
      <c r="N41" s="35">
        <v>1.1567962327400401</v>
      </c>
      <c r="O41" s="35">
        <v>1.1658179450689301</v>
      </c>
      <c r="P41" s="35">
        <v>1.16010087721262</v>
      </c>
      <c r="Q41" s="35">
        <v>1.16160921450173</v>
      </c>
      <c r="R41" s="34">
        <v>292.13066067537397</v>
      </c>
      <c r="S41" s="34">
        <v>290.59387152761099</v>
      </c>
      <c r="T41" s="34">
        <v>291.29944823587402</v>
      </c>
      <c r="U41" s="16">
        <v>7.7686236378616998E-3</v>
      </c>
      <c r="V41" s="16">
        <v>2.49411527008716E-3</v>
      </c>
      <c r="W41" s="16">
        <v>4.9192232068796804E-3</v>
      </c>
      <c r="X41" s="35">
        <v>1.1567962327400401</v>
      </c>
      <c r="Y41" s="35">
        <v>1.1654134458566101</v>
      </c>
      <c r="Z41" s="35">
        <v>1.16010087721262</v>
      </c>
      <c r="AA41" s="35">
        <v>1.16160921450173</v>
      </c>
      <c r="AB41" s="34">
        <v>292.02930126274998</v>
      </c>
      <c r="AC41" s="34">
        <v>290.59387152761099</v>
      </c>
      <c r="AD41" s="34">
        <v>291.29944823587402</v>
      </c>
      <c r="AE41" s="16">
        <v>7.4215974113304899E-3</v>
      </c>
      <c r="AF41" s="16">
        <v>2.49411527008716E-3</v>
      </c>
      <c r="AG41" s="16">
        <v>4.9192232068796804E-3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9">
        <f t="shared" si="8"/>
        <v>0</v>
      </c>
      <c r="AP41" s="29">
        <f t="shared" si="9"/>
        <v>0</v>
      </c>
      <c r="AQ41" s="29">
        <f t="shared" si="16"/>
        <v>0</v>
      </c>
      <c r="AR41" s="30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9">
        <f t="shared" si="12"/>
        <v>0</v>
      </c>
      <c r="BA41" s="29">
        <f t="shared" si="13"/>
        <v>0</v>
      </c>
      <c r="BB41" s="29">
        <f t="shared" si="20"/>
        <v>0</v>
      </c>
      <c r="BC41" s="30">
        <f t="shared" si="21"/>
        <v>2.605399151548099E-2</v>
      </c>
      <c r="BE41" s="30">
        <f t="shared" si="22"/>
        <v>0</v>
      </c>
      <c r="BF41" s="30">
        <f t="shared" si="23"/>
        <v>2.605399151548099E-2</v>
      </c>
      <c r="BH41" s="30"/>
    </row>
    <row r="42" spans="1:124" x14ac:dyDescent="0.25">
      <c r="A42" s="1">
        <v>46084</v>
      </c>
      <c r="B42" s="34">
        <v>244.98</v>
      </c>
      <c r="C42" s="34">
        <v>284.33999999999997</v>
      </c>
      <c r="D42" s="16">
        <v>-2.2601656257867302E-2</v>
      </c>
      <c r="E42" s="16">
        <v>-1.92618414052373E-2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244.98</v>
      </c>
      <c r="M42" s="34">
        <v>284.33999999999997</v>
      </c>
      <c r="N42" s="35">
        <v>1.16066617683076</v>
      </c>
      <c r="O42" s="35">
        <v>1.1658179450689301</v>
      </c>
      <c r="P42" s="35">
        <v>1.1613293540719101</v>
      </c>
      <c r="Q42" s="35">
        <v>1.16118085177379</v>
      </c>
      <c r="R42" s="34">
        <v>285.60208018298698</v>
      </c>
      <c r="S42" s="34">
        <v>284.20151289954799</v>
      </c>
      <c r="T42" s="34">
        <v>284.57102536863403</v>
      </c>
      <c r="U42" s="16">
        <v>4.42880878523161E-3</v>
      </c>
      <c r="V42" s="16">
        <v>-4.8716619648040403E-4</v>
      </c>
      <c r="W42" s="16">
        <v>8.1216700338736995E-4</v>
      </c>
      <c r="X42" s="35">
        <v>1.16066617683076</v>
      </c>
      <c r="Y42" s="35">
        <v>1.1654134458566101</v>
      </c>
      <c r="Z42" s="35">
        <v>1.1613293540719101</v>
      </c>
      <c r="AA42" s="35">
        <v>1.16118085177379</v>
      </c>
      <c r="AB42" s="34">
        <v>285.50298596595297</v>
      </c>
      <c r="AC42" s="34">
        <v>284.20151289954799</v>
      </c>
      <c r="AD42" s="34">
        <v>284.57102536863403</v>
      </c>
      <c r="AE42" s="16">
        <v>4.0817825587004704E-3</v>
      </c>
      <c r="AF42" s="16">
        <v>-4.8716619648040403E-4</v>
      </c>
      <c r="AG42" s="16">
        <v>8.1216700338736995E-4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9">
        <f t="shared" si="8"/>
        <v>0</v>
      </c>
      <c r="AP42" s="29">
        <f t="shared" si="9"/>
        <v>0</v>
      </c>
      <c r="AQ42" s="29">
        <f t="shared" si="16"/>
        <v>0</v>
      </c>
      <c r="AR42" s="30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9">
        <f t="shared" si="12"/>
        <v>0</v>
      </c>
      <c r="BA42" s="29">
        <f t="shared" si="13"/>
        <v>0</v>
      </c>
      <c r="BB42" s="29">
        <f t="shared" si="20"/>
        <v>0</v>
      </c>
      <c r="BC42" s="30">
        <f t="shared" si="21"/>
        <v>2.605399151548099E-2</v>
      </c>
      <c r="BE42" s="30">
        <f t="shared" si="22"/>
        <v>0</v>
      </c>
      <c r="BF42" s="30">
        <f t="shared" si="23"/>
        <v>2.605399151548099E-2</v>
      </c>
      <c r="BH42" s="30"/>
    </row>
    <row r="43" spans="1:124" x14ac:dyDescent="0.25">
      <c r="A43" s="1">
        <v>46085</v>
      </c>
      <c r="B43" s="34">
        <v>246.97</v>
      </c>
      <c r="C43" s="34">
        <v>287.18</v>
      </c>
      <c r="D43" s="16">
        <v>8.0902972020010892E-3</v>
      </c>
      <c r="E43" s="16">
        <v>9.9384916586790807E-3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246.97</v>
      </c>
      <c r="M43" s="34">
        <v>287.18</v>
      </c>
      <c r="N43" s="35">
        <v>1.1628132971615901</v>
      </c>
      <c r="O43" s="35">
        <v>1.1658179450689301</v>
      </c>
      <c r="P43" s="35">
        <v>1.1617984334551801</v>
      </c>
      <c r="Q43" s="35">
        <v>1.15994585029216</v>
      </c>
      <c r="R43" s="34">
        <v>287.922057893675</v>
      </c>
      <c r="S43" s="34">
        <v>286.81351057514098</v>
      </c>
      <c r="T43" s="34">
        <v>286.77683496257401</v>
      </c>
      <c r="U43" s="16">
        <v>2.5806143285539802E-3</v>
      </c>
      <c r="V43" s="16">
        <v>-1.27698124772583E-3</v>
      </c>
      <c r="W43" s="16">
        <v>-1.40486210521489E-3</v>
      </c>
      <c r="X43" s="35">
        <v>1.1628132971615901</v>
      </c>
      <c r="Y43" s="35">
        <v>1.1654134458566101</v>
      </c>
      <c r="Z43" s="35">
        <v>1.1617984334551801</v>
      </c>
      <c r="AA43" s="35">
        <v>1.15994585029216</v>
      </c>
      <c r="AB43" s="34">
        <v>287.822158723207</v>
      </c>
      <c r="AC43" s="34">
        <v>286.81351057514098</v>
      </c>
      <c r="AD43" s="34">
        <v>286.77683496257401</v>
      </c>
      <c r="AE43" s="16">
        <v>2.2335881020227101E-3</v>
      </c>
      <c r="AF43" s="16">
        <v>-1.27698124772583E-3</v>
      </c>
      <c r="AG43" s="16">
        <v>-1.40486210521489E-3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9">
        <f t="shared" si="8"/>
        <v>0</v>
      </c>
      <c r="AP43" s="29">
        <f t="shared" si="9"/>
        <v>0</v>
      </c>
      <c r="AQ43" s="29">
        <f t="shared" si="16"/>
        <v>0</v>
      </c>
      <c r="AR43" s="30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9">
        <f t="shared" si="12"/>
        <v>0</v>
      </c>
      <c r="BA43" s="29">
        <f t="shared" si="13"/>
        <v>0</v>
      </c>
      <c r="BB43" s="29">
        <f t="shared" si="20"/>
        <v>0</v>
      </c>
      <c r="BC43" s="30">
        <f t="shared" si="21"/>
        <v>2.605399151548099E-2</v>
      </c>
      <c r="BE43" s="30">
        <f t="shared" si="22"/>
        <v>0</v>
      </c>
      <c r="BF43" s="30">
        <f t="shared" si="23"/>
        <v>2.605399151548099E-2</v>
      </c>
      <c r="BH43" s="30"/>
    </row>
    <row r="44" spans="1:124" x14ac:dyDescent="0.25">
      <c r="A44" s="1">
        <v>46086</v>
      </c>
      <c r="B44" s="34">
        <v>240.04</v>
      </c>
      <c r="C44" s="34">
        <v>278.77</v>
      </c>
      <c r="D44" s="16">
        <v>-2.8461295640228399E-2</v>
      </c>
      <c r="E44" s="16">
        <v>-2.9722127786806302E-2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240.04</v>
      </c>
      <c r="M44" s="34">
        <v>278.77</v>
      </c>
      <c r="N44" s="35">
        <v>1.16134810864855</v>
      </c>
      <c r="O44" s="35">
        <v>1.1658179450689301</v>
      </c>
      <c r="P44" s="35">
        <v>1.1611070912952799</v>
      </c>
      <c r="Q44" s="35">
        <v>1.15992115046143</v>
      </c>
      <c r="R44" s="34">
        <v>279.84293953434701</v>
      </c>
      <c r="S44" s="34">
        <v>278.87809596658298</v>
      </c>
      <c r="T44" s="34">
        <v>278.43340190412999</v>
      </c>
      <c r="U44" s="16">
        <v>3.84144647513174E-3</v>
      </c>
      <c r="V44" s="16">
        <v>3.87685239919054E-4</v>
      </c>
      <c r="W44" s="16">
        <v>-1.20816971204118E-3</v>
      </c>
      <c r="X44" s="35">
        <v>1.16134810864855</v>
      </c>
      <c r="Y44" s="35">
        <v>1.1654134458566101</v>
      </c>
      <c r="Z44" s="35">
        <v>1.1611070912952799</v>
      </c>
      <c r="AA44" s="35">
        <v>1.15992115046143</v>
      </c>
      <c r="AB44" s="34">
        <v>279.74584354342102</v>
      </c>
      <c r="AC44" s="34">
        <v>278.87809596658298</v>
      </c>
      <c r="AD44" s="34">
        <v>278.43340190412999</v>
      </c>
      <c r="AE44" s="16">
        <v>3.4944202486003502E-3</v>
      </c>
      <c r="AF44" s="16">
        <v>3.87685239919054E-4</v>
      </c>
      <c r="AG44" s="16">
        <v>-1.20816971204118E-3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9">
        <f t="shared" si="8"/>
        <v>0</v>
      </c>
      <c r="AP44" s="29">
        <f t="shared" si="9"/>
        <v>0</v>
      </c>
      <c r="AQ44" s="29">
        <f t="shared" si="16"/>
        <v>0</v>
      </c>
      <c r="AR44" s="30">
        <f t="shared" si="17"/>
        <v>0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9">
        <f t="shared" si="12"/>
        <v>0</v>
      </c>
      <c r="BA44" s="29">
        <f t="shared" si="13"/>
        <v>0</v>
      </c>
      <c r="BB44" s="29">
        <f t="shared" si="20"/>
        <v>0</v>
      </c>
      <c r="BC44" s="30">
        <f t="shared" si="21"/>
        <v>2.605399151548099E-2</v>
      </c>
      <c r="BE44" s="30">
        <f t="shared" si="22"/>
        <v>0</v>
      </c>
      <c r="BF44" s="30">
        <f t="shared" si="23"/>
        <v>2.605399151548099E-2</v>
      </c>
      <c r="BH44" s="30"/>
    </row>
    <row r="45" spans="1:124" x14ac:dyDescent="0.25">
      <c r="A45" s="1">
        <v>46087</v>
      </c>
      <c r="B45" s="34">
        <v>242.2</v>
      </c>
      <c r="C45" s="34">
        <v>279.29000000000002</v>
      </c>
      <c r="D45" s="16">
        <v>8.9582549976798403E-3</v>
      </c>
      <c r="E45" s="16">
        <v>1.8635994355331201E-3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242.2</v>
      </c>
      <c r="M45" s="34">
        <v>279.29000000000002</v>
      </c>
      <c r="N45" s="35">
        <v>1.15313790255986</v>
      </c>
      <c r="O45" s="35">
        <v>1.1658179450689301</v>
      </c>
      <c r="P45" s="35">
        <v>1.16067698662001</v>
      </c>
      <c r="Q45" s="35">
        <v>1.16023875829611</v>
      </c>
      <c r="R45" s="34">
        <v>282.361106295696</v>
      </c>
      <c r="S45" s="34">
        <v>281.22013751171602</v>
      </c>
      <c r="T45" s="34">
        <v>280.93290264175801</v>
      </c>
      <c r="U45" s="16">
        <v>1.09361020372781E-2</v>
      </c>
      <c r="V45" s="16">
        <v>6.8871016302998397E-3</v>
      </c>
      <c r="W45" s="16">
        <v>5.8651916718417798E-3</v>
      </c>
      <c r="X45" s="35">
        <v>1.15313790255986</v>
      </c>
      <c r="Y45" s="35">
        <v>1.1654134458566101</v>
      </c>
      <c r="Z45" s="35">
        <v>1.16067698662001</v>
      </c>
      <c r="AA45" s="35">
        <v>1.16023875829611</v>
      </c>
      <c r="AB45" s="34">
        <v>282.26313658647098</v>
      </c>
      <c r="AC45" s="34">
        <v>281.22013751171602</v>
      </c>
      <c r="AD45" s="34">
        <v>280.93290264175801</v>
      </c>
      <c r="AE45" s="16">
        <v>1.0589075810747001E-2</v>
      </c>
      <c r="AF45" s="16">
        <v>6.8871016302998397E-3</v>
      </c>
      <c r="AG45" s="16">
        <v>5.8651916718417798E-3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9">
        <f t="shared" si="8"/>
        <v>0</v>
      </c>
      <c r="AP45" s="29">
        <f t="shared" si="9"/>
        <v>0</v>
      </c>
      <c r="AQ45" s="29">
        <f t="shared" si="16"/>
        <v>0</v>
      </c>
      <c r="AR45" s="30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9">
        <f t="shared" si="12"/>
        <v>0</v>
      </c>
      <c r="BA45" s="29">
        <f t="shared" si="13"/>
        <v>0</v>
      </c>
      <c r="BB45" s="29">
        <f t="shared" si="20"/>
        <v>0</v>
      </c>
      <c r="BC45" s="30">
        <f t="shared" si="21"/>
        <v>2.605399151548099E-2</v>
      </c>
      <c r="BE45" s="30">
        <f t="shared" si="22"/>
        <v>0</v>
      </c>
      <c r="BF45" s="30">
        <f t="shared" si="23"/>
        <v>2.605399151548099E-2</v>
      </c>
      <c r="BH45" s="30"/>
    </row>
    <row r="46" spans="1:124" x14ac:dyDescent="0.25">
      <c r="A46" s="1">
        <v>46090</v>
      </c>
      <c r="B46" s="34">
        <v>241.99</v>
      </c>
      <c r="C46" s="34">
        <v>282.14</v>
      </c>
      <c r="D46" s="16">
        <v>-8.6742813014533597E-4</v>
      </c>
      <c r="E46" s="16">
        <v>1.01527331313984E-2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241.99</v>
      </c>
      <c r="M46" s="34">
        <v>282.14</v>
      </c>
      <c r="N46" s="35">
        <v>1.16591594693995</v>
      </c>
      <c r="O46" s="35">
        <v>1.1658179450689301</v>
      </c>
      <c r="P46" s="35">
        <v>1.1616713003722801</v>
      </c>
      <c r="Q46" s="35">
        <v>1.16034834609325</v>
      </c>
      <c r="R46" s="34">
        <v>282.11628452723102</v>
      </c>
      <c r="S46" s="34">
        <v>280.872223992177</v>
      </c>
      <c r="T46" s="34">
        <v>280.76617712007697</v>
      </c>
      <c r="U46" s="16">
        <v>-8.4059224265519705E-5</v>
      </c>
      <c r="V46" s="16">
        <v>-4.5035546176456004E-3</v>
      </c>
      <c r="W46" s="16">
        <v>-4.8811886011829097E-3</v>
      </c>
      <c r="X46" s="35">
        <v>1.16591594693995</v>
      </c>
      <c r="Y46" s="35">
        <v>1.1654134458566101</v>
      </c>
      <c r="Z46" s="35">
        <v>1.1616713003722801</v>
      </c>
      <c r="AA46" s="35">
        <v>1.16034834609325</v>
      </c>
      <c r="AB46" s="34">
        <v>282.018399762841</v>
      </c>
      <c r="AC46" s="34">
        <v>280.872223992177</v>
      </c>
      <c r="AD46" s="34">
        <v>280.76617712007697</v>
      </c>
      <c r="AE46" s="16">
        <v>-4.3108545079672498E-4</v>
      </c>
      <c r="AF46" s="16">
        <v>-4.5035546176456004E-3</v>
      </c>
      <c r="AG46" s="16">
        <v>-4.8811886011829097E-3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9">
        <f t="shared" si="8"/>
        <v>0</v>
      </c>
      <c r="AP46" s="29">
        <f t="shared" si="9"/>
        <v>0</v>
      </c>
      <c r="AQ46" s="29">
        <f t="shared" si="16"/>
        <v>0</v>
      </c>
      <c r="AR46" s="30">
        <f t="shared" si="17"/>
        <v>0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9">
        <f t="shared" si="12"/>
        <v>0</v>
      </c>
      <c r="BA46" s="29">
        <f t="shared" si="13"/>
        <v>0</v>
      </c>
      <c r="BB46" s="29">
        <f t="shared" si="20"/>
        <v>0</v>
      </c>
      <c r="BC46" s="30">
        <f t="shared" si="21"/>
        <v>2.605399151548099E-2</v>
      </c>
      <c r="BE46" s="30">
        <f t="shared" si="22"/>
        <v>0</v>
      </c>
      <c r="BF46" s="30">
        <f t="shared" si="23"/>
        <v>2.605399151548099E-2</v>
      </c>
      <c r="BH46" s="30"/>
    </row>
    <row r="47" spans="1:124" x14ac:dyDescent="0.25">
      <c r="A47" s="1">
        <v>46091</v>
      </c>
      <c r="B47" s="34">
        <v>239.72</v>
      </c>
      <c r="C47" s="34">
        <v>277.95</v>
      </c>
      <c r="D47" s="16">
        <v>-9.4248273988619697E-3</v>
      </c>
      <c r="E47" s="16">
        <v>-1.49621602468778E-2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239.72</v>
      </c>
      <c r="M47" s="34">
        <v>277.95</v>
      </c>
      <c r="N47" s="35">
        <v>1.1594777240113401</v>
      </c>
      <c r="O47" s="35">
        <v>1.1658179450689301</v>
      </c>
      <c r="P47" s="35">
        <v>1.16124788277712</v>
      </c>
      <c r="Q47" s="35">
        <v>1.1594693963203799</v>
      </c>
      <c r="R47" s="34">
        <v>279.469877791925</v>
      </c>
      <c r="S47" s="34">
        <v>278.47584412524401</v>
      </c>
      <c r="T47" s="34">
        <v>278.15870552547301</v>
      </c>
      <c r="U47" s="16">
        <v>5.4532736237502396E-3</v>
      </c>
      <c r="V47" s="16">
        <v>1.8900785696424E-3</v>
      </c>
      <c r="W47" s="16">
        <v>7.5059258450270797E-4</v>
      </c>
      <c r="X47" s="35">
        <v>1.1594777240113401</v>
      </c>
      <c r="Y47" s="35">
        <v>1.1654134458566101</v>
      </c>
      <c r="Z47" s="35">
        <v>1.16124788277712</v>
      </c>
      <c r="AA47" s="35">
        <v>1.1594693963203799</v>
      </c>
      <c r="AB47" s="34">
        <v>279.37291124074699</v>
      </c>
      <c r="AC47" s="34">
        <v>278.47584412524401</v>
      </c>
      <c r="AD47" s="34">
        <v>278.15870552547301</v>
      </c>
      <c r="AE47" s="16">
        <v>5.1062473972191503E-3</v>
      </c>
      <c r="AF47" s="16">
        <v>1.8900785696424E-3</v>
      </c>
      <c r="AG47" s="16">
        <v>7.5059258450270797E-4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9">
        <f t="shared" si="8"/>
        <v>0</v>
      </c>
      <c r="AP47" s="29">
        <f t="shared" si="9"/>
        <v>0</v>
      </c>
      <c r="AQ47" s="29">
        <f t="shared" si="16"/>
        <v>0</v>
      </c>
      <c r="AR47" s="30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9">
        <f t="shared" si="12"/>
        <v>0</v>
      </c>
      <c r="BA47" s="29">
        <f t="shared" si="13"/>
        <v>0</v>
      </c>
      <c r="BB47" s="29">
        <f t="shared" si="20"/>
        <v>0</v>
      </c>
      <c r="BC47" s="30">
        <f t="shared" si="21"/>
        <v>2.605399151548099E-2</v>
      </c>
      <c r="BE47" s="30">
        <f t="shared" si="22"/>
        <v>0</v>
      </c>
      <c r="BF47" s="30">
        <f t="shared" si="23"/>
        <v>2.605399151548099E-2</v>
      </c>
      <c r="BH47" s="30"/>
    </row>
    <row r="48" spans="1:124" x14ac:dyDescent="0.25">
      <c r="A48" s="1">
        <v>46092</v>
      </c>
      <c r="B48" s="34">
        <v>238.68</v>
      </c>
      <c r="C48" s="34">
        <v>277.45</v>
      </c>
      <c r="D48" s="16">
        <v>-4.3478329361032802E-3</v>
      </c>
      <c r="E48" s="16">
        <v>-1.8005046275682E-3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238.68</v>
      </c>
      <c r="M48" s="34">
        <v>277.45</v>
      </c>
      <c r="N48" s="35">
        <v>1.1624350594938799</v>
      </c>
      <c r="O48" s="35">
        <v>1.1658179450689301</v>
      </c>
      <c r="P48" s="35">
        <v>1.16119091612888</v>
      </c>
      <c r="Q48" s="35">
        <v>1.1593067704091</v>
      </c>
      <c r="R48" s="34">
        <v>278.25742712905299</v>
      </c>
      <c r="S48" s="34">
        <v>277.16664466124303</v>
      </c>
      <c r="T48" s="34">
        <v>276.74215551374999</v>
      </c>
      <c r="U48" s="16">
        <v>2.9059453152150698E-3</v>
      </c>
      <c r="V48" s="16">
        <v>-1.0218062012303799E-3</v>
      </c>
      <c r="W48" s="16">
        <v>-2.5545106119909001E-3</v>
      </c>
      <c r="X48" s="35">
        <v>1.1624350594938799</v>
      </c>
      <c r="Y48" s="35">
        <v>1.1654134458566101</v>
      </c>
      <c r="Z48" s="35">
        <v>1.16119091612888</v>
      </c>
      <c r="AA48" s="35">
        <v>1.1593067704091</v>
      </c>
      <c r="AB48" s="34">
        <v>278.16088125705602</v>
      </c>
      <c r="AC48" s="34">
        <v>277.16664466124303</v>
      </c>
      <c r="AD48" s="34">
        <v>276.74215551374999</v>
      </c>
      <c r="AE48" s="16">
        <v>2.5589190886839901E-3</v>
      </c>
      <c r="AF48" s="16">
        <v>-1.0218062012303799E-3</v>
      </c>
      <c r="AG48" s="16">
        <v>-2.5545106119909001E-3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9">
        <f t="shared" si="8"/>
        <v>0</v>
      </c>
      <c r="AP48" s="29">
        <f t="shared" si="9"/>
        <v>0</v>
      </c>
      <c r="AQ48" s="29">
        <f t="shared" si="16"/>
        <v>0</v>
      </c>
      <c r="AR48" s="30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9">
        <f t="shared" si="12"/>
        <v>0</v>
      </c>
      <c r="BA48" s="29">
        <f t="shared" si="13"/>
        <v>0</v>
      </c>
      <c r="BB48" s="29">
        <f t="shared" si="20"/>
        <v>0</v>
      </c>
      <c r="BC48" s="30">
        <f t="shared" si="21"/>
        <v>2.605399151548099E-2</v>
      </c>
      <c r="BE48" s="30">
        <f t="shared" si="22"/>
        <v>0</v>
      </c>
      <c r="BF48" s="30">
        <f t="shared" si="23"/>
        <v>2.605399151548099E-2</v>
      </c>
      <c r="BH48" s="30"/>
    </row>
    <row r="49" spans="1:60" x14ac:dyDescent="0.25">
      <c r="A49" s="1">
        <v>46093</v>
      </c>
      <c r="B49" s="34">
        <v>231.49</v>
      </c>
      <c r="C49" s="34">
        <v>268.62</v>
      </c>
      <c r="D49" s="16">
        <v>-3.0587066604866299E-2</v>
      </c>
      <c r="E49" s="16">
        <v>-3.2342995290981003E-2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231.49</v>
      </c>
      <c r="M49" s="34">
        <v>268.62</v>
      </c>
      <c r="N49" s="35">
        <v>1.16039569743833</v>
      </c>
      <c r="O49" s="35">
        <v>1.1658179450689301</v>
      </c>
      <c r="P49" s="35">
        <v>1.1603908515757</v>
      </c>
      <c r="Q49" s="35">
        <v>1.15954998026477</v>
      </c>
      <c r="R49" s="34">
        <v>269.87519610400699</v>
      </c>
      <c r="S49" s="34">
        <v>268.80408517467498</v>
      </c>
      <c r="T49" s="34">
        <v>268.36792428200198</v>
      </c>
      <c r="U49" s="16">
        <v>4.6618740013297201E-3</v>
      </c>
      <c r="V49" s="16">
        <v>6.85064875031533E-4</v>
      </c>
      <c r="W49" s="16">
        <v>-9.38850670991364E-4</v>
      </c>
      <c r="X49" s="35">
        <v>1.16039569743833</v>
      </c>
      <c r="Y49" s="35">
        <v>1.1654134458566101</v>
      </c>
      <c r="Z49" s="35">
        <v>1.1603908515757</v>
      </c>
      <c r="AA49" s="35">
        <v>1.15954998026477</v>
      </c>
      <c r="AB49" s="34">
        <v>269.78155858134699</v>
      </c>
      <c r="AC49" s="34">
        <v>268.80408517467498</v>
      </c>
      <c r="AD49" s="34">
        <v>268.36792428200198</v>
      </c>
      <c r="AE49" s="16">
        <v>4.3148477747983896E-3</v>
      </c>
      <c r="AF49" s="16">
        <v>6.85064875031533E-4</v>
      </c>
      <c r="AG49" s="16">
        <v>-9.38850670991364E-4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9">
        <f t="shared" si="8"/>
        <v>0</v>
      </c>
      <c r="AP49" s="29">
        <f t="shared" si="9"/>
        <v>0</v>
      </c>
      <c r="AQ49" s="29">
        <f t="shared" si="16"/>
        <v>0</v>
      </c>
      <c r="AR49" s="30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9">
        <f t="shared" si="12"/>
        <v>0</v>
      </c>
      <c r="BA49" s="29">
        <f t="shared" si="13"/>
        <v>0</v>
      </c>
      <c r="BB49" s="29">
        <f t="shared" si="20"/>
        <v>0</v>
      </c>
      <c r="BC49" s="30">
        <f t="shared" si="21"/>
        <v>2.605399151548099E-2</v>
      </c>
      <c r="BE49" s="30">
        <f t="shared" si="22"/>
        <v>0</v>
      </c>
      <c r="BF49" s="30">
        <f t="shared" si="23"/>
        <v>2.605399151548099E-2</v>
      </c>
      <c r="BH49" s="30"/>
    </row>
    <row r="50" spans="1:60" x14ac:dyDescent="0.25">
      <c r="A50" s="1">
        <v>46094</v>
      </c>
      <c r="B50" s="34">
        <v>229.34</v>
      </c>
      <c r="C50" s="34">
        <v>265.20999999999998</v>
      </c>
      <c r="D50" s="16">
        <v>-9.3310574388564306E-3</v>
      </c>
      <c r="E50" s="16">
        <v>-1.2775776489479E-2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229.34</v>
      </c>
      <c r="M50" s="34">
        <v>265.20999999999998</v>
      </c>
      <c r="N50" s="35">
        <v>1.1564053370541501</v>
      </c>
      <c r="O50" s="35">
        <v>1.1658179450689301</v>
      </c>
      <c r="P50" s="35">
        <v>1.1599391482878501</v>
      </c>
      <c r="Q50" s="35">
        <v>1.1598120825795699</v>
      </c>
      <c r="R50" s="34">
        <v>267.36868752210898</v>
      </c>
      <c r="S50" s="34">
        <v>266.124037900372</v>
      </c>
      <c r="T50" s="34">
        <v>265.931192473924</v>
      </c>
      <c r="U50" s="16">
        <v>8.1065930519524706E-3</v>
      </c>
      <c r="V50" s="16">
        <v>3.44054299864535E-3</v>
      </c>
      <c r="W50" s="16">
        <v>2.71563541806577E-3</v>
      </c>
      <c r="X50" s="35">
        <v>1.1564053370541501</v>
      </c>
      <c r="Y50" s="35">
        <v>1.1654134458566101</v>
      </c>
      <c r="Z50" s="35">
        <v>1.1599391482878501</v>
      </c>
      <c r="AA50" s="35">
        <v>1.1598120825795699</v>
      </c>
      <c r="AB50" s="34">
        <v>267.27591967275498</v>
      </c>
      <c r="AC50" s="34">
        <v>266.124037900372</v>
      </c>
      <c r="AD50" s="34">
        <v>265.931192473924</v>
      </c>
      <c r="AE50" s="16">
        <v>7.7595668254211896E-3</v>
      </c>
      <c r="AF50" s="16">
        <v>3.44054299864535E-3</v>
      </c>
      <c r="AG50" s="16">
        <v>2.71563541806577E-3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9">
        <f t="shared" si="8"/>
        <v>0</v>
      </c>
      <c r="AP50" s="29">
        <f t="shared" si="9"/>
        <v>0</v>
      </c>
      <c r="AQ50" s="29">
        <f t="shared" si="16"/>
        <v>0</v>
      </c>
      <c r="AR50" s="30">
        <f t="shared" si="17"/>
        <v>0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9">
        <f t="shared" si="12"/>
        <v>0</v>
      </c>
      <c r="BA50" s="29">
        <f t="shared" si="13"/>
        <v>0</v>
      </c>
      <c r="BB50" s="29">
        <f t="shared" si="20"/>
        <v>0</v>
      </c>
      <c r="BC50" s="30">
        <f t="shared" si="21"/>
        <v>2.605399151548099E-2</v>
      </c>
      <c r="BE50" s="30">
        <f t="shared" si="22"/>
        <v>0</v>
      </c>
      <c r="BF50" s="30">
        <f t="shared" si="23"/>
        <v>2.605399151548099E-2</v>
      </c>
      <c r="BH50" s="30"/>
    </row>
    <row r="51" spans="1:60" x14ac:dyDescent="0.25">
      <c r="A51" s="1">
        <v>46097</v>
      </c>
      <c r="B51" s="34">
        <v>232.81</v>
      </c>
      <c r="C51" s="34">
        <v>270.83</v>
      </c>
      <c r="D51" s="16">
        <v>1.5017051651031199E-2</v>
      </c>
      <c r="E51" s="16">
        <v>2.0969352776284499E-2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232.81</v>
      </c>
      <c r="M51" s="34">
        <v>270.83</v>
      </c>
      <c r="N51" s="35">
        <v>1.1633091362054799</v>
      </c>
      <c r="O51" s="35">
        <v>1.1658179450689301</v>
      </c>
      <c r="P51" s="35">
        <v>1.1605904386343899</v>
      </c>
      <c r="Q51" s="35">
        <v>1.1603456579235001</v>
      </c>
      <c r="R51" s="34">
        <v>271.41407579149899</v>
      </c>
      <c r="S51" s="34">
        <v>270.04543311289399</v>
      </c>
      <c r="T51" s="34">
        <v>270.01585094535102</v>
      </c>
      <c r="U51" s="16">
        <v>2.1542919266990201E-3</v>
      </c>
      <c r="V51" s="16">
        <v>-2.9011021368030901E-3</v>
      </c>
      <c r="W51" s="16">
        <v>-3.01065328755469E-3</v>
      </c>
      <c r="X51" s="35">
        <v>1.1633091362054799</v>
      </c>
      <c r="Y51" s="35">
        <v>1.1654134458566101</v>
      </c>
      <c r="Z51" s="35">
        <v>1.1605904386343899</v>
      </c>
      <c r="AA51" s="35">
        <v>1.1603456579235001</v>
      </c>
      <c r="AB51" s="34">
        <v>271.319904329878</v>
      </c>
      <c r="AC51" s="34">
        <v>270.04543311289399</v>
      </c>
      <c r="AD51" s="34">
        <v>270.01585094535102</v>
      </c>
      <c r="AE51" s="16">
        <v>1.8072657001677601E-3</v>
      </c>
      <c r="AF51" s="16">
        <v>-2.9011021368030901E-3</v>
      </c>
      <c r="AG51" s="16">
        <v>-3.01065328755469E-3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0</v>
      </c>
      <c r="AN51">
        <f t="shared" si="15"/>
        <v>0</v>
      </c>
      <c r="AO51" s="29">
        <f t="shared" si="8"/>
        <v>0</v>
      </c>
      <c r="AP51" s="29">
        <f t="shared" si="9"/>
        <v>0</v>
      </c>
      <c r="AQ51" s="29">
        <f t="shared" si="16"/>
        <v>0</v>
      </c>
      <c r="AR51" s="30">
        <f t="shared" si="17"/>
        <v>0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0</v>
      </c>
      <c r="AY51">
        <f t="shared" si="19"/>
        <v>0</v>
      </c>
      <c r="AZ51" s="29">
        <f t="shared" si="12"/>
        <v>0</v>
      </c>
      <c r="BA51" s="29">
        <f t="shared" si="13"/>
        <v>0</v>
      </c>
      <c r="BB51" s="29">
        <f t="shared" si="20"/>
        <v>0</v>
      </c>
      <c r="BC51" s="30">
        <f t="shared" si="21"/>
        <v>2.605399151548099E-2</v>
      </c>
      <c r="BE51" s="30">
        <f t="shared" si="22"/>
        <v>0</v>
      </c>
      <c r="BF51" s="30">
        <f t="shared" si="23"/>
        <v>2.605399151548099E-2</v>
      </c>
      <c r="BH51" s="30"/>
    </row>
    <row r="52" spans="1:60" x14ac:dyDescent="0.25">
      <c r="A52" s="1">
        <v>46098</v>
      </c>
      <c r="B52" s="34">
        <v>232.9</v>
      </c>
      <c r="C52" s="34">
        <v>273.76</v>
      </c>
      <c r="D52" s="16">
        <v>3.86506629105787E-4</v>
      </c>
      <c r="E52" s="16">
        <v>1.0760492376148499E-2</v>
      </c>
      <c r="F52" s="34">
        <v>0.15132499999999999</v>
      </c>
      <c r="G52" s="34">
        <v>0.15132499999999999</v>
      </c>
      <c r="H52" s="34">
        <v>0</v>
      </c>
      <c r="I52" s="34">
        <v>0</v>
      </c>
      <c r="J52" s="34">
        <v>0.15132499999999999</v>
      </c>
      <c r="K52" s="34">
        <v>0</v>
      </c>
      <c r="L52" s="34">
        <v>233.05132499999999</v>
      </c>
      <c r="M52" s="34">
        <v>273.76</v>
      </c>
      <c r="N52" s="35">
        <v>1.17544010304851</v>
      </c>
      <c r="O52" s="35">
        <v>1.1658179450689301</v>
      </c>
      <c r="P52" s="35">
        <v>1.1620678312561701</v>
      </c>
      <c r="Q52" s="35">
        <v>1.16169859266404</v>
      </c>
      <c r="R52" s="34">
        <v>271.518999406555</v>
      </c>
      <c r="S52" s="34">
        <v>270.30151315795001</v>
      </c>
      <c r="T52" s="34">
        <v>270.24450373038502</v>
      </c>
      <c r="U52" s="16">
        <v>-8.2196938203437896E-3</v>
      </c>
      <c r="V52" s="16">
        <v>-1.27137588085207E-2</v>
      </c>
      <c r="W52" s="16">
        <v>-1.2924691554283101E-2</v>
      </c>
      <c r="X52" s="35">
        <v>1.1746768657075799</v>
      </c>
      <c r="Y52" s="35">
        <v>1.1654134458566101</v>
      </c>
      <c r="Z52" s="35">
        <v>1.1619915075220699</v>
      </c>
      <c r="AA52" s="35">
        <v>1.16166043079699</v>
      </c>
      <c r="AB52" s="34">
        <v>271.60114772969899</v>
      </c>
      <c r="AC52" s="34">
        <v>270.47713950607698</v>
      </c>
      <c r="AD52" s="34">
        <v>270.42009303706999</v>
      </c>
      <c r="AE52" s="16">
        <v>-7.9171886593626603E-3</v>
      </c>
      <c r="AF52" s="16">
        <v>-1.2064227421008201E-2</v>
      </c>
      <c r="AG52" s="16">
        <v>-1.2275160166770899E-2</v>
      </c>
      <c r="AI52" s="12"/>
      <c r="AJ52">
        <f t="shared" si="6"/>
        <v>0</v>
      </c>
      <c r="AK52">
        <f t="shared" si="7"/>
        <v>0</v>
      </c>
      <c r="AL52">
        <f t="shared" si="14"/>
        <v>0</v>
      </c>
      <c r="AM52">
        <f t="shared" si="4"/>
        <v>1</v>
      </c>
      <c r="AN52">
        <f t="shared" si="15"/>
        <v>0</v>
      </c>
      <c r="AO52" s="29">
        <f t="shared" si="8"/>
        <v>0</v>
      </c>
      <c r="AP52" s="29">
        <f t="shared" si="9"/>
        <v>0</v>
      </c>
      <c r="AQ52" s="29">
        <f t="shared" si="16"/>
        <v>0</v>
      </c>
      <c r="AR52" s="30">
        <f t="shared" si="17"/>
        <v>0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9">
        <f t="shared" si="12"/>
        <v>0</v>
      </c>
      <c r="BA52" s="29">
        <f t="shared" si="13"/>
        <v>0</v>
      </c>
      <c r="BB52" s="29">
        <f t="shared" si="20"/>
        <v>0</v>
      </c>
      <c r="BC52" s="30">
        <f t="shared" si="21"/>
        <v>2.605399151548099E-2</v>
      </c>
      <c r="BE52" s="30">
        <f t="shared" si="22"/>
        <v>0</v>
      </c>
      <c r="BF52" s="30">
        <f t="shared" si="23"/>
        <v>2.605399151548099E-2</v>
      </c>
      <c r="BH52" s="30"/>
    </row>
    <row r="53" spans="1:60" x14ac:dyDescent="0.25">
      <c r="A53" s="1">
        <v>46099</v>
      </c>
      <c r="B53" s="34">
        <v>231.43</v>
      </c>
      <c r="C53" s="34">
        <v>271.04000000000002</v>
      </c>
      <c r="D53" s="16">
        <v>-6.3317248987245301E-3</v>
      </c>
      <c r="E53" s="16">
        <v>-9.9853986801936995E-3</v>
      </c>
      <c r="F53" s="34">
        <v>0</v>
      </c>
      <c r="G53" s="34">
        <v>0.15132499999999999</v>
      </c>
      <c r="H53" s="34">
        <v>0</v>
      </c>
      <c r="I53" s="34">
        <v>0</v>
      </c>
      <c r="J53" s="34">
        <v>0.15132499999999999</v>
      </c>
      <c r="K53" s="34">
        <v>0</v>
      </c>
      <c r="L53" s="34">
        <v>231.58132499999999</v>
      </c>
      <c r="M53" s="34">
        <v>271.04000000000002</v>
      </c>
      <c r="N53" s="35">
        <v>1.1711532644860201</v>
      </c>
      <c r="O53" s="35">
        <v>1.1658179450689301</v>
      </c>
      <c r="P53" s="35">
        <v>1.1629018279886101</v>
      </c>
      <c r="Q53" s="35">
        <v>1.1623501307219</v>
      </c>
      <c r="R53" s="34">
        <v>269.80524702730298</v>
      </c>
      <c r="S53" s="34">
        <v>268.93735818761502</v>
      </c>
      <c r="T53" s="34">
        <v>268.85190530023903</v>
      </c>
      <c r="U53" s="16">
        <v>-4.5660200388746601E-3</v>
      </c>
      <c r="V53" s="16">
        <v>-7.7879281711108602E-3</v>
      </c>
      <c r="W53" s="16">
        <v>-8.1057213808175908E-3</v>
      </c>
      <c r="X53" s="35">
        <v>1.1703879835733699</v>
      </c>
      <c r="Y53" s="35">
        <v>1.1654134458566101</v>
      </c>
      <c r="Z53" s="35">
        <v>1.1627489761632499</v>
      </c>
      <c r="AA53" s="35">
        <v>1.16227370480922</v>
      </c>
      <c r="AB53" s="34">
        <v>269.88798996429</v>
      </c>
      <c r="AC53" s="34">
        <v>269.09553295070998</v>
      </c>
      <c r="AD53" s="34">
        <v>269.018861764039</v>
      </c>
      <c r="AE53" s="16">
        <v>-4.2593905243156396E-3</v>
      </c>
      <c r="AF53" s="16">
        <v>-7.1999538288100599E-3</v>
      </c>
      <c r="AG53" s="16">
        <v>-7.4849162380764096E-3</v>
      </c>
      <c r="AI53" s="12"/>
      <c r="AJ53">
        <f t="shared" si="6"/>
        <v>0</v>
      </c>
      <c r="AK53">
        <f t="shared" si="7"/>
        <v>0</v>
      </c>
      <c r="AL53">
        <f t="shared" si="14"/>
        <v>0</v>
      </c>
      <c r="AM53">
        <f t="shared" si="4"/>
        <v>1</v>
      </c>
      <c r="AN53">
        <f t="shared" si="15"/>
        <v>0</v>
      </c>
      <c r="AO53" s="29">
        <f t="shared" si="8"/>
        <v>0</v>
      </c>
      <c r="AP53" s="29">
        <f t="shared" si="9"/>
        <v>0</v>
      </c>
      <c r="AQ53" s="29">
        <f t="shared" si="16"/>
        <v>0</v>
      </c>
      <c r="AR53" s="30">
        <f t="shared" si="17"/>
        <v>0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9">
        <f t="shared" si="12"/>
        <v>0</v>
      </c>
      <c r="BA53" s="29">
        <f t="shared" si="13"/>
        <v>0</v>
      </c>
      <c r="BB53" s="29">
        <f t="shared" si="20"/>
        <v>0</v>
      </c>
      <c r="BC53" s="30">
        <f t="shared" si="21"/>
        <v>2.605399151548099E-2</v>
      </c>
      <c r="BE53" s="30">
        <f t="shared" si="22"/>
        <v>0</v>
      </c>
      <c r="BF53" s="30">
        <f t="shared" si="23"/>
        <v>2.605399151548099E-2</v>
      </c>
      <c r="BH53" s="30"/>
    </row>
    <row r="54" spans="1:60" x14ac:dyDescent="0.25">
      <c r="A54" s="1">
        <v>46100</v>
      </c>
      <c r="B54" s="34">
        <v>227.32</v>
      </c>
      <c r="C54" s="34">
        <v>268</v>
      </c>
      <c r="D54" s="16">
        <v>-1.7918735562650001E-2</v>
      </c>
      <c r="E54" s="16">
        <v>-1.1279430952832899E-2</v>
      </c>
      <c r="F54" s="34">
        <v>0</v>
      </c>
      <c r="G54" s="34">
        <v>0.15132499999999999</v>
      </c>
      <c r="H54" s="34">
        <v>0</v>
      </c>
      <c r="I54" s="34">
        <v>0</v>
      </c>
      <c r="J54" s="34">
        <v>0.15132499999999999</v>
      </c>
      <c r="K54" s="34">
        <v>0</v>
      </c>
      <c r="L54" s="34">
        <v>227.47132500000001</v>
      </c>
      <c r="M54" s="34">
        <v>268</v>
      </c>
      <c r="N54" s="35">
        <v>1.1789547774062901</v>
      </c>
      <c r="O54" s="35">
        <v>1.1658179450689301</v>
      </c>
      <c r="P54" s="35">
        <v>1.16466249486438</v>
      </c>
      <c r="Q54" s="35">
        <v>1.1628847930798301</v>
      </c>
      <c r="R54" s="34">
        <v>265.01373527306998</v>
      </c>
      <c r="S54" s="34">
        <v>264.35084353837101</v>
      </c>
      <c r="T54" s="34">
        <v>264.22543171570197</v>
      </c>
      <c r="U54" s="16">
        <v>-1.12053246486917E-2</v>
      </c>
      <c r="V54" s="16">
        <v>-1.3709806843864299E-2</v>
      </c>
      <c r="W54" s="16">
        <v>-1.4184333722551699E-2</v>
      </c>
      <c r="X54" s="35">
        <v>1.17817047929008</v>
      </c>
      <c r="Y54" s="35">
        <v>1.1654134458566101</v>
      </c>
      <c r="Z54" s="35">
        <v>1.1644312132274</v>
      </c>
      <c r="AA54" s="35">
        <v>1.1627691522613399</v>
      </c>
      <c r="AB54" s="34">
        <v>265.09814070181898</v>
      </c>
      <c r="AC54" s="34">
        <v>264.49205025024901</v>
      </c>
      <c r="AD54" s="34">
        <v>264.38393964561197</v>
      </c>
      <c r="AE54" s="16">
        <v>-1.08868808133893E-2</v>
      </c>
      <c r="AF54" s="16">
        <v>-1.31757854288399E-2</v>
      </c>
      <c r="AG54" s="16">
        <v>-1.3584617019638799E-2</v>
      </c>
      <c r="AI54" s="12"/>
      <c r="AJ54">
        <f t="shared" si="6"/>
        <v>0</v>
      </c>
      <c r="AK54">
        <f t="shared" si="7"/>
        <v>0</v>
      </c>
      <c r="AL54">
        <f t="shared" si="14"/>
        <v>0</v>
      </c>
      <c r="AM54">
        <f t="shared" si="4"/>
        <v>1</v>
      </c>
      <c r="AN54">
        <f t="shared" si="15"/>
        <v>0</v>
      </c>
      <c r="AO54" s="29">
        <f t="shared" si="8"/>
        <v>0</v>
      </c>
      <c r="AP54" s="29">
        <f t="shared" si="9"/>
        <v>0</v>
      </c>
      <c r="AQ54" s="29">
        <f t="shared" si="16"/>
        <v>0</v>
      </c>
      <c r="AR54" s="30">
        <f t="shared" si="17"/>
        <v>0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9">
        <f t="shared" si="12"/>
        <v>0</v>
      </c>
      <c r="BA54" s="29">
        <f t="shared" si="13"/>
        <v>0</v>
      </c>
      <c r="BB54" s="29">
        <f t="shared" si="20"/>
        <v>0</v>
      </c>
      <c r="BC54" s="30">
        <f t="shared" si="21"/>
        <v>2.605399151548099E-2</v>
      </c>
      <c r="BE54" s="30">
        <f t="shared" si="22"/>
        <v>0</v>
      </c>
      <c r="BF54" s="30">
        <f t="shared" si="23"/>
        <v>2.605399151548099E-2</v>
      </c>
      <c r="BH54" s="30"/>
    </row>
    <row r="55" spans="1:60" x14ac:dyDescent="0.25">
      <c r="A55" s="1">
        <v>46101</v>
      </c>
      <c r="B55" s="34">
        <v>222.56</v>
      </c>
      <c r="C55" s="34">
        <v>258.88</v>
      </c>
      <c r="D55" s="16">
        <v>-2.1161988253787799E-2</v>
      </c>
      <c r="E55" s="16">
        <v>-3.4622346640729697E-2</v>
      </c>
      <c r="F55" s="34">
        <v>0</v>
      </c>
      <c r="G55" s="34">
        <v>0.15132499999999999</v>
      </c>
      <c r="H55" s="34">
        <v>0</v>
      </c>
      <c r="I55" s="34">
        <v>0</v>
      </c>
      <c r="J55" s="34">
        <v>0.15132499999999999</v>
      </c>
      <c r="K55" s="34">
        <v>0</v>
      </c>
      <c r="L55" s="34">
        <v>222.71132499999999</v>
      </c>
      <c r="M55" s="34">
        <v>258.88</v>
      </c>
      <c r="N55" s="35">
        <v>1.1631919482386699</v>
      </c>
      <c r="O55" s="35">
        <v>1.1658179450689301</v>
      </c>
      <c r="P55" s="35">
        <v>1.16566789943226</v>
      </c>
      <c r="Q55" s="35">
        <v>1.1631724430261401</v>
      </c>
      <c r="R55" s="34">
        <v>259.46444185454197</v>
      </c>
      <c r="S55" s="34">
        <v>259.20728485701801</v>
      </c>
      <c r="T55" s="34">
        <v>258.81163954784699</v>
      </c>
      <c r="U55" s="16">
        <v>2.2550337382501499E-3</v>
      </c>
      <c r="V55" s="16">
        <v>1.26343537129877E-3</v>
      </c>
      <c r="W55" s="16">
        <v>-2.6409718576557401E-4</v>
      </c>
      <c r="X55" s="35">
        <v>1.16240159767358</v>
      </c>
      <c r="Y55" s="35">
        <v>1.1654134458566101</v>
      </c>
      <c r="Z55" s="35">
        <v>1.1653575827387701</v>
      </c>
      <c r="AA55" s="35">
        <v>1.16301728467939</v>
      </c>
      <c r="AB55" s="34">
        <v>259.55077269954199</v>
      </c>
      <c r="AC55" s="34">
        <v>259.33201836923303</v>
      </c>
      <c r="AD55" s="34">
        <v>258.96185856925001</v>
      </c>
      <c r="AE55" s="16">
        <v>2.5877054726234899E-3</v>
      </c>
      <c r="AF55" s="16">
        <v>1.74453107164465E-3</v>
      </c>
      <c r="AG55" s="16">
        <v>3.1615277358496198E-4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0</v>
      </c>
      <c r="AN55">
        <f t="shared" si="15"/>
        <v>0</v>
      </c>
      <c r="AO55" s="29">
        <f t="shared" si="8"/>
        <v>0</v>
      </c>
      <c r="AP55" s="29">
        <f t="shared" si="9"/>
        <v>0</v>
      </c>
      <c r="AQ55" s="29">
        <f t="shared" si="16"/>
        <v>0</v>
      </c>
      <c r="AR55" s="30">
        <f t="shared" si="17"/>
        <v>0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9">
        <f t="shared" si="12"/>
        <v>0</v>
      </c>
      <c r="BA55" s="29">
        <f t="shared" si="13"/>
        <v>0</v>
      </c>
      <c r="BB55" s="29">
        <f t="shared" si="20"/>
        <v>0</v>
      </c>
      <c r="BC55" s="30">
        <f t="shared" si="21"/>
        <v>2.605399151548099E-2</v>
      </c>
      <c r="BE55" s="30">
        <f t="shared" si="22"/>
        <v>0</v>
      </c>
      <c r="BF55" s="30">
        <f t="shared" si="23"/>
        <v>2.605399151548099E-2</v>
      </c>
      <c r="BH55" s="30"/>
    </row>
    <row r="56" spans="1:60" x14ac:dyDescent="0.25">
      <c r="A56" s="1">
        <v>46104</v>
      </c>
      <c r="B56" s="34">
        <v>223.35</v>
      </c>
      <c r="C56" s="34">
        <v>262.83999999999997</v>
      </c>
      <c r="D56" s="16">
        <v>3.5433196229948199E-3</v>
      </c>
      <c r="E56" s="16">
        <v>1.5180848159540201E-2</v>
      </c>
      <c r="F56" s="34">
        <v>0</v>
      </c>
      <c r="G56" s="34">
        <v>0.15132499999999999</v>
      </c>
      <c r="H56" s="34">
        <v>0.11178100000000001</v>
      </c>
      <c r="I56" s="34">
        <v>0.11178100000000001</v>
      </c>
      <c r="J56" s="34">
        <v>0.15132499999999999</v>
      </c>
      <c r="K56" s="34">
        <v>0.11178100000000001</v>
      </c>
      <c r="L56" s="34">
        <v>223.50132500000001</v>
      </c>
      <c r="M56" s="34">
        <v>262.95178099999998</v>
      </c>
      <c r="N56" s="35">
        <v>1.1768077009178399</v>
      </c>
      <c r="O56" s="35">
        <v>1.1658179450689301</v>
      </c>
      <c r="P56" s="35">
        <v>1.16675707483005</v>
      </c>
      <c r="Q56" s="35">
        <v>1.16421418760117</v>
      </c>
      <c r="R56" s="34">
        <v>260.38543803114601</v>
      </c>
      <c r="S56" s="34">
        <v>260.35192533819702</v>
      </c>
      <c r="T56" s="34">
        <v>259.794565149888</v>
      </c>
      <c r="U56" s="16">
        <v>-9.3824947982952198E-3</v>
      </c>
      <c r="V56" s="16">
        <v>-9.5112072562573806E-3</v>
      </c>
      <c r="W56" s="16">
        <v>-1.1654297373456701E-2</v>
      </c>
      <c r="X56" s="35">
        <v>1.1765110609523199</v>
      </c>
      <c r="Y56" s="35">
        <v>1.1654134458566101</v>
      </c>
      <c r="Z56" s="35">
        <v>1.16641709414001</v>
      </c>
      <c r="AA56" s="35">
        <v>1.1640441972561499</v>
      </c>
      <c r="AB56" s="34">
        <v>260.47144932176798</v>
      </c>
      <c r="AC56" s="34">
        <v>260.45896384091401</v>
      </c>
      <c r="AD56" s="34">
        <v>259.93590412374698</v>
      </c>
      <c r="AE56" s="16">
        <v>-9.4774175088078606E-3</v>
      </c>
      <c r="AF56" s="16">
        <v>-9.5253528204792496E-3</v>
      </c>
      <c r="AG56" s="16">
        <v>-1.15355951403404E-2</v>
      </c>
      <c r="AI56" s="12"/>
      <c r="AJ56">
        <f t="shared" si="6"/>
        <v>0</v>
      </c>
      <c r="AK56">
        <f t="shared" si="7"/>
        <v>0</v>
      </c>
      <c r="AL56">
        <f t="shared" si="14"/>
        <v>0</v>
      </c>
      <c r="AM56">
        <f t="shared" si="4"/>
        <v>1</v>
      </c>
      <c r="AN56">
        <f t="shared" si="15"/>
        <v>0</v>
      </c>
      <c r="AO56" s="29">
        <f t="shared" si="8"/>
        <v>0</v>
      </c>
      <c r="AP56" s="29">
        <f t="shared" si="9"/>
        <v>0</v>
      </c>
      <c r="AQ56" s="29">
        <f t="shared" si="16"/>
        <v>0</v>
      </c>
      <c r="AR56" s="30">
        <f t="shared" si="17"/>
        <v>0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9">
        <f t="shared" si="12"/>
        <v>0</v>
      </c>
      <c r="BA56" s="29">
        <f t="shared" si="13"/>
        <v>0</v>
      </c>
      <c r="BB56" s="29">
        <f t="shared" si="20"/>
        <v>0</v>
      </c>
      <c r="BC56" s="30">
        <f t="shared" si="21"/>
        <v>2.605399151548099E-2</v>
      </c>
      <c r="BE56" s="30">
        <f t="shared" si="22"/>
        <v>0</v>
      </c>
      <c r="BF56" s="30">
        <f t="shared" si="23"/>
        <v>2.605399151548099E-2</v>
      </c>
      <c r="BH56" s="30"/>
    </row>
    <row r="57" spans="1:60" x14ac:dyDescent="0.25">
      <c r="A57" s="1">
        <v>46105</v>
      </c>
      <c r="B57" s="34">
        <v>222.64</v>
      </c>
      <c r="C57" s="34">
        <v>261.67</v>
      </c>
      <c r="D57" s="16">
        <v>-3.18393058049241E-3</v>
      </c>
      <c r="E57" s="16">
        <v>-4.4613141430035596E-3</v>
      </c>
      <c r="F57" s="34">
        <v>0</v>
      </c>
      <c r="G57" s="34">
        <v>0.15132499999999999</v>
      </c>
      <c r="H57" s="34">
        <v>0</v>
      </c>
      <c r="I57" s="34">
        <v>0.11178100000000001</v>
      </c>
      <c r="J57" s="34">
        <v>0.15132499999999999</v>
      </c>
      <c r="K57" s="34">
        <v>0.11178100000000001</v>
      </c>
      <c r="L57" s="34">
        <v>222.791325</v>
      </c>
      <c r="M57" s="34">
        <v>261.78178100000002</v>
      </c>
      <c r="N57" s="35">
        <v>1.1753054257994899</v>
      </c>
      <c r="O57" s="35">
        <v>1.1658179450689301</v>
      </c>
      <c r="P57" s="35">
        <v>1.16833984500887</v>
      </c>
      <c r="Q57" s="35">
        <v>1.16479386389299</v>
      </c>
      <c r="R57" s="34">
        <v>259.55770729014699</v>
      </c>
      <c r="S57" s="34">
        <v>259.76679514016303</v>
      </c>
      <c r="T57" s="34">
        <v>259.20064672752397</v>
      </c>
      <c r="U57" s="16">
        <v>-8.1051112357840398E-3</v>
      </c>
      <c r="V57" s="16">
        <v>-7.2998811326977601E-3</v>
      </c>
      <c r="W57" s="16">
        <v>-9.48170832089704E-3</v>
      </c>
      <c r="X57" s="35">
        <v>1.1750088608701399</v>
      </c>
      <c r="Y57" s="35">
        <v>1.1654134458566101</v>
      </c>
      <c r="Z57" s="35">
        <v>1.16797020782589</v>
      </c>
      <c r="AA57" s="35">
        <v>1.1646090453014999</v>
      </c>
      <c r="AB57" s="34">
        <v>259.64400577521002</v>
      </c>
      <c r="AC57" s="34">
        <v>259.86760990610298</v>
      </c>
      <c r="AD57" s="34">
        <v>259.33894906525899</v>
      </c>
      <c r="AE57" s="16">
        <v>-8.1997755270547795E-3</v>
      </c>
      <c r="AF57" s="16">
        <v>-7.3389510990666002E-3</v>
      </c>
      <c r="AG57" s="16">
        <v>-9.3753699940371301E-3</v>
      </c>
      <c r="AI57" s="12"/>
      <c r="AJ57">
        <f t="shared" si="6"/>
        <v>0</v>
      </c>
      <c r="AK57">
        <f t="shared" si="7"/>
        <v>0</v>
      </c>
      <c r="AL57">
        <f t="shared" si="14"/>
        <v>0</v>
      </c>
      <c r="AM57">
        <f t="shared" si="4"/>
        <v>1</v>
      </c>
      <c r="AN57">
        <f t="shared" si="15"/>
        <v>0</v>
      </c>
      <c r="AO57" s="29">
        <f t="shared" si="8"/>
        <v>0</v>
      </c>
      <c r="AP57" s="29">
        <f t="shared" si="9"/>
        <v>0</v>
      </c>
      <c r="AQ57" s="29">
        <f t="shared" si="16"/>
        <v>0</v>
      </c>
      <c r="AR57" s="30">
        <f t="shared" si="17"/>
        <v>0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9">
        <f t="shared" si="12"/>
        <v>0</v>
      </c>
      <c r="BA57" s="29">
        <f t="shared" si="13"/>
        <v>0</v>
      </c>
      <c r="BB57" s="29">
        <f t="shared" si="20"/>
        <v>0</v>
      </c>
      <c r="BC57" s="30">
        <f t="shared" si="21"/>
        <v>2.605399151548099E-2</v>
      </c>
      <c r="BE57" s="30">
        <f t="shared" si="22"/>
        <v>0</v>
      </c>
      <c r="BF57" s="30">
        <f t="shared" si="23"/>
        <v>2.605399151548099E-2</v>
      </c>
      <c r="BH57" s="30"/>
    </row>
    <row r="58" spans="1:60" x14ac:dyDescent="0.25">
      <c r="A58" s="1">
        <v>46106</v>
      </c>
      <c r="B58" s="34">
        <v>225.86</v>
      </c>
      <c r="C58" s="34">
        <v>266.58999999999997</v>
      </c>
      <c r="D58" s="16">
        <v>1.4359221077888999E-2</v>
      </c>
      <c r="E58" s="16">
        <v>1.8627729777106101E-2</v>
      </c>
      <c r="F58" s="34">
        <v>0</v>
      </c>
      <c r="G58" s="34">
        <v>0.15132499999999999</v>
      </c>
      <c r="H58" s="34">
        <v>0</v>
      </c>
      <c r="I58" s="34">
        <v>0.11178100000000001</v>
      </c>
      <c r="J58" s="34">
        <v>0.15132499999999999</v>
      </c>
      <c r="K58" s="34">
        <v>0.11178100000000001</v>
      </c>
      <c r="L58" s="34">
        <v>226.011325</v>
      </c>
      <c r="M58" s="34">
        <v>266.70178099999998</v>
      </c>
      <c r="N58" s="35">
        <v>1.1803329496148001</v>
      </c>
      <c r="O58" s="35">
        <v>1.1658179450689301</v>
      </c>
      <c r="P58" s="35">
        <v>1.1701296340209599</v>
      </c>
      <c r="Q58" s="35">
        <v>1.1656602750749201</v>
      </c>
      <c r="R58" s="34">
        <v>263.31164107326902</v>
      </c>
      <c r="S58" s="34">
        <v>263.88123739370297</v>
      </c>
      <c r="T58" s="34">
        <v>263.08034209887199</v>
      </c>
      <c r="U58" s="16">
        <v>-1.23736199350011E-2</v>
      </c>
      <c r="V58" s="16">
        <v>-1.0212754091263401E-2</v>
      </c>
      <c r="W58" s="16">
        <v>-1.32524288708427E-2</v>
      </c>
      <c r="X58" s="35">
        <v>1.1800372437089099</v>
      </c>
      <c r="Y58" s="35">
        <v>1.1654134458566101</v>
      </c>
      <c r="Z58" s="35">
        <v>1.16973042624739</v>
      </c>
      <c r="AA58" s="35">
        <v>1.1654606711881399</v>
      </c>
      <c r="AB58" s="34">
        <v>263.396637070868</v>
      </c>
      <c r="AC58" s="34">
        <v>263.97449423125499</v>
      </c>
      <c r="AD58" s="34">
        <v>263.21483343557901</v>
      </c>
      <c r="AE58" s="16">
        <v>-1.2470087237958999E-2</v>
      </c>
      <c r="AF58" s="16">
        <v>-1.0278623362323099E-2</v>
      </c>
      <c r="AG58" s="16">
        <v>-1.3160553179909501E-2</v>
      </c>
      <c r="AI58" s="12"/>
      <c r="AJ58">
        <f t="shared" si="6"/>
        <v>0</v>
      </c>
      <c r="AK58">
        <f t="shared" si="7"/>
        <v>0</v>
      </c>
      <c r="AL58">
        <f t="shared" si="14"/>
        <v>0</v>
      </c>
      <c r="AM58">
        <f t="shared" si="4"/>
        <v>1</v>
      </c>
      <c r="AN58">
        <f t="shared" si="15"/>
        <v>0</v>
      </c>
      <c r="AO58" s="29">
        <f t="shared" si="8"/>
        <v>0</v>
      </c>
      <c r="AP58" s="29">
        <f t="shared" si="9"/>
        <v>0</v>
      </c>
      <c r="AQ58" s="29">
        <f t="shared" si="16"/>
        <v>0</v>
      </c>
      <c r="AR58" s="30">
        <f t="shared" si="17"/>
        <v>0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9">
        <f t="shared" si="12"/>
        <v>0</v>
      </c>
      <c r="BA58" s="29">
        <f t="shared" si="13"/>
        <v>0</v>
      </c>
      <c r="BB58" s="29">
        <f t="shared" si="20"/>
        <v>0</v>
      </c>
      <c r="BC58" s="30">
        <f t="shared" si="21"/>
        <v>2.605399151548099E-2</v>
      </c>
      <c r="BE58" s="30">
        <f t="shared" si="22"/>
        <v>0</v>
      </c>
      <c r="BF58" s="30">
        <f t="shared" si="23"/>
        <v>2.605399151548099E-2</v>
      </c>
      <c r="BH58" s="30"/>
    </row>
    <row r="59" spans="1:60" x14ac:dyDescent="0.25">
      <c r="A59" s="1">
        <v>46107</v>
      </c>
      <c r="B59" s="34">
        <v>220.12</v>
      </c>
      <c r="C59" s="34">
        <v>257.02999999999997</v>
      </c>
      <c r="D59" s="16">
        <v>-2.5742486103966102E-2</v>
      </c>
      <c r="E59" s="16">
        <v>-3.6519088063633499E-2</v>
      </c>
      <c r="F59" s="34">
        <v>0</v>
      </c>
      <c r="G59" s="34">
        <v>0.15132499999999999</v>
      </c>
      <c r="H59" s="34">
        <v>0</v>
      </c>
      <c r="I59" s="34">
        <v>0.11178100000000001</v>
      </c>
      <c r="J59" s="34">
        <v>0.15132499999999999</v>
      </c>
      <c r="K59" s="34">
        <v>0.11178100000000001</v>
      </c>
      <c r="L59" s="34">
        <v>220.27132499999999</v>
      </c>
      <c r="M59" s="34">
        <v>257.14178099999998</v>
      </c>
      <c r="N59" s="35">
        <v>1.1676812647646699</v>
      </c>
      <c r="O59" s="35">
        <v>1.1658179450689301</v>
      </c>
      <c r="P59" s="35">
        <v>1.17085819075359</v>
      </c>
      <c r="Q59" s="35">
        <v>1.1656245211646501</v>
      </c>
      <c r="R59" s="34">
        <v>256.61984606857402</v>
      </c>
      <c r="S59" s="34">
        <v>257.56893504069399</v>
      </c>
      <c r="T59" s="34">
        <v>256.58513974949199</v>
      </c>
      <c r="U59" s="16">
        <v>-1.5970179753336E-3</v>
      </c>
      <c r="V59" s="16">
        <v>2.0945835719238699E-3</v>
      </c>
      <c r="W59" s="16">
        <v>-1.7322712175821199E-3</v>
      </c>
      <c r="X59" s="35">
        <v>1.16738654475338</v>
      </c>
      <c r="Y59" s="35">
        <v>1.1654134458566101</v>
      </c>
      <c r="Z59" s="35">
        <v>1.1704295109789</v>
      </c>
      <c r="AA59" s="35">
        <v>1.1654101812772999</v>
      </c>
      <c r="AB59" s="34">
        <v>256.70716389165199</v>
      </c>
      <c r="AC59" s="34">
        <v>257.65807088232901</v>
      </c>
      <c r="AD59" s="34">
        <v>256.71756627800102</v>
      </c>
      <c r="AE59" s="16">
        <v>-1.6916146906942799E-3</v>
      </c>
      <c r="AF59" s="16">
        <v>2.0057894482129698E-3</v>
      </c>
      <c r="AG59" s="16">
        <v>-1.6510931273988299E-3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9">
        <f t="shared" si="8"/>
        <v>0</v>
      </c>
      <c r="AP59" s="29">
        <f t="shared" si="9"/>
        <v>0</v>
      </c>
      <c r="AQ59" s="29">
        <f t="shared" si="16"/>
        <v>0</v>
      </c>
      <c r="AR59" s="30">
        <f t="shared" si="17"/>
        <v>0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9">
        <f t="shared" si="12"/>
        <v>0</v>
      </c>
      <c r="BA59" s="29">
        <f t="shared" si="13"/>
        <v>0</v>
      </c>
      <c r="BB59" s="29">
        <f t="shared" si="20"/>
        <v>0</v>
      </c>
      <c r="BC59" s="30">
        <f t="shared" si="21"/>
        <v>2.605399151548099E-2</v>
      </c>
      <c r="BE59" s="30">
        <f t="shared" si="22"/>
        <v>0</v>
      </c>
      <c r="BF59" s="30">
        <f t="shared" si="23"/>
        <v>2.605399151548099E-2</v>
      </c>
      <c r="BH59" s="30"/>
    </row>
    <row r="60" spans="1:60" x14ac:dyDescent="0.25">
      <c r="A60" s="1">
        <v>46108</v>
      </c>
      <c r="B60" s="34">
        <v>216.04</v>
      </c>
      <c r="C60" s="34">
        <v>250.57</v>
      </c>
      <c r="D60" s="16">
        <v>-1.8709276466867701E-2</v>
      </c>
      <c r="E60" s="16">
        <v>-2.5454486993849099E-2</v>
      </c>
      <c r="F60" s="34">
        <v>0</v>
      </c>
      <c r="G60" s="34">
        <v>0.15132499999999999</v>
      </c>
      <c r="H60" s="34">
        <v>0</v>
      </c>
      <c r="I60" s="34">
        <v>0.11178100000000001</v>
      </c>
      <c r="J60" s="34">
        <v>0.15132499999999999</v>
      </c>
      <c r="K60" s="34">
        <v>0.11178100000000001</v>
      </c>
      <c r="L60" s="34">
        <v>216.19132500000001</v>
      </c>
      <c r="M60" s="34">
        <v>250.681781</v>
      </c>
      <c r="N60" s="35">
        <v>1.15983151268283</v>
      </c>
      <c r="O60" s="35">
        <v>1.1658179450689301</v>
      </c>
      <c r="P60" s="35">
        <v>1.17120080831646</v>
      </c>
      <c r="Q60" s="35">
        <v>1.16556997830215</v>
      </c>
      <c r="R60" s="34">
        <v>251.863308852692</v>
      </c>
      <c r="S60" s="34">
        <v>252.95220353040699</v>
      </c>
      <c r="T60" s="34">
        <v>251.82152155241101</v>
      </c>
      <c r="U60" s="16">
        <v>5.1481925516477503E-3</v>
      </c>
      <c r="V60" s="16">
        <v>9.4622294216742901E-3</v>
      </c>
      <c r="W60" s="16">
        <v>4.9822661712810102E-3</v>
      </c>
      <c r="X60" s="35">
        <v>1.15953672516693</v>
      </c>
      <c r="Y60" s="35">
        <v>1.1654134458566101</v>
      </c>
      <c r="Z60" s="35">
        <v>1.1707426497901801</v>
      </c>
      <c r="AA60" s="35">
        <v>1.1653408990390099</v>
      </c>
      <c r="AB60" s="34">
        <v>251.95227703255699</v>
      </c>
      <c r="AC60" s="34">
        <v>253.03670679763101</v>
      </c>
      <c r="AD60" s="34">
        <v>251.95157125883</v>
      </c>
      <c r="AE60" s="16">
        <v>5.0553627159100603E-3</v>
      </c>
      <c r="AF60" s="16">
        <v>9.35023435366702E-3</v>
      </c>
      <c r="AG60" s="16">
        <v>5.0525614921102403E-3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9">
        <f t="shared" si="8"/>
        <v>0</v>
      </c>
      <c r="AP60" s="29">
        <f t="shared" si="9"/>
        <v>0</v>
      </c>
      <c r="AQ60" s="29">
        <f t="shared" si="16"/>
        <v>0</v>
      </c>
      <c r="AR60" s="30">
        <f t="shared" si="17"/>
        <v>0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9">
        <f t="shared" si="12"/>
        <v>0</v>
      </c>
      <c r="BA60" s="29">
        <f t="shared" si="13"/>
        <v>0</v>
      </c>
      <c r="BB60" s="29">
        <f t="shared" si="20"/>
        <v>0</v>
      </c>
      <c r="BC60" s="30">
        <f t="shared" si="21"/>
        <v>2.605399151548099E-2</v>
      </c>
      <c r="BE60" s="30">
        <f t="shared" si="22"/>
        <v>0</v>
      </c>
      <c r="BF60" s="30">
        <f t="shared" si="23"/>
        <v>2.605399151548099E-2</v>
      </c>
      <c r="BH60" s="30"/>
    </row>
    <row r="61" spans="1:60" x14ac:dyDescent="0.25">
      <c r="A61" s="1">
        <v>46111</v>
      </c>
      <c r="B61" s="34">
        <v>210.79</v>
      </c>
      <c r="C61" s="34">
        <v>242.24</v>
      </c>
      <c r="D61" s="16">
        <v>-2.4601198512887001E-2</v>
      </c>
      <c r="E61" s="16">
        <v>-3.38093523572029E-2</v>
      </c>
      <c r="F61" s="34">
        <v>0</v>
      </c>
      <c r="G61" s="34">
        <v>0.15132499999999999</v>
      </c>
      <c r="H61" s="34">
        <v>0</v>
      </c>
      <c r="I61" s="34">
        <v>0.11178100000000001</v>
      </c>
      <c r="J61" s="34">
        <v>0.15132499999999999</v>
      </c>
      <c r="K61" s="34">
        <v>0.11178100000000001</v>
      </c>
      <c r="L61" s="34">
        <v>210.94132500000001</v>
      </c>
      <c r="M61" s="34">
        <v>242.35178099999999</v>
      </c>
      <c r="N61" s="35">
        <v>1.14920062621566</v>
      </c>
      <c r="O61" s="35">
        <v>1.1658179450689301</v>
      </c>
      <c r="P61" s="35">
        <v>1.1697899573174799</v>
      </c>
      <c r="Q61" s="35">
        <v>1.16519019797593</v>
      </c>
      <c r="R61" s="34">
        <v>245.74276464107999</v>
      </c>
      <c r="S61" s="34">
        <v>246.877418385027</v>
      </c>
      <c r="T61" s="34">
        <v>245.69049572631101</v>
      </c>
      <c r="U61" s="16">
        <v>1.43563463959634E-2</v>
      </c>
      <c r="V61" s="16">
        <v>1.8962961348308102E-2</v>
      </c>
      <c r="W61" s="16">
        <v>1.4143626097271799E-2</v>
      </c>
      <c r="X61" s="35">
        <v>1.14890612827998</v>
      </c>
      <c r="Y61" s="35">
        <v>1.1654134458566101</v>
      </c>
      <c r="Z61" s="35">
        <v>1.16930234899763</v>
      </c>
      <c r="AA61" s="35">
        <v>1.1649463938160101</v>
      </c>
      <c r="AB61" s="34">
        <v>245.83385644180899</v>
      </c>
      <c r="AC61" s="34">
        <v>246.95800578075099</v>
      </c>
      <c r="AD61" s="34">
        <v>245.81855331998099</v>
      </c>
      <c r="AE61" s="16">
        <v>1.42656163025129E-2</v>
      </c>
      <c r="AF61" s="16">
        <v>1.8827993951482699E-2</v>
      </c>
      <c r="AG61" s="16">
        <v>1.42033645102726E-2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9">
        <f t="shared" si="8"/>
        <v>0</v>
      </c>
      <c r="AP61" s="29">
        <f t="shared" si="9"/>
        <v>0</v>
      </c>
      <c r="AQ61" s="29">
        <f t="shared" si="16"/>
        <v>0</v>
      </c>
      <c r="AR61" s="30">
        <f t="shared" si="17"/>
        <v>0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9">
        <f t="shared" si="12"/>
        <v>0</v>
      </c>
      <c r="BA61" s="29">
        <f t="shared" si="13"/>
        <v>0</v>
      </c>
      <c r="BB61" s="29">
        <f t="shared" si="20"/>
        <v>0</v>
      </c>
      <c r="BC61" s="30">
        <f t="shared" si="21"/>
        <v>2.605399151548099E-2</v>
      </c>
      <c r="BE61" s="30">
        <f t="shared" si="22"/>
        <v>0</v>
      </c>
      <c r="BF61" s="30">
        <f t="shared" si="23"/>
        <v>2.605399151548099E-2</v>
      </c>
      <c r="BH61" s="30"/>
    </row>
    <row r="62" spans="1:60" x14ac:dyDescent="0.25">
      <c r="A62" s="1">
        <v>46112</v>
      </c>
      <c r="B62" s="34">
        <v>218.75</v>
      </c>
      <c r="C62" s="34">
        <v>253.98</v>
      </c>
      <c r="D62" s="16">
        <v>3.7067148025920503E-2</v>
      </c>
      <c r="E62" s="16">
        <v>4.7326553511803197E-2</v>
      </c>
      <c r="F62" s="34">
        <v>0</v>
      </c>
      <c r="G62" s="34">
        <v>0.15132499999999999</v>
      </c>
      <c r="H62" s="34">
        <v>0</v>
      </c>
      <c r="I62" s="34">
        <v>0.11178100000000001</v>
      </c>
      <c r="J62" s="34">
        <v>0.15132499999999999</v>
      </c>
      <c r="K62" s="34">
        <v>0.11178100000000001</v>
      </c>
      <c r="L62" s="34">
        <v>218.90132500000001</v>
      </c>
      <c r="M62" s="34">
        <v>254.091781</v>
      </c>
      <c r="N62" s="35">
        <v>1.16105142857142</v>
      </c>
      <c r="O62" s="35">
        <v>1.1658179450689301</v>
      </c>
      <c r="P62" s="35">
        <v>1.16835108986977</v>
      </c>
      <c r="Q62" s="35">
        <v>1.1652094605629699</v>
      </c>
      <c r="R62" s="34">
        <v>255.022675483829</v>
      </c>
      <c r="S62" s="34">
        <v>255.89155316319901</v>
      </c>
      <c r="T62" s="34">
        <v>254.88535580723601</v>
      </c>
      <c r="U62" s="16">
        <v>4.0969409100807602E-3</v>
      </c>
      <c r="V62" s="16">
        <v>7.4982105099296202E-3</v>
      </c>
      <c r="W62" s="16">
        <v>3.5583352342103401E-3</v>
      </c>
      <c r="X62" s="35">
        <v>1.16075944720754</v>
      </c>
      <c r="Y62" s="35">
        <v>1.1654134458566101</v>
      </c>
      <c r="Z62" s="35">
        <v>1.16791060714762</v>
      </c>
      <c r="AA62" s="35">
        <v>1.16495105733485</v>
      </c>
      <c r="AB62" s="34">
        <v>255.11054747082801</v>
      </c>
      <c r="AC62" s="34">
        <v>255.961833521193</v>
      </c>
      <c r="AD62" s="34">
        <v>255.00830916029699</v>
      </c>
      <c r="AE62" s="16">
        <v>4.0014264397092696E-3</v>
      </c>
      <c r="AF62" s="16">
        <v>7.3328012872980897E-3</v>
      </c>
      <c r="AG62" s="16">
        <v>3.6005853001540101E-3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29">
        <f t="shared" si="8"/>
        <v>0</v>
      </c>
      <c r="AP62" s="29">
        <f t="shared" si="9"/>
        <v>0</v>
      </c>
      <c r="AQ62" s="29">
        <f t="shared" si="16"/>
        <v>0</v>
      </c>
      <c r="AR62" s="30">
        <f t="shared" si="17"/>
        <v>0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1</v>
      </c>
      <c r="AY62">
        <f t="shared" si="19"/>
        <v>0</v>
      </c>
      <c r="AZ62" s="29">
        <f t="shared" si="12"/>
        <v>0</v>
      </c>
      <c r="BA62" s="29">
        <f t="shared" si="13"/>
        <v>0</v>
      </c>
      <c r="BB62" s="29">
        <f t="shared" si="20"/>
        <v>0</v>
      </c>
      <c r="BC62" s="30">
        <f t="shared" si="21"/>
        <v>2.605399151548099E-2</v>
      </c>
      <c r="BE62" s="30">
        <f t="shared" si="22"/>
        <v>0</v>
      </c>
      <c r="BF62" s="30">
        <f t="shared" si="23"/>
        <v>2.605399151548099E-2</v>
      </c>
      <c r="BH62" s="30"/>
    </row>
    <row r="63" spans="1:60" x14ac:dyDescent="0.25">
      <c r="A63" s="1">
        <v>46113</v>
      </c>
      <c r="B63" s="34">
        <v>223.64</v>
      </c>
      <c r="C63" s="34">
        <v>259.95</v>
      </c>
      <c r="D63" s="16">
        <v>2.21080909207205E-2</v>
      </c>
      <c r="E63" s="16">
        <v>2.3233781068837299E-2</v>
      </c>
      <c r="F63" s="34">
        <v>0</v>
      </c>
      <c r="G63" s="34">
        <v>0.15132499999999999</v>
      </c>
      <c r="H63" s="34">
        <v>0</v>
      </c>
      <c r="I63" s="34">
        <v>0.11178100000000001</v>
      </c>
      <c r="J63" s="34">
        <v>0.15132499999999999</v>
      </c>
      <c r="K63" s="34">
        <v>0.11178100000000001</v>
      </c>
      <c r="L63" s="34">
        <v>223.791325</v>
      </c>
      <c r="M63" s="34">
        <v>260.061781</v>
      </c>
      <c r="N63" s="35">
        <v>1.16235914863172</v>
      </c>
      <c r="O63" s="35">
        <v>1.1658179450689301</v>
      </c>
      <c r="P63" s="35">
        <v>1.16747167828434</v>
      </c>
      <c r="Q63" s="35">
        <v>1.1651867531364699</v>
      </c>
      <c r="R63" s="34">
        <v>260.72352523521602</v>
      </c>
      <c r="S63" s="34">
        <v>261.29003773847597</v>
      </c>
      <c r="T63" s="34">
        <v>260.58744376030302</v>
      </c>
      <c r="U63" s="16">
        <v>2.9712507619639398E-3</v>
      </c>
      <c r="V63" s="16">
        <v>5.1417412083694797E-3</v>
      </c>
      <c r="W63" s="16">
        <v>2.4491766599490702E-3</v>
      </c>
      <c r="X63" s="35">
        <v>1.1620726630042499</v>
      </c>
      <c r="Y63" s="35">
        <v>1.1654134458566101</v>
      </c>
      <c r="Z63" s="35">
        <v>1.1670790750907101</v>
      </c>
      <c r="AA63" s="35">
        <v>1.1649140256269801</v>
      </c>
      <c r="AB63" s="34">
        <v>260.809419221067</v>
      </c>
      <c r="AC63" s="34">
        <v>261.36826225512101</v>
      </c>
      <c r="AD63" s="34">
        <v>260.705940681117</v>
      </c>
      <c r="AE63" s="16">
        <v>2.8707240261850102E-3</v>
      </c>
      <c r="AF63" s="16">
        <v>5.0111573202097697E-3</v>
      </c>
      <c r="AG63" s="16">
        <v>2.4738860832832798E-3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9">
        <f t="shared" si="8"/>
        <v>0</v>
      </c>
      <c r="AP63" s="29">
        <f t="shared" si="9"/>
        <v>0</v>
      </c>
      <c r="AQ63" s="29">
        <f t="shared" si="16"/>
        <v>0</v>
      </c>
      <c r="AR63" s="30">
        <f t="shared" si="17"/>
        <v>0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9">
        <f t="shared" si="12"/>
        <v>0</v>
      </c>
      <c r="BA63" s="29">
        <f t="shared" si="13"/>
        <v>0</v>
      </c>
      <c r="BB63" s="29">
        <f t="shared" si="20"/>
        <v>0</v>
      </c>
      <c r="BC63" s="30">
        <f t="shared" si="21"/>
        <v>2.605399151548099E-2</v>
      </c>
      <c r="BE63" s="30">
        <f t="shared" si="22"/>
        <v>0</v>
      </c>
      <c r="BF63" s="30">
        <f t="shared" si="23"/>
        <v>2.605399151548099E-2</v>
      </c>
      <c r="BH63" s="30"/>
    </row>
    <row r="64" spans="1:60" x14ac:dyDescent="0.25">
      <c r="A64" s="1">
        <v>46114</v>
      </c>
      <c r="B64" s="34">
        <v>221.91</v>
      </c>
      <c r="C64" s="34">
        <v>259.58</v>
      </c>
      <c r="D64" s="16">
        <v>-7.7657218905585104E-3</v>
      </c>
      <c r="E64" s="16">
        <v>-1.42436457011191E-3</v>
      </c>
      <c r="F64" s="34">
        <v>0</v>
      </c>
      <c r="G64" s="34">
        <v>0.15132499999999999</v>
      </c>
      <c r="H64" s="34">
        <v>0</v>
      </c>
      <c r="I64" s="34">
        <v>0.11178100000000001</v>
      </c>
      <c r="J64" s="34">
        <v>0.15132499999999999</v>
      </c>
      <c r="K64" s="34">
        <v>0.11178100000000001</v>
      </c>
      <c r="L64" s="34">
        <v>222.06132500000001</v>
      </c>
      <c r="M64" s="34">
        <v>259.69178099999999</v>
      </c>
      <c r="N64" s="35">
        <v>1.1697535036726601</v>
      </c>
      <c r="O64" s="35">
        <v>1.1658179450689301</v>
      </c>
      <c r="P64" s="35">
        <v>1.1665515509109801</v>
      </c>
      <c r="Q64" s="35">
        <v>1.16560702288768</v>
      </c>
      <c r="R64" s="34">
        <v>258.70666019024702</v>
      </c>
      <c r="S64" s="34">
        <v>259.07364012807898</v>
      </c>
      <c r="T64" s="34">
        <v>258.56659238851603</v>
      </c>
      <c r="U64" s="16">
        <v>-3.37010655848272E-3</v>
      </c>
      <c r="V64" s="16">
        <v>-1.9525941538782001E-3</v>
      </c>
      <c r="W64" s="16">
        <v>-3.91166869979409E-3</v>
      </c>
      <c r="X64" s="35">
        <v>1.1694597472117201</v>
      </c>
      <c r="Y64" s="35">
        <v>1.1654134458566101</v>
      </c>
      <c r="Z64" s="35">
        <v>1.16620800188287</v>
      </c>
      <c r="AA64" s="35">
        <v>1.16531960755514</v>
      </c>
      <c r="AB64" s="34">
        <v>258.79325395973501</v>
      </c>
      <c r="AC64" s="34">
        <v>259.16312579441802</v>
      </c>
      <c r="AD64" s="34">
        <v>258.68235204181201</v>
      </c>
      <c r="AE64" s="16">
        <v>-3.4659744416081499E-3</v>
      </c>
      <c r="AF64" s="16">
        <v>-2.0377773500718701E-3</v>
      </c>
      <c r="AG64" s="16">
        <v>-3.8946010989220499E-3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9">
        <f t="shared" si="8"/>
        <v>0</v>
      </c>
      <c r="AP64" s="29">
        <f t="shared" si="9"/>
        <v>0</v>
      </c>
      <c r="AQ64" s="29">
        <f t="shared" si="16"/>
        <v>0</v>
      </c>
      <c r="AR64" s="30">
        <f t="shared" si="17"/>
        <v>0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9">
        <f t="shared" si="12"/>
        <v>0</v>
      </c>
      <c r="BA64" s="29">
        <f t="shared" si="13"/>
        <v>0</v>
      </c>
      <c r="BB64" s="29">
        <f t="shared" si="20"/>
        <v>0</v>
      </c>
      <c r="BC64" s="30">
        <f t="shared" si="21"/>
        <v>2.605399151548099E-2</v>
      </c>
      <c r="BE64" s="30">
        <f t="shared" si="22"/>
        <v>0</v>
      </c>
      <c r="BF64" s="30">
        <f t="shared" si="23"/>
        <v>2.605399151548099E-2</v>
      </c>
      <c r="BH64" s="30"/>
    </row>
    <row r="65" spans="1:60" x14ac:dyDescent="0.25">
      <c r="A65" s="1">
        <v>46118</v>
      </c>
      <c r="B65" s="34">
        <v>225.2</v>
      </c>
      <c r="C65" s="34">
        <v>263.64</v>
      </c>
      <c r="D65" s="16">
        <v>1.47170019976492E-2</v>
      </c>
      <c r="E65" s="16">
        <v>1.55195959249063E-2</v>
      </c>
      <c r="F65" s="34">
        <v>0</v>
      </c>
      <c r="G65" s="34">
        <v>0.15132499999999999</v>
      </c>
      <c r="H65" s="34">
        <v>0</v>
      </c>
      <c r="I65" s="34">
        <v>0.11178100000000001</v>
      </c>
      <c r="J65" s="34">
        <v>0.15132499999999999</v>
      </c>
      <c r="K65" s="34">
        <v>0.11178100000000001</v>
      </c>
      <c r="L65" s="34">
        <v>225.351325</v>
      </c>
      <c r="M65" s="34">
        <v>263.75178099999999</v>
      </c>
      <c r="N65" s="35">
        <v>1.17069271758436</v>
      </c>
      <c r="O65" s="35">
        <v>1.1658179450689301</v>
      </c>
      <c r="P65" s="35">
        <v>1.1673016278455499</v>
      </c>
      <c r="Q65" s="35">
        <v>1.1664847636389</v>
      </c>
      <c r="R65" s="34">
        <v>262.54220122952398</v>
      </c>
      <c r="S65" s="34">
        <v>262.70740926515299</v>
      </c>
      <c r="T65" s="34">
        <v>262.494701554306</v>
      </c>
      <c r="U65" s="16">
        <v>-4.1727004857396704E-3</v>
      </c>
      <c r="V65" s="16">
        <v>-3.5436356077243902E-3</v>
      </c>
      <c r="W65" s="16">
        <v>-4.3536389115743004E-3</v>
      </c>
      <c r="X65" s="35">
        <v>1.1704026191104</v>
      </c>
      <c r="Y65" s="35">
        <v>1.1654134458566101</v>
      </c>
      <c r="Z65" s="35">
        <v>1.1670081040265601</v>
      </c>
      <c r="AA65" s="35">
        <v>1.16618284338267</v>
      </c>
      <c r="AB65" s="34">
        <v>262.627464196603</v>
      </c>
      <c r="AC65" s="34">
        <v>262.80651844990899</v>
      </c>
      <c r="AD65" s="34">
        <v>262.60631761103099</v>
      </c>
      <c r="AE65" s="16">
        <v>-4.27189530540527E-3</v>
      </c>
      <c r="AF65" s="16">
        <v>-3.5903472283858001E-3</v>
      </c>
      <c r="AG65" s="16">
        <v>-4.35241787008384E-3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9">
        <f t="shared" si="8"/>
        <v>0</v>
      </c>
      <c r="AP65" s="29">
        <f t="shared" si="9"/>
        <v>0</v>
      </c>
      <c r="AQ65" s="29">
        <f t="shared" si="16"/>
        <v>0</v>
      </c>
      <c r="AR65" s="30">
        <f t="shared" si="17"/>
        <v>0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9">
        <f t="shared" si="12"/>
        <v>0</v>
      </c>
      <c r="BA65" s="29">
        <f t="shared" si="13"/>
        <v>0</v>
      </c>
      <c r="BB65" s="29">
        <f t="shared" si="20"/>
        <v>0</v>
      </c>
      <c r="BC65" s="30">
        <f t="shared" si="21"/>
        <v>2.605399151548099E-2</v>
      </c>
      <c r="BE65" s="30">
        <f t="shared" si="22"/>
        <v>0</v>
      </c>
      <c r="BF65" s="30">
        <f t="shared" si="23"/>
        <v>2.605399151548099E-2</v>
      </c>
      <c r="BH65" s="30"/>
    </row>
    <row r="66" spans="1:60" x14ac:dyDescent="0.25">
      <c r="A66" s="1">
        <v>46119</v>
      </c>
      <c r="B66" s="34">
        <v>223.3</v>
      </c>
      <c r="C66" s="34">
        <v>260.06</v>
      </c>
      <c r="D66" s="16">
        <v>-8.4727374194230598E-3</v>
      </c>
      <c r="E66" s="16">
        <v>-1.3672162561345199E-2</v>
      </c>
      <c r="F66" s="34">
        <v>0</v>
      </c>
      <c r="G66" s="34">
        <v>0.15132499999999999</v>
      </c>
      <c r="H66" s="34">
        <v>0</v>
      </c>
      <c r="I66" s="34">
        <v>0.11178100000000001</v>
      </c>
      <c r="J66" s="34">
        <v>0.15132499999999999</v>
      </c>
      <c r="K66" s="34">
        <v>0.11178100000000001</v>
      </c>
      <c r="L66" s="34">
        <v>223.451325</v>
      </c>
      <c r="M66" s="34">
        <v>260.17178100000001</v>
      </c>
      <c r="N66" s="35">
        <v>1.16462158531124</v>
      </c>
      <c r="O66" s="35">
        <v>1.1658179450689301</v>
      </c>
      <c r="P66" s="35">
        <v>1.1660830162848901</v>
      </c>
      <c r="Q66" s="35">
        <v>1.16642004555747</v>
      </c>
      <c r="R66" s="34">
        <v>260.32714713389299</v>
      </c>
      <c r="S66" s="34">
        <v>260.65845349791101</v>
      </c>
      <c r="T66" s="34">
        <v>260.47604772056798</v>
      </c>
      <c r="U66" s="16">
        <v>1.02672465618264E-3</v>
      </c>
      <c r="V66" s="16">
        <v>2.2985694375972599E-3</v>
      </c>
      <c r="W66" s="16">
        <v>1.59853601296149E-3</v>
      </c>
      <c r="X66" s="35">
        <v>1.16433313161154</v>
      </c>
      <c r="Y66" s="35">
        <v>1.1654134458566101</v>
      </c>
      <c r="Z66" s="35">
        <v>1.1657903110924801</v>
      </c>
      <c r="AA66" s="35">
        <v>1.16610370261624</v>
      </c>
      <c r="AB66" s="34">
        <v>260.41317864947598</v>
      </c>
      <c r="AC66" s="34">
        <v>260.76950713047199</v>
      </c>
      <c r="AD66" s="34">
        <v>260.58510154612497</v>
      </c>
      <c r="AE66" s="16">
        <v>9.2740930103119804E-4</v>
      </c>
      <c r="AF66" s="16">
        <v>2.2947936990138202E-3</v>
      </c>
      <c r="AG66" s="16">
        <v>1.5873842354011301E-3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9">
        <f t="shared" si="8"/>
        <v>0</v>
      </c>
      <c r="AP66" s="29">
        <f t="shared" si="9"/>
        <v>0</v>
      </c>
      <c r="AQ66" s="29">
        <f t="shared" si="16"/>
        <v>0</v>
      </c>
      <c r="AR66" s="30">
        <f t="shared" si="17"/>
        <v>0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9">
        <f t="shared" si="12"/>
        <v>0</v>
      </c>
      <c r="BA66" s="29">
        <f t="shared" si="13"/>
        <v>0</v>
      </c>
      <c r="BB66" s="29">
        <f t="shared" si="20"/>
        <v>0</v>
      </c>
      <c r="BC66" s="30">
        <f t="shared" si="21"/>
        <v>2.605399151548099E-2</v>
      </c>
      <c r="BE66" s="30">
        <f t="shared" si="22"/>
        <v>0</v>
      </c>
      <c r="BF66" s="30">
        <f t="shared" si="23"/>
        <v>2.605399151548099E-2</v>
      </c>
      <c r="BH66" s="30"/>
    </row>
    <row r="67" spans="1:60" x14ac:dyDescent="0.25">
      <c r="A67" s="1">
        <v>46120</v>
      </c>
      <c r="B67" s="34">
        <v>232.17</v>
      </c>
      <c r="C67" s="34">
        <v>271.69</v>
      </c>
      <c r="D67" s="16">
        <v>3.8953703104365099E-2</v>
      </c>
      <c r="E67" s="16">
        <v>4.3749336831833303E-2</v>
      </c>
      <c r="F67" s="34">
        <v>0</v>
      </c>
      <c r="G67" s="34">
        <v>0.15132499999999999</v>
      </c>
      <c r="H67" s="34">
        <v>0</v>
      </c>
      <c r="I67" s="34">
        <v>0.11178100000000001</v>
      </c>
      <c r="J67" s="34">
        <v>0.15132499999999999</v>
      </c>
      <c r="K67" s="34">
        <v>0.11178100000000001</v>
      </c>
      <c r="L67" s="34">
        <v>232.321325</v>
      </c>
      <c r="M67" s="34">
        <v>271.80178100000001</v>
      </c>
      <c r="N67" s="35">
        <v>1.1702200973424599</v>
      </c>
      <c r="O67" s="35">
        <v>1.1658179450689301</v>
      </c>
      <c r="P67" s="35">
        <v>1.1655744834391799</v>
      </c>
      <c r="Q67" s="35">
        <v>1.16695716422402</v>
      </c>
      <c r="R67" s="34">
        <v>270.667952306654</v>
      </c>
      <c r="S67" s="34">
        <v>270.72949389086301</v>
      </c>
      <c r="T67" s="34">
        <v>270.80774197707802</v>
      </c>
      <c r="U67" s="16">
        <v>-3.7689090712854502E-3</v>
      </c>
      <c r="V67" s="16">
        <v>-3.5415656107445998E-3</v>
      </c>
      <c r="W67" s="16">
        <v>-3.2525805453511702E-3</v>
      </c>
      <c r="X67" s="35">
        <v>1.16993901011885</v>
      </c>
      <c r="Y67" s="35">
        <v>1.1654134458566101</v>
      </c>
      <c r="Z67" s="35">
        <v>1.1652833260173501</v>
      </c>
      <c r="AA67" s="35">
        <v>1.1666267669216199</v>
      </c>
      <c r="AB67" s="34">
        <v>270.75039591422399</v>
      </c>
      <c r="AC67" s="34">
        <v>270.83794974516798</v>
      </c>
      <c r="AD67" s="34">
        <v>270.91075727921299</v>
      </c>
      <c r="AE67" s="16">
        <v>-3.8757061406892199E-3</v>
      </c>
      <c r="AF67" s="16">
        <v>-3.5523837043469901E-3</v>
      </c>
      <c r="AG67" s="16">
        <v>-3.28359659497553E-3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9">
        <f t="shared" si="8"/>
        <v>0</v>
      </c>
      <c r="AP67" s="29">
        <f t="shared" si="9"/>
        <v>0</v>
      </c>
      <c r="AQ67" s="29">
        <f t="shared" si="16"/>
        <v>0</v>
      </c>
      <c r="AR67" s="30">
        <f t="shared" si="17"/>
        <v>0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9">
        <f t="shared" si="12"/>
        <v>0</v>
      </c>
      <c r="BA67" s="29">
        <f t="shared" si="13"/>
        <v>0</v>
      </c>
      <c r="BB67" s="29">
        <f t="shared" si="20"/>
        <v>0</v>
      </c>
      <c r="BC67" s="30">
        <f t="shared" si="21"/>
        <v>2.605399151548099E-2</v>
      </c>
      <c r="BE67" s="30">
        <f t="shared" si="22"/>
        <v>0</v>
      </c>
      <c r="BF67" s="30">
        <f t="shared" si="23"/>
        <v>2.605399151548099E-2</v>
      </c>
      <c r="BH67" s="30"/>
    </row>
    <row r="68" spans="1:60" x14ac:dyDescent="0.25">
      <c r="A68" s="1">
        <v>46121</v>
      </c>
      <c r="B68" s="34">
        <v>231.76</v>
      </c>
      <c r="C68" s="34">
        <v>269.14</v>
      </c>
      <c r="D68" s="16">
        <v>-1.76750848938247E-3</v>
      </c>
      <c r="E68" s="16">
        <v>-9.4300201416118792E-3</v>
      </c>
      <c r="F68" s="34">
        <v>0</v>
      </c>
      <c r="G68" s="34">
        <v>0.15132499999999999</v>
      </c>
      <c r="H68" s="34">
        <v>0</v>
      </c>
      <c r="I68" s="34">
        <v>0.11178100000000001</v>
      </c>
      <c r="J68" s="34">
        <v>0.15132499999999999</v>
      </c>
      <c r="K68" s="34">
        <v>0.11178100000000001</v>
      </c>
      <c r="L68" s="34">
        <v>231.91132500000001</v>
      </c>
      <c r="M68" s="34">
        <v>269.25178099999999</v>
      </c>
      <c r="N68" s="35">
        <v>1.16128753883327</v>
      </c>
      <c r="O68" s="35">
        <v>1.1658179450689301</v>
      </c>
      <c r="P68" s="35">
        <v>1.1636699423610299</v>
      </c>
      <c r="Q68" s="35">
        <v>1.1668997881909899</v>
      </c>
      <c r="R68" s="34">
        <v>270.18996694917598</v>
      </c>
      <c r="S68" s="34">
        <v>270.13354228186603</v>
      </c>
      <c r="T68" s="34">
        <v>270.45399238056098</v>
      </c>
      <c r="U68" s="16">
        <v>3.8936025809437501E-3</v>
      </c>
      <c r="V68" s="16">
        <v>3.68474745414797E-3</v>
      </c>
      <c r="W68" s="16">
        <v>4.8703098864353398E-3</v>
      </c>
      <c r="X68" s="35">
        <v>1.1610117832753499</v>
      </c>
      <c r="Y68" s="35">
        <v>1.1654134458566101</v>
      </c>
      <c r="Z68" s="35">
        <v>1.1633807799739899</v>
      </c>
      <c r="AA68" s="35">
        <v>1.1665556031106901</v>
      </c>
      <c r="AB68" s="34">
        <v>270.27257640142199</v>
      </c>
      <c r="AC68" s="34">
        <v>270.24240013709101</v>
      </c>
      <c r="AD68" s="34">
        <v>270.55395929726001</v>
      </c>
      <c r="AE68" s="16">
        <v>3.7840612958182601E-3</v>
      </c>
      <c r="AF68" s="16">
        <v>3.67240383701523E-3</v>
      </c>
      <c r="AG68" s="16">
        <v>4.82462755007332E-3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9">
        <f t="shared" si="8"/>
        <v>0</v>
      </c>
      <c r="AP68" s="29">
        <f t="shared" si="9"/>
        <v>0</v>
      </c>
      <c r="AQ68" s="29">
        <f t="shared" si="16"/>
        <v>0</v>
      </c>
      <c r="AR68" s="30">
        <f t="shared" si="17"/>
        <v>0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9">
        <f t="shared" si="12"/>
        <v>0</v>
      </c>
      <c r="BA68" s="29">
        <f t="shared" si="13"/>
        <v>0</v>
      </c>
      <c r="BB68" s="29">
        <f t="shared" si="20"/>
        <v>0</v>
      </c>
      <c r="BC68" s="30">
        <f t="shared" si="21"/>
        <v>2.605399151548099E-2</v>
      </c>
      <c r="BE68" s="30">
        <f t="shared" si="22"/>
        <v>0</v>
      </c>
      <c r="BF68" s="30">
        <f t="shared" si="23"/>
        <v>2.605399151548099E-2</v>
      </c>
      <c r="BH68" s="30"/>
    </row>
    <row r="69" spans="1:60" x14ac:dyDescent="0.25">
      <c r="A69" s="1">
        <v>46122</v>
      </c>
      <c r="B69" s="34">
        <v>229.64</v>
      </c>
      <c r="C69" s="34">
        <v>267.81</v>
      </c>
      <c r="D69" s="16">
        <v>-9.1894881616589302E-3</v>
      </c>
      <c r="E69" s="16">
        <v>-4.9539164540148804E-3</v>
      </c>
      <c r="F69" s="34">
        <v>0</v>
      </c>
      <c r="G69" s="34">
        <v>0.15132499999999999</v>
      </c>
      <c r="H69" s="34">
        <v>0</v>
      </c>
      <c r="I69" s="34">
        <v>0.11178100000000001</v>
      </c>
      <c r="J69" s="34">
        <v>0.15132499999999999</v>
      </c>
      <c r="K69" s="34">
        <v>0.11178100000000001</v>
      </c>
      <c r="L69" s="34">
        <v>229.791325</v>
      </c>
      <c r="M69" s="34">
        <v>267.92178100000001</v>
      </c>
      <c r="N69" s="35">
        <v>1.1662166869883199</v>
      </c>
      <c r="O69" s="35">
        <v>1.1658179450689301</v>
      </c>
      <c r="P69" s="35">
        <v>1.1635234845833999</v>
      </c>
      <c r="Q69" s="35">
        <v>1.1671908376684901</v>
      </c>
      <c r="R69" s="34">
        <v>267.71843290562998</v>
      </c>
      <c r="S69" s="34">
        <v>267.22516556378702</v>
      </c>
      <c r="T69" s="34">
        <v>267.96686736018103</v>
      </c>
      <c r="U69" s="16">
        <v>-3.4196912670014101E-4</v>
      </c>
      <c r="V69" s="16">
        <v>-2.1861541325765002E-3</v>
      </c>
      <c r="W69" s="16">
        <v>5.8556975569429097E-4</v>
      </c>
      <c r="X69" s="35">
        <v>1.16593514137228</v>
      </c>
      <c r="Y69" s="35">
        <v>1.1654134458566101</v>
      </c>
      <c r="Z69" s="35">
        <v>1.1632356396358801</v>
      </c>
      <c r="AA69" s="35">
        <v>1.16683257530739</v>
      </c>
      <c r="AB69" s="34">
        <v>267.80189989620601</v>
      </c>
      <c r="AC69" s="34">
        <v>267.334810909758</v>
      </c>
      <c r="AD69" s="34">
        <v>268.06435772498099</v>
      </c>
      <c r="AE69" s="16">
        <v>-4.4754827934267299E-4</v>
      </c>
      <c r="AF69" s="16">
        <v>-2.1932296935825899E-3</v>
      </c>
      <c r="AG69" s="16">
        <v>5.3201647596178795E-4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9">
        <f t="shared" si="8"/>
        <v>0</v>
      </c>
      <c r="AP69" s="29">
        <f t="shared" si="9"/>
        <v>0</v>
      </c>
      <c r="AQ69" s="29">
        <f t="shared" si="16"/>
        <v>0</v>
      </c>
      <c r="AR69" s="30">
        <f t="shared" si="17"/>
        <v>0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9">
        <f t="shared" si="12"/>
        <v>0</v>
      </c>
      <c r="BA69" s="29">
        <f t="shared" si="13"/>
        <v>0</v>
      </c>
      <c r="BB69" s="29">
        <f t="shared" si="20"/>
        <v>0</v>
      </c>
      <c r="BC69" s="30">
        <f t="shared" si="21"/>
        <v>2.605399151548099E-2</v>
      </c>
      <c r="BE69" s="30">
        <f t="shared" si="22"/>
        <v>0</v>
      </c>
      <c r="BF69" s="30">
        <f t="shared" si="23"/>
        <v>2.605399151548099E-2</v>
      </c>
      <c r="BH69" s="30"/>
    </row>
    <row r="70" spans="1:60" x14ac:dyDescent="0.25">
      <c r="A70" s="1">
        <v>46125</v>
      </c>
      <c r="B70" s="34">
        <v>232.81</v>
      </c>
      <c r="C70" s="34">
        <v>273.74</v>
      </c>
      <c r="D70" s="16">
        <v>1.3709804961753599E-2</v>
      </c>
      <c r="E70" s="16">
        <v>2.1900976923739799E-2</v>
      </c>
      <c r="F70" s="34">
        <v>0</v>
      </c>
      <c r="G70" s="34">
        <v>0.15132499999999999</v>
      </c>
      <c r="H70" s="34">
        <v>0</v>
      </c>
      <c r="I70" s="34">
        <v>0.11178100000000001</v>
      </c>
      <c r="J70" s="34">
        <v>0.15132499999999999</v>
      </c>
      <c r="K70" s="34">
        <v>0.11178100000000001</v>
      </c>
      <c r="L70" s="34">
        <v>232.96132499999999</v>
      </c>
      <c r="M70" s="34">
        <v>273.85178100000002</v>
      </c>
      <c r="N70" s="35">
        <v>1.17580859928697</v>
      </c>
      <c r="O70" s="35">
        <v>1.1658179450689301</v>
      </c>
      <c r="P70" s="35">
        <v>1.1651211932438099</v>
      </c>
      <c r="Q70" s="35">
        <v>1.16816100078014</v>
      </c>
      <c r="R70" s="34">
        <v>271.41407579149899</v>
      </c>
      <c r="S70" s="34">
        <v>270.87990244586098</v>
      </c>
      <c r="T70" s="34">
        <v>271.73369891760302</v>
      </c>
      <c r="U70" s="16">
        <v>-8.5331410886863492E-3</v>
      </c>
      <c r="V70" s="16">
        <v>-1.05031925362021E-2</v>
      </c>
      <c r="W70" s="16">
        <v>-7.3562121648052701E-3</v>
      </c>
      <c r="X70" s="35">
        <v>1.1755246541459099</v>
      </c>
      <c r="Y70" s="35">
        <v>1.1654134458566101</v>
      </c>
      <c r="Z70" s="35">
        <v>1.1648344325337801</v>
      </c>
      <c r="AA70" s="35">
        <v>1.1677885411619799</v>
      </c>
      <c r="AB70" s="34">
        <v>271.49626051957199</v>
      </c>
      <c r="AC70" s="34">
        <v>270.98891589679903</v>
      </c>
      <c r="AD70" s="34">
        <v>271.82686279677301</v>
      </c>
      <c r="AE70" s="16">
        <v>-8.6386488983628499E-3</v>
      </c>
      <c r="AF70" s="16">
        <v>-1.0509095475502E-2</v>
      </c>
      <c r="AG70" s="16">
        <v>-7.4216849819929301E-3</v>
      </c>
      <c r="AI70" s="12"/>
      <c r="AJ70">
        <f t="shared" si="6"/>
        <v>0</v>
      </c>
      <c r="AK70">
        <f t="shared" si="7"/>
        <v>0</v>
      </c>
      <c r="AL70">
        <f t="shared" si="14"/>
        <v>0</v>
      </c>
      <c r="AM70">
        <f t="shared" si="4"/>
        <v>1</v>
      </c>
      <c r="AN70">
        <f t="shared" si="15"/>
        <v>0</v>
      </c>
      <c r="AO70" s="29">
        <f t="shared" si="8"/>
        <v>0</v>
      </c>
      <c r="AP70" s="29">
        <f t="shared" si="9"/>
        <v>0</v>
      </c>
      <c r="AQ70" s="29">
        <f t="shared" si="16"/>
        <v>0</v>
      </c>
      <c r="AR70" s="30">
        <f t="shared" si="17"/>
        <v>0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9">
        <f t="shared" si="12"/>
        <v>0</v>
      </c>
      <c r="BA70" s="29">
        <f t="shared" si="13"/>
        <v>0</v>
      </c>
      <c r="BB70" s="29">
        <f t="shared" si="20"/>
        <v>0</v>
      </c>
      <c r="BC70" s="30">
        <f t="shared" si="21"/>
        <v>2.605399151548099E-2</v>
      </c>
      <c r="BE70" s="30">
        <f t="shared" si="22"/>
        <v>0</v>
      </c>
      <c r="BF70" s="30">
        <f t="shared" si="23"/>
        <v>2.605399151548099E-2</v>
      </c>
      <c r="BH70" s="30"/>
    </row>
    <row r="71" spans="1:60" x14ac:dyDescent="0.25">
      <c r="A71" s="1">
        <v>46126</v>
      </c>
      <c r="B71" s="34">
        <v>235.43</v>
      </c>
      <c r="C71" s="34">
        <v>276.48</v>
      </c>
      <c r="D71" s="16">
        <v>1.11909590956691E-2</v>
      </c>
      <c r="E71" s="16">
        <v>9.9597348325706405E-3</v>
      </c>
      <c r="F71" s="34">
        <v>0</v>
      </c>
      <c r="G71" s="34">
        <v>0.15132499999999999</v>
      </c>
      <c r="H71" s="34">
        <v>0</v>
      </c>
      <c r="I71" s="34">
        <v>0.11178100000000001</v>
      </c>
      <c r="J71" s="34">
        <v>0.15132499999999999</v>
      </c>
      <c r="K71" s="34">
        <v>0.11178100000000001</v>
      </c>
      <c r="L71" s="34">
        <v>235.58132499999999</v>
      </c>
      <c r="M71" s="34">
        <v>276.59178100000003</v>
      </c>
      <c r="N71" s="35">
        <v>1.174361806057</v>
      </c>
      <c r="O71" s="35">
        <v>1.1658179450689301</v>
      </c>
      <c r="P71" s="35">
        <v>1.1676373112279399</v>
      </c>
      <c r="Q71" s="35">
        <v>1.16871363427271</v>
      </c>
      <c r="R71" s="34">
        <v>274.46851880757902</v>
      </c>
      <c r="S71" s="34">
        <v>274.30448252539099</v>
      </c>
      <c r="T71" s="34">
        <v>275.02014441366799</v>
      </c>
      <c r="U71" s="16">
        <v>-7.3019168255878302E-3</v>
      </c>
      <c r="V71" s="16">
        <v>-7.8997461162988794E-3</v>
      </c>
      <c r="W71" s="16">
        <v>-5.2941382186071501E-3</v>
      </c>
      <c r="X71" s="35">
        <v>1.1740819481340401</v>
      </c>
      <c r="Y71" s="35">
        <v>1.1654134458566101</v>
      </c>
      <c r="Z71" s="35">
        <v>1.16735201451919</v>
      </c>
      <c r="AA71" s="35">
        <v>1.16832718175841</v>
      </c>
      <c r="AB71" s="34">
        <v>274.549643747716</v>
      </c>
      <c r="AC71" s="34">
        <v>274.41323902193199</v>
      </c>
      <c r="AD71" s="34">
        <v>275.10917184675702</v>
      </c>
      <c r="AE71" s="16">
        <v>-7.4106082622985804E-3</v>
      </c>
      <c r="AF71" s="16">
        <v>-7.9075625478165594E-3</v>
      </c>
      <c r="AG71" s="16">
        <v>-5.3746969790321496E-3</v>
      </c>
      <c r="AI71" s="12"/>
      <c r="AJ71">
        <f t="shared" si="6"/>
        <v>0</v>
      </c>
      <c r="AK71">
        <f t="shared" si="7"/>
        <v>0</v>
      </c>
      <c r="AL71">
        <f t="shared" si="14"/>
        <v>0</v>
      </c>
      <c r="AM71">
        <f t="shared" si="4"/>
        <v>1</v>
      </c>
      <c r="AN71">
        <f t="shared" si="15"/>
        <v>0</v>
      </c>
      <c r="AO71" s="29">
        <f t="shared" si="8"/>
        <v>0</v>
      </c>
      <c r="AP71" s="29">
        <f t="shared" si="9"/>
        <v>0</v>
      </c>
      <c r="AQ71" s="29">
        <f t="shared" si="16"/>
        <v>0</v>
      </c>
      <c r="AR71" s="30">
        <f t="shared" si="17"/>
        <v>0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9">
        <f t="shared" si="12"/>
        <v>0</v>
      </c>
      <c r="BA71" s="29">
        <f t="shared" si="13"/>
        <v>0</v>
      </c>
      <c r="BB71" s="29">
        <f t="shared" si="20"/>
        <v>0</v>
      </c>
      <c r="BC71" s="30">
        <f t="shared" si="21"/>
        <v>2.605399151548099E-2</v>
      </c>
      <c r="BE71" s="30">
        <f t="shared" si="22"/>
        <v>0</v>
      </c>
      <c r="BF71" s="30">
        <f t="shared" si="23"/>
        <v>2.605399151548099E-2</v>
      </c>
      <c r="BH71" s="30"/>
    </row>
    <row r="72" spans="1:60" x14ac:dyDescent="0.25">
      <c r="A72" s="1">
        <v>46127</v>
      </c>
      <c r="B72" s="34">
        <v>234</v>
      </c>
      <c r="C72" s="34">
        <v>275.47000000000003</v>
      </c>
      <c r="D72" s="16">
        <v>-6.0925139991573002E-3</v>
      </c>
      <c r="E72" s="16">
        <v>-3.6597558739463799E-3</v>
      </c>
      <c r="F72" s="34">
        <v>0</v>
      </c>
      <c r="G72" s="34">
        <v>0.15132499999999999</v>
      </c>
      <c r="H72" s="34">
        <v>0</v>
      </c>
      <c r="I72" s="34">
        <v>0.11178100000000001</v>
      </c>
      <c r="J72" s="34">
        <v>0.15132499999999999</v>
      </c>
      <c r="K72" s="34">
        <v>0.11178100000000001</v>
      </c>
      <c r="L72" s="34">
        <v>234.15132500000001</v>
      </c>
      <c r="M72" s="34">
        <v>275.58178099999998</v>
      </c>
      <c r="N72" s="35">
        <v>1.1772222222222199</v>
      </c>
      <c r="O72" s="35">
        <v>1.1658179450689301</v>
      </c>
      <c r="P72" s="35">
        <v>1.1692543905930199</v>
      </c>
      <c r="Q72" s="35">
        <v>1.1688027402314001</v>
      </c>
      <c r="R72" s="34">
        <v>272.80139914613102</v>
      </c>
      <c r="S72" s="34">
        <v>273.22713082733901</v>
      </c>
      <c r="T72" s="34">
        <v>273.47899041981498</v>
      </c>
      <c r="U72" s="16">
        <v>-9.7346749507988394E-3</v>
      </c>
      <c r="V72" s="16">
        <v>-8.1752994086505392E-3</v>
      </c>
      <c r="W72" s="16">
        <v>-7.2539283081452903E-3</v>
      </c>
      <c r="X72" s="35">
        <v>1.17693880656024</v>
      </c>
      <c r="Y72" s="35">
        <v>1.1654134458566101</v>
      </c>
      <c r="Z72" s="35">
        <v>1.1689699504544599</v>
      </c>
      <c r="AA72" s="35">
        <v>1.16844027880104</v>
      </c>
      <c r="AB72" s="34">
        <v>272.88310252014099</v>
      </c>
      <c r="AC72" s="34">
        <v>273.33702094108799</v>
      </c>
      <c r="AD72" s="34">
        <v>273.56535764224799</v>
      </c>
      <c r="AE72" s="16">
        <v>-9.8409226920171192E-3</v>
      </c>
      <c r="AF72" s="16">
        <v>-8.1788875309513395E-3</v>
      </c>
      <c r="AG72" s="16">
        <v>-7.3438693508565698E-3</v>
      </c>
      <c r="AI72" s="12"/>
      <c r="AJ72">
        <f t="shared" si="6"/>
        <v>0</v>
      </c>
      <c r="AK72">
        <f t="shared" si="7"/>
        <v>0</v>
      </c>
      <c r="AL72">
        <f t="shared" si="14"/>
        <v>0</v>
      </c>
      <c r="AM72">
        <f t="shared" si="4"/>
        <v>1</v>
      </c>
      <c r="AN72">
        <f t="shared" si="15"/>
        <v>0</v>
      </c>
      <c r="AO72" s="29">
        <f t="shared" si="8"/>
        <v>0</v>
      </c>
      <c r="AP72" s="29">
        <f t="shared" si="9"/>
        <v>0</v>
      </c>
      <c r="AQ72" s="29">
        <f t="shared" si="16"/>
        <v>0</v>
      </c>
      <c r="AR72" s="30">
        <f t="shared" si="17"/>
        <v>0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9">
        <f t="shared" si="12"/>
        <v>0</v>
      </c>
      <c r="BA72" s="29">
        <f t="shared" si="13"/>
        <v>0</v>
      </c>
      <c r="BB72" s="29">
        <f t="shared" si="20"/>
        <v>0</v>
      </c>
      <c r="BC72" s="30">
        <f t="shared" si="21"/>
        <v>2.605399151548099E-2</v>
      </c>
      <c r="BE72" s="30">
        <f t="shared" si="22"/>
        <v>0</v>
      </c>
      <c r="BF72" s="30">
        <f t="shared" si="23"/>
        <v>2.605399151548099E-2</v>
      </c>
      <c r="BH72" s="30"/>
    </row>
    <row r="73" spans="1:60" x14ac:dyDescent="0.25">
      <c r="A73" s="1">
        <v>46128</v>
      </c>
      <c r="B73" s="34">
        <v>229.03</v>
      </c>
      <c r="C73" s="34">
        <v>272.63</v>
      </c>
      <c r="D73" s="16">
        <v>-2.14681160169721E-2</v>
      </c>
      <c r="E73" s="16">
        <v>-1.0363165177218501E-2</v>
      </c>
      <c r="F73" s="34">
        <v>0</v>
      </c>
      <c r="G73" s="34">
        <v>0.15132499999999999</v>
      </c>
      <c r="H73" s="34">
        <v>0</v>
      </c>
      <c r="I73" s="34">
        <v>0.11178100000000001</v>
      </c>
      <c r="J73" s="34">
        <v>0.15132499999999999</v>
      </c>
      <c r="K73" s="34">
        <v>0.11178100000000001</v>
      </c>
      <c r="L73" s="34">
        <v>229.18132499999999</v>
      </c>
      <c r="M73" s="34">
        <v>272.741781</v>
      </c>
      <c r="N73" s="35">
        <v>1.19036807405143</v>
      </c>
      <c r="O73" s="35">
        <v>1.1658179450689301</v>
      </c>
      <c r="P73" s="35">
        <v>1.17205528313499</v>
      </c>
      <c r="Q73" s="35">
        <v>1.16976348070967</v>
      </c>
      <c r="R73" s="34">
        <v>267.00728395913802</v>
      </c>
      <c r="S73" s="34">
        <v>267.79433307751998</v>
      </c>
      <c r="T73" s="34">
        <v>267.690891595197</v>
      </c>
      <c r="U73" s="16">
        <v>-2.08396257905526E-2</v>
      </c>
      <c r="V73" s="16">
        <v>-1.7896292556292E-2</v>
      </c>
      <c r="W73" s="16">
        <v>-1.82826392894745E-2</v>
      </c>
      <c r="X73" s="35">
        <v>1.1900698322605401</v>
      </c>
      <c r="Y73" s="35">
        <v>1.1654134458566101</v>
      </c>
      <c r="Z73" s="35">
        <v>1.1717696673800899</v>
      </c>
      <c r="AA73" s="35">
        <v>1.1694243712354</v>
      </c>
      <c r="AB73" s="34">
        <v>267.09099769423398</v>
      </c>
      <c r="AC73" s="34">
        <v>267.90608213033801</v>
      </c>
      <c r="AD73" s="34">
        <v>267.784691278992</v>
      </c>
      <c r="AE73" s="16">
        <v>-2.0936074766858902E-2</v>
      </c>
      <c r="AF73" s="16">
        <v>-1.7889011156660601E-2</v>
      </c>
      <c r="AG73" s="16">
        <v>-1.83422235674345E-2</v>
      </c>
      <c r="AI73" s="12"/>
      <c r="AJ73">
        <f t="shared" si="6"/>
        <v>0</v>
      </c>
      <c r="AK73">
        <f t="shared" si="7"/>
        <v>0</v>
      </c>
      <c r="AL73">
        <f t="shared" si="14"/>
        <v>0</v>
      </c>
      <c r="AM73">
        <f t="shared" si="4"/>
        <v>1</v>
      </c>
      <c r="AN73">
        <f t="shared" si="15"/>
        <v>0</v>
      </c>
      <c r="AO73" s="29">
        <f t="shared" si="8"/>
        <v>0</v>
      </c>
      <c r="AP73" s="29">
        <f t="shared" si="9"/>
        <v>0</v>
      </c>
      <c r="AQ73" s="29">
        <f t="shared" si="16"/>
        <v>0</v>
      </c>
      <c r="AR73" s="30">
        <f t="shared" si="17"/>
        <v>0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9">
        <f t="shared" si="12"/>
        <v>0</v>
      </c>
      <c r="BA73" s="29">
        <f t="shared" si="13"/>
        <v>0</v>
      </c>
      <c r="BB73" s="29">
        <f t="shared" si="20"/>
        <v>0</v>
      </c>
      <c r="BC73" s="30">
        <f t="shared" si="21"/>
        <v>2.605399151548099E-2</v>
      </c>
      <c r="BE73" s="30">
        <f t="shared" si="22"/>
        <v>0</v>
      </c>
      <c r="BF73" s="30">
        <f t="shared" si="23"/>
        <v>2.605399151548099E-2</v>
      </c>
      <c r="BH73" s="30"/>
    </row>
    <row r="74" spans="1:60" x14ac:dyDescent="0.25">
      <c r="A74" s="1">
        <v>46129</v>
      </c>
      <c r="B74" s="34">
        <v>231.94</v>
      </c>
      <c r="C74" s="34">
        <v>276.38</v>
      </c>
      <c r="D74" s="16">
        <v>1.2625718187828001E-2</v>
      </c>
      <c r="E74" s="16">
        <v>1.36611658108125E-2</v>
      </c>
      <c r="F74" s="34">
        <v>0</v>
      </c>
      <c r="G74" s="34">
        <v>0.15132499999999999</v>
      </c>
      <c r="H74" s="34">
        <v>0</v>
      </c>
      <c r="I74" s="34">
        <v>0.11178100000000001</v>
      </c>
      <c r="J74" s="34">
        <v>0.15132499999999999</v>
      </c>
      <c r="K74" s="34">
        <v>0.11178100000000001</v>
      </c>
      <c r="L74" s="34">
        <v>232.09132500000001</v>
      </c>
      <c r="M74" s="34">
        <v>276.491781</v>
      </c>
      <c r="N74" s="35">
        <v>1.19160127619211</v>
      </c>
      <c r="O74" s="35">
        <v>1.1658179450689301</v>
      </c>
      <c r="P74" s="35">
        <v>1.1742400603869401</v>
      </c>
      <c r="Q74" s="35">
        <v>1.1703958056489601</v>
      </c>
      <c r="R74" s="34">
        <v>270.399814179288</v>
      </c>
      <c r="S74" s="34">
        <v>271.846502370331</v>
      </c>
      <c r="T74" s="34">
        <v>271.31494171580101</v>
      </c>
      <c r="U74" s="16">
        <v>-2.1875073413537199E-2</v>
      </c>
      <c r="V74" s="16">
        <v>-1.65391528940186E-2</v>
      </c>
      <c r="W74" s="16">
        <v>-1.8496437712434002E-2</v>
      </c>
      <c r="X74" s="35">
        <v>1.19130596975134</v>
      </c>
      <c r="Y74" s="35">
        <v>1.1654134458566101</v>
      </c>
      <c r="Z74" s="35">
        <v>1.17395428963405</v>
      </c>
      <c r="AA74" s="35">
        <v>1.1700811457584599</v>
      </c>
      <c r="AB74" s="34">
        <v>270.48235082167702</v>
      </c>
      <c r="AC74" s="34">
        <v>271.95757469705399</v>
      </c>
      <c r="AD74" s="34">
        <v>271.41325180731599</v>
      </c>
      <c r="AE74" s="16">
        <v>-2.1974245727343699E-2</v>
      </c>
      <c r="AF74" s="16">
        <v>-1.6535016632866498E-2</v>
      </c>
      <c r="AG74" s="16">
        <v>-1.8538521588469001E-2</v>
      </c>
      <c r="AI74" s="12"/>
      <c r="AJ74">
        <f t="shared" si="6"/>
        <v>0</v>
      </c>
      <c r="AK74">
        <f t="shared" si="7"/>
        <v>0</v>
      </c>
      <c r="AL74">
        <f t="shared" si="14"/>
        <v>0</v>
      </c>
      <c r="AM74">
        <f t="shared" si="4"/>
        <v>1</v>
      </c>
      <c r="AN74">
        <f t="shared" si="15"/>
        <v>0</v>
      </c>
      <c r="AO74" s="29">
        <f t="shared" si="8"/>
        <v>0</v>
      </c>
      <c r="AP74" s="29">
        <f t="shared" si="9"/>
        <v>0</v>
      </c>
      <c r="AQ74" s="29">
        <f t="shared" si="16"/>
        <v>0</v>
      </c>
      <c r="AR74" s="30">
        <f t="shared" si="17"/>
        <v>0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9">
        <f t="shared" si="12"/>
        <v>0</v>
      </c>
      <c r="BA74" s="29">
        <f t="shared" si="13"/>
        <v>0</v>
      </c>
      <c r="BB74" s="29">
        <f t="shared" si="20"/>
        <v>0</v>
      </c>
      <c r="BC74" s="30">
        <f t="shared" si="21"/>
        <v>2.605399151548099E-2</v>
      </c>
      <c r="BE74" s="30">
        <f t="shared" si="22"/>
        <v>0</v>
      </c>
      <c r="BF74" s="30">
        <f t="shared" si="23"/>
        <v>2.605399151548099E-2</v>
      </c>
      <c r="BH74" s="30"/>
    </row>
    <row r="75" spans="1:60" x14ac:dyDescent="0.25">
      <c r="A75" s="1">
        <v>46132</v>
      </c>
      <c r="B75" s="34">
        <v>231.85</v>
      </c>
      <c r="C75" s="34">
        <v>276.35000000000002</v>
      </c>
      <c r="D75" s="16">
        <v>-3.8810669108738902E-4</v>
      </c>
      <c r="E75" s="16">
        <v>-1.08552096066556E-4</v>
      </c>
      <c r="F75" s="34">
        <v>0</v>
      </c>
      <c r="G75" s="34">
        <v>0.15132499999999999</v>
      </c>
      <c r="H75" s="34">
        <v>0</v>
      </c>
      <c r="I75" s="34">
        <v>0.11178100000000001</v>
      </c>
      <c r="J75" s="34">
        <v>0.15132499999999999</v>
      </c>
      <c r="K75" s="34">
        <v>0.11178100000000001</v>
      </c>
      <c r="L75" s="34">
        <v>232.00132500000001</v>
      </c>
      <c r="M75" s="34">
        <v>276.46178099999997</v>
      </c>
      <c r="N75" s="35">
        <v>1.19193444037092</v>
      </c>
      <c r="O75" s="35">
        <v>1.1658179450689301</v>
      </c>
      <c r="P75" s="35">
        <v>1.1763642326655901</v>
      </c>
      <c r="Q75" s="35">
        <v>1.1718329302555699</v>
      </c>
      <c r="R75" s="34">
        <v>270.29489056423199</v>
      </c>
      <c r="S75" s="34">
        <v>272.24755800071199</v>
      </c>
      <c r="T75" s="34">
        <v>271.35626753971098</v>
      </c>
      <c r="U75" s="16">
        <v>-2.21546280085579E-2</v>
      </c>
      <c r="V75" s="16">
        <v>-1.49563862007816E-2</v>
      </c>
      <c r="W75" s="16">
        <v>-1.8235580414669699E-2</v>
      </c>
      <c r="X75" s="35">
        <v>1.1916388020628701</v>
      </c>
      <c r="Y75" s="35">
        <v>1.1654134458566101</v>
      </c>
      <c r="Z75" s="35">
        <v>1.1760779079293</v>
      </c>
      <c r="AA75" s="35">
        <v>1.1715430059779299</v>
      </c>
      <c r="AB75" s="34">
        <v>270.37746361155001</v>
      </c>
      <c r="AC75" s="34">
        <v>272.35895068453402</v>
      </c>
      <c r="AD75" s="34">
        <v>271.46037617348202</v>
      </c>
      <c r="AE75" s="16">
        <v>-2.22535911134648E-2</v>
      </c>
      <c r="AF75" s="16">
        <v>-1.49517192480445E-2</v>
      </c>
      <c r="AG75" s="16">
        <v>-1.82564025663671E-2</v>
      </c>
      <c r="AI75" s="12"/>
      <c r="AJ75">
        <f t="shared" si="6"/>
        <v>0</v>
      </c>
      <c r="AK75">
        <f t="shared" si="7"/>
        <v>0</v>
      </c>
      <c r="AL75">
        <f t="shared" si="14"/>
        <v>0</v>
      </c>
      <c r="AM75">
        <f t="shared" si="4"/>
        <v>1</v>
      </c>
      <c r="AN75">
        <f t="shared" si="15"/>
        <v>0</v>
      </c>
      <c r="AO75" s="29">
        <f t="shared" si="8"/>
        <v>0</v>
      </c>
      <c r="AP75" s="29">
        <f t="shared" si="9"/>
        <v>0</v>
      </c>
      <c r="AQ75" s="29">
        <f t="shared" si="16"/>
        <v>0</v>
      </c>
      <c r="AR75" s="30">
        <f t="shared" si="17"/>
        <v>0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9">
        <f t="shared" si="12"/>
        <v>0</v>
      </c>
      <c r="BA75" s="29">
        <f t="shared" si="13"/>
        <v>0</v>
      </c>
      <c r="BB75" s="29">
        <f t="shared" si="20"/>
        <v>0</v>
      </c>
      <c r="BC75" s="30">
        <f t="shared" si="21"/>
        <v>2.605399151548099E-2</v>
      </c>
      <c r="BE75" s="30">
        <f t="shared" si="22"/>
        <v>0</v>
      </c>
      <c r="BF75" s="30">
        <f t="shared" si="23"/>
        <v>2.605399151548099E-2</v>
      </c>
      <c r="BH75" s="30"/>
    </row>
    <row r="76" spans="1:60" x14ac:dyDescent="0.25">
      <c r="A76" s="1">
        <v>46133</v>
      </c>
      <c r="B76" s="34">
        <v>223.09</v>
      </c>
      <c r="C76" s="34">
        <v>267.45999999999998</v>
      </c>
      <c r="D76" s="16">
        <v>-3.85153333529114E-2</v>
      </c>
      <c r="E76" s="16">
        <v>-3.2698155834621601E-2</v>
      </c>
      <c r="F76" s="34">
        <v>0</v>
      </c>
      <c r="G76" s="34">
        <v>0.15132499999999999</v>
      </c>
      <c r="H76" s="34">
        <v>0</v>
      </c>
      <c r="I76" s="34">
        <v>0.11178100000000001</v>
      </c>
      <c r="J76" s="34">
        <v>0.15132499999999999</v>
      </c>
      <c r="K76" s="34">
        <v>0.11178100000000001</v>
      </c>
      <c r="L76" s="34">
        <v>223.24132499999999</v>
      </c>
      <c r="M76" s="34">
        <v>267.57178099999999</v>
      </c>
      <c r="N76" s="35">
        <v>1.19888834102828</v>
      </c>
      <c r="O76" s="35">
        <v>1.1658179450689301</v>
      </c>
      <c r="P76" s="35">
        <v>1.1797909082372999</v>
      </c>
      <c r="Q76" s="35">
        <v>1.1729369622610899</v>
      </c>
      <c r="R76" s="34">
        <v>260.08232536542801</v>
      </c>
      <c r="S76" s="34">
        <v>262.43509666536801</v>
      </c>
      <c r="T76" s="34">
        <v>261.42420841071601</v>
      </c>
      <c r="U76" s="16">
        <v>-2.79718055268478E-2</v>
      </c>
      <c r="V76" s="16">
        <v>-1.8966221783086299E-2</v>
      </c>
      <c r="W76" s="16">
        <v>-2.2825614943099301E-2</v>
      </c>
      <c r="X76" s="35">
        <v>1.1985763881306399</v>
      </c>
      <c r="Y76" s="35">
        <v>1.1654134458566101</v>
      </c>
      <c r="Z76" s="35">
        <v>1.17950223358121</v>
      </c>
      <c r="AA76" s="35">
        <v>1.17264627233684</v>
      </c>
      <c r="AB76" s="34">
        <v>260.168441825846</v>
      </c>
      <c r="AC76" s="34">
        <v>262.54919046936499</v>
      </c>
      <c r="AD76" s="34">
        <v>261.53681294899599</v>
      </c>
      <c r="AE76" s="16">
        <v>-2.8058596100605002E-2</v>
      </c>
      <c r="AF76" s="16">
        <v>-1.8949413785998199E-2</v>
      </c>
      <c r="AG76" s="16">
        <v>-2.2812820833646899E-2</v>
      </c>
      <c r="AI76" s="12"/>
      <c r="AJ76">
        <f t="shared" si="6"/>
        <v>0</v>
      </c>
      <c r="AK76">
        <f t="shared" si="7"/>
        <v>0</v>
      </c>
      <c r="AL76">
        <f t="shared" si="14"/>
        <v>0</v>
      </c>
      <c r="AM76">
        <f t="shared" si="4"/>
        <v>1</v>
      </c>
      <c r="AN76">
        <f t="shared" si="15"/>
        <v>0</v>
      </c>
      <c r="AO76" s="29">
        <f t="shared" si="8"/>
        <v>0</v>
      </c>
      <c r="AP76" s="29">
        <f t="shared" si="9"/>
        <v>0</v>
      </c>
      <c r="AQ76" s="29">
        <f t="shared" si="16"/>
        <v>0</v>
      </c>
      <c r="AR76" s="30">
        <f t="shared" si="17"/>
        <v>0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9">
        <f t="shared" si="12"/>
        <v>0</v>
      </c>
      <c r="BA76" s="29">
        <f t="shared" si="13"/>
        <v>0</v>
      </c>
      <c r="BB76" s="29">
        <f t="shared" si="20"/>
        <v>0</v>
      </c>
      <c r="BC76" s="30">
        <f t="shared" si="21"/>
        <v>2.605399151548099E-2</v>
      </c>
      <c r="BE76" s="30">
        <f t="shared" si="22"/>
        <v>0</v>
      </c>
      <c r="BF76" s="30">
        <f t="shared" si="23"/>
        <v>2.605399151548099E-2</v>
      </c>
      <c r="BH76" s="30"/>
    </row>
    <row r="77" spans="1:60" x14ac:dyDescent="0.25">
      <c r="A77" s="1">
        <v>46134</v>
      </c>
      <c r="B77" s="34">
        <v>219.15</v>
      </c>
      <c r="C77" s="34">
        <v>263.92</v>
      </c>
      <c r="D77" s="16">
        <v>-1.78188506197401E-2</v>
      </c>
      <c r="E77" s="16">
        <v>-1.33239955243244E-2</v>
      </c>
      <c r="F77" s="34">
        <v>0</v>
      </c>
      <c r="G77" s="34">
        <v>0.15132499999999999</v>
      </c>
      <c r="H77" s="34">
        <v>0</v>
      </c>
      <c r="I77" s="34">
        <v>0.11178100000000001</v>
      </c>
      <c r="J77" s="34">
        <v>0.15132499999999999</v>
      </c>
      <c r="K77" s="34">
        <v>0.11178100000000001</v>
      </c>
      <c r="L77" s="34">
        <v>219.30132499999999</v>
      </c>
      <c r="M77" s="34">
        <v>264.03178100000002</v>
      </c>
      <c r="N77" s="35">
        <v>1.2042892995665</v>
      </c>
      <c r="O77" s="35">
        <v>1.1658179450689301</v>
      </c>
      <c r="P77" s="35">
        <v>1.1831978284597</v>
      </c>
      <c r="Q77" s="35">
        <v>1.17438615594944</v>
      </c>
      <c r="R77" s="34">
        <v>255.489002661857</v>
      </c>
      <c r="S77" s="34">
        <v>258.551177540205</v>
      </c>
      <c r="T77" s="34">
        <v>257.04913527951902</v>
      </c>
      <c r="U77" s="16">
        <v>-3.2466660622263603E-2</v>
      </c>
      <c r="V77" s="16">
        <v>-2.0552373688138E-2</v>
      </c>
      <c r="W77" s="16">
        <v>-2.63787724411234E-2</v>
      </c>
      <c r="X77" s="35">
        <v>1.2039680152411301</v>
      </c>
      <c r="Y77" s="35">
        <v>1.1654134458566101</v>
      </c>
      <c r="Z77" s="35">
        <v>1.18290513409343</v>
      </c>
      <c r="AA77" s="35">
        <v>1.17409423005539</v>
      </c>
      <c r="AB77" s="34">
        <v>255.576712849171</v>
      </c>
      <c r="AC77" s="34">
        <v>258.66640266481897</v>
      </c>
      <c r="AD77" s="34">
        <v>257.162881279781</v>
      </c>
      <c r="AE77" s="16">
        <v>-3.2546867912705599E-2</v>
      </c>
      <c r="AF77" s="16">
        <v>-2.0530267587783198E-2</v>
      </c>
      <c r="AG77" s="16">
        <v>-2.6359815035974302E-2</v>
      </c>
      <c r="AI77" s="12"/>
      <c r="AJ77">
        <f t="shared" si="6"/>
        <v>1</v>
      </c>
      <c r="AK77">
        <f t="shared" si="7"/>
        <v>0</v>
      </c>
      <c r="AL77">
        <f t="shared" si="14"/>
        <v>0</v>
      </c>
      <c r="AM77">
        <f t="shared" si="4"/>
        <v>1</v>
      </c>
      <c r="AN77">
        <f t="shared" si="15"/>
        <v>0</v>
      </c>
      <c r="AO77" s="29">
        <f t="shared" si="8"/>
        <v>0</v>
      </c>
      <c r="AP77" s="29">
        <f t="shared" si="9"/>
        <v>0</v>
      </c>
      <c r="AQ77" s="29">
        <f t="shared" si="16"/>
        <v>0</v>
      </c>
      <c r="AR77" s="30">
        <f t="shared" si="17"/>
        <v>0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9">
        <f t="shared" si="12"/>
        <v>0</v>
      </c>
      <c r="BA77" s="29">
        <f t="shared" si="13"/>
        <v>0</v>
      </c>
      <c r="BB77" s="29">
        <f t="shared" si="20"/>
        <v>0</v>
      </c>
      <c r="BC77" s="30">
        <f t="shared" si="21"/>
        <v>2.605399151548099E-2</v>
      </c>
      <c r="BE77" s="30">
        <f t="shared" si="22"/>
        <v>0</v>
      </c>
      <c r="BF77" s="30">
        <f t="shared" si="23"/>
        <v>2.605399151548099E-2</v>
      </c>
      <c r="BH77" s="30"/>
    </row>
    <row r="78" spans="1:60" x14ac:dyDescent="0.25">
      <c r="A78" s="1">
        <v>46135</v>
      </c>
      <c r="B78" s="34">
        <v>219.11</v>
      </c>
      <c r="C78" s="34">
        <v>261.58</v>
      </c>
      <c r="D78" s="16">
        <v>-1.8254004522918899E-4</v>
      </c>
      <c r="E78" s="16">
        <v>-8.9058628593197704E-3</v>
      </c>
      <c r="F78" s="34">
        <v>0</v>
      </c>
      <c r="G78" s="34">
        <v>0.15132499999999999</v>
      </c>
      <c r="H78" s="34">
        <v>0</v>
      </c>
      <c r="I78" s="34">
        <v>0.11178100000000001</v>
      </c>
      <c r="J78" s="34">
        <v>0.15132499999999999</v>
      </c>
      <c r="K78" s="34">
        <v>0.11178100000000001</v>
      </c>
      <c r="L78" s="34">
        <v>219.261325</v>
      </c>
      <c r="M78" s="34">
        <v>261.69178099999999</v>
      </c>
      <c r="N78" s="35">
        <v>1.19382958331431</v>
      </c>
      <c r="O78" s="35">
        <v>1.1658179450689301</v>
      </c>
      <c r="P78" s="35">
        <v>1.1864520329078101</v>
      </c>
      <c r="Q78" s="35">
        <v>1.17506098763442</v>
      </c>
      <c r="R78" s="34">
        <v>255.44236994405401</v>
      </c>
      <c r="S78" s="34">
        <v>259.25047619380598</v>
      </c>
      <c r="T78" s="34">
        <v>257.31975063008298</v>
      </c>
      <c r="U78" s="16">
        <v>-2.3743337808173001E-2</v>
      </c>
      <c r="V78" s="16">
        <v>-8.9454801399164192E-3</v>
      </c>
      <c r="W78" s="16">
        <v>-1.6420686622968798E-2</v>
      </c>
      <c r="X78" s="35">
        <v>1.19351545923568</v>
      </c>
      <c r="Y78" s="35">
        <v>1.1654134458566101</v>
      </c>
      <c r="Z78" s="35">
        <v>1.18615550168947</v>
      </c>
      <c r="AA78" s="35">
        <v>1.1747681408317301</v>
      </c>
      <c r="AB78" s="34">
        <v>255.530096311336</v>
      </c>
      <c r="AC78" s="34">
        <v>259.36534705063002</v>
      </c>
      <c r="AD78" s="34">
        <v>257.43345655680099</v>
      </c>
      <c r="AE78" s="16">
        <v>-2.3827206363864602E-2</v>
      </c>
      <c r="AF78" s="16">
        <v>-8.9297287505390802E-3</v>
      </c>
      <c r="AG78" s="16">
        <v>-1.6406137283962501E-2</v>
      </c>
      <c r="AI78" s="12"/>
      <c r="AJ78">
        <f t="shared" si="6"/>
        <v>0</v>
      </c>
      <c r="AK78">
        <f t="shared" si="7"/>
        <v>0</v>
      </c>
      <c r="AL78">
        <f t="shared" si="14"/>
        <v>1</v>
      </c>
      <c r="AM78">
        <f t="shared" si="4"/>
        <v>1</v>
      </c>
      <c r="AN78">
        <f t="shared" si="15"/>
        <v>1</v>
      </c>
      <c r="AO78" s="29">
        <f t="shared" si="8"/>
        <v>-1.8254004522918899E-4</v>
      </c>
      <c r="AP78" s="29">
        <f t="shared" si="9"/>
        <v>8.9058628593197704E-3</v>
      </c>
      <c r="AQ78" s="29">
        <f t="shared" si="16"/>
        <v>8.7233228140905818E-3</v>
      </c>
      <c r="AR78" s="30">
        <f t="shared" si="17"/>
        <v>8.7233228140905818E-3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9">
        <f t="shared" si="12"/>
        <v>0</v>
      </c>
      <c r="BA78" s="29">
        <f t="shared" si="13"/>
        <v>0</v>
      </c>
      <c r="BB78" s="29">
        <f t="shared" si="20"/>
        <v>0</v>
      </c>
      <c r="BC78" s="30">
        <f t="shared" si="21"/>
        <v>2.605399151548099E-2</v>
      </c>
      <c r="BE78" s="30">
        <f t="shared" si="22"/>
        <v>8.7233228140905818E-3</v>
      </c>
      <c r="BF78" s="30">
        <f t="shared" si="23"/>
        <v>3.4777314329571568E-2</v>
      </c>
      <c r="BH78" s="30"/>
    </row>
    <row r="79" spans="1:60" x14ac:dyDescent="0.25">
      <c r="A79" s="1">
        <v>46136</v>
      </c>
      <c r="B79" s="34">
        <v>215.8</v>
      </c>
      <c r="C79" s="34">
        <v>256.45</v>
      </c>
      <c r="D79" s="16">
        <v>-1.52218339955547E-2</v>
      </c>
      <c r="E79" s="16">
        <v>-1.98064502257288E-2</v>
      </c>
      <c r="F79" s="34">
        <v>0</v>
      </c>
      <c r="G79" s="34">
        <v>0.15132499999999999</v>
      </c>
      <c r="H79" s="34">
        <v>0</v>
      </c>
      <c r="I79" s="34">
        <v>0.11178100000000001</v>
      </c>
      <c r="J79" s="34">
        <v>0.15132499999999999</v>
      </c>
      <c r="K79" s="34">
        <v>0.11178100000000001</v>
      </c>
      <c r="L79" s="34">
        <v>215.951325</v>
      </c>
      <c r="M79" s="34">
        <v>256.561781</v>
      </c>
      <c r="N79" s="35">
        <v>1.1883688600555999</v>
      </c>
      <c r="O79" s="35">
        <v>1.1658179450689301</v>
      </c>
      <c r="P79" s="35">
        <v>1.1886672502145299</v>
      </c>
      <c r="Q79" s="35">
        <v>1.17609536739896</v>
      </c>
      <c r="R79" s="34">
        <v>251.583512545876</v>
      </c>
      <c r="S79" s="34">
        <v>256.03634870150501</v>
      </c>
      <c r="T79" s="34">
        <v>253.57816113150801</v>
      </c>
      <c r="U79" s="16">
        <v>-1.9158721577998802E-2</v>
      </c>
      <c r="V79" s="16">
        <v>-1.6142923196745299E-3</v>
      </c>
      <c r="W79" s="16">
        <v>-1.1261610392384399E-2</v>
      </c>
      <c r="X79" s="35">
        <v>1.1880537477600499</v>
      </c>
      <c r="Y79" s="35">
        <v>1.1654134458566101</v>
      </c>
      <c r="Z79" s="35">
        <v>1.18836736232825</v>
      </c>
      <c r="AA79" s="35">
        <v>1.1758015009820599</v>
      </c>
      <c r="AB79" s="34">
        <v>251.67257780555099</v>
      </c>
      <c r="AC79" s="34">
        <v>256.151852245881</v>
      </c>
      <c r="AD79" s="34">
        <v>253.69273658039901</v>
      </c>
      <c r="AE79" s="16">
        <v>-1.9240548932611401E-2</v>
      </c>
      <c r="AF79" s="16">
        <v>-1.5990557491972299E-3</v>
      </c>
      <c r="AG79" s="16">
        <v>-1.1245660966440901E-2</v>
      </c>
      <c r="AI79" s="12"/>
      <c r="AJ79">
        <f t="shared" si="6"/>
        <v>0</v>
      </c>
      <c r="AK79">
        <f t="shared" si="7"/>
        <v>0</v>
      </c>
      <c r="AL79">
        <f t="shared" si="14"/>
        <v>1</v>
      </c>
      <c r="AM79">
        <f t="shared" si="4"/>
        <v>1</v>
      </c>
      <c r="AN79">
        <f t="shared" si="15"/>
        <v>1</v>
      </c>
      <c r="AO79" s="29">
        <f t="shared" si="8"/>
        <v>-1.52218339955547E-2</v>
      </c>
      <c r="AP79" s="29">
        <f t="shared" si="9"/>
        <v>1.98064502257288E-2</v>
      </c>
      <c r="AQ79" s="29">
        <f t="shared" si="16"/>
        <v>4.5846162301741E-3</v>
      </c>
      <c r="AR79" s="30">
        <f t="shared" si="17"/>
        <v>1.3307939044264682E-2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9">
        <f t="shared" si="12"/>
        <v>0</v>
      </c>
      <c r="BA79" s="29">
        <f t="shared" si="13"/>
        <v>0</v>
      </c>
      <c r="BB79" s="29">
        <f t="shared" si="20"/>
        <v>0</v>
      </c>
      <c r="BC79" s="30">
        <f t="shared" si="21"/>
        <v>2.605399151548099E-2</v>
      </c>
      <c r="BE79" s="30">
        <f t="shared" si="22"/>
        <v>4.5846162301741E-3</v>
      </c>
      <c r="BF79" s="30">
        <f t="shared" si="23"/>
        <v>3.936193055974567E-2</v>
      </c>
      <c r="BH79" s="30"/>
    </row>
    <row r="80" spans="1:60" x14ac:dyDescent="0.25">
      <c r="A80" s="1">
        <v>46139</v>
      </c>
      <c r="B80" s="34">
        <v>216.04</v>
      </c>
      <c r="C80" s="34">
        <v>258</v>
      </c>
      <c r="D80" s="16">
        <v>1.11152290065602E-3</v>
      </c>
      <c r="E80" s="16">
        <v>6.0258710863399E-3</v>
      </c>
      <c r="F80" s="34">
        <v>0</v>
      </c>
      <c r="G80" s="34">
        <v>0.15132499999999999</v>
      </c>
      <c r="H80" s="34">
        <v>0</v>
      </c>
      <c r="I80" s="34">
        <v>0.11178100000000001</v>
      </c>
      <c r="J80" s="34">
        <v>0.15132499999999999</v>
      </c>
      <c r="K80" s="34">
        <v>0.11178100000000001</v>
      </c>
      <c r="L80" s="34">
        <v>216.19132500000001</v>
      </c>
      <c r="M80" s="34">
        <v>258.11178100000001</v>
      </c>
      <c r="N80" s="35">
        <v>1.1942232919829601</v>
      </c>
      <c r="O80" s="35">
        <v>1.1658179450689301</v>
      </c>
      <c r="P80" s="35">
        <v>1.19050871948413</v>
      </c>
      <c r="Q80" s="35">
        <v>1.1778149563639699</v>
      </c>
      <c r="R80" s="34">
        <v>251.863308852692</v>
      </c>
      <c r="S80" s="34">
        <v>256.79967273634901</v>
      </c>
      <c r="T80" s="34">
        <v>254.083643172873</v>
      </c>
      <c r="U80" s="16">
        <v>-2.4073069763682699E-2</v>
      </c>
      <c r="V80" s="16">
        <v>-4.66328749778746E-3</v>
      </c>
      <c r="W80" s="16">
        <v>-1.52960682814766E-2</v>
      </c>
      <c r="X80" s="35">
        <v>1.19390443164174</v>
      </c>
      <c r="Y80" s="35">
        <v>1.1654134458566101</v>
      </c>
      <c r="Z80" s="35">
        <v>1.1902053400778301</v>
      </c>
      <c r="AA80" s="35">
        <v>1.1775198863058001</v>
      </c>
      <c r="AB80" s="34">
        <v>251.95227703255699</v>
      </c>
      <c r="AC80" s="34">
        <v>256.914714648499</v>
      </c>
      <c r="AD80" s="34">
        <v>254.19808443430199</v>
      </c>
      <c r="AE80" s="16">
        <v>-2.4153058059231399E-2</v>
      </c>
      <c r="AF80" s="16">
        <v>-4.6485705774437901E-3</v>
      </c>
      <c r="AG80" s="16">
        <v>-1.5278927718342199E-2</v>
      </c>
      <c r="AI80" s="12"/>
      <c r="AJ80">
        <f t="shared" si="6"/>
        <v>0</v>
      </c>
      <c r="AK80">
        <f t="shared" si="7"/>
        <v>0</v>
      </c>
      <c r="AL80">
        <f t="shared" si="14"/>
        <v>1</v>
      </c>
      <c r="AM80">
        <f t="shared" si="4"/>
        <v>1</v>
      </c>
      <c r="AN80">
        <f t="shared" si="15"/>
        <v>1</v>
      </c>
      <c r="AO80" s="29">
        <f t="shared" si="8"/>
        <v>1.11152290065602E-3</v>
      </c>
      <c r="AP80" s="29">
        <f t="shared" si="9"/>
        <v>-6.0258710863399E-3</v>
      </c>
      <c r="AQ80" s="29">
        <f t="shared" si="16"/>
        <v>-4.9143481856838804E-3</v>
      </c>
      <c r="AR80" s="30">
        <f t="shared" si="17"/>
        <v>8.3935908585808013E-3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9">
        <f t="shared" si="12"/>
        <v>0</v>
      </c>
      <c r="BA80" s="29">
        <f t="shared" si="13"/>
        <v>0</v>
      </c>
      <c r="BB80" s="29">
        <f t="shared" si="20"/>
        <v>0</v>
      </c>
      <c r="BC80" s="30">
        <f t="shared" si="21"/>
        <v>2.605399151548099E-2</v>
      </c>
      <c r="BE80" s="30">
        <f t="shared" si="22"/>
        <v>-4.9143481856838804E-3</v>
      </c>
      <c r="BF80" s="30">
        <f t="shared" si="23"/>
        <v>3.4447582374061786E-2</v>
      </c>
      <c r="BH80" s="30"/>
    </row>
    <row r="81" spans="1:60" x14ac:dyDescent="0.25">
      <c r="A81" s="1">
        <v>46140</v>
      </c>
      <c r="B81" s="34">
        <v>216.21</v>
      </c>
      <c r="C81" s="34">
        <v>254.91</v>
      </c>
      <c r="D81" s="16">
        <v>7.8658187976917197E-4</v>
      </c>
      <c r="E81" s="16">
        <v>-1.20490432380578E-2</v>
      </c>
      <c r="F81" s="34">
        <v>0</v>
      </c>
      <c r="G81" s="34">
        <v>0.15132499999999999</v>
      </c>
      <c r="H81" s="34">
        <v>0</v>
      </c>
      <c r="I81" s="34">
        <v>0.11178100000000001</v>
      </c>
      <c r="J81" s="34">
        <v>0.15132499999999999</v>
      </c>
      <c r="K81" s="34">
        <v>0.11178100000000001</v>
      </c>
      <c r="L81" s="34">
        <v>216.36132499999999</v>
      </c>
      <c r="M81" s="34">
        <v>255.021781</v>
      </c>
      <c r="N81" s="35">
        <v>1.17899264603857</v>
      </c>
      <c r="O81" s="35">
        <v>1.1658179450689301</v>
      </c>
      <c r="P81" s="35">
        <v>1.19097180348229</v>
      </c>
      <c r="Q81" s="35">
        <v>1.17930455735512</v>
      </c>
      <c r="R81" s="34">
        <v>252.061497903354</v>
      </c>
      <c r="S81" s="34">
        <v>257.39989023966501</v>
      </c>
      <c r="T81" s="34">
        <v>254.655371715455</v>
      </c>
      <c r="U81" s="16">
        <v>-1.1237444645855899E-2</v>
      </c>
      <c r="V81" s="16">
        <v>9.7203270590504494E-3</v>
      </c>
      <c r="W81" s="16">
        <v>-9.9939407138602298E-4</v>
      </c>
      <c r="X81" s="35">
        <v>1.17868468867992</v>
      </c>
      <c r="Y81" s="35">
        <v>1.1654134458566101</v>
      </c>
      <c r="Z81" s="35">
        <v>1.1906656141324099</v>
      </c>
      <c r="AA81" s="35">
        <v>1.1790088143258</v>
      </c>
      <c r="AB81" s="34">
        <v>252.15039731835199</v>
      </c>
      <c r="AC81" s="34">
        <v>257.51440440131501</v>
      </c>
      <c r="AD81" s="34">
        <v>254.769762814974</v>
      </c>
      <c r="AE81" s="16">
        <v>-1.13232329532962E-2</v>
      </c>
      <c r="AF81" s="16">
        <v>9.7267007648351791E-3</v>
      </c>
      <c r="AG81" s="16">
        <v>-9.88710811755447E-4</v>
      </c>
      <c r="AI81" s="12"/>
      <c r="AJ81">
        <f t="shared" si="6"/>
        <v>0</v>
      </c>
      <c r="AK81">
        <f t="shared" si="7"/>
        <v>1</v>
      </c>
      <c r="AL81">
        <f t="shared" si="14"/>
        <v>1</v>
      </c>
      <c r="AM81">
        <f t="shared" si="4"/>
        <v>1</v>
      </c>
      <c r="AN81">
        <f t="shared" si="15"/>
        <v>1</v>
      </c>
      <c r="AO81" s="29">
        <f t="shared" si="8"/>
        <v>7.8658187976917197E-4</v>
      </c>
      <c r="AP81" s="29">
        <f t="shared" si="9"/>
        <v>1.20490432380578E-2</v>
      </c>
      <c r="AQ81" s="29">
        <f t="shared" si="16"/>
        <v>1.2835625117826972E-2</v>
      </c>
      <c r="AR81" s="30">
        <f t="shared" si="17"/>
        <v>2.1229215976407773E-2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9">
        <f t="shared" si="12"/>
        <v>0</v>
      </c>
      <c r="BA81" s="29">
        <f t="shared" si="13"/>
        <v>0</v>
      </c>
      <c r="BB81" s="29">
        <f t="shared" si="20"/>
        <v>0</v>
      </c>
      <c r="BC81" s="30">
        <f t="shared" si="21"/>
        <v>2.605399151548099E-2</v>
      </c>
      <c r="BE81" s="30">
        <f t="shared" si="22"/>
        <v>1.2835625117826972E-2</v>
      </c>
      <c r="BF81" s="30">
        <f t="shared" si="23"/>
        <v>4.728320749188876E-2</v>
      </c>
      <c r="BH81" s="30"/>
    </row>
    <row r="82" spans="1:60" x14ac:dyDescent="0.25">
      <c r="A82" s="1">
        <v>46141</v>
      </c>
      <c r="B82" s="34">
        <v>213.14</v>
      </c>
      <c r="C82" s="34">
        <v>249.75</v>
      </c>
      <c r="D82" s="16">
        <v>-1.43009308116493E-2</v>
      </c>
      <c r="E82" s="16">
        <v>-2.04501241548967E-2</v>
      </c>
      <c r="F82" s="34">
        <v>0</v>
      </c>
      <c r="G82" s="34">
        <v>0.15132499999999999</v>
      </c>
      <c r="H82" s="34">
        <v>0</v>
      </c>
      <c r="I82" s="34">
        <v>0.11178100000000001</v>
      </c>
      <c r="J82" s="34">
        <v>0.15132499999999999</v>
      </c>
      <c r="K82" s="34">
        <v>0.11178100000000001</v>
      </c>
      <c r="L82" s="34">
        <v>213.291325</v>
      </c>
      <c r="M82" s="34">
        <v>249.86178100000001</v>
      </c>
      <c r="N82" s="35">
        <v>1.17176503706484</v>
      </c>
      <c r="O82" s="35">
        <v>1.1658179450689301</v>
      </c>
      <c r="P82" s="35">
        <v>1.19042608496655</v>
      </c>
      <c r="Q82" s="35">
        <v>1.1798402377797901</v>
      </c>
      <c r="R82" s="34">
        <v>248.48243681199199</v>
      </c>
      <c r="S82" s="34">
        <v>253.84373019421599</v>
      </c>
      <c r="T82" s="34">
        <v>251.35697335467</v>
      </c>
      <c r="U82" s="16">
        <v>-5.08825130260856E-3</v>
      </c>
      <c r="V82" s="16">
        <v>1.6258424699039199E-2</v>
      </c>
      <c r="W82" s="16">
        <v>6.4137158282995699E-3</v>
      </c>
      <c r="X82" s="35">
        <v>1.1714577749470101</v>
      </c>
      <c r="Y82" s="35">
        <v>1.1654134458566101</v>
      </c>
      <c r="Z82" s="35">
        <v>1.19011751097109</v>
      </c>
      <c r="AA82" s="35">
        <v>1.1795437307127701</v>
      </c>
      <c r="AB82" s="34">
        <v>248.57257803957199</v>
      </c>
      <c r="AC82" s="34">
        <v>253.958646470242</v>
      </c>
      <c r="AD82" s="34">
        <v>251.47235219423001</v>
      </c>
      <c r="AE82" s="16">
        <v>-5.1730215302532101E-3</v>
      </c>
      <c r="AF82" s="16">
        <v>1.62635556214565E-2</v>
      </c>
      <c r="AG82" s="16">
        <v>6.4251628936351996E-3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9">
        <f t="shared" si="8"/>
        <v>0</v>
      </c>
      <c r="AP82" s="29">
        <f t="shared" si="9"/>
        <v>0</v>
      </c>
      <c r="AQ82" s="29">
        <f t="shared" si="16"/>
        <v>0</v>
      </c>
      <c r="AR82" s="30">
        <f t="shared" si="17"/>
        <v>2.1229215976407773E-2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9">
        <f t="shared" si="12"/>
        <v>0</v>
      </c>
      <c r="BA82" s="29">
        <f t="shared" si="13"/>
        <v>0</v>
      </c>
      <c r="BB82" s="29">
        <f t="shared" si="20"/>
        <v>0</v>
      </c>
      <c r="BC82" s="30">
        <f t="shared" si="21"/>
        <v>2.605399151548099E-2</v>
      </c>
      <c r="BE82" s="30">
        <f t="shared" si="22"/>
        <v>0</v>
      </c>
      <c r="BF82" s="30">
        <f t="shared" si="23"/>
        <v>4.728320749188876E-2</v>
      </c>
      <c r="BH82" s="30"/>
    </row>
    <row r="83" spans="1:60" x14ac:dyDescent="0.25">
      <c r="A83" s="1">
        <v>46142</v>
      </c>
      <c r="B83" s="34">
        <v>218.56</v>
      </c>
      <c r="C83" s="34">
        <v>259.14</v>
      </c>
      <c r="D83" s="16">
        <v>2.5111349589615101E-2</v>
      </c>
      <c r="E83" s="16">
        <v>3.6908038672001701E-2</v>
      </c>
      <c r="F83" s="34">
        <v>0</v>
      </c>
      <c r="G83" s="34">
        <v>0.15132499999999999</v>
      </c>
      <c r="H83" s="34">
        <v>0</v>
      </c>
      <c r="I83" s="34">
        <v>0.11178100000000001</v>
      </c>
      <c r="J83" s="34">
        <v>0.15132499999999999</v>
      </c>
      <c r="K83" s="34">
        <v>0.11178100000000001</v>
      </c>
      <c r="L83" s="34">
        <v>218.71132499999999</v>
      </c>
      <c r="M83" s="34">
        <v>259.25178099999999</v>
      </c>
      <c r="N83" s="35">
        <v>1.18566983894582</v>
      </c>
      <c r="O83" s="35">
        <v>1.1658179450689301</v>
      </c>
      <c r="P83" s="35">
        <v>1.18995626145599</v>
      </c>
      <c r="Q83" s="35">
        <v>1.1810057722954901</v>
      </c>
      <c r="R83" s="34">
        <v>254.801170074266</v>
      </c>
      <c r="S83" s="34">
        <v>260.17952513029002</v>
      </c>
      <c r="T83" s="34">
        <v>257.865882369151</v>
      </c>
      <c r="U83" s="16">
        <v>-1.68849403849952E-2</v>
      </c>
      <c r="V83" s="16">
        <v>4.0034178126954097E-3</v>
      </c>
      <c r="W83" s="16">
        <v>-4.9288422189917398E-3</v>
      </c>
      <c r="X83" s="35">
        <v>1.18536057060602</v>
      </c>
      <c r="Y83" s="35">
        <v>1.1654134458566101</v>
      </c>
      <c r="Z83" s="35">
        <v>1.1896465848056399</v>
      </c>
      <c r="AA83" s="35">
        <v>1.18070812609286</v>
      </c>
      <c r="AB83" s="34">
        <v>254.889118916115</v>
      </c>
      <c r="AC83" s="34">
        <v>260.29217773019002</v>
      </c>
      <c r="AD83" s="34">
        <v>257.97957223963499</v>
      </c>
      <c r="AE83" s="16">
        <v>-1.6971094089344298E-2</v>
      </c>
      <c r="AF83" s="16">
        <v>4.0050436672543401E-3</v>
      </c>
      <c r="AG83" s="16">
        <v>-4.9193124816493596E-3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1</v>
      </c>
      <c r="AN83">
        <f t="shared" si="15"/>
        <v>0</v>
      </c>
      <c r="AO83" s="29">
        <f t="shared" si="8"/>
        <v>0</v>
      </c>
      <c r="AP83" s="29">
        <f t="shared" si="9"/>
        <v>0</v>
      </c>
      <c r="AQ83" s="29">
        <f t="shared" si="16"/>
        <v>0</v>
      </c>
      <c r="AR83" s="30">
        <f t="shared" si="17"/>
        <v>2.1229215976407773E-2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1</v>
      </c>
      <c r="AY83">
        <f t="shared" si="19"/>
        <v>0</v>
      </c>
      <c r="AZ83" s="29">
        <f t="shared" si="12"/>
        <v>0</v>
      </c>
      <c r="BA83" s="29">
        <f t="shared" si="13"/>
        <v>0</v>
      </c>
      <c r="BB83" s="29">
        <f t="shared" si="20"/>
        <v>0</v>
      </c>
      <c r="BC83" s="30">
        <f t="shared" si="21"/>
        <v>2.605399151548099E-2</v>
      </c>
      <c r="BE83" s="30">
        <f t="shared" si="22"/>
        <v>0</v>
      </c>
      <c r="BF83" s="30">
        <f t="shared" si="23"/>
        <v>4.728320749188876E-2</v>
      </c>
      <c r="BH83" s="30"/>
    </row>
    <row r="84" spans="1:60" x14ac:dyDescent="0.25">
      <c r="A84" s="1">
        <v>46143</v>
      </c>
      <c r="B84" s="34">
        <v>216.27</v>
      </c>
      <c r="C84" s="34">
        <v>256.44</v>
      </c>
      <c r="D84" s="16">
        <v>-1.0532949297828199E-2</v>
      </c>
      <c r="E84" s="16">
        <v>-1.0473737081608101E-2</v>
      </c>
      <c r="F84" s="34">
        <v>0</v>
      </c>
      <c r="G84" s="34">
        <v>0.15132499999999999</v>
      </c>
      <c r="H84" s="34">
        <v>0</v>
      </c>
      <c r="I84" s="34">
        <v>0.11178100000000001</v>
      </c>
      <c r="J84" s="34">
        <v>0.15132499999999999</v>
      </c>
      <c r="K84" s="34">
        <v>0.11178100000000001</v>
      </c>
      <c r="L84" s="34">
        <v>216.421325</v>
      </c>
      <c r="M84" s="34">
        <v>256.55178100000001</v>
      </c>
      <c r="N84" s="35">
        <v>1.18574004716326</v>
      </c>
      <c r="O84" s="35">
        <v>1.1658179450689301</v>
      </c>
      <c r="P84" s="35">
        <v>1.1893701385531099</v>
      </c>
      <c r="Q84" s="35">
        <v>1.18180509947002</v>
      </c>
      <c r="R84" s="34">
        <v>252.131446980058</v>
      </c>
      <c r="S84" s="34">
        <v>257.35184066508799</v>
      </c>
      <c r="T84" s="34">
        <v>255.41611837434701</v>
      </c>
      <c r="U84" s="16">
        <v>-1.69441526012153E-2</v>
      </c>
      <c r="V84" s="16">
        <v>3.5494593344997999E-3</v>
      </c>
      <c r="W84" s="16">
        <v>-4.0006671973962897E-3</v>
      </c>
      <c r="X84" s="35">
        <v>1.1854274572988499</v>
      </c>
      <c r="Y84" s="35">
        <v>1.1654134458566101</v>
      </c>
      <c r="Z84" s="35">
        <v>1.1890587335603899</v>
      </c>
      <c r="AA84" s="35">
        <v>1.1815065115972201</v>
      </c>
      <c r="AB84" s="34">
        <v>252.22032212510399</v>
      </c>
      <c r="AC84" s="34">
        <v>257.46489016536202</v>
      </c>
      <c r="AD84" s="34">
        <v>255.530417087285</v>
      </c>
      <c r="AE84" s="16">
        <v>-1.70275197942691E-2</v>
      </c>
      <c r="AF84" s="16">
        <v>3.5528424546354899E-3</v>
      </c>
      <c r="AG84" s="16">
        <v>-3.9890676571603103E-3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9">
        <f t="shared" si="8"/>
        <v>0</v>
      </c>
      <c r="AP84" s="29">
        <f t="shared" si="9"/>
        <v>0</v>
      </c>
      <c r="AQ84" s="29">
        <f t="shared" si="16"/>
        <v>0</v>
      </c>
      <c r="AR84" s="30">
        <f t="shared" si="17"/>
        <v>2.1229215976407773E-2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9">
        <f t="shared" si="12"/>
        <v>0</v>
      </c>
      <c r="BA84" s="29">
        <f t="shared" si="13"/>
        <v>0</v>
      </c>
      <c r="BB84" s="29">
        <f t="shared" si="20"/>
        <v>0</v>
      </c>
      <c r="BC84" s="30">
        <f t="shared" si="21"/>
        <v>2.605399151548099E-2</v>
      </c>
      <c r="BE84" s="30">
        <f t="shared" si="22"/>
        <v>0</v>
      </c>
      <c r="BF84" s="30">
        <f t="shared" si="23"/>
        <v>4.728320749188876E-2</v>
      </c>
      <c r="BH84" s="30"/>
    </row>
    <row r="85" spans="1:60" x14ac:dyDescent="0.25">
      <c r="A85" s="1">
        <v>46146</v>
      </c>
      <c r="B85" s="34">
        <v>214.33</v>
      </c>
      <c r="C85" s="34">
        <v>254.75</v>
      </c>
      <c r="D85" s="16">
        <v>-9.0107437355558401E-3</v>
      </c>
      <c r="E85" s="16">
        <v>-6.61204701622239E-3</v>
      </c>
      <c r="F85" s="34">
        <v>0</v>
      </c>
      <c r="G85" s="34">
        <v>0.15132499999999999</v>
      </c>
      <c r="H85" s="34">
        <v>0</v>
      </c>
      <c r="I85" s="34">
        <v>0.11178100000000001</v>
      </c>
      <c r="J85" s="34">
        <v>0.15132499999999999</v>
      </c>
      <c r="K85" s="34">
        <v>0.11178100000000001</v>
      </c>
      <c r="L85" s="34">
        <v>214.481325</v>
      </c>
      <c r="M85" s="34">
        <v>254.86178100000001</v>
      </c>
      <c r="N85" s="35">
        <v>1.18858769187701</v>
      </c>
      <c r="O85" s="35">
        <v>1.1658179450689301</v>
      </c>
      <c r="P85" s="35">
        <v>1.1890354637037199</v>
      </c>
      <c r="Q85" s="35">
        <v>1.18269984818465</v>
      </c>
      <c r="R85" s="34">
        <v>249.86976016662501</v>
      </c>
      <c r="S85" s="34">
        <v>254.91770179608801</v>
      </c>
      <c r="T85" s="34">
        <v>253.29628696941</v>
      </c>
      <c r="U85" s="16">
        <v>-1.9342849320548701E-2</v>
      </c>
      <c r="V85" s="16">
        <v>6.5808290990292302E-4</v>
      </c>
      <c r="W85" s="16">
        <v>-5.7227738311037999E-3</v>
      </c>
      <c r="X85" s="35">
        <v>1.1882702654881401</v>
      </c>
      <c r="Y85" s="35">
        <v>1.1654134458566101</v>
      </c>
      <c r="Z85" s="35">
        <v>1.18872187990292</v>
      </c>
      <c r="AA85" s="35">
        <v>1.18239989391611</v>
      </c>
      <c r="AB85" s="34">
        <v>249.95942004014199</v>
      </c>
      <c r="AC85" s="34">
        <v>255.03089267685499</v>
      </c>
      <c r="AD85" s="34">
        <v>253.41108210350001</v>
      </c>
      <c r="AE85" s="16">
        <v>-1.9422778062548898E-2</v>
      </c>
      <c r="AF85" s="16">
        <v>6.6332266293155496E-4</v>
      </c>
      <c r="AG85" s="16">
        <v>-5.7083623427761701E-3</v>
      </c>
      <c r="AI85" s="12"/>
      <c r="AJ85">
        <f t="shared" si="6"/>
        <v>0</v>
      </c>
      <c r="AK85">
        <f t="shared" si="7"/>
        <v>0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9">
        <f t="shared" si="8"/>
        <v>0</v>
      </c>
      <c r="AP85" s="29">
        <f t="shared" si="9"/>
        <v>0</v>
      </c>
      <c r="AQ85" s="29">
        <f t="shared" si="16"/>
        <v>0</v>
      </c>
      <c r="AR85" s="30">
        <f t="shared" si="17"/>
        <v>2.1229215976407773E-2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9">
        <f t="shared" si="12"/>
        <v>0</v>
      </c>
      <c r="BA85" s="29">
        <f t="shared" si="13"/>
        <v>0</v>
      </c>
      <c r="BB85" s="29">
        <f t="shared" si="20"/>
        <v>0</v>
      </c>
      <c r="BC85" s="30">
        <f t="shared" si="21"/>
        <v>2.605399151548099E-2</v>
      </c>
      <c r="BE85" s="30">
        <f t="shared" si="22"/>
        <v>0</v>
      </c>
      <c r="BF85" s="30">
        <f t="shared" si="23"/>
        <v>4.728320749188876E-2</v>
      </c>
      <c r="BH85" s="30"/>
    </row>
    <row r="86" spans="1:60" x14ac:dyDescent="0.25">
      <c r="A86" s="1">
        <v>46147</v>
      </c>
      <c r="B86" s="34">
        <v>215.37</v>
      </c>
      <c r="C86" s="34">
        <v>255.22</v>
      </c>
      <c r="D86" s="16">
        <v>4.8405959074601197E-3</v>
      </c>
      <c r="E86" s="16">
        <v>1.84324620299609E-3</v>
      </c>
      <c r="F86" s="34">
        <v>0</v>
      </c>
      <c r="G86" s="34">
        <v>0.15132499999999999</v>
      </c>
      <c r="H86" s="34">
        <v>0</v>
      </c>
      <c r="I86" s="34">
        <v>0.11178100000000001</v>
      </c>
      <c r="J86" s="34">
        <v>0.15132499999999999</v>
      </c>
      <c r="K86" s="34">
        <v>0.11178100000000001</v>
      </c>
      <c r="L86" s="34">
        <v>215.52132499999999</v>
      </c>
      <c r="M86" s="34">
        <v>255.33178100000001</v>
      </c>
      <c r="N86" s="35">
        <v>1.185030412778</v>
      </c>
      <c r="O86" s="35">
        <v>1.1658179450689301</v>
      </c>
      <c r="P86" s="35">
        <v>1.1876496708786899</v>
      </c>
      <c r="Q86" s="35">
        <v>1.1837202895579899</v>
      </c>
      <c r="R86" s="34">
        <v>251.08221082949601</v>
      </c>
      <c r="S86" s="34">
        <v>256.08256781786997</v>
      </c>
      <c r="T86" s="34">
        <v>254.71806630353001</v>
      </c>
      <c r="U86" s="16">
        <v>-1.63454996160847E-2</v>
      </c>
      <c r="V86" s="16">
        <v>3.3740047104945901E-3</v>
      </c>
      <c r="W86" s="16">
        <v>-1.96860713775858E-3</v>
      </c>
      <c r="X86" s="35">
        <v>1.18471701582198</v>
      </c>
      <c r="Y86" s="35">
        <v>1.1654134458566101</v>
      </c>
      <c r="Z86" s="35">
        <v>1.18733594267205</v>
      </c>
      <c r="AA86" s="35">
        <v>1.18341908812663</v>
      </c>
      <c r="AB86" s="34">
        <v>251.17145002383299</v>
      </c>
      <c r="AC86" s="34">
        <v>256.19491461316801</v>
      </c>
      <c r="AD86" s="34">
        <v>254.83239181665999</v>
      </c>
      <c r="AE86" s="16">
        <v>-1.6428027648360599E-2</v>
      </c>
      <c r="AF86" s="16">
        <v>3.3747385610429599E-3</v>
      </c>
      <c r="AG86" s="16">
        <v>-1.9577593623974401E-3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9">
        <f t="shared" ref="AO86:AO149" si="28">AN86*D86</f>
        <v>0</v>
      </c>
      <c r="AP86" s="29">
        <f t="shared" ref="AP86:AP149" si="29">-AN86*$E86</f>
        <v>0</v>
      </c>
      <c r="AQ86" s="29">
        <f t="shared" si="16"/>
        <v>0</v>
      </c>
      <c r="AR86" s="30">
        <f t="shared" si="17"/>
        <v>2.1229215976407773E-2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9">
        <f t="shared" ref="AZ86:AZ149" si="32">-AY86*D86</f>
        <v>0</v>
      </c>
      <c r="BA86" s="29">
        <f t="shared" ref="BA86:BA149" si="33">AY86*$E86</f>
        <v>0</v>
      </c>
      <c r="BB86" s="29">
        <f t="shared" si="20"/>
        <v>0</v>
      </c>
      <c r="BC86" s="30">
        <f t="shared" si="21"/>
        <v>2.605399151548099E-2</v>
      </c>
      <c r="BE86" s="30">
        <f t="shared" si="22"/>
        <v>0</v>
      </c>
      <c r="BF86" s="30">
        <f t="shared" si="23"/>
        <v>4.728320749188876E-2</v>
      </c>
      <c r="BH86" s="30"/>
    </row>
    <row r="87" spans="1:60" x14ac:dyDescent="0.25">
      <c r="A87" s="1">
        <v>46148</v>
      </c>
      <c r="B87" s="34">
        <v>223.42</v>
      </c>
      <c r="C87" s="34">
        <v>267.26</v>
      </c>
      <c r="D87" s="16">
        <v>3.66959288862009E-2</v>
      </c>
      <c r="E87" s="16">
        <v>4.6096049047084399E-2</v>
      </c>
      <c r="F87" s="34">
        <v>0</v>
      </c>
      <c r="G87" s="34">
        <v>0.15132499999999999</v>
      </c>
      <c r="H87" s="34">
        <v>0</v>
      </c>
      <c r="I87" s="34">
        <v>0.11178100000000001</v>
      </c>
      <c r="J87" s="34">
        <v>0.15132499999999999</v>
      </c>
      <c r="K87" s="34">
        <v>0.11178100000000001</v>
      </c>
      <c r="L87" s="34">
        <v>223.571325</v>
      </c>
      <c r="M87" s="34">
        <v>267.371781</v>
      </c>
      <c r="N87" s="35">
        <v>1.1962223614716601</v>
      </c>
      <c r="O87" s="35">
        <v>1.1658179450689301</v>
      </c>
      <c r="P87" s="35">
        <v>1.1868429770691999</v>
      </c>
      <c r="Q87" s="35">
        <v>1.18502040276445</v>
      </c>
      <c r="R87" s="34">
        <v>260.467045287301</v>
      </c>
      <c r="S87" s="34">
        <v>265.34468946771699</v>
      </c>
      <c r="T87" s="34">
        <v>264.466787093047</v>
      </c>
      <c r="U87" s="16">
        <v>-2.57456197769684E-2</v>
      </c>
      <c r="V87" s="16">
        <v>-7.1922715910661301E-3</v>
      </c>
      <c r="W87" s="16">
        <v>-1.0506292585284901E-2</v>
      </c>
      <c r="X87" s="35">
        <v>1.19591267350587</v>
      </c>
      <c r="Y87" s="35">
        <v>1.1654134458566101</v>
      </c>
      <c r="Z87" s="35">
        <v>1.18653040849853</v>
      </c>
      <c r="AA87" s="35">
        <v>1.18471777129598</v>
      </c>
      <c r="AB87" s="34">
        <v>260.55302826297799</v>
      </c>
      <c r="AC87" s="34">
        <v>265.454269923315</v>
      </c>
      <c r="AD87" s="34">
        <v>264.57857356276298</v>
      </c>
      <c r="AE87" s="16">
        <v>-2.5833724192649801E-2</v>
      </c>
      <c r="AF87" s="16">
        <v>-7.1975435561038503E-3</v>
      </c>
      <c r="AG87" s="16">
        <v>-1.0501856366478299E-2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9">
        <f t="shared" si="28"/>
        <v>0</v>
      </c>
      <c r="AP87" s="29">
        <f t="shared" si="29"/>
        <v>0</v>
      </c>
      <c r="AQ87" s="29">
        <f t="shared" ref="AQ87:AQ150" si="36">AO87+AP87</f>
        <v>0</v>
      </c>
      <c r="AR87" s="30">
        <f t="shared" ref="AR87:AR150" si="37">AR86+AQ87</f>
        <v>2.1229215976407773E-2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9">
        <f t="shared" si="32"/>
        <v>0</v>
      </c>
      <c r="BA87" s="29">
        <f t="shared" si="33"/>
        <v>0</v>
      </c>
      <c r="BB87" s="29">
        <f t="shared" ref="BB87:BB150" si="40">AZ87+BA87</f>
        <v>0</v>
      </c>
      <c r="BC87" s="30">
        <f t="shared" ref="BC87:BC150" si="41">BC86+BB87</f>
        <v>2.605399151548099E-2</v>
      </c>
      <c r="BE87" s="30">
        <f t="shared" ref="BE87:BE150" si="42">AQ87+BB87</f>
        <v>0</v>
      </c>
      <c r="BF87" s="30">
        <f t="shared" ref="BF87:BF150" si="43">BF86+BE87</f>
        <v>4.728320749188876E-2</v>
      </c>
      <c r="BH87" s="30"/>
    </row>
    <row r="88" spans="1:60" x14ac:dyDescent="0.25">
      <c r="A88" s="1">
        <v>46149</v>
      </c>
      <c r="B88" s="34">
        <v>222.51</v>
      </c>
      <c r="C88" s="34">
        <v>262.76</v>
      </c>
      <c r="D88" s="16">
        <v>-4.0813637261258896E-3</v>
      </c>
      <c r="E88" s="16">
        <v>-1.69808993286426E-2</v>
      </c>
      <c r="F88" s="34">
        <v>0</v>
      </c>
      <c r="G88" s="34">
        <v>0.15132499999999999</v>
      </c>
      <c r="H88" s="34">
        <v>0</v>
      </c>
      <c r="I88" s="34">
        <v>0.11178100000000001</v>
      </c>
      <c r="J88" s="34">
        <v>0.15132499999999999</v>
      </c>
      <c r="K88" s="34">
        <v>0.11178100000000001</v>
      </c>
      <c r="L88" s="34">
        <v>222.66132500000001</v>
      </c>
      <c r="M88" s="34">
        <v>262.871781</v>
      </c>
      <c r="N88" s="35">
        <v>1.1808907464833001</v>
      </c>
      <c r="O88" s="35">
        <v>1.1658179450689301</v>
      </c>
      <c r="P88" s="35">
        <v>1.1855490933860999</v>
      </c>
      <c r="Q88" s="35">
        <v>1.1860005631469499</v>
      </c>
      <c r="R88" s="34">
        <v>259.40615095728799</v>
      </c>
      <c r="S88" s="34">
        <v>264.084430827669</v>
      </c>
      <c r="T88" s="34">
        <v>263.67888981911898</v>
      </c>
      <c r="U88" s="16">
        <v>-1.28460841744516E-2</v>
      </c>
      <c r="V88" s="16">
        <v>5.0277977337032896E-3</v>
      </c>
      <c r="W88" s="16">
        <v>3.4909683539284201E-3</v>
      </c>
      <c r="X88" s="35">
        <v>1.1805902125122001</v>
      </c>
      <c r="Y88" s="35">
        <v>1.1654134458566101</v>
      </c>
      <c r="Z88" s="35">
        <v>1.1852378838261799</v>
      </c>
      <c r="AA88" s="35">
        <v>1.1856966927578201</v>
      </c>
      <c r="AB88" s="34">
        <v>259.49250202724897</v>
      </c>
      <c r="AC88" s="34">
        <v>264.19443290907401</v>
      </c>
      <c r="AD88" s="34">
        <v>263.79082870781099</v>
      </c>
      <c r="AE88" s="16">
        <v>-1.2938580317585E-2</v>
      </c>
      <c r="AF88" s="16">
        <v>5.0189317797258203E-3</v>
      </c>
      <c r="AG88" s="16">
        <v>3.4900850136569102E-3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9">
        <f t="shared" si="28"/>
        <v>0</v>
      </c>
      <c r="AP88" s="29">
        <f t="shared" si="29"/>
        <v>0</v>
      </c>
      <c r="AQ88" s="29">
        <f t="shared" si="36"/>
        <v>0</v>
      </c>
      <c r="AR88" s="30">
        <f t="shared" si="37"/>
        <v>2.1229215976407773E-2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9">
        <f t="shared" si="32"/>
        <v>0</v>
      </c>
      <c r="BA88" s="29">
        <f t="shared" si="33"/>
        <v>0</v>
      </c>
      <c r="BB88" s="29">
        <f t="shared" si="40"/>
        <v>0</v>
      </c>
      <c r="BC88" s="30">
        <f t="shared" si="41"/>
        <v>2.605399151548099E-2</v>
      </c>
      <c r="BE88" s="30">
        <f t="shared" si="42"/>
        <v>0</v>
      </c>
      <c r="BF88" s="30">
        <f t="shared" si="43"/>
        <v>4.728320749188876E-2</v>
      </c>
      <c r="BH88" s="30"/>
    </row>
    <row r="89" spans="1:60" x14ac:dyDescent="0.25">
      <c r="A89" s="1">
        <v>46150</v>
      </c>
      <c r="B89" s="34">
        <v>223.49</v>
      </c>
      <c r="C89" s="34">
        <v>265.39999999999998</v>
      </c>
      <c r="D89" s="16">
        <v>4.3946259067549204E-3</v>
      </c>
      <c r="E89" s="16">
        <v>9.9970538738349199E-3</v>
      </c>
      <c r="F89" s="34">
        <v>0</v>
      </c>
      <c r="G89" s="34">
        <v>0.15132499999999999</v>
      </c>
      <c r="H89" s="34">
        <v>0</v>
      </c>
      <c r="I89" s="34">
        <v>0.11178100000000001</v>
      </c>
      <c r="J89" s="34">
        <v>0.15132499999999999</v>
      </c>
      <c r="K89" s="34">
        <v>0.11178100000000001</v>
      </c>
      <c r="L89" s="34">
        <v>223.64132499999999</v>
      </c>
      <c r="M89" s="34">
        <v>265.51178099999998</v>
      </c>
      <c r="N89" s="35">
        <v>1.18752516891136</v>
      </c>
      <c r="O89" s="35">
        <v>1.1658179450689301</v>
      </c>
      <c r="P89" s="35">
        <v>1.18546472427168</v>
      </c>
      <c r="Q89" s="35">
        <v>1.18706598724311</v>
      </c>
      <c r="R89" s="34">
        <v>260.548652543456</v>
      </c>
      <c r="S89" s="34">
        <v>264.95836688086098</v>
      </c>
      <c r="T89" s="34">
        <v>265.05926585771402</v>
      </c>
      <c r="U89" s="16">
        <v>-1.8448512141531301E-2</v>
      </c>
      <c r="V89" s="16">
        <v>-1.66541436430039E-3</v>
      </c>
      <c r="W89" s="16">
        <v>-1.2846761705523899E-3</v>
      </c>
      <c r="X89" s="35">
        <v>1.18722146275962</v>
      </c>
      <c r="Y89" s="35">
        <v>1.1654134458566101</v>
      </c>
      <c r="Z89" s="35">
        <v>1.1851546553261301</v>
      </c>
      <c r="AA89" s="35">
        <v>1.18676100882719</v>
      </c>
      <c r="AB89" s="34">
        <v>260.634607204188</v>
      </c>
      <c r="AC89" s="34">
        <v>265.068170779083</v>
      </c>
      <c r="AD89" s="34">
        <v>265.17077941647801</v>
      </c>
      <c r="AE89" s="16">
        <v>-1.8539758530884201E-2</v>
      </c>
      <c r="AF89" s="16">
        <v>-1.6721714523734699E-3</v>
      </c>
      <c r="AG89" s="16">
        <v>-1.2851435335911199E-3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9">
        <f t="shared" si="28"/>
        <v>0</v>
      </c>
      <c r="AP89" s="29">
        <f t="shared" si="29"/>
        <v>0</v>
      </c>
      <c r="AQ89" s="29">
        <f t="shared" si="36"/>
        <v>0</v>
      </c>
      <c r="AR89" s="30">
        <f t="shared" si="37"/>
        <v>2.1229215976407773E-2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9">
        <f t="shared" si="32"/>
        <v>0</v>
      </c>
      <c r="BA89" s="29">
        <f t="shared" si="33"/>
        <v>0</v>
      </c>
      <c r="BB89" s="29">
        <f t="shared" si="40"/>
        <v>0</v>
      </c>
      <c r="BC89" s="30">
        <f t="shared" si="41"/>
        <v>2.605399151548099E-2</v>
      </c>
      <c r="BE89" s="30">
        <f t="shared" si="42"/>
        <v>0</v>
      </c>
      <c r="BF89" s="30">
        <f t="shared" si="43"/>
        <v>4.728320749188876E-2</v>
      </c>
      <c r="BH89" s="30"/>
    </row>
    <row r="90" spans="1:60" x14ac:dyDescent="0.25">
      <c r="A90" s="1">
        <v>46153</v>
      </c>
      <c r="B90" s="34">
        <v>225.99</v>
      </c>
      <c r="C90" s="34">
        <v>269.39999999999998</v>
      </c>
      <c r="D90" s="16">
        <v>1.11240801823817E-2</v>
      </c>
      <c r="E90" s="16">
        <v>1.49591420781564E-2</v>
      </c>
      <c r="F90" s="34">
        <v>0</v>
      </c>
      <c r="G90" s="34">
        <v>0.15132499999999999</v>
      </c>
      <c r="H90" s="34">
        <v>0</v>
      </c>
      <c r="I90" s="34">
        <v>0.11178100000000001</v>
      </c>
      <c r="J90" s="34">
        <v>0.15132499999999999</v>
      </c>
      <c r="K90" s="34">
        <v>0.11178100000000001</v>
      </c>
      <c r="L90" s="34">
        <v>226.14132499999999</v>
      </c>
      <c r="M90" s="34">
        <v>269.51178099999998</v>
      </c>
      <c r="N90" s="35">
        <v>1.19208814549316</v>
      </c>
      <c r="O90" s="35">
        <v>1.1658179450689301</v>
      </c>
      <c r="P90" s="35">
        <v>1.1852512096226999</v>
      </c>
      <c r="Q90" s="35">
        <v>1.1878799645534199</v>
      </c>
      <c r="R90" s="34">
        <v>263.46319740612802</v>
      </c>
      <c r="S90" s="34">
        <v>267.90317303815698</v>
      </c>
      <c r="T90" s="34">
        <v>268.26504245707002</v>
      </c>
      <c r="U90" s="16">
        <v>-2.22835740373062E-2</v>
      </c>
      <c r="V90" s="16">
        <v>-5.5716433817777399E-3</v>
      </c>
      <c r="W90" s="16">
        <v>-4.2218077764562901E-3</v>
      </c>
      <c r="X90" s="35">
        <v>1.19178474345633</v>
      </c>
      <c r="Y90" s="35">
        <v>1.1654134458566101</v>
      </c>
      <c r="Z90" s="35">
        <v>1.18494268650759</v>
      </c>
      <c r="AA90" s="35">
        <v>1.18757401329271</v>
      </c>
      <c r="AB90" s="34">
        <v>263.54814081883001</v>
      </c>
      <c r="AC90" s="34">
        <v>268.01244408537099</v>
      </c>
      <c r="AD90" s="34">
        <v>268.375706994518</v>
      </c>
      <c r="AE90" s="16">
        <v>-2.23760547804134E-2</v>
      </c>
      <c r="AF90" s="16">
        <v>-5.5786910920821E-3</v>
      </c>
      <c r="AG90" s="16">
        <v>-4.2242131307296399E-3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9">
        <f t="shared" si="28"/>
        <v>0</v>
      </c>
      <c r="AP90" s="29">
        <f t="shared" si="29"/>
        <v>0</v>
      </c>
      <c r="AQ90" s="29">
        <f t="shared" si="36"/>
        <v>0</v>
      </c>
      <c r="AR90" s="30">
        <f t="shared" si="37"/>
        <v>2.1229215976407773E-2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9">
        <f t="shared" si="32"/>
        <v>0</v>
      </c>
      <c r="BA90" s="29">
        <f t="shared" si="33"/>
        <v>0</v>
      </c>
      <c r="BB90" s="29">
        <f t="shared" si="40"/>
        <v>0</v>
      </c>
      <c r="BC90" s="30">
        <f t="shared" si="41"/>
        <v>2.605399151548099E-2</v>
      </c>
      <c r="BE90" s="30">
        <f t="shared" si="42"/>
        <v>0</v>
      </c>
      <c r="BF90" s="30">
        <f t="shared" si="43"/>
        <v>4.728320749188876E-2</v>
      </c>
      <c r="BH90" s="30"/>
    </row>
    <row r="91" spans="1:60" x14ac:dyDescent="0.25">
      <c r="A91" s="1">
        <v>46154</v>
      </c>
      <c r="B91" s="34">
        <v>225.39</v>
      </c>
      <c r="C91" s="34">
        <v>268.42</v>
      </c>
      <c r="D91" s="16">
        <v>-2.6585154565341601E-3</v>
      </c>
      <c r="E91" s="16">
        <v>-3.6443460066035598E-3</v>
      </c>
      <c r="F91" s="34">
        <v>0</v>
      </c>
      <c r="G91" s="34">
        <v>0.15132499999999999</v>
      </c>
      <c r="H91" s="34">
        <v>0</v>
      </c>
      <c r="I91" s="34">
        <v>0.11178100000000001</v>
      </c>
      <c r="J91" s="34">
        <v>0.15132499999999999</v>
      </c>
      <c r="K91" s="34">
        <v>0.11178100000000001</v>
      </c>
      <c r="L91" s="34">
        <v>225.541325</v>
      </c>
      <c r="M91" s="34">
        <v>268.53178100000002</v>
      </c>
      <c r="N91" s="35">
        <v>1.1909135276631599</v>
      </c>
      <c r="O91" s="35">
        <v>1.1658179450689301</v>
      </c>
      <c r="P91" s="35">
        <v>1.18644329778516</v>
      </c>
      <c r="Q91" s="35">
        <v>1.1887075506337199</v>
      </c>
      <c r="R91" s="34">
        <v>262.76370663908699</v>
      </c>
      <c r="S91" s="34">
        <v>267.14377013685998</v>
      </c>
      <c r="T91" s="34">
        <v>267.73626521069502</v>
      </c>
      <c r="U91" s="16">
        <v>-2.12977434872368E-2</v>
      </c>
      <c r="V91" s="16">
        <v>-4.7659395575678203E-3</v>
      </c>
      <c r="W91" s="16">
        <v>-2.5505070231043301E-3</v>
      </c>
      <c r="X91" s="35">
        <v>1.1906101065957599</v>
      </c>
      <c r="Y91" s="35">
        <v>1.1654134458566101</v>
      </c>
      <c r="Z91" s="35">
        <v>1.1861352282991799</v>
      </c>
      <c r="AA91" s="35">
        <v>1.1884004212157999</v>
      </c>
      <c r="AB91" s="34">
        <v>262.84889275131599</v>
      </c>
      <c r="AC91" s="34">
        <v>267.25354356398299</v>
      </c>
      <c r="AD91" s="34">
        <v>267.84701649360602</v>
      </c>
      <c r="AE91" s="16">
        <v>-2.1389957152033099E-2</v>
      </c>
      <c r="AF91" s="16">
        <v>-4.7714627576882903E-3</v>
      </c>
      <c r="AG91" s="16">
        <v>-2.5532883909934901E-3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9">
        <f t="shared" si="28"/>
        <v>0</v>
      </c>
      <c r="AP91" s="29">
        <f t="shared" si="29"/>
        <v>0</v>
      </c>
      <c r="AQ91" s="29">
        <f t="shared" si="36"/>
        <v>0</v>
      </c>
      <c r="AR91" s="30">
        <f t="shared" si="37"/>
        <v>2.1229215976407773E-2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9">
        <f t="shared" si="32"/>
        <v>0</v>
      </c>
      <c r="BA91" s="29">
        <f t="shared" si="33"/>
        <v>0</v>
      </c>
      <c r="BB91" s="29">
        <f t="shared" si="40"/>
        <v>0</v>
      </c>
      <c r="BC91" s="30">
        <f t="shared" si="41"/>
        <v>2.605399151548099E-2</v>
      </c>
      <c r="BE91" s="30">
        <f t="shared" si="42"/>
        <v>0</v>
      </c>
      <c r="BF91" s="30">
        <f t="shared" si="43"/>
        <v>4.728320749188876E-2</v>
      </c>
      <c r="BH91" s="30"/>
    </row>
    <row r="92" spans="1:60" x14ac:dyDescent="0.25">
      <c r="A92" s="1">
        <v>46155</v>
      </c>
      <c r="B92" s="34">
        <v>225.71</v>
      </c>
      <c r="C92" s="34">
        <v>270.11</v>
      </c>
      <c r="D92" s="16">
        <v>1.4187543944862401E-3</v>
      </c>
      <c r="E92" s="16">
        <v>6.2763654682582298E-3</v>
      </c>
      <c r="F92" s="34">
        <v>0</v>
      </c>
      <c r="G92" s="34">
        <v>0.15132499999999999</v>
      </c>
      <c r="H92" s="34">
        <v>0</v>
      </c>
      <c r="I92" s="34">
        <v>0.11178100000000001</v>
      </c>
      <c r="J92" s="34">
        <v>0.15132499999999999</v>
      </c>
      <c r="K92" s="34">
        <v>0.11178100000000001</v>
      </c>
      <c r="L92" s="34">
        <v>225.86132499999999</v>
      </c>
      <c r="M92" s="34">
        <v>270.22178100000002</v>
      </c>
      <c r="N92" s="35">
        <v>1.1967125958087801</v>
      </c>
      <c r="O92" s="35">
        <v>1.1658179450689301</v>
      </c>
      <c r="P92" s="35">
        <v>1.18893805365955</v>
      </c>
      <c r="Q92" s="35">
        <v>1.1896820693130501</v>
      </c>
      <c r="R92" s="34">
        <v>263.136768381509</v>
      </c>
      <c r="S92" s="34">
        <v>267.792116743088</v>
      </c>
      <c r="T92" s="34">
        <v>268.30318125353801</v>
      </c>
      <c r="U92" s="16">
        <v>-2.61553545610087E-2</v>
      </c>
      <c r="V92" s="16">
        <v>-8.61828771984385E-3</v>
      </c>
      <c r="W92" s="16">
        <v>-6.7116690004548401E-3</v>
      </c>
      <c r="X92" s="35">
        <v>1.1964057193058599</v>
      </c>
      <c r="Y92" s="35">
        <v>1.1654134458566101</v>
      </c>
      <c r="Z92" s="35">
        <v>1.1886300227350599</v>
      </c>
      <c r="AA92" s="35">
        <v>1.1893737668530799</v>
      </c>
      <c r="AB92" s="34">
        <v>263.22182505399002</v>
      </c>
      <c r="AC92" s="34">
        <v>267.90207429282998</v>
      </c>
      <c r="AD92" s="34">
        <v>268.41369376635902</v>
      </c>
      <c r="AE92" s="16">
        <v>-2.62459149850231E-2</v>
      </c>
      <c r="AF92" s="16">
        <v>-8.6215136276945794E-3</v>
      </c>
      <c r="AG92" s="16">
        <v>-6.7136091460681599E-3</v>
      </c>
      <c r="AI92" s="12"/>
      <c r="AJ92">
        <f t="shared" si="26"/>
        <v>0</v>
      </c>
      <c r="AK92">
        <f t="shared" si="27"/>
        <v>0</v>
      </c>
      <c r="AL92">
        <f t="shared" si="34"/>
        <v>0</v>
      </c>
      <c r="AM92">
        <f t="shared" si="24"/>
        <v>1</v>
      </c>
      <c r="AN92">
        <f t="shared" si="35"/>
        <v>0</v>
      </c>
      <c r="AO92" s="29">
        <f t="shared" si="28"/>
        <v>0</v>
      </c>
      <c r="AP92" s="29">
        <f t="shared" si="29"/>
        <v>0</v>
      </c>
      <c r="AQ92" s="29">
        <f t="shared" si="36"/>
        <v>0</v>
      </c>
      <c r="AR92" s="30">
        <f t="shared" si="37"/>
        <v>2.1229215976407773E-2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9">
        <f t="shared" si="32"/>
        <v>0</v>
      </c>
      <c r="BA92" s="29">
        <f t="shared" si="33"/>
        <v>0</v>
      </c>
      <c r="BB92" s="29">
        <f t="shared" si="40"/>
        <v>0</v>
      </c>
      <c r="BC92" s="30">
        <f t="shared" si="41"/>
        <v>2.605399151548099E-2</v>
      </c>
      <c r="BE92" s="30">
        <f t="shared" si="42"/>
        <v>0</v>
      </c>
      <c r="BF92" s="30">
        <f t="shared" si="43"/>
        <v>4.728320749188876E-2</v>
      </c>
      <c r="BH92" s="30"/>
    </row>
    <row r="93" spans="1:60" x14ac:dyDescent="0.25">
      <c r="A93" s="1">
        <v>46156</v>
      </c>
      <c r="B93" s="34">
        <v>224.46</v>
      </c>
      <c r="C93" s="34">
        <v>271.35000000000002</v>
      </c>
      <c r="D93" s="16">
        <v>-5.5534718555554398E-3</v>
      </c>
      <c r="E93" s="16">
        <v>4.5802170714958701E-3</v>
      </c>
      <c r="F93" s="34">
        <v>0</v>
      </c>
      <c r="G93" s="34">
        <v>0.15132499999999999</v>
      </c>
      <c r="H93" s="34">
        <v>0</v>
      </c>
      <c r="I93" s="34">
        <v>0.11178100000000001</v>
      </c>
      <c r="J93" s="34">
        <v>0.15132499999999999</v>
      </c>
      <c r="K93" s="34">
        <v>0.11178100000000001</v>
      </c>
      <c r="L93" s="34">
        <v>224.61132499999999</v>
      </c>
      <c r="M93" s="34">
        <v>271.46178099999997</v>
      </c>
      <c r="N93" s="35">
        <v>1.2089013632718499</v>
      </c>
      <c r="O93" s="35">
        <v>1.1658179450689301</v>
      </c>
      <c r="P93" s="35">
        <v>1.1912612060921499</v>
      </c>
      <c r="Q93" s="35">
        <v>1.1906087337740701</v>
      </c>
      <c r="R93" s="34">
        <v>261.67949595017302</v>
      </c>
      <c r="S93" s="34">
        <v>266.869035524423</v>
      </c>
      <c r="T93" s="34">
        <v>267.036037278008</v>
      </c>
      <c r="U93" s="16">
        <v>-3.6289043488059898E-2</v>
      </c>
      <c r="V93" s="16">
        <v>-1.6651466099276601E-2</v>
      </c>
      <c r="W93" s="16">
        <v>-1.6025880138256701E-2</v>
      </c>
      <c r="X93" s="35">
        <v>1.2085845671405899</v>
      </c>
      <c r="Y93" s="35">
        <v>1.1654134458566101</v>
      </c>
      <c r="Z93" s="35">
        <v>1.1909524223885199</v>
      </c>
      <c r="AA93" s="35">
        <v>1.19029950359708</v>
      </c>
      <c r="AB93" s="34">
        <v>261.76505824666901</v>
      </c>
      <c r="AC93" s="34">
        <v>266.979764341303</v>
      </c>
      <c r="AD93" s="34">
        <v>267.14681769311102</v>
      </c>
      <c r="AE93" s="16">
        <v>-3.63739824535338E-2</v>
      </c>
      <c r="AF93" s="16">
        <v>-1.66484931233324E-2</v>
      </c>
      <c r="AG93" s="16">
        <v>-1.6022973394960699E-2</v>
      </c>
      <c r="AI93" s="12"/>
      <c r="AJ93">
        <f t="shared" si="26"/>
        <v>0</v>
      </c>
      <c r="AK93">
        <f t="shared" si="27"/>
        <v>0</v>
      </c>
      <c r="AL93">
        <f t="shared" si="34"/>
        <v>0</v>
      </c>
      <c r="AM93">
        <f t="shared" si="24"/>
        <v>1</v>
      </c>
      <c r="AN93">
        <f t="shared" si="35"/>
        <v>0</v>
      </c>
      <c r="AO93" s="29">
        <f t="shared" si="28"/>
        <v>0</v>
      </c>
      <c r="AP93" s="29">
        <f t="shared" si="29"/>
        <v>0</v>
      </c>
      <c r="AQ93" s="29">
        <f t="shared" si="36"/>
        <v>0</v>
      </c>
      <c r="AR93" s="30">
        <f t="shared" si="37"/>
        <v>2.1229215976407773E-2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9">
        <f t="shared" si="32"/>
        <v>0</v>
      </c>
      <c r="BA93" s="29">
        <f t="shared" si="33"/>
        <v>0</v>
      </c>
      <c r="BB93" s="29">
        <f t="shared" si="40"/>
        <v>0</v>
      </c>
      <c r="BC93" s="30">
        <f t="shared" si="41"/>
        <v>2.605399151548099E-2</v>
      </c>
      <c r="BE93" s="30">
        <f t="shared" si="42"/>
        <v>0</v>
      </c>
      <c r="BF93" s="30">
        <f t="shared" si="43"/>
        <v>4.728320749188876E-2</v>
      </c>
      <c r="BH93" s="30"/>
    </row>
    <row r="94" spans="1:60" x14ac:dyDescent="0.25">
      <c r="A94" s="1">
        <v>46157</v>
      </c>
      <c r="B94" s="34">
        <v>217.27</v>
      </c>
      <c r="C94" s="34">
        <v>260.74</v>
      </c>
      <c r="D94" s="16">
        <v>-3.2556697840959999E-2</v>
      </c>
      <c r="E94" s="16">
        <v>-3.9885758274781198E-2</v>
      </c>
      <c r="F94" s="34">
        <v>0</v>
      </c>
      <c r="G94" s="34">
        <v>0.15132499999999999</v>
      </c>
      <c r="H94" s="34">
        <v>0</v>
      </c>
      <c r="I94" s="34">
        <v>0.11178100000000001</v>
      </c>
      <c r="J94" s="34">
        <v>0.15132499999999999</v>
      </c>
      <c r="K94" s="34">
        <v>0.11178100000000001</v>
      </c>
      <c r="L94" s="34">
        <v>217.421325</v>
      </c>
      <c r="M94" s="34">
        <v>260.85178100000002</v>
      </c>
      <c r="N94" s="35">
        <v>1.2000736410917201</v>
      </c>
      <c r="O94" s="35">
        <v>1.1658179450689301</v>
      </c>
      <c r="P94" s="35">
        <v>1.1926945654850001</v>
      </c>
      <c r="Q94" s="35">
        <v>1.19103235201905</v>
      </c>
      <c r="R94" s="34">
        <v>253.297264925127</v>
      </c>
      <c r="S94" s="34">
        <v>258.82532224764299</v>
      </c>
      <c r="T94" s="34">
        <v>258.68355958709299</v>
      </c>
      <c r="U94" s="16">
        <v>-2.8959983054238699E-2</v>
      </c>
      <c r="V94" s="16">
        <v>-7.37033954259268E-3</v>
      </c>
      <c r="W94" s="16">
        <v>-7.9182051699137196E-3</v>
      </c>
      <c r="X94" s="35">
        <v>1.1997525127767401</v>
      </c>
      <c r="Y94" s="35">
        <v>1.1654134458566101</v>
      </c>
      <c r="Z94" s="35">
        <v>1.1923849279363099</v>
      </c>
      <c r="AA94" s="35">
        <v>1.19072183074835</v>
      </c>
      <c r="AB94" s="34">
        <v>253.38573557096001</v>
      </c>
      <c r="AC94" s="34">
        <v>258.93845368767199</v>
      </c>
      <c r="AD94" s="34">
        <v>258.79649521891997</v>
      </c>
      <c r="AE94" s="16">
        <v>-2.90393829642718E-2</v>
      </c>
      <c r="AF94" s="16">
        <v>-7.3619542124369096E-3</v>
      </c>
      <c r="AG94" s="16">
        <v>-7.9103370195458492E-3</v>
      </c>
      <c r="AI94" s="12"/>
      <c r="AJ94">
        <f t="shared" si="26"/>
        <v>0</v>
      </c>
      <c r="AK94">
        <f t="shared" si="27"/>
        <v>0</v>
      </c>
      <c r="AL94">
        <f t="shared" si="34"/>
        <v>0</v>
      </c>
      <c r="AM94">
        <f t="shared" si="24"/>
        <v>1</v>
      </c>
      <c r="AN94">
        <f t="shared" si="35"/>
        <v>0</v>
      </c>
      <c r="AO94" s="29">
        <f t="shared" si="28"/>
        <v>0</v>
      </c>
      <c r="AP94" s="29">
        <f t="shared" si="29"/>
        <v>0</v>
      </c>
      <c r="AQ94" s="29">
        <f t="shared" si="36"/>
        <v>0</v>
      </c>
      <c r="AR94" s="30">
        <f t="shared" si="37"/>
        <v>2.1229215976407773E-2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9">
        <f t="shared" si="32"/>
        <v>0</v>
      </c>
      <c r="BA94" s="29">
        <f t="shared" si="33"/>
        <v>0</v>
      </c>
      <c r="BB94" s="29">
        <f t="shared" si="40"/>
        <v>0</v>
      </c>
      <c r="BC94" s="30">
        <f t="shared" si="41"/>
        <v>2.605399151548099E-2</v>
      </c>
      <c r="BE94" s="30">
        <f t="shared" si="42"/>
        <v>0</v>
      </c>
      <c r="BF94" s="30">
        <f t="shared" si="43"/>
        <v>4.728320749188876E-2</v>
      </c>
      <c r="BH94" s="30"/>
    </row>
    <row r="95" spans="1:60" x14ac:dyDescent="0.25">
      <c r="A95" s="1">
        <v>46160</v>
      </c>
      <c r="B95" s="34">
        <v>220.23</v>
      </c>
      <c r="C95" s="34">
        <v>263.20999999999998</v>
      </c>
      <c r="D95" s="16">
        <v>1.3531635043649799E-2</v>
      </c>
      <c r="E95" s="16">
        <v>9.4284504157513306E-3</v>
      </c>
      <c r="F95" s="34">
        <v>0</v>
      </c>
      <c r="G95" s="34">
        <v>0.15132499999999999</v>
      </c>
      <c r="H95" s="34">
        <v>0</v>
      </c>
      <c r="I95" s="34">
        <v>0.11178100000000001</v>
      </c>
      <c r="J95" s="34">
        <v>0.15132499999999999</v>
      </c>
      <c r="K95" s="34">
        <v>0.11178100000000001</v>
      </c>
      <c r="L95" s="34">
        <v>220.381325</v>
      </c>
      <c r="M95" s="34">
        <v>263.32178099999999</v>
      </c>
      <c r="N95" s="35">
        <v>1.1951596058665901</v>
      </c>
      <c r="O95" s="35">
        <v>1.1658179450689301</v>
      </c>
      <c r="P95" s="35">
        <v>1.19335175688396</v>
      </c>
      <c r="Q95" s="35">
        <v>1.1911936102938401</v>
      </c>
      <c r="R95" s="34">
        <v>256.74808604253099</v>
      </c>
      <c r="S95" s="34">
        <v>262.66712415676199</v>
      </c>
      <c r="T95" s="34">
        <v>262.30105488515699</v>
      </c>
      <c r="U95" s="16">
        <v>-2.4856798426340102E-2</v>
      </c>
      <c r="V95" s="16">
        <v>-2.0646497485684698E-3</v>
      </c>
      <c r="W95" s="16">
        <v>-3.4592841113876001E-3</v>
      </c>
      <c r="X95" s="35">
        <v>1.1948461649370601</v>
      </c>
      <c r="Y95" s="35">
        <v>1.1654134458566101</v>
      </c>
      <c r="Z95" s="35">
        <v>1.1930425178812001</v>
      </c>
      <c r="AA95" s="35">
        <v>1.1908821988920599</v>
      </c>
      <c r="AB95" s="34">
        <v>256.83535937069598</v>
      </c>
      <c r="AC95" s="34">
        <v>262.779370328634</v>
      </c>
      <c r="AD95" s="34">
        <v>262.41285476674801</v>
      </c>
      <c r="AE95" s="16">
        <v>-2.49415316198166E-2</v>
      </c>
      <c r="AF95" s="16">
        <v>-2.0620021917207398E-3</v>
      </c>
      <c r="AG95" s="16">
        <v>-3.45774113785595E-3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9">
        <f t="shared" si="28"/>
        <v>0</v>
      </c>
      <c r="AP95" s="29">
        <f t="shared" si="29"/>
        <v>0</v>
      </c>
      <c r="AQ95" s="29">
        <f t="shared" si="36"/>
        <v>0</v>
      </c>
      <c r="AR95" s="30">
        <f t="shared" si="37"/>
        <v>2.1229215976407773E-2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9">
        <f t="shared" si="32"/>
        <v>0</v>
      </c>
      <c r="BA95" s="29">
        <f t="shared" si="33"/>
        <v>0</v>
      </c>
      <c r="BB95" s="29">
        <f t="shared" si="40"/>
        <v>0</v>
      </c>
      <c r="BC95" s="30">
        <f t="shared" si="41"/>
        <v>2.605399151548099E-2</v>
      </c>
      <c r="BE95" s="30">
        <f t="shared" si="42"/>
        <v>0</v>
      </c>
      <c r="BF95" s="30">
        <f t="shared" si="43"/>
        <v>4.728320749188876E-2</v>
      </c>
      <c r="BH95" s="30"/>
    </row>
    <row r="96" spans="1:60" x14ac:dyDescent="0.25">
      <c r="A96" s="1">
        <v>46161</v>
      </c>
      <c r="B96" s="34">
        <v>218.32</v>
      </c>
      <c r="C96" s="34">
        <v>259.45999999999998</v>
      </c>
      <c r="D96" s="16">
        <v>-8.7105783907165703E-3</v>
      </c>
      <c r="E96" s="16">
        <v>-1.43496445075177E-2</v>
      </c>
      <c r="F96" s="34">
        <v>0</v>
      </c>
      <c r="G96" s="34">
        <v>0.15132499999999999</v>
      </c>
      <c r="H96" s="34">
        <v>0</v>
      </c>
      <c r="I96" s="34">
        <v>0.11178100000000001</v>
      </c>
      <c r="J96" s="34">
        <v>0.15132499999999999</v>
      </c>
      <c r="K96" s="34">
        <v>0.11178100000000001</v>
      </c>
      <c r="L96" s="34">
        <v>218.47132500000001</v>
      </c>
      <c r="M96" s="34">
        <v>259.57178099999999</v>
      </c>
      <c r="N96" s="35">
        <v>1.18843898864052</v>
      </c>
      <c r="O96" s="35">
        <v>1.1658179450689301</v>
      </c>
      <c r="P96" s="35">
        <v>1.19369261447021</v>
      </c>
      <c r="Q96" s="35">
        <v>1.1906711426744501</v>
      </c>
      <c r="R96" s="34">
        <v>254.52137376745</v>
      </c>
      <c r="S96" s="34">
        <v>260.532555562906</v>
      </c>
      <c r="T96" s="34">
        <v>260.06138899935098</v>
      </c>
      <c r="U96" s="16">
        <v>-1.9217732309539E-2</v>
      </c>
      <c r="V96" s="16">
        <v>4.12527861211749E-3</v>
      </c>
      <c r="W96" s="16">
        <v>2.3151665386865398E-3</v>
      </c>
      <c r="X96" s="35">
        <v>1.18812746249421</v>
      </c>
      <c r="Y96" s="35">
        <v>1.1654134458566101</v>
      </c>
      <c r="Z96" s="35">
        <v>1.1933835625484199</v>
      </c>
      <c r="AA96" s="35">
        <v>1.1903597526102401</v>
      </c>
      <c r="AB96" s="34">
        <v>254.60941968911001</v>
      </c>
      <c r="AC96" s="34">
        <v>260.64557966284298</v>
      </c>
      <c r="AD96" s="34">
        <v>260.17361191086201</v>
      </c>
      <c r="AE96" s="16">
        <v>-1.9302593640202599E-2</v>
      </c>
      <c r="AF96" s="16">
        <v>4.1282750983405898E-3</v>
      </c>
      <c r="AG96" s="16">
        <v>2.3158692238637898E-3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9">
        <f t="shared" si="28"/>
        <v>0</v>
      </c>
      <c r="AP96" s="29">
        <f t="shared" si="29"/>
        <v>0</v>
      </c>
      <c r="AQ96" s="29">
        <f t="shared" si="36"/>
        <v>0</v>
      </c>
      <c r="AR96" s="30">
        <f t="shared" si="37"/>
        <v>2.1229215976407773E-2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9">
        <f t="shared" si="32"/>
        <v>0</v>
      </c>
      <c r="BA96" s="29">
        <f t="shared" si="33"/>
        <v>0</v>
      </c>
      <c r="BB96" s="29">
        <f t="shared" si="40"/>
        <v>0</v>
      </c>
      <c r="BC96" s="30">
        <f t="shared" si="41"/>
        <v>2.605399151548099E-2</v>
      </c>
      <c r="BE96" s="30">
        <f t="shared" si="42"/>
        <v>0</v>
      </c>
      <c r="BF96" s="30">
        <f t="shared" si="43"/>
        <v>4.728320749188876E-2</v>
      </c>
      <c r="BH96" s="30"/>
    </row>
    <row r="97" spans="1:60" x14ac:dyDescent="0.25">
      <c r="A97" s="1">
        <v>46162</v>
      </c>
      <c r="B97" s="34">
        <v>223.28</v>
      </c>
      <c r="C97" s="34">
        <v>266.5</v>
      </c>
      <c r="D97" s="16">
        <v>2.24647128279836E-2</v>
      </c>
      <c r="E97" s="16">
        <v>2.6771695463032801E-2</v>
      </c>
      <c r="F97" s="34">
        <v>0</v>
      </c>
      <c r="G97" s="34">
        <v>0.15132499999999999</v>
      </c>
      <c r="H97" s="34">
        <v>0</v>
      </c>
      <c r="I97" s="34">
        <v>0.11178100000000001</v>
      </c>
      <c r="J97" s="34">
        <v>0.15132499999999999</v>
      </c>
      <c r="K97" s="34">
        <v>0.11178100000000001</v>
      </c>
      <c r="L97" s="34">
        <v>223.43132499999999</v>
      </c>
      <c r="M97" s="34">
        <v>266.61178100000001</v>
      </c>
      <c r="N97" s="35">
        <v>1.1935686134002099</v>
      </c>
      <c r="O97" s="35">
        <v>1.1658179450689301</v>
      </c>
      <c r="P97" s="35">
        <v>1.1934272396630601</v>
      </c>
      <c r="Q97" s="35">
        <v>1.19013510836613</v>
      </c>
      <c r="R97" s="34">
        <v>260.30383077499198</v>
      </c>
      <c r="S97" s="34">
        <v>266.52768695890899</v>
      </c>
      <c r="T97" s="34">
        <v>265.853052736351</v>
      </c>
      <c r="U97" s="16">
        <v>-2.3524714944588399E-2</v>
      </c>
      <c r="V97" s="16">
        <v>1.03885631503757E-4</v>
      </c>
      <c r="W97" s="16">
        <v>-2.43052079369386E-3</v>
      </c>
      <c r="X97" s="35">
        <v>1.19326052871055</v>
      </c>
      <c r="Y97" s="35">
        <v>1.1654134458566101</v>
      </c>
      <c r="Z97" s="35">
        <v>1.1931183480688901</v>
      </c>
      <c r="AA97" s="35">
        <v>1.1898243782837099</v>
      </c>
      <c r="AB97" s="34">
        <v>260.38987038055802</v>
      </c>
      <c r="AC97" s="34">
        <v>266.63927061341502</v>
      </c>
      <c r="AD97" s="34">
        <v>265.96365675237797</v>
      </c>
      <c r="AE97" s="16">
        <v>-2.3613587216205101E-2</v>
      </c>
      <c r="AF97" s="16">
        <v>1.03101956787629E-4</v>
      </c>
      <c r="AG97" s="16">
        <v>-2.4339258690320199E-3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9">
        <f t="shared" si="28"/>
        <v>0</v>
      </c>
      <c r="AP97" s="29">
        <f t="shared" si="29"/>
        <v>0</v>
      </c>
      <c r="AQ97" s="29">
        <f t="shared" si="36"/>
        <v>0</v>
      </c>
      <c r="AR97" s="30">
        <f t="shared" si="37"/>
        <v>2.1229215976407773E-2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9">
        <f t="shared" si="32"/>
        <v>0</v>
      </c>
      <c r="BA97" s="29">
        <f t="shared" si="33"/>
        <v>0</v>
      </c>
      <c r="BB97" s="29">
        <f t="shared" si="40"/>
        <v>0</v>
      </c>
      <c r="BC97" s="30">
        <f t="shared" si="41"/>
        <v>2.605399151548099E-2</v>
      </c>
      <c r="BE97" s="30">
        <f t="shared" si="42"/>
        <v>0</v>
      </c>
      <c r="BF97" s="30">
        <f t="shared" si="43"/>
        <v>4.728320749188876E-2</v>
      </c>
      <c r="BH97" s="30"/>
    </row>
    <row r="98" spans="1:60" x14ac:dyDescent="0.25">
      <c r="A98" s="1">
        <v>46163</v>
      </c>
      <c r="B98" s="34">
        <v>223.15</v>
      </c>
      <c r="C98" s="34">
        <v>266.37</v>
      </c>
      <c r="D98" s="16">
        <v>-5.8239815278776099E-4</v>
      </c>
      <c r="E98" s="16">
        <v>-4.8792389355410801E-4</v>
      </c>
      <c r="F98" s="34">
        <v>0</v>
      </c>
      <c r="G98" s="34">
        <v>0.15132499999999999</v>
      </c>
      <c r="H98" s="34">
        <v>0</v>
      </c>
      <c r="I98" s="34">
        <v>0.11178100000000001</v>
      </c>
      <c r="J98" s="34">
        <v>0.15132499999999999</v>
      </c>
      <c r="K98" s="34">
        <v>0.11178100000000001</v>
      </c>
      <c r="L98" s="34">
        <v>223.30132499999999</v>
      </c>
      <c r="M98" s="34">
        <v>266.48178100000001</v>
      </c>
      <c r="N98" s="35">
        <v>1.1936813802374999</v>
      </c>
      <c r="O98" s="35">
        <v>1.1658179450689301</v>
      </c>
      <c r="P98" s="35">
        <v>1.1947063030384799</v>
      </c>
      <c r="Q98" s="35">
        <v>1.1901276982122899</v>
      </c>
      <c r="R98" s="34">
        <v>260.15227444213298</v>
      </c>
      <c r="S98" s="34">
        <v>266.313288530813</v>
      </c>
      <c r="T98" s="34">
        <v>265.57864943190299</v>
      </c>
      <c r="U98" s="16">
        <v>-2.3619189203822E-2</v>
      </c>
      <c r="V98" s="16">
        <v>-2.1292753356998999E-4</v>
      </c>
      <c r="W98" s="16">
        <v>-2.9752915162686998E-3</v>
      </c>
      <c r="X98" s="35">
        <v>1.1933730397703599</v>
      </c>
      <c r="Y98" s="35">
        <v>1.1654134458566101</v>
      </c>
      <c r="Z98" s="35">
        <v>1.19439663079471</v>
      </c>
      <c r="AA98" s="35">
        <v>1.18981725731044</v>
      </c>
      <c r="AB98" s="34">
        <v>260.23836663259698</v>
      </c>
      <c r="AC98" s="34">
        <v>266.42490800559602</v>
      </c>
      <c r="AD98" s="34">
        <v>265.68936018805402</v>
      </c>
      <c r="AE98" s="16">
        <v>-2.37078715348184E-2</v>
      </c>
      <c r="AF98" s="16">
        <v>-2.1344447646564799E-4</v>
      </c>
      <c r="AG98" s="16">
        <v>-2.9780697834712001E-3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9">
        <f t="shared" si="28"/>
        <v>0</v>
      </c>
      <c r="AP98" s="29">
        <f t="shared" si="29"/>
        <v>0</v>
      </c>
      <c r="AQ98" s="29">
        <f t="shared" si="36"/>
        <v>0</v>
      </c>
      <c r="AR98" s="30">
        <f t="shared" si="37"/>
        <v>2.1229215976407773E-2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9">
        <f t="shared" si="32"/>
        <v>0</v>
      </c>
      <c r="BA98" s="29">
        <f t="shared" si="33"/>
        <v>0</v>
      </c>
      <c r="BB98" s="29">
        <f t="shared" si="40"/>
        <v>0</v>
      </c>
      <c r="BC98" s="30">
        <f t="shared" si="41"/>
        <v>2.605399151548099E-2</v>
      </c>
      <c r="BE98" s="30">
        <f t="shared" si="42"/>
        <v>0</v>
      </c>
      <c r="BF98" s="30">
        <f t="shared" si="43"/>
        <v>4.728320749188876E-2</v>
      </c>
      <c r="BH98" s="30"/>
    </row>
    <row r="99" spans="1:60" x14ac:dyDescent="0.25">
      <c r="A99" s="1">
        <v>46164</v>
      </c>
      <c r="B99" s="34">
        <v>225.37</v>
      </c>
      <c r="C99" s="34">
        <v>271.18</v>
      </c>
      <c r="D99" s="16">
        <v>9.8993049552953804E-3</v>
      </c>
      <c r="E99" s="16">
        <v>1.7896487321817998E-2</v>
      </c>
      <c r="F99" s="34">
        <v>0</v>
      </c>
      <c r="G99" s="34">
        <v>0.15132499999999999</v>
      </c>
      <c r="H99" s="34">
        <v>0</v>
      </c>
      <c r="I99" s="34">
        <v>0.11178100000000001</v>
      </c>
      <c r="J99" s="34">
        <v>0.15132499999999999</v>
      </c>
      <c r="K99" s="34">
        <v>0.11178100000000001</v>
      </c>
      <c r="L99" s="34">
        <v>225.52132499999999</v>
      </c>
      <c r="M99" s="34">
        <v>271.29178100000001</v>
      </c>
      <c r="N99" s="35">
        <v>1.2032657407818199</v>
      </c>
      <c r="O99" s="35">
        <v>1.1658179450689301</v>
      </c>
      <c r="P99" s="35">
        <v>1.1962803602255301</v>
      </c>
      <c r="Q99" s="35">
        <v>1.1908725422486</v>
      </c>
      <c r="R99" s="34">
        <v>262.74039028018598</v>
      </c>
      <c r="S99" s="34">
        <v>269.25095951578402</v>
      </c>
      <c r="T99" s="34">
        <v>268.21907934610499</v>
      </c>
      <c r="U99" s="16">
        <v>-3.1616371570344602E-2</v>
      </c>
      <c r="V99" s="16">
        <v>-7.1389273427917696E-3</v>
      </c>
      <c r="W99" s="16">
        <v>-1.09787002152953E-2</v>
      </c>
      <c r="X99" s="35">
        <v>1.20295400446055</v>
      </c>
      <c r="Y99" s="35">
        <v>1.1654134458566101</v>
      </c>
      <c r="Z99" s="35">
        <v>1.1959698849647999</v>
      </c>
      <c r="AA99" s="35">
        <v>1.1905622701454699</v>
      </c>
      <c r="AB99" s="34">
        <v>262.82558448239899</v>
      </c>
      <c r="AC99" s="34">
        <v>269.36191075235899</v>
      </c>
      <c r="AD99" s="34">
        <v>268.32916437651801</v>
      </c>
      <c r="AE99" s="16">
        <v>-3.17042890237621E-2</v>
      </c>
      <c r="AF99" s="16">
        <v>-7.1390558265791697E-3</v>
      </c>
      <c r="AG99" s="16">
        <v>-1.0980472184730999E-2</v>
      </c>
      <c r="AI99" s="12"/>
      <c r="AJ99">
        <f t="shared" si="26"/>
        <v>0</v>
      </c>
      <c r="AK99">
        <f t="shared" si="27"/>
        <v>0</v>
      </c>
      <c r="AL99">
        <f t="shared" si="34"/>
        <v>0</v>
      </c>
      <c r="AM99">
        <f t="shared" si="24"/>
        <v>1</v>
      </c>
      <c r="AN99">
        <f t="shared" si="35"/>
        <v>0</v>
      </c>
      <c r="AO99" s="29">
        <f t="shared" si="28"/>
        <v>0</v>
      </c>
      <c r="AP99" s="29">
        <f t="shared" si="29"/>
        <v>0</v>
      </c>
      <c r="AQ99" s="29">
        <f t="shared" si="36"/>
        <v>0</v>
      </c>
      <c r="AR99" s="30">
        <f t="shared" si="37"/>
        <v>2.1229215976407773E-2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9">
        <f t="shared" si="32"/>
        <v>0</v>
      </c>
      <c r="BA99" s="29">
        <f t="shared" si="33"/>
        <v>0</v>
      </c>
      <c r="BB99" s="29">
        <f t="shared" si="40"/>
        <v>0</v>
      </c>
      <c r="BC99" s="30">
        <f t="shared" si="41"/>
        <v>2.605399151548099E-2</v>
      </c>
      <c r="BE99" s="30">
        <f t="shared" si="42"/>
        <v>0</v>
      </c>
      <c r="BF99" s="30">
        <f t="shared" si="43"/>
        <v>4.728320749188876E-2</v>
      </c>
      <c r="BH99" s="30"/>
    </row>
    <row r="100" spans="1:60" x14ac:dyDescent="0.25">
      <c r="A100" s="1">
        <v>46168</v>
      </c>
      <c r="B100" s="34">
        <v>229.49</v>
      </c>
      <c r="C100" s="34">
        <v>276.56</v>
      </c>
      <c r="D100" s="16">
        <v>1.8115959535946E-2</v>
      </c>
      <c r="E100" s="16">
        <v>1.9644988579205901E-2</v>
      </c>
      <c r="F100" s="34">
        <v>0</v>
      </c>
      <c r="G100" s="34">
        <v>0.15132499999999999</v>
      </c>
      <c r="H100" s="34">
        <v>0</v>
      </c>
      <c r="I100" s="34">
        <v>0.11178100000000001</v>
      </c>
      <c r="J100" s="34">
        <v>0.15132499999999999</v>
      </c>
      <c r="K100" s="34">
        <v>0.11178100000000001</v>
      </c>
      <c r="L100" s="34">
        <v>229.64132499999999</v>
      </c>
      <c r="M100" s="34">
        <v>276.67178100000001</v>
      </c>
      <c r="N100" s="35">
        <v>1.20510697633883</v>
      </c>
      <c r="O100" s="35">
        <v>1.1658179450689301</v>
      </c>
      <c r="P100" s="35">
        <v>1.1975822433101</v>
      </c>
      <c r="Q100" s="35">
        <v>1.1914167264664</v>
      </c>
      <c r="R100" s="34">
        <v>267.54356021387002</v>
      </c>
      <c r="S100" s="34">
        <v>274.534379868158</v>
      </c>
      <c r="T100" s="34">
        <v>273.29333972063301</v>
      </c>
      <c r="U100" s="16">
        <v>-3.3145400613604603E-2</v>
      </c>
      <c r="V100" s="16">
        <v>-7.3512970849952501E-3</v>
      </c>
      <c r="W100" s="16">
        <v>-1.1882072823960499E-2</v>
      </c>
      <c r="X100" s="35">
        <v>1.2047996195806601</v>
      </c>
      <c r="Y100" s="35">
        <v>1.1654134458566101</v>
      </c>
      <c r="Z100" s="35">
        <v>1.1972713725772299</v>
      </c>
      <c r="AA100" s="35">
        <v>1.19110702954241</v>
      </c>
      <c r="AB100" s="34">
        <v>267.62708787932797</v>
      </c>
      <c r="AC100" s="34">
        <v>274.64410904341503</v>
      </c>
      <c r="AD100" s="34">
        <v>273.40229721121398</v>
      </c>
      <c r="AE100" s="16">
        <v>-3.3237349103629597E-2</v>
      </c>
      <c r="AF100" s="16">
        <v>-7.3557868942312104E-3</v>
      </c>
      <c r="AG100" s="16">
        <v>-1.18875708573872E-2</v>
      </c>
      <c r="AI100" s="12"/>
      <c r="AJ100">
        <f t="shared" si="26"/>
        <v>0</v>
      </c>
      <c r="AK100">
        <f t="shared" si="27"/>
        <v>0</v>
      </c>
      <c r="AL100">
        <f t="shared" si="34"/>
        <v>0</v>
      </c>
      <c r="AM100">
        <f t="shared" si="24"/>
        <v>1</v>
      </c>
      <c r="AN100">
        <f t="shared" si="35"/>
        <v>0</v>
      </c>
      <c r="AO100" s="29">
        <f t="shared" si="28"/>
        <v>0</v>
      </c>
      <c r="AP100" s="29">
        <f t="shared" si="29"/>
        <v>0</v>
      </c>
      <c r="AQ100" s="29">
        <f t="shared" si="36"/>
        <v>0</v>
      </c>
      <c r="AR100" s="30">
        <f t="shared" si="37"/>
        <v>2.1229215976407773E-2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9">
        <f t="shared" si="32"/>
        <v>0</v>
      </c>
      <c r="BA100" s="29">
        <f t="shared" si="33"/>
        <v>0</v>
      </c>
      <c r="BB100" s="29">
        <f t="shared" si="40"/>
        <v>0</v>
      </c>
      <c r="BC100" s="30">
        <f t="shared" si="41"/>
        <v>2.605399151548099E-2</v>
      </c>
      <c r="BE100" s="30">
        <f t="shared" si="42"/>
        <v>0</v>
      </c>
      <c r="BF100" s="30">
        <f t="shared" si="43"/>
        <v>4.728320749188876E-2</v>
      </c>
      <c r="BH100" s="30"/>
    </row>
    <row r="101" spans="1:60" x14ac:dyDescent="0.25">
      <c r="A101" s="1">
        <v>46169</v>
      </c>
      <c r="B101" s="34">
        <v>230.48</v>
      </c>
      <c r="C101" s="34">
        <v>278.89999999999998</v>
      </c>
      <c r="D101" s="16">
        <v>4.3046352097526599E-3</v>
      </c>
      <c r="E101" s="16">
        <v>8.4254990200741103E-3</v>
      </c>
      <c r="F101" s="34">
        <v>0</v>
      </c>
      <c r="G101" s="34">
        <v>0.15132499999999999</v>
      </c>
      <c r="H101" s="34">
        <v>0</v>
      </c>
      <c r="I101" s="34">
        <v>0.11178100000000001</v>
      </c>
      <c r="J101" s="34">
        <v>0.15132499999999999</v>
      </c>
      <c r="K101" s="34">
        <v>0.11178100000000001</v>
      </c>
      <c r="L101" s="34">
        <v>230.631325</v>
      </c>
      <c r="M101" s="34">
        <v>279.01178099999998</v>
      </c>
      <c r="N101" s="35">
        <v>1.21008330440819</v>
      </c>
      <c r="O101" s="35">
        <v>1.1658179450689301</v>
      </c>
      <c r="P101" s="35">
        <v>1.1994992209846</v>
      </c>
      <c r="Q101" s="35">
        <v>1.19297125938488</v>
      </c>
      <c r="R101" s="34">
        <v>268.697719979488</v>
      </c>
      <c r="S101" s="34">
        <v>276.01875543811201</v>
      </c>
      <c r="T101" s="34">
        <v>274.597727115976</v>
      </c>
      <c r="U101" s="16">
        <v>-3.7266264423925798E-2</v>
      </c>
      <c r="V101" s="16">
        <v>-1.03844767391794E-2</v>
      </c>
      <c r="W101" s="16">
        <v>-1.5546078406017801E-2</v>
      </c>
      <c r="X101" s="35">
        <v>1.20977400186206</v>
      </c>
      <c r="Y101" s="35">
        <v>1.1654134458566101</v>
      </c>
      <c r="Z101" s="35">
        <v>1.19918776210386</v>
      </c>
      <c r="AA101" s="35">
        <v>1.19266149520152</v>
      </c>
      <c r="AB101" s="34">
        <v>268.78084719072598</v>
      </c>
      <c r="AC101" s="34">
        <v>276.12828304205698</v>
      </c>
      <c r="AD101" s="34">
        <v>274.70659244018202</v>
      </c>
      <c r="AE101" s="16">
        <v>-3.7357653636644901E-2</v>
      </c>
      <c r="AF101" s="16">
        <v>-1.03884553716407E-2</v>
      </c>
      <c r="AG101" s="16">
        <v>-1.5550415232925699E-2</v>
      </c>
      <c r="AI101" s="12"/>
      <c r="AJ101">
        <f t="shared" si="26"/>
        <v>0</v>
      </c>
      <c r="AK101">
        <f t="shared" si="27"/>
        <v>0</v>
      </c>
      <c r="AL101">
        <f t="shared" si="34"/>
        <v>0</v>
      </c>
      <c r="AM101">
        <f t="shared" si="24"/>
        <v>1</v>
      </c>
      <c r="AN101">
        <f t="shared" si="35"/>
        <v>0</v>
      </c>
      <c r="AO101" s="29">
        <f t="shared" si="28"/>
        <v>0</v>
      </c>
      <c r="AP101" s="29">
        <f t="shared" si="29"/>
        <v>0</v>
      </c>
      <c r="AQ101" s="29">
        <f t="shared" si="36"/>
        <v>0</v>
      </c>
      <c r="AR101" s="30">
        <f t="shared" si="37"/>
        <v>2.1229215976407773E-2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9">
        <f t="shared" si="32"/>
        <v>0</v>
      </c>
      <c r="BA101" s="29">
        <f t="shared" si="33"/>
        <v>0</v>
      </c>
      <c r="BB101" s="29">
        <f t="shared" si="40"/>
        <v>0</v>
      </c>
      <c r="BC101" s="30">
        <f t="shared" si="41"/>
        <v>2.605399151548099E-2</v>
      </c>
      <c r="BE101" s="30">
        <f t="shared" si="42"/>
        <v>0</v>
      </c>
      <c r="BF101" s="30">
        <f t="shared" si="43"/>
        <v>4.728320749188876E-2</v>
      </c>
      <c r="BH101" s="30"/>
    </row>
    <row r="102" spans="1:60" x14ac:dyDescent="0.25">
      <c r="A102" s="1">
        <v>46170</v>
      </c>
      <c r="B102" s="34">
        <v>235.57</v>
      </c>
      <c r="C102" s="34">
        <v>289.56</v>
      </c>
      <c r="D102" s="16">
        <v>2.1844018428242001E-2</v>
      </c>
      <c r="E102" s="16">
        <v>3.7509234791497502E-2</v>
      </c>
      <c r="F102" s="34">
        <v>0</v>
      </c>
      <c r="G102" s="34">
        <v>0.15132499999999999</v>
      </c>
      <c r="H102" s="34">
        <v>0</v>
      </c>
      <c r="I102" s="34">
        <v>0.11178100000000001</v>
      </c>
      <c r="J102" s="34">
        <v>0.15132499999999999</v>
      </c>
      <c r="K102" s="34">
        <v>0.11178100000000001</v>
      </c>
      <c r="L102" s="34">
        <v>235.72132500000001</v>
      </c>
      <c r="M102" s="34">
        <v>289.67178100000001</v>
      </c>
      <c r="N102" s="35">
        <v>1.22918877615995</v>
      </c>
      <c r="O102" s="35">
        <v>1.1658179450689301</v>
      </c>
      <c r="P102" s="35">
        <v>1.20274683901972</v>
      </c>
      <c r="Q102" s="35">
        <v>1.19584244633963</v>
      </c>
      <c r="R102" s="34">
        <v>274.63173331988901</v>
      </c>
      <c r="S102" s="34">
        <v>282.56603148734303</v>
      </c>
      <c r="T102" s="34">
        <v>281.02823957329701</v>
      </c>
      <c r="U102" s="16">
        <v>-5.2931480787181302E-2</v>
      </c>
      <c r="V102" s="16">
        <v>-2.4450266373123E-2</v>
      </c>
      <c r="W102" s="16">
        <v>-2.99073684385253E-2</v>
      </c>
      <c r="X102" s="35">
        <v>1.2288738874176901</v>
      </c>
      <c r="Y102" s="35">
        <v>1.1654134458566101</v>
      </c>
      <c r="Z102" s="35">
        <v>1.2024345789150499</v>
      </c>
      <c r="AA102" s="35">
        <v>1.19553230082506</v>
      </c>
      <c r="AB102" s="34">
        <v>274.71280163013603</v>
      </c>
      <c r="AC102" s="34">
        <v>282.67412820690799</v>
      </c>
      <c r="AD102" s="34">
        <v>281.13574792538401</v>
      </c>
      <c r="AE102" s="16">
        <v>-5.3022298131290203E-2</v>
      </c>
      <c r="AF102" s="16">
        <v>-2.4453748633966401E-2</v>
      </c>
      <c r="AG102" s="16">
        <v>-2.9910850981367799E-2</v>
      </c>
      <c r="AI102" s="12"/>
      <c r="AJ102">
        <f t="shared" si="26"/>
        <v>1</v>
      </c>
      <c r="AK102">
        <f t="shared" si="27"/>
        <v>0</v>
      </c>
      <c r="AL102">
        <f t="shared" si="34"/>
        <v>0</v>
      </c>
      <c r="AM102">
        <f t="shared" si="24"/>
        <v>1</v>
      </c>
      <c r="AN102">
        <f t="shared" si="35"/>
        <v>0</v>
      </c>
      <c r="AO102" s="29">
        <f t="shared" si="28"/>
        <v>0</v>
      </c>
      <c r="AP102" s="29">
        <f t="shared" si="29"/>
        <v>0</v>
      </c>
      <c r="AQ102" s="29">
        <f t="shared" si="36"/>
        <v>0</v>
      </c>
      <c r="AR102" s="30">
        <f t="shared" si="37"/>
        <v>2.1229215976407773E-2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9">
        <f t="shared" si="32"/>
        <v>0</v>
      </c>
      <c r="BA102" s="29">
        <f t="shared" si="33"/>
        <v>0</v>
      </c>
      <c r="BB102" s="29">
        <f t="shared" si="40"/>
        <v>0</v>
      </c>
      <c r="BC102" s="30">
        <f t="shared" si="41"/>
        <v>2.605399151548099E-2</v>
      </c>
      <c r="BE102" s="30">
        <f t="shared" si="42"/>
        <v>0</v>
      </c>
      <c r="BF102" s="30">
        <f t="shared" si="43"/>
        <v>4.728320749188876E-2</v>
      </c>
      <c r="BH102" s="30"/>
    </row>
    <row r="103" spans="1:60" x14ac:dyDescent="0.25">
      <c r="A103" s="1">
        <v>46171</v>
      </c>
      <c r="B103" s="34">
        <v>235.44</v>
      </c>
      <c r="C103" s="34">
        <v>288</v>
      </c>
      <c r="D103" s="16">
        <v>-5.5200527929770502E-4</v>
      </c>
      <c r="E103" s="16">
        <v>-5.4020492889947699E-3</v>
      </c>
      <c r="F103" s="34">
        <v>0</v>
      </c>
      <c r="G103" s="34">
        <v>0.15132499999999999</v>
      </c>
      <c r="H103" s="34">
        <v>0</v>
      </c>
      <c r="I103" s="34">
        <v>0.11178100000000001</v>
      </c>
      <c r="J103" s="34">
        <v>0.15132499999999999</v>
      </c>
      <c r="K103" s="34">
        <v>0.11178100000000001</v>
      </c>
      <c r="L103" s="34">
        <v>235.59132500000001</v>
      </c>
      <c r="M103" s="34">
        <v>288.11178100000001</v>
      </c>
      <c r="N103" s="35">
        <v>1.2232415902140601</v>
      </c>
      <c r="O103" s="35">
        <v>1.1658179450689301</v>
      </c>
      <c r="P103" s="35">
        <v>1.20418086171394</v>
      </c>
      <c r="Q103" s="35">
        <v>1.19772103390305</v>
      </c>
      <c r="R103" s="34">
        <v>274.48017698703001</v>
      </c>
      <c r="S103" s="34">
        <v>283.17471577880298</v>
      </c>
      <c r="T103" s="34">
        <v>281.549145566204</v>
      </c>
      <c r="U103" s="16">
        <v>-4.8081436777484401E-2</v>
      </c>
      <c r="V103" s="16">
        <v>-1.6896402744194301E-2</v>
      </c>
      <c r="W103" s="16">
        <v>-2.2653463189684399E-2</v>
      </c>
      <c r="X103" s="35">
        <v>1.2229303477112301</v>
      </c>
      <c r="Y103" s="35">
        <v>1.1654134458566101</v>
      </c>
      <c r="Z103" s="35">
        <v>1.2038691569721101</v>
      </c>
      <c r="AA103" s="35">
        <v>1.1974107896803201</v>
      </c>
      <c r="AB103" s="34">
        <v>274.56129788217498</v>
      </c>
      <c r="AC103" s="34">
        <v>283.28315567241401</v>
      </c>
      <c r="AD103" s="34">
        <v>281.65703883167402</v>
      </c>
      <c r="AE103" s="16">
        <v>-4.8173989882409701E-2</v>
      </c>
      <c r="AF103" s="16">
        <v>-1.6901585799953801E-2</v>
      </c>
      <c r="AG103" s="16">
        <v>-2.2658376863632802E-2</v>
      </c>
      <c r="AI103" s="12"/>
      <c r="AJ103">
        <f t="shared" si="26"/>
        <v>0</v>
      </c>
      <c r="AK103">
        <f t="shared" si="27"/>
        <v>0</v>
      </c>
      <c r="AL103">
        <f t="shared" si="34"/>
        <v>1</v>
      </c>
      <c r="AM103">
        <f t="shared" si="24"/>
        <v>1</v>
      </c>
      <c r="AN103">
        <f t="shared" si="35"/>
        <v>1</v>
      </c>
      <c r="AO103" s="29">
        <f t="shared" si="28"/>
        <v>-5.5200527929770502E-4</v>
      </c>
      <c r="AP103" s="29">
        <f t="shared" si="29"/>
        <v>5.4020492889947699E-3</v>
      </c>
      <c r="AQ103" s="29">
        <f t="shared" si="36"/>
        <v>4.8500440096970647E-3</v>
      </c>
      <c r="AR103" s="30">
        <f t="shared" si="37"/>
        <v>2.6079259986104837E-2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1</v>
      </c>
      <c r="AY103">
        <f t="shared" si="39"/>
        <v>0</v>
      </c>
      <c r="AZ103" s="29">
        <f t="shared" si="32"/>
        <v>0</v>
      </c>
      <c r="BA103" s="29">
        <f t="shared" si="33"/>
        <v>0</v>
      </c>
      <c r="BB103" s="29">
        <f t="shared" si="40"/>
        <v>0</v>
      </c>
      <c r="BC103" s="30">
        <f t="shared" si="41"/>
        <v>2.605399151548099E-2</v>
      </c>
      <c r="BE103" s="30">
        <f t="shared" si="42"/>
        <v>4.8500440096970647E-3</v>
      </c>
      <c r="BF103" s="30">
        <f t="shared" si="43"/>
        <v>5.2133251501585827E-2</v>
      </c>
      <c r="BH103" s="30"/>
    </row>
    <row r="104" spans="1:60" x14ac:dyDescent="0.25">
      <c r="A104" s="1">
        <v>46174</v>
      </c>
      <c r="B104" s="34">
        <v>229.91</v>
      </c>
      <c r="C104" s="34">
        <v>280</v>
      </c>
      <c r="D104" s="16">
        <v>-2.37681759293723E-2</v>
      </c>
      <c r="E104" s="16">
        <v>-2.81708769666963E-2</v>
      </c>
      <c r="F104" s="34">
        <v>0</v>
      </c>
      <c r="G104" s="34">
        <v>0.15132499999999999</v>
      </c>
      <c r="H104" s="34">
        <v>0</v>
      </c>
      <c r="I104" s="34">
        <v>0.11178100000000001</v>
      </c>
      <c r="J104" s="34">
        <v>0.15132499999999999</v>
      </c>
      <c r="K104" s="34">
        <v>0.11178100000000001</v>
      </c>
      <c r="L104" s="34">
        <v>230.06132500000001</v>
      </c>
      <c r="M104" s="34">
        <v>280.11178100000001</v>
      </c>
      <c r="N104" s="35">
        <v>1.2178678613370399</v>
      </c>
      <c r="O104" s="35">
        <v>1.1658179450689301</v>
      </c>
      <c r="P104" s="35">
        <v>1.20596028373847</v>
      </c>
      <c r="Q104" s="35">
        <v>1.19932742461174</v>
      </c>
      <c r="R104" s="34">
        <v>268.03320375079898</v>
      </c>
      <c r="S104" s="34">
        <v>276.85322191665301</v>
      </c>
      <c r="T104" s="34">
        <v>275.36804290465</v>
      </c>
      <c r="U104" s="16">
        <v>-4.3678735740160402E-2</v>
      </c>
      <c r="V104" s="16">
        <v>-1.13021221978885E-2</v>
      </c>
      <c r="W104" s="16">
        <v>-1.6681062443413101E-2</v>
      </c>
      <c r="X104" s="35">
        <v>1.21755267209732</v>
      </c>
      <c r="Y104" s="35">
        <v>1.1654134458566101</v>
      </c>
      <c r="Z104" s="35">
        <v>1.2056491729041701</v>
      </c>
      <c r="AA104" s="35">
        <v>1.19901705042024</v>
      </c>
      <c r="AB104" s="34">
        <v>268.11656152658799</v>
      </c>
      <c r="AC104" s="34">
        <v>276.96373337963797</v>
      </c>
      <c r="AD104" s="34">
        <v>275.47791284315002</v>
      </c>
      <c r="AE104" s="16">
        <v>-4.3766924335032098E-2</v>
      </c>
      <c r="AF104" s="16">
        <v>-1.1302170171719099E-2</v>
      </c>
      <c r="AG104" s="16">
        <v>-1.66812871492929E-2</v>
      </c>
      <c r="AI104" s="12"/>
      <c r="AJ104">
        <f t="shared" si="26"/>
        <v>0</v>
      </c>
      <c r="AK104">
        <f t="shared" si="27"/>
        <v>0</v>
      </c>
      <c r="AL104">
        <f t="shared" si="34"/>
        <v>1</v>
      </c>
      <c r="AM104">
        <f t="shared" si="24"/>
        <v>1</v>
      </c>
      <c r="AN104">
        <f t="shared" si="35"/>
        <v>1</v>
      </c>
      <c r="AO104" s="29">
        <f t="shared" si="28"/>
        <v>-2.37681759293723E-2</v>
      </c>
      <c r="AP104" s="29">
        <f t="shared" si="29"/>
        <v>2.81708769666963E-2</v>
      </c>
      <c r="AQ104" s="29">
        <f t="shared" si="36"/>
        <v>4.402701037324E-3</v>
      </c>
      <c r="AR104" s="30">
        <f t="shared" si="37"/>
        <v>3.0481961023428837E-2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9">
        <f t="shared" si="32"/>
        <v>0</v>
      </c>
      <c r="BA104" s="29">
        <f t="shared" si="33"/>
        <v>0</v>
      </c>
      <c r="BB104" s="29">
        <f t="shared" si="40"/>
        <v>0</v>
      </c>
      <c r="BC104" s="30">
        <f t="shared" si="41"/>
        <v>2.605399151548099E-2</v>
      </c>
      <c r="BE104" s="30">
        <f t="shared" si="42"/>
        <v>4.402701037324E-3</v>
      </c>
      <c r="BF104" s="30">
        <f t="shared" si="43"/>
        <v>5.6535952538909827E-2</v>
      </c>
      <c r="BH104" s="30"/>
    </row>
    <row r="105" spans="1:60" x14ac:dyDescent="0.25">
      <c r="A105" s="1">
        <v>46175</v>
      </c>
      <c r="B105" s="34">
        <v>228.33</v>
      </c>
      <c r="C105" s="34">
        <v>279.27999999999997</v>
      </c>
      <c r="D105" s="16">
        <v>-6.8959770484351103E-3</v>
      </c>
      <c r="E105" s="16">
        <v>-2.5747403724691101E-3</v>
      </c>
      <c r="F105" s="34">
        <v>0</v>
      </c>
      <c r="G105" s="34">
        <v>0.15132499999999999</v>
      </c>
      <c r="H105" s="34">
        <v>0</v>
      </c>
      <c r="I105" s="34">
        <v>0.11178100000000001</v>
      </c>
      <c r="J105" s="34">
        <v>0.15132499999999999</v>
      </c>
      <c r="K105" s="34">
        <v>0.11178100000000001</v>
      </c>
      <c r="L105" s="34">
        <v>228.481325</v>
      </c>
      <c r="M105" s="34">
        <v>279.39178099999998</v>
      </c>
      <c r="N105" s="35">
        <v>1.223141943678</v>
      </c>
      <c r="O105" s="35">
        <v>1.1658179450689301</v>
      </c>
      <c r="P105" s="35">
        <v>1.2087585175196101</v>
      </c>
      <c r="Q105" s="35">
        <v>1.2010551372017899</v>
      </c>
      <c r="R105" s="34">
        <v>266.19121139759</v>
      </c>
      <c r="S105" s="34">
        <v>275.35691158600599</v>
      </c>
      <c r="T105" s="34">
        <v>273.84243086159802</v>
      </c>
      <c r="U105" s="16">
        <v>-4.7999972416126198E-2</v>
      </c>
      <c r="V105" s="16">
        <v>-1.41467463101397E-2</v>
      </c>
      <c r="W105" s="16">
        <v>-1.96619916729758E-2</v>
      </c>
      <c r="X105" s="35">
        <v>1.22282108176674</v>
      </c>
      <c r="Y105" s="35">
        <v>1.1654134458566101</v>
      </c>
      <c r="Z105" s="35">
        <v>1.2084466645871399</v>
      </c>
      <c r="AA105" s="35">
        <v>1.2007445912341701</v>
      </c>
      <c r="AB105" s="34">
        <v>266.27520828213397</v>
      </c>
      <c r="AC105" s="34">
        <v>275.46832051029901</v>
      </c>
      <c r="AD105" s="34">
        <v>273.95300437760898</v>
      </c>
      <c r="AE105" s="16">
        <v>-4.8084638247374203E-2</v>
      </c>
      <c r="AF105" s="16">
        <v>-1.41423968752725E-2</v>
      </c>
      <c r="AG105" s="16">
        <v>-1.96584549758392E-2</v>
      </c>
      <c r="AI105" s="12"/>
      <c r="AJ105">
        <f t="shared" si="26"/>
        <v>0</v>
      </c>
      <c r="AK105">
        <f t="shared" si="27"/>
        <v>0</v>
      </c>
      <c r="AL105">
        <f t="shared" si="34"/>
        <v>1</v>
      </c>
      <c r="AM105">
        <f t="shared" si="24"/>
        <v>1</v>
      </c>
      <c r="AN105">
        <f t="shared" si="35"/>
        <v>1</v>
      </c>
      <c r="AO105" s="29">
        <f t="shared" si="28"/>
        <v>-6.8959770484351103E-3</v>
      </c>
      <c r="AP105" s="29">
        <f t="shared" si="29"/>
        <v>2.5747403724691101E-3</v>
      </c>
      <c r="AQ105" s="29">
        <f t="shared" si="36"/>
        <v>-4.3212366759660002E-3</v>
      </c>
      <c r="AR105" s="30">
        <f t="shared" si="37"/>
        <v>2.6160724347462836E-2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9">
        <f t="shared" si="32"/>
        <v>0</v>
      </c>
      <c r="BA105" s="29">
        <f t="shared" si="33"/>
        <v>0</v>
      </c>
      <c r="BB105" s="29">
        <f t="shared" si="40"/>
        <v>0</v>
      </c>
      <c r="BC105" s="30">
        <f t="shared" si="41"/>
        <v>2.605399151548099E-2</v>
      </c>
      <c r="BE105" s="30">
        <f t="shared" si="42"/>
        <v>-4.3212366759660002E-3</v>
      </c>
      <c r="BF105" s="30">
        <f t="shared" si="43"/>
        <v>5.2214715862943829E-2</v>
      </c>
      <c r="BH105" s="30"/>
    </row>
    <row r="106" spans="1:60" x14ac:dyDescent="0.25">
      <c r="A106" s="1">
        <v>46176</v>
      </c>
      <c r="B106" s="34">
        <v>224.89</v>
      </c>
      <c r="C106" s="34">
        <v>273.45999999999998</v>
      </c>
      <c r="D106" s="16">
        <v>-1.5180557177016E-2</v>
      </c>
      <c r="E106" s="16">
        <v>-2.10595039158449E-2</v>
      </c>
      <c r="F106" s="34">
        <v>0</v>
      </c>
      <c r="G106" s="34">
        <v>0.15132499999999999</v>
      </c>
      <c r="H106" s="34">
        <v>0</v>
      </c>
      <c r="I106" s="34">
        <v>0.11178100000000001</v>
      </c>
      <c r="J106" s="34">
        <v>0.15132499999999999</v>
      </c>
      <c r="K106" s="34">
        <v>0.11178100000000001</v>
      </c>
      <c r="L106" s="34">
        <v>225.041325</v>
      </c>
      <c r="M106" s="34">
        <v>273.57178099999999</v>
      </c>
      <c r="N106" s="35">
        <v>1.21597225310151</v>
      </c>
      <c r="O106" s="35">
        <v>1.1658179450689301</v>
      </c>
      <c r="P106" s="35">
        <v>1.21151184396571</v>
      </c>
      <c r="Q106" s="35">
        <v>1.2026022292179599</v>
      </c>
      <c r="R106" s="34">
        <v>262.180797666552</v>
      </c>
      <c r="S106" s="34">
        <v>271.837703004986</v>
      </c>
      <c r="T106" s="34">
        <v>270.10528980531001</v>
      </c>
      <c r="U106" s="16">
        <v>-4.2121025677297398E-2</v>
      </c>
      <c r="V106" s="16">
        <v>-5.9501507980939897E-3</v>
      </c>
      <c r="W106" s="16">
        <v>-1.2343513656183301E-2</v>
      </c>
      <c r="X106" s="35">
        <v>1.2156513075987201</v>
      </c>
      <c r="Y106" s="35">
        <v>1.1654134458566101</v>
      </c>
      <c r="Z106" s="35">
        <v>1.2111990490975899</v>
      </c>
      <c r="AA106" s="35">
        <v>1.20229130582301</v>
      </c>
      <c r="AB106" s="34">
        <v>262.26618602838801</v>
      </c>
      <c r="AC106" s="34">
        <v>271.95043859051998</v>
      </c>
      <c r="AD106" s="34">
        <v>270.21715379792101</v>
      </c>
      <c r="AE106" s="16">
        <v>-4.2204075596113298E-2</v>
      </c>
      <c r="AF106" s="16">
        <v>-5.9442021799726097E-3</v>
      </c>
      <c r="AG106" s="16">
        <v>-1.23381317397243E-2</v>
      </c>
      <c r="AI106" s="12"/>
      <c r="AJ106">
        <f t="shared" si="26"/>
        <v>0</v>
      </c>
      <c r="AK106">
        <f t="shared" si="27"/>
        <v>0</v>
      </c>
      <c r="AL106">
        <f t="shared" si="34"/>
        <v>1</v>
      </c>
      <c r="AM106">
        <f t="shared" si="24"/>
        <v>1</v>
      </c>
      <c r="AN106">
        <f t="shared" si="35"/>
        <v>1</v>
      </c>
      <c r="AO106" s="29">
        <f t="shared" si="28"/>
        <v>-1.5180557177016E-2</v>
      </c>
      <c r="AP106" s="29">
        <f t="shared" si="29"/>
        <v>2.10595039158449E-2</v>
      </c>
      <c r="AQ106" s="29">
        <f t="shared" si="36"/>
        <v>5.8789467388289003E-3</v>
      </c>
      <c r="AR106" s="30">
        <f t="shared" si="37"/>
        <v>3.2039671086291736E-2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9">
        <f t="shared" si="32"/>
        <v>0</v>
      </c>
      <c r="BA106" s="29">
        <f t="shared" si="33"/>
        <v>0</v>
      </c>
      <c r="BB106" s="29">
        <f t="shared" si="40"/>
        <v>0</v>
      </c>
      <c r="BC106" s="30">
        <f t="shared" si="41"/>
        <v>2.605399151548099E-2</v>
      </c>
      <c r="BE106" s="30">
        <f t="shared" si="42"/>
        <v>5.8789467388289003E-3</v>
      </c>
      <c r="BF106" s="30">
        <f t="shared" si="43"/>
        <v>5.8093662601772733E-2</v>
      </c>
      <c r="BH106" s="30"/>
    </row>
    <row r="107" spans="1:60" x14ac:dyDescent="0.25">
      <c r="A107" s="1">
        <v>46177</v>
      </c>
      <c r="B107" s="34">
        <v>231.57</v>
      </c>
      <c r="C107" s="34">
        <v>280.42</v>
      </c>
      <c r="D107" s="16">
        <v>2.9270809859478102E-2</v>
      </c>
      <c r="E107" s="16">
        <v>2.5133120412050101E-2</v>
      </c>
      <c r="F107" s="34">
        <v>0</v>
      </c>
      <c r="G107" s="34">
        <v>0.15132499999999999</v>
      </c>
      <c r="H107" s="34">
        <v>0</v>
      </c>
      <c r="I107" s="34">
        <v>0.11178100000000001</v>
      </c>
      <c r="J107" s="34">
        <v>0.15132499999999999</v>
      </c>
      <c r="K107" s="34">
        <v>0.11178100000000001</v>
      </c>
      <c r="L107" s="34">
        <v>231.72132500000001</v>
      </c>
      <c r="M107" s="34">
        <v>280.53178100000002</v>
      </c>
      <c r="N107" s="35">
        <v>1.2109513322105601</v>
      </c>
      <c r="O107" s="35">
        <v>1.1658179450689301</v>
      </c>
      <c r="P107" s="35">
        <v>1.2132501158467499</v>
      </c>
      <c r="Q107" s="35">
        <v>1.20333867775491</v>
      </c>
      <c r="R107" s="34">
        <v>269.96846153961297</v>
      </c>
      <c r="S107" s="34">
        <v>280.54979770714101</v>
      </c>
      <c r="T107" s="34">
        <v>278.486598220004</v>
      </c>
      <c r="U107" s="16">
        <v>-3.7983336229869102E-2</v>
      </c>
      <c r="V107" s="16">
        <v>4.6276184560361801E-4</v>
      </c>
      <c r="W107" s="16">
        <v>-6.9185423761371299E-3</v>
      </c>
      <c r="X107" s="35">
        <v>1.2106429177375</v>
      </c>
      <c r="Y107" s="35">
        <v>1.1654134458566101</v>
      </c>
      <c r="Z107" s="35">
        <v>1.21293728800028</v>
      </c>
      <c r="AA107" s="35">
        <v>1.2030278180345899</v>
      </c>
      <c r="AB107" s="34">
        <v>270.05114784671002</v>
      </c>
      <c r="AC107" s="34">
        <v>280.66064849563401</v>
      </c>
      <c r="AD107" s="34">
        <v>278.59653442128803</v>
      </c>
      <c r="AE107" s="16">
        <v>-3.8075642265571703E-2</v>
      </c>
      <c r="AF107" s="16">
        <v>4.5926313729871001E-4</v>
      </c>
      <c r="AG107" s="16">
        <v>-6.9223977872276904E-3</v>
      </c>
      <c r="AI107" s="12"/>
      <c r="AJ107">
        <f t="shared" si="26"/>
        <v>0</v>
      </c>
      <c r="AK107">
        <f t="shared" si="27"/>
        <v>0</v>
      </c>
      <c r="AL107">
        <f t="shared" si="34"/>
        <v>1</v>
      </c>
      <c r="AM107">
        <f t="shared" si="24"/>
        <v>1</v>
      </c>
      <c r="AN107">
        <f t="shared" si="35"/>
        <v>1</v>
      </c>
      <c r="AO107" s="29">
        <f t="shared" si="28"/>
        <v>2.9270809859478102E-2</v>
      </c>
      <c r="AP107" s="29">
        <f t="shared" si="29"/>
        <v>-2.5133120412050101E-2</v>
      </c>
      <c r="AQ107" s="29">
        <f t="shared" si="36"/>
        <v>4.1376894474280008E-3</v>
      </c>
      <c r="AR107" s="30">
        <f t="shared" si="37"/>
        <v>3.6177360533719741E-2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9">
        <f t="shared" si="32"/>
        <v>0</v>
      </c>
      <c r="BA107" s="29">
        <f t="shared" si="33"/>
        <v>0</v>
      </c>
      <c r="BB107" s="29">
        <f t="shared" si="40"/>
        <v>0</v>
      </c>
      <c r="BC107" s="30">
        <f t="shared" si="41"/>
        <v>2.605399151548099E-2</v>
      </c>
      <c r="BE107" s="30">
        <f t="shared" si="42"/>
        <v>4.1376894474280008E-3</v>
      </c>
      <c r="BF107" s="30">
        <f t="shared" si="43"/>
        <v>6.223135204920073E-2</v>
      </c>
      <c r="BH107" s="30"/>
    </row>
    <row r="108" spans="1:60" x14ac:dyDescent="0.25">
      <c r="A108" s="1">
        <v>46178</v>
      </c>
      <c r="B108" s="34">
        <v>229.45</v>
      </c>
      <c r="C108" s="34">
        <v>272.57</v>
      </c>
      <c r="D108" s="16">
        <v>-9.1970627890297207E-3</v>
      </c>
      <c r="E108" s="16">
        <v>-2.8393017443948301E-2</v>
      </c>
      <c r="F108" s="34">
        <v>0</v>
      </c>
      <c r="G108" s="34">
        <v>0.15132499999999999</v>
      </c>
      <c r="H108" s="34">
        <v>0</v>
      </c>
      <c r="I108" s="34">
        <v>0.11178100000000001</v>
      </c>
      <c r="J108" s="34">
        <v>0.15132499999999999</v>
      </c>
      <c r="K108" s="34">
        <v>0.11178100000000001</v>
      </c>
      <c r="L108" s="34">
        <v>229.601325</v>
      </c>
      <c r="M108" s="34">
        <v>272.681781</v>
      </c>
      <c r="N108" s="35">
        <v>1.1879276530834599</v>
      </c>
      <c r="O108" s="35">
        <v>1.1658179450689301</v>
      </c>
      <c r="P108" s="35">
        <v>1.21267474313134</v>
      </c>
      <c r="Q108" s="35">
        <v>1.20369052308491</v>
      </c>
      <c r="R108" s="34">
        <v>267.49692749606697</v>
      </c>
      <c r="S108" s="34">
        <v>278.38023908103702</v>
      </c>
      <c r="T108" s="34">
        <v>276.10605961086401</v>
      </c>
      <c r="U108" s="16">
        <v>-1.8787381574950499E-2</v>
      </c>
      <c r="V108" s="16">
        <v>2.10924837796393E-2</v>
      </c>
      <c r="W108" s="16">
        <v>1.28896040061933E-2</v>
      </c>
      <c r="X108" s="35">
        <v>1.18763156527951</v>
      </c>
      <c r="Y108" s="35">
        <v>1.1654134458566101</v>
      </c>
      <c r="Z108" s="35">
        <v>1.2123631405512001</v>
      </c>
      <c r="AA108" s="35">
        <v>1.2033798856729501</v>
      </c>
      <c r="AB108" s="34">
        <v>267.58047134149399</v>
      </c>
      <c r="AC108" s="34">
        <v>278.49200846677201</v>
      </c>
      <c r="AD108" s="34">
        <v>276.21678103260098</v>
      </c>
      <c r="AE108" s="16">
        <v>-1.8885129397312499E-2</v>
      </c>
      <c r="AF108" s="16">
        <v>2.1083886104077899E-2</v>
      </c>
      <c r="AG108" s="16">
        <v>1.28805180069426E-2</v>
      </c>
      <c r="AI108" s="12"/>
      <c r="AJ108">
        <f t="shared" si="26"/>
        <v>0</v>
      </c>
      <c r="AK108">
        <f t="shared" si="27"/>
        <v>1</v>
      </c>
      <c r="AL108">
        <f t="shared" si="34"/>
        <v>1</v>
      </c>
      <c r="AM108">
        <f t="shared" si="24"/>
        <v>1</v>
      </c>
      <c r="AN108">
        <f t="shared" si="35"/>
        <v>1</v>
      </c>
      <c r="AO108" s="29">
        <f t="shared" si="28"/>
        <v>-9.1970627890297207E-3</v>
      </c>
      <c r="AP108" s="29">
        <f t="shared" si="29"/>
        <v>2.8393017443948301E-2</v>
      </c>
      <c r="AQ108" s="29">
        <f t="shared" si="36"/>
        <v>1.9195954654918579E-2</v>
      </c>
      <c r="AR108" s="30">
        <f t="shared" si="37"/>
        <v>5.537331518863832E-2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9">
        <f t="shared" si="32"/>
        <v>0</v>
      </c>
      <c r="BA108" s="29">
        <f t="shared" si="33"/>
        <v>0</v>
      </c>
      <c r="BB108" s="29">
        <f t="shared" si="40"/>
        <v>0</v>
      </c>
      <c r="BC108" s="30">
        <f t="shared" si="41"/>
        <v>2.605399151548099E-2</v>
      </c>
      <c r="BE108" s="30">
        <f t="shared" si="42"/>
        <v>1.9195954654918579E-2</v>
      </c>
      <c r="BF108" s="30">
        <f t="shared" si="43"/>
        <v>8.1427306704119309E-2</v>
      </c>
      <c r="BH108" s="30"/>
    </row>
    <row r="109" spans="1:60" x14ac:dyDescent="0.25">
      <c r="A109" s="1">
        <v>46181</v>
      </c>
      <c r="B109" s="34">
        <v>227.26</v>
      </c>
      <c r="C109" s="34">
        <v>271.11</v>
      </c>
      <c r="D109" s="16">
        <v>-9.5904043509794593E-3</v>
      </c>
      <c r="E109" s="16">
        <v>-5.3708192670629601E-3</v>
      </c>
      <c r="F109" s="34">
        <v>0</v>
      </c>
      <c r="G109" s="34">
        <v>0.15132499999999999</v>
      </c>
      <c r="H109" s="34">
        <v>0</v>
      </c>
      <c r="I109" s="34">
        <v>0.11178100000000001</v>
      </c>
      <c r="J109" s="34">
        <v>0.15132499999999999</v>
      </c>
      <c r="K109" s="34">
        <v>0.11178100000000001</v>
      </c>
      <c r="L109" s="34">
        <v>227.41132500000001</v>
      </c>
      <c r="M109" s="34">
        <v>271.22178100000002</v>
      </c>
      <c r="N109" s="35">
        <v>1.1929508052450899</v>
      </c>
      <c r="O109" s="35">
        <v>1.1658179450689301</v>
      </c>
      <c r="P109" s="35">
        <v>1.2116432495776699</v>
      </c>
      <c r="Q109" s="35">
        <v>1.2039618049016001</v>
      </c>
      <c r="R109" s="34">
        <v>264.94378619636598</v>
      </c>
      <c r="S109" s="34">
        <v>275.592462124029</v>
      </c>
      <c r="T109" s="34">
        <v>273.55070827627799</v>
      </c>
      <c r="U109" s="16">
        <v>-2.3006966658866802E-2</v>
      </c>
      <c r="V109" s="16">
        <v>1.63985453998538E-2</v>
      </c>
      <c r="W109" s="16">
        <v>8.9623671267696093E-3</v>
      </c>
      <c r="X109" s="35">
        <v>1.1926485235508799</v>
      </c>
      <c r="Y109" s="35">
        <v>1.1654134458566101</v>
      </c>
      <c r="Z109" s="35">
        <v>1.2113325924602301</v>
      </c>
      <c r="AA109" s="35">
        <v>1.20365123871252</v>
      </c>
      <c r="AB109" s="34">
        <v>265.028215895068</v>
      </c>
      <c r="AC109" s="34">
        <v>275.70510817390999</v>
      </c>
      <c r="AD109" s="34">
        <v>273.662214279235</v>
      </c>
      <c r="AE109" s="16">
        <v>-2.31005708692366E-2</v>
      </c>
      <c r="AF109" s="16">
        <v>1.63949796106234E-2</v>
      </c>
      <c r="AG109" s="16">
        <v>8.9576850072523306E-3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9">
        <f t="shared" si="28"/>
        <v>0</v>
      </c>
      <c r="AP109" s="29">
        <f t="shared" si="29"/>
        <v>0</v>
      </c>
      <c r="AQ109" s="29">
        <f t="shared" si="36"/>
        <v>0</v>
      </c>
      <c r="AR109" s="30">
        <f t="shared" si="37"/>
        <v>5.537331518863832E-2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9">
        <f t="shared" si="32"/>
        <v>0</v>
      </c>
      <c r="BA109" s="29">
        <f t="shared" si="33"/>
        <v>0</v>
      </c>
      <c r="BB109" s="29">
        <f t="shared" si="40"/>
        <v>0</v>
      </c>
      <c r="BC109" s="30">
        <f t="shared" si="41"/>
        <v>2.605399151548099E-2</v>
      </c>
      <c r="BE109" s="30">
        <f t="shared" si="42"/>
        <v>0</v>
      </c>
      <c r="BF109" s="30">
        <f t="shared" si="43"/>
        <v>8.1427306704119309E-2</v>
      </c>
      <c r="BH109" s="30"/>
    </row>
    <row r="110" spans="1:60" x14ac:dyDescent="0.25">
      <c r="A110" s="1">
        <v>46182</v>
      </c>
      <c r="B110" s="34">
        <v>230.45</v>
      </c>
      <c r="C110" s="34">
        <v>273.38</v>
      </c>
      <c r="D110" s="16">
        <v>1.39391826766543E-2</v>
      </c>
      <c r="E110" s="16">
        <v>8.3381261425326293E-3</v>
      </c>
      <c r="F110" s="34">
        <v>0</v>
      </c>
      <c r="G110" s="34">
        <v>0.15132499999999999</v>
      </c>
      <c r="H110" s="34">
        <v>0</v>
      </c>
      <c r="I110" s="34">
        <v>0.11178100000000001</v>
      </c>
      <c r="J110" s="34">
        <v>0.15132499999999999</v>
      </c>
      <c r="K110" s="34">
        <v>0.11178100000000001</v>
      </c>
      <c r="L110" s="34">
        <v>230.601325</v>
      </c>
      <c r="M110" s="34">
        <v>273.491781</v>
      </c>
      <c r="N110" s="35">
        <v>1.1862876979821999</v>
      </c>
      <c r="O110" s="35">
        <v>1.1658179450689301</v>
      </c>
      <c r="P110" s="35">
        <v>1.20976132174201</v>
      </c>
      <c r="Q110" s="35">
        <v>1.2036717825260499</v>
      </c>
      <c r="R110" s="34">
        <v>268.662745441136</v>
      </c>
      <c r="S110" s="34">
        <v>279.223186865174</v>
      </c>
      <c r="T110" s="34">
        <v>277.452997939574</v>
      </c>
      <c r="U110" s="16">
        <v>-1.7405910124745301E-2</v>
      </c>
      <c r="V110" s="16">
        <v>2.1148646226828299E-2</v>
      </c>
      <c r="W110" s="16">
        <v>1.4788773321788001E-2</v>
      </c>
      <c r="X110" s="35">
        <v>1.1859939703295199</v>
      </c>
      <c r="Y110" s="35">
        <v>1.1654134458566101</v>
      </c>
      <c r="Z110" s="35">
        <v>1.2094520275351199</v>
      </c>
      <c r="AA110" s="35">
        <v>1.20336170005618</v>
      </c>
      <c r="AB110" s="34">
        <v>268.74588478735001</v>
      </c>
      <c r="AC110" s="34">
        <v>279.33490083701503</v>
      </c>
      <c r="AD110" s="34">
        <v>277.56357048499802</v>
      </c>
      <c r="AE110" s="16">
        <v>-1.7505303316713801E-2</v>
      </c>
      <c r="AF110" s="16">
        <v>2.1139853164397999E-2</v>
      </c>
      <c r="AG110" s="16">
        <v>1.4778419557658099E-2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9">
        <f t="shared" si="28"/>
        <v>0</v>
      </c>
      <c r="AP110" s="29">
        <f t="shared" si="29"/>
        <v>0</v>
      </c>
      <c r="AQ110" s="29">
        <f t="shared" si="36"/>
        <v>0</v>
      </c>
      <c r="AR110" s="30">
        <f t="shared" si="37"/>
        <v>5.537331518863832E-2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9">
        <f t="shared" si="32"/>
        <v>0</v>
      </c>
      <c r="BA110" s="29">
        <f t="shared" si="33"/>
        <v>0</v>
      </c>
      <c r="BB110" s="29">
        <f t="shared" si="40"/>
        <v>0</v>
      </c>
      <c r="BC110" s="30">
        <f t="shared" si="41"/>
        <v>2.605399151548099E-2</v>
      </c>
      <c r="BE110" s="30">
        <f t="shared" si="42"/>
        <v>0</v>
      </c>
      <c r="BF110" s="30">
        <f t="shared" si="43"/>
        <v>8.1427306704119309E-2</v>
      </c>
      <c r="BH110" s="30"/>
    </row>
    <row r="111" spans="1:60" x14ac:dyDescent="0.25">
      <c r="A111" s="1">
        <v>46183</v>
      </c>
      <c r="B111" s="34">
        <v>224.87</v>
      </c>
      <c r="C111" s="34">
        <v>266.73</v>
      </c>
      <c r="D111" s="16">
        <v>-2.4511461717775601E-2</v>
      </c>
      <c r="E111" s="16">
        <v>-2.4625857923349499E-2</v>
      </c>
      <c r="F111" s="34">
        <v>0</v>
      </c>
      <c r="G111" s="34">
        <v>0.15132499999999999</v>
      </c>
      <c r="H111" s="34">
        <v>0</v>
      </c>
      <c r="I111" s="34">
        <v>0.11178100000000001</v>
      </c>
      <c r="J111" s="34">
        <v>0.15132499999999999</v>
      </c>
      <c r="K111" s="34">
        <v>0.11178100000000001</v>
      </c>
      <c r="L111" s="34">
        <v>225.02132499999999</v>
      </c>
      <c r="M111" s="34">
        <v>266.84178100000003</v>
      </c>
      <c r="N111" s="35">
        <v>1.1861519989327101</v>
      </c>
      <c r="O111" s="35">
        <v>1.1658179450689301</v>
      </c>
      <c r="P111" s="35">
        <v>1.20736819119446</v>
      </c>
      <c r="Q111" s="35">
        <v>1.2034337060895299</v>
      </c>
      <c r="R111" s="34">
        <v>262.15748130765098</v>
      </c>
      <c r="S111" s="34">
        <v>272.03902842012502</v>
      </c>
      <c r="T111" s="34">
        <v>270.66967373663402</v>
      </c>
      <c r="U111" s="16">
        <v>-1.7291513919171501E-2</v>
      </c>
      <c r="V111" s="16">
        <v>1.9708632040286399E-2</v>
      </c>
      <c r="W111" s="16">
        <v>1.46622504951097E-2</v>
      </c>
      <c r="X111" s="35">
        <v>1.1858510787810801</v>
      </c>
      <c r="Y111" s="35">
        <v>1.1654134458566101</v>
      </c>
      <c r="Z111" s="35">
        <v>1.20705973522702</v>
      </c>
      <c r="AA111" s="35">
        <v>1.20312374866544</v>
      </c>
      <c r="AB111" s="34">
        <v>262.24287775946999</v>
      </c>
      <c r="AC111" s="34">
        <v>272.152497759889</v>
      </c>
      <c r="AD111" s="34">
        <v>270.78204420089401</v>
      </c>
      <c r="AE111" s="16">
        <v>-1.7384813532892202E-2</v>
      </c>
      <c r="AF111" s="16">
        <v>1.9706660486858499E-2</v>
      </c>
      <c r="AG111" s="16">
        <v>1.4658330113114701E-2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9">
        <f t="shared" si="28"/>
        <v>0</v>
      </c>
      <c r="AP111" s="29">
        <f t="shared" si="29"/>
        <v>0</v>
      </c>
      <c r="AQ111" s="29">
        <f t="shared" si="36"/>
        <v>0</v>
      </c>
      <c r="AR111" s="30">
        <f t="shared" si="37"/>
        <v>5.537331518863832E-2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9">
        <f t="shared" si="32"/>
        <v>0</v>
      </c>
      <c r="BA111" s="29">
        <f t="shared" si="33"/>
        <v>0</v>
      </c>
      <c r="BB111" s="29">
        <f t="shared" si="40"/>
        <v>0</v>
      </c>
      <c r="BC111" s="30">
        <f t="shared" si="41"/>
        <v>2.605399151548099E-2</v>
      </c>
      <c r="BE111" s="30">
        <f t="shared" si="42"/>
        <v>0</v>
      </c>
      <c r="BF111" s="30">
        <f t="shared" si="43"/>
        <v>8.1427306704119309E-2</v>
      </c>
      <c r="BH111" s="30"/>
    </row>
    <row r="112" spans="1:60" x14ac:dyDescent="0.25">
      <c r="A112" s="1">
        <v>46184</v>
      </c>
      <c r="B112" s="34">
        <v>236.04</v>
      </c>
      <c r="C112" s="34">
        <v>284.39</v>
      </c>
      <c r="D112" s="16">
        <v>4.8478824740226301E-2</v>
      </c>
      <c r="E112" s="16">
        <v>6.4109624765717299E-2</v>
      </c>
      <c r="F112" s="34">
        <v>0</v>
      </c>
      <c r="G112" s="34">
        <v>0.15132499999999999</v>
      </c>
      <c r="H112" s="34">
        <v>0</v>
      </c>
      <c r="I112" s="34">
        <v>0.11178100000000001</v>
      </c>
      <c r="J112" s="34">
        <v>0.15132499999999999</v>
      </c>
      <c r="K112" s="34">
        <v>0.11178100000000001</v>
      </c>
      <c r="L112" s="34">
        <v>236.19132500000001</v>
      </c>
      <c r="M112" s="34">
        <v>284.50178099999999</v>
      </c>
      <c r="N112" s="35">
        <v>1.2048381630232099</v>
      </c>
      <c r="O112" s="35">
        <v>1.1658179450689301</v>
      </c>
      <c r="P112" s="35">
        <v>1.2049331298807799</v>
      </c>
      <c r="Q112" s="35">
        <v>1.2038399844502501</v>
      </c>
      <c r="R112" s="34">
        <v>275.17966775407098</v>
      </c>
      <c r="S112" s="34">
        <v>284.98718784954099</v>
      </c>
      <c r="T112" s="34">
        <v>284.058491985373</v>
      </c>
      <c r="U112" s="16">
        <v>-3.2922313944662399E-2</v>
      </c>
      <c r="V112" s="16">
        <v>2.09768877738228E-3</v>
      </c>
      <c r="W112" s="16">
        <v>-1.1663609170648201E-3</v>
      </c>
      <c r="X112" s="35">
        <v>1.2045395020329299</v>
      </c>
      <c r="Y112" s="35">
        <v>1.1654134458566101</v>
      </c>
      <c r="Z112" s="35">
        <v>1.2046262966885399</v>
      </c>
      <c r="AA112" s="35">
        <v>1.2035304378017999</v>
      </c>
      <c r="AB112" s="34">
        <v>275.260545949689</v>
      </c>
      <c r="AC112" s="34">
        <v>285.09703821741903</v>
      </c>
      <c r="AD112" s="34">
        <v>284.16739233625799</v>
      </c>
      <c r="AE112" s="16">
        <v>-3.3021424706433697E-2</v>
      </c>
      <c r="AF112" s="16">
        <v>2.0900936379600202E-3</v>
      </c>
      <c r="AG112" s="16">
        <v>-1.17603948995381E-3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9">
        <f t="shared" si="28"/>
        <v>0</v>
      </c>
      <c r="AP112" s="29">
        <f t="shared" si="29"/>
        <v>0</v>
      </c>
      <c r="AQ112" s="29">
        <f t="shared" si="36"/>
        <v>0</v>
      </c>
      <c r="AR112" s="30">
        <f t="shared" si="37"/>
        <v>5.537331518863832E-2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9">
        <f t="shared" si="32"/>
        <v>0</v>
      </c>
      <c r="BA112" s="29">
        <f t="shared" si="33"/>
        <v>0</v>
      </c>
      <c r="BB112" s="29">
        <f t="shared" si="40"/>
        <v>0</v>
      </c>
      <c r="BC112" s="30">
        <f t="shared" si="41"/>
        <v>2.605399151548099E-2</v>
      </c>
      <c r="BE112" s="30">
        <f t="shared" si="42"/>
        <v>0</v>
      </c>
      <c r="BF112" s="30">
        <f t="shared" si="43"/>
        <v>8.1427306704119309E-2</v>
      </c>
      <c r="BH112" s="30"/>
    </row>
    <row r="113" spans="1:60" x14ac:dyDescent="0.25">
      <c r="A113" s="1">
        <v>46185</v>
      </c>
      <c r="B113" s="34">
        <v>233.79</v>
      </c>
      <c r="C113" s="34">
        <v>279.97000000000003</v>
      </c>
      <c r="D113" s="16">
        <v>-9.57800566538871E-3</v>
      </c>
      <c r="E113" s="16">
        <v>-1.56640809949736E-2</v>
      </c>
      <c r="F113" s="34">
        <v>0</v>
      </c>
      <c r="G113" s="34">
        <v>0.15132499999999999</v>
      </c>
      <c r="H113" s="34">
        <v>0</v>
      </c>
      <c r="I113" s="34">
        <v>0.11178100000000001</v>
      </c>
      <c r="J113" s="34">
        <v>0.15132499999999999</v>
      </c>
      <c r="K113" s="34">
        <v>0.11178100000000001</v>
      </c>
      <c r="L113" s="34">
        <v>233.94132500000001</v>
      </c>
      <c r="M113" s="34">
        <v>280.08178099999998</v>
      </c>
      <c r="N113" s="35">
        <v>1.19752769579537</v>
      </c>
      <c r="O113" s="35">
        <v>1.1658179450689301</v>
      </c>
      <c r="P113" s="35">
        <v>1.20236174043892</v>
      </c>
      <c r="Q113" s="35">
        <v>1.20327130107643</v>
      </c>
      <c r="R113" s="34">
        <v>272.55657737766597</v>
      </c>
      <c r="S113" s="34">
        <v>281.70131643482898</v>
      </c>
      <c r="T113" s="34">
        <v>281.44574996462501</v>
      </c>
      <c r="U113" s="16">
        <v>-2.6836238615077501E-2</v>
      </c>
      <c r="V113" s="16">
        <v>6.1648934795913001E-3</v>
      </c>
      <c r="W113" s="16">
        <v>5.25725672536617E-3</v>
      </c>
      <c r="X113" s="35">
        <v>1.19723089112195</v>
      </c>
      <c r="Y113" s="35">
        <v>1.1654134458566101</v>
      </c>
      <c r="Z113" s="35">
        <v>1.2020563510296101</v>
      </c>
      <c r="AA113" s="35">
        <v>1.2029627540008601</v>
      </c>
      <c r="AB113" s="34">
        <v>272.63836569651102</v>
      </c>
      <c r="AC113" s="34">
        <v>281.81187197716201</v>
      </c>
      <c r="AD113" s="34">
        <v>281.555505297183</v>
      </c>
      <c r="AE113" s="16">
        <v>-2.6935386264985602E-2</v>
      </c>
      <c r="AF113" s="16">
        <v>6.1580921421049099E-3</v>
      </c>
      <c r="AG113" s="16">
        <v>5.2479695186924804E-3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0</v>
      </c>
      <c r="AN113">
        <f t="shared" si="35"/>
        <v>0</v>
      </c>
      <c r="AO113" s="29">
        <f t="shared" si="28"/>
        <v>0</v>
      </c>
      <c r="AP113" s="29">
        <f t="shared" si="29"/>
        <v>0</v>
      </c>
      <c r="AQ113" s="29">
        <f t="shared" si="36"/>
        <v>0</v>
      </c>
      <c r="AR113" s="30">
        <f t="shared" si="37"/>
        <v>5.537331518863832E-2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0</v>
      </c>
      <c r="AY113">
        <f t="shared" si="39"/>
        <v>0</v>
      </c>
      <c r="AZ113" s="29">
        <f t="shared" si="32"/>
        <v>0</v>
      </c>
      <c r="BA113" s="29">
        <f t="shared" si="33"/>
        <v>0</v>
      </c>
      <c r="BB113" s="29">
        <f t="shared" si="40"/>
        <v>0</v>
      </c>
      <c r="BC113" s="30">
        <f t="shared" si="41"/>
        <v>2.605399151548099E-2</v>
      </c>
      <c r="BE113" s="30">
        <f t="shared" si="42"/>
        <v>0</v>
      </c>
      <c r="BF113" s="30">
        <f t="shared" si="43"/>
        <v>8.1427306704119309E-2</v>
      </c>
      <c r="BH113" s="30"/>
    </row>
    <row r="114" spans="1:60" x14ac:dyDescent="0.25">
      <c r="A114" s="1">
        <v>46188</v>
      </c>
      <c r="B114" s="34">
        <v>237.4</v>
      </c>
      <c r="C114" s="34">
        <v>282.79000000000002</v>
      </c>
      <c r="D114" s="16">
        <v>1.53232056519883E-2</v>
      </c>
      <c r="E114" s="16">
        <v>1.00221181463881E-2</v>
      </c>
      <c r="F114" s="34">
        <v>0.16358</v>
      </c>
      <c r="G114" s="34">
        <v>0.31490499999999999</v>
      </c>
      <c r="H114" s="34">
        <v>0</v>
      </c>
      <c r="I114" s="34">
        <v>0.11178100000000001</v>
      </c>
      <c r="J114" s="34">
        <v>0.31490499999999999</v>
      </c>
      <c r="K114" s="34">
        <v>0.11178100000000001</v>
      </c>
      <c r="L114" s="34">
        <v>237.71490499999999</v>
      </c>
      <c r="M114" s="34">
        <v>282.90178100000003</v>
      </c>
      <c r="N114" s="35">
        <v>1.19119629317607</v>
      </c>
      <c r="O114" s="35">
        <v>1.1658179450689301</v>
      </c>
      <c r="P114" s="35">
        <v>1.1996945836228201</v>
      </c>
      <c r="Q114" s="35">
        <v>1.2028274336806399</v>
      </c>
      <c r="R114" s="34">
        <v>276.765180159365</v>
      </c>
      <c r="S114" s="34">
        <v>285.44067718019897</v>
      </c>
      <c r="T114" s="34">
        <v>285.65660687554498</v>
      </c>
      <c r="U114" s="16">
        <v>-2.1535151109477201E-2</v>
      </c>
      <c r="V114" s="16">
        <v>9.3296490787518303E-3</v>
      </c>
      <c r="W114" s="16">
        <v>1.0085841453198199E-2</v>
      </c>
      <c r="X114" s="35">
        <v>1.19008852642201</v>
      </c>
      <c r="Y114" s="35">
        <v>1.1654134458566101</v>
      </c>
      <c r="Z114" s="35">
        <v>1.1993099364620801</v>
      </c>
      <c r="AA114" s="35">
        <v>1.2024795546831299</v>
      </c>
      <c r="AB114" s="34">
        <v>277.036146567527</v>
      </c>
      <c r="AC114" s="34">
        <v>285.74671128965201</v>
      </c>
      <c r="AD114" s="34">
        <v>285.96217678585401</v>
      </c>
      <c r="AE114" s="16">
        <v>-2.0951783101056699E-2</v>
      </c>
      <c r="AF114" s="16">
        <v>1.0006019762619899E-2</v>
      </c>
      <c r="AG114" s="16">
        <v>1.0759779275188799E-2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9">
        <f t="shared" si="28"/>
        <v>0</v>
      </c>
      <c r="AP114" s="29">
        <f t="shared" si="29"/>
        <v>0</v>
      </c>
      <c r="AQ114" s="29">
        <f t="shared" si="36"/>
        <v>0</v>
      </c>
      <c r="AR114" s="30">
        <f t="shared" si="37"/>
        <v>5.537331518863832E-2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9">
        <f t="shared" si="32"/>
        <v>0</v>
      </c>
      <c r="BA114" s="29">
        <f t="shared" si="33"/>
        <v>0</v>
      </c>
      <c r="BB114" s="29">
        <f t="shared" si="40"/>
        <v>0</v>
      </c>
      <c r="BC114" s="30">
        <f t="shared" si="41"/>
        <v>2.605399151548099E-2</v>
      </c>
      <c r="BE114" s="30">
        <f t="shared" si="42"/>
        <v>0</v>
      </c>
      <c r="BF114" s="30">
        <f t="shared" si="43"/>
        <v>8.1427306704119309E-2</v>
      </c>
      <c r="BH114" s="30"/>
    </row>
    <row r="115" spans="1:60" x14ac:dyDescent="0.25">
      <c r="A115" s="1">
        <v>46189</v>
      </c>
      <c r="B115" s="34">
        <v>239.52</v>
      </c>
      <c r="C115" s="34">
        <v>281.81</v>
      </c>
      <c r="D115" s="16">
        <v>8.8904384957506702E-3</v>
      </c>
      <c r="E115" s="16">
        <v>-3.4714877229308E-3</v>
      </c>
      <c r="F115" s="34">
        <v>0</v>
      </c>
      <c r="G115" s="34">
        <v>0.31490499999999999</v>
      </c>
      <c r="H115" s="34">
        <v>0</v>
      </c>
      <c r="I115" s="34">
        <v>0.11178100000000001</v>
      </c>
      <c r="J115" s="34">
        <v>0.31490499999999999</v>
      </c>
      <c r="K115" s="34">
        <v>0.11178100000000001</v>
      </c>
      <c r="L115" s="34">
        <v>239.83490499999999</v>
      </c>
      <c r="M115" s="34">
        <v>281.92178100000001</v>
      </c>
      <c r="N115" s="35">
        <v>1.17656145624582</v>
      </c>
      <c r="O115" s="35">
        <v>1.1658179450689301</v>
      </c>
      <c r="P115" s="35">
        <v>1.1950365348795999</v>
      </c>
      <c r="Q115" s="35">
        <v>1.2018975261996101</v>
      </c>
      <c r="R115" s="34">
        <v>279.236714202911</v>
      </c>
      <c r="S115" s="34">
        <v>287.35084666933801</v>
      </c>
      <c r="T115" s="34">
        <v>288.10122691518899</v>
      </c>
      <c r="U115" s="16">
        <v>-9.1732248907959498E-3</v>
      </c>
      <c r="V115" s="16">
        <v>1.94708464281718E-2</v>
      </c>
      <c r="W115" s="16">
        <v>2.2078815729545499E-2</v>
      </c>
      <c r="X115" s="35">
        <v>1.17548269714952</v>
      </c>
      <c r="Y115" s="35">
        <v>1.1654134458566101</v>
      </c>
      <c r="Z115" s="35">
        <v>1.1945760980003599</v>
      </c>
      <c r="AA115" s="35">
        <v>1.2015113812937499</v>
      </c>
      <c r="AB115" s="34">
        <v>279.50682307274298</v>
      </c>
      <c r="AC115" s="34">
        <v>287.63638467694102</v>
      </c>
      <c r="AD115" s="34">
        <v>288.39656976187098</v>
      </c>
      <c r="AE115" s="16">
        <v>-8.6029561163937594E-3</v>
      </c>
      <c r="AF115" s="16">
        <v>2.0067469116228101E-2</v>
      </c>
      <c r="AG115" s="16">
        <v>2.2706851187620801E-2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9">
        <f t="shared" si="28"/>
        <v>0</v>
      </c>
      <c r="AP115" s="29">
        <f t="shared" si="29"/>
        <v>0</v>
      </c>
      <c r="AQ115" s="29">
        <f t="shared" si="36"/>
        <v>0</v>
      </c>
      <c r="AR115" s="30">
        <f t="shared" si="37"/>
        <v>5.537331518863832E-2</v>
      </c>
      <c r="AT115" s="12"/>
      <c r="AU115">
        <f t="shared" si="30"/>
        <v>0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29">
        <f t="shared" si="32"/>
        <v>0</v>
      </c>
      <c r="BA115" s="29">
        <f t="shared" si="33"/>
        <v>0</v>
      </c>
      <c r="BB115" s="29">
        <f t="shared" si="40"/>
        <v>0</v>
      </c>
      <c r="BC115" s="30">
        <f t="shared" si="41"/>
        <v>2.605399151548099E-2</v>
      </c>
      <c r="BE115" s="30">
        <f t="shared" si="42"/>
        <v>0</v>
      </c>
      <c r="BF115" s="30">
        <f t="shared" si="43"/>
        <v>8.1427306704119309E-2</v>
      </c>
      <c r="BH115" s="30"/>
    </row>
    <row r="116" spans="1:60" x14ac:dyDescent="0.25">
      <c r="A116" s="1">
        <v>46190</v>
      </c>
      <c r="B116" s="34">
        <v>242.79</v>
      </c>
      <c r="C116" s="34">
        <v>285.58999999999997</v>
      </c>
      <c r="D116" s="16">
        <v>1.35599515044018E-2</v>
      </c>
      <c r="E116" s="16">
        <v>1.3324130851463899E-2</v>
      </c>
      <c r="F116" s="34">
        <v>0</v>
      </c>
      <c r="G116" s="34">
        <v>0.31490499999999999</v>
      </c>
      <c r="H116" s="34">
        <v>0</v>
      </c>
      <c r="I116" s="34">
        <v>0.11178100000000001</v>
      </c>
      <c r="J116" s="34">
        <v>0.31490499999999999</v>
      </c>
      <c r="K116" s="34">
        <v>0.11178100000000001</v>
      </c>
      <c r="L116" s="34">
        <v>243.104905</v>
      </c>
      <c r="M116" s="34">
        <v>285.70178099999998</v>
      </c>
      <c r="N116" s="35">
        <v>1.17628403146752</v>
      </c>
      <c r="O116" s="35">
        <v>1.1658179450689301</v>
      </c>
      <c r="P116" s="35">
        <v>1.1910677127161999</v>
      </c>
      <c r="Q116" s="35">
        <v>1.20128977834096</v>
      </c>
      <c r="R116" s="34">
        <v>283.04893888328598</v>
      </c>
      <c r="S116" s="34">
        <v>290.14292030341898</v>
      </c>
      <c r="T116" s="34">
        <v>291.80870038600301</v>
      </c>
      <c r="U116" s="16">
        <v>-8.9374042378579203E-3</v>
      </c>
      <c r="V116" s="16">
        <v>1.5816414366031602E-2</v>
      </c>
      <c r="W116" s="16">
        <v>2.1541236061944E-2</v>
      </c>
      <c r="X116" s="35">
        <v>1.1752201421028501</v>
      </c>
      <c r="Y116" s="35">
        <v>1.1654134458566101</v>
      </c>
      <c r="Z116" s="35">
        <v>1.1905329814507799</v>
      </c>
      <c r="AA116" s="35">
        <v>1.2008660152741799</v>
      </c>
      <c r="AB116" s="34">
        <v>283.31772504069397</v>
      </c>
      <c r="AC116" s="34">
        <v>290.40730881964998</v>
      </c>
      <c r="AD116" s="34">
        <v>292.09331020583699</v>
      </c>
      <c r="AE116" s="16">
        <v>-8.3795718218060596E-3</v>
      </c>
      <c r="AF116" s="16">
        <v>1.6335907716684101E-2</v>
      </c>
      <c r="AG116" s="16">
        <v>2.21247636917517E-2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9">
        <f t="shared" si="28"/>
        <v>0</v>
      </c>
      <c r="AP116" s="29">
        <f t="shared" si="29"/>
        <v>0</v>
      </c>
      <c r="AQ116" s="29">
        <f t="shared" si="36"/>
        <v>0</v>
      </c>
      <c r="AR116" s="30">
        <f t="shared" si="37"/>
        <v>5.537331518863832E-2</v>
      </c>
      <c r="AT116" s="12"/>
      <c r="AU116">
        <f t="shared" si="30"/>
        <v>0</v>
      </c>
      <c r="AV116">
        <f t="shared" si="31"/>
        <v>0</v>
      </c>
      <c r="AW116">
        <f t="shared" si="38"/>
        <v>0</v>
      </c>
      <c r="AX116">
        <f t="shared" si="25"/>
        <v>1</v>
      </c>
      <c r="AY116">
        <f t="shared" si="39"/>
        <v>0</v>
      </c>
      <c r="AZ116" s="29">
        <f t="shared" si="32"/>
        <v>0</v>
      </c>
      <c r="BA116" s="29">
        <f t="shared" si="33"/>
        <v>0</v>
      </c>
      <c r="BB116" s="29">
        <f t="shared" si="40"/>
        <v>0</v>
      </c>
      <c r="BC116" s="30">
        <f t="shared" si="41"/>
        <v>2.605399151548099E-2</v>
      </c>
      <c r="BE116" s="30">
        <f t="shared" si="42"/>
        <v>0</v>
      </c>
      <c r="BF116" s="30">
        <f t="shared" si="43"/>
        <v>8.1427306704119309E-2</v>
      </c>
      <c r="BH116" s="30"/>
    </row>
    <row r="117" spans="1:60" x14ac:dyDescent="0.25">
      <c r="A117" s="1">
        <v>46191</v>
      </c>
      <c r="B117" s="34">
        <v>238.99</v>
      </c>
      <c r="C117" s="34">
        <v>284.29000000000002</v>
      </c>
      <c r="D117" s="16">
        <v>-1.5775162123752798E-2</v>
      </c>
      <c r="E117" s="16">
        <v>-4.5623719203454699E-3</v>
      </c>
      <c r="F117" s="34">
        <v>0</v>
      </c>
      <c r="G117" s="34">
        <v>0.31490499999999999</v>
      </c>
      <c r="H117" s="34">
        <v>0</v>
      </c>
      <c r="I117" s="34">
        <v>0.11178100000000001</v>
      </c>
      <c r="J117" s="34">
        <v>0.31490499999999999</v>
      </c>
      <c r="K117" s="34">
        <v>0.11178100000000001</v>
      </c>
      <c r="L117" s="34">
        <v>239.30490499999999</v>
      </c>
      <c r="M117" s="34">
        <v>284.40178100000003</v>
      </c>
      <c r="N117" s="35">
        <v>1.1895476798192299</v>
      </c>
      <c r="O117" s="35">
        <v>1.1658179450689301</v>
      </c>
      <c r="P117" s="35">
        <v>1.1889273474770701</v>
      </c>
      <c r="Q117" s="35">
        <v>1.2010887316619101</v>
      </c>
      <c r="R117" s="34">
        <v>278.61883069202401</v>
      </c>
      <c r="S117" s="34">
        <v>284.65327266204503</v>
      </c>
      <c r="T117" s="34">
        <v>287.09624412570599</v>
      </c>
      <c r="U117" s="16">
        <v>-2.0150194441265399E-2</v>
      </c>
      <c r="V117" s="16">
        <v>1.2770085485443699E-3</v>
      </c>
      <c r="W117" s="16">
        <v>9.8226610031838402E-3</v>
      </c>
      <c r="X117" s="35">
        <v>1.1884494427726</v>
      </c>
      <c r="Y117" s="35">
        <v>1.1654134458566101</v>
      </c>
      <c r="Z117" s="35">
        <v>1.1883136339542799</v>
      </c>
      <c r="AA117" s="35">
        <v>1.20062546097728</v>
      </c>
      <c r="AB117" s="34">
        <v>278.88915394643902</v>
      </c>
      <c r="AC117" s="34">
        <v>284.90038202544503</v>
      </c>
      <c r="AD117" s="34">
        <v>287.37312770291697</v>
      </c>
      <c r="AE117" s="16">
        <v>-1.9573555021369701E-2</v>
      </c>
      <c r="AF117" s="16">
        <v>1.75162219753059E-3</v>
      </c>
      <c r="AG117" s="16">
        <v>1.0393507675673199E-2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0</v>
      </c>
      <c r="AN117">
        <f t="shared" si="35"/>
        <v>0</v>
      </c>
      <c r="AO117" s="29">
        <f t="shared" si="28"/>
        <v>0</v>
      </c>
      <c r="AP117" s="29">
        <f t="shared" si="29"/>
        <v>0</v>
      </c>
      <c r="AQ117" s="29">
        <f t="shared" si="36"/>
        <v>0</v>
      </c>
      <c r="AR117" s="30">
        <f t="shared" si="37"/>
        <v>5.537331518863832E-2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9">
        <f t="shared" si="32"/>
        <v>0</v>
      </c>
      <c r="BA117" s="29">
        <f t="shared" si="33"/>
        <v>0</v>
      </c>
      <c r="BB117" s="29">
        <f t="shared" si="40"/>
        <v>0</v>
      </c>
      <c r="BC117" s="30">
        <f t="shared" si="41"/>
        <v>2.605399151548099E-2</v>
      </c>
      <c r="BE117" s="30">
        <f t="shared" si="42"/>
        <v>0</v>
      </c>
      <c r="BF117" s="30">
        <f t="shared" si="43"/>
        <v>8.1427306704119309E-2</v>
      </c>
      <c r="BH117" s="30"/>
    </row>
    <row r="118" spans="1:60" x14ac:dyDescent="0.25">
      <c r="A118" s="1">
        <v>46195</v>
      </c>
      <c r="B118" s="34">
        <v>235.51</v>
      </c>
      <c r="C118" s="34">
        <v>277.87</v>
      </c>
      <c r="D118" s="16">
        <v>-1.4668334652005399E-2</v>
      </c>
      <c r="E118" s="16">
        <v>-2.2841465506209101E-2</v>
      </c>
      <c r="F118" s="34">
        <v>0</v>
      </c>
      <c r="G118" s="34">
        <v>0.31490499999999999</v>
      </c>
      <c r="H118" s="34">
        <v>6.1849000000000001E-2</v>
      </c>
      <c r="I118" s="34">
        <v>0.17363000000000001</v>
      </c>
      <c r="J118" s="34">
        <v>0.31490499999999999</v>
      </c>
      <c r="K118" s="34">
        <v>0.17363000000000001</v>
      </c>
      <c r="L118" s="34">
        <v>235.824905</v>
      </c>
      <c r="M118" s="34">
        <v>278.04363000000001</v>
      </c>
      <c r="N118" s="35">
        <v>1.17986497388645</v>
      </c>
      <c r="O118" s="35">
        <v>1.1658179450689301</v>
      </c>
      <c r="P118" s="35">
        <v>1.18812107955737</v>
      </c>
      <c r="Q118" s="35">
        <v>1.2003979113443599</v>
      </c>
      <c r="R118" s="34">
        <v>274.561784243185</v>
      </c>
      <c r="S118" s="34">
        <v>280.00427960432501</v>
      </c>
      <c r="T118" s="34">
        <v>282.86840719369599</v>
      </c>
      <c r="U118" s="16">
        <v>-1.1977063587061699E-2</v>
      </c>
      <c r="V118" s="16">
        <v>7.65150893334031E-3</v>
      </c>
      <c r="W118" s="16">
        <v>1.7828418832128601E-2</v>
      </c>
      <c r="X118" s="35">
        <v>1.1790257267356801</v>
      </c>
      <c r="Y118" s="35">
        <v>1.1654134458566101</v>
      </c>
      <c r="Z118" s="35">
        <v>1.1874530500999001</v>
      </c>
      <c r="AA118" s="35">
        <v>1.1999080953255501</v>
      </c>
      <c r="AB118" s="34">
        <v>274.83351515485799</v>
      </c>
      <c r="AC118" s="34">
        <v>280.233949837475</v>
      </c>
      <c r="AD118" s="34">
        <v>283.13738527555</v>
      </c>
      <c r="AE118" s="16">
        <v>-1.1612528921044E-2</v>
      </c>
      <c r="AF118" s="16">
        <v>7.84674561541902E-3</v>
      </c>
      <c r="AG118" s="16">
        <v>1.8154196360620801E-2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9">
        <f t="shared" si="28"/>
        <v>0</v>
      </c>
      <c r="AP118" s="29">
        <f t="shared" si="29"/>
        <v>0</v>
      </c>
      <c r="AQ118" s="29">
        <f t="shared" si="36"/>
        <v>0</v>
      </c>
      <c r="AR118" s="30">
        <f t="shared" si="37"/>
        <v>5.537331518863832E-2</v>
      </c>
      <c r="AT118" s="12"/>
      <c r="AU118">
        <f t="shared" si="30"/>
        <v>0</v>
      </c>
      <c r="AV118">
        <f t="shared" si="31"/>
        <v>0</v>
      </c>
      <c r="AW118">
        <f t="shared" si="38"/>
        <v>0</v>
      </c>
      <c r="AX118">
        <f t="shared" si="25"/>
        <v>1</v>
      </c>
      <c r="AY118">
        <f t="shared" si="39"/>
        <v>0</v>
      </c>
      <c r="AZ118" s="29">
        <f t="shared" si="32"/>
        <v>0</v>
      </c>
      <c r="BA118" s="29">
        <f t="shared" si="33"/>
        <v>0</v>
      </c>
      <c r="BB118" s="29">
        <f t="shared" si="40"/>
        <v>0</v>
      </c>
      <c r="BC118" s="30">
        <f t="shared" si="41"/>
        <v>2.605399151548099E-2</v>
      </c>
      <c r="BE118" s="30">
        <f t="shared" si="42"/>
        <v>0</v>
      </c>
      <c r="BF118" s="30">
        <f t="shared" si="43"/>
        <v>8.1427306704119309E-2</v>
      </c>
      <c r="BH118" s="30"/>
    </row>
    <row r="119" spans="1:60" x14ac:dyDescent="0.25">
      <c r="A119" s="1">
        <v>46196</v>
      </c>
      <c r="B119" s="34">
        <v>235.93</v>
      </c>
      <c r="C119" s="34">
        <v>275.32</v>
      </c>
      <c r="D119" s="16">
        <v>1.78177545865997E-3</v>
      </c>
      <c r="E119" s="16">
        <v>-9.2193208901044498E-3</v>
      </c>
      <c r="F119" s="34">
        <v>0</v>
      </c>
      <c r="G119" s="34">
        <v>0.31490499999999999</v>
      </c>
      <c r="H119" s="34">
        <v>0</v>
      </c>
      <c r="I119" s="34">
        <v>0.17363000000000001</v>
      </c>
      <c r="J119" s="34">
        <v>0.31490499999999999</v>
      </c>
      <c r="K119" s="34">
        <v>0.17363000000000001</v>
      </c>
      <c r="L119" s="34">
        <v>236.24490499999999</v>
      </c>
      <c r="M119" s="34">
        <v>275.49363</v>
      </c>
      <c r="N119" s="35">
        <v>1.16695630059763</v>
      </c>
      <c r="O119" s="35">
        <v>1.1658179450689301</v>
      </c>
      <c r="P119" s="35">
        <v>1.18552162909262</v>
      </c>
      <c r="Q119" s="35">
        <v>1.1985824393351501</v>
      </c>
      <c r="R119" s="34">
        <v>275.05142778011401</v>
      </c>
      <c r="S119" s="34">
        <v>280.31340629997101</v>
      </c>
      <c r="T119" s="34">
        <v>283.20987922347399</v>
      </c>
      <c r="U119" s="16">
        <v>-9.7596723829714298E-4</v>
      </c>
      <c r="V119" s="16">
        <v>1.79742278948791E-2</v>
      </c>
      <c r="W119" s="16">
        <v>2.8254187944641702E-2</v>
      </c>
      <c r="X119" s="35">
        <v>1.16613575221865</v>
      </c>
      <c r="Y119" s="35">
        <v>1.1654134458566101</v>
      </c>
      <c r="Z119" s="35">
        <v>1.18480177296668</v>
      </c>
      <c r="AA119" s="35">
        <v>1.1980671827134499</v>
      </c>
      <c r="AB119" s="34">
        <v>275.322988802118</v>
      </c>
      <c r="AC119" s="34">
        <v>280.52973301281202</v>
      </c>
      <c r="AD119" s="34">
        <v>283.47217398891598</v>
      </c>
      <c r="AE119" s="16">
        <v>-6.1959351811826703E-4</v>
      </c>
      <c r="AF119" s="16">
        <v>1.8115212662257098E-2</v>
      </c>
      <c r="AG119" s="16">
        <v>2.85494599074675E-2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9">
        <f t="shared" si="28"/>
        <v>0</v>
      </c>
      <c r="AP119" s="29">
        <f t="shared" si="29"/>
        <v>0</v>
      </c>
      <c r="AQ119" s="29">
        <f t="shared" si="36"/>
        <v>0</v>
      </c>
      <c r="AR119" s="30">
        <f t="shared" si="37"/>
        <v>5.537331518863832E-2</v>
      </c>
      <c r="AT119" s="12"/>
      <c r="AU119">
        <f t="shared" si="30"/>
        <v>0</v>
      </c>
      <c r="AV119">
        <f t="shared" si="31"/>
        <v>0</v>
      </c>
      <c r="AW119">
        <f t="shared" si="38"/>
        <v>0</v>
      </c>
      <c r="AX119">
        <f t="shared" si="25"/>
        <v>1</v>
      </c>
      <c r="AY119">
        <f t="shared" si="39"/>
        <v>0</v>
      </c>
      <c r="AZ119" s="29">
        <f t="shared" si="32"/>
        <v>0</v>
      </c>
      <c r="BA119" s="29">
        <f t="shared" si="33"/>
        <v>0</v>
      </c>
      <c r="BB119" s="29">
        <f t="shared" si="40"/>
        <v>0</v>
      </c>
      <c r="BC119" s="30">
        <f t="shared" si="41"/>
        <v>2.605399151548099E-2</v>
      </c>
      <c r="BE119" s="30">
        <f t="shared" si="42"/>
        <v>0</v>
      </c>
      <c r="BF119" s="30">
        <f t="shared" si="43"/>
        <v>8.1427306704119309E-2</v>
      </c>
      <c r="BH119" s="30"/>
    </row>
    <row r="120" spans="1:60" x14ac:dyDescent="0.25">
      <c r="A120" s="1">
        <v>46197</v>
      </c>
      <c r="B120" s="34">
        <v>236.19</v>
      </c>
      <c r="C120" s="34">
        <v>272.41000000000003</v>
      </c>
      <c r="D120" s="16">
        <v>1.10141500586364E-3</v>
      </c>
      <c r="E120" s="16">
        <v>-1.06257732090979E-2</v>
      </c>
      <c r="F120" s="34">
        <v>0</v>
      </c>
      <c r="G120" s="34">
        <v>0.31490499999999999</v>
      </c>
      <c r="H120" s="34">
        <v>0</v>
      </c>
      <c r="I120" s="34">
        <v>0.17363000000000001</v>
      </c>
      <c r="J120" s="34">
        <v>0.31490499999999999</v>
      </c>
      <c r="K120" s="34">
        <v>0.17363000000000001</v>
      </c>
      <c r="L120" s="34">
        <v>236.50490500000001</v>
      </c>
      <c r="M120" s="34">
        <v>272.58363000000003</v>
      </c>
      <c r="N120" s="35">
        <v>1.15335111562724</v>
      </c>
      <c r="O120" s="35">
        <v>1.1658179450689301</v>
      </c>
      <c r="P120" s="35">
        <v>1.1822279708571299</v>
      </c>
      <c r="Q120" s="35">
        <v>1.1959946462995701</v>
      </c>
      <c r="R120" s="34">
        <v>275.35454044583099</v>
      </c>
      <c r="S120" s="34">
        <v>280.00835357538699</v>
      </c>
      <c r="T120" s="34">
        <v>283.09318634656898</v>
      </c>
      <c r="U120" s="16">
        <v>1.0751220976664101E-2</v>
      </c>
      <c r="V120" s="16">
        <v>2.7511152600966E-2</v>
      </c>
      <c r="W120" s="16">
        <v>3.8467839497856399E-2</v>
      </c>
      <c r="X120" s="35">
        <v>1.1525495845424401</v>
      </c>
      <c r="Y120" s="35">
        <v>1.1654134458566101</v>
      </c>
      <c r="Z120" s="35">
        <v>1.18145733438797</v>
      </c>
      <c r="AA120" s="35">
        <v>1.1954546809615401</v>
      </c>
      <c r="AB120" s="34">
        <v>275.62599629803998</v>
      </c>
      <c r="AC120" s="34">
        <v>280.21143075931701</v>
      </c>
      <c r="AD120" s="34">
        <v>283.348765231264</v>
      </c>
      <c r="AE120" s="16">
        <v>1.1099394779369999E-2</v>
      </c>
      <c r="AF120" s="16">
        <v>2.7598961969968298E-2</v>
      </c>
      <c r="AG120" s="16">
        <v>3.8733058753192197E-2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9">
        <f t="shared" si="28"/>
        <v>0</v>
      </c>
      <c r="AP120" s="29">
        <f t="shared" si="29"/>
        <v>0</v>
      </c>
      <c r="AQ120" s="29">
        <f t="shared" si="36"/>
        <v>0</v>
      </c>
      <c r="AR120" s="30">
        <f t="shared" si="37"/>
        <v>5.537331518863832E-2</v>
      </c>
      <c r="AT120" s="12"/>
      <c r="AU120">
        <f t="shared" si="30"/>
        <v>1</v>
      </c>
      <c r="AV120">
        <f t="shared" si="31"/>
        <v>0</v>
      </c>
      <c r="AW120">
        <f t="shared" si="38"/>
        <v>0</v>
      </c>
      <c r="AX120">
        <f t="shared" si="25"/>
        <v>1</v>
      </c>
      <c r="AY120">
        <f t="shared" si="39"/>
        <v>0</v>
      </c>
      <c r="AZ120" s="29">
        <f t="shared" si="32"/>
        <v>0</v>
      </c>
      <c r="BA120" s="29">
        <f t="shared" si="33"/>
        <v>0</v>
      </c>
      <c r="BB120" s="29">
        <f t="shared" si="40"/>
        <v>0</v>
      </c>
      <c r="BC120" s="30">
        <f t="shared" si="41"/>
        <v>2.605399151548099E-2</v>
      </c>
      <c r="BE120" s="30">
        <f t="shared" si="42"/>
        <v>0</v>
      </c>
      <c r="BF120" s="30">
        <f t="shared" si="43"/>
        <v>8.1427306704119309E-2</v>
      </c>
      <c r="BH120" s="30"/>
    </row>
    <row r="121" spans="1:60" x14ac:dyDescent="0.25">
      <c r="A121" s="1">
        <v>46198</v>
      </c>
      <c r="B121" s="34">
        <v>237.38</v>
      </c>
      <c r="C121" s="34">
        <v>272.77999999999997</v>
      </c>
      <c r="D121" s="16">
        <v>5.0256667638737002E-3</v>
      </c>
      <c r="E121" s="16">
        <v>1.3573251776633601E-3</v>
      </c>
      <c r="F121" s="34">
        <v>0</v>
      </c>
      <c r="G121" s="34">
        <v>0.31490499999999999</v>
      </c>
      <c r="H121" s="34">
        <v>0</v>
      </c>
      <c r="I121" s="34">
        <v>0.17363000000000001</v>
      </c>
      <c r="J121" s="34">
        <v>0.31490499999999999</v>
      </c>
      <c r="K121" s="34">
        <v>0.17363000000000001</v>
      </c>
      <c r="L121" s="34">
        <v>237.69490500000001</v>
      </c>
      <c r="M121" s="34">
        <v>272.95362999999998</v>
      </c>
      <c r="N121" s="35">
        <v>1.1491279804532799</v>
      </c>
      <c r="O121" s="35">
        <v>1.1658179450689301</v>
      </c>
      <c r="P121" s="35">
        <v>1.17852556900918</v>
      </c>
      <c r="Q121" s="35">
        <v>1.1929468801018199</v>
      </c>
      <c r="R121" s="34">
        <v>276.74186380046399</v>
      </c>
      <c r="S121" s="34">
        <v>280.637275722065</v>
      </c>
      <c r="T121" s="34">
        <v>283.905209138592</v>
      </c>
      <c r="U121" s="16">
        <v>1.4419562562874201E-2</v>
      </c>
      <c r="V121" s="16">
        <v>2.8397392262208901E-2</v>
      </c>
      <c r="W121" s="16">
        <v>3.9974802309899998E-2</v>
      </c>
      <c r="X121" s="35">
        <v>1.1483360570980601</v>
      </c>
      <c r="Y121" s="35">
        <v>1.1654134458566101</v>
      </c>
      <c r="Z121" s="35">
        <v>1.1777058322196701</v>
      </c>
      <c r="AA121" s="35">
        <v>1.1923827837233401</v>
      </c>
      <c r="AB121" s="34">
        <v>277.01283829861001</v>
      </c>
      <c r="AC121" s="34">
        <v>280.82638885890299</v>
      </c>
      <c r="AD121" s="34">
        <v>284.15348682296002</v>
      </c>
      <c r="AE121" s="16">
        <v>1.47619254833619E-2</v>
      </c>
      <c r="AF121" s="16">
        <v>2.8434717875431399E-2</v>
      </c>
      <c r="AG121" s="16">
        <v>4.0212611453911397E-2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9">
        <f t="shared" si="28"/>
        <v>0</v>
      </c>
      <c r="AP121" s="29">
        <f t="shared" si="29"/>
        <v>0</v>
      </c>
      <c r="AQ121" s="29">
        <f t="shared" si="36"/>
        <v>0</v>
      </c>
      <c r="AR121" s="30">
        <f t="shared" si="37"/>
        <v>5.537331518863832E-2</v>
      </c>
      <c r="AT121" s="12"/>
      <c r="AU121">
        <f t="shared" si="30"/>
        <v>1</v>
      </c>
      <c r="AV121">
        <f t="shared" si="31"/>
        <v>0</v>
      </c>
      <c r="AW121">
        <f t="shared" si="38"/>
        <v>1</v>
      </c>
      <c r="AX121">
        <f t="shared" si="25"/>
        <v>1</v>
      </c>
      <c r="AY121">
        <f t="shared" si="39"/>
        <v>1</v>
      </c>
      <c r="AZ121" s="29">
        <f t="shared" si="32"/>
        <v>-5.0256667638737002E-3</v>
      </c>
      <c r="BA121" s="29">
        <f t="shared" si="33"/>
        <v>1.3573251776633601E-3</v>
      </c>
      <c r="BB121" s="29">
        <f t="shared" si="40"/>
        <v>-3.6683415862103401E-3</v>
      </c>
      <c r="BC121" s="30">
        <f t="shared" si="41"/>
        <v>2.2385649929270651E-2</v>
      </c>
      <c r="BE121" s="30">
        <f t="shared" si="42"/>
        <v>-3.6683415862103401E-3</v>
      </c>
      <c r="BF121" s="30">
        <f t="shared" si="43"/>
        <v>7.7758965117908974E-2</v>
      </c>
      <c r="BH121" s="30"/>
    </row>
    <row r="122" spans="1:60" x14ac:dyDescent="0.25">
      <c r="A122" s="1">
        <v>46199</v>
      </c>
      <c r="B122" s="34">
        <v>236.78</v>
      </c>
      <c r="C122" s="34">
        <v>274.08999999999997</v>
      </c>
      <c r="D122" s="16">
        <v>-2.5307926448689998E-3</v>
      </c>
      <c r="E122" s="16">
        <v>4.7909101091003596E-3</v>
      </c>
      <c r="F122" s="34">
        <v>0</v>
      </c>
      <c r="G122" s="34">
        <v>0.31490499999999999</v>
      </c>
      <c r="H122" s="34">
        <v>0</v>
      </c>
      <c r="I122" s="34">
        <v>0.17363000000000001</v>
      </c>
      <c r="J122" s="34">
        <v>0.31490499999999999</v>
      </c>
      <c r="K122" s="34">
        <v>0.17363000000000001</v>
      </c>
      <c r="L122" s="34">
        <v>237.09490500000001</v>
      </c>
      <c r="M122" s="34">
        <v>274.26362999999998</v>
      </c>
      <c r="N122" s="35">
        <v>1.1575724301038901</v>
      </c>
      <c r="O122" s="35">
        <v>1.1658179450689301</v>
      </c>
      <c r="P122" s="35">
        <v>1.1737989957172501</v>
      </c>
      <c r="Q122" s="35">
        <v>1.1893660627990199</v>
      </c>
      <c r="R122" s="34">
        <v>276.042373033422</v>
      </c>
      <c r="S122" s="34">
        <v>279.05128422999502</v>
      </c>
      <c r="T122" s="34">
        <v>282.46596227050998</v>
      </c>
      <c r="U122" s="16">
        <v>7.0978598089048899E-3</v>
      </c>
      <c r="V122" s="16">
        <v>1.7939059766159199E-2</v>
      </c>
      <c r="W122" s="16">
        <v>3.0101536181443001E-2</v>
      </c>
      <c r="X122" s="35">
        <v>1.1567672869225001</v>
      </c>
      <c r="Y122" s="35">
        <v>1.1654134458566101</v>
      </c>
      <c r="Z122" s="35">
        <v>1.1729286107086301</v>
      </c>
      <c r="AA122" s="35">
        <v>1.18877745369858</v>
      </c>
      <c r="AB122" s="34">
        <v>276.31359023109599</v>
      </c>
      <c r="AC122" s="34">
        <v>279.228052408069</v>
      </c>
      <c r="AD122" s="34">
        <v>282.70788283052298</v>
      </c>
      <c r="AE122" s="16">
        <v>7.4466201239466196E-3</v>
      </c>
      <c r="AF122" s="16">
        <v>1.7939042981998998E-2</v>
      </c>
      <c r="AG122" s="16">
        <v>3.0324351294749599E-2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9">
        <f t="shared" si="28"/>
        <v>0</v>
      </c>
      <c r="AP122" s="29">
        <f t="shared" si="29"/>
        <v>0</v>
      </c>
      <c r="AQ122" s="29">
        <f t="shared" si="36"/>
        <v>0</v>
      </c>
      <c r="AR122" s="30">
        <f t="shared" si="37"/>
        <v>5.537331518863832E-2</v>
      </c>
      <c r="AT122" s="12"/>
      <c r="AU122">
        <f t="shared" si="30"/>
        <v>0</v>
      </c>
      <c r="AV122">
        <f t="shared" si="31"/>
        <v>0</v>
      </c>
      <c r="AW122">
        <f t="shared" si="38"/>
        <v>1</v>
      </c>
      <c r="AX122">
        <f t="shared" si="25"/>
        <v>1</v>
      </c>
      <c r="AY122">
        <f t="shared" si="39"/>
        <v>1</v>
      </c>
      <c r="AZ122" s="29">
        <f t="shared" si="32"/>
        <v>2.5307926448689998E-3</v>
      </c>
      <c r="BA122" s="29">
        <f t="shared" si="33"/>
        <v>4.7909101091003596E-3</v>
      </c>
      <c r="BB122" s="29">
        <f t="shared" si="40"/>
        <v>7.3217027539693594E-3</v>
      </c>
      <c r="BC122" s="30">
        <f t="shared" si="41"/>
        <v>2.9707352683240009E-2</v>
      </c>
      <c r="BE122" s="30">
        <f t="shared" si="42"/>
        <v>7.3217027539693594E-3</v>
      </c>
      <c r="BF122" s="30">
        <f t="shared" si="43"/>
        <v>8.5080667871878332E-2</v>
      </c>
      <c r="BH122" s="30"/>
    </row>
    <row r="123" spans="1:60" x14ac:dyDescent="0.25">
      <c r="A123" s="1">
        <v>46202</v>
      </c>
      <c r="B123" s="34">
        <v>239.13</v>
      </c>
      <c r="C123" s="34">
        <v>276.98</v>
      </c>
      <c r="D123" s="16">
        <v>9.87589712445122E-3</v>
      </c>
      <c r="E123" s="16">
        <v>1.0488781806742399E-2</v>
      </c>
      <c r="F123" s="34">
        <v>0</v>
      </c>
      <c r="G123" s="34">
        <v>0.31490499999999999</v>
      </c>
      <c r="H123" s="34">
        <v>0</v>
      </c>
      <c r="I123" s="34">
        <v>0.17363000000000001</v>
      </c>
      <c r="J123" s="34">
        <v>0.31490499999999999</v>
      </c>
      <c r="K123" s="34">
        <v>0.17363000000000001</v>
      </c>
      <c r="L123" s="34">
        <v>239.44490500000001</v>
      </c>
      <c r="M123" s="34">
        <v>277.15363000000002</v>
      </c>
      <c r="N123" s="35">
        <v>1.15828210596746</v>
      </c>
      <c r="O123" s="35">
        <v>1.1658179450689301</v>
      </c>
      <c r="P123" s="35">
        <v>1.16987443673446</v>
      </c>
      <c r="Q123" s="35">
        <v>1.18611808858669</v>
      </c>
      <c r="R123" s="34">
        <v>278.782045204334</v>
      </c>
      <c r="S123" s="34">
        <v>280.69055384586699</v>
      </c>
      <c r="T123" s="34">
        <v>284.41310659713002</v>
      </c>
      <c r="U123" s="16">
        <v>6.4849751266140201E-3</v>
      </c>
      <c r="V123" s="16">
        <v>1.3307529252595599E-2</v>
      </c>
      <c r="W123" s="16">
        <v>2.6482480533959098E-2</v>
      </c>
      <c r="X123" s="35">
        <v>1.1574839314288099</v>
      </c>
      <c r="Y123" s="35">
        <v>1.1654134458566101</v>
      </c>
      <c r="Z123" s="35">
        <v>1.16895391473931</v>
      </c>
      <c r="AA123" s="35">
        <v>1.1855051328844599</v>
      </c>
      <c r="AB123" s="34">
        <v>279.05231182885899</v>
      </c>
      <c r="AC123" s="34">
        <v>280.85177976290998</v>
      </c>
      <c r="AD123" s="34">
        <v>284.64670446700001</v>
      </c>
      <c r="AE123" s="16">
        <v>6.8272884597483097E-3</v>
      </c>
      <c r="AF123" s="16">
        <v>1.32550826363526E-2</v>
      </c>
      <c r="AG123" s="16">
        <v>2.6676804457798901E-2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9">
        <f t="shared" si="28"/>
        <v>0</v>
      </c>
      <c r="AP123" s="29">
        <f t="shared" si="29"/>
        <v>0</v>
      </c>
      <c r="AQ123" s="29">
        <f t="shared" si="36"/>
        <v>0</v>
      </c>
      <c r="AR123" s="30">
        <f t="shared" si="37"/>
        <v>5.537331518863832E-2</v>
      </c>
      <c r="AT123" s="12"/>
      <c r="AU123">
        <f t="shared" si="30"/>
        <v>0</v>
      </c>
      <c r="AV123">
        <f t="shared" si="31"/>
        <v>0</v>
      </c>
      <c r="AW123">
        <f t="shared" si="38"/>
        <v>1</v>
      </c>
      <c r="AX123">
        <f t="shared" si="25"/>
        <v>1</v>
      </c>
      <c r="AY123">
        <f t="shared" si="39"/>
        <v>1</v>
      </c>
      <c r="AZ123" s="29">
        <f t="shared" si="32"/>
        <v>-9.87589712445122E-3</v>
      </c>
      <c r="BA123" s="29">
        <f t="shared" si="33"/>
        <v>1.0488781806742399E-2</v>
      </c>
      <c r="BB123" s="29">
        <f t="shared" si="40"/>
        <v>6.1288468229117946E-4</v>
      </c>
      <c r="BC123" s="30">
        <f t="shared" si="41"/>
        <v>3.0320237365531189E-2</v>
      </c>
      <c r="BE123" s="30">
        <f t="shared" si="42"/>
        <v>6.1288468229117946E-4</v>
      </c>
      <c r="BF123" s="30">
        <f t="shared" si="43"/>
        <v>8.5693552554169508E-2</v>
      </c>
      <c r="BH123" s="30"/>
    </row>
    <row r="124" spans="1:60" x14ac:dyDescent="0.25">
      <c r="A124" s="1">
        <v>46203</v>
      </c>
      <c r="B124" s="34">
        <v>242.42</v>
      </c>
      <c r="C124" s="34">
        <v>283.79000000000002</v>
      </c>
      <c r="D124" s="16">
        <v>1.36644219344243E-2</v>
      </c>
      <c r="E124" s="16">
        <v>2.4289226608817601E-2</v>
      </c>
      <c r="F124" s="34">
        <v>0</v>
      </c>
      <c r="G124" s="34">
        <v>0.31490499999999999</v>
      </c>
      <c r="H124" s="34">
        <v>0</v>
      </c>
      <c r="I124" s="34">
        <v>0.17363000000000001</v>
      </c>
      <c r="J124" s="34">
        <v>0.31490499999999999</v>
      </c>
      <c r="K124" s="34">
        <v>0.17363000000000001</v>
      </c>
      <c r="L124" s="34">
        <v>242.734905</v>
      </c>
      <c r="M124" s="34">
        <v>283.96363000000002</v>
      </c>
      <c r="N124" s="35">
        <v>1.1706542364491299</v>
      </c>
      <c r="O124" s="35">
        <v>1.1658179450689301</v>
      </c>
      <c r="P124" s="35">
        <v>1.16782023106177</v>
      </c>
      <c r="Q124" s="35">
        <v>1.1837574073422901</v>
      </c>
      <c r="R124" s="34">
        <v>282.61758624361102</v>
      </c>
      <c r="S124" s="34">
        <v>283.600960953168</v>
      </c>
      <c r="T124" s="34">
        <v>287.538747035185</v>
      </c>
      <c r="U124" s="16">
        <v>-4.1398295477792398E-3</v>
      </c>
      <c r="V124" s="16">
        <v>-6.6634496083018595E-4</v>
      </c>
      <c r="W124" s="16">
        <v>1.3123095429344801E-2</v>
      </c>
      <c r="X124" s="35">
        <v>1.1698508296530301</v>
      </c>
      <c r="Y124" s="35">
        <v>1.1654134458566101</v>
      </c>
      <c r="Z124" s="35">
        <v>1.1669301450624101</v>
      </c>
      <c r="AA124" s="35">
        <v>1.18312004076225</v>
      </c>
      <c r="AB124" s="34">
        <v>282.88652206572698</v>
      </c>
      <c r="AC124" s="34">
        <v>283.74591744362601</v>
      </c>
      <c r="AD124" s="34">
        <v>287.76347580772398</v>
      </c>
      <c r="AE124" s="16">
        <v>-3.80033145159371E-3</v>
      </c>
      <c r="AF124" s="16">
        <v>-7.6698575187509504E-4</v>
      </c>
      <c r="AG124" s="16">
        <v>1.3292711576831699E-2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1</v>
      </c>
      <c r="AN124">
        <f t="shared" si="35"/>
        <v>0</v>
      </c>
      <c r="AO124" s="29">
        <f t="shared" si="28"/>
        <v>0</v>
      </c>
      <c r="AP124" s="29">
        <f t="shared" si="29"/>
        <v>0</v>
      </c>
      <c r="AQ124" s="29">
        <f t="shared" si="36"/>
        <v>0</v>
      </c>
      <c r="AR124" s="30">
        <f t="shared" si="37"/>
        <v>5.537331518863832E-2</v>
      </c>
      <c r="AT124" s="12"/>
      <c r="AU124">
        <f t="shared" si="30"/>
        <v>0</v>
      </c>
      <c r="AV124">
        <f t="shared" si="31"/>
        <v>1</v>
      </c>
      <c r="AW124">
        <f t="shared" si="38"/>
        <v>1</v>
      </c>
      <c r="AX124">
        <f t="shared" si="25"/>
        <v>1</v>
      </c>
      <c r="AY124">
        <f t="shared" si="39"/>
        <v>1</v>
      </c>
      <c r="AZ124" s="29">
        <f t="shared" si="32"/>
        <v>-1.36644219344243E-2</v>
      </c>
      <c r="BA124" s="29">
        <f t="shared" si="33"/>
        <v>2.4289226608817601E-2</v>
      </c>
      <c r="BB124" s="29">
        <f t="shared" si="40"/>
        <v>1.0624804674393301E-2</v>
      </c>
      <c r="BC124" s="30">
        <f t="shared" si="41"/>
        <v>4.0945042039924488E-2</v>
      </c>
      <c r="BE124" s="30">
        <f t="shared" si="42"/>
        <v>1.0624804674393301E-2</v>
      </c>
      <c r="BF124" s="30">
        <f t="shared" si="43"/>
        <v>9.6318357228562815E-2</v>
      </c>
      <c r="BH124" s="30"/>
    </row>
    <row r="125" spans="1:60" x14ac:dyDescent="0.25">
      <c r="A125" s="1">
        <v>46204</v>
      </c>
      <c r="B125" s="34">
        <v>243.86</v>
      </c>
      <c r="C125" s="34">
        <v>285.11</v>
      </c>
      <c r="D125" s="16">
        <v>5.9225310897527798E-3</v>
      </c>
      <c r="E125" s="16">
        <v>4.6405426922453098E-3</v>
      </c>
      <c r="F125" s="34">
        <v>0</v>
      </c>
      <c r="G125" s="34">
        <v>0.31490499999999999</v>
      </c>
      <c r="H125" s="34">
        <v>0</v>
      </c>
      <c r="I125" s="34">
        <v>0.17363000000000001</v>
      </c>
      <c r="J125" s="34">
        <v>0.31490499999999999</v>
      </c>
      <c r="K125" s="34">
        <v>0.17363000000000001</v>
      </c>
      <c r="L125" s="34">
        <v>244.174905</v>
      </c>
      <c r="M125" s="34">
        <v>285.28363000000002</v>
      </c>
      <c r="N125" s="35">
        <v>1.1691544328713099</v>
      </c>
      <c r="O125" s="35">
        <v>1.1658179450689301</v>
      </c>
      <c r="P125" s="35">
        <v>1.1670795287243201</v>
      </c>
      <c r="Q125" s="35">
        <v>1.1810580318019599</v>
      </c>
      <c r="R125" s="34">
        <v>284.29636408451</v>
      </c>
      <c r="S125" s="34">
        <v>284.78464154672298</v>
      </c>
      <c r="T125" s="34">
        <v>288.671081354492</v>
      </c>
      <c r="U125" s="16">
        <v>-2.85784115027147E-3</v>
      </c>
      <c r="V125" s="16">
        <v>-1.1418197852936401E-3</v>
      </c>
      <c r="W125" s="16">
        <v>1.2412842437588801E-2</v>
      </c>
      <c r="X125" s="35">
        <v>1.16835769834742</v>
      </c>
      <c r="Y125" s="35">
        <v>1.1654134458566101</v>
      </c>
      <c r="Z125" s="35">
        <v>1.1662176451821999</v>
      </c>
      <c r="AA125" s="35">
        <v>1.18039687159128</v>
      </c>
      <c r="AB125" s="34">
        <v>284.56471742776102</v>
      </c>
      <c r="AC125" s="34">
        <v>284.93505731225201</v>
      </c>
      <c r="AD125" s="34">
        <v>288.88822355671903</v>
      </c>
      <c r="AE125" s="16">
        <v>-2.5231728999164098E-3</v>
      </c>
      <c r="AF125" s="16">
        <v>-1.2225931521437001E-3</v>
      </c>
      <c r="AG125" s="16">
        <v>1.25559652229337E-2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9">
        <f t="shared" si="28"/>
        <v>0</v>
      </c>
      <c r="AP125" s="29">
        <f t="shared" si="29"/>
        <v>0</v>
      </c>
      <c r="AQ125" s="29">
        <f t="shared" si="36"/>
        <v>0</v>
      </c>
      <c r="AR125" s="30">
        <f t="shared" si="37"/>
        <v>5.537331518863832E-2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9">
        <f t="shared" si="32"/>
        <v>0</v>
      </c>
      <c r="BA125" s="29">
        <f t="shared" si="33"/>
        <v>0</v>
      </c>
      <c r="BB125" s="29">
        <f t="shared" si="40"/>
        <v>0</v>
      </c>
      <c r="BC125" s="30">
        <f t="shared" si="41"/>
        <v>4.0945042039924488E-2</v>
      </c>
      <c r="BE125" s="30">
        <f t="shared" si="42"/>
        <v>0</v>
      </c>
      <c r="BF125" s="30">
        <f t="shared" si="43"/>
        <v>9.6318357228562815E-2</v>
      </c>
      <c r="BH125" s="30"/>
    </row>
    <row r="126" spans="1:60" x14ac:dyDescent="0.25">
      <c r="A126" s="1">
        <v>46205</v>
      </c>
      <c r="B126" s="34">
        <v>248.19</v>
      </c>
      <c r="C126" s="34">
        <v>287.56</v>
      </c>
      <c r="D126" s="16">
        <v>1.7600291738082498E-2</v>
      </c>
      <c r="E126" s="16">
        <v>8.5564634000361399E-3</v>
      </c>
      <c r="F126" s="34">
        <v>0</v>
      </c>
      <c r="G126" s="34">
        <v>0.31490499999999999</v>
      </c>
      <c r="H126" s="34">
        <v>0</v>
      </c>
      <c r="I126" s="34">
        <v>0.17363000000000001</v>
      </c>
      <c r="J126" s="34">
        <v>0.31490499999999999</v>
      </c>
      <c r="K126" s="34">
        <v>0.17363000000000001</v>
      </c>
      <c r="L126" s="34">
        <v>248.50490500000001</v>
      </c>
      <c r="M126" s="34">
        <v>287.73363000000001</v>
      </c>
      <c r="N126" s="35">
        <v>1.15862847012369</v>
      </c>
      <c r="O126" s="35">
        <v>1.1658179450689301</v>
      </c>
      <c r="P126" s="35">
        <v>1.16531397258993</v>
      </c>
      <c r="Q126" s="35">
        <v>1.1781908426530701</v>
      </c>
      <c r="R126" s="34">
        <v>289.34435578665898</v>
      </c>
      <c r="S126" s="34">
        <v>289.65746823408898</v>
      </c>
      <c r="T126" s="34">
        <v>293.12679291292898</v>
      </c>
      <c r="U126" s="16">
        <v>6.1859871877747302E-3</v>
      </c>
      <c r="V126" s="16">
        <v>7.2675467441091603E-3</v>
      </c>
      <c r="W126" s="16">
        <v>1.9173721613472999E-2</v>
      </c>
      <c r="X126" s="35">
        <v>1.15785895654655</v>
      </c>
      <c r="Y126" s="35">
        <v>1.1654134458566101</v>
      </c>
      <c r="Z126" s="35">
        <v>1.16448152662657</v>
      </c>
      <c r="AA126" s="35">
        <v>1.17750725403867</v>
      </c>
      <c r="AB126" s="34">
        <v>289.61095764831998</v>
      </c>
      <c r="AC126" s="34">
        <v>289.81080512532799</v>
      </c>
      <c r="AD126" s="34">
        <v>293.33441243709001</v>
      </c>
      <c r="AE126" s="16">
        <v>6.5033406566300201E-3</v>
      </c>
      <c r="AF126" s="16">
        <v>7.1931576354615301E-3</v>
      </c>
      <c r="AG126" s="16">
        <v>1.92781412376338E-2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9">
        <f t="shared" si="28"/>
        <v>0</v>
      </c>
      <c r="AP126" s="29">
        <f t="shared" si="29"/>
        <v>0</v>
      </c>
      <c r="AQ126" s="29">
        <f t="shared" si="36"/>
        <v>0</v>
      </c>
      <c r="AR126" s="30">
        <f t="shared" si="37"/>
        <v>5.537331518863832E-2</v>
      </c>
      <c r="AT126" s="12"/>
      <c r="AU126">
        <f t="shared" si="30"/>
        <v>0</v>
      </c>
      <c r="AV126">
        <f t="shared" si="31"/>
        <v>0</v>
      </c>
      <c r="AW126">
        <f t="shared" si="38"/>
        <v>0</v>
      </c>
      <c r="AX126">
        <f t="shared" si="25"/>
        <v>1</v>
      </c>
      <c r="AY126">
        <f t="shared" si="39"/>
        <v>0</v>
      </c>
      <c r="AZ126" s="29">
        <f t="shared" si="32"/>
        <v>0</v>
      </c>
      <c r="BA126" s="29">
        <f t="shared" si="33"/>
        <v>0</v>
      </c>
      <c r="BB126" s="29">
        <f t="shared" si="40"/>
        <v>0</v>
      </c>
      <c r="BC126" s="30">
        <f t="shared" si="41"/>
        <v>4.0945042039924488E-2</v>
      </c>
      <c r="BE126" s="30">
        <f t="shared" si="42"/>
        <v>0</v>
      </c>
      <c r="BF126" s="30">
        <f t="shared" si="43"/>
        <v>9.6318357228562815E-2</v>
      </c>
      <c r="BH126" s="30"/>
    </row>
    <row r="127" spans="1:60" x14ac:dyDescent="0.25">
      <c r="A127" s="1">
        <v>46209</v>
      </c>
      <c r="B127" s="34">
        <v>250.78</v>
      </c>
      <c r="C127" s="34">
        <v>289.73</v>
      </c>
      <c r="D127" s="16">
        <v>1.03814788921905E-2</v>
      </c>
      <c r="E127" s="16">
        <v>7.5179207002836201E-3</v>
      </c>
      <c r="F127" s="34">
        <v>0</v>
      </c>
      <c r="G127" s="34">
        <v>0.31490499999999999</v>
      </c>
      <c r="H127" s="34">
        <v>0</v>
      </c>
      <c r="I127" s="34">
        <v>0.17363000000000001</v>
      </c>
      <c r="J127" s="34">
        <v>0.31490499999999999</v>
      </c>
      <c r="K127" s="34">
        <v>0.17363000000000001</v>
      </c>
      <c r="L127" s="34">
        <v>251.09490500000001</v>
      </c>
      <c r="M127" s="34">
        <v>289.90363000000002</v>
      </c>
      <c r="N127" s="35">
        <v>1.15531541590238</v>
      </c>
      <c r="O127" s="35">
        <v>1.1658179450689301</v>
      </c>
      <c r="P127" s="35">
        <v>1.1618907461982499</v>
      </c>
      <c r="Q127" s="35">
        <v>1.1754090468376599</v>
      </c>
      <c r="R127" s="34">
        <v>292.36382426438701</v>
      </c>
      <c r="S127" s="34">
        <v>292.23743804610399</v>
      </c>
      <c r="T127" s="34">
        <v>295.46669952053702</v>
      </c>
      <c r="U127" s="16">
        <v>9.0495453796816897E-3</v>
      </c>
      <c r="V127" s="16">
        <v>8.6171610233676497E-3</v>
      </c>
      <c r="W127" s="16">
        <v>1.9606683702103E-2</v>
      </c>
      <c r="X127" s="35">
        <v>1.1545579947151801</v>
      </c>
      <c r="Y127" s="35">
        <v>1.1654134458566101</v>
      </c>
      <c r="Z127" s="35">
        <v>1.1610923818208301</v>
      </c>
      <c r="AA127" s="35">
        <v>1.17470300788756</v>
      </c>
      <c r="AB127" s="34">
        <v>292.62937847308802</v>
      </c>
      <c r="AC127" s="34">
        <v>292.395378302555</v>
      </c>
      <c r="AD127" s="34">
        <v>295.66607208965303</v>
      </c>
      <c r="AE127" s="16">
        <v>9.3583310351902007E-3</v>
      </c>
      <c r="AF127" s="16">
        <v>8.5583642635216096E-3</v>
      </c>
      <c r="AG127" s="16">
        <v>1.9682125260339699E-2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9">
        <f t="shared" si="28"/>
        <v>0</v>
      </c>
      <c r="AP127" s="29">
        <f t="shared" si="29"/>
        <v>0</v>
      </c>
      <c r="AQ127" s="29">
        <f t="shared" si="36"/>
        <v>0</v>
      </c>
      <c r="AR127" s="30">
        <f t="shared" si="37"/>
        <v>5.537331518863832E-2</v>
      </c>
      <c r="AT127" s="12"/>
      <c r="AU127">
        <f t="shared" si="30"/>
        <v>0</v>
      </c>
      <c r="AV127">
        <f t="shared" si="31"/>
        <v>0</v>
      </c>
      <c r="AW127">
        <f t="shared" si="38"/>
        <v>0</v>
      </c>
      <c r="AX127">
        <f t="shared" si="25"/>
        <v>1</v>
      </c>
      <c r="AY127">
        <f t="shared" si="39"/>
        <v>0</v>
      </c>
      <c r="AZ127" s="29">
        <f t="shared" si="32"/>
        <v>0</v>
      </c>
      <c r="BA127" s="29">
        <f t="shared" si="33"/>
        <v>0</v>
      </c>
      <c r="BB127" s="29">
        <f t="shared" si="40"/>
        <v>0</v>
      </c>
      <c r="BC127" s="30">
        <f t="shared" si="41"/>
        <v>4.0945042039924488E-2</v>
      </c>
      <c r="BE127" s="30">
        <f t="shared" si="42"/>
        <v>0</v>
      </c>
      <c r="BF127" s="30">
        <f t="shared" si="43"/>
        <v>9.6318357228562815E-2</v>
      </c>
      <c r="BH127" s="30"/>
    </row>
    <row r="128" spans="1:60" x14ac:dyDescent="0.25">
      <c r="A128" s="1">
        <v>46210</v>
      </c>
      <c r="B128" s="34">
        <v>245.11</v>
      </c>
      <c r="C128" s="34">
        <v>279.33</v>
      </c>
      <c r="D128" s="16">
        <v>-2.28689713870062E-2</v>
      </c>
      <c r="E128" s="16">
        <v>-3.6555576247406303E-2</v>
      </c>
      <c r="F128" s="34">
        <v>0</v>
      </c>
      <c r="G128" s="34">
        <v>0.31490499999999999</v>
      </c>
      <c r="H128" s="34">
        <v>0</v>
      </c>
      <c r="I128" s="34">
        <v>0.17363000000000001</v>
      </c>
      <c r="J128" s="34">
        <v>0.31490499999999999</v>
      </c>
      <c r="K128" s="34">
        <v>0.17363000000000001</v>
      </c>
      <c r="L128" s="34">
        <v>245.424905</v>
      </c>
      <c r="M128" s="34">
        <v>279.50362999999999</v>
      </c>
      <c r="N128" s="35">
        <v>1.1396107869935901</v>
      </c>
      <c r="O128" s="35">
        <v>1.1658179450689301</v>
      </c>
      <c r="P128" s="35">
        <v>1.1578653275089601</v>
      </c>
      <c r="Q128" s="35">
        <v>1.1729932035331601</v>
      </c>
      <c r="R128" s="34">
        <v>285.75363651584598</v>
      </c>
      <c r="S128" s="34">
        <v>284.79104080065298</v>
      </c>
      <c r="T128" s="34">
        <v>288.10451147037901</v>
      </c>
      <c r="U128" s="16">
        <v>2.2736150240081601E-2</v>
      </c>
      <c r="V128" s="16">
        <v>1.93618426115903E-2</v>
      </c>
      <c r="W128" s="16">
        <v>3.0929422789745999E-2</v>
      </c>
      <c r="X128" s="35">
        <v>1.1388560178927201</v>
      </c>
      <c r="Y128" s="35">
        <v>1.1654134458566101</v>
      </c>
      <c r="Z128" s="35">
        <v>1.15707541093654</v>
      </c>
      <c r="AA128" s="35">
        <v>1.17226423051822</v>
      </c>
      <c r="AB128" s="34">
        <v>286.021484235081</v>
      </c>
      <c r="AC128" s="34">
        <v>284.96098750460197</v>
      </c>
      <c r="AD128" s="34">
        <v>288.30137411401898</v>
      </c>
      <c r="AE128" s="16">
        <v>2.3051647713136801E-2</v>
      </c>
      <c r="AF128" s="16">
        <v>1.9337004961696099E-2</v>
      </c>
      <c r="AG128" s="16">
        <v>3.0991090908917902E-2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9">
        <f t="shared" si="28"/>
        <v>0</v>
      </c>
      <c r="AP128" s="29">
        <f t="shared" si="29"/>
        <v>0</v>
      </c>
      <c r="AQ128" s="29">
        <f t="shared" si="36"/>
        <v>0</v>
      </c>
      <c r="AR128" s="30">
        <f t="shared" si="37"/>
        <v>5.537331518863832E-2</v>
      </c>
      <c r="AT128" s="12"/>
      <c r="AU128">
        <f t="shared" si="30"/>
        <v>0</v>
      </c>
      <c r="AV128">
        <f t="shared" si="31"/>
        <v>0</v>
      </c>
      <c r="AW128">
        <f t="shared" si="38"/>
        <v>0</v>
      </c>
      <c r="AX128">
        <f t="shared" si="25"/>
        <v>1</v>
      </c>
      <c r="AY128">
        <f t="shared" si="39"/>
        <v>0</v>
      </c>
      <c r="AZ128" s="29">
        <f t="shared" si="32"/>
        <v>0</v>
      </c>
      <c r="BA128" s="29">
        <f t="shared" si="33"/>
        <v>0</v>
      </c>
      <c r="BB128" s="29">
        <f t="shared" si="40"/>
        <v>0</v>
      </c>
      <c r="BC128" s="30">
        <f t="shared" si="41"/>
        <v>4.0945042039924488E-2</v>
      </c>
      <c r="BE128" s="30">
        <f t="shared" si="42"/>
        <v>0</v>
      </c>
      <c r="BF128" s="30">
        <f t="shared" si="43"/>
        <v>9.6318357228562815E-2</v>
      </c>
      <c r="BH128" s="30"/>
    </row>
    <row r="129" spans="1:60" x14ac:dyDescent="0.25">
      <c r="A129" s="1">
        <v>46211</v>
      </c>
      <c r="B129" s="34">
        <v>239.63</v>
      </c>
      <c r="C129" s="34">
        <v>273.83</v>
      </c>
      <c r="D129" s="16">
        <v>-2.2611022290908601E-2</v>
      </c>
      <c r="E129" s="16">
        <v>-1.9886402687959201E-2</v>
      </c>
      <c r="F129" s="34">
        <v>0</v>
      </c>
      <c r="G129" s="34">
        <v>0.31490499999999999</v>
      </c>
      <c r="H129" s="34">
        <v>0</v>
      </c>
      <c r="I129" s="34">
        <v>0.17363000000000001</v>
      </c>
      <c r="J129" s="34">
        <v>0.31490499999999999</v>
      </c>
      <c r="K129" s="34">
        <v>0.17363000000000001</v>
      </c>
      <c r="L129" s="34">
        <v>239.94490500000001</v>
      </c>
      <c r="M129" s="34">
        <v>274.00362999999999</v>
      </c>
      <c r="N129" s="35">
        <v>1.1427200267078399</v>
      </c>
      <c r="O129" s="35">
        <v>1.1658179450689301</v>
      </c>
      <c r="P129" s="35">
        <v>1.1554417001199799</v>
      </c>
      <c r="Q129" s="35">
        <v>1.1704816646063001</v>
      </c>
      <c r="R129" s="34">
        <v>279.36495417686899</v>
      </c>
      <c r="S129" s="34">
        <v>277.459268430973</v>
      </c>
      <c r="T129" s="34">
        <v>281.084361362653</v>
      </c>
      <c r="U129" s="16">
        <v>2.0011530637132201E-2</v>
      </c>
      <c r="V129" s="16">
        <v>1.3166666103674399E-2</v>
      </c>
      <c r="W129" s="16">
        <v>2.6147366769070899E-2</v>
      </c>
      <c r="X129" s="35">
        <v>1.1419439391721999</v>
      </c>
      <c r="Y129" s="35">
        <v>1.1654134458566101</v>
      </c>
      <c r="Z129" s="35">
        <v>1.1546562296318901</v>
      </c>
      <c r="AA129" s="35">
        <v>1.16972900129929</v>
      </c>
      <c r="AB129" s="34">
        <v>279.63501855178703</v>
      </c>
      <c r="AC129" s="34">
        <v>277.63434955500401</v>
      </c>
      <c r="AD129" s="34">
        <v>281.27882942659301</v>
      </c>
      <c r="AE129" s="16">
        <v>2.0343893219703799E-2</v>
      </c>
      <c r="AF129" s="16">
        <v>1.3163604092362099E-2</v>
      </c>
      <c r="AG129" s="16">
        <v>2.6205098417780799E-2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9">
        <f t="shared" si="28"/>
        <v>0</v>
      </c>
      <c r="AP129" s="29">
        <f t="shared" si="29"/>
        <v>0</v>
      </c>
      <c r="AQ129" s="29">
        <f t="shared" si="36"/>
        <v>0</v>
      </c>
      <c r="AR129" s="30">
        <f t="shared" si="37"/>
        <v>5.537331518863832E-2</v>
      </c>
      <c r="AT129" s="12"/>
      <c r="AU129">
        <f t="shared" si="30"/>
        <v>0</v>
      </c>
      <c r="AV129">
        <f t="shared" si="31"/>
        <v>0</v>
      </c>
      <c r="AW129">
        <f t="shared" si="38"/>
        <v>0</v>
      </c>
      <c r="AX129">
        <f t="shared" si="25"/>
        <v>1</v>
      </c>
      <c r="AY129">
        <f t="shared" si="39"/>
        <v>0</v>
      </c>
      <c r="AZ129" s="29">
        <f t="shared" si="32"/>
        <v>0</v>
      </c>
      <c r="BA129" s="29">
        <f t="shared" si="33"/>
        <v>0</v>
      </c>
      <c r="BB129" s="29">
        <f t="shared" si="40"/>
        <v>0</v>
      </c>
      <c r="BC129" s="30">
        <f t="shared" si="41"/>
        <v>4.0945042039924488E-2</v>
      </c>
      <c r="BE129" s="30">
        <f t="shared" si="42"/>
        <v>0</v>
      </c>
      <c r="BF129" s="30">
        <f t="shared" si="43"/>
        <v>9.6318357228562815E-2</v>
      </c>
      <c r="BH129" s="30"/>
    </row>
    <row r="130" spans="1:60" x14ac:dyDescent="0.25">
      <c r="A130" s="1">
        <v>46212</v>
      </c>
      <c r="B130" s="34">
        <v>239.62</v>
      </c>
      <c r="C130" s="34">
        <v>273.89</v>
      </c>
      <c r="D130" s="16">
        <v>-4.1731872723852398E-5</v>
      </c>
      <c r="E130" s="16">
        <v>2.1909004688539001E-4</v>
      </c>
      <c r="F130" s="34">
        <v>0</v>
      </c>
      <c r="G130" s="34">
        <v>0.31490499999999999</v>
      </c>
      <c r="H130" s="34">
        <v>0</v>
      </c>
      <c r="I130" s="34">
        <v>0.17363000000000001</v>
      </c>
      <c r="J130" s="34">
        <v>0.31490499999999999</v>
      </c>
      <c r="K130" s="34">
        <v>0.17363000000000001</v>
      </c>
      <c r="L130" s="34">
        <v>239.93490499999999</v>
      </c>
      <c r="M130" s="34">
        <v>274.06362999999999</v>
      </c>
      <c r="N130" s="35">
        <v>1.1430181120106799</v>
      </c>
      <c r="O130" s="35">
        <v>1.1658179450689301</v>
      </c>
      <c r="P130" s="35">
        <v>1.1544083997583201</v>
      </c>
      <c r="Q130" s="35">
        <v>1.16831818530773</v>
      </c>
      <c r="R130" s="34">
        <v>279.353295997418</v>
      </c>
      <c r="S130" s="34">
        <v>276.86694018275102</v>
      </c>
      <c r="T130" s="34">
        <v>280.47081647296301</v>
      </c>
      <c r="U130" s="16">
        <v>1.9750708717522901E-2</v>
      </c>
      <c r="V130" s="16">
        <v>1.08104644987915E-2</v>
      </c>
      <c r="W130" s="16">
        <v>2.3743112528021401E-2</v>
      </c>
      <c r="X130" s="35">
        <v>1.14224160090421</v>
      </c>
      <c r="Y130" s="35">
        <v>1.1654134458566101</v>
      </c>
      <c r="Z130" s="35">
        <v>1.15362543126807</v>
      </c>
      <c r="AA130" s="35">
        <v>1.1675413828280199</v>
      </c>
      <c r="AB130" s="34">
        <v>279.62336441732901</v>
      </c>
      <c r="AC130" s="34">
        <v>277.04233276438703</v>
      </c>
      <c r="AD130" s="34">
        <v>280.65881680248998</v>
      </c>
      <c r="AE130" s="16">
        <v>2.0083264887660299E-2</v>
      </c>
      <c r="AF130" s="16">
        <v>1.08100146697746E-2</v>
      </c>
      <c r="AG130" s="16">
        <v>2.37794508407843E-2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9">
        <f t="shared" si="28"/>
        <v>0</v>
      </c>
      <c r="AP130" s="29">
        <f t="shared" si="29"/>
        <v>0</v>
      </c>
      <c r="AQ130" s="29">
        <f t="shared" si="36"/>
        <v>0</v>
      </c>
      <c r="AR130" s="30">
        <f t="shared" si="37"/>
        <v>5.537331518863832E-2</v>
      </c>
      <c r="AT130" s="12"/>
      <c r="AU130">
        <f t="shared" si="30"/>
        <v>0</v>
      </c>
      <c r="AV130">
        <f t="shared" si="31"/>
        <v>0</v>
      </c>
      <c r="AW130">
        <f t="shared" si="38"/>
        <v>0</v>
      </c>
      <c r="AX130">
        <f t="shared" si="25"/>
        <v>1</v>
      </c>
      <c r="AY130">
        <f t="shared" si="39"/>
        <v>0</v>
      </c>
      <c r="AZ130" s="29">
        <f t="shared" si="32"/>
        <v>0</v>
      </c>
      <c r="BA130" s="29">
        <f t="shared" si="33"/>
        <v>0</v>
      </c>
      <c r="BB130" s="29">
        <f t="shared" si="40"/>
        <v>0</v>
      </c>
      <c r="BC130" s="30">
        <f t="shared" si="41"/>
        <v>4.0945042039924488E-2</v>
      </c>
      <c r="BE130" s="30">
        <f t="shared" si="42"/>
        <v>0</v>
      </c>
      <c r="BF130" s="30">
        <f t="shared" si="43"/>
        <v>9.6318357228562815E-2</v>
      </c>
      <c r="BH130" s="30"/>
    </row>
    <row r="131" spans="1:60" x14ac:dyDescent="0.25">
      <c r="A131" s="1">
        <v>46213</v>
      </c>
      <c r="B131" s="34">
        <v>239.06</v>
      </c>
      <c r="C131" s="34">
        <v>271.45</v>
      </c>
      <c r="D131" s="16">
        <v>-2.33976876191814E-3</v>
      </c>
      <c r="E131" s="16">
        <v>-8.94860557601403E-3</v>
      </c>
      <c r="F131" s="34">
        <v>0</v>
      </c>
      <c r="G131" s="34">
        <v>0.31490499999999999</v>
      </c>
      <c r="H131" s="34">
        <v>0</v>
      </c>
      <c r="I131" s="34">
        <v>0.17363000000000001</v>
      </c>
      <c r="J131" s="34">
        <v>0.31490499999999999</v>
      </c>
      <c r="K131" s="34">
        <v>0.17363000000000001</v>
      </c>
      <c r="L131" s="34">
        <v>239.37490500000001</v>
      </c>
      <c r="M131" s="34">
        <v>271.62362999999999</v>
      </c>
      <c r="N131" s="35">
        <v>1.1354889985777601</v>
      </c>
      <c r="O131" s="35">
        <v>1.1658179450689301</v>
      </c>
      <c r="P131" s="35">
        <v>1.15304450157077</v>
      </c>
      <c r="Q131" s="35">
        <v>1.1657850352899799</v>
      </c>
      <c r="R131" s="34">
        <v>278.700437948179</v>
      </c>
      <c r="S131" s="34">
        <v>275.97287204622597</v>
      </c>
      <c r="T131" s="34">
        <v>279.29814537966598</v>
      </c>
      <c r="U131" s="16">
        <v>2.6359545531619E-2</v>
      </c>
      <c r="V131" s="16">
        <v>1.6524610847356201E-2</v>
      </c>
      <c r="W131" s="16">
        <v>2.8501872332962901E-2</v>
      </c>
      <c r="X131" s="35">
        <v>1.1347205756593399</v>
      </c>
      <c r="Y131" s="35">
        <v>1.1654134458566101</v>
      </c>
      <c r="Z131" s="35">
        <v>1.15226388312419</v>
      </c>
      <c r="AA131" s="35">
        <v>1.1649848576719299</v>
      </c>
      <c r="AB131" s="34">
        <v>278.97073288764898</v>
      </c>
      <c r="AC131" s="34">
        <v>276.14897801537802</v>
      </c>
      <c r="AD131" s="34">
        <v>279.480107598026</v>
      </c>
      <c r="AE131" s="16">
        <v>2.6689481429191399E-2</v>
      </c>
      <c r="AF131" s="16">
        <v>1.6523100663327201E-2</v>
      </c>
      <c r="AG131" s="16">
        <v>2.8513723832319399E-2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9">
        <f t="shared" si="28"/>
        <v>0</v>
      </c>
      <c r="AP131" s="29">
        <f t="shared" si="29"/>
        <v>0</v>
      </c>
      <c r="AQ131" s="29">
        <f t="shared" si="36"/>
        <v>0</v>
      </c>
      <c r="AR131" s="30">
        <f t="shared" si="37"/>
        <v>5.537331518863832E-2</v>
      </c>
      <c r="AT131" s="12"/>
      <c r="AU131">
        <f t="shared" si="30"/>
        <v>0</v>
      </c>
      <c r="AV131">
        <f t="shared" si="31"/>
        <v>0</v>
      </c>
      <c r="AW131">
        <f t="shared" si="38"/>
        <v>0</v>
      </c>
      <c r="AX131">
        <f t="shared" si="25"/>
        <v>1</v>
      </c>
      <c r="AY131">
        <f t="shared" si="39"/>
        <v>0</v>
      </c>
      <c r="AZ131" s="29">
        <f t="shared" si="32"/>
        <v>0</v>
      </c>
      <c r="BA131" s="29">
        <f t="shared" si="33"/>
        <v>0</v>
      </c>
      <c r="BB131" s="29">
        <f t="shared" si="40"/>
        <v>0</v>
      </c>
      <c r="BC131" s="30">
        <f t="shared" si="41"/>
        <v>4.0945042039924488E-2</v>
      </c>
      <c r="BE131" s="30">
        <f t="shared" si="42"/>
        <v>0</v>
      </c>
      <c r="BF131" s="30">
        <f t="shared" si="43"/>
        <v>9.6318357228562815E-2</v>
      </c>
      <c r="BH131" s="30"/>
    </row>
    <row r="132" spans="1:60" x14ac:dyDescent="0.25">
      <c r="A132" s="1">
        <v>46216</v>
      </c>
      <c r="B132" s="34">
        <v>235.05</v>
      </c>
      <c r="C132" s="34">
        <v>264.17</v>
      </c>
      <c r="D132" s="16">
        <v>-1.6916308979695201E-2</v>
      </c>
      <c r="E132" s="16">
        <v>-2.71851250512141E-2</v>
      </c>
      <c r="F132" s="34">
        <v>0</v>
      </c>
      <c r="G132" s="34">
        <v>0.31490499999999999</v>
      </c>
      <c r="H132" s="34">
        <v>0</v>
      </c>
      <c r="I132" s="34">
        <v>0.17363000000000001</v>
      </c>
      <c r="J132" s="34">
        <v>0.31490499999999999</v>
      </c>
      <c r="K132" s="34">
        <v>0.17363000000000001</v>
      </c>
      <c r="L132" s="34">
        <v>235.36490499999999</v>
      </c>
      <c r="M132" s="34">
        <v>264.34363000000002</v>
      </c>
      <c r="N132" s="35">
        <v>1.1238885343543901</v>
      </c>
      <c r="O132" s="35">
        <v>1.1658179450689301</v>
      </c>
      <c r="P132" s="35">
        <v>1.1496761119958201</v>
      </c>
      <c r="Q132" s="35">
        <v>1.16173755385654</v>
      </c>
      <c r="R132" s="34">
        <v>274.025507988453</v>
      </c>
      <c r="S132" s="34">
        <v>271.02311009421101</v>
      </c>
      <c r="T132" s="34">
        <v>274.01777254490997</v>
      </c>
      <c r="U132" s="16">
        <v>3.6628361603137698E-2</v>
      </c>
      <c r="V132" s="16">
        <v>2.5611259043980601E-2</v>
      </c>
      <c r="W132" s="16">
        <v>3.6600132286883899E-2</v>
      </c>
      <c r="X132" s="35">
        <v>1.1231225402954601</v>
      </c>
      <c r="Y132" s="35">
        <v>1.1654134458566101</v>
      </c>
      <c r="Z132" s="35">
        <v>1.1488994084614901</v>
      </c>
      <c r="AA132" s="35">
        <v>1.1609140095850601</v>
      </c>
      <c r="AB132" s="34">
        <v>274.29742496976399</v>
      </c>
      <c r="AC132" s="34">
        <v>271.20247938645798</v>
      </c>
      <c r="AD132" s="34">
        <v>274.19655035239401</v>
      </c>
      <c r="AE132" s="16">
        <v>3.6963124707548999E-2</v>
      </c>
      <c r="AF132" s="16">
        <v>2.56158127550845E-2</v>
      </c>
      <c r="AG132" s="16">
        <v>3.6595300727537201E-2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9">
        <f t="shared" si="28"/>
        <v>0</v>
      </c>
      <c r="AP132" s="29">
        <f t="shared" si="29"/>
        <v>0</v>
      </c>
      <c r="AQ132" s="29">
        <f t="shared" si="36"/>
        <v>0</v>
      </c>
      <c r="AR132" s="30">
        <f t="shared" si="37"/>
        <v>5.537331518863832E-2</v>
      </c>
      <c r="AT132" s="12"/>
      <c r="AU132">
        <f t="shared" si="30"/>
        <v>1</v>
      </c>
      <c r="AV132">
        <f t="shared" si="31"/>
        <v>0</v>
      </c>
      <c r="AW132">
        <f t="shared" si="38"/>
        <v>0</v>
      </c>
      <c r="AX132">
        <f t="shared" si="25"/>
        <v>1</v>
      </c>
      <c r="AY132">
        <f t="shared" si="39"/>
        <v>0</v>
      </c>
      <c r="AZ132" s="29">
        <f t="shared" si="32"/>
        <v>0</v>
      </c>
      <c r="BA132" s="29">
        <f t="shared" si="33"/>
        <v>0</v>
      </c>
      <c r="BB132" s="29">
        <f t="shared" si="40"/>
        <v>0</v>
      </c>
      <c r="BC132" s="30">
        <f t="shared" si="41"/>
        <v>4.0945042039924488E-2</v>
      </c>
      <c r="BE132" s="30">
        <f t="shared" si="42"/>
        <v>0</v>
      </c>
      <c r="BF132" s="30">
        <f t="shared" si="43"/>
        <v>9.6318357228562815E-2</v>
      </c>
      <c r="BH132" s="30"/>
    </row>
    <row r="133" spans="1:60" x14ac:dyDescent="0.25">
      <c r="A133" s="1">
        <v>46217</v>
      </c>
      <c r="B133" s="34">
        <v>235.27</v>
      </c>
      <c r="C133" s="34">
        <v>266.56</v>
      </c>
      <c r="D133" s="16">
        <v>9.3553332218796099E-4</v>
      </c>
      <c r="E133" s="16">
        <v>9.0065236782318307E-3</v>
      </c>
      <c r="F133" s="34">
        <v>0</v>
      </c>
      <c r="G133" s="34">
        <v>0.31490499999999999</v>
      </c>
      <c r="H133" s="34">
        <v>0</v>
      </c>
      <c r="I133" s="34">
        <v>0.17363000000000001</v>
      </c>
      <c r="J133" s="34">
        <v>0.31490499999999999</v>
      </c>
      <c r="K133" s="34">
        <v>0.17363000000000001</v>
      </c>
      <c r="L133" s="34">
        <v>235.58490499999999</v>
      </c>
      <c r="M133" s="34">
        <v>266.73363000000001</v>
      </c>
      <c r="N133" s="35">
        <v>1.13299613210354</v>
      </c>
      <c r="O133" s="35">
        <v>1.1658179450689301</v>
      </c>
      <c r="P133" s="35">
        <v>1.1471475146094301</v>
      </c>
      <c r="Q133" s="35">
        <v>1.1585109756719401</v>
      </c>
      <c r="R133" s="34">
        <v>274.28198793636801</v>
      </c>
      <c r="S133" s="34">
        <v>270.484298869258</v>
      </c>
      <c r="T133" s="34">
        <v>273.32199429582801</v>
      </c>
      <c r="U133" s="16">
        <v>2.85573712470941E-2</v>
      </c>
      <c r="V133" s="16">
        <v>1.46146927777658E-2</v>
      </c>
      <c r="W133" s="16">
        <v>2.5051207467660201E-2</v>
      </c>
      <c r="X133" s="35">
        <v>1.1322186792910101</v>
      </c>
      <c r="Y133" s="35">
        <v>1.1654134458566101</v>
      </c>
      <c r="Z133" s="35">
        <v>1.14637288324771</v>
      </c>
      <c r="AA133" s="35">
        <v>1.1576633989935099</v>
      </c>
      <c r="AB133" s="34">
        <v>274.55381592785199</v>
      </c>
      <c r="AC133" s="34">
        <v>270.66335799695702</v>
      </c>
      <c r="AD133" s="34">
        <v>273.49381666126601</v>
      </c>
      <c r="AE133" s="16">
        <v>2.88967724967901E-2</v>
      </c>
      <c r="AF133" s="16">
        <v>1.4625307293329899E-2</v>
      </c>
      <c r="AG133" s="16">
        <v>2.5028493444617599E-2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9">
        <f t="shared" si="28"/>
        <v>0</v>
      </c>
      <c r="AP133" s="29">
        <f t="shared" si="29"/>
        <v>0</v>
      </c>
      <c r="AQ133" s="29">
        <f t="shared" si="36"/>
        <v>0</v>
      </c>
      <c r="AR133" s="30">
        <f t="shared" si="37"/>
        <v>5.537331518863832E-2</v>
      </c>
      <c r="AT133" s="12"/>
      <c r="AU133">
        <f t="shared" si="30"/>
        <v>0</v>
      </c>
      <c r="AV133">
        <f t="shared" si="31"/>
        <v>0</v>
      </c>
      <c r="AW133">
        <f t="shared" si="38"/>
        <v>1</v>
      </c>
      <c r="AX133">
        <f t="shared" si="25"/>
        <v>1</v>
      </c>
      <c r="AY133">
        <f t="shared" si="39"/>
        <v>1</v>
      </c>
      <c r="AZ133" s="29">
        <f t="shared" si="32"/>
        <v>-9.3553332218796099E-4</v>
      </c>
      <c r="BA133" s="29">
        <f t="shared" si="33"/>
        <v>9.0065236782318307E-3</v>
      </c>
      <c r="BB133" s="29">
        <f t="shared" si="40"/>
        <v>8.0709903560438698E-3</v>
      </c>
      <c r="BC133" s="30">
        <f t="shared" si="41"/>
        <v>4.9016032395968356E-2</v>
      </c>
      <c r="BE133" s="30">
        <f t="shared" si="42"/>
        <v>8.0709903560438698E-3</v>
      </c>
      <c r="BF133" s="30">
        <f t="shared" si="43"/>
        <v>0.10438934758460669</v>
      </c>
      <c r="BH133" s="30"/>
    </row>
    <row r="134" spans="1:60" x14ac:dyDescent="0.25">
      <c r="A134" s="1">
        <v>46218</v>
      </c>
      <c r="B134" s="34">
        <v>236.42</v>
      </c>
      <c r="C134" s="34">
        <v>266.32</v>
      </c>
      <c r="D134" s="16">
        <v>4.8760935299031697E-3</v>
      </c>
      <c r="E134" s="16">
        <v>-9.0076571170844195E-4</v>
      </c>
      <c r="F134" s="34">
        <v>0</v>
      </c>
      <c r="G134" s="34">
        <v>0.31490499999999999</v>
      </c>
      <c r="H134" s="34">
        <v>0</v>
      </c>
      <c r="I134" s="34">
        <v>0.17363000000000001</v>
      </c>
      <c r="J134" s="34">
        <v>0.31490499999999999</v>
      </c>
      <c r="K134" s="34">
        <v>0.17363000000000001</v>
      </c>
      <c r="L134" s="34">
        <v>236.734905</v>
      </c>
      <c r="M134" s="34">
        <v>266.49363</v>
      </c>
      <c r="N134" s="35">
        <v>1.1264698418069501</v>
      </c>
      <c r="O134" s="35">
        <v>1.1658179450689301</v>
      </c>
      <c r="P134" s="35">
        <v>1.1427290751452099</v>
      </c>
      <c r="Q134" s="35">
        <v>1.1552746531034901</v>
      </c>
      <c r="R134" s="34">
        <v>275.62267857319699</v>
      </c>
      <c r="S134" s="34">
        <v>271.20861540396203</v>
      </c>
      <c r="T134" s="34">
        <v>273.89516486836197</v>
      </c>
      <c r="U134" s="16">
        <v>3.43342304887055E-2</v>
      </c>
      <c r="V134" s="16">
        <v>1.81897300086146E-2</v>
      </c>
      <c r="W134" s="16">
        <v>2.8046829937950501E-2</v>
      </c>
      <c r="X134" s="35">
        <v>1.12570484694684</v>
      </c>
      <c r="Y134" s="35">
        <v>1.1654134458566101</v>
      </c>
      <c r="Z134" s="35">
        <v>1.14195828497709</v>
      </c>
      <c r="AA134" s="35">
        <v>1.15444421501975</v>
      </c>
      <c r="AB134" s="34">
        <v>275.89404139058797</v>
      </c>
      <c r="AC134" s="34">
        <v>271.38647561022299</v>
      </c>
      <c r="AD134" s="34">
        <v>274.05933478270703</v>
      </c>
      <c r="AE134" s="16">
        <v>3.4666543119282502E-2</v>
      </c>
      <c r="AF134" s="16">
        <v>1.81935733332661E-2</v>
      </c>
      <c r="AG134" s="16">
        <v>2.7994292365082201E-2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9">
        <f t="shared" si="28"/>
        <v>0</v>
      </c>
      <c r="AP134" s="29">
        <f t="shared" si="29"/>
        <v>0</v>
      </c>
      <c r="AQ134" s="29">
        <f t="shared" si="36"/>
        <v>0</v>
      </c>
      <c r="AR134" s="30">
        <f t="shared" si="37"/>
        <v>5.537331518863832E-2</v>
      </c>
      <c r="AT134" s="12"/>
      <c r="AU134">
        <f t="shared" si="30"/>
        <v>0</v>
      </c>
      <c r="AV134">
        <f t="shared" si="31"/>
        <v>0</v>
      </c>
      <c r="AW134">
        <f t="shared" si="38"/>
        <v>1</v>
      </c>
      <c r="AX134">
        <f t="shared" si="25"/>
        <v>1</v>
      </c>
      <c r="AY134">
        <f t="shared" si="39"/>
        <v>1</v>
      </c>
      <c r="AZ134" s="29">
        <f t="shared" si="32"/>
        <v>-4.8760935299031697E-3</v>
      </c>
      <c r="BA134" s="29">
        <f t="shared" si="33"/>
        <v>-9.0076571170844195E-4</v>
      </c>
      <c r="BB134" s="29">
        <f t="shared" si="40"/>
        <v>-5.7768592416116114E-3</v>
      </c>
      <c r="BC134" s="30">
        <f t="shared" si="41"/>
        <v>4.3239173154356741E-2</v>
      </c>
      <c r="BE134" s="30">
        <f t="shared" si="42"/>
        <v>-5.7768592416116114E-3</v>
      </c>
      <c r="BF134" s="30">
        <f t="shared" si="43"/>
        <v>9.8612488342995075E-2</v>
      </c>
      <c r="BH134" s="30"/>
    </row>
    <row r="135" spans="1:60" x14ac:dyDescent="0.25">
      <c r="A135" s="1">
        <v>46219</v>
      </c>
      <c r="B135" s="34">
        <v>230.89</v>
      </c>
      <c r="C135" s="34">
        <v>259.06</v>
      </c>
      <c r="D135" s="16">
        <v>-2.36684776913187E-2</v>
      </c>
      <c r="E135" s="16">
        <v>-2.76388981646595E-2</v>
      </c>
      <c r="F135" s="34">
        <v>0</v>
      </c>
      <c r="G135" s="34">
        <v>0.31490499999999999</v>
      </c>
      <c r="H135" s="34">
        <v>0</v>
      </c>
      <c r="I135" s="34">
        <v>0.17363000000000001</v>
      </c>
      <c r="J135" s="34">
        <v>0.31490499999999999</v>
      </c>
      <c r="K135" s="34">
        <v>0.17363000000000001</v>
      </c>
      <c r="L135" s="34">
        <v>231.204905</v>
      </c>
      <c r="M135" s="34">
        <v>259.23363000000001</v>
      </c>
      <c r="N135" s="35">
        <v>1.12200615011477</v>
      </c>
      <c r="O135" s="35">
        <v>1.1658179450689301</v>
      </c>
      <c r="P135" s="35">
        <v>1.13801424686956</v>
      </c>
      <c r="Q135" s="35">
        <v>1.15254688779694</v>
      </c>
      <c r="R135" s="34">
        <v>269.17570533696602</v>
      </c>
      <c r="S135" s="34">
        <v>263.84471616027901</v>
      </c>
      <c r="T135" s="34">
        <v>266.74136465506501</v>
      </c>
      <c r="U135" s="16">
        <v>3.8304650962046299E-2</v>
      </c>
      <c r="V135" s="16">
        <v>1.8301038626283E-2</v>
      </c>
      <c r="W135" s="16">
        <v>2.9219822128634301E-2</v>
      </c>
      <c r="X135" s="35">
        <v>1.1212289375954201</v>
      </c>
      <c r="Y135" s="35">
        <v>1.1654134458566101</v>
      </c>
      <c r="Z135" s="35">
        <v>1.13724540890189</v>
      </c>
      <c r="AA135" s="35">
        <v>1.1517315270420501</v>
      </c>
      <c r="AB135" s="34">
        <v>269.44930503500001</v>
      </c>
      <c r="AC135" s="34">
        <v>264.02635679209197</v>
      </c>
      <c r="AD135" s="34">
        <v>266.91316506144199</v>
      </c>
      <c r="AE135" s="16">
        <v>3.8650563745528499E-2</v>
      </c>
      <c r="AF135" s="16">
        <v>1.8319233064396701E-2</v>
      </c>
      <c r="AG135" s="16">
        <v>2.91936795820298E-2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9">
        <f t="shared" si="28"/>
        <v>0</v>
      </c>
      <c r="AP135" s="29">
        <f t="shared" si="29"/>
        <v>0</v>
      </c>
      <c r="AQ135" s="29">
        <f t="shared" si="36"/>
        <v>0</v>
      </c>
      <c r="AR135" s="30">
        <f t="shared" si="37"/>
        <v>5.537331518863832E-2</v>
      </c>
      <c r="AT135" s="12"/>
      <c r="AU135">
        <f t="shared" si="30"/>
        <v>0</v>
      </c>
      <c r="AV135">
        <f t="shared" si="31"/>
        <v>0</v>
      </c>
      <c r="AW135">
        <f t="shared" si="38"/>
        <v>1</v>
      </c>
      <c r="AX135">
        <f t="shared" si="25"/>
        <v>1</v>
      </c>
      <c r="AY135">
        <f t="shared" si="39"/>
        <v>1</v>
      </c>
      <c r="AZ135" s="29">
        <f t="shared" si="32"/>
        <v>2.36684776913187E-2</v>
      </c>
      <c r="BA135" s="29">
        <f t="shared" si="33"/>
        <v>-2.76388981646595E-2</v>
      </c>
      <c r="BB135" s="29">
        <f t="shared" si="40"/>
        <v>-3.9704204733407994E-3</v>
      </c>
      <c r="BC135" s="30">
        <f t="shared" si="41"/>
        <v>3.9268752681015942E-2</v>
      </c>
      <c r="BE135" s="30">
        <f t="shared" si="42"/>
        <v>-3.9704204733407994E-3</v>
      </c>
      <c r="BF135" s="30">
        <f t="shared" si="43"/>
        <v>9.4642067869654276E-2</v>
      </c>
      <c r="BH135" s="30"/>
    </row>
    <row r="136" spans="1:60" x14ac:dyDescent="0.25">
      <c r="A136" s="1">
        <v>46220</v>
      </c>
      <c r="B136" s="34">
        <v>230.73</v>
      </c>
      <c r="C136" s="34">
        <v>258.57</v>
      </c>
      <c r="D136" s="16">
        <v>-6.93210893840002E-4</v>
      </c>
      <c r="E136" s="16">
        <v>-1.89324477469239E-3</v>
      </c>
      <c r="F136" s="34">
        <v>0</v>
      </c>
      <c r="G136" s="34">
        <v>0.31490499999999999</v>
      </c>
      <c r="H136" s="34">
        <v>0</v>
      </c>
      <c r="I136" s="34">
        <v>0.17363000000000001</v>
      </c>
      <c r="J136" s="34">
        <v>0.31490499999999999</v>
      </c>
      <c r="K136" s="34">
        <v>0.17363000000000001</v>
      </c>
      <c r="L136" s="34">
        <v>231.044905</v>
      </c>
      <c r="M136" s="34">
        <v>258.74363</v>
      </c>
      <c r="N136" s="35">
        <v>1.1206605122870801</v>
      </c>
      <c r="O136" s="35">
        <v>1.1658179450689301</v>
      </c>
      <c r="P136" s="35">
        <v>1.1342174510859</v>
      </c>
      <c r="Q136" s="35">
        <v>1.1497657118379101</v>
      </c>
      <c r="R136" s="34">
        <v>268.98917446575501</v>
      </c>
      <c r="S136" s="34">
        <v>262.57402718021399</v>
      </c>
      <c r="T136" s="34">
        <v>265.927143421388</v>
      </c>
      <c r="U136" s="16">
        <v>3.95046848428987E-2</v>
      </c>
      <c r="V136" s="16">
        <v>1.53666002529705E-2</v>
      </c>
      <c r="W136" s="16">
        <v>2.8055924025597499E-2</v>
      </c>
      <c r="X136" s="35">
        <v>1.1198845955940899</v>
      </c>
      <c r="Y136" s="35">
        <v>1.1654134458566101</v>
      </c>
      <c r="Z136" s="35">
        <v>1.13344797280664</v>
      </c>
      <c r="AA136" s="35">
        <v>1.14896474971661</v>
      </c>
      <c r="AB136" s="34">
        <v>269.26283888366299</v>
      </c>
      <c r="AC136" s="34">
        <v>262.75475746142399</v>
      </c>
      <c r="AD136" s="34">
        <v>266.10170125093498</v>
      </c>
      <c r="AE136" s="16">
        <v>3.9850272856792698E-2</v>
      </c>
      <c r="AF136" s="16">
        <v>1.53833900924493E-2</v>
      </c>
      <c r="AG136" s="16">
        <v>2.8040845320874998E-2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9">
        <f t="shared" si="28"/>
        <v>0</v>
      </c>
      <c r="AP136" s="29">
        <f t="shared" si="29"/>
        <v>0</v>
      </c>
      <c r="AQ136" s="29">
        <f t="shared" si="36"/>
        <v>0</v>
      </c>
      <c r="AR136" s="30">
        <f t="shared" si="37"/>
        <v>5.537331518863832E-2</v>
      </c>
      <c r="AT136" s="12"/>
      <c r="AU136">
        <f t="shared" si="30"/>
        <v>0</v>
      </c>
      <c r="AV136">
        <f t="shared" si="31"/>
        <v>0</v>
      </c>
      <c r="AW136">
        <f t="shared" si="38"/>
        <v>1</v>
      </c>
      <c r="AX136">
        <f t="shared" si="25"/>
        <v>1</v>
      </c>
      <c r="AY136">
        <f t="shared" si="39"/>
        <v>1</v>
      </c>
      <c r="AZ136" s="29">
        <f t="shared" si="32"/>
        <v>6.93210893840002E-4</v>
      </c>
      <c r="BA136" s="29">
        <f t="shared" si="33"/>
        <v>-1.89324477469239E-3</v>
      </c>
      <c r="BB136" s="29">
        <f t="shared" si="40"/>
        <v>-1.2000338808523881E-3</v>
      </c>
      <c r="BC136" s="30">
        <f t="shared" si="41"/>
        <v>3.8068718800163555E-2</v>
      </c>
      <c r="BE136" s="30">
        <f t="shared" si="42"/>
        <v>-1.2000338808523881E-3</v>
      </c>
      <c r="BF136" s="30">
        <f t="shared" si="43"/>
        <v>9.3442033988801881E-2</v>
      </c>
      <c r="BH136" s="30"/>
    </row>
    <row r="137" spans="1:60" x14ac:dyDescent="0.25">
      <c r="A137" s="1">
        <v>46223</v>
      </c>
      <c r="B137" s="34">
        <v>229.27</v>
      </c>
      <c r="C137" s="34">
        <v>259.31</v>
      </c>
      <c r="D137" s="16">
        <v>-6.3478474025013198E-3</v>
      </c>
      <c r="E137" s="16">
        <v>2.8578068418757601E-3</v>
      </c>
      <c r="F137" s="34">
        <v>0</v>
      </c>
      <c r="G137" s="34">
        <v>0.31490499999999999</v>
      </c>
      <c r="H137" s="34">
        <v>0</v>
      </c>
      <c r="I137" s="34">
        <v>0.17363000000000001</v>
      </c>
      <c r="J137" s="34">
        <v>0.31490499999999999</v>
      </c>
      <c r="K137" s="34">
        <v>0.17363000000000001</v>
      </c>
      <c r="L137" s="34">
        <v>229.58490499999999</v>
      </c>
      <c r="M137" s="34">
        <v>259.48363000000001</v>
      </c>
      <c r="N137" s="35">
        <v>1.13102455620011</v>
      </c>
      <c r="O137" s="35">
        <v>1.1658179450689301</v>
      </c>
      <c r="P137" s="35">
        <v>1.1317883651156699</v>
      </c>
      <c r="Q137" s="35">
        <v>1.1468395556569599</v>
      </c>
      <c r="R137" s="34">
        <v>267.28708026595399</v>
      </c>
      <c r="S137" s="34">
        <v>260.04203501046402</v>
      </c>
      <c r="T137" s="34">
        <v>263.60678475307901</v>
      </c>
      <c r="U137" s="16">
        <v>3.0299030598521699E-2</v>
      </c>
      <c r="V137" s="16">
        <v>2.81903389571632E-3</v>
      </c>
      <c r="W137" s="16">
        <v>1.6434283948306101E-2</v>
      </c>
      <c r="X137" s="35">
        <v>1.13022948960864</v>
      </c>
      <c r="Y137" s="35">
        <v>1.1654134458566101</v>
      </c>
      <c r="Z137" s="35">
        <v>1.1310151222959901</v>
      </c>
      <c r="AA137" s="35">
        <v>1.14605375205841</v>
      </c>
      <c r="AB137" s="34">
        <v>267.56133525271298</v>
      </c>
      <c r="AC137" s="34">
        <v>260.22254515925698</v>
      </c>
      <c r="AD137" s="34">
        <v>263.78496291203697</v>
      </c>
      <c r="AE137" s="16">
        <v>3.0655212952824001E-2</v>
      </c>
      <c r="AF137" s="16">
        <v>2.8435900610056701E-3</v>
      </c>
      <c r="AG137" s="16">
        <v>1.6440619044304602E-2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9">
        <f t="shared" si="28"/>
        <v>0</v>
      </c>
      <c r="AP137" s="29">
        <f t="shared" si="29"/>
        <v>0</v>
      </c>
      <c r="AQ137" s="29">
        <f t="shared" si="36"/>
        <v>0</v>
      </c>
      <c r="AR137" s="30">
        <f t="shared" si="37"/>
        <v>5.537331518863832E-2</v>
      </c>
      <c r="AT137" s="12"/>
      <c r="AU137">
        <f t="shared" si="30"/>
        <v>0</v>
      </c>
      <c r="AV137">
        <f t="shared" si="31"/>
        <v>0</v>
      </c>
      <c r="AW137">
        <f t="shared" si="38"/>
        <v>1</v>
      </c>
      <c r="AX137">
        <f t="shared" si="25"/>
        <v>1</v>
      </c>
      <c r="AY137">
        <f t="shared" si="39"/>
        <v>1</v>
      </c>
      <c r="AZ137" s="29">
        <f t="shared" si="32"/>
        <v>6.3478474025013198E-3</v>
      </c>
      <c r="BA137" s="29">
        <f t="shared" si="33"/>
        <v>2.8578068418757601E-3</v>
      </c>
      <c r="BB137" s="29">
        <f t="shared" si="40"/>
        <v>9.20565424437708E-3</v>
      </c>
      <c r="BC137" s="30">
        <f t="shared" si="41"/>
        <v>4.7274373044540637E-2</v>
      </c>
      <c r="BE137" s="30">
        <f t="shared" si="42"/>
        <v>9.20565424437708E-3</v>
      </c>
      <c r="BF137" s="30">
        <f t="shared" si="43"/>
        <v>0.10264768823317896</v>
      </c>
      <c r="BH137" s="30"/>
    </row>
    <row r="138" spans="1:60" x14ac:dyDescent="0.25">
      <c r="A138" s="1">
        <v>46224</v>
      </c>
      <c r="B138" s="34">
        <v>229.74</v>
      </c>
      <c r="C138" s="34">
        <v>264.91000000000003</v>
      </c>
      <c r="D138" s="16">
        <v>2.0478863826873298E-3</v>
      </c>
      <c r="E138" s="16">
        <v>2.1365888490589201E-2</v>
      </c>
      <c r="F138" s="34">
        <v>0</v>
      </c>
      <c r="G138" s="34">
        <v>0.31490499999999999</v>
      </c>
      <c r="H138" s="34">
        <v>0</v>
      </c>
      <c r="I138" s="34">
        <v>0.17363000000000001</v>
      </c>
      <c r="J138" s="34">
        <v>0.31490499999999999</v>
      </c>
      <c r="K138" s="34">
        <v>0.17363000000000001</v>
      </c>
      <c r="L138" s="34">
        <v>230.05490499999999</v>
      </c>
      <c r="M138" s="34">
        <v>265.08363000000003</v>
      </c>
      <c r="N138" s="35">
        <v>1.15308609732741</v>
      </c>
      <c r="O138" s="35">
        <v>1.1658179450689301</v>
      </c>
      <c r="P138" s="35">
        <v>1.1331358961490501</v>
      </c>
      <c r="Q138" s="35">
        <v>1.1455006118290101</v>
      </c>
      <c r="R138" s="34">
        <v>267.83501470013698</v>
      </c>
      <c r="S138" s="34">
        <v>260.01705900167502</v>
      </c>
      <c r="T138" s="34">
        <v>263.47491951663</v>
      </c>
      <c r="U138" s="16">
        <v>1.09810284906198E-2</v>
      </c>
      <c r="V138" s="16">
        <v>-1.8642905251794101E-2</v>
      </c>
      <c r="W138" s="16">
        <v>-5.4319643086418899E-3</v>
      </c>
      <c r="X138" s="35">
        <v>1.1522624566513799</v>
      </c>
      <c r="Y138" s="35">
        <v>1.1654134458566101</v>
      </c>
      <c r="Z138" s="35">
        <v>1.13235576617186</v>
      </c>
      <c r="AA138" s="35">
        <v>1.1447155885542</v>
      </c>
      <c r="AB138" s="34">
        <v>268.10907957226499</v>
      </c>
      <c r="AC138" s="34">
        <v>260.195576513368</v>
      </c>
      <c r="AD138" s="34">
        <v>263.655287054692</v>
      </c>
      <c r="AE138" s="16">
        <v>1.1348549927309499E-2</v>
      </c>
      <c r="AF138" s="16">
        <v>-1.8611795504484299E-2</v>
      </c>
      <c r="AG138" s="16">
        <v>-5.4028420218808501E-3</v>
      </c>
      <c r="AI138" s="12"/>
      <c r="AJ138">
        <f t="shared" si="26"/>
        <v>0</v>
      </c>
      <c r="AK138">
        <f t="shared" si="27"/>
        <v>0</v>
      </c>
      <c r="AL138">
        <f t="shared" si="34"/>
        <v>0</v>
      </c>
      <c r="AM138">
        <f t="shared" si="24"/>
        <v>1</v>
      </c>
      <c r="AN138">
        <f t="shared" si="35"/>
        <v>0</v>
      </c>
      <c r="AO138" s="29">
        <f t="shared" si="28"/>
        <v>0</v>
      </c>
      <c r="AP138" s="29">
        <f t="shared" si="29"/>
        <v>0</v>
      </c>
      <c r="AQ138" s="29">
        <f t="shared" si="36"/>
        <v>0</v>
      </c>
      <c r="AR138" s="30">
        <f t="shared" si="37"/>
        <v>5.537331518863832E-2</v>
      </c>
      <c r="AT138" s="12"/>
      <c r="AU138">
        <f t="shared" si="30"/>
        <v>0</v>
      </c>
      <c r="AV138">
        <f t="shared" si="31"/>
        <v>1</v>
      </c>
      <c r="AW138">
        <f t="shared" si="38"/>
        <v>1</v>
      </c>
      <c r="AX138">
        <f t="shared" si="25"/>
        <v>1</v>
      </c>
      <c r="AY138">
        <f t="shared" si="39"/>
        <v>1</v>
      </c>
      <c r="AZ138" s="29">
        <f t="shared" si="32"/>
        <v>-2.0478863826873298E-3</v>
      </c>
      <c r="BA138" s="29">
        <f t="shared" si="33"/>
        <v>2.1365888490589201E-2</v>
      </c>
      <c r="BB138" s="29">
        <f t="shared" si="40"/>
        <v>1.9318002107901872E-2</v>
      </c>
      <c r="BC138" s="30">
        <f t="shared" si="41"/>
        <v>6.6592375152442512E-2</v>
      </c>
      <c r="BE138" s="30">
        <f t="shared" si="42"/>
        <v>1.9318002107901872E-2</v>
      </c>
      <c r="BF138" s="30">
        <f t="shared" si="43"/>
        <v>0.12196569034108083</v>
      </c>
      <c r="BH138" s="30"/>
    </row>
    <row r="139" spans="1:60" x14ac:dyDescent="0.25">
      <c r="A139" s="1">
        <v>46225</v>
      </c>
      <c r="B139" s="34">
        <v>231.11</v>
      </c>
      <c r="C139" s="34">
        <v>264.3</v>
      </c>
      <c r="D139" s="16">
        <v>5.9455529380213904E-3</v>
      </c>
      <c r="E139" s="16">
        <v>-2.3053240496389302E-3</v>
      </c>
      <c r="F139" s="34">
        <v>0</v>
      </c>
      <c r="G139" s="34">
        <v>0.31490499999999999</v>
      </c>
      <c r="H139" s="34">
        <v>0</v>
      </c>
      <c r="I139" s="34">
        <v>0.17363000000000001</v>
      </c>
      <c r="J139" s="34">
        <v>0.31490499999999999</v>
      </c>
      <c r="K139" s="34">
        <v>0.17363000000000001</v>
      </c>
      <c r="L139" s="34">
        <v>231.424905</v>
      </c>
      <c r="M139" s="34">
        <v>264.47363000000001</v>
      </c>
      <c r="N139" s="35">
        <v>1.1436112673618599</v>
      </c>
      <c r="O139" s="35">
        <v>1.1658179450689301</v>
      </c>
      <c r="P139" s="35">
        <v>1.13322502021445</v>
      </c>
      <c r="Q139" s="35">
        <v>1.1443333601672201</v>
      </c>
      <c r="R139" s="34">
        <v>269.43218528488097</v>
      </c>
      <c r="S139" s="34">
        <v>261.87903695900798</v>
      </c>
      <c r="T139" s="34">
        <v>264.736646399802</v>
      </c>
      <c r="U139" s="16">
        <v>1.92319054782801E-2</v>
      </c>
      <c r="V139" s="16">
        <v>-9.2021154574013497E-3</v>
      </c>
      <c r="W139" s="16">
        <v>1.65072307154985E-3</v>
      </c>
      <c r="X139" s="35">
        <v>1.14280539512374</v>
      </c>
      <c r="Y139" s="35">
        <v>1.1654134458566101</v>
      </c>
      <c r="Z139" s="35">
        <v>1.1324419117670099</v>
      </c>
      <c r="AA139" s="35">
        <v>1.14354907069945</v>
      </c>
      <c r="AB139" s="34">
        <v>269.70569599308902</v>
      </c>
      <c r="AC139" s="34">
        <v>262.055325612525</v>
      </c>
      <c r="AD139" s="34">
        <v>264.91569633317499</v>
      </c>
      <c r="AE139" s="16">
        <v>1.9589800874050999E-2</v>
      </c>
      <c r="AF139" s="16">
        <v>-9.1859008570721393E-3</v>
      </c>
      <c r="AG139" s="16">
        <v>1.67009954276654E-3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9">
        <f t="shared" si="28"/>
        <v>0</v>
      </c>
      <c r="AP139" s="29">
        <f t="shared" si="29"/>
        <v>0</v>
      </c>
      <c r="AQ139" s="29">
        <f t="shared" si="36"/>
        <v>0</v>
      </c>
      <c r="AR139" s="30">
        <f t="shared" si="37"/>
        <v>5.537331518863832E-2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9">
        <f t="shared" si="32"/>
        <v>0</v>
      </c>
      <c r="BA139" s="29">
        <f t="shared" si="33"/>
        <v>0</v>
      </c>
      <c r="BB139" s="29">
        <f t="shared" si="40"/>
        <v>0</v>
      </c>
      <c r="BC139" s="30">
        <f t="shared" si="41"/>
        <v>6.6592375152442512E-2</v>
      </c>
      <c r="BE139" s="30">
        <f t="shared" si="42"/>
        <v>0</v>
      </c>
      <c r="BF139" s="30">
        <f t="shared" si="43"/>
        <v>0.12196569034108083</v>
      </c>
      <c r="BH139" s="30"/>
    </row>
    <row r="140" spans="1:60" x14ac:dyDescent="0.25">
      <c r="A140" s="1">
        <v>46226</v>
      </c>
      <c r="B140" s="34">
        <v>238.23</v>
      </c>
      <c r="C140" s="34">
        <v>270.54000000000002</v>
      </c>
      <c r="D140" s="16">
        <v>3.0342805919949499E-2</v>
      </c>
      <c r="E140" s="16">
        <v>2.3335140050804198E-2</v>
      </c>
      <c r="F140" s="34">
        <v>0</v>
      </c>
      <c r="G140" s="34">
        <v>0.31490499999999999</v>
      </c>
      <c r="H140" s="34">
        <v>0</v>
      </c>
      <c r="I140" s="34">
        <v>0.17363000000000001</v>
      </c>
      <c r="J140" s="34">
        <v>0.31490499999999999</v>
      </c>
      <c r="K140" s="34">
        <v>0.17363000000000001</v>
      </c>
      <c r="L140" s="34">
        <v>238.544905</v>
      </c>
      <c r="M140" s="34">
        <v>270.71363000000002</v>
      </c>
      <c r="N140" s="35">
        <v>1.1356252361163499</v>
      </c>
      <c r="O140" s="35">
        <v>1.1658179450689301</v>
      </c>
      <c r="P140" s="35">
        <v>1.1324857326250199</v>
      </c>
      <c r="Q140" s="35">
        <v>1.14344706619167</v>
      </c>
      <c r="R140" s="34">
        <v>277.73280905377197</v>
      </c>
      <c r="S140" s="34">
        <v>269.96819656568999</v>
      </c>
      <c r="T140" s="34">
        <v>272.61453639263698</v>
      </c>
      <c r="U140" s="16">
        <v>2.6239571347425598E-2</v>
      </c>
      <c r="V140" s="16">
        <v>-2.1158000979613701E-3</v>
      </c>
      <c r="W140" s="16">
        <v>7.6388811709905196E-3</v>
      </c>
      <c r="X140" s="35">
        <v>1.1348539596769001</v>
      </c>
      <c r="Y140" s="35">
        <v>1.1654134458566101</v>
      </c>
      <c r="Z140" s="35">
        <v>1.13170314764428</v>
      </c>
      <c r="AA140" s="35">
        <v>1.14266428945617</v>
      </c>
      <c r="AB140" s="34">
        <v>278.00343972758799</v>
      </c>
      <c r="AC140" s="34">
        <v>270.13824826048102</v>
      </c>
      <c r="AD140" s="34">
        <v>272.78780443283898</v>
      </c>
      <c r="AE140" s="16">
        <v>2.6571940440220598E-2</v>
      </c>
      <c r="AF140" s="16">
        <v>-2.1276877448771899E-3</v>
      </c>
      <c r="AG140" s="16">
        <v>7.6326735170986204E-3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9">
        <f t="shared" si="28"/>
        <v>0</v>
      </c>
      <c r="AP140" s="29">
        <f t="shared" si="29"/>
        <v>0</v>
      </c>
      <c r="AQ140" s="29">
        <f t="shared" si="36"/>
        <v>0</v>
      </c>
      <c r="AR140" s="30">
        <f t="shared" si="37"/>
        <v>5.537331518863832E-2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9">
        <f t="shared" si="32"/>
        <v>0</v>
      </c>
      <c r="BA140" s="29">
        <f t="shared" si="33"/>
        <v>0</v>
      </c>
      <c r="BB140" s="29">
        <f t="shared" si="40"/>
        <v>0</v>
      </c>
      <c r="BC140" s="30">
        <f t="shared" si="41"/>
        <v>6.6592375152442512E-2</v>
      </c>
      <c r="BE140" s="30">
        <f t="shared" si="42"/>
        <v>0</v>
      </c>
      <c r="BF140" s="30">
        <f t="shared" si="43"/>
        <v>0.12196569034108083</v>
      </c>
      <c r="BH140" s="30"/>
    </row>
    <row r="141" spans="1:60" x14ac:dyDescent="0.25">
      <c r="A141" s="1">
        <v>46227</v>
      </c>
      <c r="B141" s="34">
        <v>240.14</v>
      </c>
      <c r="C141" s="34">
        <v>269.01</v>
      </c>
      <c r="D141" s="16">
        <v>7.9854930273427199E-3</v>
      </c>
      <c r="E141" s="16">
        <v>-5.6714080289820903E-3</v>
      </c>
      <c r="F141" s="34">
        <v>0</v>
      </c>
      <c r="G141" s="34">
        <v>0.31490499999999999</v>
      </c>
      <c r="H141" s="34">
        <v>0</v>
      </c>
      <c r="I141" s="34">
        <v>0.17363000000000001</v>
      </c>
      <c r="J141" s="34">
        <v>0.31490499999999999</v>
      </c>
      <c r="K141" s="34">
        <v>0.17363000000000001</v>
      </c>
      <c r="L141" s="34">
        <v>240.454905</v>
      </c>
      <c r="M141" s="34">
        <v>269.18362999999999</v>
      </c>
      <c r="N141" s="35">
        <v>1.1202215374364899</v>
      </c>
      <c r="O141" s="35">
        <v>1.1658179450689301</v>
      </c>
      <c r="P141" s="35">
        <v>1.13095898651089</v>
      </c>
      <c r="Q141" s="35">
        <v>1.1420017440408301</v>
      </c>
      <c r="R141" s="34">
        <v>279.95952132885401</v>
      </c>
      <c r="S141" s="34">
        <v>271.95512383257301</v>
      </c>
      <c r="T141" s="34">
        <v>274.58737847526902</v>
      </c>
      <c r="U141" s="16">
        <v>3.9896472403750202E-2</v>
      </c>
      <c r="V141" s="16">
        <v>1.0888513142603499E-2</v>
      </c>
      <c r="W141" s="16">
        <v>2.0520975336171501E-2</v>
      </c>
      <c r="X141" s="35">
        <v>1.1194765604802199</v>
      </c>
      <c r="Y141" s="35">
        <v>1.1654134458566101</v>
      </c>
      <c r="Z141" s="35">
        <v>1.1301787461263699</v>
      </c>
      <c r="AA141" s="35">
        <v>1.1412213146252801</v>
      </c>
      <c r="AB141" s="34">
        <v>280.22937940917399</v>
      </c>
      <c r="AC141" s="34">
        <v>272.12357285500701</v>
      </c>
      <c r="AD141" s="34">
        <v>274.759233168077</v>
      </c>
      <c r="AE141" s="16">
        <v>4.0214693858979897E-2</v>
      </c>
      <c r="AF141" s="16">
        <v>1.08624889797543E-2</v>
      </c>
      <c r="AG141" s="16">
        <v>2.0501412311615199E-2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9">
        <f t="shared" si="28"/>
        <v>0</v>
      </c>
      <c r="AP141" s="29">
        <f t="shared" si="29"/>
        <v>0</v>
      </c>
      <c r="AQ141" s="29">
        <f t="shared" si="36"/>
        <v>0</v>
      </c>
      <c r="AR141" s="30">
        <f t="shared" si="37"/>
        <v>5.537331518863832E-2</v>
      </c>
      <c r="AT141" s="12"/>
      <c r="AU141">
        <f t="shared" si="30"/>
        <v>0</v>
      </c>
      <c r="AV141">
        <f t="shared" si="31"/>
        <v>0</v>
      </c>
      <c r="AW141">
        <f t="shared" si="38"/>
        <v>0</v>
      </c>
      <c r="AX141">
        <f t="shared" si="25"/>
        <v>1</v>
      </c>
      <c r="AY141">
        <f t="shared" si="39"/>
        <v>0</v>
      </c>
      <c r="AZ141" s="29">
        <f t="shared" si="32"/>
        <v>0</v>
      </c>
      <c r="BA141" s="29">
        <f t="shared" si="33"/>
        <v>0</v>
      </c>
      <c r="BB141" s="29">
        <f t="shared" si="40"/>
        <v>0</v>
      </c>
      <c r="BC141" s="30">
        <f t="shared" si="41"/>
        <v>6.6592375152442512E-2</v>
      </c>
      <c r="BE141" s="30">
        <f t="shared" si="42"/>
        <v>0</v>
      </c>
      <c r="BF141" s="30">
        <f t="shared" si="43"/>
        <v>0.12196569034108083</v>
      </c>
      <c r="BH141" s="30"/>
    </row>
    <row r="142" spans="1:60" x14ac:dyDescent="0.25">
      <c r="A142" s="1">
        <v>46230</v>
      </c>
      <c r="B142" s="34">
        <v>243.91</v>
      </c>
      <c r="C142" s="34">
        <v>273.07</v>
      </c>
      <c r="D142" s="16">
        <v>1.55772181888129E-2</v>
      </c>
      <c r="E142" s="16">
        <v>1.49796189418125E-2</v>
      </c>
      <c r="F142" s="34">
        <v>0</v>
      </c>
      <c r="G142" s="34">
        <v>0.31490499999999999</v>
      </c>
      <c r="H142" s="34">
        <v>0</v>
      </c>
      <c r="I142" s="34">
        <v>0.17363000000000001</v>
      </c>
      <c r="J142" s="34">
        <v>0.31490499999999999</v>
      </c>
      <c r="K142" s="34">
        <v>0.17363000000000001</v>
      </c>
      <c r="L142" s="34">
        <v>244.22490500000001</v>
      </c>
      <c r="M142" s="34">
        <v>273.24363</v>
      </c>
      <c r="N142" s="35">
        <v>1.11955229387888</v>
      </c>
      <c r="O142" s="35">
        <v>1.1658179450689301</v>
      </c>
      <c r="P142" s="35">
        <v>1.13052536246334</v>
      </c>
      <c r="Q142" s="35">
        <v>1.1401007372295799</v>
      </c>
      <c r="R142" s="34">
        <v>284.35465498176399</v>
      </c>
      <c r="S142" s="34">
        <v>275.85220639987301</v>
      </c>
      <c r="T142" s="34">
        <v>278.54564538900098</v>
      </c>
      <c r="U142" s="16">
        <v>4.0494071650750502E-2</v>
      </c>
      <c r="V142" s="16">
        <v>1.0137065662050899E-2</v>
      </c>
      <c r="W142" s="16">
        <v>1.9853770631278501E-2</v>
      </c>
      <c r="X142" s="35">
        <v>1.1188196797537899</v>
      </c>
      <c r="Y142" s="35">
        <v>1.1654134458566101</v>
      </c>
      <c r="Z142" s="35">
        <v>1.1297484600722001</v>
      </c>
      <c r="AA142" s="35">
        <v>1.13932393426685</v>
      </c>
      <c r="AB142" s="34">
        <v>284.62298810005399</v>
      </c>
      <c r="AC142" s="34">
        <v>276.01779690573198</v>
      </c>
      <c r="AD142" s="34">
        <v>278.71466714833502</v>
      </c>
      <c r="AE142" s="16">
        <v>4.0801640960518901E-2</v>
      </c>
      <c r="AF142" s="16">
        <v>1.0101530381256401E-2</v>
      </c>
      <c r="AG142" s="16">
        <v>1.98247453159194E-2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9">
        <f t="shared" si="28"/>
        <v>0</v>
      </c>
      <c r="AP142" s="29">
        <f t="shared" si="29"/>
        <v>0</v>
      </c>
      <c r="AQ142" s="29">
        <f t="shared" si="36"/>
        <v>0</v>
      </c>
      <c r="AR142" s="30">
        <f t="shared" si="37"/>
        <v>5.537331518863832E-2</v>
      </c>
      <c r="AT142" s="12"/>
      <c r="AU142">
        <f t="shared" si="30"/>
        <v>0</v>
      </c>
      <c r="AV142">
        <f t="shared" si="31"/>
        <v>0</v>
      </c>
      <c r="AW142">
        <f t="shared" si="38"/>
        <v>0</v>
      </c>
      <c r="AX142">
        <f t="shared" si="25"/>
        <v>1</v>
      </c>
      <c r="AY142">
        <f t="shared" si="39"/>
        <v>0</v>
      </c>
      <c r="AZ142" s="29">
        <f t="shared" si="32"/>
        <v>0</v>
      </c>
      <c r="BA142" s="29">
        <f t="shared" si="33"/>
        <v>0</v>
      </c>
      <c r="BB142" s="29">
        <f t="shared" si="40"/>
        <v>0</v>
      </c>
      <c r="BC142" s="30">
        <f t="shared" si="41"/>
        <v>6.6592375152442512E-2</v>
      </c>
      <c r="BE142" s="30">
        <f t="shared" si="42"/>
        <v>0</v>
      </c>
      <c r="BF142" s="30">
        <f t="shared" si="43"/>
        <v>0.12196569034108083</v>
      </c>
      <c r="BH142" s="30"/>
    </row>
    <row r="143" spans="1:60" x14ac:dyDescent="0.25">
      <c r="A143" s="1">
        <v>46231</v>
      </c>
      <c r="B143" s="34">
        <v>244.98</v>
      </c>
      <c r="C143" s="34">
        <v>271.92</v>
      </c>
      <c r="D143" s="16">
        <v>4.37726976815453E-3</v>
      </c>
      <c r="E143" s="16">
        <v>-4.2202671860177903E-3</v>
      </c>
      <c r="F143" s="34">
        <v>0</v>
      </c>
      <c r="G143" s="34">
        <v>0.31490499999999999</v>
      </c>
      <c r="H143" s="34">
        <v>0</v>
      </c>
      <c r="I143" s="34">
        <v>0.17363000000000001</v>
      </c>
      <c r="J143" s="34">
        <v>0.31490499999999999</v>
      </c>
      <c r="K143" s="34">
        <v>0.17363000000000001</v>
      </c>
      <c r="L143" s="34">
        <v>245.294905</v>
      </c>
      <c r="M143" s="34">
        <v>272.09363000000002</v>
      </c>
      <c r="N143" s="35">
        <v>1.10996816066617</v>
      </c>
      <c r="O143" s="35">
        <v>1.1658179450689301</v>
      </c>
      <c r="P143" s="35">
        <v>1.1282225653196101</v>
      </c>
      <c r="Q143" s="35">
        <v>1.13768503996452</v>
      </c>
      <c r="R143" s="34">
        <v>285.60208018298698</v>
      </c>
      <c r="S143" s="34">
        <v>276.95610329627101</v>
      </c>
      <c r="T143" s="34">
        <v>279.30187860650398</v>
      </c>
      <c r="U143" s="16">
        <v>4.9091608604922898E-2</v>
      </c>
      <c r="V143" s="16">
        <v>1.83511163868702E-2</v>
      </c>
      <c r="W143" s="16">
        <v>2.67852936649055E-2</v>
      </c>
      <c r="X143" s="35">
        <v>1.1092510462049701</v>
      </c>
      <c r="Y143" s="35">
        <v>1.1654134458566101</v>
      </c>
      <c r="Z143" s="35">
        <v>1.1274516967635999</v>
      </c>
      <c r="AA143" s="35">
        <v>1.1369122900056501</v>
      </c>
      <c r="AB143" s="34">
        <v>285.86998048712002</v>
      </c>
      <c r="AC143" s="34">
        <v>277.12154118730803</v>
      </c>
      <c r="AD143" s="34">
        <v>279.47035622021298</v>
      </c>
      <c r="AE143" s="16">
        <v>4.93908587659979E-2</v>
      </c>
      <c r="AF143" s="16">
        <v>1.8309951798084999E-2</v>
      </c>
      <c r="AG143" s="16">
        <v>2.6749991931047101E-2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9">
        <f t="shared" si="28"/>
        <v>0</v>
      </c>
      <c r="AP143" s="29">
        <f t="shared" si="29"/>
        <v>0</v>
      </c>
      <c r="AQ143" s="29">
        <f t="shared" si="36"/>
        <v>0</v>
      </c>
      <c r="AR143" s="30">
        <f t="shared" si="37"/>
        <v>5.537331518863832E-2</v>
      </c>
      <c r="AT143" s="12"/>
      <c r="AU143">
        <f t="shared" si="30"/>
        <v>0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9">
        <f t="shared" si="32"/>
        <v>0</v>
      </c>
      <c r="BA143" s="29">
        <f t="shared" si="33"/>
        <v>0</v>
      </c>
      <c r="BB143" s="29">
        <f t="shared" si="40"/>
        <v>0</v>
      </c>
      <c r="BC143" s="30">
        <f t="shared" si="41"/>
        <v>6.6592375152442512E-2</v>
      </c>
      <c r="BE143" s="30">
        <f t="shared" si="42"/>
        <v>0</v>
      </c>
      <c r="BF143" s="30">
        <f t="shared" si="43"/>
        <v>0.12196569034108083</v>
      </c>
      <c r="BH143" s="30"/>
    </row>
    <row r="144" spans="1:60" x14ac:dyDescent="0.25">
      <c r="A144" s="1">
        <v>46232</v>
      </c>
      <c r="B144" s="34">
        <v>236.26</v>
      </c>
      <c r="C144" s="34">
        <v>258.11</v>
      </c>
      <c r="D144" s="16">
        <v>-3.6243681039165497E-2</v>
      </c>
      <c r="E144" s="16">
        <v>-5.2122054741240202E-2</v>
      </c>
      <c r="F144" s="34">
        <v>0</v>
      </c>
      <c r="G144" s="34">
        <v>0.31490499999999999</v>
      </c>
      <c r="H144" s="34">
        <v>0</v>
      </c>
      <c r="I144" s="34">
        <v>0.17363000000000001</v>
      </c>
      <c r="J144" s="34">
        <v>0.31490499999999999</v>
      </c>
      <c r="K144" s="34">
        <v>0.17363000000000001</v>
      </c>
      <c r="L144" s="34">
        <v>236.574905</v>
      </c>
      <c r="M144" s="34">
        <v>258.28363000000002</v>
      </c>
      <c r="N144" s="35">
        <v>1.09248285786845</v>
      </c>
      <c r="O144" s="35">
        <v>1.1658179450689301</v>
      </c>
      <c r="P144" s="35">
        <v>1.12482386692576</v>
      </c>
      <c r="Q144" s="35">
        <v>1.1337764710354801</v>
      </c>
      <c r="R144" s="34">
        <v>275.43614770198599</v>
      </c>
      <c r="S144" s="34">
        <v>266.55386328241099</v>
      </c>
      <c r="T144" s="34">
        <v>268.78946754201797</v>
      </c>
      <c r="U144" s="16">
        <v>6.4969982306997701E-2</v>
      </c>
      <c r="V144" s="16">
        <v>3.2190486167133499E-2</v>
      </c>
      <c r="W144" s="16">
        <v>4.0542573983270901E-2</v>
      </c>
      <c r="X144" s="35">
        <v>1.0917625857231099</v>
      </c>
      <c r="Y144" s="35">
        <v>1.1654134458566101</v>
      </c>
      <c r="Z144" s="35">
        <v>1.1240574706412201</v>
      </c>
      <c r="AA144" s="35">
        <v>1.1330078778091599</v>
      </c>
      <c r="AB144" s="34">
        <v>275.70757523924999</v>
      </c>
      <c r="AC144" s="34">
        <v>266.72677805393698</v>
      </c>
      <c r="AD144" s="34">
        <v>268.96491700142099</v>
      </c>
      <c r="AE144" s="16">
        <v>6.5282471862959698E-2</v>
      </c>
      <c r="AF144" s="16">
        <v>3.2166509125348998E-2</v>
      </c>
      <c r="AG144" s="16">
        <v>4.0522628853352498E-2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9">
        <f t="shared" si="28"/>
        <v>0</v>
      </c>
      <c r="AP144" s="29">
        <f t="shared" si="29"/>
        <v>0</v>
      </c>
      <c r="AQ144" s="29">
        <f t="shared" si="36"/>
        <v>0</v>
      </c>
      <c r="AR144" s="30">
        <f t="shared" si="37"/>
        <v>5.537331518863832E-2</v>
      </c>
      <c r="AT144" s="12"/>
      <c r="AU144">
        <f t="shared" si="30"/>
        <v>1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9">
        <f t="shared" si="32"/>
        <v>0</v>
      </c>
      <c r="BA144" s="29">
        <f t="shared" si="33"/>
        <v>0</v>
      </c>
      <c r="BB144" s="29">
        <f t="shared" si="40"/>
        <v>0</v>
      </c>
      <c r="BC144" s="30">
        <f t="shared" si="41"/>
        <v>6.6592375152442512E-2</v>
      </c>
      <c r="BE144" s="30">
        <f t="shared" si="42"/>
        <v>0</v>
      </c>
      <c r="BF144" s="30">
        <f t="shared" si="43"/>
        <v>0.12196569034108083</v>
      </c>
      <c r="BH144" s="30"/>
    </row>
    <row r="145" spans="1:60" x14ac:dyDescent="0.25">
      <c r="A145" s="1">
        <v>46233</v>
      </c>
      <c r="B145" s="34">
        <v>238.13</v>
      </c>
      <c r="C145" s="34">
        <v>262.83</v>
      </c>
      <c r="D145" s="16">
        <v>7.8838495154778705E-3</v>
      </c>
      <c r="E145" s="16">
        <v>1.81215846997617E-2</v>
      </c>
      <c r="F145" s="34">
        <v>0</v>
      </c>
      <c r="G145" s="34">
        <v>0.31490499999999999</v>
      </c>
      <c r="H145" s="34">
        <v>0</v>
      </c>
      <c r="I145" s="34">
        <v>0.17363000000000001</v>
      </c>
      <c r="J145" s="34">
        <v>0.31490499999999999</v>
      </c>
      <c r="K145" s="34">
        <v>0.17363000000000001</v>
      </c>
      <c r="L145" s="34">
        <v>238.44490500000001</v>
      </c>
      <c r="M145" s="34">
        <v>263.00362999999999</v>
      </c>
      <c r="N145" s="35">
        <v>1.10372485617099</v>
      </c>
      <c r="O145" s="35">
        <v>1.1658179450689301</v>
      </c>
      <c r="P145" s="35">
        <v>1.1229957375313799</v>
      </c>
      <c r="Q145" s="35">
        <v>1.13050499220047</v>
      </c>
      <c r="R145" s="34">
        <v>277.61622725926497</v>
      </c>
      <c r="S145" s="34">
        <v>267.85430743103097</v>
      </c>
      <c r="T145" s="34">
        <v>269.98619104768102</v>
      </c>
      <c r="U145" s="16">
        <v>5.4732247122713899E-2</v>
      </c>
      <c r="V145" s="16">
        <v>1.8935768355973201E-2</v>
      </c>
      <c r="W145" s="16">
        <v>2.6863378076232201E-2</v>
      </c>
      <c r="X145" s="35">
        <v>1.1029953858733099</v>
      </c>
      <c r="Y145" s="35">
        <v>1.1654134458566101</v>
      </c>
      <c r="Z145" s="35">
        <v>1.1222341154690101</v>
      </c>
      <c r="AA145" s="35">
        <v>1.1297397621854499</v>
      </c>
      <c r="AB145" s="34">
        <v>277.88689838300201</v>
      </c>
      <c r="AC145" s="34">
        <v>268.02577680158799</v>
      </c>
      <c r="AD145" s="34">
        <v>270.15995578845701</v>
      </c>
      <c r="AE145" s="16">
        <v>5.5046356195855399E-2</v>
      </c>
      <c r="AF145" s="16">
        <v>1.8915323617250901E-2</v>
      </c>
      <c r="AG145" s="16">
        <v>2.68463780639394E-2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9">
        <f t="shared" si="28"/>
        <v>0</v>
      </c>
      <c r="AP145" s="29">
        <f t="shared" si="29"/>
        <v>0</v>
      </c>
      <c r="AQ145" s="29">
        <f t="shared" si="36"/>
        <v>0</v>
      </c>
      <c r="AR145" s="30">
        <f t="shared" si="37"/>
        <v>5.537331518863832E-2</v>
      </c>
      <c r="AT145" s="12"/>
      <c r="AU145">
        <f t="shared" si="30"/>
        <v>0</v>
      </c>
      <c r="AV145">
        <f t="shared" si="31"/>
        <v>0</v>
      </c>
      <c r="AW145">
        <f t="shared" si="38"/>
        <v>1</v>
      </c>
      <c r="AX145">
        <f t="shared" si="25"/>
        <v>1</v>
      </c>
      <c r="AY145">
        <f t="shared" si="39"/>
        <v>1</v>
      </c>
      <c r="AZ145" s="29">
        <f t="shared" si="32"/>
        <v>-7.8838495154778705E-3</v>
      </c>
      <c r="BA145" s="29">
        <f t="shared" si="33"/>
        <v>1.81215846997617E-2</v>
      </c>
      <c r="BB145" s="29">
        <f t="shared" si="40"/>
        <v>1.0237735184283829E-2</v>
      </c>
      <c r="BC145" s="30">
        <f t="shared" si="41"/>
        <v>7.6830110336726348E-2</v>
      </c>
      <c r="BE145" s="30">
        <f t="shared" si="42"/>
        <v>1.0237735184283829E-2</v>
      </c>
      <c r="BF145" s="30">
        <f t="shared" si="43"/>
        <v>0.13220342552536465</v>
      </c>
      <c r="BH145" s="30"/>
    </row>
    <row r="146" spans="1:60" x14ac:dyDescent="0.25">
      <c r="A146" s="1">
        <v>46234</v>
      </c>
      <c r="B146" s="34">
        <v>239.66</v>
      </c>
      <c r="C146" s="34">
        <v>264.86</v>
      </c>
      <c r="D146" s="16">
        <v>6.40450921851894E-3</v>
      </c>
      <c r="E146" s="16">
        <v>7.6939491524361699E-3</v>
      </c>
      <c r="F146" s="34">
        <v>0</v>
      </c>
      <c r="G146" s="34">
        <v>0.31490499999999999</v>
      </c>
      <c r="H146" s="34">
        <v>0</v>
      </c>
      <c r="I146" s="34">
        <v>0.17363000000000001</v>
      </c>
      <c r="J146" s="34">
        <v>0.31490499999999999</v>
      </c>
      <c r="K146" s="34">
        <v>0.17363000000000001</v>
      </c>
      <c r="L146" s="34">
        <v>239.97490500000001</v>
      </c>
      <c r="M146" s="34">
        <v>265.03363000000002</v>
      </c>
      <c r="N146" s="35">
        <v>1.10514896102812</v>
      </c>
      <c r="O146" s="35">
        <v>1.1658179450689301</v>
      </c>
      <c r="P146" s="35">
        <v>1.12144458240548</v>
      </c>
      <c r="Q146" s="35">
        <v>1.12783101674569</v>
      </c>
      <c r="R146" s="34">
        <v>279.39992871522099</v>
      </c>
      <c r="S146" s="34">
        <v>269.13715845677098</v>
      </c>
      <c r="T146" s="34">
        <v>270.936826430765</v>
      </c>
      <c r="U146" s="16">
        <v>5.34428071887963E-2</v>
      </c>
      <c r="V146" s="16">
        <v>1.6019747895914701E-2</v>
      </c>
      <c r="W146" s="16">
        <v>2.2684296404266498E-2</v>
      </c>
      <c r="X146" s="35">
        <v>1.1044222728205599</v>
      </c>
      <c r="Y146" s="35">
        <v>1.1654134458566101</v>
      </c>
      <c r="Z146" s="35">
        <v>1.12068788319166</v>
      </c>
      <c r="AA146" s="35">
        <v>1.12706792799915</v>
      </c>
      <c r="AB146" s="34">
        <v>279.669980955163</v>
      </c>
      <c r="AC146" s="34">
        <v>269.30802524743598</v>
      </c>
      <c r="AD146" s="34">
        <v>271.10919210517699</v>
      </c>
      <c r="AE146" s="16">
        <v>5.3753544986907299E-2</v>
      </c>
      <c r="AF146" s="16">
        <v>1.59990761777207E-2</v>
      </c>
      <c r="AG146" s="16">
        <v>2.26649390306451E-2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29">
        <f t="shared" si="28"/>
        <v>0</v>
      </c>
      <c r="AP146" s="29">
        <f t="shared" si="29"/>
        <v>0</v>
      </c>
      <c r="AQ146" s="29">
        <f t="shared" si="36"/>
        <v>0</v>
      </c>
      <c r="AR146" s="30">
        <f t="shared" si="37"/>
        <v>5.537331518863832E-2</v>
      </c>
      <c r="AT146" s="12"/>
      <c r="AU146">
        <f t="shared" si="30"/>
        <v>0</v>
      </c>
      <c r="AV146">
        <f t="shared" si="31"/>
        <v>0</v>
      </c>
      <c r="AW146">
        <f t="shared" si="38"/>
        <v>1</v>
      </c>
      <c r="AX146">
        <f t="shared" si="25"/>
        <v>1</v>
      </c>
      <c r="AY146">
        <f t="shared" si="39"/>
        <v>1</v>
      </c>
      <c r="AZ146" s="29">
        <f t="shared" si="32"/>
        <v>-6.40450921851894E-3</v>
      </c>
      <c r="BA146" s="29">
        <f t="shared" si="33"/>
        <v>7.6939491524361699E-3</v>
      </c>
      <c r="BB146" s="29">
        <f t="shared" si="40"/>
        <v>1.2894399339172299E-3</v>
      </c>
      <c r="BC146" s="30">
        <f t="shared" si="41"/>
        <v>7.8119550270643573E-2</v>
      </c>
      <c r="BE146" s="30">
        <f t="shared" si="42"/>
        <v>1.2894399339172299E-3</v>
      </c>
      <c r="BF146" s="30">
        <f t="shared" si="43"/>
        <v>0.13349286545928188</v>
      </c>
      <c r="BH146" s="30"/>
    </row>
    <row r="147" spans="1:60" x14ac:dyDescent="0.25">
      <c r="A147" s="1">
        <v>46237</v>
      </c>
      <c r="B147" s="34">
        <v>246.08</v>
      </c>
      <c r="C147" s="34">
        <v>273.63</v>
      </c>
      <c r="D147" s="16">
        <v>2.64354340629087E-2</v>
      </c>
      <c r="E147" s="16">
        <v>3.2575444361358397E-2</v>
      </c>
      <c r="F147" s="34">
        <v>0</v>
      </c>
      <c r="G147" s="34">
        <v>0.31490499999999999</v>
      </c>
      <c r="H147" s="34">
        <v>0</v>
      </c>
      <c r="I147" s="34">
        <v>0.17363000000000001</v>
      </c>
      <c r="J147" s="34">
        <v>0.31490499999999999</v>
      </c>
      <c r="K147" s="34">
        <v>0.17363000000000001</v>
      </c>
      <c r="L147" s="34">
        <v>246.39490499999999</v>
      </c>
      <c r="M147" s="34">
        <v>273.80363</v>
      </c>
      <c r="N147" s="35">
        <v>1.1119554616384899</v>
      </c>
      <c r="O147" s="35">
        <v>1.1658179450689301</v>
      </c>
      <c r="P147" s="35">
        <v>1.1195376729493201</v>
      </c>
      <c r="Q147" s="35">
        <v>1.1256630190325001</v>
      </c>
      <c r="R147" s="34">
        <v>286.884479922563</v>
      </c>
      <c r="S147" s="34">
        <v>275.96508283834203</v>
      </c>
      <c r="T147" s="34">
        <v>277.53665660078002</v>
      </c>
      <c r="U147" s="16">
        <v>4.7302796890346603E-2</v>
      </c>
      <c r="V147" s="16">
        <v>8.4975173984433994E-3</v>
      </c>
      <c r="W147" s="16">
        <v>1.4176191461091499E-2</v>
      </c>
      <c r="X147" s="35">
        <v>1.11123900877739</v>
      </c>
      <c r="Y147" s="35">
        <v>1.1654134458566101</v>
      </c>
      <c r="Z147" s="35">
        <v>1.11878883510854</v>
      </c>
      <c r="AA147" s="35">
        <v>1.1249019787022601</v>
      </c>
      <c r="AB147" s="34">
        <v>287.15193527756202</v>
      </c>
      <c r="AC147" s="34">
        <v>276.13178451366099</v>
      </c>
      <c r="AD147" s="34">
        <v>277.70379504789901</v>
      </c>
      <c r="AE147" s="16">
        <v>4.7600296273638598E-2</v>
      </c>
      <c r="AF147" s="16">
        <v>8.4670612628417897E-3</v>
      </c>
      <c r="AG147" s="16">
        <v>1.4143889599381501E-2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9">
        <f t="shared" si="28"/>
        <v>0</v>
      </c>
      <c r="AP147" s="29">
        <f t="shared" si="29"/>
        <v>0</v>
      </c>
      <c r="AQ147" s="29">
        <f t="shared" si="36"/>
        <v>0</v>
      </c>
      <c r="AR147" s="30">
        <f t="shared" si="37"/>
        <v>5.537331518863832E-2</v>
      </c>
      <c r="AT147" s="12"/>
      <c r="AU147">
        <f t="shared" si="30"/>
        <v>0</v>
      </c>
      <c r="AV147">
        <f t="shared" si="31"/>
        <v>1</v>
      </c>
      <c r="AW147">
        <f t="shared" si="38"/>
        <v>1</v>
      </c>
      <c r="AX147">
        <f t="shared" si="25"/>
        <v>1</v>
      </c>
      <c r="AY147">
        <f t="shared" si="39"/>
        <v>1</v>
      </c>
      <c r="AZ147" s="29">
        <f t="shared" si="32"/>
        <v>-2.64354340629087E-2</v>
      </c>
      <c r="BA147" s="29">
        <f t="shared" si="33"/>
        <v>3.2575444361358397E-2</v>
      </c>
      <c r="BB147" s="29">
        <f t="shared" si="40"/>
        <v>6.1400102984496968E-3</v>
      </c>
      <c r="BC147" s="30">
        <f t="shared" si="41"/>
        <v>8.425956056909327E-2</v>
      </c>
      <c r="BE147" s="30">
        <f t="shared" si="42"/>
        <v>6.1400102984496968E-3</v>
      </c>
      <c r="BF147" s="30">
        <f t="shared" si="43"/>
        <v>0.13963287575773159</v>
      </c>
      <c r="BH147" s="30"/>
    </row>
    <row r="148" spans="1:60" x14ac:dyDescent="0.25">
      <c r="A148" s="1">
        <v>46238</v>
      </c>
      <c r="B148" s="34">
        <v>250.65</v>
      </c>
      <c r="C148" s="34">
        <v>282.08999999999997</v>
      </c>
      <c r="D148" s="16">
        <v>1.84008573922332E-2</v>
      </c>
      <c r="E148" s="16">
        <v>3.0449340096918399E-2</v>
      </c>
      <c r="F148" s="34">
        <v>0</v>
      </c>
      <c r="G148" s="34">
        <v>0.31490499999999999</v>
      </c>
      <c r="H148" s="34">
        <v>0</v>
      </c>
      <c r="I148" s="34">
        <v>0.17363000000000001</v>
      </c>
      <c r="J148" s="34">
        <v>0.31490499999999999</v>
      </c>
      <c r="K148" s="34">
        <v>0.17363000000000001</v>
      </c>
      <c r="L148" s="34">
        <v>250.96490499999999</v>
      </c>
      <c r="M148" s="34">
        <v>282.26362999999998</v>
      </c>
      <c r="N148" s="35">
        <v>1.12543387193297</v>
      </c>
      <c r="O148" s="35">
        <v>1.1658179450689301</v>
      </c>
      <c r="P148" s="35">
        <v>1.1167724504098799</v>
      </c>
      <c r="Q148" s="35">
        <v>1.1249541732794599</v>
      </c>
      <c r="R148" s="34">
        <v>292.212267931528</v>
      </c>
      <c r="S148" s="34">
        <v>280.61211772474797</v>
      </c>
      <c r="T148" s="34">
        <v>282.14743572049599</v>
      </c>
      <c r="U148" s="16">
        <v>3.5254314185661502E-2</v>
      </c>
      <c r="V148" s="16">
        <v>-5.2528171721848097E-3</v>
      </c>
      <c r="W148" s="16">
        <v>2.0358706125621199E-4</v>
      </c>
      <c r="X148" s="35">
        <v>1.12471355307627</v>
      </c>
      <c r="Y148" s="35">
        <v>1.1654134458566101</v>
      </c>
      <c r="Z148" s="35">
        <v>1.1160339447510299</v>
      </c>
      <c r="AA148" s="35">
        <v>1.12419485546144</v>
      </c>
      <c r="AB148" s="34">
        <v>292.47787472512698</v>
      </c>
      <c r="AC148" s="34">
        <v>280.77673371807498</v>
      </c>
      <c r="AD148" s="34">
        <v>282.31091821932603</v>
      </c>
      <c r="AE148" s="16">
        <v>3.5547529459129701E-2</v>
      </c>
      <c r="AF148" s="16">
        <v>-5.2816807969538002E-3</v>
      </c>
      <c r="AG148" s="16">
        <v>1.6751807032947699E-4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9">
        <f t="shared" si="28"/>
        <v>0</v>
      </c>
      <c r="AP148" s="29">
        <f t="shared" si="29"/>
        <v>0</v>
      </c>
      <c r="AQ148" s="29">
        <f t="shared" si="36"/>
        <v>0</v>
      </c>
      <c r="AR148" s="30">
        <f t="shared" si="37"/>
        <v>5.537331518863832E-2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9">
        <f t="shared" si="32"/>
        <v>0</v>
      </c>
      <c r="BA148" s="29">
        <f t="shared" si="33"/>
        <v>0</v>
      </c>
      <c r="BB148" s="29">
        <f t="shared" si="40"/>
        <v>0</v>
      </c>
      <c r="BC148" s="30">
        <f t="shared" si="41"/>
        <v>8.425956056909327E-2</v>
      </c>
      <c r="BE148" s="30">
        <f t="shared" si="42"/>
        <v>0</v>
      </c>
      <c r="BF148" s="30">
        <f t="shared" si="43"/>
        <v>0.13963287575773159</v>
      </c>
      <c r="BH148" s="30"/>
    </row>
    <row r="149" spans="1:60" x14ac:dyDescent="0.25">
      <c r="A149" s="1">
        <v>46239</v>
      </c>
      <c r="B149" s="34">
        <v>252.28</v>
      </c>
      <c r="C149" s="34">
        <v>282.08</v>
      </c>
      <c r="D149" s="16">
        <v>6.4820380859381098E-3</v>
      </c>
      <c r="E149" s="16">
        <v>-3.5450307535070802E-5</v>
      </c>
      <c r="F149" s="34">
        <v>0</v>
      </c>
      <c r="G149" s="34">
        <v>0.31490499999999999</v>
      </c>
      <c r="H149" s="34">
        <v>0</v>
      </c>
      <c r="I149" s="34">
        <v>0.17363000000000001</v>
      </c>
      <c r="J149" s="34">
        <v>0.31490499999999999</v>
      </c>
      <c r="K149" s="34">
        <v>0.17363000000000001</v>
      </c>
      <c r="L149" s="34">
        <v>252.59490500000001</v>
      </c>
      <c r="M149" s="34">
        <v>282.25362999999999</v>
      </c>
      <c r="N149" s="35">
        <v>1.1181227207864199</v>
      </c>
      <c r="O149" s="35">
        <v>1.1658179450689301</v>
      </c>
      <c r="P149" s="35">
        <v>1.1142235957523301</v>
      </c>
      <c r="Q149" s="35">
        <v>1.1237243079833901</v>
      </c>
      <c r="R149" s="34">
        <v>294.11255118199102</v>
      </c>
      <c r="S149" s="34">
        <v>281.73935378940502</v>
      </c>
      <c r="T149" s="34">
        <v>283.80343883494402</v>
      </c>
      <c r="U149" s="16">
        <v>4.1771802579134598E-2</v>
      </c>
      <c r="V149" s="16">
        <v>-1.2083524616672799E-3</v>
      </c>
      <c r="W149" s="16">
        <v>6.0911631098926802E-3</v>
      </c>
      <c r="X149" s="35">
        <v>1.1174161648272301</v>
      </c>
      <c r="Y149" s="35">
        <v>1.1654134458566101</v>
      </c>
      <c r="Z149" s="35">
        <v>1.1134950217213699</v>
      </c>
      <c r="AA149" s="35">
        <v>1.1229684667441899</v>
      </c>
      <c r="AB149" s="34">
        <v>294.37749864187299</v>
      </c>
      <c r="AC149" s="34">
        <v>281.90448825116101</v>
      </c>
      <c r="AD149" s="34">
        <v>283.96589271677198</v>
      </c>
      <c r="AE149" s="16">
        <v>4.2056888804115698E-2</v>
      </c>
      <c r="AF149" s="16">
        <v>-1.2377444624733999E-3</v>
      </c>
      <c r="AG149" s="16">
        <v>6.0480709954398902E-3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9">
        <f t="shared" si="28"/>
        <v>0</v>
      </c>
      <c r="AP149" s="29">
        <f t="shared" si="29"/>
        <v>0</v>
      </c>
      <c r="AQ149" s="29">
        <f t="shared" si="36"/>
        <v>0</v>
      </c>
      <c r="AR149" s="30">
        <f t="shared" si="37"/>
        <v>5.537331518863832E-2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9">
        <f t="shared" si="32"/>
        <v>0</v>
      </c>
      <c r="BA149" s="29">
        <f t="shared" si="33"/>
        <v>0</v>
      </c>
      <c r="BB149" s="29">
        <f t="shared" si="40"/>
        <v>0</v>
      </c>
      <c r="BC149" s="30">
        <f t="shared" si="41"/>
        <v>8.425956056909327E-2</v>
      </c>
      <c r="BE149" s="30">
        <f t="shared" si="42"/>
        <v>0</v>
      </c>
      <c r="BF149" s="30">
        <f t="shared" si="43"/>
        <v>0.13963287575773159</v>
      </c>
      <c r="BH149" s="30"/>
    </row>
    <row r="150" spans="1:60" x14ac:dyDescent="0.25">
      <c r="A150" s="1">
        <v>46240</v>
      </c>
      <c r="B150" s="34">
        <v>249.99</v>
      </c>
      <c r="C150" s="34">
        <v>282.91000000000003</v>
      </c>
      <c r="D150" s="16">
        <v>-9.11866473322538E-3</v>
      </c>
      <c r="E150" s="16">
        <v>2.93810721279812E-3</v>
      </c>
      <c r="F150" s="34">
        <v>0</v>
      </c>
      <c r="G150" s="34">
        <v>0.31490499999999999</v>
      </c>
      <c r="H150" s="34">
        <v>0</v>
      </c>
      <c r="I150" s="34">
        <v>0.17363000000000001</v>
      </c>
      <c r="J150" s="34">
        <v>0.31490499999999999</v>
      </c>
      <c r="K150" s="34">
        <v>0.17363000000000001</v>
      </c>
      <c r="L150" s="34">
        <v>250.30490499999999</v>
      </c>
      <c r="M150" s="34">
        <v>283.08363000000003</v>
      </c>
      <c r="N150" s="35">
        <v>1.1316852674106901</v>
      </c>
      <c r="O150" s="35">
        <v>1.1658179450689301</v>
      </c>
      <c r="P150" s="35">
        <v>1.1138295988817699</v>
      </c>
      <c r="Q150" s="35">
        <v>1.1231576657533899</v>
      </c>
      <c r="R150" s="34">
        <v>291.44282808778303</v>
      </c>
      <c r="S150" s="34">
        <v>278.54475670212702</v>
      </c>
      <c r="T150" s="34">
        <v>280.91983975276901</v>
      </c>
      <c r="U150" s="16">
        <v>2.9715030633111299E-2</v>
      </c>
      <c r="V150" s="16">
        <v>-1.5550073115591799E-2</v>
      </c>
      <c r="W150" s="16">
        <v>-7.0594650089437902E-3</v>
      </c>
      <c r="X150" s="35">
        <v>1.13095518443795</v>
      </c>
      <c r="Y150" s="35">
        <v>1.1654134458566101</v>
      </c>
      <c r="Z150" s="35">
        <v>1.11310514419748</v>
      </c>
      <c r="AA150" s="35">
        <v>1.12240414592088</v>
      </c>
      <c r="AB150" s="34">
        <v>291.70870185086198</v>
      </c>
      <c r="AC150" s="34">
        <v>278.71326562994199</v>
      </c>
      <c r="AD150" s="34">
        <v>281.08451538640202</v>
      </c>
      <c r="AE150" s="16">
        <v>3.0013341581102301E-2</v>
      </c>
      <c r="AF150" s="16">
        <v>-1.5558834758775401E-2</v>
      </c>
      <c r="AG150" s="16">
        <v>-7.0869757433288799E-3</v>
      </c>
      <c r="AI150" s="12"/>
      <c r="AJ150">
        <f t="shared" ref="AJ150:AJ176" si="46">IF($AG150&lt;AI$21,1,0)</f>
        <v>0</v>
      </c>
      <c r="AK150">
        <f t="shared" ref="AK150:AK176" si="47">IF($AG150&gt;AI$22,1,0)</f>
        <v>0</v>
      </c>
      <c r="AL150">
        <f t="shared" si="34"/>
        <v>0</v>
      </c>
      <c r="AM150">
        <f t="shared" si="44"/>
        <v>1</v>
      </c>
      <c r="AN150">
        <f t="shared" si="35"/>
        <v>0</v>
      </c>
      <c r="AO150" s="29">
        <f t="shared" ref="AO150:AO176" si="48">AN150*D150</f>
        <v>0</v>
      </c>
      <c r="AP150" s="29">
        <f t="shared" ref="AP150:AP176" si="49">-AN150*$E150</f>
        <v>0</v>
      </c>
      <c r="AQ150" s="29">
        <f t="shared" si="36"/>
        <v>0</v>
      </c>
      <c r="AR150" s="30">
        <f t="shared" si="37"/>
        <v>5.537331518863832E-2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9">
        <f t="shared" ref="AZ150:AZ176" si="52">-AY150*D150</f>
        <v>0</v>
      </c>
      <c r="BA150" s="29">
        <f t="shared" ref="BA150:BA176" si="53">AY150*$E150</f>
        <v>0</v>
      </c>
      <c r="BB150" s="29">
        <f t="shared" si="40"/>
        <v>0</v>
      </c>
      <c r="BC150" s="30">
        <f t="shared" si="41"/>
        <v>8.425956056909327E-2</v>
      </c>
      <c r="BE150" s="30">
        <f t="shared" si="42"/>
        <v>0</v>
      </c>
      <c r="BF150" s="30">
        <f t="shared" si="43"/>
        <v>0.13963287575773159</v>
      </c>
      <c r="BH150" s="30"/>
    </row>
    <row r="151" spans="1:60" x14ac:dyDescent="0.25">
      <c r="A151" s="1">
        <v>46241</v>
      </c>
      <c r="B151" s="34">
        <v>250.75</v>
      </c>
      <c r="C151" s="34">
        <v>286.83</v>
      </c>
      <c r="D151" s="16">
        <v>3.0355097798197201E-3</v>
      </c>
      <c r="E151" s="16">
        <v>1.3760879903106E-2</v>
      </c>
      <c r="F151" s="34">
        <v>0</v>
      </c>
      <c r="G151" s="34">
        <v>0.31490499999999999</v>
      </c>
      <c r="H151" s="34">
        <v>0</v>
      </c>
      <c r="I151" s="34">
        <v>0.17363000000000001</v>
      </c>
      <c r="J151" s="34">
        <v>0.31490499999999999</v>
      </c>
      <c r="K151" s="34">
        <v>0.17363000000000001</v>
      </c>
      <c r="L151" s="34">
        <v>251.06490500000001</v>
      </c>
      <c r="M151" s="34">
        <v>287.00362999999999</v>
      </c>
      <c r="N151" s="35">
        <v>1.14388833499501</v>
      </c>
      <c r="O151" s="35">
        <v>1.1658179450689301</v>
      </c>
      <c r="P151" s="35">
        <v>1.1161962786376201</v>
      </c>
      <c r="Q151" s="35">
        <v>1.1235776325742599</v>
      </c>
      <c r="R151" s="34">
        <v>292.328849726035</v>
      </c>
      <c r="S151" s="34">
        <v>279.29277191960398</v>
      </c>
      <c r="T151" s="34">
        <v>281.63178468766398</v>
      </c>
      <c r="U151" s="16">
        <v>1.8989660509824799E-2</v>
      </c>
      <c r="V151" s="16">
        <v>-2.6629112420226201E-2</v>
      </c>
      <c r="W151" s="16">
        <v>-1.82892160909412E-2</v>
      </c>
      <c r="X151" s="35">
        <v>1.14314515603046</v>
      </c>
      <c r="Y151" s="35">
        <v>1.1654134458566101</v>
      </c>
      <c r="Z151" s="35">
        <v>1.1154720037525001</v>
      </c>
      <c r="AA151" s="35">
        <v>1.1228253749394399</v>
      </c>
      <c r="AB151" s="34">
        <v>292.59441606971302</v>
      </c>
      <c r="AC151" s="34">
        <v>279.46163728295198</v>
      </c>
      <c r="AD151" s="34">
        <v>281.79629026723302</v>
      </c>
      <c r="AE151" s="16">
        <v>1.9292540805100199E-2</v>
      </c>
      <c r="AF151" s="16">
        <v>-2.6629835390006899E-2</v>
      </c>
      <c r="AG151" s="16">
        <v>-1.8310428802530102E-2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9">
        <f t="shared" si="48"/>
        <v>0</v>
      </c>
      <c r="AP151" s="29">
        <f t="shared" si="49"/>
        <v>0</v>
      </c>
      <c r="AQ151" s="29">
        <f t="shared" ref="AQ151:AQ176" si="56">AO151+AP151</f>
        <v>0</v>
      </c>
      <c r="AR151" s="30">
        <f t="shared" ref="AR151:AR176" si="57">AR150+AQ151</f>
        <v>5.537331518863832E-2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9">
        <f t="shared" si="52"/>
        <v>0</v>
      </c>
      <c r="BA151" s="29">
        <f t="shared" si="53"/>
        <v>0</v>
      </c>
      <c r="BB151" s="29">
        <f t="shared" ref="BB151:BB176" si="60">AZ151+BA151</f>
        <v>0</v>
      </c>
      <c r="BC151" s="30">
        <f t="shared" ref="BC151:BC176" si="61">BC150+BB151</f>
        <v>8.425956056909327E-2</v>
      </c>
      <c r="BE151" s="30">
        <f t="shared" ref="BE151:BE176" si="62">AQ151+BB151</f>
        <v>0</v>
      </c>
      <c r="BF151" s="30">
        <f t="shared" ref="BF151:BF176" si="63">BF150+BE151</f>
        <v>0.13963287575773159</v>
      </c>
      <c r="BH151" s="30"/>
    </row>
    <row r="152" spans="1:60" x14ac:dyDescent="0.25">
      <c r="A152" s="1">
        <v>46244</v>
      </c>
      <c r="B152" s="34">
        <v>251.13</v>
      </c>
      <c r="C152" s="34">
        <v>288.29000000000002</v>
      </c>
      <c r="D152" s="16">
        <v>1.5143064980297099E-3</v>
      </c>
      <c r="E152" s="16">
        <v>5.0772121864382401E-3</v>
      </c>
      <c r="F152" s="34">
        <v>0</v>
      </c>
      <c r="G152" s="34">
        <v>0.31490499999999999</v>
      </c>
      <c r="H152" s="34">
        <v>0</v>
      </c>
      <c r="I152" s="34">
        <v>0.17363000000000001</v>
      </c>
      <c r="J152" s="34">
        <v>0.31490499999999999</v>
      </c>
      <c r="K152" s="34">
        <v>0.17363000000000001</v>
      </c>
      <c r="L152" s="34">
        <v>251.44490500000001</v>
      </c>
      <c r="M152" s="34">
        <v>288.46363000000002</v>
      </c>
      <c r="N152" s="35">
        <v>1.14797117031019</v>
      </c>
      <c r="O152" s="35">
        <v>1.1658179450689301</v>
      </c>
      <c r="P152" s="35">
        <v>1.11903816628075</v>
      </c>
      <c r="Q152" s="35">
        <v>1.1247817643720499</v>
      </c>
      <c r="R152" s="34">
        <v>292.77186054516102</v>
      </c>
      <c r="S152" s="34">
        <v>280.31037145426598</v>
      </c>
      <c r="T152" s="34">
        <v>282.16405086837398</v>
      </c>
      <c r="U152" s="16">
        <v>1.54267548214163E-2</v>
      </c>
      <c r="V152" s="16">
        <v>-2.8069459201806202E-2</v>
      </c>
      <c r="W152" s="16">
        <v>-2.1478275491301099E-2</v>
      </c>
      <c r="X152" s="35">
        <v>1.1472240012180801</v>
      </c>
      <c r="Y152" s="35">
        <v>1.1654134458566101</v>
      </c>
      <c r="Z152" s="35">
        <v>1.11831243589893</v>
      </c>
      <c r="AA152" s="35">
        <v>1.1240304479855701</v>
      </c>
      <c r="AB152" s="34">
        <v>293.03727317913803</v>
      </c>
      <c r="AC152" s="34">
        <v>280.479752013709</v>
      </c>
      <c r="AD152" s="34">
        <v>282.32871973323699</v>
      </c>
      <c r="AE152" s="16">
        <v>1.5730800998469699E-2</v>
      </c>
      <c r="AF152" s="16">
        <v>-2.80674751204061E-2</v>
      </c>
      <c r="AG152" s="16">
        <v>-2.1496947261334401E-2</v>
      </c>
      <c r="AI152" s="12"/>
      <c r="AJ152">
        <f t="shared" si="46"/>
        <v>0</v>
      </c>
      <c r="AK152">
        <f t="shared" si="47"/>
        <v>0</v>
      </c>
      <c r="AL152">
        <f t="shared" si="54"/>
        <v>0</v>
      </c>
      <c r="AM152">
        <f t="shared" si="44"/>
        <v>1</v>
      </c>
      <c r="AN152">
        <f t="shared" si="55"/>
        <v>0</v>
      </c>
      <c r="AO152" s="29">
        <f t="shared" si="48"/>
        <v>0</v>
      </c>
      <c r="AP152" s="29">
        <f t="shared" si="49"/>
        <v>0</v>
      </c>
      <c r="AQ152" s="29">
        <f t="shared" si="56"/>
        <v>0</v>
      </c>
      <c r="AR152" s="30">
        <f t="shared" si="57"/>
        <v>5.537331518863832E-2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9">
        <f t="shared" si="52"/>
        <v>0</v>
      </c>
      <c r="BA152" s="29">
        <f t="shared" si="53"/>
        <v>0</v>
      </c>
      <c r="BB152" s="29">
        <f t="shared" si="60"/>
        <v>0</v>
      </c>
      <c r="BC152" s="30">
        <f t="shared" si="61"/>
        <v>8.425956056909327E-2</v>
      </c>
      <c r="BE152" s="30">
        <f t="shared" si="62"/>
        <v>0</v>
      </c>
      <c r="BF152" s="30">
        <f t="shared" si="63"/>
        <v>0.13963287575773159</v>
      </c>
      <c r="BH152" s="30"/>
    </row>
    <row r="153" spans="1:60" x14ac:dyDescent="0.25">
      <c r="A153" s="1">
        <v>46245</v>
      </c>
      <c r="B153" s="34">
        <v>251.9</v>
      </c>
      <c r="C153" s="34">
        <v>292.33</v>
      </c>
      <c r="D153" s="16">
        <v>3.0614500184897699E-3</v>
      </c>
      <c r="E153" s="16">
        <v>1.39163831786096E-2</v>
      </c>
      <c r="F153" s="34">
        <v>0</v>
      </c>
      <c r="G153" s="34">
        <v>0.31490499999999999</v>
      </c>
      <c r="H153" s="34">
        <v>0</v>
      </c>
      <c r="I153" s="34">
        <v>0.17363000000000001</v>
      </c>
      <c r="J153" s="34">
        <v>0.31490499999999999</v>
      </c>
      <c r="K153" s="34">
        <v>0.17363000000000001</v>
      </c>
      <c r="L153" s="34">
        <v>252.21490499999999</v>
      </c>
      <c r="M153" s="34">
        <v>292.50362999999999</v>
      </c>
      <c r="N153" s="35">
        <v>1.16050019849146</v>
      </c>
      <c r="O153" s="35">
        <v>1.1658179450689301</v>
      </c>
      <c r="P153" s="35">
        <v>1.12409137006328</v>
      </c>
      <c r="Q153" s="35">
        <v>1.12615696769144</v>
      </c>
      <c r="R153" s="34">
        <v>293.66954036286398</v>
      </c>
      <c r="S153" s="34">
        <v>281.88571408612199</v>
      </c>
      <c r="T153" s="34">
        <v>283.33252644531899</v>
      </c>
      <c r="U153" s="16">
        <v>4.5718216612964501E-3</v>
      </c>
      <c r="V153" s="16">
        <v>-3.6381581534302702E-2</v>
      </c>
      <c r="W153" s="16">
        <v>-3.1262088158362303E-2</v>
      </c>
      <c r="X153" s="35">
        <v>1.1597396672492399</v>
      </c>
      <c r="Y153" s="35">
        <v>1.1654134458566101</v>
      </c>
      <c r="Z153" s="35">
        <v>1.12336129800336</v>
      </c>
      <c r="AA153" s="35">
        <v>1.1254064973834801</v>
      </c>
      <c r="AB153" s="34">
        <v>293.93464153244798</v>
      </c>
      <c r="AC153" s="34">
        <v>282.05506478056901</v>
      </c>
      <c r="AD153" s="34">
        <v>283.49723265578803</v>
      </c>
      <c r="AE153" s="16">
        <v>4.8803580605838197E-3</v>
      </c>
      <c r="AF153" s="16">
        <v>-3.6374759795641601E-2</v>
      </c>
      <c r="AG153" s="16">
        <v>-3.1274715086393602E-2</v>
      </c>
      <c r="AI153" s="12"/>
      <c r="AJ153">
        <f t="shared" si="46"/>
        <v>1</v>
      </c>
      <c r="AK153">
        <f t="shared" si="47"/>
        <v>0</v>
      </c>
      <c r="AL153">
        <f t="shared" si="54"/>
        <v>0</v>
      </c>
      <c r="AM153">
        <f t="shared" si="44"/>
        <v>1</v>
      </c>
      <c r="AN153">
        <f t="shared" si="55"/>
        <v>0</v>
      </c>
      <c r="AO153" s="29">
        <f t="shared" si="48"/>
        <v>0</v>
      </c>
      <c r="AP153" s="29">
        <f t="shared" si="49"/>
        <v>0</v>
      </c>
      <c r="AQ153" s="29">
        <f t="shared" si="56"/>
        <v>0</v>
      </c>
      <c r="AR153" s="30">
        <f t="shared" si="57"/>
        <v>5.537331518863832E-2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9">
        <f t="shared" si="52"/>
        <v>0</v>
      </c>
      <c r="BA153" s="29">
        <f t="shared" si="53"/>
        <v>0</v>
      </c>
      <c r="BB153" s="29">
        <f t="shared" si="60"/>
        <v>0</v>
      </c>
      <c r="BC153" s="30">
        <f t="shared" si="61"/>
        <v>8.425956056909327E-2</v>
      </c>
      <c r="BE153" s="30">
        <f t="shared" si="62"/>
        <v>0</v>
      </c>
      <c r="BF153" s="30">
        <f t="shared" si="63"/>
        <v>0.13963287575773159</v>
      </c>
      <c r="BH153" s="30"/>
    </row>
    <row r="154" spans="1:60" x14ac:dyDescent="0.25">
      <c r="A154" s="1">
        <v>46246</v>
      </c>
      <c r="B154" s="34">
        <v>251.62</v>
      </c>
      <c r="C154" s="34">
        <v>293.33999999999997</v>
      </c>
      <c r="D154" s="16">
        <v>-1.1121704355797201E-3</v>
      </c>
      <c r="E154" s="16">
        <v>3.4490446880968699E-3</v>
      </c>
      <c r="F154" s="34">
        <v>0</v>
      </c>
      <c r="G154" s="34">
        <v>0.31490499999999999</v>
      </c>
      <c r="H154" s="34">
        <v>0</v>
      </c>
      <c r="I154" s="34">
        <v>0.17363000000000001</v>
      </c>
      <c r="J154" s="34">
        <v>0.31490499999999999</v>
      </c>
      <c r="K154" s="34">
        <v>0.17363000000000001</v>
      </c>
      <c r="L154" s="34">
        <v>251.93490499999999</v>
      </c>
      <c r="M154" s="34">
        <v>293.51362999999998</v>
      </c>
      <c r="N154" s="35">
        <v>1.1658055798426099</v>
      </c>
      <c r="O154" s="35">
        <v>1.1658179450689301</v>
      </c>
      <c r="P154" s="35">
        <v>1.1314236422607</v>
      </c>
      <c r="Q154" s="35">
        <v>1.1281237545932301</v>
      </c>
      <c r="R154" s="34">
        <v>293.34311133824502</v>
      </c>
      <c r="S154" s="34">
        <v>282.84387053532299</v>
      </c>
      <c r="T154" s="34">
        <v>283.36361621052203</v>
      </c>
      <c r="U154" s="16">
        <v>1.0606537619903101E-5</v>
      </c>
      <c r="V154" s="16">
        <v>-3.6437294636095699E-2</v>
      </c>
      <c r="W154" s="16">
        <v>-3.4601409970676698E-2</v>
      </c>
      <c r="X154" s="35">
        <v>1.16503757190771</v>
      </c>
      <c r="Y154" s="35">
        <v>1.1654134458566101</v>
      </c>
      <c r="Z154" s="35">
        <v>1.13068879662182</v>
      </c>
      <c r="AA154" s="35">
        <v>1.12737313363152</v>
      </c>
      <c r="AB154" s="34">
        <v>293.60832576760799</v>
      </c>
      <c r="AC154" s="34">
        <v>283.01392189315402</v>
      </c>
      <c r="AD154" s="34">
        <v>283.52917900468998</v>
      </c>
      <c r="AE154" s="16">
        <v>3.2257614452822498E-4</v>
      </c>
      <c r="AF154" s="16">
        <v>-3.6427987310870498E-2</v>
      </c>
      <c r="AG154" s="16">
        <v>-3.46090356625883E-2</v>
      </c>
      <c r="AI154" s="12"/>
      <c r="AJ154">
        <f t="shared" si="46"/>
        <v>1</v>
      </c>
      <c r="AK154">
        <f t="shared" si="47"/>
        <v>0</v>
      </c>
      <c r="AL154">
        <f t="shared" si="54"/>
        <v>1</v>
      </c>
      <c r="AM154">
        <f t="shared" si="44"/>
        <v>1</v>
      </c>
      <c r="AN154">
        <f t="shared" si="55"/>
        <v>1</v>
      </c>
      <c r="AO154" s="29">
        <f t="shared" si="48"/>
        <v>-1.1121704355797201E-3</v>
      </c>
      <c r="AP154" s="29">
        <f t="shared" si="49"/>
        <v>-3.4490446880968699E-3</v>
      </c>
      <c r="AQ154" s="29">
        <f t="shared" si="56"/>
        <v>-4.5612151236765902E-3</v>
      </c>
      <c r="AR154" s="30">
        <f t="shared" si="57"/>
        <v>5.0812100064961729E-2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9">
        <f t="shared" si="52"/>
        <v>0</v>
      </c>
      <c r="BA154" s="29">
        <f t="shared" si="53"/>
        <v>0</v>
      </c>
      <c r="BB154" s="29">
        <f t="shared" si="60"/>
        <v>0</v>
      </c>
      <c r="BC154" s="30">
        <f t="shared" si="61"/>
        <v>8.425956056909327E-2</v>
      </c>
      <c r="BE154" s="30">
        <f t="shared" si="62"/>
        <v>-4.5612151236765902E-3</v>
      </c>
      <c r="BF154" s="30">
        <f t="shared" si="63"/>
        <v>0.13507166063405501</v>
      </c>
      <c r="BH154" s="30"/>
    </row>
    <row r="155" spans="1:60" x14ac:dyDescent="0.25">
      <c r="A155" s="1">
        <v>46247</v>
      </c>
      <c r="B155" s="34">
        <v>249.69</v>
      </c>
      <c r="C155" s="34">
        <v>292.10000000000002</v>
      </c>
      <c r="D155" s="16">
        <v>-7.6998644968714501E-3</v>
      </c>
      <c r="E155" s="16">
        <v>-4.2361364249137601E-3</v>
      </c>
      <c r="F155" s="34">
        <v>0</v>
      </c>
      <c r="G155" s="34">
        <v>0.31490499999999999</v>
      </c>
      <c r="H155" s="34">
        <v>0</v>
      </c>
      <c r="I155" s="34">
        <v>0.17363000000000001</v>
      </c>
      <c r="J155" s="34">
        <v>0.31490499999999999</v>
      </c>
      <c r="K155" s="34">
        <v>0.17363000000000001</v>
      </c>
      <c r="L155" s="34">
        <v>250.00490500000001</v>
      </c>
      <c r="M155" s="34">
        <v>292.27363000000003</v>
      </c>
      <c r="N155" s="35">
        <v>1.1698506147623</v>
      </c>
      <c r="O155" s="35">
        <v>1.1658179450689301</v>
      </c>
      <c r="P155" s="35">
        <v>1.13803621811983</v>
      </c>
      <c r="Q155" s="35">
        <v>1.1305159778256</v>
      </c>
      <c r="R155" s="34">
        <v>291.09308270426197</v>
      </c>
      <c r="S155" s="34">
        <v>282.50516923607398</v>
      </c>
      <c r="T155" s="34">
        <v>281.68122028438398</v>
      </c>
      <c r="U155" s="16">
        <v>-3.4531215343376301E-3</v>
      </c>
      <c r="V155" s="16">
        <v>-3.33993607938151E-2</v>
      </c>
      <c r="W155" s="16">
        <v>-3.6320202390760899E-2</v>
      </c>
      <c r="X155" s="35">
        <v>1.16907158281554</v>
      </c>
      <c r="Y155" s="35">
        <v>1.1654134458566101</v>
      </c>
      <c r="Z155" s="35">
        <v>1.1372964163160399</v>
      </c>
      <c r="AA155" s="35">
        <v>1.1297652658925299</v>
      </c>
      <c r="AB155" s="34">
        <v>291.359077817105</v>
      </c>
      <c r="AC155" s="34">
        <v>282.67774518400302</v>
      </c>
      <c r="AD155" s="34">
        <v>281.84881317310197</v>
      </c>
      <c r="AE155" s="16">
        <v>-3.1340016390570299E-3</v>
      </c>
      <c r="AF155" s="16">
        <v>-3.3382913291836597E-2</v>
      </c>
      <c r="AG155" s="16">
        <v>-3.63196488426605E-2</v>
      </c>
      <c r="AI155" s="12"/>
      <c r="AJ155">
        <f t="shared" si="46"/>
        <v>1</v>
      </c>
      <c r="AK155">
        <f t="shared" si="47"/>
        <v>0</v>
      </c>
      <c r="AL155">
        <f t="shared" si="54"/>
        <v>1</v>
      </c>
      <c r="AM155">
        <f t="shared" si="44"/>
        <v>1</v>
      </c>
      <c r="AN155">
        <f t="shared" si="55"/>
        <v>1</v>
      </c>
      <c r="AO155" s="29">
        <f t="shared" si="48"/>
        <v>-7.6998644968714501E-3</v>
      </c>
      <c r="AP155" s="29">
        <f t="shared" si="49"/>
        <v>4.2361364249137601E-3</v>
      </c>
      <c r="AQ155" s="29">
        <f t="shared" si="56"/>
        <v>-3.4637280719576899E-3</v>
      </c>
      <c r="AR155" s="30">
        <f t="shared" si="57"/>
        <v>4.734837199300404E-2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9">
        <f t="shared" si="52"/>
        <v>0</v>
      </c>
      <c r="BA155" s="29">
        <f t="shared" si="53"/>
        <v>0</v>
      </c>
      <c r="BB155" s="29">
        <f t="shared" si="60"/>
        <v>0</v>
      </c>
      <c r="BC155" s="30">
        <f t="shared" si="61"/>
        <v>8.425956056909327E-2</v>
      </c>
      <c r="BE155" s="30">
        <f t="shared" si="62"/>
        <v>-3.4637280719576899E-3</v>
      </c>
      <c r="BF155" s="30">
        <f t="shared" si="63"/>
        <v>0.13160793256209732</v>
      </c>
      <c r="BH155" s="30"/>
    </row>
    <row r="156" spans="1:60" x14ac:dyDescent="0.25">
      <c r="A156" s="1">
        <v>46248</v>
      </c>
      <c r="B156" s="34">
        <v>253.22</v>
      </c>
      <c r="C156" s="34">
        <v>296.73</v>
      </c>
      <c r="D156" s="16">
        <v>1.40385276659937E-2</v>
      </c>
      <c r="E156" s="16">
        <v>1.5726425026163698E-2</v>
      </c>
      <c r="F156" s="34">
        <v>0</v>
      </c>
      <c r="G156" s="34">
        <v>0.31490499999999999</v>
      </c>
      <c r="H156" s="34">
        <v>0</v>
      </c>
      <c r="I156" s="34">
        <v>0.17363000000000001</v>
      </c>
      <c r="J156" s="34">
        <v>0.31490499999999999</v>
      </c>
      <c r="K156" s="34">
        <v>0.17363000000000001</v>
      </c>
      <c r="L156" s="34">
        <v>253.53490500000001</v>
      </c>
      <c r="M156" s="34">
        <v>296.90363000000002</v>
      </c>
      <c r="N156" s="35">
        <v>1.1718268699154799</v>
      </c>
      <c r="O156" s="35">
        <v>1.1658179450689301</v>
      </c>
      <c r="P156" s="35">
        <v>1.1447040090085601</v>
      </c>
      <c r="Q156" s="35">
        <v>1.1330742957070199</v>
      </c>
      <c r="R156" s="34">
        <v>295.20842005035502</v>
      </c>
      <c r="S156" s="34">
        <v>288.17353115230298</v>
      </c>
      <c r="T156" s="34">
        <v>286.26925590500002</v>
      </c>
      <c r="U156" s="16">
        <v>-5.1410188945078296E-3</v>
      </c>
      <c r="V156" s="16">
        <v>-2.9259797014208E-2</v>
      </c>
      <c r="W156" s="16">
        <v>-3.5889812276783797E-2</v>
      </c>
      <c r="X156" s="35">
        <v>1.1710562299104299</v>
      </c>
      <c r="Y156" s="35">
        <v>1.1654134458566101</v>
      </c>
      <c r="Z156" s="35">
        <v>1.1439598120250301</v>
      </c>
      <c r="AA156" s="35">
        <v>1.1323238476083499</v>
      </c>
      <c r="AB156" s="34">
        <v>295.472987280979</v>
      </c>
      <c r="AC156" s="34">
        <v>288.34433886752902</v>
      </c>
      <c r="AD156" s="34">
        <v>286.43492936036301</v>
      </c>
      <c r="AE156" s="16">
        <v>-4.8301889668802304E-3</v>
      </c>
      <c r="AF156" s="16">
        <v>-2.9252221015712201E-2</v>
      </c>
      <c r="AG156" s="16">
        <v>-3.5896220326706203E-2</v>
      </c>
      <c r="AI156" s="12"/>
      <c r="AJ156">
        <f t="shared" si="46"/>
        <v>1</v>
      </c>
      <c r="AK156">
        <f t="shared" si="47"/>
        <v>0</v>
      </c>
      <c r="AL156">
        <f t="shared" si="54"/>
        <v>1</v>
      </c>
      <c r="AM156">
        <f t="shared" si="44"/>
        <v>1</v>
      </c>
      <c r="AN156">
        <f t="shared" si="55"/>
        <v>1</v>
      </c>
      <c r="AO156" s="29">
        <f t="shared" si="48"/>
        <v>1.40385276659937E-2</v>
      </c>
      <c r="AP156" s="29">
        <f t="shared" si="49"/>
        <v>-1.5726425026163698E-2</v>
      </c>
      <c r="AQ156" s="29">
        <f t="shared" si="56"/>
        <v>-1.6878973601699987E-3</v>
      </c>
      <c r="AR156" s="30">
        <f t="shared" si="57"/>
        <v>4.5660474632834042E-2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9">
        <f t="shared" si="52"/>
        <v>0</v>
      </c>
      <c r="BA156" s="29">
        <f t="shared" si="53"/>
        <v>0</v>
      </c>
      <c r="BB156" s="29">
        <f t="shared" si="60"/>
        <v>0</v>
      </c>
      <c r="BC156" s="30">
        <f t="shared" si="61"/>
        <v>8.425956056909327E-2</v>
      </c>
      <c r="BE156" s="30">
        <f t="shared" si="62"/>
        <v>-1.6878973601699987E-3</v>
      </c>
      <c r="BF156" s="30">
        <f t="shared" si="63"/>
        <v>0.12992003520192733</v>
      </c>
      <c r="BH156" s="30"/>
    </row>
    <row r="157" spans="1:60" x14ac:dyDescent="0.25">
      <c r="A157" s="1">
        <v>46251</v>
      </c>
      <c r="B157" s="34">
        <v>251.2</v>
      </c>
      <c r="C157" s="34">
        <v>294.87</v>
      </c>
      <c r="D157" s="16">
        <v>-8.0092414980635004E-3</v>
      </c>
      <c r="E157" s="16">
        <v>-6.2880531732114001E-3</v>
      </c>
      <c r="F157" s="34">
        <v>0</v>
      </c>
      <c r="G157" s="34">
        <v>0.31490499999999999</v>
      </c>
      <c r="H157" s="34">
        <v>0</v>
      </c>
      <c r="I157" s="34">
        <v>0.17363000000000001</v>
      </c>
      <c r="J157" s="34">
        <v>0.31490499999999999</v>
      </c>
      <c r="K157" s="34">
        <v>0.17363000000000001</v>
      </c>
      <c r="L157" s="34">
        <v>251.514905</v>
      </c>
      <c r="M157" s="34">
        <v>295.04363000000001</v>
      </c>
      <c r="N157" s="35">
        <v>1.1738455414012701</v>
      </c>
      <c r="O157" s="35">
        <v>1.1658179450689301</v>
      </c>
      <c r="P157" s="35">
        <v>1.1508930169848399</v>
      </c>
      <c r="Q157" s="35">
        <v>1.1352153449670801</v>
      </c>
      <c r="R157" s="34">
        <v>292.85346780131601</v>
      </c>
      <c r="S157" s="34">
        <v>287.54964706295198</v>
      </c>
      <c r="T157" s="34">
        <v>284.62826308160498</v>
      </c>
      <c r="U157" s="16">
        <v>-6.8622072193598102E-3</v>
      </c>
      <c r="V157" s="16">
        <v>-2.5139050481300301E-2</v>
      </c>
      <c r="W157" s="16">
        <v>-3.53505924344584E-2</v>
      </c>
      <c r="X157" s="35">
        <v>1.17306618468595</v>
      </c>
      <c r="Y157" s="35">
        <v>1.1654134458566101</v>
      </c>
      <c r="Z157" s="35">
        <v>1.15014252961589</v>
      </c>
      <c r="AA157" s="35">
        <v>1.1344656823622099</v>
      </c>
      <c r="AB157" s="34">
        <v>293.11885212034798</v>
      </c>
      <c r="AC157" s="34">
        <v>287.72294344529399</v>
      </c>
      <c r="AD157" s="34">
        <v>284.79632496044798</v>
      </c>
      <c r="AE157" s="16">
        <v>-6.5450783050687699E-3</v>
      </c>
      <c r="AF157" s="16">
        <v>-2.5125228519971701E-2</v>
      </c>
      <c r="AG157" s="16">
        <v>-3.5348968185473E-2</v>
      </c>
      <c r="AI157" s="12"/>
      <c r="AJ157">
        <f t="shared" si="46"/>
        <v>1</v>
      </c>
      <c r="AK157">
        <f t="shared" si="47"/>
        <v>0</v>
      </c>
      <c r="AL157">
        <f t="shared" si="54"/>
        <v>1</v>
      </c>
      <c r="AM157">
        <f t="shared" si="44"/>
        <v>1</v>
      </c>
      <c r="AN157">
        <f t="shared" si="55"/>
        <v>1</v>
      </c>
      <c r="AO157" s="29">
        <f t="shared" si="48"/>
        <v>-8.0092414980635004E-3</v>
      </c>
      <c r="AP157" s="29">
        <f t="shared" si="49"/>
        <v>6.2880531732114001E-3</v>
      </c>
      <c r="AQ157" s="29">
        <f t="shared" si="56"/>
        <v>-1.7211883248521003E-3</v>
      </c>
      <c r="AR157" s="30">
        <f t="shared" si="57"/>
        <v>4.393928630798194E-2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9">
        <f t="shared" si="52"/>
        <v>0</v>
      </c>
      <c r="BA157" s="29">
        <f t="shared" si="53"/>
        <v>0</v>
      </c>
      <c r="BB157" s="29">
        <f t="shared" si="60"/>
        <v>0</v>
      </c>
      <c r="BC157" s="30">
        <f t="shared" si="61"/>
        <v>8.425956056909327E-2</v>
      </c>
      <c r="BE157" s="30">
        <f t="shared" si="62"/>
        <v>-1.7211883248521003E-3</v>
      </c>
      <c r="BF157" s="30">
        <f t="shared" si="63"/>
        <v>0.12819884687707522</v>
      </c>
      <c r="BH157" s="30"/>
    </row>
    <row r="158" spans="1:60" x14ac:dyDescent="0.25">
      <c r="A158" s="1">
        <v>46252</v>
      </c>
      <c r="B158" s="34">
        <v>252.16</v>
      </c>
      <c r="C158" s="34">
        <v>290.43</v>
      </c>
      <c r="D158" s="16">
        <v>3.8143720754706899E-3</v>
      </c>
      <c r="E158" s="16">
        <v>-1.51719978465577E-2</v>
      </c>
      <c r="F158" s="34">
        <v>0</v>
      </c>
      <c r="G158" s="34">
        <v>0.31490499999999999</v>
      </c>
      <c r="H158" s="34">
        <v>0</v>
      </c>
      <c r="I158" s="34">
        <v>0.17363000000000001</v>
      </c>
      <c r="J158" s="34">
        <v>0.31490499999999999</v>
      </c>
      <c r="K158" s="34">
        <v>0.17363000000000001</v>
      </c>
      <c r="L158" s="34">
        <v>252.47490500000001</v>
      </c>
      <c r="M158" s="34">
        <v>290.60363000000001</v>
      </c>
      <c r="N158" s="35">
        <v>1.1517687182741101</v>
      </c>
      <c r="O158" s="35">
        <v>1.1658179450689301</v>
      </c>
      <c r="P158" s="35">
        <v>1.15352650161896</v>
      </c>
      <c r="Q158" s="35">
        <v>1.1351494760144201</v>
      </c>
      <c r="R158" s="34">
        <v>293.97265302858199</v>
      </c>
      <c r="S158" s="34">
        <v>290.209183162898</v>
      </c>
      <c r="T158" s="34">
        <v>286.25590138690001</v>
      </c>
      <c r="U158" s="16">
        <v>1.2124162702668501E-2</v>
      </c>
      <c r="V158" s="16">
        <v>-7.6059919533413498E-4</v>
      </c>
      <c r="W158" s="16">
        <v>-1.4476412545372601E-2</v>
      </c>
      <c r="X158" s="35">
        <v>1.1510198607659601</v>
      </c>
      <c r="Y158" s="35">
        <v>1.1654134458566101</v>
      </c>
      <c r="Z158" s="35">
        <v>1.1527731603848499</v>
      </c>
      <c r="AA158" s="35">
        <v>1.1344035525679399</v>
      </c>
      <c r="AB158" s="34">
        <v>294.23764902837098</v>
      </c>
      <c r="AC158" s="34">
        <v>290.38212590123101</v>
      </c>
      <c r="AD158" s="34">
        <v>286.42411538016</v>
      </c>
      <c r="AE158" s="16">
        <v>1.24275283891089E-2</v>
      </c>
      <c r="AF158" s="16">
        <v>-7.6251132579693804E-4</v>
      </c>
      <c r="AG158" s="16">
        <v>-1.44866091671819E-2</v>
      </c>
      <c r="AI158" s="12"/>
      <c r="AJ158">
        <f t="shared" si="46"/>
        <v>0</v>
      </c>
      <c r="AK158">
        <f t="shared" si="47"/>
        <v>0</v>
      </c>
      <c r="AL158">
        <f t="shared" si="54"/>
        <v>1</v>
      </c>
      <c r="AM158">
        <f t="shared" si="44"/>
        <v>1</v>
      </c>
      <c r="AN158">
        <f t="shared" si="55"/>
        <v>1</v>
      </c>
      <c r="AO158" s="29">
        <f t="shared" si="48"/>
        <v>3.8143720754706899E-3</v>
      </c>
      <c r="AP158" s="29">
        <f t="shared" si="49"/>
        <v>1.51719978465577E-2</v>
      </c>
      <c r="AQ158" s="29">
        <f t="shared" si="56"/>
        <v>1.8986369922028391E-2</v>
      </c>
      <c r="AR158" s="30">
        <f t="shared" si="57"/>
        <v>6.2925656230010327E-2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9">
        <f t="shared" si="52"/>
        <v>0</v>
      </c>
      <c r="BA158" s="29">
        <f t="shared" si="53"/>
        <v>0</v>
      </c>
      <c r="BB158" s="29">
        <f t="shared" si="60"/>
        <v>0</v>
      </c>
      <c r="BC158" s="30">
        <f t="shared" si="61"/>
        <v>8.425956056909327E-2</v>
      </c>
      <c r="BE158" s="30">
        <f t="shared" si="62"/>
        <v>1.8986369922028391E-2</v>
      </c>
      <c r="BF158" s="30">
        <f t="shared" si="63"/>
        <v>0.14718521679910362</v>
      </c>
      <c r="BH158" s="30"/>
    </row>
    <row r="159" spans="1:60" x14ac:dyDescent="0.25">
      <c r="A159" s="1">
        <v>46253</v>
      </c>
      <c r="B159" s="34">
        <v>246.15</v>
      </c>
      <c r="C159" s="34">
        <v>284.10000000000002</v>
      </c>
      <c r="D159" s="16">
        <v>-2.4122700465304601E-2</v>
      </c>
      <c r="E159" s="16">
        <v>-2.2036294539947501E-2</v>
      </c>
      <c r="F159" s="34">
        <v>0</v>
      </c>
      <c r="G159" s="34">
        <v>0.31490499999999999</v>
      </c>
      <c r="H159" s="34">
        <v>0</v>
      </c>
      <c r="I159" s="34">
        <v>0.17363000000000001</v>
      </c>
      <c r="J159" s="34">
        <v>0.31490499999999999</v>
      </c>
      <c r="K159" s="34">
        <v>0.17363000000000001</v>
      </c>
      <c r="L159" s="34">
        <v>246.46490499999999</v>
      </c>
      <c r="M159" s="34">
        <v>284.27363000000003</v>
      </c>
      <c r="N159" s="35">
        <v>1.1541742839731799</v>
      </c>
      <c r="O159" s="35">
        <v>1.1658179450689301</v>
      </c>
      <c r="P159" s="35">
        <v>1.1571316579376301</v>
      </c>
      <c r="Q159" s="35">
        <v>1.13567762684498</v>
      </c>
      <c r="R159" s="34">
        <v>286.966087178718</v>
      </c>
      <c r="S159" s="34">
        <v>283.940548373507</v>
      </c>
      <c r="T159" s="34">
        <v>279.41704352094899</v>
      </c>
      <c r="U159" s="16">
        <v>1.00377567773115E-2</v>
      </c>
      <c r="V159" s="16">
        <v>-5.6140932592760795E-4</v>
      </c>
      <c r="W159" s="16">
        <v>-1.6620843464840399E-2</v>
      </c>
      <c r="X159" s="35">
        <v>1.15340409215665</v>
      </c>
      <c r="Y159" s="35">
        <v>1.1654134458566101</v>
      </c>
      <c r="Z159" s="35">
        <v>1.1563719531178001</v>
      </c>
      <c r="AA159" s="35">
        <v>1.13493348741959</v>
      </c>
      <c r="AB159" s="34">
        <v>287.23351421877197</v>
      </c>
      <c r="AC159" s="34">
        <v>284.11812746080398</v>
      </c>
      <c r="AD159" s="34">
        <v>279.59066381532102</v>
      </c>
      <c r="AE159" s="16">
        <v>1.0358263106210399E-2</v>
      </c>
      <c r="AF159" s="16">
        <v>-5.4716677726028302E-4</v>
      </c>
      <c r="AG159" s="16">
        <v>-1.6610641638360599E-2</v>
      </c>
      <c r="AI159" s="12"/>
      <c r="AJ159">
        <f t="shared" si="46"/>
        <v>0</v>
      </c>
      <c r="AK159">
        <f t="shared" si="47"/>
        <v>0</v>
      </c>
      <c r="AL159">
        <f t="shared" si="54"/>
        <v>1</v>
      </c>
      <c r="AM159">
        <f t="shared" si="44"/>
        <v>1</v>
      </c>
      <c r="AN159">
        <f t="shared" si="55"/>
        <v>1</v>
      </c>
      <c r="AO159" s="29">
        <f t="shared" si="48"/>
        <v>-2.4122700465304601E-2</v>
      </c>
      <c r="AP159" s="29">
        <f t="shared" si="49"/>
        <v>2.2036294539947501E-2</v>
      </c>
      <c r="AQ159" s="29">
        <f t="shared" si="56"/>
        <v>-2.0864059253570995E-3</v>
      </c>
      <c r="AR159" s="30">
        <f t="shared" si="57"/>
        <v>6.0839250304653231E-2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9">
        <f t="shared" si="52"/>
        <v>0</v>
      </c>
      <c r="BA159" s="29">
        <f t="shared" si="53"/>
        <v>0</v>
      </c>
      <c r="BB159" s="29">
        <f t="shared" si="60"/>
        <v>0</v>
      </c>
      <c r="BC159" s="30">
        <f t="shared" si="61"/>
        <v>8.425956056909327E-2</v>
      </c>
      <c r="BE159" s="30">
        <f t="shared" si="62"/>
        <v>-2.0864059253570995E-3</v>
      </c>
      <c r="BF159" s="30">
        <f t="shared" si="63"/>
        <v>0.14509881087374651</v>
      </c>
      <c r="BH159" s="30"/>
    </row>
    <row r="160" spans="1:60" x14ac:dyDescent="0.25">
      <c r="A160" s="1">
        <v>46254</v>
      </c>
      <c r="B160" s="34">
        <v>237.56</v>
      </c>
      <c r="C160" s="34">
        <v>271.77999999999997</v>
      </c>
      <c r="D160" s="16">
        <v>-3.5520883056550101E-2</v>
      </c>
      <c r="E160" s="16">
        <v>-4.4333373367791001E-2</v>
      </c>
      <c r="F160" s="34">
        <v>0</v>
      </c>
      <c r="G160" s="34">
        <v>0.31490499999999999</v>
      </c>
      <c r="H160" s="34">
        <v>0</v>
      </c>
      <c r="I160" s="34">
        <v>0.17363000000000001</v>
      </c>
      <c r="J160" s="34">
        <v>0.31490499999999999</v>
      </c>
      <c r="K160" s="34">
        <v>0.17363000000000001</v>
      </c>
      <c r="L160" s="34">
        <v>237.87490500000001</v>
      </c>
      <c r="M160" s="34">
        <v>271.95362999999998</v>
      </c>
      <c r="N160" s="35">
        <v>1.14404781949823</v>
      </c>
      <c r="O160" s="35">
        <v>1.1658179450689301</v>
      </c>
      <c r="P160" s="35">
        <v>1.15836791314638</v>
      </c>
      <c r="Q160" s="35">
        <v>1.1360987560140801</v>
      </c>
      <c r="R160" s="34">
        <v>276.95171103057601</v>
      </c>
      <c r="S160" s="34">
        <v>274.888196659664</v>
      </c>
      <c r="T160" s="34">
        <v>269.79157703329503</v>
      </c>
      <c r="U160" s="16">
        <v>1.8850247088552399E-2</v>
      </c>
      <c r="V160" s="16">
        <v>1.1371541906052799E-2</v>
      </c>
      <c r="W160" s="16">
        <v>-7.3431915044152203E-3</v>
      </c>
      <c r="X160" s="35">
        <v>1.14326322064111</v>
      </c>
      <c r="Y160" s="35">
        <v>1.1654134458566101</v>
      </c>
      <c r="Z160" s="35">
        <v>1.15760275673811</v>
      </c>
      <c r="AA160" s="35">
        <v>1.1353539504678001</v>
      </c>
      <c r="AB160" s="34">
        <v>277.22261271886401</v>
      </c>
      <c r="AC160" s="34">
        <v>275.07186849256101</v>
      </c>
      <c r="AD160" s="34">
        <v>269.972195501253</v>
      </c>
      <c r="AE160" s="16">
        <v>1.91892656317252E-2</v>
      </c>
      <c r="AF160" s="16">
        <v>1.14008296743745E-2</v>
      </c>
      <c r="AG160" s="16">
        <v>-7.3125997511820102E-3</v>
      </c>
      <c r="AI160" s="12"/>
      <c r="AJ160">
        <f t="shared" si="46"/>
        <v>0</v>
      </c>
      <c r="AK160">
        <f t="shared" si="47"/>
        <v>0</v>
      </c>
      <c r="AL160">
        <f t="shared" si="54"/>
        <v>1</v>
      </c>
      <c r="AM160">
        <f t="shared" si="44"/>
        <v>1</v>
      </c>
      <c r="AN160">
        <f t="shared" si="55"/>
        <v>1</v>
      </c>
      <c r="AO160" s="29">
        <f t="shared" si="48"/>
        <v>-3.5520883056550101E-2</v>
      </c>
      <c r="AP160" s="29">
        <f t="shared" si="49"/>
        <v>4.4333373367791001E-2</v>
      </c>
      <c r="AQ160" s="29">
        <f t="shared" si="56"/>
        <v>8.8124903112409003E-3</v>
      </c>
      <c r="AR160" s="30">
        <f t="shared" si="57"/>
        <v>6.9651740615894131E-2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9">
        <f t="shared" si="52"/>
        <v>0</v>
      </c>
      <c r="BA160" s="29">
        <f t="shared" si="53"/>
        <v>0</v>
      </c>
      <c r="BB160" s="29">
        <f t="shared" si="60"/>
        <v>0</v>
      </c>
      <c r="BC160" s="30">
        <f t="shared" si="61"/>
        <v>8.425956056909327E-2</v>
      </c>
      <c r="BE160" s="30">
        <f t="shared" si="62"/>
        <v>8.8124903112409003E-3</v>
      </c>
      <c r="BF160" s="30">
        <f t="shared" si="63"/>
        <v>0.15391130118498741</v>
      </c>
      <c r="BH160" s="30"/>
    </row>
    <row r="161" spans="1:60" x14ac:dyDescent="0.25">
      <c r="A161" s="1">
        <v>46255</v>
      </c>
      <c r="B161" s="34">
        <v>237.34</v>
      </c>
      <c r="C161" s="34">
        <v>272.74</v>
      </c>
      <c r="D161" s="16">
        <v>-9.2651091066638395E-4</v>
      </c>
      <c r="E161" s="16">
        <v>3.52604493733667E-3</v>
      </c>
      <c r="F161" s="34">
        <v>0</v>
      </c>
      <c r="G161" s="34">
        <v>0.31490499999999999</v>
      </c>
      <c r="H161" s="34">
        <v>0</v>
      </c>
      <c r="I161" s="34">
        <v>0.17363000000000001</v>
      </c>
      <c r="J161" s="34">
        <v>0.31490499999999999</v>
      </c>
      <c r="K161" s="34">
        <v>0.17363000000000001</v>
      </c>
      <c r="L161" s="34">
        <v>237.65490500000001</v>
      </c>
      <c r="M161" s="34">
        <v>272.91363000000001</v>
      </c>
      <c r="N161" s="35">
        <v>1.14915311367658</v>
      </c>
      <c r="O161" s="35">
        <v>1.1658179450689301</v>
      </c>
      <c r="P161" s="35">
        <v>1.1588943910145399</v>
      </c>
      <c r="Q161" s="35">
        <v>1.13754533482608</v>
      </c>
      <c r="R161" s="34">
        <v>276.695231082661</v>
      </c>
      <c r="S161" s="34">
        <v>274.92704050616402</v>
      </c>
      <c r="T161" s="34">
        <v>269.64167875238098</v>
      </c>
      <c r="U161" s="16">
        <v>1.43976912405491E-2</v>
      </c>
      <c r="V161" s="16">
        <v>7.9867947863764294E-3</v>
      </c>
      <c r="W161" s="16">
        <v>-1.14249985612124E-2</v>
      </c>
      <c r="X161" s="35">
        <v>1.1483610237289199</v>
      </c>
      <c r="Y161" s="35">
        <v>1.1654134458566101</v>
      </c>
      <c r="Z161" s="35">
        <v>1.15812434350796</v>
      </c>
      <c r="AA161" s="35">
        <v>1.1367981736302299</v>
      </c>
      <c r="AB161" s="34">
        <v>276.96622176077602</v>
      </c>
      <c r="AC161" s="34">
        <v>275.10997318033498</v>
      </c>
      <c r="AD161" s="34">
        <v>269.82243523979997</v>
      </c>
      <c r="AE161" s="16">
        <v>1.4740184147890099E-2</v>
      </c>
      <c r="AF161" s="16">
        <v>8.0155486989425401E-3</v>
      </c>
      <c r="AG161" s="16">
        <v>-1.1391276108334399E-2</v>
      </c>
      <c r="AI161" s="12"/>
      <c r="AJ161">
        <f t="shared" si="46"/>
        <v>0</v>
      </c>
      <c r="AK161">
        <f t="shared" si="47"/>
        <v>0</v>
      </c>
      <c r="AL161">
        <f t="shared" si="54"/>
        <v>1</v>
      </c>
      <c r="AM161">
        <f t="shared" si="44"/>
        <v>1</v>
      </c>
      <c r="AN161">
        <f t="shared" si="55"/>
        <v>1</v>
      </c>
      <c r="AO161" s="29">
        <f t="shared" si="48"/>
        <v>-9.2651091066638395E-4</v>
      </c>
      <c r="AP161" s="29">
        <f t="shared" si="49"/>
        <v>-3.52604493733667E-3</v>
      </c>
      <c r="AQ161" s="29">
        <f t="shared" si="56"/>
        <v>-4.4525558480030536E-3</v>
      </c>
      <c r="AR161" s="30">
        <f t="shared" si="57"/>
        <v>6.5199184767891077E-2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9">
        <f t="shared" si="52"/>
        <v>0</v>
      </c>
      <c r="BA161" s="29">
        <f t="shared" si="53"/>
        <v>0</v>
      </c>
      <c r="BB161" s="29">
        <f t="shared" si="60"/>
        <v>0</v>
      </c>
      <c r="BC161" s="30">
        <f t="shared" si="61"/>
        <v>8.425956056909327E-2</v>
      </c>
      <c r="BE161" s="30">
        <f t="shared" si="62"/>
        <v>-4.4525558480030536E-3</v>
      </c>
      <c r="BF161" s="30">
        <f t="shared" si="63"/>
        <v>0.14945874533698436</v>
      </c>
      <c r="BH161" s="30"/>
    </row>
    <row r="162" spans="1:60" x14ac:dyDescent="0.25">
      <c r="A162" s="1">
        <v>46258</v>
      </c>
      <c r="B162" s="34">
        <v>233.4</v>
      </c>
      <c r="C162" s="34">
        <v>265.61</v>
      </c>
      <c r="D162" s="16">
        <v>-1.67399923845373E-2</v>
      </c>
      <c r="E162" s="16">
        <v>-2.64898929337655E-2</v>
      </c>
      <c r="F162" s="34">
        <v>0</v>
      </c>
      <c r="G162" s="34">
        <v>0.31490499999999999</v>
      </c>
      <c r="H162" s="34">
        <v>0</v>
      </c>
      <c r="I162" s="34">
        <v>0.17363000000000001</v>
      </c>
      <c r="J162" s="34">
        <v>0.31490499999999999</v>
      </c>
      <c r="K162" s="34">
        <v>0.17363000000000001</v>
      </c>
      <c r="L162" s="34">
        <v>233.71490499999999</v>
      </c>
      <c r="M162" s="34">
        <v>265.78363000000002</v>
      </c>
      <c r="N162" s="35">
        <v>1.13800342759211</v>
      </c>
      <c r="O162" s="35">
        <v>1.1658179450689301</v>
      </c>
      <c r="P162" s="35">
        <v>1.15789761674273</v>
      </c>
      <c r="Q162" s="35">
        <v>1.1384678915117401</v>
      </c>
      <c r="R162" s="34">
        <v>272.10190837908902</v>
      </c>
      <c r="S162" s="34">
        <v>270.48595086279499</v>
      </c>
      <c r="T162" s="34">
        <v>265.503081148408</v>
      </c>
      <c r="U162" s="16">
        <v>2.41475917897775E-2</v>
      </c>
      <c r="V162" s="16">
        <v>1.81910917811604E-2</v>
      </c>
      <c r="W162" s="16">
        <v>-4.0262180251637403E-4</v>
      </c>
      <c r="X162" s="35">
        <v>1.1372130074459701</v>
      </c>
      <c r="Y162" s="35">
        <v>1.1654134458566101</v>
      </c>
      <c r="Z162" s="35">
        <v>1.15712324413075</v>
      </c>
      <c r="AA162" s="35">
        <v>1.13771784001484</v>
      </c>
      <c r="AB162" s="34">
        <v>272.37449278410099</v>
      </c>
      <c r="AC162" s="34">
        <v>270.67092092115001</v>
      </c>
      <c r="AD162" s="34">
        <v>265.68667715416399</v>
      </c>
      <c r="AE162" s="16">
        <v>2.4495374343430101E-2</v>
      </c>
      <c r="AF162" s="16">
        <v>1.8221212336375001E-2</v>
      </c>
      <c r="AG162" s="16">
        <v>-3.6484765228220602E-4</v>
      </c>
      <c r="AI162" s="12"/>
      <c r="AJ162">
        <f t="shared" si="46"/>
        <v>0</v>
      </c>
      <c r="AK162">
        <f t="shared" si="47"/>
        <v>1</v>
      </c>
      <c r="AL162">
        <f t="shared" si="54"/>
        <v>1</v>
      </c>
      <c r="AM162">
        <f t="shared" si="44"/>
        <v>1</v>
      </c>
      <c r="AN162">
        <f t="shared" si="55"/>
        <v>1</v>
      </c>
      <c r="AO162" s="29">
        <f t="shared" si="48"/>
        <v>-1.67399923845373E-2</v>
      </c>
      <c r="AP162" s="29">
        <f t="shared" si="49"/>
        <v>2.64898929337655E-2</v>
      </c>
      <c r="AQ162" s="29">
        <f t="shared" si="56"/>
        <v>9.7499005492282E-3</v>
      </c>
      <c r="AR162" s="30">
        <f t="shared" si="57"/>
        <v>7.4949085317119274E-2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9">
        <f t="shared" si="52"/>
        <v>0</v>
      </c>
      <c r="BA162" s="29">
        <f t="shared" si="53"/>
        <v>0</v>
      </c>
      <c r="BB162" s="29">
        <f t="shared" si="60"/>
        <v>0</v>
      </c>
      <c r="BC162" s="30">
        <f t="shared" si="61"/>
        <v>8.425956056909327E-2</v>
      </c>
      <c r="BE162" s="30">
        <f t="shared" si="62"/>
        <v>9.7499005492282E-3</v>
      </c>
      <c r="BF162" s="30">
        <f t="shared" si="63"/>
        <v>0.15920864588621256</v>
      </c>
      <c r="BH162" s="30"/>
    </row>
    <row r="163" spans="1:60" x14ac:dyDescent="0.25">
      <c r="A163" s="1">
        <v>46259</v>
      </c>
      <c r="B163" s="34">
        <v>234.3</v>
      </c>
      <c r="C163" s="34">
        <v>264.85000000000002</v>
      </c>
      <c r="D163" s="16">
        <v>3.8486256612944498E-3</v>
      </c>
      <c r="E163" s="16">
        <v>-2.8654395053865698E-3</v>
      </c>
      <c r="F163" s="34">
        <v>0</v>
      </c>
      <c r="G163" s="34">
        <v>0.31490499999999999</v>
      </c>
      <c r="H163" s="34">
        <v>0</v>
      </c>
      <c r="I163" s="34">
        <v>0.17363000000000001</v>
      </c>
      <c r="J163" s="34">
        <v>0.31490499999999999</v>
      </c>
      <c r="K163" s="34">
        <v>0.17363000000000001</v>
      </c>
      <c r="L163" s="34">
        <v>234.61490499999999</v>
      </c>
      <c r="M163" s="34">
        <v>265.02363000000003</v>
      </c>
      <c r="N163" s="35">
        <v>1.13038839095177</v>
      </c>
      <c r="O163" s="35">
        <v>1.1658179450689301</v>
      </c>
      <c r="P163" s="35">
        <v>1.1548864359887601</v>
      </c>
      <c r="Q163" s="35">
        <v>1.13948890302602</v>
      </c>
      <c r="R163" s="34">
        <v>273.15114452965099</v>
      </c>
      <c r="S163" s="34">
        <v>271.29541160282298</v>
      </c>
      <c r="T163" s="34">
        <v>266.74302698120198</v>
      </c>
      <c r="U163" s="16">
        <v>3.0861656956458299E-2</v>
      </c>
      <c r="V163" s="16">
        <v>2.4044678898906598E-2</v>
      </c>
      <c r="W163" s="16">
        <v>7.1221211981161801E-3</v>
      </c>
      <c r="X163" s="35">
        <v>1.1296112239757301</v>
      </c>
      <c r="Y163" s="35">
        <v>1.1654134458566101</v>
      </c>
      <c r="Z163" s="35">
        <v>1.1541103998033999</v>
      </c>
      <c r="AA163" s="35">
        <v>1.1387358489033801</v>
      </c>
      <c r="AB163" s="34">
        <v>273.423364885372</v>
      </c>
      <c r="AC163" s="34">
        <v>271.47835999502797</v>
      </c>
      <c r="AD163" s="34">
        <v>266.92556295188803</v>
      </c>
      <c r="AE163" s="16">
        <v>3.1202389260097399E-2</v>
      </c>
      <c r="AF163" s="16">
        <v>2.4063439016185201E-2</v>
      </c>
      <c r="AG163" s="16">
        <v>7.1508372664513403E-3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9">
        <f t="shared" si="48"/>
        <v>0</v>
      </c>
      <c r="AP163" s="29">
        <f t="shared" si="49"/>
        <v>0</v>
      </c>
      <c r="AQ163" s="29">
        <f t="shared" si="56"/>
        <v>0</v>
      </c>
      <c r="AR163" s="30">
        <f t="shared" si="57"/>
        <v>7.4949085317119274E-2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9">
        <f t="shared" si="52"/>
        <v>0</v>
      </c>
      <c r="BA163" s="29">
        <f t="shared" si="53"/>
        <v>0</v>
      </c>
      <c r="BB163" s="29">
        <f t="shared" si="60"/>
        <v>0</v>
      </c>
      <c r="BC163" s="30">
        <f t="shared" si="61"/>
        <v>8.425956056909327E-2</v>
      </c>
      <c r="BE163" s="30">
        <f t="shared" si="62"/>
        <v>0</v>
      </c>
      <c r="BF163" s="30">
        <f t="shared" si="63"/>
        <v>0.15920864588621256</v>
      </c>
      <c r="BH163" s="30"/>
    </row>
    <row r="164" spans="1:60" x14ac:dyDescent="0.25">
      <c r="A164" s="1">
        <v>46260</v>
      </c>
      <c r="B164" s="34">
        <v>236.38</v>
      </c>
      <c r="C164" s="34">
        <v>266.64999999999998</v>
      </c>
      <c r="D164" s="16">
        <v>8.8383340703445893E-3</v>
      </c>
      <c r="E164" s="16">
        <v>6.7733090560754498E-3</v>
      </c>
      <c r="F164" s="34">
        <v>0</v>
      </c>
      <c r="G164" s="34">
        <v>0.31490499999999999</v>
      </c>
      <c r="H164" s="34">
        <v>0</v>
      </c>
      <c r="I164" s="34">
        <v>0.17363000000000001</v>
      </c>
      <c r="J164" s="34">
        <v>0.31490499999999999</v>
      </c>
      <c r="K164" s="34">
        <v>0.17363000000000001</v>
      </c>
      <c r="L164" s="34">
        <v>236.69490500000001</v>
      </c>
      <c r="M164" s="34">
        <v>266.82362999999998</v>
      </c>
      <c r="N164" s="35">
        <v>1.1280565191640499</v>
      </c>
      <c r="O164" s="35">
        <v>1.1658179450689301</v>
      </c>
      <c r="P164" s="35">
        <v>1.15111152992091</v>
      </c>
      <c r="Q164" s="35">
        <v>1.1412675860907999</v>
      </c>
      <c r="R164" s="34">
        <v>275.57604585539502</v>
      </c>
      <c r="S164" s="34">
        <v>272.99205573902498</v>
      </c>
      <c r="T164" s="34">
        <v>269.35238689729198</v>
      </c>
      <c r="U164" s="16">
        <v>3.2926681970727602E-2</v>
      </c>
      <c r="V164" s="16">
        <v>2.3505757857888901E-2</v>
      </c>
      <c r="W164" s="16">
        <v>1.0083573734716E-2</v>
      </c>
      <c r="X164" s="35">
        <v>1.12728928406802</v>
      </c>
      <c r="Y164" s="35">
        <v>1.1654134458566101</v>
      </c>
      <c r="Z164" s="35">
        <v>1.1503355710194301</v>
      </c>
      <c r="AA164" s="35">
        <v>1.14051218382062</v>
      </c>
      <c r="AB164" s="34">
        <v>275.84742485275302</v>
      </c>
      <c r="AC164" s="34">
        <v>273.17205144097699</v>
      </c>
      <c r="AD164" s="34">
        <v>269.53297357628003</v>
      </c>
      <c r="AE164" s="16">
        <v>3.3260026022249603E-2</v>
      </c>
      <c r="AF164" s="16">
        <v>2.3513943399645899E-2</v>
      </c>
      <c r="AG164" s="16">
        <v>1.0102855461754301E-2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9">
        <f t="shared" si="48"/>
        <v>0</v>
      </c>
      <c r="AP164" s="29">
        <f t="shared" si="49"/>
        <v>0</v>
      </c>
      <c r="AQ164" s="29">
        <f t="shared" si="56"/>
        <v>0</v>
      </c>
      <c r="AR164" s="30">
        <f t="shared" si="57"/>
        <v>7.4949085317119274E-2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9">
        <f t="shared" si="52"/>
        <v>0</v>
      </c>
      <c r="BA164" s="29">
        <f t="shared" si="53"/>
        <v>0</v>
      </c>
      <c r="BB164" s="29">
        <f t="shared" si="60"/>
        <v>0</v>
      </c>
      <c r="BC164" s="30">
        <f t="shared" si="61"/>
        <v>8.425956056909327E-2</v>
      </c>
      <c r="BE164" s="30">
        <f t="shared" si="62"/>
        <v>0</v>
      </c>
      <c r="BF164" s="30">
        <f t="shared" si="63"/>
        <v>0.15920864588621256</v>
      </c>
      <c r="BH164" s="30"/>
    </row>
    <row r="165" spans="1:60" x14ac:dyDescent="0.25">
      <c r="A165" s="1">
        <v>46261</v>
      </c>
      <c r="B165" s="34">
        <v>234.26</v>
      </c>
      <c r="C165" s="34">
        <v>266.05</v>
      </c>
      <c r="D165" s="16">
        <v>-9.0090699423659593E-3</v>
      </c>
      <c r="E165" s="16">
        <v>-2.2526760042327798E-3</v>
      </c>
      <c r="F165" s="34">
        <v>0</v>
      </c>
      <c r="G165" s="34">
        <v>0.31490499999999999</v>
      </c>
      <c r="H165" s="34">
        <v>0</v>
      </c>
      <c r="I165" s="34">
        <v>0.17363000000000001</v>
      </c>
      <c r="J165" s="34">
        <v>0.31490499999999999</v>
      </c>
      <c r="K165" s="34">
        <v>0.17363000000000001</v>
      </c>
      <c r="L165" s="34">
        <v>234.574905</v>
      </c>
      <c r="M165" s="34">
        <v>266.22363000000001</v>
      </c>
      <c r="N165" s="35">
        <v>1.13570391872278</v>
      </c>
      <c r="O165" s="35">
        <v>1.1658179450689301</v>
      </c>
      <c r="P165" s="35">
        <v>1.1476968603169599</v>
      </c>
      <c r="Q165" s="35">
        <v>1.1428665392183901</v>
      </c>
      <c r="R165" s="34">
        <v>273.104511811848</v>
      </c>
      <c r="S165" s="34">
        <v>269.65938699927199</v>
      </c>
      <c r="T165" s="34">
        <v>267.35334471763201</v>
      </c>
      <c r="U165" s="16">
        <v>2.6170288032594299E-2</v>
      </c>
      <c r="V165" s="16">
        <v>1.34753719253102E-2</v>
      </c>
      <c r="W165" s="16">
        <v>4.8869109067304298E-3</v>
      </c>
      <c r="X165" s="35">
        <v>1.1349194833948599</v>
      </c>
      <c r="Y165" s="35">
        <v>1.1654134458566101</v>
      </c>
      <c r="Z165" s="35">
        <v>1.14692036107736</v>
      </c>
      <c r="AA165" s="35">
        <v>1.1421083886967001</v>
      </c>
      <c r="AB165" s="34">
        <v>273.37674834753699</v>
      </c>
      <c r="AC165" s="34">
        <v>269.83985729000398</v>
      </c>
      <c r="AD165" s="34">
        <v>267.53553717106598</v>
      </c>
      <c r="AE165" s="16">
        <v>2.6514204529894499E-2</v>
      </c>
      <c r="AF165" s="16">
        <v>1.34919920192045E-2</v>
      </c>
      <c r="AG165" s="16">
        <v>4.91573688490841E-3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9">
        <f t="shared" si="48"/>
        <v>0</v>
      </c>
      <c r="AP165" s="29">
        <f t="shared" si="49"/>
        <v>0</v>
      </c>
      <c r="AQ165" s="29">
        <f t="shared" si="56"/>
        <v>0</v>
      </c>
      <c r="AR165" s="30">
        <f t="shared" si="57"/>
        <v>7.4949085317119274E-2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9">
        <f t="shared" si="52"/>
        <v>0</v>
      </c>
      <c r="BA165" s="29">
        <f t="shared" si="53"/>
        <v>0</v>
      </c>
      <c r="BB165" s="29">
        <f t="shared" si="60"/>
        <v>0</v>
      </c>
      <c r="BC165" s="30">
        <f t="shared" si="61"/>
        <v>8.425956056909327E-2</v>
      </c>
      <c r="BE165" s="30">
        <f t="shared" si="62"/>
        <v>0</v>
      </c>
      <c r="BF165" s="30">
        <f t="shared" si="63"/>
        <v>0.15920864588621256</v>
      </c>
      <c r="BH165" s="30"/>
    </row>
    <row r="166" spans="1:60" x14ac:dyDescent="0.25">
      <c r="A166" s="1">
        <v>46262</v>
      </c>
      <c r="B166" s="34">
        <v>232.82</v>
      </c>
      <c r="C166" s="34">
        <v>261.79000000000002</v>
      </c>
      <c r="D166" s="16">
        <v>-6.1659868216337003E-3</v>
      </c>
      <c r="E166" s="16">
        <v>-1.6141605393126899E-2</v>
      </c>
      <c r="F166" s="34">
        <v>0</v>
      </c>
      <c r="G166" s="34">
        <v>0.31490499999999999</v>
      </c>
      <c r="H166" s="34">
        <v>0</v>
      </c>
      <c r="I166" s="34">
        <v>0.17363000000000001</v>
      </c>
      <c r="J166" s="34">
        <v>0.31490499999999999</v>
      </c>
      <c r="K166" s="34">
        <v>0.17363000000000001</v>
      </c>
      <c r="L166" s="34">
        <v>233.134905</v>
      </c>
      <c r="M166" s="34">
        <v>261.96363000000002</v>
      </c>
      <c r="N166" s="35">
        <v>1.12443089081694</v>
      </c>
      <c r="O166" s="35">
        <v>1.1658179450689301</v>
      </c>
      <c r="P166" s="35">
        <v>1.1429572624071</v>
      </c>
      <c r="Q166" s="35">
        <v>1.1438306357078301</v>
      </c>
      <c r="R166" s="34">
        <v>271.42573397094901</v>
      </c>
      <c r="S166" s="34">
        <v>267.20678301899397</v>
      </c>
      <c r="T166" s="34">
        <v>266.08218766082598</v>
      </c>
      <c r="U166" s="16">
        <v>3.6145906604087702E-2</v>
      </c>
      <c r="V166" s="16">
        <v>2.0480171241161998E-2</v>
      </c>
      <c r="W166" s="16">
        <v>1.62625815776637E-2</v>
      </c>
      <c r="X166" s="35">
        <v>1.1236568372290701</v>
      </c>
      <c r="Y166" s="35">
        <v>1.1654134458566101</v>
      </c>
      <c r="Z166" s="35">
        <v>1.14218042180922</v>
      </c>
      <c r="AA166" s="35">
        <v>1.14307011691713</v>
      </c>
      <c r="AB166" s="34">
        <v>271.69855298550402</v>
      </c>
      <c r="AC166" s="34">
        <v>267.38716942233702</v>
      </c>
      <c r="AD166" s="34">
        <v>266.26533069850899</v>
      </c>
      <c r="AE166" s="16">
        <v>3.6487513306602097E-2</v>
      </c>
      <c r="AF166" s="16">
        <v>2.0492003471601399E-2</v>
      </c>
      <c r="AG166" s="16">
        <v>1.6287618123003399E-2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9">
        <f t="shared" si="48"/>
        <v>0</v>
      </c>
      <c r="AP166" s="29">
        <f t="shared" si="49"/>
        <v>0</v>
      </c>
      <c r="AQ166" s="29">
        <f t="shared" si="56"/>
        <v>0</v>
      </c>
      <c r="AR166" s="30">
        <f t="shared" si="57"/>
        <v>7.4949085317119274E-2</v>
      </c>
      <c r="AT166" s="12"/>
      <c r="AU166">
        <f t="shared" si="50"/>
        <v>0</v>
      </c>
      <c r="AV166">
        <f t="shared" si="51"/>
        <v>0</v>
      </c>
      <c r="AW166">
        <f t="shared" si="58"/>
        <v>0</v>
      </c>
      <c r="AX166">
        <f t="shared" si="45"/>
        <v>1</v>
      </c>
      <c r="AY166">
        <f t="shared" si="59"/>
        <v>0</v>
      </c>
      <c r="AZ166" s="29">
        <f t="shared" si="52"/>
        <v>0</v>
      </c>
      <c r="BA166" s="29">
        <f t="shared" si="53"/>
        <v>0</v>
      </c>
      <c r="BB166" s="29">
        <f t="shared" si="60"/>
        <v>0</v>
      </c>
      <c r="BC166" s="30">
        <f t="shared" si="61"/>
        <v>8.425956056909327E-2</v>
      </c>
      <c r="BE166" s="30">
        <f t="shared" si="62"/>
        <v>0</v>
      </c>
      <c r="BF166" s="30">
        <f t="shared" si="63"/>
        <v>0.15920864588621256</v>
      </c>
      <c r="BH166" s="30"/>
    </row>
    <row r="167" spans="1:60" x14ac:dyDescent="0.25">
      <c r="A167" s="1">
        <v>46265</v>
      </c>
      <c r="B167" s="34">
        <v>228.35</v>
      </c>
      <c r="C167" s="34">
        <v>256.52</v>
      </c>
      <c r="D167" s="16">
        <v>-1.9386083189086901E-2</v>
      </c>
      <c r="E167" s="16">
        <v>-2.03360213685892E-2</v>
      </c>
      <c r="F167" s="34">
        <v>0</v>
      </c>
      <c r="G167" s="34">
        <v>0.31490499999999999</v>
      </c>
      <c r="H167" s="34">
        <v>0</v>
      </c>
      <c r="I167" s="34">
        <v>0.17363000000000001</v>
      </c>
      <c r="J167" s="34">
        <v>0.31490499999999999</v>
      </c>
      <c r="K167" s="34">
        <v>0.17363000000000001</v>
      </c>
      <c r="L167" s="34">
        <v>228.664905</v>
      </c>
      <c r="M167" s="34">
        <v>256.69362999999998</v>
      </c>
      <c r="N167" s="35">
        <v>1.12336325815633</v>
      </c>
      <c r="O167" s="35">
        <v>1.1658179450689301</v>
      </c>
      <c r="P167" s="35">
        <v>1.1379090340826099</v>
      </c>
      <c r="Q167" s="35">
        <v>1.14440102553372</v>
      </c>
      <c r="R167" s="34">
        <v>266.21452775649101</v>
      </c>
      <c r="S167" s="34">
        <v>260.99429087066198</v>
      </c>
      <c r="T167" s="34">
        <v>261.19372566388398</v>
      </c>
      <c r="U167" s="16">
        <v>3.7095844783590001E-2</v>
      </c>
      <c r="V167" s="16">
        <v>1.7291898744026899E-2</v>
      </c>
      <c r="W167" s="16">
        <v>1.8055741638171599E-2</v>
      </c>
      <c r="X167" s="35">
        <v>1.1225755434573499</v>
      </c>
      <c r="Y167" s="35">
        <v>1.1654134458566101</v>
      </c>
      <c r="Z167" s="35">
        <v>1.13713135768636</v>
      </c>
      <c r="AA167" s="35">
        <v>1.14363694365112</v>
      </c>
      <c r="AB167" s="34">
        <v>266.48915488252499</v>
      </c>
      <c r="AC167" s="34">
        <v>261.17657764586698</v>
      </c>
      <c r="AD167" s="34">
        <v>261.38001969319401</v>
      </c>
      <c r="AE167" s="16">
        <v>3.7450275543076797E-2</v>
      </c>
      <c r="AF167" s="16">
        <v>1.7313448665215E-2</v>
      </c>
      <c r="AG167" s="16">
        <v>1.8092089901943199E-2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29">
        <f t="shared" si="48"/>
        <v>0</v>
      </c>
      <c r="AP167" s="29">
        <f t="shared" si="49"/>
        <v>0</v>
      </c>
      <c r="AQ167" s="29">
        <f t="shared" si="56"/>
        <v>0</v>
      </c>
      <c r="AR167" s="30">
        <f t="shared" si="57"/>
        <v>7.4949085317119274E-2</v>
      </c>
      <c r="AT167" s="12"/>
      <c r="AU167">
        <f t="shared" si="50"/>
        <v>0</v>
      </c>
      <c r="AV167">
        <f t="shared" si="51"/>
        <v>0</v>
      </c>
      <c r="AW167">
        <f t="shared" si="58"/>
        <v>0</v>
      </c>
      <c r="AX167">
        <f t="shared" si="45"/>
        <v>1</v>
      </c>
      <c r="AY167">
        <f t="shared" si="59"/>
        <v>0</v>
      </c>
      <c r="AZ167" s="29">
        <f t="shared" si="52"/>
        <v>0</v>
      </c>
      <c r="BA167" s="29">
        <f t="shared" si="53"/>
        <v>0</v>
      </c>
      <c r="BB167" s="29">
        <f t="shared" si="60"/>
        <v>0</v>
      </c>
      <c r="BC167" s="30">
        <f t="shared" si="61"/>
        <v>8.425956056909327E-2</v>
      </c>
      <c r="BE167" s="30">
        <f t="shared" si="62"/>
        <v>0</v>
      </c>
      <c r="BF167" s="30">
        <f t="shared" si="63"/>
        <v>0.15920864588621256</v>
      </c>
      <c r="BH167" s="30"/>
    </row>
    <row r="168" spans="1:60" x14ac:dyDescent="0.25">
      <c r="A168" s="1">
        <v>46266</v>
      </c>
      <c r="B168" s="34">
        <v>225.46</v>
      </c>
      <c r="C168" s="34">
        <v>252.04</v>
      </c>
      <c r="D168" s="16">
        <v>-1.27367800146227E-2</v>
      </c>
      <c r="E168" s="16">
        <v>-1.7618829206807299E-2</v>
      </c>
      <c r="F168" s="34">
        <v>0</v>
      </c>
      <c r="G168" s="34">
        <v>0.31490499999999999</v>
      </c>
      <c r="H168" s="34">
        <v>0</v>
      </c>
      <c r="I168" s="34">
        <v>0.17363000000000001</v>
      </c>
      <c r="J168" s="34">
        <v>0.31490499999999999</v>
      </c>
      <c r="K168" s="34">
        <v>0.17363000000000001</v>
      </c>
      <c r="L168" s="34">
        <v>225.77490499999999</v>
      </c>
      <c r="M168" s="34">
        <v>252.21362999999999</v>
      </c>
      <c r="N168" s="35">
        <v>1.1178923090570301</v>
      </c>
      <c r="O168" s="35">
        <v>1.1658179450689301</v>
      </c>
      <c r="P168" s="35">
        <v>1.1345213931608999</v>
      </c>
      <c r="Q168" s="35">
        <v>1.1440239473899301</v>
      </c>
      <c r="R168" s="34">
        <v>262.84531389524199</v>
      </c>
      <c r="S168" s="34">
        <v>256.552970824265</v>
      </c>
      <c r="T168" s="34">
        <v>258.01665521683401</v>
      </c>
      <c r="U168" s="16">
        <v>4.1977893975774699E-2</v>
      </c>
      <c r="V168" s="16">
        <v>1.7747352150661699E-2</v>
      </c>
      <c r="W168" s="16">
        <v>2.34363328681821E-2</v>
      </c>
      <c r="X168" s="35">
        <v>1.1171021420649001</v>
      </c>
      <c r="Y168" s="35">
        <v>1.1654134458566101</v>
      </c>
      <c r="Z168" s="35">
        <v>1.13373958581626</v>
      </c>
      <c r="AA168" s="35">
        <v>1.1432563731005601</v>
      </c>
      <c r="AB168" s="34">
        <v>263.12111002399899</v>
      </c>
      <c r="AC168" s="34">
        <v>256.73572425416</v>
      </c>
      <c r="AD168" s="34">
        <v>258.204522307324</v>
      </c>
      <c r="AE168" s="16">
        <v>4.2337954090921899E-2</v>
      </c>
      <c r="AF168" s="16">
        <v>1.7770779046690201E-2</v>
      </c>
      <c r="AG168" s="16">
        <v>2.34755265251286E-2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9">
        <f t="shared" si="48"/>
        <v>0</v>
      </c>
      <c r="AP168" s="29">
        <f t="shared" si="49"/>
        <v>0</v>
      </c>
      <c r="AQ168" s="29">
        <f t="shared" si="56"/>
        <v>0</v>
      </c>
      <c r="AR168" s="30">
        <f t="shared" si="57"/>
        <v>7.4949085317119274E-2</v>
      </c>
      <c r="AT168" s="12"/>
      <c r="AU168">
        <f t="shared" si="50"/>
        <v>0</v>
      </c>
      <c r="AV168">
        <f t="shared" si="51"/>
        <v>0</v>
      </c>
      <c r="AW168">
        <f t="shared" si="58"/>
        <v>0</v>
      </c>
      <c r="AX168">
        <f t="shared" si="45"/>
        <v>1</v>
      </c>
      <c r="AY168">
        <f t="shared" si="59"/>
        <v>0</v>
      </c>
      <c r="AZ168" s="29">
        <f t="shared" si="52"/>
        <v>0</v>
      </c>
      <c r="BA168" s="29">
        <f t="shared" si="53"/>
        <v>0</v>
      </c>
      <c r="BB168" s="29">
        <f t="shared" si="60"/>
        <v>0</v>
      </c>
      <c r="BC168" s="30">
        <f t="shared" si="61"/>
        <v>8.425956056909327E-2</v>
      </c>
      <c r="BE168" s="30">
        <f t="shared" si="62"/>
        <v>0</v>
      </c>
      <c r="BF168" s="30">
        <f t="shared" si="63"/>
        <v>0.15920864588621256</v>
      </c>
      <c r="BH168" s="30"/>
    </row>
    <row r="169" spans="1:60" x14ac:dyDescent="0.25">
      <c r="A169" s="1">
        <v>46267</v>
      </c>
      <c r="B169" s="34">
        <v>223.37</v>
      </c>
      <c r="C169" s="34">
        <v>250.21</v>
      </c>
      <c r="D169" s="16">
        <v>-9.3131702709197597E-3</v>
      </c>
      <c r="E169" s="16">
        <v>-7.2872398141646698E-3</v>
      </c>
      <c r="F169" s="34">
        <v>0</v>
      </c>
      <c r="G169" s="34">
        <v>0.31490499999999999</v>
      </c>
      <c r="H169" s="34">
        <v>0</v>
      </c>
      <c r="I169" s="34">
        <v>0.17363000000000001</v>
      </c>
      <c r="J169" s="34">
        <v>0.31490499999999999</v>
      </c>
      <c r="K169" s="34">
        <v>0.17363000000000001</v>
      </c>
      <c r="L169" s="34">
        <v>223.68490499999999</v>
      </c>
      <c r="M169" s="34">
        <v>250.38363000000001</v>
      </c>
      <c r="N169" s="35">
        <v>1.1201593768187299</v>
      </c>
      <c r="O169" s="35">
        <v>1.1658179450689301</v>
      </c>
      <c r="P169" s="35">
        <v>1.1311199024454499</v>
      </c>
      <c r="Q169" s="35">
        <v>1.1441257801915401</v>
      </c>
      <c r="R169" s="34">
        <v>260.40875439004799</v>
      </c>
      <c r="S169" s="34">
        <v>253.418043590351</v>
      </c>
      <c r="T169" s="34">
        <v>255.540629128489</v>
      </c>
      <c r="U169" s="16">
        <v>3.9951963519019598E-2</v>
      </c>
      <c r="V169" s="16">
        <v>1.2739906052669401E-2</v>
      </c>
      <c r="W169" s="16">
        <v>2.1080849857446401E-2</v>
      </c>
      <c r="X169" s="35">
        <v>1.11935863530889</v>
      </c>
      <c r="Y169" s="35">
        <v>1.1654134458566101</v>
      </c>
      <c r="Z169" s="35">
        <v>1.13033504013148</v>
      </c>
      <c r="AA169" s="35">
        <v>1.1433534966246399</v>
      </c>
      <c r="AB169" s="34">
        <v>260.68539592215899</v>
      </c>
      <c r="AC169" s="34">
        <v>253.60043154804899</v>
      </c>
      <c r="AD169" s="34">
        <v>255.72919320764299</v>
      </c>
      <c r="AE169" s="16">
        <v>4.0320038970279998E-2</v>
      </c>
      <c r="AF169" s="16">
        <v>1.2765662559999299E-2</v>
      </c>
      <c r="AG169" s="16">
        <v>2.1124783850796799E-2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9">
        <f t="shared" si="48"/>
        <v>0</v>
      </c>
      <c r="AP169" s="29">
        <f t="shared" si="49"/>
        <v>0</v>
      </c>
      <c r="AQ169" s="29">
        <f t="shared" si="56"/>
        <v>0</v>
      </c>
      <c r="AR169" s="30">
        <f t="shared" si="57"/>
        <v>7.4949085317119274E-2</v>
      </c>
      <c r="AT169" s="12"/>
      <c r="AU169">
        <f t="shared" si="50"/>
        <v>0</v>
      </c>
      <c r="AV169">
        <f t="shared" si="51"/>
        <v>0</v>
      </c>
      <c r="AW169">
        <f t="shared" si="58"/>
        <v>0</v>
      </c>
      <c r="AX169">
        <f t="shared" si="45"/>
        <v>1</v>
      </c>
      <c r="AY169">
        <f t="shared" si="59"/>
        <v>0</v>
      </c>
      <c r="AZ169" s="29">
        <f t="shared" si="52"/>
        <v>0</v>
      </c>
      <c r="BA169" s="29">
        <f t="shared" si="53"/>
        <v>0</v>
      </c>
      <c r="BB169" s="29">
        <f t="shared" si="60"/>
        <v>0</v>
      </c>
      <c r="BC169" s="30">
        <f t="shared" si="61"/>
        <v>8.425956056909327E-2</v>
      </c>
      <c r="BE169" s="30">
        <f t="shared" si="62"/>
        <v>0</v>
      </c>
      <c r="BF169" s="30">
        <f t="shared" si="63"/>
        <v>0.15920864588621256</v>
      </c>
      <c r="BH169" s="30"/>
    </row>
    <row r="170" spans="1:60" x14ac:dyDescent="0.25">
      <c r="A170" s="1">
        <v>46268</v>
      </c>
      <c r="B170" s="34">
        <v>225.98</v>
      </c>
      <c r="C170" s="34">
        <v>253.93</v>
      </c>
      <c r="D170" s="16">
        <v>1.16169104356347E-2</v>
      </c>
      <c r="E170" s="16">
        <v>1.47580732256109E-2</v>
      </c>
      <c r="F170" s="34">
        <v>0</v>
      </c>
      <c r="G170" s="34">
        <v>0.31490499999999999</v>
      </c>
      <c r="H170" s="34">
        <v>0</v>
      </c>
      <c r="I170" s="34">
        <v>0.17363000000000001</v>
      </c>
      <c r="J170" s="34">
        <v>0.31490499999999999</v>
      </c>
      <c r="K170" s="34">
        <v>0.17363000000000001</v>
      </c>
      <c r="L170" s="34">
        <v>226.294905</v>
      </c>
      <c r="M170" s="34">
        <v>254.10363000000001</v>
      </c>
      <c r="N170" s="35">
        <v>1.1236835118152</v>
      </c>
      <c r="O170" s="35">
        <v>1.1658179450689301</v>
      </c>
      <c r="P170" s="35">
        <v>1.1290834716771501</v>
      </c>
      <c r="Q170" s="35">
        <v>1.14372569241177</v>
      </c>
      <c r="R170" s="34">
        <v>263.45153922667799</v>
      </c>
      <c r="S170" s="34">
        <v>255.610475554624</v>
      </c>
      <c r="T170" s="34">
        <v>258.54954380768498</v>
      </c>
      <c r="U170" s="16">
        <v>3.6810800729043303E-2</v>
      </c>
      <c r="V170" s="16">
        <v>6.59606735127436E-3</v>
      </c>
      <c r="W170" s="16">
        <v>1.80286959294821E-2</v>
      </c>
      <c r="X170" s="35">
        <v>1.12288710167822</v>
      </c>
      <c r="Y170" s="35">
        <v>1.1654134458566101</v>
      </c>
      <c r="Z170" s="35">
        <v>1.1282974282351901</v>
      </c>
      <c r="AA170" s="35">
        <v>1.14295009248665</v>
      </c>
      <c r="AB170" s="34">
        <v>263.72712501584402</v>
      </c>
      <c r="AC170" s="34">
        <v>255.78906052472601</v>
      </c>
      <c r="AD170" s="34">
        <v>258.73507090009099</v>
      </c>
      <c r="AE170" s="16">
        <v>3.7172775292921303E-2</v>
      </c>
      <c r="AF170" s="16">
        <v>6.6109465558775197E-3</v>
      </c>
      <c r="AG170" s="16">
        <v>1.80624699722014E-2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9">
        <f t="shared" si="48"/>
        <v>0</v>
      </c>
      <c r="AP170" s="29">
        <f t="shared" si="49"/>
        <v>0</v>
      </c>
      <c r="AQ170" s="29">
        <f t="shared" si="56"/>
        <v>0</v>
      </c>
      <c r="AR170" s="30">
        <f t="shared" si="57"/>
        <v>7.4949085317119274E-2</v>
      </c>
      <c r="AT170" s="12"/>
      <c r="AU170">
        <f t="shared" si="50"/>
        <v>0</v>
      </c>
      <c r="AV170">
        <f t="shared" si="51"/>
        <v>0</v>
      </c>
      <c r="AW170">
        <f t="shared" si="58"/>
        <v>0</v>
      </c>
      <c r="AX170">
        <f t="shared" si="45"/>
        <v>1</v>
      </c>
      <c r="AY170">
        <f t="shared" si="59"/>
        <v>0</v>
      </c>
      <c r="AZ170" s="29">
        <f t="shared" si="52"/>
        <v>0</v>
      </c>
      <c r="BA170" s="29">
        <f t="shared" si="53"/>
        <v>0</v>
      </c>
      <c r="BB170" s="29">
        <f t="shared" si="60"/>
        <v>0</v>
      </c>
      <c r="BC170" s="30">
        <f t="shared" si="61"/>
        <v>8.425956056909327E-2</v>
      </c>
      <c r="BE170" s="30">
        <f t="shared" si="62"/>
        <v>0</v>
      </c>
      <c r="BF170" s="30">
        <f t="shared" si="63"/>
        <v>0.15920864588621256</v>
      </c>
      <c r="BH170" s="30"/>
    </row>
    <row r="171" spans="1:60" x14ac:dyDescent="0.25">
      <c r="A171" s="1">
        <v>46269</v>
      </c>
      <c r="B171" s="34">
        <v>225.61</v>
      </c>
      <c r="C171" s="34">
        <v>252.92</v>
      </c>
      <c r="D171" s="16">
        <v>-1.6386548984402801E-3</v>
      </c>
      <c r="E171" s="16">
        <v>-3.9854052948886196E-3</v>
      </c>
      <c r="F171" s="34">
        <v>0</v>
      </c>
      <c r="G171" s="34">
        <v>0.31490499999999999</v>
      </c>
      <c r="H171" s="34">
        <v>0</v>
      </c>
      <c r="I171" s="34">
        <v>0.17363000000000001</v>
      </c>
      <c r="J171" s="34">
        <v>0.31490499999999999</v>
      </c>
      <c r="K171" s="34">
        <v>0.17363000000000001</v>
      </c>
      <c r="L171" s="34">
        <v>225.924905</v>
      </c>
      <c r="M171" s="34">
        <v>253.09362999999999</v>
      </c>
      <c r="N171" s="35">
        <v>1.12104959886529</v>
      </c>
      <c r="O171" s="35">
        <v>1.1658179450689301</v>
      </c>
      <c r="P171" s="35">
        <v>1.1262731201960201</v>
      </c>
      <c r="Q171" s="35">
        <v>1.14258375560528</v>
      </c>
      <c r="R171" s="34">
        <v>263.020186587002</v>
      </c>
      <c r="S171" s="34">
        <v>254.73252204508299</v>
      </c>
      <c r="T171" s="34">
        <v>258.03595346501999</v>
      </c>
      <c r="U171" s="16">
        <v>3.9157551125491602E-2</v>
      </c>
      <c r="V171" s="16">
        <v>7.1408282960917198E-3</v>
      </c>
      <c r="W171" s="16">
        <v>2.0025696537848602E-2</v>
      </c>
      <c r="X171" s="35">
        <v>1.12025555571219</v>
      </c>
      <c r="Y171" s="35">
        <v>1.1654134458566101</v>
      </c>
      <c r="Z171" s="35">
        <v>1.1254868814335199</v>
      </c>
      <c r="AA171" s="35">
        <v>1.1418056124707401</v>
      </c>
      <c r="AB171" s="34">
        <v>263.295922040878</v>
      </c>
      <c r="AC171" s="34">
        <v>254.91048928578101</v>
      </c>
      <c r="AD171" s="34">
        <v>258.22089106478899</v>
      </c>
      <c r="AE171" s="16">
        <v>3.9519079184575603E-2</v>
      </c>
      <c r="AF171" s="16">
        <v>7.1529618103971402E-3</v>
      </c>
      <c r="AG171" s="16">
        <v>2.0055886221029998E-2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9">
        <f t="shared" si="48"/>
        <v>0</v>
      </c>
      <c r="AP171" s="29">
        <f t="shared" si="49"/>
        <v>0</v>
      </c>
      <c r="AQ171" s="29">
        <f t="shared" si="56"/>
        <v>0</v>
      </c>
      <c r="AR171" s="30">
        <f t="shared" si="57"/>
        <v>7.4949085317119274E-2</v>
      </c>
      <c r="AT171" s="12"/>
      <c r="AU171">
        <f t="shared" si="50"/>
        <v>0</v>
      </c>
      <c r="AV171">
        <f t="shared" si="51"/>
        <v>0</v>
      </c>
      <c r="AW171">
        <f t="shared" si="58"/>
        <v>0</v>
      </c>
      <c r="AX171">
        <f t="shared" si="45"/>
        <v>1</v>
      </c>
      <c r="AY171">
        <f t="shared" si="59"/>
        <v>0</v>
      </c>
      <c r="AZ171" s="29">
        <f t="shared" si="52"/>
        <v>0</v>
      </c>
      <c r="BA171" s="29">
        <f t="shared" si="53"/>
        <v>0</v>
      </c>
      <c r="BB171" s="29">
        <f t="shared" si="60"/>
        <v>0</v>
      </c>
      <c r="BC171" s="30">
        <f t="shared" si="61"/>
        <v>8.425956056909327E-2</v>
      </c>
      <c r="BE171" s="30">
        <f t="shared" si="62"/>
        <v>0</v>
      </c>
      <c r="BF171" s="30">
        <f t="shared" si="63"/>
        <v>0.15920864588621256</v>
      </c>
      <c r="BH171" s="30"/>
    </row>
    <row r="172" spans="1:60" x14ac:dyDescent="0.25">
      <c r="A172" s="1">
        <v>46273</v>
      </c>
      <c r="B172" s="34">
        <v>223.53</v>
      </c>
      <c r="C172" s="34">
        <v>253.27</v>
      </c>
      <c r="D172" s="16">
        <v>-9.2622116489140208E-3</v>
      </c>
      <c r="E172" s="16">
        <v>1.3828801666453899E-3</v>
      </c>
      <c r="F172" s="34">
        <v>0</v>
      </c>
      <c r="G172" s="34">
        <v>0.31490499999999999</v>
      </c>
      <c r="H172" s="34">
        <v>0</v>
      </c>
      <c r="I172" s="34">
        <v>0.17363000000000001</v>
      </c>
      <c r="J172" s="34">
        <v>0.31490499999999999</v>
      </c>
      <c r="K172" s="34">
        <v>0.17363000000000001</v>
      </c>
      <c r="L172" s="34">
        <v>223.84490500000001</v>
      </c>
      <c r="M172" s="34">
        <v>253.44363000000001</v>
      </c>
      <c r="N172" s="35">
        <v>1.13304701829732</v>
      </c>
      <c r="O172" s="35">
        <v>1.1658179450689301</v>
      </c>
      <c r="P172" s="35">
        <v>1.12577747926654</v>
      </c>
      <c r="Q172" s="35">
        <v>1.1418375480046401</v>
      </c>
      <c r="R172" s="34">
        <v>260.59528526125899</v>
      </c>
      <c r="S172" s="34">
        <v>251.75583055741799</v>
      </c>
      <c r="T172" s="34">
        <v>255.401746890449</v>
      </c>
      <c r="U172" s="16">
        <v>2.8512459309932101E-2</v>
      </c>
      <c r="V172" s="16">
        <v>-5.9964219176666302E-3</v>
      </c>
      <c r="W172" s="16">
        <v>8.38167003964152E-3</v>
      </c>
      <c r="X172" s="35">
        <v>1.1322287188086699</v>
      </c>
      <c r="Y172" s="35">
        <v>1.1654134458566101</v>
      </c>
      <c r="Z172" s="35">
        <v>1.12498845256979</v>
      </c>
      <c r="AA172" s="35">
        <v>1.14105584835027</v>
      </c>
      <c r="AB172" s="34">
        <v>260.871862073496</v>
      </c>
      <c r="AC172" s="34">
        <v>251.93450405323301</v>
      </c>
      <c r="AD172" s="34">
        <v>255.58736885197999</v>
      </c>
      <c r="AE172" s="16">
        <v>2.88879054171951E-2</v>
      </c>
      <c r="AF172" s="16">
        <v>-5.9722822604335096E-3</v>
      </c>
      <c r="AG172" s="16">
        <v>8.4228722051233103E-3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9">
        <f t="shared" si="48"/>
        <v>0</v>
      </c>
      <c r="AP172" s="29">
        <f t="shared" si="49"/>
        <v>0</v>
      </c>
      <c r="AQ172" s="29">
        <f t="shared" si="56"/>
        <v>0</v>
      </c>
      <c r="AR172" s="30">
        <f t="shared" si="57"/>
        <v>7.4949085317119274E-2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9">
        <f t="shared" si="52"/>
        <v>0</v>
      </c>
      <c r="BA172" s="29">
        <f t="shared" si="53"/>
        <v>0</v>
      </c>
      <c r="BB172" s="29">
        <f t="shared" si="60"/>
        <v>0</v>
      </c>
      <c r="BC172" s="30">
        <f t="shared" si="61"/>
        <v>8.425956056909327E-2</v>
      </c>
      <c r="BE172" s="30">
        <f t="shared" si="62"/>
        <v>0</v>
      </c>
      <c r="BF172" s="30">
        <f t="shared" si="63"/>
        <v>0.15920864588621256</v>
      </c>
      <c r="BH172" s="30"/>
    </row>
    <row r="173" spans="1:60" x14ac:dyDescent="0.25">
      <c r="A173" s="1">
        <v>46274</v>
      </c>
      <c r="B173" s="34">
        <v>219.45</v>
      </c>
      <c r="C173" s="34">
        <v>246.7</v>
      </c>
      <c r="D173" s="16">
        <v>-1.8421217099502799E-2</v>
      </c>
      <c r="E173" s="16">
        <v>-2.6283089821746802E-2</v>
      </c>
      <c r="F173" s="34">
        <v>0</v>
      </c>
      <c r="G173" s="34">
        <v>0.31490499999999999</v>
      </c>
      <c r="H173" s="34">
        <v>0</v>
      </c>
      <c r="I173" s="34">
        <v>0.17363000000000001</v>
      </c>
      <c r="J173" s="34">
        <v>0.31490499999999999</v>
      </c>
      <c r="K173" s="34">
        <v>0.17363000000000001</v>
      </c>
      <c r="L173" s="34">
        <v>219.764905</v>
      </c>
      <c r="M173" s="34">
        <v>246.87362999999999</v>
      </c>
      <c r="N173" s="35">
        <v>1.1241740715424899</v>
      </c>
      <c r="O173" s="35">
        <v>1.1658179450689301</v>
      </c>
      <c r="P173" s="35">
        <v>1.1251560473256199</v>
      </c>
      <c r="Q173" s="35">
        <v>1.14002124165719</v>
      </c>
      <c r="R173" s="34">
        <v>255.838748045377</v>
      </c>
      <c r="S173" s="34">
        <v>247.05186782504401</v>
      </c>
      <c r="T173" s="34">
        <v>250.57624990961901</v>
      </c>
      <c r="U173" s="16">
        <v>3.6374332032176299E-2</v>
      </c>
      <c r="V173" s="16">
        <v>1.4252822421123E-3</v>
      </c>
      <c r="W173" s="16">
        <v>1.5590241528873E-2</v>
      </c>
      <c r="X173" s="35">
        <v>1.1233532942850899</v>
      </c>
      <c r="Y173" s="35">
        <v>1.1654134458566101</v>
      </c>
      <c r="Z173" s="35">
        <v>1.1243626596007299</v>
      </c>
      <c r="AA173" s="35">
        <v>1.1392365297020599</v>
      </c>
      <c r="AB173" s="34">
        <v>256.11697521440101</v>
      </c>
      <c r="AC173" s="34">
        <v>247.232980405098</v>
      </c>
      <c r="AD173" s="34">
        <v>250.76403011239199</v>
      </c>
      <c r="AE173" s="16">
        <v>3.67576882751703E-2</v>
      </c>
      <c r="AF173" s="16">
        <v>1.4545462897576E-3</v>
      </c>
      <c r="AG173" s="16">
        <v>1.5635791595650799E-2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9">
        <f t="shared" si="48"/>
        <v>0</v>
      </c>
      <c r="AP173" s="29">
        <f t="shared" si="49"/>
        <v>0</v>
      </c>
      <c r="AQ173" s="29">
        <f t="shared" si="56"/>
        <v>0</v>
      </c>
      <c r="AR173" s="30">
        <f t="shared" si="57"/>
        <v>7.4949085317119274E-2</v>
      </c>
      <c r="AT173" s="12"/>
      <c r="AU173">
        <f t="shared" si="50"/>
        <v>0</v>
      </c>
      <c r="AV173">
        <f t="shared" si="51"/>
        <v>0</v>
      </c>
      <c r="AW173">
        <f t="shared" si="58"/>
        <v>0</v>
      </c>
      <c r="AX173">
        <f t="shared" si="45"/>
        <v>1</v>
      </c>
      <c r="AY173">
        <f t="shared" si="59"/>
        <v>0</v>
      </c>
      <c r="AZ173" s="29">
        <f t="shared" si="52"/>
        <v>0</v>
      </c>
      <c r="BA173" s="29">
        <f t="shared" si="53"/>
        <v>0</v>
      </c>
      <c r="BB173" s="29">
        <f t="shared" si="60"/>
        <v>0</v>
      </c>
      <c r="BC173" s="30">
        <f t="shared" si="61"/>
        <v>8.425956056909327E-2</v>
      </c>
      <c r="BE173" s="30">
        <f t="shared" si="62"/>
        <v>0</v>
      </c>
      <c r="BF173" s="30">
        <f t="shared" si="63"/>
        <v>0.15920864588621256</v>
      </c>
      <c r="BH173" s="30"/>
    </row>
    <row r="174" spans="1:60" x14ac:dyDescent="0.25">
      <c r="A174" s="1">
        <v>46275</v>
      </c>
      <c r="B174" s="34">
        <v>218.32</v>
      </c>
      <c r="C174" s="34">
        <v>244.66</v>
      </c>
      <c r="D174" s="16">
        <v>-5.16253973416E-3</v>
      </c>
      <c r="E174" s="16">
        <v>-8.3035319165407108E-3</v>
      </c>
      <c r="F174" s="34">
        <v>0</v>
      </c>
      <c r="G174" s="34">
        <v>0.31490499999999999</v>
      </c>
      <c r="H174" s="34">
        <v>0</v>
      </c>
      <c r="I174" s="34">
        <v>0.17363000000000001</v>
      </c>
      <c r="J174" s="34">
        <v>0.31490499999999999</v>
      </c>
      <c r="K174" s="34">
        <v>0.17363000000000001</v>
      </c>
      <c r="L174" s="34">
        <v>218.634905</v>
      </c>
      <c r="M174" s="34">
        <v>244.83363</v>
      </c>
      <c r="N174" s="35">
        <v>1.1206485892268201</v>
      </c>
      <c r="O174" s="35">
        <v>1.1658179450689301</v>
      </c>
      <c r="P174" s="35">
        <v>1.1244152543318899</v>
      </c>
      <c r="Q174" s="35">
        <v>1.1377633921264001</v>
      </c>
      <c r="R174" s="34">
        <v>254.52137376745</v>
      </c>
      <c r="S174" s="34">
        <v>245.64406825212899</v>
      </c>
      <c r="T174" s="34">
        <v>248.88943747859801</v>
      </c>
      <c r="U174" s="16">
        <v>3.9515324214556898E-2</v>
      </c>
      <c r="V174" s="16">
        <v>4.01411955241449E-3</v>
      </c>
      <c r="W174" s="16">
        <v>1.7139280046751301E-2</v>
      </c>
      <c r="X174" s="35">
        <v>1.11982864767178</v>
      </c>
      <c r="Y174" s="35">
        <v>1.1654134458566101</v>
      </c>
      <c r="Z174" s="35">
        <v>1.1236165959611</v>
      </c>
      <c r="AA174" s="35">
        <v>1.13697608349027</v>
      </c>
      <c r="AB174" s="34">
        <v>254.80005802058301</v>
      </c>
      <c r="AC174" s="34">
        <v>245.824923267353</v>
      </c>
      <c r="AD174" s="34">
        <v>249.07687044394001</v>
      </c>
      <c r="AE174" s="16">
        <v>3.9900232754544199E-2</v>
      </c>
      <c r="AF174" s="16">
        <v>4.0406698690561996E-3</v>
      </c>
      <c r="AG174" s="16">
        <v>1.7182646810129699E-2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9">
        <f t="shared" si="48"/>
        <v>0</v>
      </c>
      <c r="AP174" s="29">
        <f t="shared" si="49"/>
        <v>0</v>
      </c>
      <c r="AQ174" s="29">
        <f t="shared" si="56"/>
        <v>0</v>
      </c>
      <c r="AR174" s="30">
        <f t="shared" si="57"/>
        <v>7.4949085317119274E-2</v>
      </c>
      <c r="AT174" s="12"/>
      <c r="AU174">
        <f t="shared" si="50"/>
        <v>0</v>
      </c>
      <c r="AV174">
        <f t="shared" si="51"/>
        <v>0</v>
      </c>
      <c r="AW174">
        <f t="shared" si="58"/>
        <v>0</v>
      </c>
      <c r="AX174">
        <f t="shared" si="45"/>
        <v>1</v>
      </c>
      <c r="AY174">
        <f t="shared" si="59"/>
        <v>0</v>
      </c>
      <c r="AZ174" s="29">
        <f t="shared" si="52"/>
        <v>0</v>
      </c>
      <c r="BA174" s="29">
        <f t="shared" si="53"/>
        <v>0</v>
      </c>
      <c r="BB174" s="29">
        <f t="shared" si="60"/>
        <v>0</v>
      </c>
      <c r="BC174" s="30">
        <f t="shared" si="61"/>
        <v>8.425956056909327E-2</v>
      </c>
      <c r="BE174" s="30">
        <f t="shared" si="62"/>
        <v>0</v>
      </c>
      <c r="BF174" s="30">
        <f t="shared" si="63"/>
        <v>0.15920864588621256</v>
      </c>
      <c r="BH174" s="30"/>
    </row>
    <row r="175" spans="1:60" x14ac:dyDescent="0.25">
      <c r="A175" s="1">
        <v>46276</v>
      </c>
      <c r="B175" s="34">
        <v>219.01</v>
      </c>
      <c r="C175" s="34">
        <v>245.96</v>
      </c>
      <c r="D175" s="16">
        <v>3.1555144743923499E-3</v>
      </c>
      <c r="E175" s="16">
        <v>5.2994294664985902E-3</v>
      </c>
      <c r="F175" s="34">
        <v>0</v>
      </c>
      <c r="G175" s="34">
        <v>0.31490499999999999</v>
      </c>
      <c r="H175" s="34">
        <v>0</v>
      </c>
      <c r="I175" s="34">
        <v>0.17363000000000001</v>
      </c>
      <c r="J175" s="34">
        <v>0.31490499999999999</v>
      </c>
      <c r="K175" s="34">
        <v>0.17363000000000001</v>
      </c>
      <c r="L175" s="34">
        <v>219.324905</v>
      </c>
      <c r="M175" s="34">
        <v>246.13363000000001</v>
      </c>
      <c r="N175" s="35">
        <v>1.12305374183827</v>
      </c>
      <c r="O175" s="35">
        <v>1.1658179450689301</v>
      </c>
      <c r="P175" s="35">
        <v>1.12315023664344</v>
      </c>
      <c r="Q175" s="35">
        <v>1.1354235484802</v>
      </c>
      <c r="R175" s="34">
        <v>255.32578814954701</v>
      </c>
      <c r="S175" s="34">
        <v>246.25818485122801</v>
      </c>
      <c r="T175" s="34">
        <v>249.181560509604</v>
      </c>
      <c r="U175" s="16">
        <v>3.7371409222450497E-2</v>
      </c>
      <c r="V175" s="16">
        <v>1.2115963890935899E-3</v>
      </c>
      <c r="W175" s="16">
        <v>1.30128683455155E-2</v>
      </c>
      <c r="X175" s="35">
        <v>1.1222329265342601</v>
      </c>
      <c r="Y175" s="35">
        <v>1.1654134458566101</v>
      </c>
      <c r="Z175" s="35">
        <v>1.12234794027504</v>
      </c>
      <c r="AA175" s="35">
        <v>1.1346341506762001</v>
      </c>
      <c r="AB175" s="34">
        <v>255.604193298224</v>
      </c>
      <c r="AC175" s="34">
        <v>246.43710316559299</v>
      </c>
      <c r="AD175" s="34">
        <v>249.36717149877501</v>
      </c>
      <c r="AE175" s="16">
        <v>3.7755528245328601E-2</v>
      </c>
      <c r="AF175" s="16">
        <v>1.2322015237910401E-3</v>
      </c>
      <c r="AG175" s="16">
        <v>1.30517948366783E-2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9">
        <f t="shared" si="48"/>
        <v>0</v>
      </c>
      <c r="AP175" s="29">
        <f t="shared" si="49"/>
        <v>0</v>
      </c>
      <c r="AQ175" s="29">
        <f t="shared" si="56"/>
        <v>0</v>
      </c>
      <c r="AR175" s="30">
        <f t="shared" si="57"/>
        <v>7.4949085317119274E-2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9">
        <f t="shared" si="52"/>
        <v>0</v>
      </c>
      <c r="BA175" s="29">
        <f t="shared" si="53"/>
        <v>0</v>
      </c>
      <c r="BB175" s="29">
        <f t="shared" si="60"/>
        <v>0</v>
      </c>
      <c r="BC175" s="30">
        <f t="shared" si="61"/>
        <v>8.425956056909327E-2</v>
      </c>
      <c r="BE175" s="30">
        <f t="shared" si="62"/>
        <v>0</v>
      </c>
      <c r="BF175" s="30">
        <f t="shared" si="63"/>
        <v>0.15920864588621256</v>
      </c>
      <c r="BH175" s="30"/>
    </row>
    <row r="176" spans="1:60" x14ac:dyDescent="0.25">
      <c r="A176" s="1">
        <v>46279</v>
      </c>
      <c r="B176" s="34">
        <v>216.77</v>
      </c>
      <c r="C176" s="34">
        <v>242.83</v>
      </c>
      <c r="D176" s="16">
        <v>-1.02805072676432E-2</v>
      </c>
      <c r="E176" s="16">
        <v>-1.28073110482973E-2</v>
      </c>
      <c r="F176" s="34">
        <v>0</v>
      </c>
      <c r="G176" s="34">
        <v>0.31490499999999999</v>
      </c>
      <c r="H176" s="34">
        <v>0</v>
      </c>
      <c r="I176" s="34">
        <v>0.17363000000000001</v>
      </c>
      <c r="J176" s="34">
        <v>0.31490499999999999</v>
      </c>
      <c r="K176" s="34">
        <v>0.17363000000000001</v>
      </c>
      <c r="L176" s="34">
        <v>217.08490499999999</v>
      </c>
      <c r="M176" s="34">
        <v>243.00362999999999</v>
      </c>
      <c r="N176" s="35">
        <v>1.1202195875812999</v>
      </c>
      <c r="O176" s="35">
        <v>1.1658179450689301</v>
      </c>
      <c r="P176" s="35">
        <v>1.1227291063198801</v>
      </c>
      <c r="Q176" s="35">
        <v>1.1328431843634901</v>
      </c>
      <c r="R176" s="34">
        <v>252.714355952593</v>
      </c>
      <c r="S176" s="34">
        <v>243.46527679719901</v>
      </c>
      <c r="T176" s="34">
        <v>246.12576260405299</v>
      </c>
      <c r="U176" s="16">
        <v>3.9898213003104803E-2</v>
      </c>
      <c r="V176" s="16">
        <v>2.6127218950884202E-3</v>
      </c>
      <c r="W176" s="16">
        <v>1.34810253595845E-2</v>
      </c>
      <c r="X176" s="35">
        <v>1.11939441390455</v>
      </c>
      <c r="Y176" s="35">
        <v>1.1654134458566101</v>
      </c>
      <c r="Z176" s="35">
        <v>1.1219216979425899</v>
      </c>
      <c r="AA176" s="35">
        <v>1.1320510598759099</v>
      </c>
      <c r="AB176" s="34">
        <v>252.993667179505</v>
      </c>
      <c r="AC176" s="34">
        <v>243.64479599155399</v>
      </c>
      <c r="AD176" s="34">
        <v>246.311946809299</v>
      </c>
      <c r="AE176" s="16">
        <v>4.0288076002617801E-2</v>
      </c>
      <c r="AF176" s="16">
        <v>2.63502902012306E-3</v>
      </c>
      <c r="AG176" s="16">
        <v>1.35224275624486E-2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9">
        <f t="shared" si="48"/>
        <v>0</v>
      </c>
      <c r="AP176" s="29">
        <f t="shared" si="49"/>
        <v>0</v>
      </c>
      <c r="AQ176" s="29">
        <f t="shared" si="56"/>
        <v>0</v>
      </c>
      <c r="AR176" s="30">
        <f t="shared" si="57"/>
        <v>7.4949085317119274E-2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9">
        <f t="shared" si="52"/>
        <v>0</v>
      </c>
      <c r="BA176" s="29">
        <f t="shared" si="53"/>
        <v>0</v>
      </c>
      <c r="BB176" s="29">
        <f t="shared" si="60"/>
        <v>0</v>
      </c>
      <c r="BC176" s="30">
        <f t="shared" si="61"/>
        <v>8.425956056909327E-2</v>
      </c>
      <c r="BE176" s="30">
        <f t="shared" si="62"/>
        <v>0</v>
      </c>
      <c r="BF176" s="30">
        <f t="shared" si="63"/>
        <v>0.15920864588621256</v>
      </c>
      <c r="BH176" s="30"/>
    </row>
    <row r="177" spans="85:100" x14ac:dyDescent="0.25">
      <c r="CG177" s="29"/>
      <c r="CH177" s="29"/>
      <c r="CI177" s="29"/>
      <c r="CJ177" s="30"/>
      <c r="CL177" s="29"/>
      <c r="CS177" s="29"/>
      <c r="CT177" s="29"/>
      <c r="CU177" s="29"/>
      <c r="CV177" s="30"/>
    </row>
    <row r="178" spans="85:100" x14ac:dyDescent="0.25">
      <c r="CG178" s="29"/>
      <c r="CH178" s="29"/>
      <c r="CI178" s="29"/>
      <c r="CJ178" s="30"/>
      <c r="CL178" s="29"/>
      <c r="CS178" s="29"/>
      <c r="CT178" s="29"/>
      <c r="CU178" s="29"/>
      <c r="CV178" s="30"/>
    </row>
    <row r="179" spans="85:100" x14ac:dyDescent="0.25">
      <c r="CG179" s="29"/>
      <c r="CH179" s="29"/>
      <c r="CI179" s="29"/>
      <c r="CJ179" s="30"/>
      <c r="CL179" s="29"/>
      <c r="CS179" s="29"/>
      <c r="CT179" s="29"/>
      <c r="CU179" s="29"/>
      <c r="CV179" s="30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2026-09-21T17:40:40Z</dcterms:created>
  <dcterms:modified xsi:type="dcterms:W3CDTF">2026-09-21T17:45:39Z</dcterms:modified>
</cp:coreProperties>
</file>