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108DCA92-DC16-4246-9713-536A3B494CCD}" xr6:coauthVersionLast="47" xr6:coauthVersionMax="47" xr10:uidLastSave="{00000000-0000-0000-0000-000000000000}"/>
  <bookViews>
    <workbookView xWindow="11424" yWindow="0" windowWidth="11712" windowHeight="12336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E162" i="1"/>
  <c r="BC162" i="1"/>
  <c r="BB162" i="1"/>
  <c r="BQ161" i="1"/>
  <c r="BO161" i="1"/>
  <c r="BN161" i="1"/>
  <c r="BE161" i="1"/>
  <c r="BC161" i="1"/>
  <c r="BB161" i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Q156" i="1"/>
  <c r="BO156" i="1"/>
  <c r="BN156" i="1"/>
  <c r="BE156" i="1"/>
  <c r="BC156" i="1"/>
  <c r="BB156" i="1"/>
  <c r="BQ155" i="1"/>
  <c r="BO155" i="1"/>
  <c r="BN155" i="1"/>
  <c r="BE155" i="1"/>
  <c r="BC155" i="1"/>
  <c r="BB155" i="1"/>
  <c r="BQ154" i="1"/>
  <c r="BO154" i="1"/>
  <c r="BN154" i="1"/>
  <c r="BE154" i="1"/>
  <c r="BC154" i="1"/>
  <c r="BB154" i="1"/>
  <c r="BQ153" i="1"/>
  <c r="BO153" i="1"/>
  <c r="BN153" i="1"/>
  <c r="BE153" i="1"/>
  <c r="BC153" i="1"/>
  <c r="BB153" i="1"/>
  <c r="BQ152" i="1"/>
  <c r="BO152" i="1"/>
  <c r="BN152" i="1"/>
  <c r="BE152" i="1"/>
  <c r="BC152" i="1"/>
  <c r="BB152" i="1"/>
  <c r="BQ151" i="1"/>
  <c r="BO151" i="1"/>
  <c r="BN151" i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C148" i="1"/>
  <c r="BB148" i="1"/>
  <c r="BQ147" i="1"/>
  <c r="BO147" i="1"/>
  <c r="BN147" i="1"/>
  <c r="BE147" i="1"/>
  <c r="BC147" i="1"/>
  <c r="BB147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Q144" i="1"/>
  <c r="BO144" i="1"/>
  <c r="BN144" i="1"/>
  <c r="BE144" i="1"/>
  <c r="BC144" i="1"/>
  <c r="BB144" i="1"/>
  <c r="BQ143" i="1"/>
  <c r="BO143" i="1"/>
  <c r="BN143" i="1"/>
  <c r="BE143" i="1"/>
  <c r="BC143" i="1"/>
  <c r="BB143" i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Q140" i="1"/>
  <c r="BO140" i="1"/>
  <c r="BN140" i="1"/>
  <c r="BE140" i="1"/>
  <c r="BC140" i="1"/>
  <c r="BB140" i="1"/>
  <c r="BQ139" i="1"/>
  <c r="BO139" i="1"/>
  <c r="BN139" i="1"/>
  <c r="BE139" i="1"/>
  <c r="BC139" i="1"/>
  <c r="BB139" i="1"/>
  <c r="BQ138" i="1"/>
  <c r="BO138" i="1"/>
  <c r="BN138" i="1"/>
  <c r="BE138" i="1"/>
  <c r="BC138" i="1"/>
  <c r="BB138" i="1"/>
  <c r="BQ137" i="1"/>
  <c r="BO137" i="1"/>
  <c r="BN137" i="1"/>
  <c r="BE137" i="1"/>
  <c r="BC137" i="1"/>
  <c r="BB137" i="1"/>
  <c r="BQ136" i="1"/>
  <c r="BO136" i="1"/>
  <c r="BN136" i="1"/>
  <c r="BE136" i="1"/>
  <c r="BC136" i="1"/>
  <c r="BB136" i="1"/>
  <c r="BQ135" i="1"/>
  <c r="BO135" i="1"/>
  <c r="BN135" i="1"/>
  <c r="BE135" i="1"/>
  <c r="BC135" i="1"/>
  <c r="BB135" i="1"/>
  <c r="BQ134" i="1"/>
  <c r="BO134" i="1"/>
  <c r="BN134" i="1"/>
  <c r="BE134" i="1"/>
  <c r="BC134" i="1"/>
  <c r="BB134" i="1"/>
  <c r="BQ133" i="1"/>
  <c r="BO133" i="1"/>
  <c r="BN133" i="1"/>
  <c r="BE133" i="1"/>
  <c r="BC133" i="1"/>
  <c r="BB133" i="1"/>
  <c r="BQ132" i="1"/>
  <c r="BO132" i="1"/>
  <c r="BN132" i="1"/>
  <c r="BE132" i="1"/>
  <c r="BC132" i="1"/>
  <c r="BB132" i="1"/>
  <c r="BQ131" i="1"/>
  <c r="BO131" i="1"/>
  <c r="BN131" i="1"/>
  <c r="BE131" i="1"/>
  <c r="BC131" i="1"/>
  <c r="BB131" i="1"/>
  <c r="BQ130" i="1"/>
  <c r="BO130" i="1"/>
  <c r="BN130" i="1"/>
  <c r="BE130" i="1"/>
  <c r="BC130" i="1"/>
  <c r="BB130" i="1"/>
  <c r="BQ129" i="1"/>
  <c r="BO129" i="1"/>
  <c r="BN129" i="1"/>
  <c r="BE129" i="1"/>
  <c r="BC129" i="1"/>
  <c r="BB129" i="1"/>
  <c r="BQ128" i="1"/>
  <c r="BO128" i="1"/>
  <c r="BN128" i="1"/>
  <c r="BE128" i="1"/>
  <c r="BC128" i="1"/>
  <c r="BB128" i="1"/>
  <c r="BQ127" i="1"/>
  <c r="BO127" i="1"/>
  <c r="BN127" i="1"/>
  <c r="BE127" i="1"/>
  <c r="BC127" i="1"/>
  <c r="BB127" i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E123" i="1"/>
  <c r="BC123" i="1"/>
  <c r="BB123" i="1"/>
  <c r="BQ122" i="1"/>
  <c r="BO122" i="1"/>
  <c r="BN122" i="1"/>
  <c r="BE122" i="1"/>
  <c r="BC122" i="1"/>
  <c r="BB122" i="1"/>
  <c r="BQ121" i="1"/>
  <c r="BO121" i="1"/>
  <c r="BN121" i="1"/>
  <c r="BE121" i="1"/>
  <c r="BC121" i="1"/>
  <c r="BB121" i="1"/>
  <c r="BQ120" i="1"/>
  <c r="BO120" i="1"/>
  <c r="BN120" i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E116" i="1"/>
  <c r="BC116" i="1"/>
  <c r="BB116" i="1"/>
  <c r="BQ115" i="1"/>
  <c r="BO115" i="1"/>
  <c r="BN115" i="1"/>
  <c r="BE115" i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Q111" i="1"/>
  <c r="BO111" i="1"/>
  <c r="BN111" i="1"/>
  <c r="BE111" i="1"/>
  <c r="BC111" i="1"/>
  <c r="BB111" i="1"/>
  <c r="BQ110" i="1"/>
  <c r="BO110" i="1"/>
  <c r="BN110" i="1"/>
  <c r="BE110" i="1"/>
  <c r="BC110" i="1"/>
  <c r="BB110" i="1"/>
  <c r="BQ109" i="1"/>
  <c r="BO109" i="1"/>
  <c r="BN109" i="1"/>
  <c r="BE109" i="1"/>
  <c r="BC109" i="1"/>
  <c r="BB109" i="1"/>
  <c r="BQ108" i="1"/>
  <c r="BO108" i="1"/>
  <c r="BN108" i="1"/>
  <c r="BE108" i="1"/>
  <c r="BC108" i="1"/>
  <c r="BB108" i="1"/>
  <c r="BQ107" i="1"/>
  <c r="BO107" i="1"/>
  <c r="BN107" i="1"/>
  <c r="BE107" i="1"/>
  <c r="BC107" i="1"/>
  <c r="BB107" i="1"/>
  <c r="BQ106" i="1"/>
  <c r="BO106" i="1"/>
  <c r="BN106" i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C104" i="1"/>
  <c r="BB104" i="1"/>
  <c r="BQ103" i="1"/>
  <c r="BO103" i="1"/>
  <c r="BN103" i="1"/>
  <c r="BE103" i="1"/>
  <c r="BC103" i="1"/>
  <c r="BB103" i="1"/>
  <c r="BQ102" i="1"/>
  <c r="BO102" i="1"/>
  <c r="BN102" i="1"/>
  <c r="BE102" i="1"/>
  <c r="BC102" i="1"/>
  <c r="BB102" i="1"/>
  <c r="BQ101" i="1"/>
  <c r="BO101" i="1"/>
  <c r="BN101" i="1"/>
  <c r="BE101" i="1"/>
  <c r="BC101" i="1"/>
  <c r="BB101" i="1"/>
  <c r="BQ100" i="1"/>
  <c r="BO100" i="1"/>
  <c r="BN100" i="1"/>
  <c r="BE100" i="1"/>
  <c r="BC100" i="1"/>
  <c r="BB100" i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E97" i="1"/>
  <c r="BC97" i="1"/>
  <c r="BB97" i="1"/>
  <c r="BQ96" i="1"/>
  <c r="BO96" i="1"/>
  <c r="BN96" i="1"/>
  <c r="BE96" i="1"/>
  <c r="BC96" i="1"/>
  <c r="BB96" i="1"/>
  <c r="BQ95" i="1"/>
  <c r="BO95" i="1"/>
  <c r="BN95" i="1"/>
  <c r="BE95" i="1"/>
  <c r="BC95" i="1"/>
  <c r="BB95" i="1"/>
  <c r="BQ94" i="1"/>
  <c r="BO94" i="1"/>
  <c r="BN94" i="1"/>
  <c r="BE94" i="1"/>
  <c r="BC94" i="1"/>
  <c r="BB94" i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Q85" i="1"/>
  <c r="BO85" i="1"/>
  <c r="BN85" i="1"/>
  <c r="BE85" i="1"/>
  <c r="BC85" i="1"/>
  <c r="BB85" i="1"/>
  <c r="BQ84" i="1"/>
  <c r="BO84" i="1"/>
  <c r="BN84" i="1"/>
  <c r="BE84" i="1"/>
  <c r="BC84" i="1"/>
  <c r="BB84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E79" i="1"/>
  <c r="BC79" i="1"/>
  <c r="BB79" i="1"/>
  <c r="BQ78" i="1"/>
  <c r="BO78" i="1"/>
  <c r="BN78" i="1"/>
  <c r="BE78" i="1"/>
  <c r="BC78" i="1"/>
  <c r="BB78" i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E73" i="1"/>
  <c r="BC73" i="1"/>
  <c r="BB73" i="1"/>
  <c r="BQ72" i="1"/>
  <c r="BO72" i="1"/>
  <c r="BN72" i="1"/>
  <c r="BE72" i="1"/>
  <c r="BC72" i="1"/>
  <c r="BB72" i="1"/>
  <c r="BQ71" i="1"/>
  <c r="BO71" i="1"/>
  <c r="BN71" i="1"/>
  <c r="BE71" i="1"/>
  <c r="BC71" i="1"/>
  <c r="BB71" i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C60" i="1"/>
  <c r="BB60" i="1"/>
  <c r="BQ59" i="1"/>
  <c r="BO59" i="1"/>
  <c r="BN59" i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Q56" i="1"/>
  <c r="BO56" i="1"/>
  <c r="BN56" i="1"/>
  <c r="BE56" i="1"/>
  <c r="BC56" i="1"/>
  <c r="BB56" i="1"/>
  <c r="BQ55" i="1"/>
  <c r="BO55" i="1"/>
  <c r="BN55" i="1"/>
  <c r="BE55" i="1"/>
  <c r="BC55" i="1"/>
  <c r="BB55" i="1"/>
  <c r="BQ54" i="1"/>
  <c r="BO54" i="1"/>
  <c r="BN54" i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E49" i="1"/>
  <c r="BC49" i="1"/>
  <c r="BB49" i="1"/>
  <c r="BQ48" i="1"/>
  <c r="BO48" i="1"/>
  <c r="BN48" i="1"/>
  <c r="BE48" i="1"/>
  <c r="BC48" i="1"/>
  <c r="BB48" i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E44" i="1"/>
  <c r="BC44" i="1"/>
  <c r="BB44" i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Q40" i="1"/>
  <c r="BO40" i="1"/>
  <c r="BN40" i="1"/>
  <c r="BE40" i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C38" i="1"/>
  <c r="BB38" i="1"/>
  <c r="BQ37" i="1"/>
  <c r="BO37" i="1"/>
  <c r="BN37" i="1"/>
  <c r="BE37" i="1"/>
  <c r="BC37" i="1"/>
  <c r="BB37" i="1"/>
  <c r="BQ36" i="1"/>
  <c r="BO36" i="1"/>
  <c r="BN36" i="1"/>
  <c r="BE36" i="1"/>
  <c r="BC36" i="1"/>
  <c r="BB36" i="1"/>
  <c r="BQ35" i="1"/>
  <c r="BO35" i="1"/>
  <c r="BN35" i="1"/>
  <c r="BE35" i="1"/>
  <c r="BC35" i="1"/>
  <c r="BB35" i="1"/>
  <c r="BQ34" i="1"/>
  <c r="BO34" i="1"/>
  <c r="BN34" i="1"/>
  <c r="BE34" i="1"/>
  <c r="BC34" i="1"/>
  <c r="BB34" i="1"/>
  <c r="BQ33" i="1"/>
  <c r="BO33" i="1"/>
  <c r="BN33" i="1"/>
  <c r="BE33" i="1"/>
  <c r="BC33" i="1"/>
  <c r="BB33" i="1"/>
  <c r="BQ32" i="1"/>
  <c r="BO32" i="1"/>
  <c r="BN32" i="1"/>
  <c r="BE32" i="1"/>
  <c r="BC32" i="1"/>
  <c r="BB32" i="1"/>
  <c r="BQ31" i="1"/>
  <c r="BO31" i="1"/>
  <c r="BN31" i="1"/>
  <c r="BE31" i="1"/>
  <c r="BC31" i="1"/>
  <c r="BB31" i="1"/>
  <c r="BQ30" i="1"/>
  <c r="BO30" i="1"/>
  <c r="BN30" i="1"/>
  <c r="BE30" i="1"/>
  <c r="BC30" i="1"/>
  <c r="BB30" i="1"/>
  <c r="BQ29" i="1"/>
  <c r="BO29" i="1"/>
  <c r="BN29" i="1"/>
  <c r="BE29" i="1"/>
  <c r="BC29" i="1"/>
  <c r="BB29" i="1"/>
  <c r="BQ28" i="1"/>
  <c r="BO28" i="1"/>
  <c r="BN28" i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Q23" i="1"/>
  <c r="BO23" i="1"/>
  <c r="BN23" i="1"/>
  <c r="BE23" i="1"/>
  <c r="BC23" i="1"/>
  <c r="BB23" i="1"/>
  <c r="BQ22" i="1"/>
  <c r="BP22" i="1"/>
  <c r="BO22" i="1"/>
  <c r="BN22" i="1"/>
  <c r="BE22" i="1"/>
  <c r="BD22" i="1"/>
  <c r="BC22" i="1"/>
  <c r="BB22" i="1"/>
  <c r="BF23" i="1" s="1"/>
  <c r="BD23" i="1" s="1"/>
  <c r="BQ21" i="1"/>
  <c r="BR22" i="1" s="1"/>
  <c r="BE21" i="1"/>
  <c r="BF22" i="1" s="1"/>
  <c r="BH22" i="1" s="1"/>
  <c r="BT20" i="1"/>
  <c r="BS20" i="1"/>
  <c r="BH20" i="1"/>
  <c r="BG20" i="1"/>
  <c r="BR23" i="1" l="1"/>
  <c r="BP23" i="1" s="1"/>
  <c r="BR24" i="1" s="1"/>
  <c r="BP24" i="1" s="1"/>
  <c r="BR25" i="1" s="1"/>
  <c r="BG23" i="1"/>
  <c r="BH23" i="1"/>
  <c r="BF24" i="1"/>
  <c r="BD24" i="1" s="1"/>
  <c r="BF25" i="1" s="1"/>
  <c r="BT22" i="1"/>
  <c r="BS22" i="1"/>
  <c r="BG22" i="1"/>
  <c r="BI22" i="1" s="1"/>
  <c r="BS23" i="1" l="1"/>
  <c r="BT23" i="1"/>
  <c r="BH25" i="1"/>
  <c r="BG25" i="1"/>
  <c r="BD25" i="1"/>
  <c r="BF26" i="1" s="1"/>
  <c r="BH26" i="1" s="1"/>
  <c r="BS24" i="1"/>
  <c r="BU22" i="1"/>
  <c r="BX22" i="1" s="1"/>
  <c r="BG24" i="1"/>
  <c r="BH24" i="1"/>
  <c r="BI23" i="1"/>
  <c r="BT24" i="1"/>
  <c r="BP25" i="1"/>
  <c r="BR26" i="1" s="1"/>
  <c r="BT25" i="1"/>
  <c r="BS25" i="1"/>
  <c r="BJ22" i="1"/>
  <c r="BU23" i="1" l="1"/>
  <c r="BX23" i="1" s="1"/>
  <c r="BI25" i="1"/>
  <c r="BS26" i="1"/>
  <c r="BP26" i="1"/>
  <c r="BR27" i="1" s="1"/>
  <c r="BT27" i="1" s="1"/>
  <c r="BT26" i="1"/>
  <c r="BD26" i="1"/>
  <c r="BF27" i="1" s="1"/>
  <c r="BG27" i="1" s="1"/>
  <c r="BG26" i="1"/>
  <c r="BI26" i="1" s="1"/>
  <c r="BU24" i="1"/>
  <c r="BV22" i="1"/>
  <c r="BU25" i="1"/>
  <c r="BI24" i="1"/>
  <c r="BJ23" i="1"/>
  <c r="BJ24" i="1" s="1"/>
  <c r="BY22" i="1"/>
  <c r="BJ25" i="1" l="1"/>
  <c r="BJ26" i="1" s="1"/>
  <c r="BX25" i="1"/>
  <c r="BY23" i="1"/>
  <c r="BV23" i="1"/>
  <c r="BV24" i="1" s="1"/>
  <c r="BV25" i="1" s="1"/>
  <c r="BD27" i="1"/>
  <c r="BF28" i="1" s="1"/>
  <c r="BH28" i="1" s="1"/>
  <c r="BH27" i="1"/>
  <c r="BP27" i="1"/>
  <c r="BR28" i="1" s="1"/>
  <c r="BP28" i="1" s="1"/>
  <c r="BR29" i="1" s="1"/>
  <c r="BU26" i="1"/>
  <c r="BX26" i="1" s="1"/>
  <c r="BX24" i="1"/>
  <c r="BS27" i="1"/>
  <c r="BU27" i="1" s="1"/>
  <c r="BI27" i="1"/>
  <c r="BY24" i="1" l="1"/>
  <c r="BY25" i="1" s="1"/>
  <c r="BY26" i="1" s="1"/>
  <c r="BV26" i="1"/>
  <c r="BV27" i="1" s="1"/>
  <c r="BD28" i="1"/>
  <c r="BF29" i="1" s="1"/>
  <c r="BH29" i="1" s="1"/>
  <c r="BG28" i="1"/>
  <c r="BI28" i="1" s="1"/>
  <c r="BS28" i="1"/>
  <c r="BT28" i="1"/>
  <c r="BS29" i="1"/>
  <c r="BP29" i="1"/>
  <c r="BR30" i="1" s="1"/>
  <c r="BT29" i="1"/>
  <c r="BJ27" i="1"/>
  <c r="BX27" i="1"/>
  <c r="BD29" i="1" l="1"/>
  <c r="BF30" i="1" s="1"/>
  <c r="BD30" i="1" s="1"/>
  <c r="BF31" i="1" s="1"/>
  <c r="BG29" i="1"/>
  <c r="BI29" i="1" s="1"/>
  <c r="BY27" i="1"/>
  <c r="BJ28" i="1"/>
  <c r="BU28" i="1"/>
  <c r="BS30" i="1"/>
  <c r="BP30" i="1"/>
  <c r="BR31" i="1" s="1"/>
  <c r="BT30" i="1"/>
  <c r="BU29" i="1"/>
  <c r="BG30" i="1" l="1"/>
  <c r="BH30" i="1"/>
  <c r="BJ29" i="1"/>
  <c r="BV28" i="1"/>
  <c r="BV29" i="1" s="1"/>
  <c r="BX28" i="1"/>
  <c r="BY28" i="1" s="1"/>
  <c r="BT31" i="1"/>
  <c r="BP31" i="1"/>
  <c r="BR32" i="1" s="1"/>
  <c r="BS31" i="1"/>
  <c r="BU31" i="1" s="1"/>
  <c r="BU30" i="1"/>
  <c r="BX29" i="1"/>
  <c r="BD31" i="1"/>
  <c r="BF32" i="1" s="1"/>
  <c r="BG31" i="1"/>
  <c r="BH31" i="1"/>
  <c r="BI30" i="1" l="1"/>
  <c r="BJ30" i="1" s="1"/>
  <c r="BY29" i="1"/>
  <c r="BV30" i="1"/>
  <c r="BV31" i="1" s="1"/>
  <c r="BP32" i="1"/>
  <c r="BR33" i="1" s="1"/>
  <c r="BS32" i="1"/>
  <c r="BT32" i="1"/>
  <c r="BI31" i="1"/>
  <c r="BD32" i="1"/>
  <c r="BF33" i="1" s="1"/>
  <c r="BG32" i="1"/>
  <c r="BH32" i="1"/>
  <c r="BX30" i="1" l="1"/>
  <c r="BY30" i="1"/>
  <c r="BU32" i="1"/>
  <c r="BV32" i="1" s="1"/>
  <c r="BS33" i="1"/>
  <c r="BT33" i="1"/>
  <c r="BP33" i="1"/>
  <c r="BR34" i="1" s="1"/>
  <c r="BI32" i="1"/>
  <c r="BH33" i="1"/>
  <c r="BG33" i="1"/>
  <c r="BD33" i="1"/>
  <c r="BF34" i="1" s="1"/>
  <c r="BX31" i="1"/>
  <c r="BJ31" i="1"/>
  <c r="BY31" i="1" l="1"/>
  <c r="BU33" i="1"/>
  <c r="BV33" i="1" s="1"/>
  <c r="BX32" i="1"/>
  <c r="BI33" i="1"/>
  <c r="BJ32" i="1"/>
  <c r="BH34" i="1"/>
  <c r="BD34" i="1"/>
  <c r="BF35" i="1" s="1"/>
  <c r="BG34" i="1"/>
  <c r="BS34" i="1"/>
  <c r="BT34" i="1"/>
  <c r="BP34" i="1"/>
  <c r="BR35" i="1" s="1"/>
  <c r="BY32" i="1" l="1"/>
  <c r="BJ33" i="1"/>
  <c r="BX33" i="1"/>
  <c r="BD35" i="1"/>
  <c r="BF36" i="1" s="1"/>
  <c r="BG35" i="1"/>
  <c r="BH35" i="1"/>
  <c r="BI34" i="1"/>
  <c r="BU34" i="1"/>
  <c r="BV34" i="1" s="1"/>
  <c r="BT35" i="1"/>
  <c r="BS35" i="1"/>
  <c r="BU35" i="1" s="1"/>
  <c r="BP35" i="1"/>
  <c r="BR36" i="1" s="1"/>
  <c r="BY33" i="1" l="1"/>
  <c r="BJ34" i="1"/>
  <c r="BI35" i="1"/>
  <c r="BG36" i="1"/>
  <c r="BD36" i="1"/>
  <c r="BF37" i="1" s="1"/>
  <c r="BH36" i="1"/>
  <c r="BV35" i="1"/>
  <c r="BT36" i="1"/>
  <c r="BS36" i="1"/>
  <c r="BP36" i="1"/>
  <c r="BR37" i="1" s="1"/>
  <c r="BX34" i="1"/>
  <c r="BY34" i="1" s="1"/>
  <c r="BJ35" i="1" l="1"/>
  <c r="BU36" i="1"/>
  <c r="BV36" i="1" s="1"/>
  <c r="BG37" i="1"/>
  <c r="BH37" i="1"/>
  <c r="BI37" i="1" s="1"/>
  <c r="BD37" i="1"/>
  <c r="BF38" i="1" s="1"/>
  <c r="BI36" i="1"/>
  <c r="BJ36" i="1" s="1"/>
  <c r="BX35" i="1"/>
  <c r="BY35" i="1" s="1"/>
  <c r="BP37" i="1"/>
  <c r="BR38" i="1" s="1"/>
  <c r="BT37" i="1"/>
  <c r="BS37" i="1"/>
  <c r="BU37" i="1" s="1"/>
  <c r="BJ37" i="1" l="1"/>
  <c r="BD38" i="1"/>
  <c r="BF39" i="1" s="1"/>
  <c r="BG38" i="1"/>
  <c r="BH38" i="1"/>
  <c r="BX37" i="1"/>
  <c r="BX36" i="1"/>
  <c r="BY36" i="1" s="1"/>
  <c r="BP38" i="1"/>
  <c r="BR39" i="1" s="1"/>
  <c r="BT38" i="1"/>
  <c r="BS38" i="1"/>
  <c r="BV37" i="1"/>
  <c r="BY37" i="1" l="1"/>
  <c r="BI38" i="1"/>
  <c r="BJ38" i="1" s="1"/>
  <c r="BH39" i="1"/>
  <c r="BD39" i="1"/>
  <c r="BF40" i="1" s="1"/>
  <c r="BG39" i="1"/>
  <c r="BU38" i="1"/>
  <c r="BP39" i="1"/>
  <c r="BR40" i="1" s="1"/>
  <c r="BS39" i="1"/>
  <c r="BT39" i="1"/>
  <c r="BX38" i="1" l="1"/>
  <c r="BY38" i="1" s="1"/>
  <c r="BI39" i="1"/>
  <c r="BJ39" i="1" s="1"/>
  <c r="BV38" i="1"/>
  <c r="BD40" i="1"/>
  <c r="BF41" i="1" s="1"/>
  <c r="BH40" i="1"/>
  <c r="BG40" i="1"/>
  <c r="BI40" i="1" s="1"/>
  <c r="BU39" i="1"/>
  <c r="BS40" i="1"/>
  <c r="BP40" i="1"/>
  <c r="BR41" i="1" s="1"/>
  <c r="BT40" i="1"/>
  <c r="BJ40" i="1" l="1"/>
  <c r="BD41" i="1"/>
  <c r="BF42" i="1" s="1"/>
  <c r="BH41" i="1"/>
  <c r="BG41" i="1"/>
  <c r="BU40" i="1"/>
  <c r="BX40" i="1" s="1"/>
  <c r="BS41" i="1"/>
  <c r="BT41" i="1"/>
  <c r="BP41" i="1"/>
  <c r="BR42" i="1" s="1"/>
  <c r="BX39" i="1"/>
  <c r="BY39" i="1" s="1"/>
  <c r="BV39" i="1"/>
  <c r="BV40" i="1" l="1"/>
  <c r="BY40" i="1"/>
  <c r="BI41" i="1"/>
  <c r="BJ41" i="1" s="1"/>
  <c r="BH42" i="1"/>
  <c r="BG42" i="1"/>
  <c r="BD42" i="1"/>
  <c r="BF43" i="1" s="1"/>
  <c r="BU41" i="1"/>
  <c r="BS42" i="1"/>
  <c r="BP42" i="1"/>
  <c r="BR43" i="1" s="1"/>
  <c r="BT42" i="1"/>
  <c r="BX41" i="1" l="1"/>
  <c r="BY41" i="1" s="1"/>
  <c r="BI42" i="1"/>
  <c r="BJ42" i="1" s="1"/>
  <c r="BD43" i="1"/>
  <c r="BF44" i="1" s="1"/>
  <c r="BG43" i="1"/>
  <c r="BH43" i="1"/>
  <c r="BV41" i="1"/>
  <c r="BU42" i="1"/>
  <c r="BT43" i="1"/>
  <c r="BP43" i="1"/>
  <c r="BR44" i="1" s="1"/>
  <c r="BS43" i="1"/>
  <c r="BU43" i="1" s="1"/>
  <c r="BI43" i="1" l="1"/>
  <c r="BJ43" i="1" s="1"/>
  <c r="BH44" i="1"/>
  <c r="BD44" i="1"/>
  <c r="BF45" i="1" s="1"/>
  <c r="BG44" i="1"/>
  <c r="BT44" i="1"/>
  <c r="BS44" i="1"/>
  <c r="BU44" i="1" s="1"/>
  <c r="BP44" i="1"/>
  <c r="BR45" i="1" s="1"/>
  <c r="BX42" i="1"/>
  <c r="BY42" i="1" s="1"/>
  <c r="BV42" i="1"/>
  <c r="BV43" i="1" s="1"/>
  <c r="BI44" i="1" l="1"/>
  <c r="BX44" i="1" s="1"/>
  <c r="BG45" i="1"/>
  <c r="BD45" i="1"/>
  <c r="BF46" i="1" s="1"/>
  <c r="BH45" i="1"/>
  <c r="BV44" i="1"/>
  <c r="BX43" i="1"/>
  <c r="BY43" i="1" s="1"/>
  <c r="BS45" i="1"/>
  <c r="BT45" i="1"/>
  <c r="BP45" i="1"/>
  <c r="BR46" i="1" s="1"/>
  <c r="BY44" i="1" l="1"/>
  <c r="BJ44" i="1"/>
  <c r="BD46" i="1"/>
  <c r="BF47" i="1" s="1"/>
  <c r="BH46" i="1"/>
  <c r="BG46" i="1"/>
  <c r="BI46" i="1" s="1"/>
  <c r="BI45" i="1"/>
  <c r="BT46" i="1"/>
  <c r="BS46" i="1"/>
  <c r="BP46" i="1"/>
  <c r="BR47" i="1" s="1"/>
  <c r="BU45" i="1"/>
  <c r="BU46" i="1" l="1"/>
  <c r="BX46" i="1" s="1"/>
  <c r="BJ45" i="1"/>
  <c r="BJ46" i="1" s="1"/>
  <c r="BH47" i="1"/>
  <c r="BD47" i="1"/>
  <c r="BF48" i="1" s="1"/>
  <c r="BG47" i="1"/>
  <c r="BX45" i="1"/>
  <c r="BY45" i="1" s="1"/>
  <c r="BV45" i="1"/>
  <c r="BS47" i="1"/>
  <c r="BT47" i="1"/>
  <c r="BP47" i="1"/>
  <c r="BR48" i="1" s="1"/>
  <c r="BV46" i="1" l="1"/>
  <c r="BU47" i="1"/>
  <c r="BI47" i="1"/>
  <c r="BJ47" i="1" s="1"/>
  <c r="BY46" i="1"/>
  <c r="BH48" i="1"/>
  <c r="BG48" i="1"/>
  <c r="BI48" i="1" s="1"/>
  <c r="BD48" i="1"/>
  <c r="BF49" i="1" s="1"/>
  <c r="BS48" i="1"/>
  <c r="BT48" i="1"/>
  <c r="BP48" i="1"/>
  <c r="BR49" i="1" s="1"/>
  <c r="BV47" i="1" l="1"/>
  <c r="BJ48" i="1"/>
  <c r="BX47" i="1"/>
  <c r="BY47" i="1" s="1"/>
  <c r="BU48" i="1"/>
  <c r="BD49" i="1"/>
  <c r="BF50" i="1" s="1"/>
  <c r="BH49" i="1"/>
  <c r="BG49" i="1"/>
  <c r="BP49" i="1"/>
  <c r="BR50" i="1" s="1"/>
  <c r="BT49" i="1"/>
  <c r="BS49" i="1"/>
  <c r="BU49" i="1" s="1"/>
  <c r="BV48" i="1" l="1"/>
  <c r="BV49" i="1" s="1"/>
  <c r="BI49" i="1"/>
  <c r="BX49" i="1" s="1"/>
  <c r="BX48" i="1"/>
  <c r="BY48" i="1" s="1"/>
  <c r="BG50" i="1"/>
  <c r="BH50" i="1"/>
  <c r="BD50" i="1"/>
  <c r="BF51" i="1" s="1"/>
  <c r="BT50" i="1"/>
  <c r="BS50" i="1"/>
  <c r="BU50" i="1" s="1"/>
  <c r="BP50" i="1"/>
  <c r="BR51" i="1" s="1"/>
  <c r="BJ49" i="1" l="1"/>
  <c r="BV50" i="1"/>
  <c r="BY49" i="1"/>
  <c r="BD51" i="1"/>
  <c r="BF52" i="1" s="1"/>
  <c r="BH51" i="1"/>
  <c r="BG51" i="1"/>
  <c r="BI50" i="1"/>
  <c r="BX50" i="1"/>
  <c r="BS51" i="1"/>
  <c r="BT51" i="1"/>
  <c r="BP51" i="1"/>
  <c r="BR52" i="1" s="1"/>
  <c r="BJ50" i="1" l="1"/>
  <c r="BJ51" i="1" s="1"/>
  <c r="BI51" i="1"/>
  <c r="BY50" i="1"/>
  <c r="BG52" i="1"/>
  <c r="BD52" i="1"/>
  <c r="BF53" i="1" s="1"/>
  <c r="BH52" i="1"/>
  <c r="BP52" i="1"/>
  <c r="BR53" i="1" s="1"/>
  <c r="BT52" i="1"/>
  <c r="BS52" i="1"/>
  <c r="BU51" i="1"/>
  <c r="BU52" i="1" l="1"/>
  <c r="BH53" i="1"/>
  <c r="BG53" i="1"/>
  <c r="BD53" i="1"/>
  <c r="BF54" i="1" s="1"/>
  <c r="BI52" i="1"/>
  <c r="BJ52" i="1" s="1"/>
  <c r="BX51" i="1"/>
  <c r="BY51" i="1" s="1"/>
  <c r="BV51" i="1"/>
  <c r="BT53" i="1"/>
  <c r="BS53" i="1"/>
  <c r="BU53" i="1" s="1"/>
  <c r="BP53" i="1"/>
  <c r="BR54" i="1" s="1"/>
  <c r="BV52" i="1" l="1"/>
  <c r="BV53" i="1" s="1"/>
  <c r="BV54" i="1" s="1"/>
  <c r="BI53" i="1"/>
  <c r="BJ53" i="1" s="1"/>
  <c r="BG54" i="1"/>
  <c r="BH54" i="1"/>
  <c r="BD54" i="1"/>
  <c r="BF55" i="1" s="1"/>
  <c r="BX52" i="1"/>
  <c r="BY52" i="1" s="1"/>
  <c r="BT54" i="1"/>
  <c r="BP54" i="1"/>
  <c r="BR55" i="1" s="1"/>
  <c r="BS54" i="1"/>
  <c r="BU54" i="1" s="1"/>
  <c r="BX53" i="1" l="1"/>
  <c r="BY53" i="1"/>
  <c r="BP55" i="1"/>
  <c r="BR56" i="1" s="1"/>
  <c r="BT55" i="1"/>
  <c r="BS55" i="1"/>
  <c r="BD55" i="1"/>
  <c r="BF56" i="1" s="1"/>
  <c r="BG55" i="1"/>
  <c r="BH55" i="1"/>
  <c r="BI54" i="1"/>
  <c r="BJ54" i="1" s="1"/>
  <c r="BU55" i="1" l="1"/>
  <c r="BV55" i="1" s="1"/>
  <c r="BS56" i="1"/>
  <c r="BP56" i="1"/>
  <c r="BR57" i="1" s="1"/>
  <c r="BT56" i="1"/>
  <c r="BI55" i="1"/>
  <c r="BH56" i="1"/>
  <c r="BD56" i="1"/>
  <c r="BF57" i="1" s="1"/>
  <c r="BG56" i="1"/>
  <c r="BI56" i="1" s="1"/>
  <c r="BX54" i="1"/>
  <c r="BY54" i="1" s="1"/>
  <c r="BX55" i="1" l="1"/>
  <c r="BY55" i="1" s="1"/>
  <c r="BS57" i="1"/>
  <c r="BP57" i="1"/>
  <c r="BR58" i="1" s="1"/>
  <c r="BT57" i="1"/>
  <c r="BU56" i="1"/>
  <c r="BV56" i="1" s="1"/>
  <c r="BG57" i="1"/>
  <c r="BH57" i="1"/>
  <c r="BI57" i="1" s="1"/>
  <c r="BD57" i="1"/>
  <c r="BF58" i="1" s="1"/>
  <c r="BJ55" i="1"/>
  <c r="BJ56" i="1" s="1"/>
  <c r="BJ57" i="1" s="1"/>
  <c r="BU57" i="1" l="1"/>
  <c r="BX57" i="1" s="1"/>
  <c r="BX56" i="1"/>
  <c r="BY56" i="1" s="1"/>
  <c r="BS58" i="1"/>
  <c r="BT58" i="1"/>
  <c r="BP58" i="1"/>
  <c r="BR59" i="1" s="1"/>
  <c r="BD58" i="1"/>
  <c r="BF59" i="1" s="1"/>
  <c r="BG58" i="1"/>
  <c r="BH58" i="1"/>
  <c r="BY57" i="1" l="1"/>
  <c r="BV57" i="1"/>
  <c r="BU58" i="1"/>
  <c r="BT59" i="1"/>
  <c r="BP59" i="1"/>
  <c r="BR60" i="1" s="1"/>
  <c r="BS59" i="1"/>
  <c r="BH59" i="1"/>
  <c r="BD59" i="1"/>
  <c r="BF60" i="1" s="1"/>
  <c r="BG59" i="1"/>
  <c r="BI59" i="1" s="1"/>
  <c r="BI58" i="1"/>
  <c r="BV58" i="1" l="1"/>
  <c r="BU59" i="1"/>
  <c r="BV59" i="1" s="1"/>
  <c r="BS60" i="1"/>
  <c r="BT60" i="1"/>
  <c r="BP60" i="1"/>
  <c r="BR61" i="1" s="1"/>
  <c r="BH60" i="1"/>
  <c r="BD60" i="1"/>
  <c r="BF61" i="1" s="1"/>
  <c r="BG60" i="1"/>
  <c r="BI60" i="1" s="1"/>
  <c r="BX58" i="1"/>
  <c r="BY58" i="1" s="1"/>
  <c r="BJ58" i="1"/>
  <c r="BJ59" i="1" s="1"/>
  <c r="BX59" i="1" l="1"/>
  <c r="BY59" i="1" s="1"/>
  <c r="BU60" i="1"/>
  <c r="BV60" i="1" s="1"/>
  <c r="BP61" i="1"/>
  <c r="BR62" i="1" s="1"/>
  <c r="BS61" i="1"/>
  <c r="BT61" i="1"/>
  <c r="BD61" i="1"/>
  <c r="BF62" i="1" s="1"/>
  <c r="BH61" i="1"/>
  <c r="BG61" i="1"/>
  <c r="BJ60" i="1"/>
  <c r="BI61" i="1" l="1"/>
  <c r="BJ61" i="1" s="1"/>
  <c r="BX60" i="1"/>
  <c r="BY60" i="1" s="1"/>
  <c r="BU61" i="1"/>
  <c r="BV61" i="1" s="1"/>
  <c r="BP62" i="1"/>
  <c r="BR63" i="1" s="1"/>
  <c r="BS62" i="1"/>
  <c r="BT62" i="1"/>
  <c r="BH62" i="1"/>
  <c r="BG62" i="1"/>
  <c r="BI62" i="1" s="1"/>
  <c r="BD62" i="1"/>
  <c r="BF63" i="1" s="1"/>
  <c r="BX61" i="1" l="1"/>
  <c r="BY61" i="1" s="1"/>
  <c r="BU62" i="1"/>
  <c r="BV62" i="1" s="1"/>
  <c r="BP63" i="1"/>
  <c r="BR64" i="1" s="1"/>
  <c r="BS63" i="1"/>
  <c r="BT63" i="1"/>
  <c r="BD63" i="1"/>
  <c r="BF64" i="1" s="1"/>
  <c r="BG63" i="1"/>
  <c r="BH63" i="1"/>
  <c r="BI63" i="1" s="1"/>
  <c r="BJ62" i="1"/>
  <c r="BJ63" i="1" s="1"/>
  <c r="BX62" i="1" l="1"/>
  <c r="BY62" i="1" s="1"/>
  <c r="BU63" i="1"/>
  <c r="BX63" i="1" s="1"/>
  <c r="BT64" i="1"/>
  <c r="BS64" i="1"/>
  <c r="BP64" i="1"/>
  <c r="BR65" i="1" s="1"/>
  <c r="BD64" i="1"/>
  <c r="BF65" i="1" s="1"/>
  <c r="BH64" i="1"/>
  <c r="BG64" i="1"/>
  <c r="BI64" i="1" s="1"/>
  <c r="BY63" i="1" l="1"/>
  <c r="BU64" i="1"/>
  <c r="BX64" i="1" s="1"/>
  <c r="BV63" i="1"/>
  <c r="BP65" i="1"/>
  <c r="BR66" i="1" s="1"/>
  <c r="BT65" i="1"/>
  <c r="BS65" i="1"/>
  <c r="BD65" i="1"/>
  <c r="BF66" i="1" s="1"/>
  <c r="BH65" i="1"/>
  <c r="BG65" i="1"/>
  <c r="BJ64" i="1"/>
  <c r="BY64" i="1" l="1"/>
  <c r="BV64" i="1"/>
  <c r="BU65" i="1"/>
  <c r="BP66" i="1"/>
  <c r="BR67" i="1" s="1"/>
  <c r="BT66" i="1"/>
  <c r="BS66" i="1"/>
  <c r="BH66" i="1"/>
  <c r="BG66" i="1"/>
  <c r="BI66" i="1" s="1"/>
  <c r="BD66" i="1"/>
  <c r="BF67" i="1" s="1"/>
  <c r="BI65" i="1"/>
  <c r="BU66" i="1" l="1"/>
  <c r="BX66" i="1" s="1"/>
  <c r="BV65" i="1"/>
  <c r="BX65" i="1"/>
  <c r="BY65" i="1" s="1"/>
  <c r="BT67" i="1"/>
  <c r="BS67" i="1"/>
  <c r="BP67" i="1"/>
  <c r="BR68" i="1" s="1"/>
  <c r="BD67" i="1"/>
  <c r="BF68" i="1" s="1"/>
  <c r="BG67" i="1"/>
  <c r="BH67" i="1"/>
  <c r="BJ65" i="1"/>
  <c r="BJ66" i="1" s="1"/>
  <c r="BV66" i="1" l="1"/>
  <c r="BY66" i="1"/>
  <c r="BU67" i="1"/>
  <c r="BV67" i="1" s="1"/>
  <c r="BS68" i="1"/>
  <c r="BP68" i="1"/>
  <c r="BR69" i="1" s="1"/>
  <c r="BT68" i="1"/>
  <c r="BI67" i="1"/>
  <c r="BJ67" i="1" s="1"/>
  <c r="BH68" i="1"/>
  <c r="BG68" i="1"/>
  <c r="BI68" i="1" s="1"/>
  <c r="BD68" i="1"/>
  <c r="BF69" i="1" s="1"/>
  <c r="BX67" i="1" l="1"/>
  <c r="BY67" i="1" s="1"/>
  <c r="BJ68" i="1"/>
  <c r="BT69" i="1"/>
  <c r="BP69" i="1"/>
  <c r="BR70" i="1" s="1"/>
  <c r="BS69" i="1"/>
  <c r="BU68" i="1"/>
  <c r="BV68" i="1" s="1"/>
  <c r="BG69" i="1"/>
  <c r="BH69" i="1"/>
  <c r="BD69" i="1"/>
  <c r="BF70" i="1" s="1"/>
  <c r="BU69" i="1" l="1"/>
  <c r="BV69" i="1" s="1"/>
  <c r="BX68" i="1"/>
  <c r="BY68" i="1" s="1"/>
  <c r="BP70" i="1"/>
  <c r="BR71" i="1" s="1"/>
  <c r="BT70" i="1"/>
  <c r="BS70" i="1"/>
  <c r="BD70" i="1"/>
  <c r="BF71" i="1" s="1"/>
  <c r="BH70" i="1"/>
  <c r="BG70" i="1"/>
  <c r="BI70" i="1" s="1"/>
  <c r="BI69" i="1"/>
  <c r="BU70" i="1" l="1"/>
  <c r="BV70" i="1" s="1"/>
  <c r="BX70" i="1"/>
  <c r="BT71" i="1"/>
  <c r="BP71" i="1"/>
  <c r="BR72" i="1" s="1"/>
  <c r="BS71" i="1"/>
  <c r="BG71" i="1"/>
  <c r="BD71" i="1"/>
  <c r="BF72" i="1" s="1"/>
  <c r="BH71" i="1"/>
  <c r="BI71" i="1" s="1"/>
  <c r="BX69" i="1"/>
  <c r="BY69" i="1" s="1"/>
  <c r="BJ69" i="1"/>
  <c r="BJ70" i="1" s="1"/>
  <c r="BY70" i="1" l="1"/>
  <c r="BU71" i="1"/>
  <c r="BV71" i="1" s="1"/>
  <c r="BS72" i="1"/>
  <c r="BP72" i="1"/>
  <c r="BR73" i="1" s="1"/>
  <c r="BT72" i="1"/>
  <c r="BG72" i="1"/>
  <c r="BD72" i="1"/>
  <c r="BF73" i="1" s="1"/>
  <c r="BH72" i="1"/>
  <c r="BJ71" i="1"/>
  <c r="BI72" i="1" l="1"/>
  <c r="BX71" i="1"/>
  <c r="BY71" i="1" s="1"/>
  <c r="BU72" i="1"/>
  <c r="BV72" i="1" s="1"/>
  <c r="BS73" i="1"/>
  <c r="BP73" i="1"/>
  <c r="BR74" i="1" s="1"/>
  <c r="BT73" i="1"/>
  <c r="BD73" i="1"/>
  <c r="BF74" i="1" s="1"/>
  <c r="BH73" i="1"/>
  <c r="BG73" i="1"/>
  <c r="BJ72" i="1"/>
  <c r="BX72" i="1" l="1"/>
  <c r="BY72" i="1" s="1"/>
  <c r="BS74" i="1"/>
  <c r="BT74" i="1"/>
  <c r="BP74" i="1"/>
  <c r="BR75" i="1" s="1"/>
  <c r="BU73" i="1"/>
  <c r="BV73" i="1" s="1"/>
  <c r="BH74" i="1"/>
  <c r="BD74" i="1"/>
  <c r="BF75" i="1" s="1"/>
  <c r="BG74" i="1"/>
  <c r="BI73" i="1"/>
  <c r="BX73" i="1" s="1"/>
  <c r="BY73" i="1" l="1"/>
  <c r="BI74" i="1"/>
  <c r="BU74" i="1"/>
  <c r="BV74" i="1" s="1"/>
  <c r="BP75" i="1"/>
  <c r="BR76" i="1" s="1"/>
  <c r="BT75" i="1"/>
  <c r="BS75" i="1"/>
  <c r="BG75" i="1"/>
  <c r="BD75" i="1"/>
  <c r="BF76" i="1" s="1"/>
  <c r="BH75" i="1"/>
  <c r="BJ73" i="1"/>
  <c r="BU75" i="1" l="1"/>
  <c r="BJ74" i="1"/>
  <c r="BX74" i="1"/>
  <c r="BY74" i="1" s="1"/>
  <c r="BV75" i="1"/>
  <c r="BS76" i="1"/>
  <c r="BT76" i="1"/>
  <c r="BP76" i="1"/>
  <c r="BR77" i="1" s="1"/>
  <c r="BG76" i="1"/>
  <c r="BD76" i="1"/>
  <c r="BF77" i="1" s="1"/>
  <c r="BH76" i="1"/>
  <c r="BI75" i="1"/>
  <c r="BX75" i="1" s="1"/>
  <c r="BY75" i="1" s="1"/>
  <c r="BJ75" i="1"/>
  <c r="BP77" i="1" l="1"/>
  <c r="BR78" i="1" s="1"/>
  <c r="BT77" i="1"/>
  <c r="BS77" i="1"/>
  <c r="BU76" i="1"/>
  <c r="BV76" i="1" s="1"/>
  <c r="BD77" i="1"/>
  <c r="BF78" i="1" s="1"/>
  <c r="BH77" i="1"/>
  <c r="BG77" i="1"/>
  <c r="BI77" i="1" s="1"/>
  <c r="BI76" i="1"/>
  <c r="BX76" i="1" s="1"/>
  <c r="BY76" i="1" s="1"/>
  <c r="BU77" i="1" l="1"/>
  <c r="BX77" i="1" s="1"/>
  <c r="BY77" i="1" s="1"/>
  <c r="BJ76" i="1"/>
  <c r="BJ77" i="1" s="1"/>
  <c r="BT78" i="1"/>
  <c r="BP78" i="1"/>
  <c r="BR79" i="1" s="1"/>
  <c r="BS78" i="1"/>
  <c r="BH78" i="1"/>
  <c r="BG78" i="1"/>
  <c r="BD78" i="1"/>
  <c r="BF79" i="1" s="1"/>
  <c r="BI78" i="1" l="1"/>
  <c r="BJ78" i="1" s="1"/>
  <c r="BU78" i="1"/>
  <c r="BV77" i="1"/>
  <c r="BS79" i="1"/>
  <c r="BP79" i="1"/>
  <c r="BR80" i="1" s="1"/>
  <c r="BT79" i="1"/>
  <c r="BD79" i="1"/>
  <c r="BF80" i="1" s="1"/>
  <c r="BH79" i="1"/>
  <c r="BG79" i="1"/>
  <c r="BX78" i="1" l="1"/>
  <c r="BY78" i="1" s="1"/>
  <c r="BV78" i="1"/>
  <c r="BT80" i="1"/>
  <c r="BS80" i="1"/>
  <c r="BP80" i="1"/>
  <c r="BR81" i="1" s="1"/>
  <c r="BU79" i="1"/>
  <c r="BD80" i="1"/>
  <c r="BF81" i="1" s="1"/>
  <c r="BH80" i="1"/>
  <c r="BG80" i="1"/>
  <c r="BI80" i="1" s="1"/>
  <c r="BI79" i="1"/>
  <c r="BU80" i="1" l="1"/>
  <c r="BX80" i="1" s="1"/>
  <c r="BV79" i="1"/>
  <c r="BV80" i="1" s="1"/>
  <c r="BS81" i="1"/>
  <c r="BT81" i="1"/>
  <c r="BP81" i="1"/>
  <c r="BR82" i="1" s="1"/>
  <c r="BG81" i="1"/>
  <c r="BH81" i="1"/>
  <c r="BD81" i="1"/>
  <c r="BF82" i="1" s="1"/>
  <c r="BX79" i="1"/>
  <c r="BY79" i="1" s="1"/>
  <c r="BJ79" i="1"/>
  <c r="BJ80" i="1" s="1"/>
  <c r="BY80" i="1" l="1"/>
  <c r="BU81" i="1"/>
  <c r="BV81" i="1"/>
  <c r="BT82" i="1"/>
  <c r="BS82" i="1"/>
  <c r="BP82" i="1"/>
  <c r="BR83" i="1" s="1"/>
  <c r="BI81" i="1"/>
  <c r="BJ81" i="1"/>
  <c r="BH82" i="1"/>
  <c r="BD82" i="1"/>
  <c r="BF83" i="1" s="1"/>
  <c r="BG82" i="1"/>
  <c r="BX81" i="1" l="1"/>
  <c r="BY81" i="1" s="1"/>
  <c r="BU82" i="1"/>
  <c r="BV82" i="1" s="1"/>
  <c r="BS83" i="1"/>
  <c r="BT83" i="1"/>
  <c r="BP83" i="1"/>
  <c r="BR84" i="1" s="1"/>
  <c r="BI82" i="1"/>
  <c r="BH83" i="1"/>
  <c r="BD83" i="1"/>
  <c r="BF84" i="1" s="1"/>
  <c r="BG83" i="1"/>
  <c r="BI83" i="1" s="1"/>
  <c r="BX82" i="1" l="1"/>
  <c r="BY82" i="1" s="1"/>
  <c r="BU83" i="1"/>
  <c r="BX83" i="1" s="1"/>
  <c r="BS84" i="1"/>
  <c r="BP84" i="1"/>
  <c r="BR85" i="1" s="1"/>
  <c r="BT84" i="1"/>
  <c r="BJ82" i="1"/>
  <c r="BJ83" i="1" s="1"/>
  <c r="BD84" i="1"/>
  <c r="BF85" i="1" s="1"/>
  <c r="BG84" i="1"/>
  <c r="BH84" i="1"/>
  <c r="BY83" i="1" l="1"/>
  <c r="BV83" i="1"/>
  <c r="BI84" i="1"/>
  <c r="BS85" i="1"/>
  <c r="BT85" i="1"/>
  <c r="BP85" i="1"/>
  <c r="BR86" i="1" s="1"/>
  <c r="BU84" i="1"/>
  <c r="BD85" i="1"/>
  <c r="BF86" i="1" s="1"/>
  <c r="BH85" i="1"/>
  <c r="BG85" i="1"/>
  <c r="BV84" i="1" l="1"/>
  <c r="BX84" i="1"/>
  <c r="BY84" i="1" s="1"/>
  <c r="BJ84" i="1"/>
  <c r="BP86" i="1"/>
  <c r="BR87" i="1" s="1"/>
  <c r="BT86" i="1"/>
  <c r="BS86" i="1"/>
  <c r="BU86" i="1" s="1"/>
  <c r="BU85" i="1"/>
  <c r="BG86" i="1"/>
  <c r="BD86" i="1"/>
  <c r="BF87" i="1" s="1"/>
  <c r="BH86" i="1"/>
  <c r="BI85" i="1"/>
  <c r="BX85" i="1" s="1"/>
  <c r="BV85" i="1" l="1"/>
  <c r="BV86" i="1" s="1"/>
  <c r="BY85" i="1"/>
  <c r="BP87" i="1"/>
  <c r="BR88" i="1" s="1"/>
  <c r="BS87" i="1"/>
  <c r="BT87" i="1"/>
  <c r="BH87" i="1"/>
  <c r="BG87" i="1"/>
  <c r="BI87" i="1" s="1"/>
  <c r="BD87" i="1"/>
  <c r="BF88" i="1" s="1"/>
  <c r="BI86" i="1"/>
  <c r="BX86" i="1" s="1"/>
  <c r="BJ85" i="1"/>
  <c r="BJ86" i="1" s="1"/>
  <c r="BY86" i="1" l="1"/>
  <c r="BU87" i="1"/>
  <c r="BV87" i="1" s="1"/>
  <c r="BS88" i="1"/>
  <c r="BP88" i="1"/>
  <c r="BR89" i="1" s="1"/>
  <c r="BT88" i="1"/>
  <c r="BH88" i="1"/>
  <c r="BG88" i="1"/>
  <c r="BD88" i="1"/>
  <c r="BF89" i="1" s="1"/>
  <c r="BJ87" i="1"/>
  <c r="BS89" i="1" l="1"/>
  <c r="BP89" i="1"/>
  <c r="BR90" i="1" s="1"/>
  <c r="BT89" i="1"/>
  <c r="BI88" i="1"/>
  <c r="BU88" i="1"/>
  <c r="BV88" i="1" s="1"/>
  <c r="BX87" i="1"/>
  <c r="BY87" i="1" s="1"/>
  <c r="BJ88" i="1"/>
  <c r="BH89" i="1"/>
  <c r="BD89" i="1"/>
  <c r="BF90" i="1" s="1"/>
  <c r="BG89" i="1"/>
  <c r="BT90" i="1" l="1"/>
  <c r="BP90" i="1"/>
  <c r="BR91" i="1" s="1"/>
  <c r="BS90" i="1"/>
  <c r="BU89" i="1"/>
  <c r="BV89" i="1" s="1"/>
  <c r="BX88" i="1"/>
  <c r="BY88" i="1" s="1"/>
  <c r="BG90" i="1"/>
  <c r="BD90" i="1"/>
  <c r="BF91" i="1" s="1"/>
  <c r="BH90" i="1"/>
  <c r="BI89" i="1"/>
  <c r="BU90" i="1" l="1"/>
  <c r="BV90" i="1" s="1"/>
  <c r="BP91" i="1"/>
  <c r="BR92" i="1" s="1"/>
  <c r="BS91" i="1"/>
  <c r="BT91" i="1"/>
  <c r="BH91" i="1"/>
  <c r="BG91" i="1"/>
  <c r="BI91" i="1" s="1"/>
  <c r="BD91" i="1"/>
  <c r="BF92" i="1" s="1"/>
  <c r="BI90" i="1"/>
  <c r="BX89" i="1"/>
  <c r="BY89" i="1" s="1"/>
  <c r="BJ89" i="1"/>
  <c r="BJ90" i="1" s="1"/>
  <c r="BJ91" i="1" s="1"/>
  <c r="BX90" i="1" l="1"/>
  <c r="BY90" i="1" s="1"/>
  <c r="BU91" i="1"/>
  <c r="BV91" i="1" s="1"/>
  <c r="BP92" i="1"/>
  <c r="BR93" i="1" s="1"/>
  <c r="BT92" i="1"/>
  <c r="BS92" i="1"/>
  <c r="BU92" i="1" s="1"/>
  <c r="BD92" i="1"/>
  <c r="BF93" i="1" s="1"/>
  <c r="BG92" i="1"/>
  <c r="BH92" i="1"/>
  <c r="BV92" i="1" l="1"/>
  <c r="BT93" i="1"/>
  <c r="BP93" i="1"/>
  <c r="BR94" i="1" s="1"/>
  <c r="BS93" i="1"/>
  <c r="BX91" i="1"/>
  <c r="BY91" i="1" s="1"/>
  <c r="BI92" i="1"/>
  <c r="BH93" i="1"/>
  <c r="BD93" i="1"/>
  <c r="BF94" i="1" s="1"/>
  <c r="BG93" i="1"/>
  <c r="BU93" i="1" l="1"/>
  <c r="BV93" i="1" s="1"/>
  <c r="BP94" i="1"/>
  <c r="BR95" i="1" s="1"/>
  <c r="BS94" i="1"/>
  <c r="BT94" i="1"/>
  <c r="BX92" i="1"/>
  <c r="BJ92" i="1"/>
  <c r="BI93" i="1"/>
  <c r="BG94" i="1"/>
  <c r="BH94" i="1"/>
  <c r="BD94" i="1"/>
  <c r="BF95" i="1" s="1"/>
  <c r="BX93" i="1" l="1"/>
  <c r="BJ93" i="1"/>
  <c r="BU94" i="1"/>
  <c r="BV94" i="1" s="1"/>
  <c r="BT95" i="1"/>
  <c r="BP95" i="1"/>
  <c r="BR96" i="1" s="1"/>
  <c r="BS95" i="1"/>
  <c r="BU95" i="1" s="1"/>
  <c r="BI94" i="1"/>
  <c r="BG95" i="1"/>
  <c r="BH95" i="1"/>
  <c r="BD95" i="1"/>
  <c r="BF96" i="1" s="1"/>
  <c r="BY92" i="1"/>
  <c r="BY93" i="1" l="1"/>
  <c r="BT96" i="1"/>
  <c r="BP96" i="1"/>
  <c r="BR97" i="1" s="1"/>
  <c r="BS96" i="1"/>
  <c r="BV95" i="1"/>
  <c r="BH96" i="1"/>
  <c r="BD96" i="1"/>
  <c r="BF97" i="1" s="1"/>
  <c r="BG96" i="1"/>
  <c r="BI95" i="1"/>
  <c r="BX94" i="1"/>
  <c r="BJ94" i="1"/>
  <c r="BJ95" i="1" s="1"/>
  <c r="BI96" i="1" l="1"/>
  <c r="BJ96" i="1" s="1"/>
  <c r="BU96" i="1"/>
  <c r="BV96" i="1" s="1"/>
  <c r="BH97" i="1"/>
  <c r="BG97" i="1"/>
  <c r="BD97" i="1"/>
  <c r="BF98" i="1" s="1"/>
  <c r="BP97" i="1"/>
  <c r="BR98" i="1" s="1"/>
  <c r="BT97" i="1"/>
  <c r="BS97" i="1"/>
  <c r="BU97" i="1" s="1"/>
  <c r="BX95" i="1"/>
  <c r="BY94" i="1"/>
  <c r="BX96" i="1" l="1"/>
  <c r="BT98" i="1"/>
  <c r="BS98" i="1"/>
  <c r="BP98" i="1"/>
  <c r="BR99" i="1" s="1"/>
  <c r="BG98" i="1"/>
  <c r="BH98" i="1"/>
  <c r="BD98" i="1"/>
  <c r="BF99" i="1" s="1"/>
  <c r="BV97" i="1"/>
  <c r="BI97" i="1"/>
  <c r="BY95" i="1"/>
  <c r="BY96" i="1" l="1"/>
  <c r="BU98" i="1"/>
  <c r="BV98" i="1" s="1"/>
  <c r="BG99" i="1"/>
  <c r="BD99" i="1"/>
  <c r="BF100" i="1" s="1"/>
  <c r="BH99" i="1"/>
  <c r="BX97" i="1"/>
  <c r="BJ97" i="1"/>
  <c r="BI98" i="1"/>
  <c r="BS99" i="1"/>
  <c r="BP99" i="1"/>
  <c r="BR100" i="1" s="1"/>
  <c r="BT99" i="1"/>
  <c r="BY97" i="1" l="1"/>
  <c r="BX98" i="1"/>
  <c r="BI99" i="1"/>
  <c r="BT100" i="1"/>
  <c r="BS100" i="1"/>
  <c r="BP100" i="1"/>
  <c r="BR101" i="1" s="1"/>
  <c r="BJ98" i="1"/>
  <c r="BU99" i="1"/>
  <c r="BG100" i="1"/>
  <c r="BH100" i="1"/>
  <c r="BD100" i="1"/>
  <c r="BF101" i="1" s="1"/>
  <c r="BY98" i="1" l="1"/>
  <c r="BU100" i="1"/>
  <c r="BJ99" i="1"/>
  <c r="BG101" i="1"/>
  <c r="BD101" i="1"/>
  <c r="BF102" i="1" s="1"/>
  <c r="BH101" i="1"/>
  <c r="BI100" i="1"/>
  <c r="BX99" i="1"/>
  <c r="BV99" i="1"/>
  <c r="BS101" i="1"/>
  <c r="BT101" i="1"/>
  <c r="BP101" i="1"/>
  <c r="BR102" i="1" s="1"/>
  <c r="BY99" i="1" l="1"/>
  <c r="BV100" i="1"/>
  <c r="BI101" i="1"/>
  <c r="BJ100" i="1"/>
  <c r="BJ101" i="1" s="1"/>
  <c r="BX100" i="1"/>
  <c r="BY100" i="1" s="1"/>
  <c r="BS102" i="1"/>
  <c r="BP102" i="1"/>
  <c r="BR103" i="1" s="1"/>
  <c r="BT102" i="1"/>
  <c r="BU101" i="1"/>
  <c r="BG102" i="1"/>
  <c r="BH102" i="1"/>
  <c r="BD102" i="1"/>
  <c r="BF103" i="1" s="1"/>
  <c r="BX101" i="1" l="1"/>
  <c r="BY101" i="1" s="1"/>
  <c r="BH103" i="1"/>
  <c r="BD103" i="1"/>
  <c r="BF104" i="1" s="1"/>
  <c r="BG103" i="1"/>
  <c r="BI102" i="1"/>
  <c r="BV101" i="1"/>
  <c r="BP103" i="1"/>
  <c r="BR104" i="1" s="1"/>
  <c r="BS103" i="1"/>
  <c r="BT103" i="1"/>
  <c r="BU102" i="1"/>
  <c r="BX102" i="1" l="1"/>
  <c r="BY102" i="1" s="1"/>
  <c r="BI103" i="1"/>
  <c r="BU103" i="1"/>
  <c r="BH104" i="1"/>
  <c r="BD104" i="1"/>
  <c r="BF105" i="1" s="1"/>
  <c r="BG104" i="1"/>
  <c r="BS104" i="1"/>
  <c r="BT104" i="1"/>
  <c r="BP104" i="1"/>
  <c r="BR105" i="1" s="1"/>
  <c r="BV102" i="1"/>
  <c r="BJ102" i="1"/>
  <c r="BI104" i="1" l="1"/>
  <c r="BV103" i="1"/>
  <c r="BJ103" i="1"/>
  <c r="BX103" i="1"/>
  <c r="BY103" i="1" s="1"/>
  <c r="BT105" i="1"/>
  <c r="BP105" i="1"/>
  <c r="BR106" i="1" s="1"/>
  <c r="BS105" i="1"/>
  <c r="BU104" i="1"/>
  <c r="BD105" i="1"/>
  <c r="BF106" i="1" s="1"/>
  <c r="BH105" i="1"/>
  <c r="BG105" i="1"/>
  <c r="BI105" i="1" l="1"/>
  <c r="BX104" i="1"/>
  <c r="BJ104" i="1"/>
  <c r="BJ105" i="1" s="1"/>
  <c r="BU105" i="1"/>
  <c r="BX105" i="1" s="1"/>
  <c r="BY104" i="1"/>
  <c r="BH106" i="1"/>
  <c r="BG106" i="1"/>
  <c r="BD106" i="1"/>
  <c r="BF107" i="1" s="1"/>
  <c r="BV104" i="1"/>
  <c r="BP106" i="1"/>
  <c r="BR107" i="1" s="1"/>
  <c r="BS106" i="1"/>
  <c r="BT106" i="1"/>
  <c r="BV105" i="1" l="1"/>
  <c r="BY105" i="1"/>
  <c r="BU106" i="1"/>
  <c r="BI106" i="1"/>
  <c r="BJ106" i="1" s="1"/>
  <c r="BP107" i="1"/>
  <c r="BR108" i="1" s="1"/>
  <c r="BS107" i="1"/>
  <c r="BT107" i="1"/>
  <c r="BD107" i="1"/>
  <c r="BF108" i="1" s="1"/>
  <c r="BH107" i="1"/>
  <c r="BG107" i="1"/>
  <c r="BV106" i="1" l="1"/>
  <c r="BX106" i="1"/>
  <c r="BY106" i="1" s="1"/>
  <c r="BI107" i="1"/>
  <c r="BU107" i="1"/>
  <c r="BS108" i="1"/>
  <c r="BT108" i="1"/>
  <c r="BP108" i="1"/>
  <c r="BR109" i="1" s="1"/>
  <c r="BD108" i="1"/>
  <c r="BF109" i="1" s="1"/>
  <c r="BH108" i="1"/>
  <c r="BG108" i="1"/>
  <c r="BI108" i="1" s="1"/>
  <c r="BX107" i="1" l="1"/>
  <c r="BY107" i="1" s="1"/>
  <c r="BJ107" i="1"/>
  <c r="BJ108" i="1" s="1"/>
  <c r="BD109" i="1"/>
  <c r="BF110" i="1" s="1"/>
  <c r="BH109" i="1"/>
  <c r="BG109" i="1"/>
  <c r="BT109" i="1"/>
  <c r="BS109" i="1"/>
  <c r="BP109" i="1"/>
  <c r="BR110" i="1" s="1"/>
  <c r="BU108" i="1"/>
  <c r="BX108" i="1" s="1"/>
  <c r="BV107" i="1"/>
  <c r="BV108" i="1" s="1"/>
  <c r="BY108" i="1" l="1"/>
  <c r="BU109" i="1"/>
  <c r="BV109" i="1" s="1"/>
  <c r="BT110" i="1"/>
  <c r="BS110" i="1"/>
  <c r="BP110" i="1"/>
  <c r="BR111" i="1" s="1"/>
  <c r="BI109" i="1"/>
  <c r="BJ109" i="1" s="1"/>
  <c r="BG110" i="1"/>
  <c r="BH110" i="1"/>
  <c r="BD110" i="1"/>
  <c r="BF111" i="1" s="1"/>
  <c r="BI110" i="1" l="1"/>
  <c r="BJ110" i="1" s="1"/>
  <c r="BX109" i="1"/>
  <c r="BY109" i="1" s="1"/>
  <c r="BU110" i="1"/>
  <c r="BV110" i="1" s="1"/>
  <c r="BD111" i="1"/>
  <c r="BF112" i="1" s="1"/>
  <c r="BG111" i="1"/>
  <c r="BH111" i="1"/>
  <c r="BS111" i="1"/>
  <c r="BT111" i="1"/>
  <c r="BP111" i="1"/>
  <c r="BR112" i="1" s="1"/>
  <c r="BX110" i="1" l="1"/>
  <c r="BY110" i="1"/>
  <c r="BU111" i="1"/>
  <c r="BV111" i="1" s="1"/>
  <c r="BP112" i="1"/>
  <c r="BR113" i="1" s="1"/>
  <c r="BS112" i="1"/>
  <c r="BT112" i="1"/>
  <c r="BI111" i="1"/>
  <c r="BG112" i="1"/>
  <c r="BH112" i="1"/>
  <c r="BD112" i="1"/>
  <c r="BF113" i="1" s="1"/>
  <c r="BS113" i="1" l="1"/>
  <c r="BP113" i="1"/>
  <c r="BR114" i="1" s="1"/>
  <c r="BT113" i="1"/>
  <c r="BH113" i="1"/>
  <c r="BD113" i="1"/>
  <c r="BF114" i="1" s="1"/>
  <c r="BG113" i="1"/>
  <c r="BI113" i="1" s="1"/>
  <c r="BI112" i="1"/>
  <c r="BX111" i="1"/>
  <c r="BY111" i="1" s="1"/>
  <c r="BJ111" i="1"/>
  <c r="BJ112" i="1" s="1"/>
  <c r="BJ113" i="1" s="1"/>
  <c r="BU112" i="1"/>
  <c r="BX112" i="1" s="1"/>
  <c r="BY112" i="1" l="1"/>
  <c r="BG114" i="1"/>
  <c r="BD114" i="1"/>
  <c r="BF115" i="1" s="1"/>
  <c r="BH114" i="1"/>
  <c r="BT114" i="1"/>
  <c r="BS114" i="1"/>
  <c r="BU114" i="1" s="1"/>
  <c r="BP114" i="1"/>
  <c r="BR115" i="1" s="1"/>
  <c r="BU113" i="1"/>
  <c r="BX113" i="1" s="1"/>
  <c r="BV112" i="1"/>
  <c r="BV113" i="1" s="1"/>
  <c r="BV114" i="1" s="1"/>
  <c r="BI114" i="1" l="1"/>
  <c r="BJ114" i="1" s="1"/>
  <c r="BS115" i="1"/>
  <c r="BT115" i="1"/>
  <c r="BP115" i="1"/>
  <c r="BR116" i="1" s="1"/>
  <c r="BG115" i="1"/>
  <c r="BH115" i="1"/>
  <c r="BD115" i="1"/>
  <c r="BF116" i="1" s="1"/>
  <c r="BY113" i="1"/>
  <c r="BI115" i="1" l="1"/>
  <c r="BJ115" i="1" s="1"/>
  <c r="BX114" i="1"/>
  <c r="BY114" i="1" s="1"/>
  <c r="BT116" i="1"/>
  <c r="BP116" i="1"/>
  <c r="BR117" i="1" s="1"/>
  <c r="BS116" i="1"/>
  <c r="BG116" i="1"/>
  <c r="BD116" i="1"/>
  <c r="BF117" i="1" s="1"/>
  <c r="BH116" i="1"/>
  <c r="BU115" i="1"/>
  <c r="BX115" i="1" l="1"/>
  <c r="BY115" i="1" s="1"/>
  <c r="BI116" i="1"/>
  <c r="BJ116" i="1" s="1"/>
  <c r="BV115" i="1"/>
  <c r="BH117" i="1"/>
  <c r="BD117" i="1"/>
  <c r="BF118" i="1" s="1"/>
  <c r="BG117" i="1"/>
  <c r="BU116" i="1"/>
  <c r="BS117" i="1"/>
  <c r="BP117" i="1"/>
  <c r="BR118" i="1" s="1"/>
  <c r="BT117" i="1"/>
  <c r="BX116" i="1" l="1"/>
  <c r="BY116" i="1" s="1"/>
  <c r="BI117" i="1"/>
  <c r="BJ117" i="1" s="1"/>
  <c r="BP118" i="1"/>
  <c r="BR119" i="1" s="1"/>
  <c r="BT118" i="1"/>
  <c r="BS118" i="1"/>
  <c r="BD118" i="1"/>
  <c r="BF119" i="1" s="1"/>
  <c r="BG118" i="1"/>
  <c r="BH118" i="1"/>
  <c r="BV116" i="1"/>
  <c r="BU117" i="1"/>
  <c r="BX117" i="1" s="1"/>
  <c r="BU118" i="1" l="1"/>
  <c r="BY117" i="1"/>
  <c r="BV117" i="1"/>
  <c r="BI118" i="1"/>
  <c r="BJ118" i="1" s="1"/>
  <c r="BH119" i="1"/>
  <c r="BG119" i="1"/>
  <c r="BD119" i="1"/>
  <c r="BF120" i="1" s="1"/>
  <c r="BT119" i="1"/>
  <c r="BS119" i="1"/>
  <c r="BU119" i="1" s="1"/>
  <c r="BP119" i="1"/>
  <c r="BR120" i="1" s="1"/>
  <c r="BV118" i="1" l="1"/>
  <c r="BV119" i="1" s="1"/>
  <c r="BI119" i="1"/>
  <c r="BX118" i="1"/>
  <c r="BS120" i="1"/>
  <c r="BT120" i="1"/>
  <c r="BP120" i="1"/>
  <c r="BR121" i="1" s="1"/>
  <c r="BG120" i="1"/>
  <c r="BH120" i="1"/>
  <c r="BD120" i="1"/>
  <c r="BF121" i="1" s="1"/>
  <c r="BX119" i="1"/>
  <c r="BJ119" i="1"/>
  <c r="BD121" i="1" l="1"/>
  <c r="BF122" i="1" s="1"/>
  <c r="BH121" i="1"/>
  <c r="BG121" i="1"/>
  <c r="BI121" i="1" s="1"/>
  <c r="BI120" i="1"/>
  <c r="BJ120" i="1" s="1"/>
  <c r="BS121" i="1"/>
  <c r="BT121" i="1"/>
  <c r="BP121" i="1"/>
  <c r="BR122" i="1" s="1"/>
  <c r="BU120" i="1"/>
  <c r="BY118" i="1"/>
  <c r="BY119" i="1" s="1"/>
  <c r="BJ121" i="1" l="1"/>
  <c r="BX120" i="1"/>
  <c r="BY120" i="1" s="1"/>
  <c r="BS122" i="1"/>
  <c r="BT122" i="1"/>
  <c r="BP122" i="1"/>
  <c r="BR123" i="1" s="1"/>
  <c r="BU121" i="1"/>
  <c r="BX121" i="1" s="1"/>
  <c r="BV120" i="1"/>
  <c r="BV121" i="1" s="1"/>
  <c r="BH122" i="1"/>
  <c r="BD122" i="1"/>
  <c r="BF123" i="1" s="1"/>
  <c r="BG122" i="1"/>
  <c r="BI122" i="1" s="1"/>
  <c r="BJ122" i="1" l="1"/>
  <c r="BY121" i="1"/>
  <c r="BG123" i="1"/>
  <c r="BD123" i="1"/>
  <c r="BF124" i="1" s="1"/>
  <c r="BH123" i="1"/>
  <c r="BT123" i="1"/>
  <c r="BS123" i="1"/>
  <c r="BP123" i="1"/>
  <c r="BR124" i="1" s="1"/>
  <c r="BU122" i="1"/>
  <c r="BV122" i="1" s="1"/>
  <c r="BX122" i="1" l="1"/>
  <c r="BP124" i="1"/>
  <c r="BR125" i="1" s="1"/>
  <c r="BT124" i="1"/>
  <c r="BS124" i="1"/>
  <c r="BU123" i="1"/>
  <c r="BV123" i="1"/>
  <c r="BD124" i="1"/>
  <c r="BF125" i="1" s="1"/>
  <c r="BG124" i="1"/>
  <c r="BH124" i="1"/>
  <c r="BI123" i="1"/>
  <c r="BJ123" i="1" s="1"/>
  <c r="BU124" i="1" l="1"/>
  <c r="BV124" i="1" s="1"/>
  <c r="BI124" i="1"/>
  <c r="BJ124" i="1" s="1"/>
  <c r="BG125" i="1"/>
  <c r="BD125" i="1"/>
  <c r="BF126" i="1" s="1"/>
  <c r="BH125" i="1"/>
  <c r="BX123" i="1"/>
  <c r="BS125" i="1"/>
  <c r="BT125" i="1"/>
  <c r="BP125" i="1"/>
  <c r="BR126" i="1" s="1"/>
  <c r="BY122" i="1"/>
  <c r="BY123" i="1" s="1"/>
  <c r="BI125" i="1" l="1"/>
  <c r="BJ125" i="1" s="1"/>
  <c r="BX124" i="1"/>
  <c r="BY124" i="1" s="1"/>
  <c r="BS126" i="1"/>
  <c r="BT126" i="1"/>
  <c r="BP126" i="1"/>
  <c r="BR127" i="1" s="1"/>
  <c r="BU125" i="1"/>
  <c r="BV125" i="1" s="1"/>
  <c r="BH126" i="1"/>
  <c r="BG126" i="1"/>
  <c r="BD126" i="1"/>
  <c r="BF127" i="1" s="1"/>
  <c r="BX125" i="1" l="1"/>
  <c r="BY125" i="1" s="1"/>
  <c r="BI126" i="1"/>
  <c r="BJ126" i="1" s="1"/>
  <c r="BG127" i="1"/>
  <c r="BD127" i="1"/>
  <c r="BF128" i="1" s="1"/>
  <c r="BH127" i="1"/>
  <c r="BP127" i="1"/>
  <c r="BR128" i="1" s="1"/>
  <c r="BT127" i="1"/>
  <c r="BS127" i="1"/>
  <c r="BU126" i="1"/>
  <c r="BX126" i="1" s="1"/>
  <c r="BU127" i="1" l="1"/>
  <c r="BX127" i="1" s="1"/>
  <c r="BY127" i="1" s="1"/>
  <c r="BY126" i="1"/>
  <c r="BV126" i="1"/>
  <c r="BI127" i="1"/>
  <c r="BJ127" i="1" s="1"/>
  <c r="BS128" i="1"/>
  <c r="BT128" i="1"/>
  <c r="BP128" i="1"/>
  <c r="BR129" i="1" s="1"/>
  <c r="BG128" i="1"/>
  <c r="BD128" i="1"/>
  <c r="BF129" i="1" s="1"/>
  <c r="BH128" i="1"/>
  <c r="BV127" i="1" l="1"/>
  <c r="BU128" i="1"/>
  <c r="BH129" i="1"/>
  <c r="BG129" i="1"/>
  <c r="BI129" i="1" s="1"/>
  <c r="BD129" i="1"/>
  <c r="BF130" i="1" s="1"/>
  <c r="BI128" i="1"/>
  <c r="BS129" i="1"/>
  <c r="BP129" i="1"/>
  <c r="BR130" i="1" s="1"/>
  <c r="BT129" i="1"/>
  <c r="BJ128" i="1"/>
  <c r="BV128" i="1" l="1"/>
  <c r="BJ129" i="1"/>
  <c r="BT130" i="1"/>
  <c r="BP130" i="1"/>
  <c r="BR131" i="1" s="1"/>
  <c r="BS130" i="1"/>
  <c r="BU129" i="1"/>
  <c r="BX129" i="1" s="1"/>
  <c r="BG130" i="1"/>
  <c r="BH130" i="1"/>
  <c r="BD130" i="1"/>
  <c r="BF131" i="1" s="1"/>
  <c r="BX128" i="1"/>
  <c r="BY128" i="1" s="1"/>
  <c r="BY129" i="1" s="1"/>
  <c r="BU130" i="1" l="1"/>
  <c r="BG131" i="1"/>
  <c r="BH131" i="1"/>
  <c r="BD131" i="1"/>
  <c r="BF132" i="1" s="1"/>
  <c r="BI130" i="1"/>
  <c r="BJ130" i="1" s="1"/>
  <c r="BT131" i="1"/>
  <c r="BP131" i="1"/>
  <c r="BR132" i="1" s="1"/>
  <c r="BS131" i="1"/>
  <c r="BU131" i="1" s="1"/>
  <c r="BV129" i="1"/>
  <c r="BI131" i="1" l="1"/>
  <c r="BJ131" i="1" s="1"/>
  <c r="BV130" i="1"/>
  <c r="BV131" i="1" s="1"/>
  <c r="BX130" i="1"/>
  <c r="BY130" i="1" s="1"/>
  <c r="BG132" i="1"/>
  <c r="BH132" i="1"/>
  <c r="BD132" i="1"/>
  <c r="BF133" i="1" s="1"/>
  <c r="BP132" i="1"/>
  <c r="BR133" i="1" s="1"/>
  <c r="BT132" i="1"/>
  <c r="BS132" i="1"/>
  <c r="BU132" i="1" s="1"/>
  <c r="BX131" i="1" l="1"/>
  <c r="BY131" i="1"/>
  <c r="BH133" i="1"/>
  <c r="BG133" i="1"/>
  <c r="BD133" i="1"/>
  <c r="BF134" i="1" s="1"/>
  <c r="BS133" i="1"/>
  <c r="BT133" i="1"/>
  <c r="BP133" i="1"/>
  <c r="BR134" i="1" s="1"/>
  <c r="BV132" i="1"/>
  <c r="BI132" i="1"/>
  <c r="BJ132" i="1" s="1"/>
  <c r="BI133" i="1" l="1"/>
  <c r="BJ133" i="1" s="1"/>
  <c r="BX132" i="1"/>
  <c r="BY132" i="1" s="1"/>
  <c r="BP134" i="1"/>
  <c r="BR135" i="1" s="1"/>
  <c r="BT134" i="1"/>
  <c r="BS134" i="1"/>
  <c r="BU133" i="1"/>
  <c r="BV133" i="1" s="1"/>
  <c r="BH134" i="1"/>
  <c r="BG134" i="1"/>
  <c r="BI134" i="1" s="1"/>
  <c r="BD134" i="1"/>
  <c r="BF135" i="1" s="1"/>
  <c r="BX133" i="1"/>
  <c r="BY133" i="1" s="1"/>
  <c r="BJ134" i="1" l="1"/>
  <c r="BU134" i="1"/>
  <c r="BV134" i="1" s="1"/>
  <c r="BS135" i="1"/>
  <c r="BT135" i="1"/>
  <c r="BP135" i="1"/>
  <c r="BR136" i="1" s="1"/>
  <c r="BH135" i="1"/>
  <c r="BD135" i="1"/>
  <c r="BF136" i="1" s="1"/>
  <c r="BG135" i="1"/>
  <c r="BI135" i="1" s="1"/>
  <c r="BJ135" i="1" l="1"/>
  <c r="BX134" i="1"/>
  <c r="BY134" i="1" s="1"/>
  <c r="BU135" i="1"/>
  <c r="BD136" i="1"/>
  <c r="BF137" i="1" s="1"/>
  <c r="BG136" i="1"/>
  <c r="BH136" i="1"/>
  <c r="BS136" i="1"/>
  <c r="BT136" i="1"/>
  <c r="BP136" i="1"/>
  <c r="BR137" i="1" s="1"/>
  <c r="BI136" i="1" l="1"/>
  <c r="BJ136" i="1" s="1"/>
  <c r="BS137" i="1"/>
  <c r="BP137" i="1"/>
  <c r="BR138" i="1" s="1"/>
  <c r="BT137" i="1"/>
  <c r="BU136" i="1"/>
  <c r="BD137" i="1"/>
  <c r="BF138" i="1" s="1"/>
  <c r="BH137" i="1"/>
  <c r="BG137" i="1"/>
  <c r="BI137" i="1" s="1"/>
  <c r="BX135" i="1"/>
  <c r="BY135" i="1" s="1"/>
  <c r="BV135" i="1"/>
  <c r="BV136" i="1" s="1"/>
  <c r="BU137" i="1" l="1"/>
  <c r="BV137" i="1" s="1"/>
  <c r="BX136" i="1"/>
  <c r="BY136" i="1" s="1"/>
  <c r="BD138" i="1"/>
  <c r="BF139" i="1" s="1"/>
  <c r="BG138" i="1"/>
  <c r="BH138" i="1"/>
  <c r="BS138" i="1"/>
  <c r="BP138" i="1"/>
  <c r="BR139" i="1" s="1"/>
  <c r="BT138" i="1"/>
  <c r="BJ137" i="1"/>
  <c r="BX137" i="1" l="1"/>
  <c r="BY137" i="1" s="1"/>
  <c r="BU138" i="1"/>
  <c r="BV138" i="1" s="1"/>
  <c r="BS139" i="1"/>
  <c r="BT139" i="1"/>
  <c r="BP139" i="1"/>
  <c r="BR140" i="1" s="1"/>
  <c r="BI138" i="1"/>
  <c r="BG139" i="1"/>
  <c r="BD139" i="1"/>
  <c r="BF140" i="1" s="1"/>
  <c r="BH139" i="1"/>
  <c r="BJ138" i="1"/>
  <c r="BI139" i="1" l="1"/>
  <c r="BJ139" i="1" s="1"/>
  <c r="BX138" i="1"/>
  <c r="BY138" i="1" s="1"/>
  <c r="BH140" i="1"/>
  <c r="BD140" i="1"/>
  <c r="BF141" i="1" s="1"/>
  <c r="BG140" i="1"/>
  <c r="BT140" i="1"/>
  <c r="BS140" i="1"/>
  <c r="BU140" i="1" s="1"/>
  <c r="BP140" i="1"/>
  <c r="BR141" i="1" s="1"/>
  <c r="BU139" i="1"/>
  <c r="BI140" i="1" l="1"/>
  <c r="BJ140" i="1" s="1"/>
  <c r="BD141" i="1"/>
  <c r="BF142" i="1" s="1"/>
  <c r="BH141" i="1"/>
  <c r="BG141" i="1"/>
  <c r="BX139" i="1"/>
  <c r="BY139" i="1" s="1"/>
  <c r="BV139" i="1"/>
  <c r="BV140" i="1" s="1"/>
  <c r="BP141" i="1"/>
  <c r="BR142" i="1" s="1"/>
  <c r="BS141" i="1"/>
  <c r="BT141" i="1"/>
  <c r="BU141" i="1" s="1"/>
  <c r="BX140" i="1" l="1"/>
  <c r="BY140" i="1" s="1"/>
  <c r="BT142" i="1"/>
  <c r="BP142" i="1"/>
  <c r="BR143" i="1" s="1"/>
  <c r="BS142" i="1"/>
  <c r="BV141" i="1"/>
  <c r="BI141" i="1"/>
  <c r="BX141" i="1" s="1"/>
  <c r="BH142" i="1"/>
  <c r="BG142" i="1"/>
  <c r="BD142" i="1"/>
  <c r="BF143" i="1" s="1"/>
  <c r="BJ141" i="1"/>
  <c r="BI142" i="1" l="1"/>
  <c r="BJ142" i="1" s="1"/>
  <c r="BU142" i="1"/>
  <c r="BV142" i="1" s="1"/>
  <c r="BD143" i="1"/>
  <c r="BF144" i="1" s="1"/>
  <c r="BH143" i="1"/>
  <c r="BG143" i="1"/>
  <c r="BY141" i="1"/>
  <c r="BS143" i="1"/>
  <c r="BT143" i="1"/>
  <c r="BP143" i="1"/>
  <c r="BR144" i="1" s="1"/>
  <c r="BX142" i="1"/>
  <c r="BU143" i="1" l="1"/>
  <c r="BV143" i="1" s="1"/>
  <c r="BY142" i="1"/>
  <c r="BH144" i="1"/>
  <c r="BG144" i="1"/>
  <c r="BI144" i="1" s="1"/>
  <c r="BD144" i="1"/>
  <c r="BF145" i="1" s="1"/>
  <c r="BT144" i="1"/>
  <c r="BP144" i="1"/>
  <c r="BR145" i="1" s="1"/>
  <c r="BS144" i="1"/>
  <c r="BU144" i="1" s="1"/>
  <c r="BX144" i="1" s="1"/>
  <c r="BI143" i="1"/>
  <c r="BJ143" i="1" s="1"/>
  <c r="BJ144" i="1" s="1"/>
  <c r="BX143" i="1" l="1"/>
  <c r="BY143" i="1" s="1"/>
  <c r="BY144" i="1" s="1"/>
  <c r="BS145" i="1"/>
  <c r="BP145" i="1"/>
  <c r="BR146" i="1" s="1"/>
  <c r="BT145" i="1"/>
  <c r="BG145" i="1"/>
  <c r="BH145" i="1"/>
  <c r="BD145" i="1"/>
  <c r="BF146" i="1" s="1"/>
  <c r="BV144" i="1"/>
  <c r="BU145" i="1" l="1"/>
  <c r="BV145" i="1" s="1"/>
  <c r="BD146" i="1"/>
  <c r="BF147" i="1" s="1"/>
  <c r="BG146" i="1"/>
  <c r="BH146" i="1"/>
  <c r="BI145" i="1"/>
  <c r="BJ145" i="1" s="1"/>
  <c r="BT146" i="1"/>
  <c r="BS146" i="1"/>
  <c r="BU146" i="1" s="1"/>
  <c r="BP146" i="1"/>
  <c r="BR147" i="1" s="1"/>
  <c r="BI146" i="1" l="1"/>
  <c r="BX146" i="1" s="1"/>
  <c r="BG147" i="1"/>
  <c r="BH147" i="1"/>
  <c r="BD147" i="1"/>
  <c r="BF148" i="1" s="1"/>
  <c r="BP147" i="1"/>
  <c r="BR148" i="1" s="1"/>
  <c r="BS147" i="1"/>
  <c r="BT147" i="1"/>
  <c r="BV146" i="1"/>
  <c r="BX145" i="1"/>
  <c r="BY145" i="1" s="1"/>
  <c r="BI147" i="1" l="1"/>
  <c r="BY146" i="1"/>
  <c r="BJ146" i="1"/>
  <c r="BU147" i="1"/>
  <c r="BT148" i="1"/>
  <c r="BP148" i="1"/>
  <c r="BR149" i="1" s="1"/>
  <c r="BS148" i="1"/>
  <c r="BG148" i="1"/>
  <c r="BD148" i="1"/>
  <c r="BF149" i="1" s="1"/>
  <c r="BH148" i="1"/>
  <c r="BJ147" i="1" l="1"/>
  <c r="BU148" i="1"/>
  <c r="BX147" i="1"/>
  <c r="BV147" i="1"/>
  <c r="BY147" i="1"/>
  <c r="BG149" i="1"/>
  <c r="BH149" i="1"/>
  <c r="BD149" i="1"/>
  <c r="BF150" i="1" s="1"/>
  <c r="BI148" i="1"/>
  <c r="BJ148" i="1" s="1"/>
  <c r="BT149" i="1"/>
  <c r="BP149" i="1"/>
  <c r="BR150" i="1" s="1"/>
  <c r="BS149" i="1"/>
  <c r="BU149" i="1" s="1"/>
  <c r="BX148" i="1" l="1"/>
  <c r="BY148" i="1" s="1"/>
  <c r="BV148" i="1"/>
  <c r="BV149" i="1"/>
  <c r="BH150" i="1"/>
  <c r="BD150" i="1"/>
  <c r="BF151" i="1" s="1"/>
  <c r="BG150" i="1"/>
  <c r="BP150" i="1"/>
  <c r="BR151" i="1" s="1"/>
  <c r="BT150" i="1"/>
  <c r="BS150" i="1"/>
  <c r="BI149" i="1"/>
  <c r="BX149" i="1" s="1"/>
  <c r="BY149" i="1" l="1"/>
  <c r="BU150" i="1"/>
  <c r="BI150" i="1"/>
  <c r="BJ149" i="1"/>
  <c r="BT151" i="1"/>
  <c r="BS151" i="1"/>
  <c r="BP151" i="1"/>
  <c r="BR152" i="1" s="1"/>
  <c r="BG151" i="1"/>
  <c r="BH151" i="1"/>
  <c r="BD151" i="1"/>
  <c r="BF152" i="1" s="1"/>
  <c r="BJ150" i="1" l="1"/>
  <c r="BU151" i="1"/>
  <c r="BX150" i="1"/>
  <c r="BY150" i="1" s="1"/>
  <c r="BV150" i="1"/>
  <c r="BV151" i="1" s="1"/>
  <c r="BD152" i="1"/>
  <c r="BF153" i="1" s="1"/>
  <c r="BG152" i="1"/>
  <c r="BH152" i="1"/>
  <c r="BI151" i="1"/>
  <c r="BS152" i="1"/>
  <c r="BP152" i="1"/>
  <c r="BR153" i="1" s="1"/>
  <c r="BT152" i="1"/>
  <c r="BX151" i="1"/>
  <c r="BY151" i="1" s="1"/>
  <c r="BJ151" i="1"/>
  <c r="BP153" i="1" l="1"/>
  <c r="BR154" i="1" s="1"/>
  <c r="BS153" i="1"/>
  <c r="BT153" i="1"/>
  <c r="BU152" i="1"/>
  <c r="BI152" i="1"/>
  <c r="BJ152" i="1" s="1"/>
  <c r="BG153" i="1"/>
  <c r="BH153" i="1"/>
  <c r="BD153" i="1"/>
  <c r="BF154" i="1" s="1"/>
  <c r="BD154" i="1" l="1"/>
  <c r="BF155" i="1" s="1"/>
  <c r="BG154" i="1"/>
  <c r="BH154" i="1"/>
  <c r="BI153" i="1"/>
  <c r="BJ153" i="1" s="1"/>
  <c r="BX152" i="1"/>
  <c r="BY152" i="1" s="1"/>
  <c r="BV152" i="1"/>
  <c r="BU153" i="1"/>
  <c r="BX153" i="1" s="1"/>
  <c r="BP154" i="1"/>
  <c r="BR155" i="1" s="1"/>
  <c r="BT154" i="1"/>
  <c r="BS154" i="1"/>
  <c r="BU154" i="1" l="1"/>
  <c r="BP155" i="1"/>
  <c r="BR156" i="1" s="1"/>
  <c r="BT155" i="1"/>
  <c r="BS155" i="1"/>
  <c r="BU155" i="1" s="1"/>
  <c r="BY153" i="1"/>
  <c r="BI154" i="1"/>
  <c r="BJ154" i="1" s="1"/>
  <c r="BV153" i="1"/>
  <c r="BG155" i="1"/>
  <c r="BD155" i="1"/>
  <c r="BF156" i="1" s="1"/>
  <c r="BH155" i="1"/>
  <c r="BI155" i="1" s="1"/>
  <c r="BX155" i="1" s="1"/>
  <c r="BX154" i="1" l="1"/>
  <c r="BY154" i="1" s="1"/>
  <c r="BY155" i="1" s="1"/>
  <c r="BV154" i="1"/>
  <c r="BV155" i="1" s="1"/>
  <c r="BJ155" i="1"/>
  <c r="BH156" i="1"/>
  <c r="BD156" i="1"/>
  <c r="BF157" i="1" s="1"/>
  <c r="BG156" i="1"/>
  <c r="BI156" i="1" s="1"/>
  <c r="BS156" i="1"/>
  <c r="BP156" i="1"/>
  <c r="BR157" i="1" s="1"/>
  <c r="BT156" i="1"/>
  <c r="BU156" i="1" s="1"/>
  <c r="BV156" i="1" l="1"/>
  <c r="BG157" i="1"/>
  <c r="BD157" i="1"/>
  <c r="BF158" i="1" s="1"/>
  <c r="BH157" i="1"/>
  <c r="BT157" i="1"/>
  <c r="BS157" i="1"/>
  <c r="BP157" i="1"/>
  <c r="BR158" i="1" s="1"/>
  <c r="BX156" i="1"/>
  <c r="BY156" i="1" s="1"/>
  <c r="BJ156" i="1"/>
  <c r="BU157" i="1" l="1"/>
  <c r="BV157" i="1" s="1"/>
  <c r="BP158" i="1"/>
  <c r="BR159" i="1" s="1"/>
  <c r="BT158" i="1"/>
  <c r="BS158" i="1"/>
  <c r="BG158" i="1"/>
  <c r="BH158" i="1"/>
  <c r="BD158" i="1"/>
  <c r="BF159" i="1" s="1"/>
  <c r="BI157" i="1"/>
  <c r="BX157" i="1" l="1"/>
  <c r="BY157" i="1" s="1"/>
  <c r="BU158" i="1"/>
  <c r="BV158" i="1" s="1"/>
  <c r="BD159" i="1"/>
  <c r="BF160" i="1" s="1"/>
  <c r="BH159" i="1"/>
  <c r="BG159" i="1"/>
  <c r="BI158" i="1"/>
  <c r="BP159" i="1"/>
  <c r="BR160" i="1" s="1"/>
  <c r="BT159" i="1"/>
  <c r="BS159" i="1"/>
  <c r="BJ157" i="1"/>
  <c r="BJ158" i="1" s="1"/>
  <c r="BU159" i="1" l="1"/>
  <c r="BV159" i="1" s="1"/>
  <c r="BX158" i="1"/>
  <c r="BY158" i="1" s="1"/>
  <c r="BI159" i="1"/>
  <c r="BJ159" i="1" s="1"/>
  <c r="BD160" i="1"/>
  <c r="BF161" i="1" s="1"/>
  <c r="BH160" i="1"/>
  <c r="BG160" i="1"/>
  <c r="BI160" i="1" s="1"/>
  <c r="BP160" i="1"/>
  <c r="BR161" i="1" s="1"/>
  <c r="BS160" i="1"/>
  <c r="BT160" i="1"/>
  <c r="BJ160" i="1" l="1"/>
  <c r="BX159" i="1"/>
  <c r="BY159" i="1" s="1"/>
  <c r="BU160" i="1"/>
  <c r="BX160" i="1" s="1"/>
  <c r="BY160" i="1" s="1"/>
  <c r="BV160" i="1"/>
  <c r="BP161" i="1"/>
  <c r="BR162" i="1" s="1"/>
  <c r="BT161" i="1"/>
  <c r="BS161" i="1"/>
  <c r="BH161" i="1"/>
  <c r="BG161" i="1"/>
  <c r="BD161" i="1"/>
  <c r="BF162" i="1" s="1"/>
  <c r="BG162" i="1" l="1"/>
  <c r="BD162" i="1"/>
  <c r="BF163" i="1" s="1"/>
  <c r="BH162" i="1"/>
  <c r="BI161" i="1"/>
  <c r="BU161" i="1"/>
  <c r="BP162" i="1"/>
  <c r="BR163" i="1" s="1"/>
  <c r="BS162" i="1"/>
  <c r="BT162" i="1"/>
  <c r="BV161" i="1"/>
  <c r="BI162" i="1" l="1"/>
  <c r="BT163" i="1"/>
  <c r="BP163" i="1"/>
  <c r="BR164" i="1" s="1"/>
  <c r="BS163" i="1"/>
  <c r="BU163" i="1" s="1"/>
  <c r="BX161" i="1"/>
  <c r="BY161" i="1" s="1"/>
  <c r="BJ161" i="1"/>
  <c r="BU162" i="1"/>
  <c r="BV162" i="1" s="1"/>
  <c r="BD163" i="1"/>
  <c r="BF164" i="1" s="1"/>
  <c r="BG163" i="1"/>
  <c r="BH163" i="1"/>
  <c r="BV163" i="1" l="1"/>
  <c r="BX162" i="1"/>
  <c r="BY162" i="1" s="1"/>
  <c r="BJ162" i="1"/>
  <c r="BI163" i="1"/>
  <c r="BX163" i="1" s="1"/>
  <c r="BD164" i="1"/>
  <c r="BF165" i="1" s="1"/>
  <c r="BH164" i="1"/>
  <c r="BG164" i="1"/>
  <c r="BS164" i="1"/>
  <c r="BP164" i="1"/>
  <c r="BR165" i="1" s="1"/>
  <c r="BT164" i="1"/>
  <c r="BJ163" i="1" l="1"/>
  <c r="BY163" i="1"/>
  <c r="BI164" i="1"/>
  <c r="BU164" i="1"/>
  <c r="BV164" i="1" s="1"/>
  <c r="BS165" i="1"/>
  <c r="BT165" i="1"/>
  <c r="BP165" i="1"/>
  <c r="BR166" i="1" s="1"/>
  <c r="BG165" i="1"/>
  <c r="BD165" i="1"/>
  <c r="BF166" i="1" s="1"/>
  <c r="BH165" i="1"/>
  <c r="BJ164" i="1" l="1"/>
  <c r="BU165" i="1"/>
  <c r="BV165" i="1" s="1"/>
  <c r="BX164" i="1"/>
  <c r="BY164" i="1" s="1"/>
  <c r="BH166" i="1"/>
  <c r="BG166" i="1"/>
  <c r="BI166" i="1" s="1"/>
  <c r="BD166" i="1"/>
  <c r="BF167" i="1" s="1"/>
  <c r="BI165" i="1"/>
  <c r="BT166" i="1"/>
  <c r="BP166" i="1"/>
  <c r="BR167" i="1" s="1"/>
  <c r="BS166" i="1"/>
  <c r="BU166" i="1" s="1"/>
  <c r="BV166" i="1" s="1"/>
  <c r="BP167" i="1" l="1"/>
  <c r="BT167" i="1"/>
  <c r="BS167" i="1"/>
  <c r="BU167" i="1" s="1"/>
  <c r="BV167" i="1" s="1"/>
  <c r="BV1" i="1" s="1"/>
  <c r="BX165" i="1"/>
  <c r="BY165" i="1" s="1"/>
  <c r="BJ165" i="1"/>
  <c r="BJ166" i="1" s="1"/>
  <c r="BD167" i="1"/>
  <c r="BG167" i="1"/>
  <c r="BH167" i="1"/>
  <c r="BX166" i="1"/>
  <c r="BI167" i="1" l="1"/>
  <c r="BX167" i="1" s="1"/>
  <c r="BY166" i="1"/>
  <c r="BV9" i="1"/>
  <c r="BV10" i="1"/>
  <c r="BJ9" i="1" l="1"/>
  <c r="BJ11" i="1" s="1"/>
  <c r="BJ10" i="1"/>
  <c r="BY167" i="1"/>
  <c r="BY1" i="1" s="1"/>
  <c r="BJ167" i="1"/>
  <c r="BJ1" i="1" s="1"/>
  <c r="BV11" i="1"/>
  <c r="BY10" i="1"/>
  <c r="BY9" i="1"/>
  <c r="BY11" i="1" s="1"/>
</calcChain>
</file>

<file path=xl/sharedStrings.xml><?xml version="1.0" encoding="utf-8"?>
<sst xmlns="http://schemas.openxmlformats.org/spreadsheetml/2006/main" count="53" uniqueCount="42">
  <si>
    <t>date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</si>
  <si>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</si>
  <si>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</si>
  <si>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</si>
  <si>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</si>
  <si>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</si>
  <si>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</si>
  <si>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</si>
  <si>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</si>
  <si>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</si>
  <si>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FREL</t>
  </si>
  <si>
    <t>VNQ</t>
  </si>
  <si>
    <t>FREL log rtn</t>
  </si>
  <si>
    <t>VNQ log rtn</t>
  </si>
  <si>
    <t>FREL div</t>
  </si>
  <si>
    <t>FREL div cumsum</t>
  </si>
  <si>
    <t>VNQ div</t>
  </si>
  <si>
    <t>VNQ div cumsum</t>
  </si>
  <si>
    <t>FREL div adjustment</t>
  </si>
  <si>
    <t>VNQ div adjustment</t>
  </si>
  <si>
    <t>FREL*</t>
  </si>
  <si>
    <t>VNQ*</t>
  </si>
  <si>
    <t>VNQ/FREL</t>
  </si>
  <si>
    <t>VNQ/FREL avg</t>
  </si>
  <si>
    <t>VNQ/FREL 10 dma</t>
  </si>
  <si>
    <t>VNQ/FREL 20 dma</t>
  </si>
  <si>
    <t>FREL x avg</t>
  </si>
  <si>
    <t>FREL x 10 dma</t>
  </si>
  <si>
    <t>FREL x 20 dma</t>
  </si>
  <si>
    <t>log diff FREL x avg / VNQ</t>
  </si>
  <si>
    <t>log diff FREL x 10 dma / VNQ</t>
  </si>
  <si>
    <t>log diff FREL x 20 dma / VNQ</t>
  </si>
  <si>
    <t>VNQ*/FREL*</t>
  </si>
  <si>
    <t>VNQ*/FREL* avg</t>
  </si>
  <si>
    <t>VNQ*/FREL* 10 dma</t>
  </si>
  <si>
    <t>VNQ*/FREL* 20 dma</t>
  </si>
  <si>
    <t>FREL* x avg</t>
  </si>
  <si>
    <t>FREL* x 10 dma</t>
  </si>
  <si>
    <t>FREL* x 20 dma</t>
  </si>
  <si>
    <t>log diff FREL* x avg / VNQ*</t>
  </si>
  <si>
    <t>log diff FREL* x 10 dma / VNQ*</t>
  </si>
  <si>
    <t>log diff FREL* x 20 dma / VNQ*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</si>
</sst>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VNQ/FREL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3.2936632097661298</c:v>
                </c:pt>
                <c:pt idx="1">
                  <c:v>3.2936632097661298</c:v>
                </c:pt>
                <c:pt idx="2">
                  <c:v>3.2936632097661298</c:v>
                </c:pt>
                <c:pt idx="3">
                  <c:v>3.2936632097661298</c:v>
                </c:pt>
                <c:pt idx="4">
                  <c:v>3.2936632097661298</c:v>
                </c:pt>
                <c:pt idx="5">
                  <c:v>3.2936632097661298</c:v>
                </c:pt>
                <c:pt idx="6">
                  <c:v>3.2936632097661298</c:v>
                </c:pt>
                <c:pt idx="7">
                  <c:v>3.2936632097661298</c:v>
                </c:pt>
                <c:pt idx="8">
                  <c:v>3.2936632097661298</c:v>
                </c:pt>
                <c:pt idx="9">
                  <c:v>3.2936632097661298</c:v>
                </c:pt>
                <c:pt idx="10">
                  <c:v>3.2936632097661298</c:v>
                </c:pt>
                <c:pt idx="11">
                  <c:v>3.2936632097661298</c:v>
                </c:pt>
                <c:pt idx="12">
                  <c:v>3.2936632097661298</c:v>
                </c:pt>
                <c:pt idx="13">
                  <c:v>3.2936632097661298</c:v>
                </c:pt>
                <c:pt idx="14">
                  <c:v>3.2936632097661298</c:v>
                </c:pt>
                <c:pt idx="15">
                  <c:v>3.2936632097661298</c:v>
                </c:pt>
                <c:pt idx="16">
                  <c:v>3.2936632097661298</c:v>
                </c:pt>
                <c:pt idx="17">
                  <c:v>3.2936632097661298</c:v>
                </c:pt>
                <c:pt idx="18">
                  <c:v>3.2936632097661298</c:v>
                </c:pt>
                <c:pt idx="19">
                  <c:v>3.2936632097661298</c:v>
                </c:pt>
                <c:pt idx="20">
                  <c:v>3.2936632097661298</c:v>
                </c:pt>
                <c:pt idx="21">
                  <c:v>3.2936632097661298</c:v>
                </c:pt>
                <c:pt idx="22">
                  <c:v>3.2936632097661298</c:v>
                </c:pt>
                <c:pt idx="23">
                  <c:v>3.2936632097661298</c:v>
                </c:pt>
                <c:pt idx="24">
                  <c:v>3.2936632097661298</c:v>
                </c:pt>
                <c:pt idx="25">
                  <c:v>3.2936632097661298</c:v>
                </c:pt>
                <c:pt idx="26">
                  <c:v>3.2936632097661298</c:v>
                </c:pt>
                <c:pt idx="27">
                  <c:v>3.2936632097661298</c:v>
                </c:pt>
                <c:pt idx="28">
                  <c:v>3.2936632097661298</c:v>
                </c:pt>
                <c:pt idx="29">
                  <c:v>3.2936632097661298</c:v>
                </c:pt>
                <c:pt idx="30">
                  <c:v>3.2936632097661298</c:v>
                </c:pt>
                <c:pt idx="31">
                  <c:v>3.2936632097661298</c:v>
                </c:pt>
                <c:pt idx="32">
                  <c:v>3.2936632097661298</c:v>
                </c:pt>
                <c:pt idx="33">
                  <c:v>3.2936632097661298</c:v>
                </c:pt>
                <c:pt idx="34">
                  <c:v>3.2936632097661298</c:v>
                </c:pt>
                <c:pt idx="35">
                  <c:v>3.2936632097661298</c:v>
                </c:pt>
                <c:pt idx="36">
                  <c:v>3.2936632097661298</c:v>
                </c:pt>
                <c:pt idx="37">
                  <c:v>3.2936632097661298</c:v>
                </c:pt>
                <c:pt idx="38">
                  <c:v>3.2936632097661298</c:v>
                </c:pt>
                <c:pt idx="39">
                  <c:v>3.2936632097661298</c:v>
                </c:pt>
                <c:pt idx="40">
                  <c:v>3.2936632097661298</c:v>
                </c:pt>
                <c:pt idx="41">
                  <c:v>3.2936632097661298</c:v>
                </c:pt>
                <c:pt idx="42">
                  <c:v>3.2936632097661298</c:v>
                </c:pt>
                <c:pt idx="43">
                  <c:v>3.2936632097661298</c:v>
                </c:pt>
                <c:pt idx="44">
                  <c:v>3.2936632097661298</c:v>
                </c:pt>
                <c:pt idx="45">
                  <c:v>3.2936632097661298</c:v>
                </c:pt>
                <c:pt idx="46">
                  <c:v>3.2936632097661298</c:v>
                </c:pt>
                <c:pt idx="47">
                  <c:v>3.2936632097661298</c:v>
                </c:pt>
                <c:pt idx="48">
                  <c:v>3.2936632097661298</c:v>
                </c:pt>
                <c:pt idx="49">
                  <c:v>3.2936632097661298</c:v>
                </c:pt>
                <c:pt idx="50">
                  <c:v>3.2936632097661298</c:v>
                </c:pt>
                <c:pt idx="51">
                  <c:v>3.2936632097661298</c:v>
                </c:pt>
                <c:pt idx="52">
                  <c:v>3.2936632097661298</c:v>
                </c:pt>
                <c:pt idx="53">
                  <c:v>3.2936632097661298</c:v>
                </c:pt>
                <c:pt idx="54">
                  <c:v>3.2936632097661298</c:v>
                </c:pt>
                <c:pt idx="55">
                  <c:v>3.2936632097661298</c:v>
                </c:pt>
                <c:pt idx="56">
                  <c:v>3.2936632097661298</c:v>
                </c:pt>
                <c:pt idx="57">
                  <c:v>3.2936632097661298</c:v>
                </c:pt>
                <c:pt idx="58">
                  <c:v>3.2936632097661298</c:v>
                </c:pt>
                <c:pt idx="59">
                  <c:v>3.2936632097661298</c:v>
                </c:pt>
                <c:pt idx="60">
                  <c:v>3.2936632097661298</c:v>
                </c:pt>
                <c:pt idx="61">
                  <c:v>3.2936632097661298</c:v>
                </c:pt>
                <c:pt idx="62">
                  <c:v>3.2936632097661298</c:v>
                </c:pt>
                <c:pt idx="63">
                  <c:v>3.2936632097661298</c:v>
                </c:pt>
                <c:pt idx="64">
                  <c:v>3.2936632097661298</c:v>
                </c:pt>
                <c:pt idx="65">
                  <c:v>3.2936632097661298</c:v>
                </c:pt>
                <c:pt idx="66">
                  <c:v>3.2936632097661298</c:v>
                </c:pt>
                <c:pt idx="67">
                  <c:v>3.2936632097661298</c:v>
                </c:pt>
                <c:pt idx="68">
                  <c:v>3.2936632097661298</c:v>
                </c:pt>
                <c:pt idx="69">
                  <c:v>3.2936632097661298</c:v>
                </c:pt>
                <c:pt idx="70">
                  <c:v>3.2936632097661298</c:v>
                </c:pt>
                <c:pt idx="71">
                  <c:v>3.2936632097661298</c:v>
                </c:pt>
                <c:pt idx="72">
                  <c:v>3.2936632097661298</c:v>
                </c:pt>
                <c:pt idx="73">
                  <c:v>3.2936632097661298</c:v>
                </c:pt>
                <c:pt idx="74">
                  <c:v>3.2936632097661298</c:v>
                </c:pt>
                <c:pt idx="75">
                  <c:v>3.2936632097661298</c:v>
                </c:pt>
                <c:pt idx="76">
                  <c:v>3.2936632097661298</c:v>
                </c:pt>
                <c:pt idx="77">
                  <c:v>3.2936632097661298</c:v>
                </c:pt>
                <c:pt idx="78">
                  <c:v>3.2936632097661298</c:v>
                </c:pt>
                <c:pt idx="79">
                  <c:v>3.2936632097661298</c:v>
                </c:pt>
                <c:pt idx="80">
                  <c:v>3.2936632097661298</c:v>
                </c:pt>
                <c:pt idx="81">
                  <c:v>3.2936632097661298</c:v>
                </c:pt>
                <c:pt idx="82">
                  <c:v>3.2936632097661298</c:v>
                </c:pt>
                <c:pt idx="83">
                  <c:v>3.2936632097661298</c:v>
                </c:pt>
                <c:pt idx="84">
                  <c:v>3.2936632097661298</c:v>
                </c:pt>
                <c:pt idx="85">
                  <c:v>3.2936632097661298</c:v>
                </c:pt>
                <c:pt idx="86">
                  <c:v>3.2936632097661298</c:v>
                </c:pt>
                <c:pt idx="87">
                  <c:v>3.2936632097661298</c:v>
                </c:pt>
                <c:pt idx="88">
                  <c:v>3.2936632097661298</c:v>
                </c:pt>
                <c:pt idx="89">
                  <c:v>3.2936632097661298</c:v>
                </c:pt>
                <c:pt idx="90">
                  <c:v>3.2936632097661298</c:v>
                </c:pt>
                <c:pt idx="91">
                  <c:v>3.2936632097661298</c:v>
                </c:pt>
                <c:pt idx="92">
                  <c:v>3.2936632097661298</c:v>
                </c:pt>
                <c:pt idx="93">
                  <c:v>3.2936632097661298</c:v>
                </c:pt>
                <c:pt idx="94">
                  <c:v>3.2936632097661298</c:v>
                </c:pt>
                <c:pt idx="95">
                  <c:v>3.2936632097661298</c:v>
                </c:pt>
                <c:pt idx="96">
                  <c:v>3.2936632097661298</c:v>
                </c:pt>
                <c:pt idx="97">
                  <c:v>3.2936632097661298</c:v>
                </c:pt>
                <c:pt idx="98">
                  <c:v>3.2936632097661298</c:v>
                </c:pt>
                <c:pt idx="99">
                  <c:v>3.2936632097661298</c:v>
                </c:pt>
                <c:pt idx="100">
                  <c:v>3.2936632097661298</c:v>
                </c:pt>
                <c:pt idx="101">
                  <c:v>3.2936632097661298</c:v>
                </c:pt>
                <c:pt idx="102">
                  <c:v>3.2936632097661298</c:v>
                </c:pt>
                <c:pt idx="103">
                  <c:v>3.2936632097661298</c:v>
                </c:pt>
                <c:pt idx="104">
                  <c:v>3.2936632097661298</c:v>
                </c:pt>
                <c:pt idx="105">
                  <c:v>3.2936632097661298</c:v>
                </c:pt>
                <c:pt idx="106">
                  <c:v>3.2936632097661298</c:v>
                </c:pt>
                <c:pt idx="107">
                  <c:v>3.2936632097661298</c:v>
                </c:pt>
                <c:pt idx="108">
                  <c:v>3.2936632097661298</c:v>
                </c:pt>
                <c:pt idx="109">
                  <c:v>3.2936632097661298</c:v>
                </c:pt>
                <c:pt idx="110">
                  <c:v>3.2936632097661298</c:v>
                </c:pt>
                <c:pt idx="111">
                  <c:v>3.2936632097661298</c:v>
                </c:pt>
                <c:pt idx="112">
                  <c:v>3.2936632097661298</c:v>
                </c:pt>
                <c:pt idx="113">
                  <c:v>3.2936632097661298</c:v>
                </c:pt>
                <c:pt idx="114">
                  <c:v>3.2936632097661298</c:v>
                </c:pt>
                <c:pt idx="115">
                  <c:v>3.2936632097661298</c:v>
                </c:pt>
                <c:pt idx="116">
                  <c:v>3.2936632097661298</c:v>
                </c:pt>
                <c:pt idx="117">
                  <c:v>3.2936632097661298</c:v>
                </c:pt>
                <c:pt idx="118">
                  <c:v>3.2936632097661298</c:v>
                </c:pt>
                <c:pt idx="119">
                  <c:v>3.2936632097661298</c:v>
                </c:pt>
                <c:pt idx="120">
                  <c:v>3.2936632097661298</c:v>
                </c:pt>
                <c:pt idx="121">
                  <c:v>3.2936632097661298</c:v>
                </c:pt>
                <c:pt idx="122">
                  <c:v>3.2936632097661298</c:v>
                </c:pt>
                <c:pt idx="123">
                  <c:v>3.2936632097661298</c:v>
                </c:pt>
                <c:pt idx="124">
                  <c:v>3.2936632097661298</c:v>
                </c:pt>
                <c:pt idx="125">
                  <c:v>3.2936632097661298</c:v>
                </c:pt>
                <c:pt idx="126">
                  <c:v>3.2936632097661298</c:v>
                </c:pt>
                <c:pt idx="127">
                  <c:v>3.2936632097661298</c:v>
                </c:pt>
                <c:pt idx="128">
                  <c:v>3.2936632097661298</c:v>
                </c:pt>
                <c:pt idx="129">
                  <c:v>3.2936632097661298</c:v>
                </c:pt>
                <c:pt idx="130">
                  <c:v>3.2936632097661298</c:v>
                </c:pt>
                <c:pt idx="131">
                  <c:v>3.2936632097661298</c:v>
                </c:pt>
                <c:pt idx="132">
                  <c:v>3.2936632097661298</c:v>
                </c:pt>
                <c:pt idx="133">
                  <c:v>3.2936632097661298</c:v>
                </c:pt>
                <c:pt idx="134">
                  <c:v>3.2936632097661298</c:v>
                </c:pt>
                <c:pt idx="135">
                  <c:v>3.2936632097661298</c:v>
                </c:pt>
                <c:pt idx="136">
                  <c:v>3.2936632097661298</c:v>
                </c:pt>
                <c:pt idx="137">
                  <c:v>3.2936632097661298</c:v>
                </c:pt>
                <c:pt idx="138">
                  <c:v>3.2936632097661298</c:v>
                </c:pt>
                <c:pt idx="139">
                  <c:v>3.2936632097661298</c:v>
                </c:pt>
                <c:pt idx="140">
                  <c:v>3.2936632097661298</c:v>
                </c:pt>
                <c:pt idx="141">
                  <c:v>3.2936632097661298</c:v>
                </c:pt>
                <c:pt idx="142">
                  <c:v>3.2936632097661298</c:v>
                </c:pt>
                <c:pt idx="143">
                  <c:v>3.2936632097661298</c:v>
                </c:pt>
                <c:pt idx="144">
                  <c:v>3.2936632097661298</c:v>
                </c:pt>
                <c:pt idx="145">
                  <c:v>3.2936632097661298</c:v>
                </c:pt>
                <c:pt idx="146">
                  <c:v>3.2936632097661298</c:v>
                </c:pt>
                <c:pt idx="147">
                  <c:v>3.2936632097661298</c:v>
                </c:pt>
                <c:pt idx="148">
                  <c:v>3.2936632097661298</c:v>
                </c:pt>
                <c:pt idx="149">
                  <c:v>3.2936632097661298</c:v>
                </c:pt>
                <c:pt idx="150">
                  <c:v>3.2936632097661298</c:v>
                </c:pt>
                <c:pt idx="151">
                  <c:v>3.2936632097661298</c:v>
                </c:pt>
                <c:pt idx="152">
                  <c:v>3.2936632097661298</c:v>
                </c:pt>
                <c:pt idx="153">
                  <c:v>3.2936632097661298</c:v>
                </c:pt>
                <c:pt idx="154">
                  <c:v>3.2936632097661298</c:v>
                </c:pt>
                <c:pt idx="155">
                  <c:v>3.2936632097661298</c:v>
                </c:pt>
                <c:pt idx="156">
                  <c:v>3.2936632097661298</c:v>
                </c:pt>
                <c:pt idx="157">
                  <c:v>3.2936632097661298</c:v>
                </c:pt>
                <c:pt idx="158">
                  <c:v>3.2936632097661298</c:v>
                </c:pt>
                <c:pt idx="159">
                  <c:v>3.2936632097661298</c:v>
                </c:pt>
                <c:pt idx="160">
                  <c:v>3.2936632097661298</c:v>
                </c:pt>
                <c:pt idx="161">
                  <c:v>3.2936632097661298</c:v>
                </c:pt>
                <c:pt idx="162">
                  <c:v>3.2936632097661298</c:v>
                </c:pt>
                <c:pt idx="163">
                  <c:v>3.2936632097661298</c:v>
                </c:pt>
                <c:pt idx="164">
                  <c:v>3.2936632097661298</c:v>
                </c:pt>
                <c:pt idx="165">
                  <c:v>3.2936632097661298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VNQ/FREL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3.2905651349293299</c:v>
                </c:pt>
                <c:pt idx="10">
                  <c:v>3.29027837637596</c:v>
                </c:pt>
                <c:pt idx="11">
                  <c:v>3.2898284104287101</c:v>
                </c:pt>
                <c:pt idx="12">
                  <c:v>3.2894035374050001</c:v>
                </c:pt>
                <c:pt idx="13">
                  <c:v>3.28910586664218</c:v>
                </c:pt>
                <c:pt idx="14">
                  <c:v>3.2889839032702999</c:v>
                </c:pt>
                <c:pt idx="15">
                  <c:v>3.2890893810509398</c:v>
                </c:pt>
                <c:pt idx="16">
                  <c:v>3.2891281757851099</c:v>
                </c:pt>
                <c:pt idx="17">
                  <c:v>3.2892314560834901</c:v>
                </c:pt>
                <c:pt idx="18">
                  <c:v>3.2894862353115899</c:v>
                </c:pt>
                <c:pt idx="19">
                  <c:v>3.28957264468165</c:v>
                </c:pt>
                <c:pt idx="20">
                  <c:v>3.2899445185365401</c:v>
                </c:pt>
                <c:pt idx="21">
                  <c:v>3.2900990813228699</c:v>
                </c:pt>
                <c:pt idx="22">
                  <c:v>3.2902857758525701</c:v>
                </c:pt>
                <c:pt idx="23">
                  <c:v>3.2904036054472598</c:v>
                </c:pt>
                <c:pt idx="24">
                  <c:v>3.2906356344796701</c:v>
                </c:pt>
                <c:pt idx="25">
                  <c:v>3.2909244526150601</c:v>
                </c:pt>
                <c:pt idx="26">
                  <c:v>3.2915134511298301</c:v>
                </c:pt>
                <c:pt idx="27">
                  <c:v>3.29133843747876</c:v>
                </c:pt>
                <c:pt idx="28">
                  <c:v>3.2915909163835302</c:v>
                </c:pt>
                <c:pt idx="29">
                  <c:v>3.2917238988815898</c:v>
                </c:pt>
                <c:pt idx="30">
                  <c:v>3.2916081328343498</c:v>
                </c:pt>
                <c:pt idx="31">
                  <c:v>3.2918607097199502</c:v>
                </c:pt>
                <c:pt idx="32">
                  <c:v>3.2918483300350201</c:v>
                </c:pt>
                <c:pt idx="33">
                  <c:v>3.2922396334591002</c:v>
                </c:pt>
                <c:pt idx="34">
                  <c:v>3.29226103187532</c:v>
                </c:pt>
                <c:pt idx="35">
                  <c:v>3.2922164015264599</c:v>
                </c:pt>
                <c:pt idx="36">
                  <c:v>3.29222141233384</c:v>
                </c:pt>
                <c:pt idx="37">
                  <c:v>3.2927502817332899</c:v>
                </c:pt>
                <c:pt idx="38">
                  <c:v>3.2926456127248702</c:v>
                </c:pt>
                <c:pt idx="39">
                  <c:v>3.2928378271846199</c:v>
                </c:pt>
                <c:pt idx="40">
                  <c:v>3.2931644196532099</c:v>
                </c:pt>
                <c:pt idx="41">
                  <c:v>3.2933397317516699</c:v>
                </c:pt>
                <c:pt idx="42">
                  <c:v>3.2933929322558502</c:v>
                </c:pt>
                <c:pt idx="43">
                  <c:v>3.2934642469890898</c:v>
                </c:pt>
                <c:pt idx="44">
                  <c:v>3.2935428448874098</c:v>
                </c:pt>
                <c:pt idx="45">
                  <c:v>3.2936752600835901</c:v>
                </c:pt>
                <c:pt idx="46">
                  <c:v>3.29374912758349</c:v>
                </c:pt>
                <c:pt idx="47">
                  <c:v>3.2938049095891402</c:v>
                </c:pt>
                <c:pt idx="48">
                  <c:v>3.29425233376982</c:v>
                </c:pt>
                <c:pt idx="49">
                  <c:v>3.2945952772883298</c:v>
                </c:pt>
                <c:pt idx="50">
                  <c:v>3.2950462351068199</c:v>
                </c:pt>
                <c:pt idx="51">
                  <c:v>3.29579048919847</c:v>
                </c:pt>
                <c:pt idx="52">
                  <c:v>3.2963955614014799</c:v>
                </c:pt>
                <c:pt idx="53">
                  <c:v>3.2998898768817599</c:v>
                </c:pt>
                <c:pt idx="54">
                  <c:v>3.3035466110804199</c:v>
                </c:pt>
                <c:pt idx="55">
                  <c:v>3.3035050042773699</c:v>
                </c:pt>
                <c:pt idx="56">
                  <c:v>3.3032658265972001</c:v>
                </c:pt>
                <c:pt idx="57">
                  <c:v>3.3029963952747701</c:v>
                </c:pt>
                <c:pt idx="58">
                  <c:v>3.3025607194775799</c:v>
                </c:pt>
                <c:pt idx="59">
                  <c:v>3.30196235031611</c:v>
                </c:pt>
                <c:pt idx="60">
                  <c:v>3.3016396848820899</c:v>
                </c:pt>
                <c:pt idx="61">
                  <c:v>3.30126442232593</c:v>
                </c:pt>
                <c:pt idx="62">
                  <c:v>3.3011122351809301</c:v>
                </c:pt>
                <c:pt idx="63">
                  <c:v>3.29775699265039</c:v>
                </c:pt>
                <c:pt idx="64">
                  <c:v>3.2943050075250699</c:v>
                </c:pt>
                <c:pt idx="65">
                  <c:v>3.2944013824245002</c:v>
                </c:pt>
                <c:pt idx="66">
                  <c:v>3.2945169840964499</c:v>
                </c:pt>
                <c:pt idx="67">
                  <c:v>3.29460362759436</c:v>
                </c:pt>
                <c:pt idx="68">
                  <c:v>3.2946301520564298</c:v>
                </c:pt>
                <c:pt idx="69">
                  <c:v>3.2950114213817598</c:v>
                </c:pt>
                <c:pt idx="70">
                  <c:v>3.2947340320217702</c:v>
                </c:pt>
                <c:pt idx="71">
                  <c:v>3.2946458461566599</c:v>
                </c:pt>
                <c:pt idx="72">
                  <c:v>3.2946227959256902</c:v>
                </c:pt>
                <c:pt idx="73">
                  <c:v>3.2945559987357802</c:v>
                </c:pt>
                <c:pt idx="74">
                  <c:v>3.2947004432949898</c:v>
                </c:pt>
                <c:pt idx="75">
                  <c:v>3.29468254190621</c:v>
                </c:pt>
                <c:pt idx="76">
                  <c:v>3.2949387730714501</c:v>
                </c:pt>
                <c:pt idx="77">
                  <c:v>3.29544477829704</c:v>
                </c:pt>
                <c:pt idx="78">
                  <c:v>3.2960213261628</c:v>
                </c:pt>
                <c:pt idx="79">
                  <c:v>3.2960658130974299</c:v>
                </c:pt>
                <c:pt idx="80">
                  <c:v>3.2963543029714102</c:v>
                </c:pt>
                <c:pt idx="81">
                  <c:v>3.2965231055710298</c:v>
                </c:pt>
                <c:pt idx="82">
                  <c:v>3.2966562359166298</c:v>
                </c:pt>
                <c:pt idx="83">
                  <c:v>3.2968096235293101</c:v>
                </c:pt>
                <c:pt idx="84">
                  <c:v>3.2967698657434101</c:v>
                </c:pt>
                <c:pt idx="85">
                  <c:v>3.2967707764532701</c:v>
                </c:pt>
                <c:pt idx="86">
                  <c:v>3.29612853955383</c:v>
                </c:pt>
                <c:pt idx="87">
                  <c:v>3.2954559301200601</c:v>
                </c:pt>
                <c:pt idx="88">
                  <c:v>3.2949946893250401</c:v>
                </c:pt>
                <c:pt idx="89">
                  <c:v>3.2946078967991599</c:v>
                </c:pt>
                <c:pt idx="90">
                  <c:v>3.29427213604203</c:v>
                </c:pt>
                <c:pt idx="91">
                  <c:v>3.2938589282506801</c:v>
                </c:pt>
                <c:pt idx="92">
                  <c:v>3.2938308219643799</c:v>
                </c:pt>
                <c:pt idx="93">
                  <c:v>3.2935278402624899</c:v>
                </c:pt>
                <c:pt idx="94">
                  <c:v>3.2931221816917899</c:v>
                </c:pt>
                <c:pt idx="95">
                  <c:v>3.2929859061249198</c:v>
                </c:pt>
                <c:pt idx="96">
                  <c:v>3.29315497322894</c:v>
                </c:pt>
                <c:pt idx="97">
                  <c:v>3.2931053145238902</c:v>
                </c:pt>
                <c:pt idx="98">
                  <c:v>3.2928920125430001</c:v>
                </c:pt>
                <c:pt idx="99">
                  <c:v>3.2926669883242901</c:v>
                </c:pt>
                <c:pt idx="100">
                  <c:v>3.2924473438753501</c:v>
                </c:pt>
                <c:pt idx="101">
                  <c:v>3.2922815975855699</c:v>
                </c:pt>
                <c:pt idx="102">
                  <c:v>3.29187390995095</c:v>
                </c:pt>
                <c:pt idx="103">
                  <c:v>3.2917730869839299</c:v>
                </c:pt>
                <c:pt idx="104">
                  <c:v>3.2918391100681501</c:v>
                </c:pt>
                <c:pt idx="105">
                  <c:v>3.2918568649940299</c:v>
                </c:pt>
                <c:pt idx="106">
                  <c:v>3.2917051181508001</c:v>
                </c:pt>
                <c:pt idx="107">
                  <c:v>3.2914221479182699</c:v>
                </c:pt>
                <c:pt idx="108">
                  <c:v>3.2910528493336</c:v>
                </c:pt>
                <c:pt idx="109">
                  <c:v>3.2909532792951302</c:v>
                </c:pt>
                <c:pt idx="110">
                  <c:v>3.2910877612252998</c:v>
                </c:pt>
                <c:pt idx="111">
                  <c:v>3.29079725296506</c:v>
                </c:pt>
                <c:pt idx="112">
                  <c:v>3.2907240865978702</c:v>
                </c:pt>
                <c:pt idx="113">
                  <c:v>3.2908928248181102</c:v>
                </c:pt>
                <c:pt idx="114">
                  <c:v>3.2907161091858401</c:v>
                </c:pt>
                <c:pt idx="115">
                  <c:v>3.2935324948667</c:v>
                </c:pt>
                <c:pt idx="116">
                  <c:v>3.2970369413593801</c:v>
                </c:pt>
                <c:pt idx="117">
                  <c:v>3.3005751430323098</c:v>
                </c:pt>
                <c:pt idx="118">
                  <c:v>3.3009021433830701</c:v>
                </c:pt>
                <c:pt idx="119">
                  <c:v>3.30113618033231</c:v>
                </c:pt>
                <c:pt idx="120">
                  <c:v>3.3011579896627201</c:v>
                </c:pt>
                <c:pt idx="121">
                  <c:v>3.30127430823367</c:v>
                </c:pt>
                <c:pt idx="122">
                  <c:v>3.3013590182920098</c:v>
                </c:pt>
                <c:pt idx="123">
                  <c:v>3.3008392955261598</c:v>
                </c:pt>
                <c:pt idx="124">
                  <c:v>3.3007536818876102</c:v>
                </c:pt>
                <c:pt idx="125">
                  <c:v>3.2972266704535</c:v>
                </c:pt>
                <c:pt idx="126">
                  <c:v>3.2933836009037099</c:v>
                </c:pt>
                <c:pt idx="127">
                  <c:v>3.2901184579842599</c:v>
                </c:pt>
                <c:pt idx="128">
                  <c:v>3.2901664863198299</c:v>
                </c:pt>
                <c:pt idx="129">
                  <c:v>3.2903836620045399</c:v>
                </c:pt>
                <c:pt idx="130">
                  <c:v>3.2904375024488299</c:v>
                </c:pt>
                <c:pt idx="131">
                  <c:v>3.2905898615435198</c:v>
                </c:pt>
                <c:pt idx="132">
                  <c:v>3.2906396957166102</c:v>
                </c:pt>
                <c:pt idx="133">
                  <c:v>3.2908367981786202</c:v>
                </c:pt>
                <c:pt idx="134">
                  <c:v>3.2907051741909501</c:v>
                </c:pt>
                <c:pt idx="135">
                  <c:v>3.2912666084315498</c:v>
                </c:pt>
                <c:pt idx="136">
                  <c:v>3.29160001424441</c:v>
                </c:pt>
                <c:pt idx="137">
                  <c:v>3.2915396942410302</c:v>
                </c:pt>
                <c:pt idx="138">
                  <c:v>3.2916054093287799</c:v>
                </c:pt>
                <c:pt idx="139">
                  <c:v>3.2918174490285601</c:v>
                </c:pt>
                <c:pt idx="140">
                  <c:v>3.2918498068034601</c:v>
                </c:pt>
                <c:pt idx="141">
                  <c:v>3.29192263111926</c:v>
                </c:pt>
                <c:pt idx="142">
                  <c:v>3.2916069510571799</c:v>
                </c:pt>
                <c:pt idx="143">
                  <c:v>3.2915388887377999</c:v>
                </c:pt>
                <c:pt idx="144">
                  <c:v>3.2919184490562601</c:v>
                </c:pt>
                <c:pt idx="145">
                  <c:v>3.2919780760433799</c:v>
                </c:pt>
                <c:pt idx="146">
                  <c:v>3.2918432935341402</c:v>
                </c:pt>
                <c:pt idx="147">
                  <c:v>3.2918390481200199</c:v>
                </c:pt>
                <c:pt idx="148">
                  <c:v>3.2915363740813199</c:v>
                </c:pt>
                <c:pt idx="149">
                  <c:v>3.29107149464406</c:v>
                </c:pt>
                <c:pt idx="150">
                  <c:v>3.2911658365307899</c:v>
                </c:pt>
                <c:pt idx="151">
                  <c:v>3.2909637611913301</c:v>
                </c:pt>
                <c:pt idx="152">
                  <c:v>3.2915347177534202</c:v>
                </c:pt>
                <c:pt idx="153">
                  <c:v>3.2919019215640799</c:v>
                </c:pt>
                <c:pt idx="154">
                  <c:v>3.2919409545874601</c:v>
                </c:pt>
                <c:pt idx="155">
                  <c:v>3.2920398958588799</c:v>
                </c:pt>
                <c:pt idx="156">
                  <c:v>3.29242637598824</c:v>
                </c:pt>
                <c:pt idx="157">
                  <c:v>3.2925999409340299</c:v>
                </c:pt>
                <c:pt idx="158">
                  <c:v>3.2929319696446999</c:v>
                </c:pt>
                <c:pt idx="159">
                  <c:v>3.2932761459864301</c:v>
                </c:pt>
                <c:pt idx="160">
                  <c:v>3.2933211638853299</c:v>
                </c:pt>
                <c:pt idx="161">
                  <c:v>3.2936727868796698</c:v>
                </c:pt>
                <c:pt idx="162">
                  <c:v>3.2936137656550901</c:v>
                </c:pt>
                <c:pt idx="163">
                  <c:v>3.2936986803886601</c:v>
                </c:pt>
                <c:pt idx="164">
                  <c:v>3.2936673667493301</c:v>
                </c:pt>
                <c:pt idx="165">
                  <c:v>3.29391954800461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VNQ/FREL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3.2900688898054899</c:v>
                </c:pt>
                <c:pt idx="20">
                  <c:v>3.2901114474562498</c:v>
                </c:pt>
                <c:pt idx="21">
                  <c:v>3.2899637458757902</c:v>
                </c:pt>
                <c:pt idx="22">
                  <c:v>3.28984465662879</c:v>
                </c:pt>
                <c:pt idx="23">
                  <c:v>3.2897547360447201</c:v>
                </c:pt>
                <c:pt idx="24">
                  <c:v>3.2898097688749899</c:v>
                </c:pt>
                <c:pt idx="25">
                  <c:v>3.2900069168330002</c:v>
                </c:pt>
                <c:pt idx="26">
                  <c:v>3.2903208134574702</c:v>
                </c:pt>
                <c:pt idx="27">
                  <c:v>3.2902849467811199</c:v>
                </c:pt>
                <c:pt idx="28">
                  <c:v>3.29053857584756</c:v>
                </c:pt>
                <c:pt idx="29">
                  <c:v>3.2906482717816199</c:v>
                </c:pt>
                <c:pt idx="30">
                  <c:v>3.2907763256854499</c:v>
                </c:pt>
                <c:pt idx="31">
                  <c:v>3.29097989552141</c:v>
                </c:pt>
                <c:pt idx="32">
                  <c:v>3.2910670529438</c:v>
                </c:pt>
                <c:pt idx="33">
                  <c:v>3.2913216194531798</c:v>
                </c:pt>
                <c:pt idx="34">
                  <c:v>3.2914483331775002</c:v>
                </c:pt>
                <c:pt idx="35">
                  <c:v>3.2915704270707602</c:v>
                </c:pt>
                <c:pt idx="36">
                  <c:v>3.2918674317318302</c:v>
                </c:pt>
                <c:pt idx="37">
                  <c:v>3.2920443596060198</c:v>
                </c:pt>
                <c:pt idx="38">
                  <c:v>3.2921182645542002</c:v>
                </c:pt>
                <c:pt idx="39">
                  <c:v>3.2922808630331</c:v>
                </c:pt>
                <c:pt idx="40">
                  <c:v>3.2923862762437799</c:v>
                </c:pt>
                <c:pt idx="41">
                  <c:v>3.2926002207358098</c:v>
                </c:pt>
                <c:pt idx="42">
                  <c:v>3.29262063114543</c:v>
                </c:pt>
                <c:pt idx="43">
                  <c:v>3.2928519402241001</c:v>
                </c:pt>
                <c:pt idx="44">
                  <c:v>3.29290193838137</c:v>
                </c:pt>
                <c:pt idx="45">
                  <c:v>3.2929458308050301</c:v>
                </c:pt>
                <c:pt idx="46">
                  <c:v>3.2929852699586601</c:v>
                </c:pt>
                <c:pt idx="47">
                  <c:v>3.2932775956612099</c:v>
                </c:pt>
                <c:pt idx="48">
                  <c:v>3.2934489732473402</c:v>
                </c:pt>
                <c:pt idx="49">
                  <c:v>3.2937165522364702</c:v>
                </c:pt>
                <c:pt idx="50">
                  <c:v>3.2941053273800098</c:v>
                </c:pt>
                <c:pt idx="51">
                  <c:v>3.2945651104750699</c:v>
                </c:pt>
                <c:pt idx="52">
                  <c:v>3.2948942468286702</c:v>
                </c:pt>
                <c:pt idx="53">
                  <c:v>3.29667706193543</c:v>
                </c:pt>
                <c:pt idx="54">
                  <c:v>3.29854472798392</c:v>
                </c:pt>
                <c:pt idx="55">
                  <c:v>3.2985901321804798</c:v>
                </c:pt>
                <c:pt idx="56">
                  <c:v>3.2985074770903502</c:v>
                </c:pt>
                <c:pt idx="57">
                  <c:v>3.2984006524319498</c:v>
                </c:pt>
                <c:pt idx="58">
                  <c:v>3.2984065266237002</c:v>
                </c:pt>
                <c:pt idx="59">
                  <c:v>3.2982788138022201</c:v>
                </c:pt>
                <c:pt idx="60">
                  <c:v>3.2983429599944598</c:v>
                </c:pt>
                <c:pt idx="61">
                  <c:v>3.2985274557622</c:v>
                </c:pt>
                <c:pt idx="62">
                  <c:v>3.2987538982912099</c:v>
                </c:pt>
                <c:pt idx="63">
                  <c:v>3.2988234347660801</c:v>
                </c:pt>
                <c:pt idx="64">
                  <c:v>3.2989258093027498</c:v>
                </c:pt>
                <c:pt idx="65">
                  <c:v>3.29895319335093</c:v>
                </c:pt>
                <c:pt idx="66">
                  <c:v>3.2988914053468301</c:v>
                </c:pt>
                <c:pt idx="67">
                  <c:v>3.2988000114345599</c:v>
                </c:pt>
                <c:pt idx="68">
                  <c:v>3.298595435767</c:v>
                </c:pt>
                <c:pt idx="69">
                  <c:v>3.2984868858489298</c:v>
                </c:pt>
                <c:pt idx="70">
                  <c:v>3.2981868584519298</c:v>
                </c:pt>
                <c:pt idx="71">
                  <c:v>3.2979551342412901</c:v>
                </c:pt>
                <c:pt idx="72">
                  <c:v>3.2978675155533099</c:v>
                </c:pt>
                <c:pt idx="73">
                  <c:v>3.2961564956930798</c:v>
                </c:pt>
                <c:pt idx="74">
                  <c:v>3.2945027254100299</c:v>
                </c:pt>
                <c:pt idx="75">
                  <c:v>3.2945419621653498</c:v>
                </c:pt>
                <c:pt idx="76">
                  <c:v>3.29472787858395</c:v>
                </c:pt>
                <c:pt idx="77">
                  <c:v>3.2950242029457</c:v>
                </c:pt>
                <c:pt idx="78">
                  <c:v>3.29532573910961</c:v>
                </c:pt>
                <c:pt idx="79">
                  <c:v>3.2955386172396</c:v>
                </c:pt>
                <c:pt idx="80">
                  <c:v>3.29554416749659</c:v>
                </c:pt>
                <c:pt idx="81">
                  <c:v>3.2955844758638402</c:v>
                </c:pt>
                <c:pt idx="82">
                  <c:v>3.29563951592116</c:v>
                </c:pt>
                <c:pt idx="83">
                  <c:v>3.29568281113254</c:v>
                </c:pt>
                <c:pt idx="84">
                  <c:v>3.2957351545192002</c:v>
                </c:pt>
                <c:pt idx="85">
                  <c:v>3.2957266591797398</c:v>
                </c:pt>
                <c:pt idx="86">
                  <c:v>3.2955336563126401</c:v>
                </c:pt>
                <c:pt idx="87">
                  <c:v>3.2954503542085498</c:v>
                </c:pt>
                <c:pt idx="88">
                  <c:v>3.2955080077439201</c:v>
                </c:pt>
                <c:pt idx="89">
                  <c:v>3.2953368549483</c:v>
                </c:pt>
                <c:pt idx="90">
                  <c:v>3.2953132195067201</c:v>
                </c:pt>
                <c:pt idx="91">
                  <c:v>3.29519101691085</c:v>
                </c:pt>
                <c:pt idx="92">
                  <c:v>3.2952435289405</c:v>
                </c:pt>
                <c:pt idx="93">
                  <c:v>3.2951687318959002</c:v>
                </c:pt>
                <c:pt idx="94">
                  <c:v>3.2949460237175998</c:v>
                </c:pt>
                <c:pt idx="95">
                  <c:v>3.2948783412890901</c:v>
                </c:pt>
                <c:pt idx="96">
                  <c:v>3.2946417563913899</c:v>
                </c:pt>
                <c:pt idx="97">
                  <c:v>3.2942806223219798</c:v>
                </c:pt>
                <c:pt idx="98">
                  <c:v>3.2939433509340201</c:v>
                </c:pt>
                <c:pt idx="99">
                  <c:v>3.2936374425617201</c:v>
                </c:pt>
                <c:pt idx="100">
                  <c:v>3.29335973995869</c:v>
                </c:pt>
                <c:pt idx="101">
                  <c:v>3.2930702629181199</c:v>
                </c:pt>
                <c:pt idx="102">
                  <c:v>3.2928523659576601</c:v>
                </c:pt>
                <c:pt idx="103">
                  <c:v>3.2926504636232101</c:v>
                </c:pt>
                <c:pt idx="104">
                  <c:v>3.2924806458799698</c:v>
                </c:pt>
                <c:pt idx="105">
                  <c:v>3.2924213855594702</c:v>
                </c:pt>
                <c:pt idx="106">
                  <c:v>3.2924300456898701</c:v>
                </c:pt>
                <c:pt idx="107">
                  <c:v>3.2922637312210798</c:v>
                </c:pt>
                <c:pt idx="108">
                  <c:v>3.2919724309383001</c:v>
                </c:pt>
                <c:pt idx="109">
                  <c:v>3.2918101338097099</c:v>
                </c:pt>
                <c:pt idx="110">
                  <c:v>3.29176755255033</c:v>
                </c:pt>
                <c:pt idx="111">
                  <c:v>3.2915394252753098</c:v>
                </c:pt>
                <c:pt idx="112">
                  <c:v>3.2912989982744101</c:v>
                </c:pt>
                <c:pt idx="113">
                  <c:v>3.2913329559010198</c:v>
                </c:pt>
                <c:pt idx="114">
                  <c:v>3.2912776096269898</c:v>
                </c:pt>
                <c:pt idx="115">
                  <c:v>3.29269467993036</c:v>
                </c:pt>
                <c:pt idx="116">
                  <c:v>3.2943710297550899</c:v>
                </c:pt>
                <c:pt idx="117">
                  <c:v>3.2959986454752901</c:v>
                </c:pt>
                <c:pt idx="118">
                  <c:v>3.2959774963583301</c:v>
                </c:pt>
                <c:pt idx="119">
                  <c:v>3.2960447298137199</c:v>
                </c:pt>
                <c:pt idx="120">
                  <c:v>3.2961228754440102</c:v>
                </c:pt>
                <c:pt idx="121">
                  <c:v>3.2960357805993699</c:v>
                </c:pt>
                <c:pt idx="122">
                  <c:v>3.2960415524449398</c:v>
                </c:pt>
                <c:pt idx="123">
                  <c:v>3.2958660601721399</c:v>
                </c:pt>
                <c:pt idx="124">
                  <c:v>3.2957348955367198</c:v>
                </c:pt>
                <c:pt idx="125">
                  <c:v>3.2953795826600998</c:v>
                </c:pt>
                <c:pt idx="126">
                  <c:v>3.2952102711315501</c:v>
                </c:pt>
                <c:pt idx="127">
                  <c:v>3.2953468005082902</c:v>
                </c:pt>
                <c:pt idx="128">
                  <c:v>3.2955343148514502</c:v>
                </c:pt>
                <c:pt idx="129">
                  <c:v>3.2957599211684299</c:v>
                </c:pt>
                <c:pt idx="130">
                  <c:v>3.2957977460557699</c:v>
                </c:pt>
                <c:pt idx="131">
                  <c:v>3.2959320848885998</c:v>
                </c:pt>
                <c:pt idx="132">
                  <c:v>3.2959993570043098</c:v>
                </c:pt>
                <c:pt idx="133">
                  <c:v>3.2958380468523898</c:v>
                </c:pt>
                <c:pt idx="134">
                  <c:v>3.2957294280392802</c:v>
                </c:pt>
                <c:pt idx="135">
                  <c:v>3.2942466394425298</c:v>
                </c:pt>
                <c:pt idx="136">
                  <c:v>3.2924918075740601</c:v>
                </c:pt>
                <c:pt idx="137">
                  <c:v>3.29082907611265</c:v>
                </c:pt>
                <c:pt idx="138">
                  <c:v>3.29088594782431</c:v>
                </c:pt>
                <c:pt idx="139">
                  <c:v>3.2911005555165498</c:v>
                </c:pt>
                <c:pt idx="140">
                  <c:v>3.2911436546261399</c:v>
                </c:pt>
                <c:pt idx="141">
                  <c:v>3.2912562463313901</c:v>
                </c:pt>
                <c:pt idx="142">
                  <c:v>3.29112332338689</c:v>
                </c:pt>
                <c:pt idx="143">
                  <c:v>3.2911878434582098</c:v>
                </c:pt>
                <c:pt idx="144">
                  <c:v>3.29131181162361</c:v>
                </c:pt>
                <c:pt idx="145">
                  <c:v>3.2916223422374702</c:v>
                </c:pt>
                <c:pt idx="146">
                  <c:v>3.2917216538892702</c:v>
                </c:pt>
                <c:pt idx="147">
                  <c:v>3.29168937118052</c:v>
                </c:pt>
                <c:pt idx="148">
                  <c:v>3.2915708917050499</c:v>
                </c:pt>
                <c:pt idx="149">
                  <c:v>3.2914444718363098</c:v>
                </c:pt>
                <c:pt idx="150">
                  <c:v>3.2915078216671301</c:v>
                </c:pt>
                <c:pt idx="151">
                  <c:v>3.2914431961552899</c:v>
                </c:pt>
                <c:pt idx="152">
                  <c:v>3.2915708344053001</c:v>
                </c:pt>
                <c:pt idx="153">
                  <c:v>3.2917204051509401</c:v>
                </c:pt>
                <c:pt idx="154">
                  <c:v>3.2919297018218598</c:v>
                </c:pt>
                <c:pt idx="155">
                  <c:v>3.2920089859511301</c:v>
                </c:pt>
                <c:pt idx="156">
                  <c:v>3.2921348347611898</c:v>
                </c:pt>
                <c:pt idx="157">
                  <c:v>3.29221949452702</c:v>
                </c:pt>
                <c:pt idx="158">
                  <c:v>3.2922341718630102</c:v>
                </c:pt>
                <c:pt idx="159">
                  <c:v>3.2921738203152402</c:v>
                </c:pt>
                <c:pt idx="160">
                  <c:v>3.2922435002080599</c:v>
                </c:pt>
                <c:pt idx="161">
                  <c:v>3.2923182740354999</c:v>
                </c:pt>
                <c:pt idx="162">
                  <c:v>3.2925742417042598</c:v>
                </c:pt>
                <c:pt idx="163">
                  <c:v>3.2928003009763702</c:v>
                </c:pt>
                <c:pt idx="164">
                  <c:v>3.29280416066839</c:v>
                </c:pt>
                <c:pt idx="165">
                  <c:v>3.29297972193174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FREL* x avg / VNQ*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2.1594916886071301E-4</c:v>
                </c:pt>
                <c:pt idx="2">
                  <c:v>3.0998584260988701E-4</c:v>
                </c:pt>
                <c:pt idx="3">
                  <c:v>4.6991312285556299E-4</c:v>
                </c:pt>
                <c:pt idx="4">
                  <c:v>4.68621997681347E-4</c:v>
                </c:pt>
                <c:pt idx="5">
                  <c:v>1.0315945984130501E-3</c:v>
                </c:pt>
                <c:pt idx="6">
                  <c:v>1.1607695277905401E-3</c:v>
                </c:pt>
                <c:pt idx="7">
                  <c:v>7.2164405292016696E-4</c:v>
                </c:pt>
                <c:pt idx="8">
                  <c:v>1.1902200840355E-3</c:v>
                </c:pt>
                <c:pt idx="9">
                  <c:v>7.7469082036385603E-4</c:v>
                </c:pt>
                <c:pt idx="10">
                  <c:v>1.1154250932019099E-3</c:v>
                </c:pt>
                <c:pt idx="11">
                  <c:v>1.58372164087668E-3</c:v>
                </c:pt>
                <c:pt idx="12">
                  <c:v>1.60155499531345E-3</c:v>
                </c:pt>
                <c:pt idx="13">
                  <c:v>1.37477061031224E-3</c:v>
                </c:pt>
                <c:pt idx="14">
                  <c:v>8.3926591329631505E-4</c:v>
                </c:pt>
                <c:pt idx="15">
                  <c:v>7.1098034365557801E-4</c:v>
                </c:pt>
                <c:pt idx="16">
                  <c:v>1.0428203997952001E-3</c:v>
                </c:pt>
                <c:pt idx="17">
                  <c:v>4.07805574261747E-4</c:v>
                </c:pt>
                <c:pt idx="18">
                  <c:v>4.15836374571086E-4</c:v>
                </c:pt>
                <c:pt idx="19">
                  <c:v>5.1209747791318698E-4</c:v>
                </c:pt>
                <c:pt idx="20">
                  <c:v>-1.45740658007652E-5</c:v>
                </c:pt>
                <c:pt idx="21">
                  <c:v>1.1136823970593101E-3</c:v>
                </c:pt>
                <c:pt idx="22">
                  <c:v>1.0338178601786499E-3</c:v>
                </c:pt>
                <c:pt idx="23">
                  <c:v>1.01649512822418E-3</c:v>
                </c:pt>
                <c:pt idx="24">
                  <c:v>1.3425284419038699E-4</c:v>
                </c:pt>
                <c:pt idx="25">
                  <c:v>-1.6639646695356701E-4</c:v>
                </c:pt>
                <c:pt idx="26">
                  <c:v>-7.4622761703979201E-4</c:v>
                </c:pt>
                <c:pt idx="27">
                  <c:v>9.3967860956205003E-4</c:v>
                </c:pt>
                <c:pt idx="28">
                  <c:v>-3.5096454415060901E-4</c:v>
                </c:pt>
                <c:pt idx="29">
                  <c:v>1.0810562208509999E-4</c:v>
                </c:pt>
                <c:pt idx="30">
                  <c:v>3.3706302716769102E-4</c:v>
                </c:pt>
                <c:pt idx="31">
                  <c:v>3.4604871800282799E-4</c:v>
                </c:pt>
                <c:pt idx="32">
                  <c:v>1.0714544440177001E-3</c:v>
                </c:pt>
                <c:pt idx="33">
                  <c:v>-1.7239129701202501E-4</c:v>
                </c:pt>
                <c:pt idx="34">
                  <c:v>6.9259441674921404E-5</c:v>
                </c:pt>
                <c:pt idx="35">
                  <c:v>-3.0867884255538699E-5</c:v>
                </c:pt>
                <c:pt idx="36">
                  <c:v>-7.6143392473492703E-4</c:v>
                </c:pt>
                <c:pt idx="37">
                  <c:v>-6.6671185476172099E-4</c:v>
                </c:pt>
                <c:pt idx="38">
                  <c:v>-3.3146793068737103E-5</c:v>
                </c:pt>
                <c:pt idx="39">
                  <c:v>-4.7554064540489602E-4</c:v>
                </c:pt>
                <c:pt idx="40">
                  <c:v>-6.54637714479267E-4</c:v>
                </c:pt>
                <c:pt idx="41">
                  <c:v>-1.8641497253719499E-4</c:v>
                </c:pt>
                <c:pt idx="42">
                  <c:v>9.0972488359579201E-4</c:v>
                </c:pt>
                <c:pt idx="43">
                  <c:v>-3.8891269697225199E-4</c:v>
                </c:pt>
                <c:pt idx="44">
                  <c:v>-1.6942968279039399E-4</c:v>
                </c:pt>
                <c:pt idx="45">
                  <c:v>-4.32918347003863E-4</c:v>
                </c:pt>
                <c:pt idx="46">
                  <c:v>-9.8557295696225303E-4</c:v>
                </c:pt>
                <c:pt idx="47">
                  <c:v>-8.3599404413213995E-4</c:v>
                </c:pt>
                <c:pt idx="48">
                  <c:v>-1.39100249050689E-3</c:v>
                </c:pt>
                <c:pt idx="49">
                  <c:v>-1.51602024274773E-3</c:v>
                </c:pt>
                <c:pt idx="50">
                  <c:v>-2.0223603522276801E-3</c:v>
                </c:pt>
                <c:pt idx="51">
                  <c:v>-2.4437366873550498E-3</c:v>
                </c:pt>
                <c:pt idx="52">
                  <c:v>-9.2785680451788505E-4</c:v>
                </c:pt>
                <c:pt idx="53">
                  <c:v>-1.60746876074472E-3</c:v>
                </c:pt>
                <c:pt idx="54">
                  <c:v>-1.9473510402488699E-3</c:v>
                </c:pt>
                <c:pt idx="55">
                  <c:v>-3.0660559068832897E-4</c:v>
                </c:pt>
                <c:pt idx="56">
                  <c:v>-2.59644711331487E-4</c:v>
                </c:pt>
                <c:pt idx="57">
                  <c:v>-1.8083021533020798E-5</c:v>
                </c:pt>
                <c:pt idx="58">
                  <c:v>-6.8824704438274196E-5</c:v>
                </c:pt>
                <c:pt idx="59">
                  <c:v>3.0011657997296398E-4</c:v>
                </c:pt>
                <c:pt idx="60">
                  <c:v>-1.0439297207533E-3</c:v>
                </c:pt>
                <c:pt idx="61">
                  <c:v>-1.30620272741302E-3</c:v>
                </c:pt>
                <c:pt idx="62">
                  <c:v>-4.6598787545653198E-4</c:v>
                </c:pt>
                <c:pt idx="63">
                  <c:v>-8.1102260966809205E-4</c:v>
                </c:pt>
                <c:pt idx="64">
                  <c:v>-7.9095216725070497E-4</c:v>
                </c:pt>
                <c:pt idx="65">
                  <c:v>-5.9916273090887496E-4</c:v>
                </c:pt>
                <c:pt idx="66">
                  <c:v>-6.1057317778989695E-4</c:v>
                </c:pt>
                <c:pt idx="67">
                  <c:v>-2.8117914107470498E-4</c:v>
                </c:pt>
                <c:pt idx="68">
                  <c:v>-1.4937045915482599E-4</c:v>
                </c:pt>
                <c:pt idx="69">
                  <c:v>-8.5747208170853595E-4</c:v>
                </c:pt>
                <c:pt idx="70">
                  <c:v>-2.02025511596286E-4</c:v>
                </c:pt>
                <c:pt idx="71">
                  <c:v>-1.0386969039470101E-3</c:v>
                </c:pt>
                <c:pt idx="72">
                  <c:v>-3.9601470521078498E-4</c:v>
                </c:pt>
                <c:pt idx="73">
                  <c:v>-6.0830408364636603E-4</c:v>
                </c:pt>
                <c:pt idx="74">
                  <c:v>-1.2291860653138201E-3</c:v>
                </c:pt>
                <c:pt idx="75">
                  <c:v>-5.4482746946746599E-4</c:v>
                </c:pt>
                <c:pt idx="76">
                  <c:v>-1.38796758862947E-3</c:v>
                </c:pt>
                <c:pt idx="77">
                  <c:v>-1.81630132604639E-3</c:v>
                </c:pt>
                <c:pt idx="78">
                  <c:v>-1.8985486922780499E-3</c:v>
                </c:pt>
                <c:pt idx="79">
                  <c:v>-9.9245357425413092E-4</c:v>
                </c:pt>
                <c:pt idx="80">
                  <c:v>-1.0776061358317101E-3</c:v>
                </c:pt>
                <c:pt idx="81">
                  <c:v>-1.5506855139165701E-3</c:v>
                </c:pt>
                <c:pt idx="82">
                  <c:v>-8.0008858421092705E-4</c:v>
                </c:pt>
                <c:pt idx="83">
                  <c:v>-1.07374920426876E-3</c:v>
                </c:pt>
                <c:pt idx="84">
                  <c:v>-1.10858309583144E-3</c:v>
                </c:pt>
                <c:pt idx="85">
                  <c:v>-5.4759177648413399E-4</c:v>
                </c:pt>
                <c:pt idx="86">
                  <c:v>5.6169389973140596E-4</c:v>
                </c:pt>
                <c:pt idx="87">
                  <c:v>2.2478200381096701E-4</c:v>
                </c:pt>
                <c:pt idx="88">
                  <c:v>-4.9944336538456399E-4</c:v>
                </c:pt>
                <c:pt idx="89">
                  <c:v>1.8175557103879901E-4</c:v>
                </c:pt>
                <c:pt idx="90">
                  <c:v>-5.8482981138447397E-5</c:v>
                </c:pt>
                <c:pt idx="91">
                  <c:v>-2.9693617123736498E-4</c:v>
                </c:pt>
                <c:pt idx="92">
                  <c:v>-7.1479468595133896E-4</c:v>
                </c:pt>
                <c:pt idx="93">
                  <c:v>-1.5416140858354299E-4</c:v>
                </c:pt>
                <c:pt idx="94">
                  <c:v>1.2279101225938499E-4</c:v>
                </c:pt>
                <c:pt idx="95">
                  <c:v>-1.3386515330466499E-4</c:v>
                </c:pt>
                <c:pt idx="96">
                  <c:v>4.8082125766734698E-5</c:v>
                </c:pt>
                <c:pt idx="97">
                  <c:v>3.7564030775084797E-4</c:v>
                </c:pt>
                <c:pt idx="98">
                  <c:v>1.48238994487886E-4</c:v>
                </c:pt>
                <c:pt idx="99">
                  <c:v>8.6550994212532305E-4</c:v>
                </c:pt>
                <c:pt idx="100">
                  <c:v>6.0875869627847296E-4</c:v>
                </c:pt>
                <c:pt idx="101">
                  <c:v>2.0641096784203199E-4</c:v>
                </c:pt>
                <c:pt idx="102">
                  <c:v>5.2323017151212695E-4</c:v>
                </c:pt>
                <c:pt idx="103">
                  <c:v>1.5203667023158099E-4</c:v>
                </c:pt>
                <c:pt idx="104">
                  <c:v>-7.7724993180554999E-5</c:v>
                </c:pt>
                <c:pt idx="105">
                  <c:v>-1.87778025641167E-4</c:v>
                </c:pt>
                <c:pt idx="106">
                  <c:v>5.09064260872387E-4</c:v>
                </c:pt>
                <c:pt idx="107">
                  <c:v>1.2357108825628599E-3</c:v>
                </c:pt>
                <c:pt idx="108">
                  <c:v>1.2705912052342601E-3</c:v>
                </c:pt>
                <c:pt idx="109">
                  <c:v>1.1682108621706899E-3</c:v>
                </c:pt>
                <c:pt idx="110">
                  <c:v>2.0017311282673799E-4</c:v>
                </c:pt>
                <c:pt idx="111">
                  <c:v>1.0892535498366301E-3</c:v>
                </c:pt>
                <c:pt idx="112">
                  <c:v>7.4557675476142303E-4</c:v>
                </c:pt>
                <c:pt idx="113">
                  <c:v>-3.6036633943610697E-4</c:v>
                </c:pt>
                <c:pt idx="114">
                  <c:v>4.5906105653151902E-4</c:v>
                </c:pt>
                <c:pt idx="115">
                  <c:v>7.4116280440127504E-4</c:v>
                </c:pt>
                <c:pt idx="116">
                  <c:v>-7.2611770492278201E-4</c:v>
                </c:pt>
                <c:pt idx="117">
                  <c:v>-2.3523052591616899E-4</c:v>
                </c:pt>
                <c:pt idx="118">
                  <c:v>2.7672563237711797E-4</c:v>
                </c:pt>
                <c:pt idx="119">
                  <c:v>4.5686509641825899E-4</c:v>
                </c:pt>
                <c:pt idx="120">
                  <c:v>1.3392731546265401E-4</c:v>
                </c:pt>
                <c:pt idx="121">
                  <c:v>7.3567266015293095E-4</c:v>
                </c:pt>
                <c:pt idx="122">
                  <c:v>4.8815435669462298E-4</c:v>
                </c:pt>
                <c:pt idx="123">
                  <c:v>1.21870420509325E-3</c:v>
                </c:pt>
                <c:pt idx="124">
                  <c:v>7.1922209975556703E-4</c:v>
                </c:pt>
                <c:pt idx="125">
                  <c:v>1.9723118201617502E-3</c:v>
                </c:pt>
                <c:pt idx="126">
                  <c:v>1.53851266236586E-3</c:v>
                </c:pt>
                <c:pt idx="127">
                  <c:v>4.0575313933836302E-4</c:v>
                </c:pt>
                <c:pt idx="128">
                  <c:v>1.3083430109731101E-4</c:v>
                </c:pt>
                <c:pt idx="129">
                  <c:v>-2.0277920724842E-4</c:v>
                </c:pt>
                <c:pt idx="130">
                  <c:v>-2.9594138855108701E-5</c:v>
                </c:pt>
                <c:pt idx="131">
                  <c:v>2.7272616399350101E-4</c:v>
                </c:pt>
                <c:pt idx="132">
                  <c:v>3.3674600499482402E-4</c:v>
                </c:pt>
                <c:pt idx="133">
                  <c:v>6.19555442874734E-4</c:v>
                </c:pt>
                <c:pt idx="134">
                  <c:v>1.1193305544816999E-3</c:v>
                </c:pt>
                <c:pt idx="135">
                  <c:v>2.6533276535559098E-4</c:v>
                </c:pt>
                <c:pt idx="136">
                  <c:v>5.2491717642901903E-4</c:v>
                </c:pt>
                <c:pt idx="137">
                  <c:v>5.8903556464299904E-4</c:v>
                </c:pt>
                <c:pt idx="138">
                  <c:v>-6.8747999377892803E-5</c:v>
                </c:pt>
                <c:pt idx="139">
                  <c:v>-8.4640404707202297E-4</c:v>
                </c:pt>
                <c:pt idx="140">
                  <c:v>-1.2785666167662899E-4</c:v>
                </c:pt>
                <c:pt idx="141">
                  <c:v>5.15235407876541E-5</c:v>
                </c:pt>
                <c:pt idx="142">
                  <c:v>1.2962464650732601E-3</c:v>
                </c:pt>
                <c:pt idx="143">
                  <c:v>8.2640956602991202E-4</c:v>
                </c:pt>
                <c:pt idx="144">
                  <c:v>-3.4016211392087199E-5</c:v>
                </c:pt>
                <c:pt idx="145">
                  <c:v>8.4214512981088303E-5</c:v>
                </c:pt>
                <c:pt idx="146">
                  <c:v>9.3454920318830604E-4</c:v>
                </c:pt>
                <c:pt idx="147">
                  <c:v>6.0193652757899196E-4</c:v>
                </c:pt>
                <c:pt idx="148">
                  <c:v>8.5082970741306096E-4</c:v>
                </c:pt>
                <c:pt idx="149">
                  <c:v>5.6523185670276799E-4</c:v>
                </c:pt>
                <c:pt idx="150">
                  <c:v>-4.1429442916077799E-4</c:v>
                </c:pt>
                <c:pt idx="151">
                  <c:v>6.6544448342154602E-4</c:v>
                </c:pt>
                <c:pt idx="152">
                  <c:v>-4.3848687469796302E-4</c:v>
                </c:pt>
                <c:pt idx="153">
                  <c:v>-2.8908455665809901E-4</c:v>
                </c:pt>
                <c:pt idx="154">
                  <c:v>-1.52548079850619E-4</c:v>
                </c:pt>
                <c:pt idx="155">
                  <c:v>-2.1624936282394801E-4</c:v>
                </c:pt>
                <c:pt idx="156">
                  <c:v>-2.3959517514937E-4</c:v>
                </c:pt>
                <c:pt idx="157">
                  <c:v>7.4643073186646505E-5</c:v>
                </c:pt>
                <c:pt idx="158">
                  <c:v>-1.57887761141356E-4</c:v>
                </c:pt>
                <c:pt idx="159">
                  <c:v>-4.8007292543645198E-4</c:v>
                </c:pt>
                <c:pt idx="160">
                  <c:v>-5.5094739833718299E-4</c:v>
                </c:pt>
                <c:pt idx="161">
                  <c:v>-4.0257156912391602E-4</c:v>
                </c:pt>
                <c:pt idx="162">
                  <c:v>-2.5930249678930901E-4</c:v>
                </c:pt>
                <c:pt idx="163">
                  <c:v>-5.4686203883586796E-4</c:v>
                </c:pt>
                <c:pt idx="164">
                  <c:v>-5.74588361251547E-5</c:v>
                </c:pt>
                <c:pt idx="165">
                  <c:v>-9.8166286502590194E-4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FREL* x 10 dma / VNQ*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4.5675379788349702E-4</c:v>
                </c:pt>
                <c:pt idx="11">
                  <c:v>8.3790086295624795E-4</c:v>
                </c:pt>
                <c:pt idx="12">
                  <c:v>7.1896867162500903E-4</c:v>
                </c:pt>
                <c:pt idx="13">
                  <c:v>3.6302847401026398E-4</c:v>
                </c:pt>
                <c:pt idx="14">
                  <c:v>-2.6297415946507902E-4</c:v>
                </c:pt>
                <c:pt idx="15">
                  <c:v>-4.2834142794524998E-4</c:v>
                </c:pt>
                <c:pt idx="16">
                  <c:v>-6.4431865710936497E-5</c:v>
                </c:pt>
                <c:pt idx="17">
                  <c:v>-6.8765178362980195E-4</c:v>
                </c:pt>
                <c:pt idx="18">
                  <c:v>-6.4822096746108501E-4</c:v>
                </c:pt>
                <c:pt idx="19">
                  <c:v>-4.7450427469104101E-4</c:v>
                </c:pt>
                <c:pt idx="20">
                  <c:v>-9.7490781514156201E-4</c:v>
                </c:pt>
                <c:pt idx="21">
                  <c:v>2.6638850947815497E-4</c:v>
                </c:pt>
                <c:pt idx="22">
                  <c:v>2.33503231626616E-4</c:v>
                </c:pt>
                <c:pt idx="23">
                  <c:v>2.7292323852704198E-4</c:v>
                </c:pt>
                <c:pt idx="24">
                  <c:v>-5.7350833089397099E-4</c:v>
                </c:pt>
                <c:pt idx="25">
                  <c:v>-8.0364323722880002E-4</c:v>
                </c:pt>
                <c:pt idx="26">
                  <c:v>-1.2957085288400499E-3</c:v>
                </c:pt>
                <c:pt idx="27">
                  <c:v>5.6915829714684701E-4</c:v>
                </c:pt>
                <c:pt idx="28">
                  <c:v>-7.7465744925599904E-4</c:v>
                </c:pt>
                <c:pt idx="29">
                  <c:v>-2.3888012384609101E-4</c:v>
                </c:pt>
                <c:pt idx="30">
                  <c:v>3.0477141127624499E-5</c:v>
                </c:pt>
                <c:pt idx="31">
                  <c:v>4.29339293295533E-6</c:v>
                </c:pt>
                <c:pt idx="32">
                  <c:v>8.0642975799877302E-4</c:v>
                </c:pt>
                <c:pt idx="33">
                  <c:v>-4.4117668535327797E-4</c:v>
                </c:pt>
                <c:pt idx="34">
                  <c:v>-8.0662581924462198E-5</c:v>
                </c:pt>
                <c:pt idx="35">
                  <c:v>-1.7429027567100199E-4</c:v>
                </c:pt>
                <c:pt idx="36">
                  <c:v>-9.1841254724423101E-4</c:v>
                </c:pt>
                <c:pt idx="37">
                  <c:v>-8.2216846202402296E-4</c:v>
                </c:pt>
                <c:pt idx="38">
                  <c:v>-2.7974190317858902E-5</c:v>
                </c:pt>
                <c:pt idx="39">
                  <c:v>-5.0215626316694702E-4</c:v>
                </c:pt>
                <c:pt idx="40">
                  <c:v>-6.2287813122303796E-4</c:v>
                </c:pt>
                <c:pt idx="41">
                  <c:v>-5.5477631175917302E-5</c:v>
                </c:pt>
                <c:pt idx="42">
                  <c:v>1.0938959569853799E-3</c:v>
                </c:pt>
                <c:pt idx="43">
                  <c:v>-1.8858778619519501E-4</c:v>
                </c:pt>
                <c:pt idx="44">
                  <c:v>5.2548872906400603E-5</c:v>
                </c:pt>
                <c:pt idx="45">
                  <c:v>-1.8707526612083301E-4</c:v>
                </c:pt>
                <c:pt idx="46">
                  <c:v>-6.9952619856714895E-4</c:v>
                </c:pt>
                <c:pt idx="47">
                  <c:v>-5.2752046288495505E-4</c:v>
                </c:pt>
                <c:pt idx="48">
                  <c:v>-1.06559333489091E-3</c:v>
                </c:pt>
                <c:pt idx="49">
                  <c:v>-1.0547822183655201E-3</c:v>
                </c:pt>
                <c:pt idx="50">
                  <c:v>-1.45702414890294E-3</c:v>
                </c:pt>
                <c:pt idx="51">
                  <c:v>-1.7415317884126699E-3</c:v>
                </c:pt>
                <c:pt idx="52">
                  <c:v>1.93196024945104E-7</c:v>
                </c:pt>
                <c:pt idx="53">
                  <c:v>-4.9584620928535997E-4</c:v>
                </c:pt>
                <c:pt idx="54">
                  <c:v>-7.1389411850182496E-4</c:v>
                </c:pt>
                <c:pt idx="55">
                  <c:v>1.1045965698631699E-3</c:v>
                </c:pt>
                <c:pt idx="56">
                  <c:v>1.13893924184135E-3</c:v>
                </c:pt>
                <c:pt idx="57">
                  <c:v>1.3079617829595399E-3</c:v>
                </c:pt>
                <c:pt idx="58">
                  <c:v>1.1754991541223299E-3</c:v>
                </c:pt>
                <c:pt idx="59">
                  <c:v>1.41228191443945E-3</c:v>
                </c:pt>
                <c:pt idx="60">
                  <c:v>-1.13303021657709E-4</c:v>
                </c:pt>
                <c:pt idx="61">
                  <c:v>-4.73482858090716E-4</c:v>
                </c:pt>
                <c:pt idx="62">
                  <c:v>2.5285348655696701E-4</c:v>
                </c:pt>
                <c:pt idx="63">
                  <c:v>-1.38368195211659E-4</c:v>
                </c:pt>
                <c:pt idx="64">
                  <c:v>-1.9798829328822001E-4</c:v>
                </c:pt>
                <c:pt idx="65">
                  <c:v>-1.21935240996789E-4</c:v>
                </c:pt>
                <c:pt idx="66">
                  <c:v>-1.0409111384331701E-4</c:v>
                </c:pt>
                <c:pt idx="67">
                  <c:v>2.6039264944950798E-4</c:v>
                </c:pt>
                <c:pt idx="68">
                  <c:v>4.1850028779145601E-4</c:v>
                </c:pt>
                <c:pt idx="69">
                  <c:v>-2.8155048607207499E-4</c:v>
                </c:pt>
                <c:pt idx="70">
                  <c:v>4.8961385761281699E-4</c:v>
                </c:pt>
                <c:pt idx="71">
                  <c:v>-4.31245721402607E-4</c:v>
                </c:pt>
                <c:pt idx="72">
                  <c:v>1.8467041838667099E-4</c:v>
                </c:pt>
                <c:pt idx="73">
                  <c:v>-3.4615254242207799E-5</c:v>
                </c:pt>
                <c:pt idx="74">
                  <c:v>-6.7577205072171897E-4</c:v>
                </c:pt>
                <c:pt idx="75">
                  <c:v>5.2428990931950902E-5</c:v>
                </c:pt>
                <c:pt idx="76">
                  <c:v>-7.9614453187912704E-4</c:v>
                </c:pt>
                <c:pt idx="77">
                  <c:v>-1.1467101690898901E-3</c:v>
                </c:pt>
                <c:pt idx="78">
                  <c:v>-1.0753988774276E-3</c:v>
                </c:pt>
                <c:pt idx="79">
                  <c:v>5.6339124586815799E-6</c:v>
                </c:pt>
                <c:pt idx="80">
                  <c:v>-6.6021577951505403E-5</c:v>
                </c:pt>
                <c:pt idx="81">
                  <c:v>-4.5157926625193897E-4</c:v>
                </c:pt>
                <c:pt idx="82">
                  <c:v>3.5022522858693E-4</c:v>
                </c:pt>
                <c:pt idx="83">
                  <c:v>1.1694887193775899E-4</c:v>
                </c:pt>
                <c:pt idx="84">
                  <c:v>1.28642138011114E-4</c:v>
                </c:pt>
                <c:pt idx="85">
                  <c:v>6.7757391186725304E-4</c:v>
                </c:pt>
                <c:pt idx="86">
                  <c:v>1.7871358311259799E-3</c:v>
                </c:pt>
                <c:pt idx="87">
                  <c:v>1.25539708568567E-3</c:v>
                </c:pt>
                <c:pt idx="88">
                  <c:v>3.2709045523853002E-4</c:v>
                </c:pt>
                <c:pt idx="89">
                  <c:v>8.6831693077708697E-4</c:v>
                </c:pt>
                <c:pt idx="90">
                  <c:v>5.1068358239718501E-4</c:v>
                </c:pt>
                <c:pt idx="91">
                  <c:v>1.7031299336302399E-4</c:v>
                </c:pt>
                <c:pt idx="92">
                  <c:v>-3.7298558556918401E-4</c:v>
                </c:pt>
                <c:pt idx="93">
                  <c:v>1.79114719735517E-4</c:v>
                </c:pt>
                <c:pt idx="94">
                  <c:v>3.6407831238877402E-4</c:v>
                </c:pt>
                <c:pt idx="95">
                  <c:v>-1.5753843963650301E-5</c:v>
                </c:pt>
                <c:pt idx="96">
                  <c:v>1.24810704951727E-4</c:v>
                </c:pt>
                <c:pt idx="97">
                  <c:v>5.0370915042449596E-4</c:v>
                </c:pt>
                <c:pt idx="98">
                  <c:v>2.6122835263475198E-4</c:v>
                </c:pt>
                <c:pt idx="99">
                  <c:v>9.1372490988752501E-4</c:v>
                </c:pt>
                <c:pt idx="100">
                  <c:v>5.8863497972671001E-4</c:v>
                </c:pt>
                <c:pt idx="101">
                  <c:v>1.19577870727059E-4</c:v>
                </c:pt>
                <c:pt idx="102">
                  <c:v>3.8605444335010401E-4</c:v>
                </c:pt>
                <c:pt idx="103">
                  <c:v>-1.08978063455056E-4</c:v>
                </c:pt>
                <c:pt idx="104">
                  <c:v>-3.69368029712312E-4</c:v>
                </c:pt>
                <c:pt idx="105">
                  <c:v>-4.5936426592139198E-4</c:v>
                </c:pt>
                <c:pt idx="106">
                  <c:v>2.42871625020045E-4</c:v>
                </c:pt>
                <c:pt idx="107">
                  <c:v>9.2341954098052695E-4</c:v>
                </c:pt>
                <c:pt idx="108">
                  <c:v>8.7233153241121002E-4</c:v>
                </c:pt>
                <c:pt idx="109">
                  <c:v>6.5774458462399899E-4</c:v>
                </c:pt>
                <c:pt idx="110">
                  <c:v>-3.4054838980827602E-4</c:v>
                </c:pt>
                <c:pt idx="111">
                  <c:v>5.8939533850196901E-4</c:v>
                </c:pt>
                <c:pt idx="112">
                  <c:v>1.5744344904182299E-4</c:v>
                </c:pt>
                <c:pt idx="113">
                  <c:v>-9.7073352192015498E-4</c:v>
                </c:pt>
                <c:pt idx="114">
                  <c:v>-1.00030513122096E-4</c:v>
                </c:pt>
                <c:pt idx="115">
                  <c:v>1.2837140721680499E-4</c:v>
                </c:pt>
                <c:pt idx="116">
                  <c:v>-1.43183873313377E-3</c:v>
                </c:pt>
                <c:pt idx="117">
                  <c:v>-8.1734037449475005E-4</c:v>
                </c:pt>
                <c:pt idx="118">
                  <c:v>-1.5828883810527501E-4</c:v>
                </c:pt>
                <c:pt idx="119">
                  <c:v>1.21198601178859E-4</c:v>
                </c:pt>
                <c:pt idx="120">
                  <c:v>-1.3064104319880101E-4</c:v>
                </c:pt>
                <c:pt idx="121">
                  <c:v>4.7772950533072402E-4</c:v>
                </c:pt>
                <c:pt idx="122">
                  <c:v>2.6554553175732102E-4</c:v>
                </c:pt>
                <c:pt idx="123">
                  <c:v>1.02182714191819E-3</c:v>
                </c:pt>
                <c:pt idx="124">
                  <c:v>3.6446217914812501E-4</c:v>
                </c:pt>
                <c:pt idx="125">
                  <c:v>1.59154155387554E-3</c:v>
                </c:pt>
                <c:pt idx="126">
                  <c:v>1.03474001972533E-3</c:v>
                </c:pt>
                <c:pt idx="127">
                  <c:v>-3.2453033831687599E-4</c:v>
                </c:pt>
                <c:pt idx="128">
                  <c:v>-6.6359095942611801E-4</c:v>
                </c:pt>
                <c:pt idx="129">
                  <c:v>-9.8260682162901809E-4</c:v>
                </c:pt>
                <c:pt idx="130">
                  <c:v>-7.4341642544517995E-4</c:v>
                </c:pt>
                <c:pt idx="131">
                  <c:v>-4.2473328794799699E-4</c:v>
                </c:pt>
                <c:pt idx="132">
                  <c:v>-3.1441092112543298E-4</c:v>
                </c:pt>
                <c:pt idx="133">
                  <c:v>-1.64571480861772E-5</c:v>
                </c:pt>
                <c:pt idx="134">
                  <c:v>5.4321408629695296E-4</c:v>
                </c:pt>
                <c:pt idx="135">
                  <c:v>-3.5078162071411697E-4</c:v>
                </c:pt>
                <c:pt idx="136">
                  <c:v>7.9400374336897802E-5</c:v>
                </c:pt>
                <c:pt idx="137">
                  <c:v>2.4481378560187303E-4</c:v>
                </c:pt>
                <c:pt idx="138">
                  <c:v>-4.3129538171889802E-4</c:v>
                </c:pt>
                <c:pt idx="139">
                  <c:v>-1.1889867812927299E-3</c:v>
                </c:pt>
                <c:pt idx="140">
                  <c:v>-4.0602314787132102E-4</c:v>
                </c:pt>
                <c:pt idx="141">
                  <c:v>-2.16813233897067E-4</c:v>
                </c:pt>
                <c:pt idx="142">
                  <c:v>1.05003205761338E-3</c:v>
                </c:pt>
                <c:pt idx="143">
                  <c:v>4.8429521359881998E-4</c:v>
                </c:pt>
                <c:pt idx="144">
                  <c:v>-3.9680831304410102E-4</c:v>
                </c:pt>
                <c:pt idx="145">
                  <c:v>-1.6327029664769401E-4</c:v>
                </c:pt>
                <c:pt idx="146">
                  <c:v>7.0517737176069295E-4</c:v>
                </c:pt>
                <c:pt idx="147">
                  <c:v>3.3162114629009802E-4</c:v>
                </c:pt>
                <c:pt idx="148">
                  <c:v>5.7922464843211696E-4</c:v>
                </c:pt>
                <c:pt idx="149">
                  <c:v>2.0167577883149299E-4</c:v>
                </c:pt>
                <c:pt idx="150">
                  <c:v>-9.19095268168893E-4</c:v>
                </c:pt>
                <c:pt idx="151">
                  <c:v>1.8930924305121701E-4</c:v>
                </c:pt>
                <c:pt idx="152">
                  <c:v>-9.7602331859137996E-4</c:v>
                </c:pt>
                <c:pt idx="153">
                  <c:v>-6.5314384279783295E-4</c:v>
                </c:pt>
                <c:pt idx="154">
                  <c:v>-4.0505352833589597E-4</c:v>
                </c:pt>
                <c:pt idx="155">
                  <c:v>-4.5689759535957701E-4</c:v>
                </c:pt>
                <c:pt idx="156">
                  <c:v>-4.5018825604379599E-4</c:v>
                </c:pt>
                <c:pt idx="157">
                  <c:v>-1.8558524830456602E-5</c:v>
                </c:pt>
                <c:pt idx="158">
                  <c:v>-1.98374324327324E-4</c:v>
                </c:pt>
                <c:pt idx="159">
                  <c:v>-4.1972368205288698E-4</c:v>
                </c:pt>
                <c:pt idx="160">
                  <c:v>-3.8608389242039801E-4</c:v>
                </c:pt>
                <c:pt idx="161">
                  <c:v>-2.2403851676801201E-4</c:v>
                </c:pt>
                <c:pt idx="162">
                  <c:v>2.5993366432784299E-5</c:v>
                </c:pt>
                <c:pt idx="163">
                  <c:v>-2.7948591361406E-4</c:v>
                </c:pt>
                <c:pt idx="164">
                  <c:v>2.35698587393771E-4</c:v>
                </c:pt>
                <c:pt idx="165">
                  <c:v>-6.9801262210276104E-4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FREL* x 20 dma / VNQ*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-8.2406521310084797E-4</c:v>
                </c:pt>
                <c:pt idx="21">
                  <c:v>3.1712635140773498E-4</c:v>
                </c:pt>
                <c:pt idx="22">
                  <c:v>1.9236823013734299E-4</c:v>
                </c:pt>
                <c:pt idx="23">
                  <c:v>1.38847104634734E-4</c:v>
                </c:pt>
                <c:pt idx="24">
                  <c:v>-7.7072832803262898E-4</c:v>
                </c:pt>
                <c:pt idx="25">
                  <c:v>-1.05464922797857E-3</c:v>
                </c:pt>
                <c:pt idx="26">
                  <c:v>-1.57455531708314E-3</c:v>
                </c:pt>
                <c:pt idx="27">
                  <c:v>2.0675546612208601E-4</c:v>
                </c:pt>
                <c:pt idx="28">
                  <c:v>-1.0947884093936799E-3</c:v>
                </c:pt>
                <c:pt idx="29">
                  <c:v>-5.5863698860398497E-4</c:v>
                </c:pt>
                <c:pt idx="30">
                  <c:v>-2.9634336724022501E-4</c:v>
                </c:pt>
                <c:pt idx="31">
                  <c:v>-2.48443942168171E-4</c:v>
                </c:pt>
                <c:pt idx="32">
                  <c:v>5.3882060364723199E-4</c:v>
                </c:pt>
                <c:pt idx="33">
                  <c:v>-6.7854175825384302E-4</c:v>
                </c:pt>
                <c:pt idx="34">
                  <c:v>-3.5954325960264698E-4</c:v>
                </c:pt>
                <c:pt idx="35">
                  <c:v>-4.2117198228654401E-4</c:v>
                </c:pt>
                <c:pt idx="36">
                  <c:v>-1.1146444346339099E-3</c:v>
                </c:pt>
                <c:pt idx="37">
                  <c:v>-9.2969453305086496E-4</c:v>
                </c:pt>
                <c:pt idx="38">
                  <c:v>-2.4238395354296501E-4</c:v>
                </c:pt>
                <c:pt idx="39">
                  <c:v>-6.6232849762433801E-4</c:v>
                </c:pt>
                <c:pt idx="40">
                  <c:v>-7.9203655616423595E-4</c:v>
                </c:pt>
                <c:pt idx="41">
                  <c:v>-2.9179603459712598E-4</c:v>
                </c:pt>
                <c:pt idx="42">
                  <c:v>8.6932329938481595E-4</c:v>
                </c:pt>
                <c:pt idx="43">
                  <c:v>-4.2311542769526397E-4</c:v>
                </c:pt>
                <c:pt idx="44">
                  <c:v>-1.3338412798679999E-4</c:v>
                </c:pt>
                <c:pt idx="45">
                  <c:v>-3.8168906131907303E-4</c:v>
                </c:pt>
                <c:pt idx="46">
                  <c:v>-9.2101435508359995E-4</c:v>
                </c:pt>
                <c:pt idx="47">
                  <c:v>-7.5945865323746398E-4</c:v>
                </c:pt>
                <c:pt idx="48">
                  <c:v>-1.22569879239234E-3</c:v>
                </c:pt>
                <c:pt idx="49">
                  <c:v>-1.2986792892907099E-3</c:v>
                </c:pt>
                <c:pt idx="50">
                  <c:v>-1.7237768709363599E-3</c:v>
                </c:pt>
                <c:pt idx="51">
                  <c:v>-2.0271247738759199E-3</c:v>
                </c:pt>
                <c:pt idx="52">
                  <c:v>-3.7167709807086198E-4</c:v>
                </c:pt>
                <c:pt idx="53">
                  <c:v>-9.5139122170631498E-4</c:v>
                </c:pt>
                <c:pt idx="54">
                  <c:v>-1.2195054154717599E-3</c:v>
                </c:pt>
                <c:pt idx="55">
                  <c:v>5.2208678774248198E-4</c:v>
                </c:pt>
                <c:pt idx="56">
                  <c:v>5.8282536182048799E-4</c:v>
                </c:pt>
                <c:pt idx="57">
                  <c:v>7.9930560273075196E-4</c:v>
                </c:pt>
                <c:pt idx="58">
                  <c:v>7.1614735317540503E-4</c:v>
                </c:pt>
                <c:pt idx="59">
                  <c:v>1.0868712226918399E-3</c:v>
                </c:pt>
                <c:pt idx="60">
                  <c:v>-2.95931589899932E-4</c:v>
                </c:pt>
                <c:pt idx="61">
                  <c:v>-5.3873821401075397E-4</c:v>
                </c:pt>
                <c:pt idx="62">
                  <c:v>3.5746327685341701E-4</c:v>
                </c:pt>
                <c:pt idx="63">
                  <c:v>8.1139959917905197E-5</c:v>
                </c:pt>
                <c:pt idx="64">
                  <c:v>1.2230950952125499E-4</c:v>
                </c:pt>
                <c:pt idx="65">
                  <c:v>3.4516113290451299E-4</c:v>
                </c:pt>
                <c:pt idx="66">
                  <c:v>3.4205931148907599E-4</c:v>
                </c:pt>
                <c:pt idx="67">
                  <c:v>6.5270608117034895E-4</c:v>
                </c:pt>
                <c:pt idx="68">
                  <c:v>7.56784042199026E-4</c:v>
                </c:pt>
                <c:pt idx="69">
                  <c:v>-1.33926719890231E-5</c:v>
                </c:pt>
                <c:pt idx="70">
                  <c:v>6.0911466192388605E-4</c:v>
                </c:pt>
                <c:pt idx="71">
                  <c:v>-3.1860503476588902E-4</c:v>
                </c:pt>
                <c:pt idx="72">
                  <c:v>2.5375092348788199E-4</c:v>
                </c:pt>
                <c:pt idx="73">
                  <c:v>1.48687625572751E-5</c:v>
                </c:pt>
                <c:pt idx="74">
                  <c:v>-6.5599692551255705E-4</c:v>
                </c:pt>
                <c:pt idx="75">
                  <c:v>-7.5836934424696201E-6</c:v>
                </c:pt>
                <c:pt idx="76">
                  <c:v>-8.3881411789533402E-4</c:v>
                </c:pt>
                <c:pt idx="77">
                  <c:v>-1.2107178036860999E-3</c:v>
                </c:pt>
                <c:pt idx="78">
                  <c:v>-1.20303026545437E-3</c:v>
                </c:pt>
                <c:pt idx="79">
                  <c:v>-2.0542675507497499E-4</c:v>
                </c:pt>
                <c:pt idx="80">
                  <c:v>-2.2598137667169399E-4</c:v>
                </c:pt>
                <c:pt idx="81">
                  <c:v>-6.97376583224224E-4</c:v>
                </c:pt>
                <c:pt idx="82">
                  <c:v>6.5451443591497201E-5</c:v>
                </c:pt>
                <c:pt idx="83">
                  <c:v>-1.9150816391290301E-4</c:v>
                </c:pt>
                <c:pt idx="84">
                  <c:v>-2.13205021892371E-4</c:v>
                </c:pt>
                <c:pt idx="85">
                  <c:v>3.6366858164021601E-4</c:v>
                </c:pt>
                <c:pt idx="86">
                  <c:v>1.4703765779126E-3</c:v>
                </c:pt>
                <c:pt idx="87">
                  <c:v>1.0749014155107799E-3</c:v>
                </c:pt>
                <c:pt idx="88">
                  <c:v>3.25398453783585E-4</c:v>
                </c:pt>
                <c:pt idx="89">
                  <c:v>1.0240921253303499E-3</c:v>
                </c:pt>
                <c:pt idx="90">
                  <c:v>7.3191704627957295E-4</c:v>
                </c:pt>
                <c:pt idx="91">
                  <c:v>4.8629144031635903E-4</c:v>
                </c:pt>
                <c:pt idx="92">
                  <c:v>3.1348480620222703E-5</c:v>
                </c:pt>
                <c:pt idx="93">
                  <c:v>6.07917590226096E-4</c:v>
                </c:pt>
                <c:pt idx="94">
                  <c:v>8.6217126578619504E-4</c:v>
                </c:pt>
                <c:pt idx="95">
                  <c:v>5.3792654170857501E-4</c:v>
                </c:pt>
                <c:pt idx="96">
                  <c:v>6.9933232384312798E-4</c:v>
                </c:pt>
                <c:pt idx="97">
                  <c:v>9.5508409373573698E-4</c:v>
                </c:pt>
                <c:pt idx="98">
                  <c:v>6.1806422708416103E-4</c:v>
                </c:pt>
                <c:pt idx="99">
                  <c:v>1.2329490416391E-3</c:v>
                </c:pt>
                <c:pt idx="100">
                  <c:v>8.8332352764894199E-4</c:v>
                </c:pt>
                <c:pt idx="101">
                  <c:v>3.9665737747847401E-4</c:v>
                </c:pt>
                <c:pt idx="102">
                  <c:v>6.2557553593009399E-4</c:v>
                </c:pt>
                <c:pt idx="103">
                  <c:v>1.88211515250729E-4</c:v>
                </c:pt>
                <c:pt idx="104">
                  <c:v>-1.0286735953908101E-4</c:v>
                </c:pt>
                <c:pt idx="105">
                  <c:v>-2.6449650808843398E-4</c:v>
                </c:pt>
                <c:pt idx="106">
                  <c:v>4.1434693190831002E-4</c:v>
                </c:pt>
                <c:pt idx="107">
                  <c:v>1.14362387274486E-3</c:v>
                </c:pt>
                <c:pt idx="108">
                  <c:v>1.12798871984232E-3</c:v>
                </c:pt>
                <c:pt idx="109">
                  <c:v>9.3712422286979695E-4</c:v>
                </c:pt>
                <c:pt idx="110">
                  <c:v>-8.0215619010174895E-5</c:v>
                </c:pt>
                <c:pt idx="111">
                  <c:v>7.9592921932946303E-4</c:v>
                </c:pt>
                <c:pt idx="112">
                  <c:v>3.8294765816236003E-4</c:v>
                </c:pt>
                <c:pt idx="113">
                  <c:v>-7.9604204162993502E-4</c:v>
                </c:pt>
                <c:pt idx="114">
                  <c:v>3.3702694528462699E-5</c:v>
                </c:pt>
                <c:pt idx="115">
                  <c:v>2.9898853828874098E-4</c:v>
                </c:pt>
                <c:pt idx="116">
                  <c:v>-1.2120503888036901E-3</c:v>
                </c:pt>
                <c:pt idx="117">
                  <c:v>-6.8242202074330304E-4</c:v>
                </c:pt>
                <c:pt idx="118">
                  <c:v>-1.3991127041114299E-4</c:v>
                </c:pt>
                <c:pt idx="119">
                  <c:v>3.38025293957293E-5</c:v>
                </c:pt>
                <c:pt idx="120">
                  <c:v>-2.68708082615927E-4</c:v>
                </c:pt>
                <c:pt idx="121">
                  <c:v>3.5677929243631002E-4</c:v>
                </c:pt>
                <c:pt idx="122">
                  <c:v>8.2799992384143399E-5</c:v>
                </c:pt>
                <c:pt idx="123">
                  <c:v>8.15103454023494E-4</c:v>
                </c:pt>
                <c:pt idx="124">
                  <c:v>2.6230157355284101E-4</c:v>
                </c:pt>
                <c:pt idx="125">
                  <c:v>1.47553771765206E-3</c:v>
                </c:pt>
                <c:pt idx="126">
                  <c:v>9.3377092483396397E-4</c:v>
                </c:pt>
                <c:pt idx="127">
                  <c:v>-2.5044077935026899E-4</c:v>
                </c:pt>
                <c:pt idx="128">
                  <c:v>-4.83869417391164E-4</c:v>
                </c:pt>
                <c:pt idx="129">
                  <c:v>-7.6050160217104395E-4</c:v>
                </c:pt>
                <c:pt idx="130">
                  <c:v>-5.1876423284447396E-4</c:v>
                </c:pt>
                <c:pt idx="131">
                  <c:v>-2.0495099256667899E-4</c:v>
                </c:pt>
                <c:pt idx="132">
                  <c:v>-1.00113913849663E-4</c:v>
                </c:pt>
                <c:pt idx="133">
                  <c:v>2.03134720808193E-4</c:v>
                </c:pt>
                <c:pt idx="134">
                  <c:v>6.5389848492590898E-4</c:v>
                </c:pt>
                <c:pt idx="135">
                  <c:v>-2.3310263746527201E-4</c:v>
                </c:pt>
                <c:pt idx="136">
                  <c:v>5.0272878280453799E-5</c:v>
                </c:pt>
                <c:pt idx="137">
                  <c:v>5.1801566749181698E-5</c:v>
                </c:pt>
                <c:pt idx="138">
                  <c:v>-6.4721100599758402E-4</c:v>
                </c:pt>
                <c:pt idx="139">
                  <c:v>-1.40758532348703E-3</c:v>
                </c:pt>
                <c:pt idx="140">
                  <c:v>-6.2382732357205996E-4</c:v>
                </c:pt>
                <c:pt idx="141">
                  <c:v>-4.3135155424176599E-4</c:v>
                </c:pt>
                <c:pt idx="142">
                  <c:v>8.4758129558836198E-4</c:v>
                </c:pt>
                <c:pt idx="143">
                  <c:v>3.3735689135586501E-4</c:v>
                </c:pt>
                <c:pt idx="144">
                  <c:v>-5.0346480789971698E-4</c:v>
                </c:pt>
                <c:pt idx="145">
                  <c:v>-3.4756809889757099E-4</c:v>
                </c:pt>
                <c:pt idx="146">
                  <c:v>5.9711072625945999E-4</c:v>
                </c:pt>
                <c:pt idx="147">
                  <c:v>2.9466863018346497E-4</c:v>
                </c:pt>
                <c:pt idx="148">
                  <c:v>5.3375452056515804E-4</c:v>
                </c:pt>
                <c:pt idx="149">
                  <c:v>2.1216250564185801E-4</c:v>
                </c:pt>
                <c:pt idx="150">
                  <c:v>-8.0577167137089903E-4</c:v>
                </c:pt>
                <c:pt idx="151">
                  <c:v>2.9321387341906202E-4</c:v>
                </c:pt>
                <c:pt idx="152">
                  <c:v>-8.3035169180876696E-4</c:v>
                </c:pt>
                <c:pt idx="153">
                  <c:v>-6.4217131574611803E-4</c:v>
                </c:pt>
                <c:pt idx="154">
                  <c:v>-4.6019533452608299E-4</c:v>
                </c:pt>
                <c:pt idx="155">
                  <c:v>-4.6031587806378898E-4</c:v>
                </c:pt>
                <c:pt idx="156">
                  <c:v>-4.5957758723004299E-4</c:v>
                </c:pt>
                <c:pt idx="157">
                  <c:v>-1.07111495304761E-4</c:v>
                </c:pt>
                <c:pt idx="158">
                  <c:v>-3.1392689525465601E-4</c:v>
                </c:pt>
                <c:pt idx="159">
                  <c:v>-6.3165388071517096E-4</c:v>
                </c:pt>
                <c:pt idx="160">
                  <c:v>-7.2086000859189405E-4</c:v>
                </c:pt>
                <c:pt idx="161">
                  <c:v>-5.5131908931048098E-4</c:v>
                </c:pt>
                <c:pt idx="162">
                  <c:v>-3.8533815550165299E-4</c:v>
                </c:pt>
                <c:pt idx="163">
                  <c:v>-5.9515378046064897E-4</c:v>
                </c:pt>
                <c:pt idx="164">
                  <c:v>-3.7095630112643002E-5</c:v>
                </c:pt>
                <c:pt idx="165">
                  <c:v>-9.6012749872109303E-4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VNQ*/FREL*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3.2927332496881698</c:v>
                </c:pt>
                <c:pt idx="1">
                  <c:v>3.2927332496881698</c:v>
                </c:pt>
                <c:pt idx="2">
                  <c:v>3.2927332496881698</c:v>
                </c:pt>
                <c:pt idx="3">
                  <c:v>3.2927332496881698</c:v>
                </c:pt>
                <c:pt idx="4">
                  <c:v>3.2927332496881698</c:v>
                </c:pt>
                <c:pt idx="5">
                  <c:v>3.2927332496881698</c:v>
                </c:pt>
                <c:pt idx="6">
                  <c:v>3.2927332496881698</c:v>
                </c:pt>
                <c:pt idx="7">
                  <c:v>3.2927332496881698</c:v>
                </c:pt>
                <c:pt idx="8">
                  <c:v>3.2927332496881698</c:v>
                </c:pt>
                <c:pt idx="9">
                  <c:v>3.2927332496881698</c:v>
                </c:pt>
                <c:pt idx="10">
                  <c:v>3.2927332496881698</c:v>
                </c:pt>
                <c:pt idx="11">
                  <c:v>3.2927332496881698</c:v>
                </c:pt>
                <c:pt idx="12">
                  <c:v>3.2927332496881698</c:v>
                </c:pt>
                <c:pt idx="13">
                  <c:v>3.2927332496881698</c:v>
                </c:pt>
                <c:pt idx="14">
                  <c:v>3.2927332496881698</c:v>
                </c:pt>
                <c:pt idx="15">
                  <c:v>3.2927332496881698</c:v>
                </c:pt>
                <c:pt idx="16">
                  <c:v>3.2927332496881698</c:v>
                </c:pt>
                <c:pt idx="17">
                  <c:v>3.2927332496881698</c:v>
                </c:pt>
                <c:pt idx="18">
                  <c:v>3.2927332496881698</c:v>
                </c:pt>
                <c:pt idx="19">
                  <c:v>3.2927332496881698</c:v>
                </c:pt>
                <c:pt idx="20">
                  <c:v>3.2927332496881698</c:v>
                </c:pt>
                <c:pt idx="21">
                  <c:v>3.2927332496881698</c:v>
                </c:pt>
                <c:pt idx="22">
                  <c:v>3.2927332496881698</c:v>
                </c:pt>
                <c:pt idx="23">
                  <c:v>3.2927332496881698</c:v>
                </c:pt>
                <c:pt idx="24">
                  <c:v>3.2927332496881698</c:v>
                </c:pt>
                <c:pt idx="25">
                  <c:v>3.2927332496881698</c:v>
                </c:pt>
                <c:pt idx="26">
                  <c:v>3.2927332496881698</c:v>
                </c:pt>
                <c:pt idx="27">
                  <c:v>3.2927332496881698</c:v>
                </c:pt>
                <c:pt idx="28">
                  <c:v>3.2927332496881698</c:v>
                </c:pt>
                <c:pt idx="29">
                  <c:v>3.2927332496881698</c:v>
                </c:pt>
                <c:pt idx="30">
                  <c:v>3.2927332496881698</c:v>
                </c:pt>
                <c:pt idx="31">
                  <c:v>3.2927332496881698</c:v>
                </c:pt>
                <c:pt idx="32">
                  <c:v>3.2927332496881698</c:v>
                </c:pt>
                <c:pt idx="33">
                  <c:v>3.2927332496881698</c:v>
                </c:pt>
                <c:pt idx="34">
                  <c:v>3.2927332496881698</c:v>
                </c:pt>
                <c:pt idx="35">
                  <c:v>3.2927332496881698</c:v>
                </c:pt>
                <c:pt idx="36">
                  <c:v>3.2927332496881698</c:v>
                </c:pt>
                <c:pt idx="37">
                  <c:v>3.2927332496881698</c:v>
                </c:pt>
                <c:pt idx="38">
                  <c:v>3.2927332496881698</c:v>
                </c:pt>
                <c:pt idx="39">
                  <c:v>3.2927332496881698</c:v>
                </c:pt>
                <c:pt idx="40">
                  <c:v>3.2927332496881698</c:v>
                </c:pt>
                <c:pt idx="41">
                  <c:v>3.2927332496881698</c:v>
                </c:pt>
                <c:pt idx="42">
                  <c:v>3.2927332496881698</c:v>
                </c:pt>
                <c:pt idx="43">
                  <c:v>3.2927332496881698</c:v>
                </c:pt>
                <c:pt idx="44">
                  <c:v>3.2927332496881698</c:v>
                </c:pt>
                <c:pt idx="45">
                  <c:v>3.2927332496881698</c:v>
                </c:pt>
                <c:pt idx="46">
                  <c:v>3.2927332496881698</c:v>
                </c:pt>
                <c:pt idx="47">
                  <c:v>3.2927332496881698</c:v>
                </c:pt>
                <c:pt idx="48">
                  <c:v>3.2927332496881698</c:v>
                </c:pt>
                <c:pt idx="49">
                  <c:v>3.2927332496881698</c:v>
                </c:pt>
                <c:pt idx="50">
                  <c:v>3.2927332496881698</c:v>
                </c:pt>
                <c:pt idx="51">
                  <c:v>3.2927332496881698</c:v>
                </c:pt>
                <c:pt idx="52">
                  <c:v>3.2927332496881698</c:v>
                </c:pt>
                <c:pt idx="53">
                  <c:v>3.2927332496881698</c:v>
                </c:pt>
                <c:pt idx="54">
                  <c:v>3.2927332496881698</c:v>
                </c:pt>
                <c:pt idx="55">
                  <c:v>3.2927332496881698</c:v>
                </c:pt>
                <c:pt idx="56">
                  <c:v>3.2927332496881698</c:v>
                </c:pt>
                <c:pt idx="57">
                  <c:v>3.2927332496881698</c:v>
                </c:pt>
                <c:pt idx="58">
                  <c:v>3.2927332496881698</c:v>
                </c:pt>
                <c:pt idx="59">
                  <c:v>3.2927332496881698</c:v>
                </c:pt>
                <c:pt idx="60">
                  <c:v>3.2927332496881698</c:v>
                </c:pt>
                <c:pt idx="61">
                  <c:v>3.2927332496881698</c:v>
                </c:pt>
                <c:pt idx="62">
                  <c:v>3.2927332496881698</c:v>
                </c:pt>
                <c:pt idx="63">
                  <c:v>3.2927332496881698</c:v>
                </c:pt>
                <c:pt idx="64">
                  <c:v>3.2927332496881698</c:v>
                </c:pt>
                <c:pt idx="65">
                  <c:v>3.2927332496881698</c:v>
                </c:pt>
                <c:pt idx="66">
                  <c:v>3.2927332496881698</c:v>
                </c:pt>
                <c:pt idx="67">
                  <c:v>3.2927332496881698</c:v>
                </c:pt>
                <c:pt idx="68">
                  <c:v>3.2927332496881698</c:v>
                </c:pt>
                <c:pt idx="69">
                  <c:v>3.2927332496881698</c:v>
                </c:pt>
                <c:pt idx="70">
                  <c:v>3.2927332496881698</c:v>
                </c:pt>
                <c:pt idx="71">
                  <c:v>3.2927332496881698</c:v>
                </c:pt>
                <c:pt idx="72">
                  <c:v>3.2927332496881698</c:v>
                </c:pt>
                <c:pt idx="73">
                  <c:v>3.2927332496881698</c:v>
                </c:pt>
                <c:pt idx="74">
                  <c:v>3.2927332496881698</c:v>
                </c:pt>
                <c:pt idx="75">
                  <c:v>3.2927332496881698</c:v>
                </c:pt>
                <c:pt idx="76">
                  <c:v>3.2927332496881698</c:v>
                </c:pt>
                <c:pt idx="77">
                  <c:v>3.2927332496881698</c:v>
                </c:pt>
                <c:pt idx="78">
                  <c:v>3.2927332496881698</c:v>
                </c:pt>
                <c:pt idx="79">
                  <c:v>3.2927332496881698</c:v>
                </c:pt>
                <c:pt idx="80">
                  <c:v>3.2927332496881698</c:v>
                </c:pt>
                <c:pt idx="81">
                  <c:v>3.2927332496881698</c:v>
                </c:pt>
                <c:pt idx="82">
                  <c:v>3.2927332496881698</c:v>
                </c:pt>
                <c:pt idx="83">
                  <c:v>3.2927332496881698</c:v>
                </c:pt>
                <c:pt idx="84">
                  <c:v>3.2927332496881698</c:v>
                </c:pt>
                <c:pt idx="85">
                  <c:v>3.2927332496881698</c:v>
                </c:pt>
                <c:pt idx="86">
                  <c:v>3.2927332496881698</c:v>
                </c:pt>
                <c:pt idx="87">
                  <c:v>3.2927332496881698</c:v>
                </c:pt>
                <c:pt idx="88">
                  <c:v>3.2927332496881698</c:v>
                </c:pt>
                <c:pt idx="89">
                  <c:v>3.2927332496881698</c:v>
                </c:pt>
                <c:pt idx="90">
                  <c:v>3.2927332496881698</c:v>
                </c:pt>
                <c:pt idx="91">
                  <c:v>3.2927332496881698</c:v>
                </c:pt>
                <c:pt idx="92">
                  <c:v>3.2927332496881698</c:v>
                </c:pt>
                <c:pt idx="93">
                  <c:v>3.2927332496881698</c:v>
                </c:pt>
                <c:pt idx="94">
                  <c:v>3.2927332496881698</c:v>
                </c:pt>
                <c:pt idx="95">
                  <c:v>3.2927332496881698</c:v>
                </c:pt>
                <c:pt idx="96">
                  <c:v>3.2927332496881698</c:v>
                </c:pt>
                <c:pt idx="97">
                  <c:v>3.2927332496881698</c:v>
                </c:pt>
                <c:pt idx="98">
                  <c:v>3.2927332496881698</c:v>
                </c:pt>
                <c:pt idx="99">
                  <c:v>3.2927332496881698</c:v>
                </c:pt>
                <c:pt idx="100">
                  <c:v>3.2927332496881698</c:v>
                </c:pt>
                <c:pt idx="101">
                  <c:v>3.2927332496881698</c:v>
                </c:pt>
                <c:pt idx="102">
                  <c:v>3.2927332496881698</c:v>
                </c:pt>
                <c:pt idx="103">
                  <c:v>3.2927332496881698</c:v>
                </c:pt>
                <c:pt idx="104">
                  <c:v>3.2927332496881698</c:v>
                </c:pt>
                <c:pt idx="105">
                  <c:v>3.2927332496881698</c:v>
                </c:pt>
                <c:pt idx="106">
                  <c:v>3.2927332496881698</c:v>
                </c:pt>
                <c:pt idx="107">
                  <c:v>3.2927332496881698</c:v>
                </c:pt>
                <c:pt idx="108">
                  <c:v>3.2927332496881698</c:v>
                </c:pt>
                <c:pt idx="109">
                  <c:v>3.2927332496881698</c:v>
                </c:pt>
                <c:pt idx="110">
                  <c:v>3.2927332496881698</c:v>
                </c:pt>
                <c:pt idx="111">
                  <c:v>3.2927332496881698</c:v>
                </c:pt>
                <c:pt idx="112">
                  <c:v>3.2927332496881698</c:v>
                </c:pt>
                <c:pt idx="113">
                  <c:v>3.2927332496881698</c:v>
                </c:pt>
                <c:pt idx="114">
                  <c:v>3.2927332496881698</c:v>
                </c:pt>
                <c:pt idx="115">
                  <c:v>3.2927332496881698</c:v>
                </c:pt>
                <c:pt idx="116">
                  <c:v>3.2927332496881698</c:v>
                </c:pt>
                <c:pt idx="117">
                  <c:v>3.2927332496881698</c:v>
                </c:pt>
                <c:pt idx="118">
                  <c:v>3.2927332496881698</c:v>
                </c:pt>
                <c:pt idx="119">
                  <c:v>3.2927332496881698</c:v>
                </c:pt>
                <c:pt idx="120">
                  <c:v>3.2927332496881698</c:v>
                </c:pt>
                <c:pt idx="121">
                  <c:v>3.2927332496881698</c:v>
                </c:pt>
                <c:pt idx="122">
                  <c:v>3.2927332496881698</c:v>
                </c:pt>
                <c:pt idx="123">
                  <c:v>3.2927332496881698</c:v>
                </c:pt>
                <c:pt idx="124">
                  <c:v>3.2927332496881698</c:v>
                </c:pt>
                <c:pt idx="125">
                  <c:v>3.2927332496881698</c:v>
                </c:pt>
                <c:pt idx="126">
                  <c:v>3.2927332496881698</c:v>
                </c:pt>
                <c:pt idx="127">
                  <c:v>3.2927332496881698</c:v>
                </c:pt>
                <c:pt idx="128">
                  <c:v>3.2927332496881698</c:v>
                </c:pt>
                <c:pt idx="129">
                  <c:v>3.2927332496881698</c:v>
                </c:pt>
                <c:pt idx="130">
                  <c:v>3.2927332496881698</c:v>
                </c:pt>
                <c:pt idx="131">
                  <c:v>3.2927332496881698</c:v>
                </c:pt>
                <c:pt idx="132">
                  <c:v>3.2927332496881698</c:v>
                </c:pt>
                <c:pt idx="133">
                  <c:v>3.2927332496881698</c:v>
                </c:pt>
                <c:pt idx="134">
                  <c:v>3.2927332496881698</c:v>
                </c:pt>
                <c:pt idx="135">
                  <c:v>3.2927332496881698</c:v>
                </c:pt>
                <c:pt idx="136">
                  <c:v>3.2927332496881698</c:v>
                </c:pt>
                <c:pt idx="137">
                  <c:v>3.2927332496881698</c:v>
                </c:pt>
                <c:pt idx="138">
                  <c:v>3.2927332496881698</c:v>
                </c:pt>
                <c:pt idx="139">
                  <c:v>3.2927332496881698</c:v>
                </c:pt>
                <c:pt idx="140">
                  <c:v>3.2927332496881698</c:v>
                </c:pt>
                <c:pt idx="141">
                  <c:v>3.2927332496881698</c:v>
                </c:pt>
                <c:pt idx="142">
                  <c:v>3.2927332496881698</c:v>
                </c:pt>
                <c:pt idx="143">
                  <c:v>3.2927332496881698</c:v>
                </c:pt>
                <c:pt idx="144">
                  <c:v>3.2927332496881698</c:v>
                </c:pt>
                <c:pt idx="145">
                  <c:v>3.2927332496881698</c:v>
                </c:pt>
                <c:pt idx="146">
                  <c:v>3.2927332496881698</c:v>
                </c:pt>
                <c:pt idx="147">
                  <c:v>3.2927332496881698</c:v>
                </c:pt>
                <c:pt idx="148">
                  <c:v>3.2927332496881698</c:v>
                </c:pt>
                <c:pt idx="149">
                  <c:v>3.2927332496881698</c:v>
                </c:pt>
                <c:pt idx="150">
                  <c:v>3.2927332496881698</c:v>
                </c:pt>
                <c:pt idx="151">
                  <c:v>3.2927332496881698</c:v>
                </c:pt>
                <c:pt idx="152">
                  <c:v>3.2927332496881698</c:v>
                </c:pt>
                <c:pt idx="153">
                  <c:v>3.2927332496881698</c:v>
                </c:pt>
                <c:pt idx="154">
                  <c:v>3.2927332496881698</c:v>
                </c:pt>
                <c:pt idx="155">
                  <c:v>3.2927332496881698</c:v>
                </c:pt>
                <c:pt idx="156">
                  <c:v>3.2927332496881698</c:v>
                </c:pt>
                <c:pt idx="157">
                  <c:v>3.2927332496881698</c:v>
                </c:pt>
                <c:pt idx="158">
                  <c:v>3.2927332496881698</c:v>
                </c:pt>
                <c:pt idx="159">
                  <c:v>3.2927332496881698</c:v>
                </c:pt>
                <c:pt idx="160">
                  <c:v>3.2927332496881698</c:v>
                </c:pt>
                <c:pt idx="161">
                  <c:v>3.2927332496881698</c:v>
                </c:pt>
                <c:pt idx="162">
                  <c:v>3.2927332496881698</c:v>
                </c:pt>
                <c:pt idx="163">
                  <c:v>3.2927332496881698</c:v>
                </c:pt>
                <c:pt idx="164">
                  <c:v>3.2927332496881698</c:v>
                </c:pt>
                <c:pt idx="165">
                  <c:v>3.2927332496881698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VNQ*/FREL*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3.2905651349293299</c:v>
                </c:pt>
                <c:pt idx="10">
                  <c:v>3.29027837637596</c:v>
                </c:pt>
                <c:pt idx="11">
                  <c:v>3.2898284104287101</c:v>
                </c:pt>
                <c:pt idx="12">
                  <c:v>3.2894035374050001</c:v>
                </c:pt>
                <c:pt idx="13">
                  <c:v>3.28910586664218</c:v>
                </c:pt>
                <c:pt idx="14">
                  <c:v>3.2889839032702999</c:v>
                </c:pt>
                <c:pt idx="15">
                  <c:v>3.2890893810509398</c:v>
                </c:pt>
                <c:pt idx="16">
                  <c:v>3.2891281757851099</c:v>
                </c:pt>
                <c:pt idx="17">
                  <c:v>3.2892314560834901</c:v>
                </c:pt>
                <c:pt idx="18">
                  <c:v>3.2894862353115899</c:v>
                </c:pt>
                <c:pt idx="19">
                  <c:v>3.28957264468165</c:v>
                </c:pt>
                <c:pt idx="20">
                  <c:v>3.2899445185365401</c:v>
                </c:pt>
                <c:pt idx="21">
                  <c:v>3.2900990813228699</c:v>
                </c:pt>
                <c:pt idx="22">
                  <c:v>3.2902857758525701</c:v>
                </c:pt>
                <c:pt idx="23">
                  <c:v>3.2904036054472598</c:v>
                </c:pt>
                <c:pt idx="24">
                  <c:v>3.2906356344796701</c:v>
                </c:pt>
                <c:pt idx="25">
                  <c:v>3.2909244526150601</c:v>
                </c:pt>
                <c:pt idx="26">
                  <c:v>3.2915134511298301</c:v>
                </c:pt>
                <c:pt idx="27">
                  <c:v>3.29133843747876</c:v>
                </c:pt>
                <c:pt idx="28">
                  <c:v>3.2915909163835302</c:v>
                </c:pt>
                <c:pt idx="29">
                  <c:v>3.2917238988815898</c:v>
                </c:pt>
                <c:pt idx="30">
                  <c:v>3.2916081328343498</c:v>
                </c:pt>
                <c:pt idx="31">
                  <c:v>3.2918607097199502</c:v>
                </c:pt>
                <c:pt idx="32">
                  <c:v>3.2918483300350201</c:v>
                </c:pt>
                <c:pt idx="33">
                  <c:v>3.2922396334591002</c:v>
                </c:pt>
                <c:pt idx="34">
                  <c:v>3.29226103187532</c:v>
                </c:pt>
                <c:pt idx="35">
                  <c:v>3.2922164015264599</c:v>
                </c:pt>
                <c:pt idx="36">
                  <c:v>3.29222141233384</c:v>
                </c:pt>
                <c:pt idx="37">
                  <c:v>3.2927502817332899</c:v>
                </c:pt>
                <c:pt idx="38">
                  <c:v>3.2926456127248702</c:v>
                </c:pt>
                <c:pt idx="39">
                  <c:v>3.2928378271846199</c:v>
                </c:pt>
                <c:pt idx="40">
                  <c:v>3.2931644196532099</c:v>
                </c:pt>
                <c:pt idx="41">
                  <c:v>3.2933397317516699</c:v>
                </c:pt>
                <c:pt idx="42">
                  <c:v>3.2933929322558502</c:v>
                </c:pt>
                <c:pt idx="43">
                  <c:v>3.2934642469890898</c:v>
                </c:pt>
                <c:pt idx="44">
                  <c:v>3.2935428448874098</c:v>
                </c:pt>
                <c:pt idx="45">
                  <c:v>3.2936752600835901</c:v>
                </c:pt>
                <c:pt idx="46">
                  <c:v>3.29374912758349</c:v>
                </c:pt>
                <c:pt idx="47">
                  <c:v>3.2938049095891402</c:v>
                </c:pt>
                <c:pt idx="48">
                  <c:v>3.29425233376982</c:v>
                </c:pt>
                <c:pt idx="49">
                  <c:v>3.2945952772883298</c:v>
                </c:pt>
                <c:pt idx="50">
                  <c:v>3.2950462351068199</c:v>
                </c:pt>
                <c:pt idx="51">
                  <c:v>3.29579048919847</c:v>
                </c:pt>
                <c:pt idx="52">
                  <c:v>3.2963955614014799</c:v>
                </c:pt>
                <c:pt idx="53">
                  <c:v>3.29679720014513</c:v>
                </c:pt>
                <c:pt idx="54">
                  <c:v>3.2973832422323102</c:v>
                </c:pt>
                <c:pt idx="55">
                  <c:v>3.2973416354292602</c:v>
                </c:pt>
                <c:pt idx="56">
                  <c:v>3.2971024577490899</c:v>
                </c:pt>
                <c:pt idx="57">
                  <c:v>3.2968330264266501</c:v>
                </c:pt>
                <c:pt idx="58">
                  <c:v>3.2963973506294701</c:v>
                </c:pt>
                <c:pt idx="59">
                  <c:v>3.2957989814680002</c:v>
                </c:pt>
                <c:pt idx="60">
                  <c:v>3.2954763160339802</c:v>
                </c:pt>
                <c:pt idx="61">
                  <c:v>3.2951010534778198</c:v>
                </c:pt>
                <c:pt idx="62">
                  <c:v>3.2949488663328199</c:v>
                </c:pt>
                <c:pt idx="63">
                  <c:v>3.2946863005389102</c:v>
                </c:pt>
                <c:pt idx="64">
                  <c:v>3.2943050075250699</c:v>
                </c:pt>
                <c:pt idx="65">
                  <c:v>3.2944013824245002</c:v>
                </c:pt>
                <c:pt idx="66">
                  <c:v>3.2945169840964499</c:v>
                </c:pt>
                <c:pt idx="67">
                  <c:v>3.29460362759436</c:v>
                </c:pt>
                <c:pt idx="68">
                  <c:v>3.2946301520564298</c:v>
                </c:pt>
                <c:pt idx="69">
                  <c:v>3.2950114213817598</c:v>
                </c:pt>
                <c:pt idx="70">
                  <c:v>3.2947340320217702</c:v>
                </c:pt>
                <c:pt idx="71">
                  <c:v>3.2946458461566599</c:v>
                </c:pt>
                <c:pt idx="72">
                  <c:v>3.2946227959256902</c:v>
                </c:pt>
                <c:pt idx="73">
                  <c:v>3.2945559987357802</c:v>
                </c:pt>
                <c:pt idx="74">
                  <c:v>3.2947004432949898</c:v>
                </c:pt>
                <c:pt idx="75">
                  <c:v>3.29468254190621</c:v>
                </c:pt>
                <c:pt idx="76">
                  <c:v>3.2949387730714501</c:v>
                </c:pt>
                <c:pt idx="77">
                  <c:v>3.29544477829704</c:v>
                </c:pt>
                <c:pt idx="78">
                  <c:v>3.2960213261628</c:v>
                </c:pt>
                <c:pt idx="79">
                  <c:v>3.2960658130974299</c:v>
                </c:pt>
                <c:pt idx="80">
                  <c:v>3.2963543029714102</c:v>
                </c:pt>
                <c:pt idx="81">
                  <c:v>3.2965231055710298</c:v>
                </c:pt>
                <c:pt idx="82">
                  <c:v>3.2966562359166298</c:v>
                </c:pt>
                <c:pt idx="83">
                  <c:v>3.2968096235293101</c:v>
                </c:pt>
                <c:pt idx="84">
                  <c:v>3.2967698657434101</c:v>
                </c:pt>
                <c:pt idx="85">
                  <c:v>3.2967707764532701</c:v>
                </c:pt>
                <c:pt idx="86">
                  <c:v>3.29612853955383</c:v>
                </c:pt>
                <c:pt idx="87">
                  <c:v>3.2954559301200601</c:v>
                </c:pt>
                <c:pt idx="88">
                  <c:v>3.2949946893250401</c:v>
                </c:pt>
                <c:pt idx="89">
                  <c:v>3.2946078967991599</c:v>
                </c:pt>
                <c:pt idx="90">
                  <c:v>3.29427213604203</c:v>
                </c:pt>
                <c:pt idx="91">
                  <c:v>3.2938589282506801</c:v>
                </c:pt>
                <c:pt idx="92">
                  <c:v>3.2938308219643799</c:v>
                </c:pt>
                <c:pt idx="93">
                  <c:v>3.2935278402624899</c:v>
                </c:pt>
                <c:pt idx="94">
                  <c:v>3.2931221816917899</c:v>
                </c:pt>
                <c:pt idx="95">
                  <c:v>3.2929859061249198</c:v>
                </c:pt>
                <c:pt idx="96">
                  <c:v>3.29315497322894</c:v>
                </c:pt>
                <c:pt idx="97">
                  <c:v>3.2931053145238902</c:v>
                </c:pt>
                <c:pt idx="98">
                  <c:v>3.2928920125430001</c:v>
                </c:pt>
                <c:pt idx="99">
                  <c:v>3.2926669883242901</c:v>
                </c:pt>
                <c:pt idx="100">
                  <c:v>3.2924473438753501</c:v>
                </c:pt>
                <c:pt idx="101">
                  <c:v>3.2922815975855699</c:v>
                </c:pt>
                <c:pt idx="102">
                  <c:v>3.29187390995095</c:v>
                </c:pt>
                <c:pt idx="103">
                  <c:v>3.2917730869839299</c:v>
                </c:pt>
                <c:pt idx="104">
                  <c:v>3.2918391100681501</c:v>
                </c:pt>
                <c:pt idx="105">
                  <c:v>3.2918568649940299</c:v>
                </c:pt>
                <c:pt idx="106">
                  <c:v>3.2917051181508001</c:v>
                </c:pt>
                <c:pt idx="107">
                  <c:v>3.2914221479182699</c:v>
                </c:pt>
                <c:pt idx="108">
                  <c:v>3.2910528493336</c:v>
                </c:pt>
                <c:pt idx="109">
                  <c:v>3.2909532792951302</c:v>
                </c:pt>
                <c:pt idx="110">
                  <c:v>3.2910877612252998</c:v>
                </c:pt>
                <c:pt idx="111">
                  <c:v>3.29079725296506</c:v>
                </c:pt>
                <c:pt idx="112">
                  <c:v>3.2907240865978702</c:v>
                </c:pt>
                <c:pt idx="113">
                  <c:v>3.2908928248181102</c:v>
                </c:pt>
                <c:pt idx="114">
                  <c:v>3.2907161091858401</c:v>
                </c:pt>
                <c:pt idx="115">
                  <c:v>3.2904103183607298</c:v>
                </c:pt>
                <c:pt idx="116">
                  <c:v>3.29081707500097</c:v>
                </c:pt>
                <c:pt idx="117">
                  <c:v>3.2913011745863998</c:v>
                </c:pt>
                <c:pt idx="118">
                  <c:v>3.2916281749371499</c:v>
                </c:pt>
                <c:pt idx="119">
                  <c:v>3.2918622118864</c:v>
                </c:pt>
                <c:pt idx="120">
                  <c:v>3.2918840212167999</c:v>
                </c:pt>
                <c:pt idx="121">
                  <c:v>3.29200033978776</c:v>
                </c:pt>
                <c:pt idx="122">
                  <c:v>3.2920850498460901</c:v>
                </c:pt>
                <c:pt idx="123">
                  <c:v>3.2915653270802498</c:v>
                </c:pt>
                <c:pt idx="124">
                  <c:v>3.29147971344169</c:v>
                </c:pt>
                <c:pt idx="125">
                  <c:v>3.2910748785135602</c:v>
                </c:pt>
                <c:pt idx="126">
                  <c:v>3.2903294988162002</c:v>
                </c:pt>
                <c:pt idx="127">
                  <c:v>3.2901184579842599</c:v>
                </c:pt>
                <c:pt idx="128">
                  <c:v>3.2901664863198299</c:v>
                </c:pt>
                <c:pt idx="129">
                  <c:v>3.2903836620045399</c:v>
                </c:pt>
                <c:pt idx="130">
                  <c:v>3.2904375024488299</c:v>
                </c:pt>
                <c:pt idx="131">
                  <c:v>3.2905898615435198</c:v>
                </c:pt>
                <c:pt idx="132">
                  <c:v>3.2906396957166102</c:v>
                </c:pt>
                <c:pt idx="133">
                  <c:v>3.2908367981786202</c:v>
                </c:pt>
                <c:pt idx="134">
                  <c:v>3.2907051741909501</c:v>
                </c:pt>
                <c:pt idx="135">
                  <c:v>3.2912666084315498</c:v>
                </c:pt>
                <c:pt idx="136">
                  <c:v>3.29160001424441</c:v>
                </c:pt>
                <c:pt idx="137">
                  <c:v>3.2915396942410302</c:v>
                </c:pt>
                <c:pt idx="138">
                  <c:v>3.2916054093287799</c:v>
                </c:pt>
                <c:pt idx="139">
                  <c:v>3.2918174490285601</c:v>
                </c:pt>
                <c:pt idx="140">
                  <c:v>3.2918498068034601</c:v>
                </c:pt>
                <c:pt idx="141">
                  <c:v>3.29192263111926</c:v>
                </c:pt>
                <c:pt idx="142">
                  <c:v>3.2916069510571799</c:v>
                </c:pt>
                <c:pt idx="143">
                  <c:v>3.2915388887377999</c:v>
                </c:pt>
                <c:pt idx="144">
                  <c:v>3.2919184490562601</c:v>
                </c:pt>
                <c:pt idx="145">
                  <c:v>3.2919780760433799</c:v>
                </c:pt>
                <c:pt idx="146">
                  <c:v>3.2918432935341402</c:v>
                </c:pt>
                <c:pt idx="147">
                  <c:v>3.2918390481200199</c:v>
                </c:pt>
                <c:pt idx="148">
                  <c:v>3.2915363740813199</c:v>
                </c:pt>
                <c:pt idx="149">
                  <c:v>3.29107149464406</c:v>
                </c:pt>
                <c:pt idx="150">
                  <c:v>3.2911658365307899</c:v>
                </c:pt>
                <c:pt idx="151">
                  <c:v>3.2909637611913301</c:v>
                </c:pt>
                <c:pt idx="152">
                  <c:v>3.2915347177534202</c:v>
                </c:pt>
                <c:pt idx="153">
                  <c:v>3.2919019215640799</c:v>
                </c:pt>
                <c:pt idx="154">
                  <c:v>3.2919409545874601</c:v>
                </c:pt>
                <c:pt idx="155">
                  <c:v>3.2920398958588799</c:v>
                </c:pt>
                <c:pt idx="156">
                  <c:v>3.29242637598824</c:v>
                </c:pt>
                <c:pt idx="157">
                  <c:v>3.2925999409340299</c:v>
                </c:pt>
                <c:pt idx="158">
                  <c:v>3.2929319696446999</c:v>
                </c:pt>
                <c:pt idx="159">
                  <c:v>3.2932761459864301</c:v>
                </c:pt>
                <c:pt idx="160">
                  <c:v>3.2933211638853299</c:v>
                </c:pt>
                <c:pt idx="161">
                  <c:v>3.2936727868796698</c:v>
                </c:pt>
                <c:pt idx="162">
                  <c:v>3.2936137656550901</c:v>
                </c:pt>
                <c:pt idx="163">
                  <c:v>3.2936986803886601</c:v>
                </c:pt>
                <c:pt idx="164">
                  <c:v>3.2936673667493301</c:v>
                </c:pt>
                <c:pt idx="165">
                  <c:v>3.29391954800461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VNQ*/FREL*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3.2900688898054899</c:v>
                </c:pt>
                <c:pt idx="20">
                  <c:v>3.2901114474562498</c:v>
                </c:pt>
                <c:pt idx="21">
                  <c:v>3.2899637458757902</c:v>
                </c:pt>
                <c:pt idx="22">
                  <c:v>3.28984465662879</c:v>
                </c:pt>
                <c:pt idx="23">
                  <c:v>3.2897547360447201</c:v>
                </c:pt>
                <c:pt idx="24">
                  <c:v>3.2898097688749899</c:v>
                </c:pt>
                <c:pt idx="25">
                  <c:v>3.2900069168330002</c:v>
                </c:pt>
                <c:pt idx="26">
                  <c:v>3.2903208134574702</c:v>
                </c:pt>
                <c:pt idx="27">
                  <c:v>3.2902849467811199</c:v>
                </c:pt>
                <c:pt idx="28">
                  <c:v>3.29053857584756</c:v>
                </c:pt>
                <c:pt idx="29">
                  <c:v>3.2906482717816199</c:v>
                </c:pt>
                <c:pt idx="30">
                  <c:v>3.2907763256854499</c:v>
                </c:pt>
                <c:pt idx="31">
                  <c:v>3.29097989552141</c:v>
                </c:pt>
                <c:pt idx="32">
                  <c:v>3.2910670529438</c:v>
                </c:pt>
                <c:pt idx="33">
                  <c:v>3.2913216194531798</c:v>
                </c:pt>
                <c:pt idx="34">
                  <c:v>3.2914483331775002</c:v>
                </c:pt>
                <c:pt idx="35">
                  <c:v>3.2915704270707602</c:v>
                </c:pt>
                <c:pt idx="36">
                  <c:v>3.2918674317318302</c:v>
                </c:pt>
                <c:pt idx="37">
                  <c:v>3.2920443596060198</c:v>
                </c:pt>
                <c:pt idx="38">
                  <c:v>3.2921182645542002</c:v>
                </c:pt>
                <c:pt idx="39">
                  <c:v>3.2922808630331</c:v>
                </c:pt>
                <c:pt idx="40">
                  <c:v>3.2923862762437799</c:v>
                </c:pt>
                <c:pt idx="41">
                  <c:v>3.2926002207358098</c:v>
                </c:pt>
                <c:pt idx="42">
                  <c:v>3.29262063114543</c:v>
                </c:pt>
                <c:pt idx="43">
                  <c:v>3.2928519402241001</c:v>
                </c:pt>
                <c:pt idx="44">
                  <c:v>3.29290193838137</c:v>
                </c:pt>
                <c:pt idx="45">
                  <c:v>3.2929458308050301</c:v>
                </c:pt>
                <c:pt idx="46">
                  <c:v>3.2929852699586601</c:v>
                </c:pt>
                <c:pt idx="47">
                  <c:v>3.2932775956612099</c:v>
                </c:pt>
                <c:pt idx="48">
                  <c:v>3.2934489732473402</c:v>
                </c:pt>
                <c:pt idx="49">
                  <c:v>3.2937165522364702</c:v>
                </c:pt>
                <c:pt idx="50">
                  <c:v>3.2941053273800098</c:v>
                </c:pt>
                <c:pt idx="51">
                  <c:v>3.2945651104750699</c:v>
                </c:pt>
                <c:pt idx="52">
                  <c:v>3.2948942468286702</c:v>
                </c:pt>
                <c:pt idx="53">
                  <c:v>3.2951307235671101</c:v>
                </c:pt>
                <c:pt idx="54">
                  <c:v>3.29546304355986</c:v>
                </c:pt>
                <c:pt idx="55">
                  <c:v>3.29550844775643</c:v>
                </c:pt>
                <c:pt idx="56">
                  <c:v>3.2954257926662902</c:v>
                </c:pt>
                <c:pt idx="57">
                  <c:v>3.2953189680079</c:v>
                </c:pt>
                <c:pt idx="58">
                  <c:v>3.2953248421996402</c:v>
                </c:pt>
                <c:pt idx="59">
                  <c:v>3.2951971293781601</c:v>
                </c:pt>
                <c:pt idx="60">
                  <c:v>3.2952612755703998</c:v>
                </c:pt>
                <c:pt idx="61">
                  <c:v>3.29544577133814</c:v>
                </c:pt>
                <c:pt idx="62">
                  <c:v>3.2956722138671499</c:v>
                </c:pt>
                <c:pt idx="63">
                  <c:v>3.2957417503420201</c:v>
                </c:pt>
                <c:pt idx="64">
                  <c:v>3.2958441248786898</c:v>
                </c:pt>
                <c:pt idx="65">
                  <c:v>3.2958715089268802</c:v>
                </c:pt>
                <c:pt idx="66">
                  <c:v>3.2958097209227701</c:v>
                </c:pt>
                <c:pt idx="67">
                  <c:v>3.2957183270104999</c:v>
                </c:pt>
                <c:pt idx="68">
                  <c:v>3.2955137513429502</c:v>
                </c:pt>
                <c:pt idx="69">
                  <c:v>3.29540520142488</c:v>
                </c:pt>
                <c:pt idx="70">
                  <c:v>3.2951051740278801</c:v>
                </c:pt>
                <c:pt idx="71">
                  <c:v>3.2948734498172398</c:v>
                </c:pt>
                <c:pt idx="72">
                  <c:v>3.2947858311292499</c:v>
                </c:pt>
                <c:pt idx="73">
                  <c:v>3.2946211496373401</c:v>
                </c:pt>
                <c:pt idx="74">
                  <c:v>3.2945027254100299</c:v>
                </c:pt>
                <c:pt idx="75">
                  <c:v>3.2945419621653498</c:v>
                </c:pt>
                <c:pt idx="76">
                  <c:v>3.29472787858395</c:v>
                </c:pt>
                <c:pt idx="77">
                  <c:v>3.2950242029457</c:v>
                </c:pt>
                <c:pt idx="78">
                  <c:v>3.29532573910961</c:v>
                </c:pt>
                <c:pt idx="79">
                  <c:v>3.2955386172396</c:v>
                </c:pt>
                <c:pt idx="80">
                  <c:v>3.29554416749659</c:v>
                </c:pt>
                <c:pt idx="81">
                  <c:v>3.2955844758638402</c:v>
                </c:pt>
                <c:pt idx="82">
                  <c:v>3.29563951592116</c:v>
                </c:pt>
                <c:pt idx="83">
                  <c:v>3.29568281113254</c:v>
                </c:pt>
                <c:pt idx="84">
                  <c:v>3.2957351545192002</c:v>
                </c:pt>
                <c:pt idx="85">
                  <c:v>3.2957266591797398</c:v>
                </c:pt>
                <c:pt idx="86">
                  <c:v>3.2955336563126401</c:v>
                </c:pt>
                <c:pt idx="87">
                  <c:v>3.2954503542085498</c:v>
                </c:pt>
                <c:pt idx="88">
                  <c:v>3.2955080077439201</c:v>
                </c:pt>
                <c:pt idx="89">
                  <c:v>3.2953368549483</c:v>
                </c:pt>
                <c:pt idx="90">
                  <c:v>3.2953132195067201</c:v>
                </c:pt>
                <c:pt idx="91">
                  <c:v>3.29519101691085</c:v>
                </c:pt>
                <c:pt idx="92">
                  <c:v>3.2952435289405</c:v>
                </c:pt>
                <c:pt idx="93">
                  <c:v>3.2951687318959002</c:v>
                </c:pt>
                <c:pt idx="94">
                  <c:v>3.2949460237175998</c:v>
                </c:pt>
                <c:pt idx="95">
                  <c:v>3.2948783412890901</c:v>
                </c:pt>
                <c:pt idx="96">
                  <c:v>3.2946417563913899</c:v>
                </c:pt>
                <c:pt idx="97">
                  <c:v>3.2942806223219798</c:v>
                </c:pt>
                <c:pt idx="98">
                  <c:v>3.2939433509340201</c:v>
                </c:pt>
                <c:pt idx="99">
                  <c:v>3.2936374425617201</c:v>
                </c:pt>
                <c:pt idx="100">
                  <c:v>3.29335973995869</c:v>
                </c:pt>
                <c:pt idx="101">
                  <c:v>3.2930702629181199</c:v>
                </c:pt>
                <c:pt idx="102">
                  <c:v>3.2928523659576601</c:v>
                </c:pt>
                <c:pt idx="103">
                  <c:v>3.2926504636232101</c:v>
                </c:pt>
                <c:pt idx="104">
                  <c:v>3.2924806458799698</c:v>
                </c:pt>
                <c:pt idx="105">
                  <c:v>3.2924213855594702</c:v>
                </c:pt>
                <c:pt idx="106">
                  <c:v>3.2924300456898701</c:v>
                </c:pt>
                <c:pt idx="107">
                  <c:v>3.2922637312210798</c:v>
                </c:pt>
                <c:pt idx="108">
                  <c:v>3.2919724309383001</c:v>
                </c:pt>
                <c:pt idx="109">
                  <c:v>3.2918101338097099</c:v>
                </c:pt>
                <c:pt idx="110">
                  <c:v>3.29176755255033</c:v>
                </c:pt>
                <c:pt idx="111">
                  <c:v>3.2915394252753098</c:v>
                </c:pt>
                <c:pt idx="112">
                  <c:v>3.2912989982744101</c:v>
                </c:pt>
                <c:pt idx="113">
                  <c:v>3.2913329559010198</c:v>
                </c:pt>
                <c:pt idx="114">
                  <c:v>3.2912776096269898</c:v>
                </c:pt>
                <c:pt idx="115">
                  <c:v>3.2911335916773798</c:v>
                </c:pt>
                <c:pt idx="116">
                  <c:v>3.2912610965758899</c:v>
                </c:pt>
                <c:pt idx="117">
                  <c:v>3.29136166125233</c:v>
                </c:pt>
                <c:pt idx="118">
                  <c:v>3.2913405121353798</c:v>
                </c:pt>
                <c:pt idx="119">
                  <c:v>3.2914077455907602</c:v>
                </c:pt>
                <c:pt idx="120">
                  <c:v>3.2914858912210501</c:v>
                </c:pt>
                <c:pt idx="121">
                  <c:v>3.2913987963764102</c:v>
                </c:pt>
                <c:pt idx="122">
                  <c:v>3.2914045682219801</c:v>
                </c:pt>
                <c:pt idx="123">
                  <c:v>3.2912290759491798</c:v>
                </c:pt>
                <c:pt idx="124">
                  <c:v>3.2910979113137602</c:v>
                </c:pt>
                <c:pt idx="125">
                  <c:v>3.2907425984371401</c:v>
                </c:pt>
                <c:pt idx="126">
                  <c:v>3.29057328690859</c:v>
                </c:pt>
                <c:pt idx="127">
                  <c:v>3.2907098162853301</c:v>
                </c:pt>
                <c:pt idx="128">
                  <c:v>3.2908973306284901</c:v>
                </c:pt>
                <c:pt idx="129">
                  <c:v>3.2911229369454702</c:v>
                </c:pt>
                <c:pt idx="130">
                  <c:v>3.2911607618328098</c:v>
                </c:pt>
                <c:pt idx="131">
                  <c:v>3.2912951006656401</c:v>
                </c:pt>
                <c:pt idx="132">
                  <c:v>3.2913623727813501</c:v>
                </c:pt>
                <c:pt idx="133">
                  <c:v>3.2912010626294301</c:v>
                </c:pt>
                <c:pt idx="134">
                  <c:v>3.29109244381632</c:v>
                </c:pt>
                <c:pt idx="135">
                  <c:v>3.2911707434725499</c:v>
                </c:pt>
                <c:pt idx="136">
                  <c:v>3.2909647565303102</c:v>
                </c:pt>
                <c:pt idx="137">
                  <c:v>3.29082907611265</c:v>
                </c:pt>
                <c:pt idx="138">
                  <c:v>3.29088594782431</c:v>
                </c:pt>
                <c:pt idx="139">
                  <c:v>3.2911005555165498</c:v>
                </c:pt>
                <c:pt idx="140">
                  <c:v>3.2911436546261399</c:v>
                </c:pt>
                <c:pt idx="141">
                  <c:v>3.2912562463313901</c:v>
                </c:pt>
                <c:pt idx="142">
                  <c:v>3.29112332338689</c:v>
                </c:pt>
                <c:pt idx="143">
                  <c:v>3.2911878434582098</c:v>
                </c:pt>
                <c:pt idx="144">
                  <c:v>3.29131181162361</c:v>
                </c:pt>
                <c:pt idx="145">
                  <c:v>3.2916223422374702</c:v>
                </c:pt>
                <c:pt idx="146">
                  <c:v>3.2917216538892702</c:v>
                </c:pt>
                <c:pt idx="147">
                  <c:v>3.29168937118052</c:v>
                </c:pt>
                <c:pt idx="148">
                  <c:v>3.2915708917050499</c:v>
                </c:pt>
                <c:pt idx="149">
                  <c:v>3.2914444718363098</c:v>
                </c:pt>
                <c:pt idx="150">
                  <c:v>3.2915078216671301</c:v>
                </c:pt>
                <c:pt idx="151">
                  <c:v>3.2914431961552899</c:v>
                </c:pt>
                <c:pt idx="152">
                  <c:v>3.2915708344053001</c:v>
                </c:pt>
                <c:pt idx="153">
                  <c:v>3.2917204051509401</c:v>
                </c:pt>
                <c:pt idx="154">
                  <c:v>3.2919297018218598</c:v>
                </c:pt>
                <c:pt idx="155">
                  <c:v>3.2920089859511301</c:v>
                </c:pt>
                <c:pt idx="156">
                  <c:v>3.2921348347611898</c:v>
                </c:pt>
                <c:pt idx="157">
                  <c:v>3.29221949452702</c:v>
                </c:pt>
                <c:pt idx="158">
                  <c:v>3.2922341718630102</c:v>
                </c:pt>
                <c:pt idx="159">
                  <c:v>3.2921738203152402</c:v>
                </c:pt>
                <c:pt idx="160">
                  <c:v>3.2922435002080599</c:v>
                </c:pt>
                <c:pt idx="161">
                  <c:v>3.2923182740354999</c:v>
                </c:pt>
                <c:pt idx="162">
                  <c:v>3.2925742417042598</c:v>
                </c:pt>
                <c:pt idx="163">
                  <c:v>3.2928003009763702</c:v>
                </c:pt>
                <c:pt idx="164">
                  <c:v>3.29280416066839</c:v>
                </c:pt>
                <c:pt idx="165">
                  <c:v>3.29297972193174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FREL x avg / VNQ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4.9833729713625002E-4</c:v>
                </c:pt>
                <c:pt idx="2">
                  <c:v>5.9237397088549503E-4</c:v>
                </c:pt>
                <c:pt idx="3">
                  <c:v>7.5230125113129201E-4</c:v>
                </c:pt>
                <c:pt idx="4">
                  <c:v>7.5101012595707797E-4</c:v>
                </c:pt>
                <c:pt idx="5">
                  <c:v>1.3139827266888499E-3</c:v>
                </c:pt>
                <c:pt idx="6">
                  <c:v>1.4431576560663001E-3</c:v>
                </c:pt>
                <c:pt idx="7">
                  <c:v>1.0040321811958699E-3</c:v>
                </c:pt>
                <c:pt idx="8">
                  <c:v>1.4726082123112899E-3</c:v>
                </c:pt>
                <c:pt idx="9">
                  <c:v>1.0570789486396401E-3</c:v>
                </c:pt>
                <c:pt idx="10">
                  <c:v>1.39781322147747E-3</c:v>
                </c:pt>
                <c:pt idx="11">
                  <c:v>1.8661097691522099E-3</c:v>
                </c:pt>
                <c:pt idx="12">
                  <c:v>1.88394312358903E-3</c:v>
                </c:pt>
                <c:pt idx="13">
                  <c:v>1.65715873858799E-3</c:v>
                </c:pt>
                <c:pt idx="14">
                  <c:v>1.1216540415719899E-3</c:v>
                </c:pt>
                <c:pt idx="15">
                  <c:v>9.933684719312661E-4</c:v>
                </c:pt>
                <c:pt idx="16">
                  <c:v>1.3252085280707499E-3</c:v>
                </c:pt>
                <c:pt idx="17">
                  <c:v>6.9019370253755197E-4</c:v>
                </c:pt>
                <c:pt idx="18">
                  <c:v>6.9822450284690398E-4</c:v>
                </c:pt>
                <c:pt idx="19">
                  <c:v>7.9448560618906796E-4</c:v>
                </c:pt>
                <c:pt idx="20">
                  <c:v>2.6781406247484101E-4</c:v>
                </c:pt>
                <c:pt idx="21">
                  <c:v>1.3960705253349701E-3</c:v>
                </c:pt>
                <c:pt idx="22">
                  <c:v>1.3162059884541501E-3</c:v>
                </c:pt>
                <c:pt idx="23">
                  <c:v>1.2988832564998999E-3</c:v>
                </c:pt>
                <c:pt idx="24">
                  <c:v>4.16640972466085E-4</c:v>
                </c:pt>
                <c:pt idx="25">
                  <c:v>1.1599166132213E-4</c:v>
                </c:pt>
                <c:pt idx="26">
                  <c:v>-4.6383948876409101E-4</c:v>
                </c:pt>
                <c:pt idx="27">
                  <c:v>1.22206673783785E-3</c:v>
                </c:pt>
                <c:pt idx="28">
                  <c:v>-6.8576415875054394E-5</c:v>
                </c:pt>
                <c:pt idx="29">
                  <c:v>3.9049375036089002E-4</c:v>
                </c:pt>
                <c:pt idx="30">
                  <c:v>6.1945115544349599E-4</c:v>
                </c:pt>
                <c:pt idx="31">
                  <c:v>6.2843684627866998E-4</c:v>
                </c:pt>
                <c:pt idx="32">
                  <c:v>1.3538425722936199E-3</c:v>
                </c:pt>
                <c:pt idx="33">
                  <c:v>1.0999683126367401E-4</c:v>
                </c:pt>
                <c:pt idx="34">
                  <c:v>3.5164756995065001E-4</c:v>
                </c:pt>
                <c:pt idx="35">
                  <c:v>2.5152024402001598E-4</c:v>
                </c:pt>
                <c:pt idx="36">
                  <c:v>-4.7904579645932302E-4</c:v>
                </c:pt>
                <c:pt idx="37">
                  <c:v>-3.8432372648597202E-4</c:v>
                </c:pt>
                <c:pt idx="38">
                  <c:v>2.49241335207049E-4</c:v>
                </c:pt>
                <c:pt idx="39">
                  <c:v>-1.9315251712927501E-4</c:v>
                </c:pt>
                <c:pt idx="40">
                  <c:v>-3.7224958620351201E-4</c:v>
                </c:pt>
                <c:pt idx="41">
                  <c:v>9.5973155738782097E-5</c:v>
                </c:pt>
                <c:pt idx="42">
                  <c:v>1.19211301187149E-3</c:v>
                </c:pt>
                <c:pt idx="43">
                  <c:v>-1.0652456869652399E-4</c:v>
                </c:pt>
                <c:pt idx="44">
                  <c:v>1.12958445485486E-4</c:v>
                </c:pt>
                <c:pt idx="45">
                  <c:v>-1.50530218728162E-4</c:v>
                </c:pt>
                <c:pt idx="46">
                  <c:v>-7.0318482868665601E-4</c:v>
                </c:pt>
                <c:pt idx="47">
                  <c:v>-5.5360591585625995E-4</c:v>
                </c:pt>
                <c:pt idx="48">
                  <c:v>-1.1086143622310799E-3</c:v>
                </c:pt>
                <c:pt idx="49">
                  <c:v>-1.2336321144721201E-3</c:v>
                </c:pt>
                <c:pt idx="50">
                  <c:v>-1.7399722239520401E-3</c:v>
                </c:pt>
                <c:pt idx="51">
                  <c:v>-2.1613485590792998E-3</c:v>
                </c:pt>
                <c:pt idx="52">
                  <c:v>-6.4546867624208203E-4</c:v>
                </c:pt>
                <c:pt idx="53">
                  <c:v>-1.0658730620720799E-2</c:v>
                </c:pt>
                <c:pt idx="54">
                  <c:v>-1.09294353274558E-2</c:v>
                </c:pt>
                <c:pt idx="55">
                  <c:v>-2.4217462412600498E-5</c:v>
                </c:pt>
                <c:pt idx="56">
                  <c:v>2.2743416944284198E-5</c:v>
                </c:pt>
                <c:pt idx="57">
                  <c:v>2.6430510674282503E-4</c:v>
                </c:pt>
                <c:pt idx="58">
                  <c:v>2.13563423837402E-4</c:v>
                </c:pt>
                <c:pt idx="59">
                  <c:v>5.8250470824857705E-4</c:v>
                </c:pt>
                <c:pt idx="60">
                  <c:v>-7.6154159247766699E-4</c:v>
                </c:pt>
                <c:pt idx="61">
                  <c:v>-1.02381459913737E-3</c:v>
                </c:pt>
                <c:pt idx="62">
                  <c:v>-1.83599747180873E-4</c:v>
                </c:pt>
                <c:pt idx="63">
                  <c:v>-5.2863448139240602E-4</c:v>
                </c:pt>
                <c:pt idx="64">
                  <c:v>-5.0856403897501102E-4</c:v>
                </c:pt>
                <c:pt idx="65">
                  <c:v>-3.1677460263320102E-4</c:v>
                </c:pt>
                <c:pt idx="66">
                  <c:v>-3.2818504951422198E-4</c:v>
                </c:pt>
                <c:pt idx="67">
                  <c:v>1.20898720094139E-6</c:v>
                </c:pt>
                <c:pt idx="68">
                  <c:v>1.3301766912084099E-4</c:v>
                </c:pt>
                <c:pt idx="69">
                  <c:v>-5.7508395343285697E-4</c:v>
                </c:pt>
                <c:pt idx="70">
                  <c:v>8.0362616679454505E-5</c:v>
                </c:pt>
                <c:pt idx="71">
                  <c:v>-7.5630877567141395E-4</c:v>
                </c:pt>
                <c:pt idx="72">
                  <c:v>-1.1362657693503E-4</c:v>
                </c:pt>
                <c:pt idx="73">
                  <c:v>-3.2591595537074001E-4</c:v>
                </c:pt>
                <c:pt idx="74">
                  <c:v>-9.4679793703801498E-4</c:v>
                </c:pt>
                <c:pt idx="75">
                  <c:v>-2.6243934119178701E-4</c:v>
                </c:pt>
                <c:pt idx="76">
                  <c:v>-1.1055794603535801E-3</c:v>
                </c:pt>
                <c:pt idx="77">
                  <c:v>-1.5339131977707601E-3</c:v>
                </c:pt>
                <c:pt idx="78">
                  <c:v>-1.6161605640022099E-3</c:v>
                </c:pt>
                <c:pt idx="79">
                  <c:v>-7.1006544597847199E-4</c:v>
                </c:pt>
                <c:pt idx="80">
                  <c:v>-7.9521800755599596E-4</c:v>
                </c:pt>
                <c:pt idx="81">
                  <c:v>-1.26829738564079E-3</c:v>
                </c:pt>
                <c:pt idx="82">
                  <c:v>-5.1770045593526703E-4</c:v>
                </c:pt>
                <c:pt idx="83">
                  <c:v>-7.9136107599294704E-4</c:v>
                </c:pt>
                <c:pt idx="84">
                  <c:v>-8.2619496755578304E-4</c:v>
                </c:pt>
                <c:pt idx="85">
                  <c:v>-2.6520364820844898E-4</c:v>
                </c:pt>
                <c:pt idx="86">
                  <c:v>8.4408202800710902E-4</c:v>
                </c:pt>
                <c:pt idx="87">
                  <c:v>5.0717013208660298E-4</c:v>
                </c:pt>
                <c:pt idx="88">
                  <c:v>-2.17055237108948E-4</c:v>
                </c:pt>
                <c:pt idx="89">
                  <c:v>4.6414369931453302E-4</c:v>
                </c:pt>
                <c:pt idx="90">
                  <c:v>2.2390514713719001E-4</c:v>
                </c:pt>
                <c:pt idx="91">
                  <c:v>-1.45480429617723E-5</c:v>
                </c:pt>
                <c:pt idx="92">
                  <c:v>-4.3240655767550498E-4</c:v>
                </c:pt>
                <c:pt idx="93">
                  <c:v>1.2822671969215901E-4</c:v>
                </c:pt>
                <c:pt idx="94">
                  <c:v>4.0517914053479699E-4</c:v>
                </c:pt>
                <c:pt idx="95">
                  <c:v>1.4852297497109799E-4</c:v>
                </c:pt>
                <c:pt idx="96">
                  <c:v>3.3047025404263401E-4</c:v>
                </c:pt>
                <c:pt idx="97">
                  <c:v>6.5802843602639301E-4</c:v>
                </c:pt>
                <c:pt idx="98">
                  <c:v>4.30627122763589E-4</c:v>
                </c:pt>
                <c:pt idx="99">
                  <c:v>1.1478980704009399E-3</c:v>
                </c:pt>
                <c:pt idx="100">
                  <c:v>8.9114682455413102E-4</c:v>
                </c:pt>
                <c:pt idx="101">
                  <c:v>4.88799096117794E-4</c:v>
                </c:pt>
                <c:pt idx="102">
                  <c:v>8.0561829978780496E-4</c:v>
                </c:pt>
                <c:pt idx="103">
                  <c:v>4.3442479850749698E-4</c:v>
                </c:pt>
                <c:pt idx="104">
                  <c:v>2.0466313509509299E-4</c:v>
                </c:pt>
                <c:pt idx="105">
                  <c:v>9.4610102634706402E-5</c:v>
                </c:pt>
                <c:pt idx="106">
                  <c:v>7.9145238914815402E-4</c:v>
                </c:pt>
                <c:pt idx="107">
                  <c:v>1.5180990108385E-3</c:v>
                </c:pt>
                <c:pt idx="108">
                  <c:v>1.55297933351012E-3</c:v>
                </c:pt>
                <c:pt idx="109">
                  <c:v>1.45059899044649E-3</c:v>
                </c:pt>
                <c:pt idx="110">
                  <c:v>4.8256124110249301E-4</c:v>
                </c:pt>
                <c:pt idx="111">
                  <c:v>1.3716416781124E-3</c:v>
                </c:pt>
                <c:pt idx="112">
                  <c:v>1.0279648830370601E-3</c:v>
                </c:pt>
                <c:pt idx="113">
                  <c:v>-7.79782111604547E-5</c:v>
                </c:pt>
                <c:pt idx="114">
                  <c:v>7.4144918480722999E-4</c:v>
                </c:pt>
                <c:pt idx="115">
                  <c:v>-8.4207619099105104E-3</c:v>
                </c:pt>
                <c:pt idx="116">
                  <c:v>-9.8006432503674294E-3</c:v>
                </c:pt>
                <c:pt idx="117">
                  <c:v>-9.1832090160601405E-3</c:v>
                </c:pt>
                <c:pt idx="118">
                  <c:v>5.5911376065300399E-4</c:v>
                </c:pt>
                <c:pt idx="119">
                  <c:v>7.3925322469391998E-4</c:v>
                </c:pt>
                <c:pt idx="120">
                  <c:v>4.1631544373821799E-4</c:v>
                </c:pt>
                <c:pt idx="121">
                  <c:v>1.0180607884287499E-3</c:v>
                </c:pt>
                <c:pt idx="122">
                  <c:v>7.7054248497025301E-4</c:v>
                </c:pt>
                <c:pt idx="123">
                  <c:v>1.5010923333691299E-3</c:v>
                </c:pt>
                <c:pt idx="124">
                  <c:v>1.0016102280312E-3</c:v>
                </c:pt>
                <c:pt idx="125">
                  <c:v>2.2546999484374399E-3</c:v>
                </c:pt>
                <c:pt idx="126">
                  <c:v>1.82090079064169E-3</c:v>
                </c:pt>
                <c:pt idx="127">
                  <c:v>6.8814126761409405E-4</c:v>
                </c:pt>
                <c:pt idx="128">
                  <c:v>4.1322242937303797E-4</c:v>
                </c:pt>
                <c:pt idx="129">
                  <c:v>7.9608921027127599E-5</c:v>
                </c:pt>
                <c:pt idx="130">
                  <c:v>2.5279398942064E-4</c:v>
                </c:pt>
                <c:pt idx="131">
                  <c:v>5.5511429226942502E-4</c:v>
                </c:pt>
                <c:pt idx="132">
                  <c:v>6.1913413327060595E-4</c:v>
                </c:pt>
                <c:pt idx="133">
                  <c:v>9.01943571150569E-4</c:v>
                </c:pt>
                <c:pt idx="134">
                  <c:v>1.4017186827576E-3</c:v>
                </c:pt>
                <c:pt idx="135">
                  <c:v>5.4772089363137205E-4</c:v>
                </c:pt>
                <c:pt idx="136">
                  <c:v>8.0730530470462104E-4</c:v>
                </c:pt>
                <c:pt idx="137">
                  <c:v>8.7142369291870101E-4</c:v>
                </c:pt>
                <c:pt idx="138">
                  <c:v>2.13640128897844E-4</c:v>
                </c:pt>
                <c:pt idx="139">
                  <c:v>-5.6401591879621702E-4</c:v>
                </c:pt>
                <c:pt idx="140">
                  <c:v>1.54531466599081E-4</c:v>
                </c:pt>
                <c:pt idx="141">
                  <c:v>3.3391166906343101E-4</c:v>
                </c:pt>
                <c:pt idx="142">
                  <c:v>1.57863459334898E-3</c:v>
                </c:pt>
                <c:pt idx="143">
                  <c:v>1.1087976943056101E-3</c:v>
                </c:pt>
                <c:pt idx="144">
                  <c:v>2.4837191688361298E-4</c:v>
                </c:pt>
                <c:pt idx="145">
                  <c:v>3.6660264125686098E-4</c:v>
                </c:pt>
                <c:pt idx="146">
                  <c:v>1.21693733146403E-3</c:v>
                </c:pt>
                <c:pt idx="147">
                  <c:v>8.8432465585460297E-4</c:v>
                </c:pt>
                <c:pt idx="148">
                  <c:v>1.1332178356888299E-3</c:v>
                </c:pt>
                <c:pt idx="149">
                  <c:v>8.4761998497831297E-4</c:v>
                </c:pt>
                <c:pt idx="150">
                  <c:v>-1.3190630088506501E-4</c:v>
                </c:pt>
                <c:pt idx="151">
                  <c:v>9.4783261169725905E-4</c:v>
                </c:pt>
                <c:pt idx="152">
                  <c:v>-1.56098746422143E-4</c:v>
                </c:pt>
                <c:pt idx="153">
                  <c:v>-6.6964283823193304E-6</c:v>
                </c:pt>
                <c:pt idx="154">
                  <c:v>1.29840048425093E-4</c:v>
                </c:pt>
                <c:pt idx="155">
                  <c:v>6.61387654517359E-5</c:v>
                </c:pt>
                <c:pt idx="156">
                  <c:v>4.2792953126460399E-5</c:v>
                </c:pt>
                <c:pt idx="157">
                  <c:v>3.5703120146231802E-4</c:v>
                </c:pt>
                <c:pt idx="158">
                  <c:v>1.24500367134524E-4</c:v>
                </c:pt>
                <c:pt idx="159">
                  <c:v>-1.9768479716072399E-4</c:v>
                </c:pt>
                <c:pt idx="160">
                  <c:v>-2.6855927006142502E-4</c:v>
                </c:pt>
                <c:pt idx="161">
                  <c:v>-1.20183440848172E-4</c:v>
                </c:pt>
                <c:pt idx="162">
                  <c:v>2.3085631486497601E-5</c:v>
                </c:pt>
                <c:pt idx="163">
                  <c:v>-2.6447391055999501E-4</c:v>
                </c:pt>
                <c:pt idx="164">
                  <c:v>2.2492929215054699E-4</c:v>
                </c:pt>
                <c:pt idx="165">
                  <c:v>-6.9927473675012201E-4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FREL x 10 dma / VNQ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4.5675379788349702E-4</c:v>
                </c:pt>
                <c:pt idx="11">
                  <c:v>8.3790086295624795E-4</c:v>
                </c:pt>
                <c:pt idx="12">
                  <c:v>7.1896867162500903E-4</c:v>
                </c:pt>
                <c:pt idx="13">
                  <c:v>3.6302847401026398E-4</c:v>
                </c:pt>
                <c:pt idx="14">
                  <c:v>-2.6297415946507902E-4</c:v>
                </c:pt>
                <c:pt idx="15">
                  <c:v>-4.2834142794524998E-4</c:v>
                </c:pt>
                <c:pt idx="16">
                  <c:v>-6.4431865710936497E-5</c:v>
                </c:pt>
                <c:pt idx="17">
                  <c:v>-6.8765178362980195E-4</c:v>
                </c:pt>
                <c:pt idx="18">
                  <c:v>-6.4822096746108501E-4</c:v>
                </c:pt>
                <c:pt idx="19">
                  <c:v>-4.7450427469104101E-4</c:v>
                </c:pt>
                <c:pt idx="20">
                  <c:v>-9.7490781514156201E-4</c:v>
                </c:pt>
                <c:pt idx="21">
                  <c:v>2.6638850947815497E-4</c:v>
                </c:pt>
                <c:pt idx="22">
                  <c:v>2.33503231626616E-4</c:v>
                </c:pt>
                <c:pt idx="23">
                  <c:v>2.7292323852704198E-4</c:v>
                </c:pt>
                <c:pt idx="24">
                  <c:v>-5.7350833089397099E-4</c:v>
                </c:pt>
                <c:pt idx="25">
                  <c:v>-8.0364323722880002E-4</c:v>
                </c:pt>
                <c:pt idx="26">
                  <c:v>-1.2957085288400499E-3</c:v>
                </c:pt>
                <c:pt idx="27">
                  <c:v>5.6915829714684701E-4</c:v>
                </c:pt>
                <c:pt idx="28">
                  <c:v>-7.7465744925599904E-4</c:v>
                </c:pt>
                <c:pt idx="29">
                  <c:v>-2.3888012384609101E-4</c:v>
                </c:pt>
                <c:pt idx="30">
                  <c:v>3.0477141127624499E-5</c:v>
                </c:pt>
                <c:pt idx="31">
                  <c:v>4.29339293295533E-6</c:v>
                </c:pt>
                <c:pt idx="32">
                  <c:v>8.0642975799877302E-4</c:v>
                </c:pt>
                <c:pt idx="33">
                  <c:v>-4.4117668535327797E-4</c:v>
                </c:pt>
                <c:pt idx="34">
                  <c:v>-8.0662581924462198E-5</c:v>
                </c:pt>
                <c:pt idx="35">
                  <c:v>-1.7429027567100199E-4</c:v>
                </c:pt>
                <c:pt idx="36">
                  <c:v>-9.1841254724423101E-4</c:v>
                </c:pt>
                <c:pt idx="37">
                  <c:v>-8.2216846202402296E-4</c:v>
                </c:pt>
                <c:pt idx="38">
                  <c:v>-2.7974190317858902E-5</c:v>
                </c:pt>
                <c:pt idx="39">
                  <c:v>-5.0215626316694702E-4</c:v>
                </c:pt>
                <c:pt idx="40">
                  <c:v>-6.2287813122303796E-4</c:v>
                </c:pt>
                <c:pt idx="41">
                  <c:v>-5.5477631175917302E-5</c:v>
                </c:pt>
                <c:pt idx="42">
                  <c:v>1.0938959569853799E-3</c:v>
                </c:pt>
                <c:pt idx="43">
                  <c:v>-1.8858778619519501E-4</c:v>
                </c:pt>
                <c:pt idx="44">
                  <c:v>5.2548872906400603E-5</c:v>
                </c:pt>
                <c:pt idx="45">
                  <c:v>-1.8707526612083301E-4</c:v>
                </c:pt>
                <c:pt idx="46">
                  <c:v>-6.9952619856714895E-4</c:v>
                </c:pt>
                <c:pt idx="47">
                  <c:v>-5.2752046288495505E-4</c:v>
                </c:pt>
                <c:pt idx="48">
                  <c:v>-1.06559333489091E-3</c:v>
                </c:pt>
                <c:pt idx="49">
                  <c:v>-1.0547822183655201E-3</c:v>
                </c:pt>
                <c:pt idx="50">
                  <c:v>-1.45702414890294E-3</c:v>
                </c:pt>
                <c:pt idx="51">
                  <c:v>-1.7415317884126699E-3</c:v>
                </c:pt>
                <c:pt idx="52">
                  <c:v>1.93196024945104E-7</c:v>
                </c:pt>
                <c:pt idx="53">
                  <c:v>-9.8294961975371204E-3</c:v>
                </c:pt>
                <c:pt idx="54">
                  <c:v>-9.0407210379636199E-3</c:v>
                </c:pt>
                <c:pt idx="55">
                  <c:v>2.9720215467037201E-3</c:v>
                </c:pt>
                <c:pt idx="56">
                  <c:v>3.0063877603980702E-3</c:v>
                </c:pt>
                <c:pt idx="57">
                  <c:v>3.17554564313493E-3</c:v>
                </c:pt>
                <c:pt idx="58">
                  <c:v>3.0432354988091902E-3</c:v>
                </c:pt>
                <c:pt idx="59">
                  <c:v>3.2802648823007001E-3</c:v>
                </c:pt>
                <c:pt idx="60">
                  <c:v>1.7550187714492501E-3</c:v>
                </c:pt>
                <c:pt idx="61">
                  <c:v>1.3950216946381701E-3</c:v>
                </c:pt>
                <c:pt idx="62">
                  <c:v>2.1215706352086098E-3</c:v>
                </c:pt>
                <c:pt idx="63">
                  <c:v>1.73043518517428E-3</c:v>
                </c:pt>
                <c:pt idx="64">
                  <c:v>7.3359115214284803E-4</c:v>
                </c:pt>
                <c:pt idx="65">
                  <c:v>-1.21935240996789E-4</c:v>
                </c:pt>
                <c:pt idx="66">
                  <c:v>-1.0409111384331701E-4</c:v>
                </c:pt>
                <c:pt idx="67">
                  <c:v>2.6039264944950798E-4</c:v>
                </c:pt>
                <c:pt idx="68">
                  <c:v>4.1850028779145601E-4</c:v>
                </c:pt>
                <c:pt idx="69">
                  <c:v>-2.8155048607207499E-4</c:v>
                </c:pt>
                <c:pt idx="70">
                  <c:v>4.8961385761259505E-4</c:v>
                </c:pt>
                <c:pt idx="71">
                  <c:v>-4.31245721402607E-4</c:v>
                </c:pt>
                <c:pt idx="72">
                  <c:v>1.84670418386449E-4</c:v>
                </c:pt>
                <c:pt idx="73">
                  <c:v>-3.4615254242207799E-5</c:v>
                </c:pt>
                <c:pt idx="74">
                  <c:v>-6.7577205072205204E-4</c:v>
                </c:pt>
                <c:pt idx="75">
                  <c:v>5.2428990931950902E-5</c:v>
                </c:pt>
                <c:pt idx="76">
                  <c:v>-7.9614453187912704E-4</c:v>
                </c:pt>
                <c:pt idx="77">
                  <c:v>-1.1467101690898901E-3</c:v>
                </c:pt>
                <c:pt idx="78">
                  <c:v>-1.07539887742793E-3</c:v>
                </c:pt>
                <c:pt idx="79">
                  <c:v>5.6339124584595302E-6</c:v>
                </c:pt>
                <c:pt idx="80">
                  <c:v>-6.6021577951616494E-5</c:v>
                </c:pt>
                <c:pt idx="81">
                  <c:v>-4.5157926625193897E-4</c:v>
                </c:pt>
                <c:pt idx="82">
                  <c:v>3.5022522858693E-4</c:v>
                </c:pt>
                <c:pt idx="83">
                  <c:v>1.1694887193775899E-4</c:v>
                </c:pt>
                <c:pt idx="84">
                  <c:v>1.28642138011114E-4</c:v>
                </c:pt>
                <c:pt idx="85">
                  <c:v>6.7757391186725304E-4</c:v>
                </c:pt>
                <c:pt idx="86">
                  <c:v>1.7871358311255399E-3</c:v>
                </c:pt>
                <c:pt idx="87">
                  <c:v>1.25539708568567E-3</c:v>
                </c:pt>
                <c:pt idx="88">
                  <c:v>3.2709045523853002E-4</c:v>
                </c:pt>
                <c:pt idx="89">
                  <c:v>8.6831693077708697E-4</c:v>
                </c:pt>
                <c:pt idx="90">
                  <c:v>5.1068358239718501E-4</c:v>
                </c:pt>
                <c:pt idx="91">
                  <c:v>1.7031299336302399E-4</c:v>
                </c:pt>
                <c:pt idx="92">
                  <c:v>-3.7298558556929498E-4</c:v>
                </c:pt>
                <c:pt idx="93">
                  <c:v>1.79114719735517E-4</c:v>
                </c:pt>
                <c:pt idx="94">
                  <c:v>3.6407831238877402E-4</c:v>
                </c:pt>
                <c:pt idx="95">
                  <c:v>-1.57538439637613E-5</c:v>
                </c:pt>
                <c:pt idx="96">
                  <c:v>1.24810704951727E-4</c:v>
                </c:pt>
                <c:pt idx="97">
                  <c:v>5.0370915042449596E-4</c:v>
                </c:pt>
                <c:pt idx="98">
                  <c:v>2.6122835263475198E-4</c:v>
                </c:pt>
                <c:pt idx="99">
                  <c:v>9.1372490988752501E-4</c:v>
                </c:pt>
                <c:pt idx="100">
                  <c:v>5.8863497972671001E-4</c:v>
                </c:pt>
                <c:pt idx="101">
                  <c:v>1.19577870727059E-4</c:v>
                </c:pt>
                <c:pt idx="102">
                  <c:v>3.8605444335010401E-4</c:v>
                </c:pt>
                <c:pt idx="103">
                  <c:v>-1.08978063455056E-4</c:v>
                </c:pt>
                <c:pt idx="104">
                  <c:v>-3.69368029712312E-4</c:v>
                </c:pt>
                <c:pt idx="105">
                  <c:v>-4.5936426592139198E-4</c:v>
                </c:pt>
                <c:pt idx="106">
                  <c:v>2.42871625020045E-4</c:v>
                </c:pt>
                <c:pt idx="107">
                  <c:v>9.2341954098052695E-4</c:v>
                </c:pt>
                <c:pt idx="108">
                  <c:v>8.72331532411654E-4</c:v>
                </c:pt>
                <c:pt idx="109">
                  <c:v>6.5774458462399899E-4</c:v>
                </c:pt>
                <c:pt idx="110">
                  <c:v>-3.4054838980827602E-4</c:v>
                </c:pt>
                <c:pt idx="111">
                  <c:v>5.8939533850174697E-4</c:v>
                </c:pt>
                <c:pt idx="112">
                  <c:v>1.57443449041601E-4</c:v>
                </c:pt>
                <c:pt idx="113">
                  <c:v>-9.7073352192015498E-4</c:v>
                </c:pt>
                <c:pt idx="114">
                  <c:v>-1.00030513122207E-4</c:v>
                </c:pt>
                <c:pt idx="115">
                  <c:v>-9.3159414353707407E-3</c:v>
                </c:pt>
                <c:pt idx="116">
                  <c:v>-9.8403308216219194E-3</c:v>
                </c:pt>
                <c:pt idx="117">
                  <c:v>-8.1594234362059297E-3</c:v>
                </c:pt>
                <c:pt idx="118">
                  <c:v>2.65546983021526E-3</c:v>
                </c:pt>
                <c:pt idx="119">
                  <c:v>2.9346781350121798E-3</c:v>
                </c:pt>
                <c:pt idx="120">
                  <c:v>2.68263874569392E-3</c:v>
                </c:pt>
                <c:pt idx="121">
                  <c:v>3.2909906819260301E-3</c:v>
                </c:pt>
                <c:pt idx="122">
                  <c:v>3.07870744509751E-3</c:v>
                </c:pt>
                <c:pt idx="123">
                  <c:v>3.83491677029755E-3</c:v>
                </c:pt>
                <c:pt idx="124">
                  <c:v>3.1779953569558198E-3</c:v>
                </c:pt>
                <c:pt idx="125">
                  <c:v>4.4051478107493902E-3</c:v>
                </c:pt>
                <c:pt idx="126">
                  <c:v>2.9022300494697798E-3</c:v>
                </c:pt>
                <c:pt idx="127">
                  <c:v>6.0324469085592397E-4</c:v>
                </c:pt>
                <c:pt idx="128">
                  <c:v>-6.6359095942611801E-4</c:v>
                </c:pt>
                <c:pt idx="129">
                  <c:v>-9.8260682162901809E-4</c:v>
                </c:pt>
                <c:pt idx="130">
                  <c:v>-7.4341642544517995E-4</c:v>
                </c:pt>
                <c:pt idx="131">
                  <c:v>-4.2473328794799699E-4</c:v>
                </c:pt>
                <c:pt idx="132">
                  <c:v>-3.1441092112543298E-4</c:v>
                </c:pt>
                <c:pt idx="133">
                  <c:v>-1.64571480861772E-5</c:v>
                </c:pt>
                <c:pt idx="134">
                  <c:v>5.4321408629695296E-4</c:v>
                </c:pt>
                <c:pt idx="135">
                  <c:v>-3.5078162071411697E-4</c:v>
                </c:pt>
                <c:pt idx="136">
                  <c:v>7.9400374336897802E-5</c:v>
                </c:pt>
                <c:pt idx="137">
                  <c:v>2.4481378560187303E-4</c:v>
                </c:pt>
                <c:pt idx="138">
                  <c:v>-4.3129538171889802E-4</c:v>
                </c:pt>
                <c:pt idx="139">
                  <c:v>-1.1889867812927299E-3</c:v>
                </c:pt>
                <c:pt idx="140">
                  <c:v>-4.0602314787132102E-4</c:v>
                </c:pt>
                <c:pt idx="141">
                  <c:v>-2.16813233897067E-4</c:v>
                </c:pt>
                <c:pt idx="142">
                  <c:v>1.05003205761338E-3</c:v>
                </c:pt>
                <c:pt idx="143">
                  <c:v>4.8429521359881998E-4</c:v>
                </c:pt>
                <c:pt idx="144">
                  <c:v>-3.9680831304410102E-4</c:v>
                </c:pt>
                <c:pt idx="145">
                  <c:v>-1.6327029664769401E-4</c:v>
                </c:pt>
                <c:pt idx="146">
                  <c:v>7.0517737176069295E-4</c:v>
                </c:pt>
                <c:pt idx="147">
                  <c:v>3.3162114629009802E-4</c:v>
                </c:pt>
                <c:pt idx="148">
                  <c:v>5.7922464843211696E-4</c:v>
                </c:pt>
                <c:pt idx="149">
                  <c:v>2.0167577883149299E-4</c:v>
                </c:pt>
                <c:pt idx="150">
                  <c:v>-9.19095268168893E-4</c:v>
                </c:pt>
                <c:pt idx="151">
                  <c:v>1.8930924305121701E-4</c:v>
                </c:pt>
                <c:pt idx="152">
                  <c:v>-9.7602331859160201E-4</c:v>
                </c:pt>
                <c:pt idx="153">
                  <c:v>-6.5314384279783295E-4</c:v>
                </c:pt>
                <c:pt idx="154">
                  <c:v>-4.0505352833556302E-4</c:v>
                </c:pt>
                <c:pt idx="155">
                  <c:v>-4.5689759535957701E-4</c:v>
                </c:pt>
                <c:pt idx="156">
                  <c:v>-4.5018825604379599E-4</c:v>
                </c:pt>
                <c:pt idx="157">
                  <c:v>-1.8558524830456602E-5</c:v>
                </c:pt>
                <c:pt idx="158">
                  <c:v>-1.98374324327324E-4</c:v>
                </c:pt>
                <c:pt idx="159">
                  <c:v>-4.1972368205288698E-4</c:v>
                </c:pt>
                <c:pt idx="160">
                  <c:v>-3.8608389242039801E-4</c:v>
                </c:pt>
                <c:pt idx="161">
                  <c:v>-2.2403851676801201E-4</c:v>
                </c:pt>
                <c:pt idx="162">
                  <c:v>2.5993366432784299E-5</c:v>
                </c:pt>
                <c:pt idx="163">
                  <c:v>-2.7948591361406E-4</c:v>
                </c:pt>
                <c:pt idx="164">
                  <c:v>2.35698587393771E-4</c:v>
                </c:pt>
                <c:pt idx="165">
                  <c:v>-6.9801262210276104E-4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FREL x 20 dma / VNQ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-8.2406521310084797E-4</c:v>
                </c:pt>
                <c:pt idx="21">
                  <c:v>3.1712635140773498E-4</c:v>
                </c:pt>
                <c:pt idx="22">
                  <c:v>1.9236823013734299E-4</c:v>
                </c:pt>
                <c:pt idx="23">
                  <c:v>1.38847104634734E-4</c:v>
                </c:pt>
                <c:pt idx="24">
                  <c:v>-7.7072832803262898E-4</c:v>
                </c:pt>
                <c:pt idx="25">
                  <c:v>-1.05464922797857E-3</c:v>
                </c:pt>
                <c:pt idx="26">
                  <c:v>-1.57455531708314E-3</c:v>
                </c:pt>
                <c:pt idx="27">
                  <c:v>2.0675546612208601E-4</c:v>
                </c:pt>
                <c:pt idx="28">
                  <c:v>-1.0947884093936799E-3</c:v>
                </c:pt>
                <c:pt idx="29">
                  <c:v>-5.5863698860398497E-4</c:v>
                </c:pt>
                <c:pt idx="30">
                  <c:v>-2.9634336724022501E-4</c:v>
                </c:pt>
                <c:pt idx="31">
                  <c:v>-2.48443942168171E-4</c:v>
                </c:pt>
                <c:pt idx="32">
                  <c:v>5.3882060364723199E-4</c:v>
                </c:pt>
                <c:pt idx="33">
                  <c:v>-6.7854175825384302E-4</c:v>
                </c:pt>
                <c:pt idx="34">
                  <c:v>-3.5954325960264698E-4</c:v>
                </c:pt>
                <c:pt idx="35">
                  <c:v>-4.2117198228654401E-4</c:v>
                </c:pt>
                <c:pt idx="36">
                  <c:v>-1.1146444346339099E-3</c:v>
                </c:pt>
                <c:pt idx="37">
                  <c:v>-9.2969453305086496E-4</c:v>
                </c:pt>
                <c:pt idx="38">
                  <c:v>-2.4238395354296501E-4</c:v>
                </c:pt>
                <c:pt idx="39">
                  <c:v>-6.6232849762433801E-4</c:v>
                </c:pt>
                <c:pt idx="40">
                  <c:v>-7.9203655616423595E-4</c:v>
                </c:pt>
                <c:pt idx="41">
                  <c:v>-2.9179603459712598E-4</c:v>
                </c:pt>
                <c:pt idx="42">
                  <c:v>8.6932329938481595E-4</c:v>
                </c:pt>
                <c:pt idx="43">
                  <c:v>-4.2311542769526397E-4</c:v>
                </c:pt>
                <c:pt idx="44">
                  <c:v>-1.3338412798679999E-4</c:v>
                </c:pt>
                <c:pt idx="45">
                  <c:v>-3.8168906131907303E-4</c:v>
                </c:pt>
                <c:pt idx="46">
                  <c:v>-9.2101435508359995E-4</c:v>
                </c:pt>
                <c:pt idx="47">
                  <c:v>-7.5945865323746398E-4</c:v>
                </c:pt>
                <c:pt idx="48">
                  <c:v>-1.22569879239234E-3</c:v>
                </c:pt>
                <c:pt idx="49">
                  <c:v>-1.2986792892907099E-3</c:v>
                </c:pt>
                <c:pt idx="50">
                  <c:v>-1.7237768709363599E-3</c:v>
                </c:pt>
                <c:pt idx="51">
                  <c:v>-2.0271247738759199E-3</c:v>
                </c:pt>
                <c:pt idx="52">
                  <c:v>-3.7167709807086198E-4</c:v>
                </c:pt>
                <c:pt idx="53">
                  <c:v>-1.02850412099582E-2</c:v>
                </c:pt>
                <c:pt idx="54">
                  <c:v>-1.00148080835958E-2</c:v>
                </c:pt>
                <c:pt idx="55">
                  <c:v>1.45677924040046E-3</c:v>
                </c:pt>
                <c:pt idx="56">
                  <c:v>1.5175049426765601E-3</c:v>
                </c:pt>
                <c:pt idx="57">
                  <c:v>1.73400861604576E-3</c:v>
                </c:pt>
                <c:pt idx="58">
                  <c:v>1.6508806526869999E-3</c:v>
                </c:pt>
                <c:pt idx="59">
                  <c:v>2.0216028567418901E-3</c:v>
                </c:pt>
                <c:pt idx="60">
                  <c:v>6.3883625486295501E-4</c:v>
                </c:pt>
                <c:pt idx="61">
                  <c:v>3.96011442882555E-4</c:v>
                </c:pt>
                <c:pt idx="62">
                  <c:v>1.29216062616984E-3</c:v>
                </c:pt>
                <c:pt idx="63">
                  <c:v>1.01577311706398E-3</c:v>
                </c:pt>
                <c:pt idx="64">
                  <c:v>1.05692295616249E-3</c:v>
                </c:pt>
                <c:pt idx="65">
                  <c:v>1.27974556242075E-3</c:v>
                </c:pt>
                <c:pt idx="66">
                  <c:v>1.2766359795527999E-3</c:v>
                </c:pt>
                <c:pt idx="67">
                  <c:v>1.5873002619716001E-3</c:v>
                </c:pt>
                <c:pt idx="68">
                  <c:v>1.6914041282222699E-3</c:v>
                </c:pt>
                <c:pt idx="69">
                  <c:v>9.2128540535672896E-4</c:v>
                </c:pt>
                <c:pt idx="70">
                  <c:v>1.5438235129742899E-3</c:v>
                </c:pt>
                <c:pt idx="71">
                  <c:v>6.1618888404829598E-4</c:v>
                </c:pt>
                <c:pt idx="72">
                  <c:v>1.1886105544349601E-3</c:v>
                </c:pt>
                <c:pt idx="73">
                  <c:v>9.4975324273653303E-4</c:v>
                </c:pt>
                <c:pt idx="74">
                  <c:v>-1.9008951180992799E-4</c:v>
                </c:pt>
                <c:pt idx="75">
                  <c:v>-7.5836934424696201E-6</c:v>
                </c:pt>
                <c:pt idx="76">
                  <c:v>-8.3881411789533402E-4</c:v>
                </c:pt>
                <c:pt idx="77">
                  <c:v>-1.2107178036860999E-3</c:v>
                </c:pt>
                <c:pt idx="78">
                  <c:v>-1.2030302654545901E-3</c:v>
                </c:pt>
                <c:pt idx="79">
                  <c:v>-2.0542675507497499E-4</c:v>
                </c:pt>
                <c:pt idx="80">
                  <c:v>-2.2598137667169399E-4</c:v>
                </c:pt>
                <c:pt idx="81">
                  <c:v>-6.97376583224224E-4</c:v>
                </c:pt>
                <c:pt idx="82">
                  <c:v>6.5451443591497201E-5</c:v>
                </c:pt>
                <c:pt idx="83">
                  <c:v>-1.9150816391257E-4</c:v>
                </c:pt>
                <c:pt idx="84">
                  <c:v>-2.1320502189226001E-4</c:v>
                </c:pt>
                <c:pt idx="85">
                  <c:v>3.6366858164021601E-4</c:v>
                </c:pt>
                <c:pt idx="86">
                  <c:v>1.4703765779126E-3</c:v>
                </c:pt>
                <c:pt idx="87">
                  <c:v>1.0749014155107799E-3</c:v>
                </c:pt>
                <c:pt idx="88">
                  <c:v>3.25398453783585E-4</c:v>
                </c:pt>
                <c:pt idx="89">
                  <c:v>1.0240921253303499E-3</c:v>
                </c:pt>
                <c:pt idx="90">
                  <c:v>7.3191704627957295E-4</c:v>
                </c:pt>
                <c:pt idx="91">
                  <c:v>4.8629144031591499E-4</c:v>
                </c:pt>
                <c:pt idx="92">
                  <c:v>3.1348480620222703E-5</c:v>
                </c:pt>
                <c:pt idx="93">
                  <c:v>6.07917590226096E-4</c:v>
                </c:pt>
                <c:pt idx="94">
                  <c:v>8.6217126578619504E-4</c:v>
                </c:pt>
                <c:pt idx="95">
                  <c:v>5.3792654170857501E-4</c:v>
                </c:pt>
                <c:pt idx="96">
                  <c:v>6.9933232384312798E-4</c:v>
                </c:pt>
                <c:pt idx="97">
                  <c:v>9.5508409373573698E-4</c:v>
                </c:pt>
                <c:pt idx="98">
                  <c:v>6.1806422708393996E-4</c:v>
                </c:pt>
                <c:pt idx="99">
                  <c:v>1.2329490416391E-3</c:v>
                </c:pt>
                <c:pt idx="100">
                  <c:v>8.8332352764894199E-4</c:v>
                </c:pt>
                <c:pt idx="101">
                  <c:v>3.9665737747847401E-4</c:v>
                </c:pt>
                <c:pt idx="102">
                  <c:v>6.2557553593009399E-4</c:v>
                </c:pt>
                <c:pt idx="103">
                  <c:v>1.88211515250729E-4</c:v>
                </c:pt>
                <c:pt idx="104">
                  <c:v>-1.0286735953908101E-4</c:v>
                </c:pt>
                <c:pt idx="105">
                  <c:v>-2.6449650808843398E-4</c:v>
                </c:pt>
                <c:pt idx="106">
                  <c:v>4.1434693190831002E-4</c:v>
                </c:pt>
                <c:pt idx="107">
                  <c:v>1.14362387274486E-3</c:v>
                </c:pt>
                <c:pt idx="108">
                  <c:v>1.12798871984232E-3</c:v>
                </c:pt>
                <c:pt idx="109">
                  <c:v>9.3712422286979695E-4</c:v>
                </c:pt>
                <c:pt idx="110">
                  <c:v>-8.0215619010174895E-5</c:v>
                </c:pt>
                <c:pt idx="111">
                  <c:v>7.9592921932946303E-4</c:v>
                </c:pt>
                <c:pt idx="112">
                  <c:v>3.8294765816236003E-4</c:v>
                </c:pt>
                <c:pt idx="113">
                  <c:v>-7.9604204162993502E-4</c:v>
                </c:pt>
                <c:pt idx="114">
                  <c:v>3.3702694528462699E-5</c:v>
                </c:pt>
                <c:pt idx="115">
                  <c:v>-9.1453243042988793E-3</c:v>
                </c:pt>
                <c:pt idx="116">
                  <c:v>-1.00947450465239E-2</c:v>
                </c:pt>
                <c:pt idx="117">
                  <c:v>-8.9683285324582904E-3</c:v>
                </c:pt>
                <c:pt idx="118">
                  <c:v>1.2679318633872999E-3</c:v>
                </c:pt>
                <c:pt idx="119">
                  <c:v>1.4416547031855999E-3</c:v>
                </c:pt>
                <c:pt idx="120">
                  <c:v>1.13911535326712E-3</c:v>
                </c:pt>
                <c:pt idx="121">
                  <c:v>1.76456932764552E-3</c:v>
                </c:pt>
                <c:pt idx="122">
                  <c:v>1.4906272534034801E-3</c:v>
                </c:pt>
                <c:pt idx="123">
                  <c:v>2.2229282479973899E-3</c:v>
                </c:pt>
                <c:pt idx="124">
                  <c:v>1.67020138161075E-3</c:v>
                </c:pt>
                <c:pt idx="125">
                  <c:v>2.88349359718836E-3</c:v>
                </c:pt>
                <c:pt idx="126">
                  <c:v>2.3418787192616701E-3</c:v>
                </c:pt>
                <c:pt idx="127">
                  <c:v>1.1577394161699001E-3</c:v>
                </c:pt>
                <c:pt idx="128">
                  <c:v>9.2425239477821899E-4</c:v>
                </c:pt>
                <c:pt idx="129">
                  <c:v>6.4754003209975704E-4</c:v>
                </c:pt>
                <c:pt idx="130">
                  <c:v>8.8918094815706799E-4</c:v>
                </c:pt>
                <c:pt idx="131">
                  <c:v>1.2029780184879401E-3</c:v>
                </c:pt>
                <c:pt idx="132">
                  <c:v>1.30775767103826E-3</c:v>
                </c:pt>
                <c:pt idx="133">
                  <c:v>1.6109775504721401E-3</c:v>
                </c:pt>
                <c:pt idx="134">
                  <c:v>2.0618102680033698E-3</c:v>
                </c:pt>
                <c:pt idx="135">
                  <c:v>1.1748555794643899E-3</c:v>
                </c:pt>
                <c:pt idx="136">
                  <c:v>9.8442663492298403E-4</c:v>
                </c:pt>
                <c:pt idx="137">
                  <c:v>5.15707132547357E-4</c:v>
                </c:pt>
                <c:pt idx="138">
                  <c:v>-6.4721100599758402E-4</c:v>
                </c:pt>
                <c:pt idx="139">
                  <c:v>-1.40758532348703E-3</c:v>
                </c:pt>
                <c:pt idx="140">
                  <c:v>-6.2382732357205996E-4</c:v>
                </c:pt>
                <c:pt idx="141">
                  <c:v>-4.3135155424176599E-4</c:v>
                </c:pt>
                <c:pt idx="142">
                  <c:v>8.4758129558836198E-4</c:v>
                </c:pt>
                <c:pt idx="143">
                  <c:v>3.3735689135586501E-4</c:v>
                </c:pt>
                <c:pt idx="144">
                  <c:v>-5.0346480789971698E-4</c:v>
                </c:pt>
                <c:pt idx="145">
                  <c:v>-3.4756809889757099E-4</c:v>
                </c:pt>
                <c:pt idx="146">
                  <c:v>5.9711072625945999E-4</c:v>
                </c:pt>
                <c:pt idx="147">
                  <c:v>2.9466863018346497E-4</c:v>
                </c:pt>
                <c:pt idx="148">
                  <c:v>5.3375452056515804E-4</c:v>
                </c:pt>
                <c:pt idx="149">
                  <c:v>2.1216250564185801E-4</c:v>
                </c:pt>
                <c:pt idx="150">
                  <c:v>-8.0577167137089903E-4</c:v>
                </c:pt>
                <c:pt idx="151">
                  <c:v>2.9321387341906202E-4</c:v>
                </c:pt>
                <c:pt idx="152">
                  <c:v>-8.3035169180876696E-4</c:v>
                </c:pt>
                <c:pt idx="153">
                  <c:v>-6.4217131574611803E-4</c:v>
                </c:pt>
                <c:pt idx="154">
                  <c:v>-4.60195334525861E-4</c:v>
                </c:pt>
                <c:pt idx="155">
                  <c:v>-4.6031587806378898E-4</c:v>
                </c:pt>
                <c:pt idx="156">
                  <c:v>-4.5957758723004299E-4</c:v>
                </c:pt>
                <c:pt idx="157">
                  <c:v>-1.07111495304761E-4</c:v>
                </c:pt>
                <c:pt idx="158">
                  <c:v>-3.1392689525465601E-4</c:v>
                </c:pt>
                <c:pt idx="159">
                  <c:v>-6.3165388071517096E-4</c:v>
                </c:pt>
                <c:pt idx="160">
                  <c:v>-7.2086000859222798E-4</c:v>
                </c:pt>
                <c:pt idx="161">
                  <c:v>-5.5131908931048098E-4</c:v>
                </c:pt>
                <c:pt idx="162">
                  <c:v>-3.8533815550165299E-4</c:v>
                </c:pt>
                <c:pt idx="163">
                  <c:v>-5.9515378046064897E-4</c:v>
                </c:pt>
                <c:pt idx="164">
                  <c:v>-3.7095630112643002E-5</c:v>
                </c:pt>
                <c:pt idx="165">
                  <c:v>-9.6012749872109303E-4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1.6859062266018701E-3</c:v>
                </c:pt>
                <c:pt idx="8">
                  <c:v>1.6859062266018701E-3</c:v>
                </c:pt>
                <c:pt idx="9">
                  <c:v>1.6859062266018701E-3</c:v>
                </c:pt>
                <c:pt idx="10">
                  <c:v>1.6859062266018701E-3</c:v>
                </c:pt>
                <c:pt idx="11">
                  <c:v>1.6859062266018701E-3</c:v>
                </c:pt>
                <c:pt idx="12">
                  <c:v>1.6859062266018701E-3</c:v>
                </c:pt>
                <c:pt idx="13">
                  <c:v>1.6859062266018701E-3</c:v>
                </c:pt>
                <c:pt idx="14">
                  <c:v>1.6859062266018701E-3</c:v>
                </c:pt>
                <c:pt idx="15">
                  <c:v>1.6859062266018701E-3</c:v>
                </c:pt>
                <c:pt idx="16">
                  <c:v>1.6859062266018701E-3</c:v>
                </c:pt>
                <c:pt idx="17">
                  <c:v>1.6859062266018701E-3</c:v>
                </c:pt>
                <c:pt idx="18">
                  <c:v>1.6859062266018701E-3</c:v>
                </c:pt>
                <c:pt idx="19">
                  <c:v>1.6859062266018701E-3</c:v>
                </c:pt>
                <c:pt idx="20">
                  <c:v>1.6859062266018701E-3</c:v>
                </c:pt>
                <c:pt idx="21">
                  <c:v>1.6859062266018701E-3</c:v>
                </c:pt>
                <c:pt idx="22">
                  <c:v>1.6859062266018701E-3</c:v>
                </c:pt>
                <c:pt idx="23">
                  <c:v>1.6859062266018701E-3</c:v>
                </c:pt>
                <c:pt idx="24">
                  <c:v>1.6859062266018701E-3</c:v>
                </c:pt>
                <c:pt idx="25">
                  <c:v>1.6859062266018701E-3</c:v>
                </c:pt>
                <c:pt idx="26">
                  <c:v>1.6859062266018701E-3</c:v>
                </c:pt>
                <c:pt idx="27">
                  <c:v>1.6859062266018701E-3</c:v>
                </c:pt>
                <c:pt idx="28">
                  <c:v>1.6859062266018701E-3</c:v>
                </c:pt>
                <c:pt idx="29">
                  <c:v>1.5608884743610503E-3</c:v>
                </c:pt>
                <c:pt idx="30">
                  <c:v>1.0545483648811502E-3</c:v>
                </c:pt>
                <c:pt idx="31">
                  <c:v>6.3317202975374937E-4</c:v>
                </c:pt>
                <c:pt idx="32">
                  <c:v>2.149051912591079E-3</c:v>
                </c:pt>
                <c:pt idx="33">
                  <c:v>2.149051912591079E-3</c:v>
                </c:pt>
                <c:pt idx="34">
                  <c:v>2.149051912591079E-3</c:v>
                </c:pt>
                <c:pt idx="35">
                  <c:v>2.149051912591079E-3</c:v>
                </c:pt>
                <c:pt idx="36">
                  <c:v>2.149051912591079E-3</c:v>
                </c:pt>
                <c:pt idx="37">
                  <c:v>2.149051912591079E-3</c:v>
                </c:pt>
                <c:pt idx="38">
                  <c:v>2.149051912591079E-3</c:v>
                </c:pt>
                <c:pt idx="39">
                  <c:v>2.149051912591079E-3</c:v>
                </c:pt>
                <c:pt idx="40">
                  <c:v>2.149051912591079E-3</c:v>
                </c:pt>
                <c:pt idx="41">
                  <c:v>2.149051912591079E-3</c:v>
                </c:pt>
                <c:pt idx="42">
                  <c:v>2.149051912591079E-3</c:v>
                </c:pt>
                <c:pt idx="43">
                  <c:v>2.149051912591079E-3</c:v>
                </c:pt>
                <c:pt idx="44">
                  <c:v>2.149051912591079E-3</c:v>
                </c:pt>
                <c:pt idx="45">
                  <c:v>2.149051912591079E-3</c:v>
                </c:pt>
                <c:pt idx="46">
                  <c:v>2.149051912591079E-3</c:v>
                </c:pt>
                <c:pt idx="47">
                  <c:v>2.149051912591079E-3</c:v>
                </c:pt>
                <c:pt idx="48">
                  <c:v>2.149051912591079E-3</c:v>
                </c:pt>
                <c:pt idx="49">
                  <c:v>2.149051912591079E-3</c:v>
                </c:pt>
                <c:pt idx="50">
                  <c:v>2.149051912591079E-3</c:v>
                </c:pt>
                <c:pt idx="51">
                  <c:v>2.149051912591079E-3</c:v>
                </c:pt>
                <c:pt idx="52">
                  <c:v>2.149051912591079E-3</c:v>
                </c:pt>
                <c:pt idx="53">
                  <c:v>2.149051912591079E-3</c:v>
                </c:pt>
                <c:pt idx="54">
                  <c:v>2.149051912591079E-3</c:v>
                </c:pt>
                <c:pt idx="55">
                  <c:v>2.149051912591079E-3</c:v>
                </c:pt>
                <c:pt idx="56">
                  <c:v>2.149051912591079E-3</c:v>
                </c:pt>
                <c:pt idx="57">
                  <c:v>2.149051912591079E-3</c:v>
                </c:pt>
                <c:pt idx="58">
                  <c:v>2.0668045463595594E-3</c:v>
                </c:pt>
                <c:pt idx="59">
                  <c:v>2.9728996643833992E-3</c:v>
                </c:pt>
                <c:pt idx="60">
                  <c:v>2.8877471028058389E-3</c:v>
                </c:pt>
                <c:pt idx="61">
                  <c:v>2.4146677247210398E-3</c:v>
                </c:pt>
                <c:pt idx="62">
                  <c:v>3.1652646544265599E-3</c:v>
                </c:pt>
                <c:pt idx="63">
                  <c:v>3.1652646544265599E-3</c:v>
                </c:pt>
                <c:pt idx="64">
                  <c:v>3.1652646544265599E-3</c:v>
                </c:pt>
                <c:pt idx="65">
                  <c:v>3.1652646544265599E-3</c:v>
                </c:pt>
                <c:pt idx="66">
                  <c:v>3.1652646544265599E-3</c:v>
                </c:pt>
                <c:pt idx="67">
                  <c:v>3.1652646544265599E-3</c:v>
                </c:pt>
                <c:pt idx="68">
                  <c:v>3.1652646544265599E-3</c:v>
                </c:pt>
                <c:pt idx="69">
                  <c:v>3.1652646544265599E-3</c:v>
                </c:pt>
                <c:pt idx="70">
                  <c:v>3.1652646544265599E-3</c:v>
                </c:pt>
                <c:pt idx="71">
                  <c:v>3.1652646544265599E-3</c:v>
                </c:pt>
                <c:pt idx="72">
                  <c:v>3.1652646544265599E-3</c:v>
                </c:pt>
                <c:pt idx="73">
                  <c:v>3.1652646544265599E-3</c:v>
                </c:pt>
                <c:pt idx="74">
                  <c:v>3.1652646544265599E-3</c:v>
                </c:pt>
                <c:pt idx="75">
                  <c:v>3.1652646544265599E-3</c:v>
                </c:pt>
                <c:pt idx="76">
                  <c:v>3.1652646544265599E-3</c:v>
                </c:pt>
                <c:pt idx="77">
                  <c:v>3.1652646544265599E-3</c:v>
                </c:pt>
                <c:pt idx="78">
                  <c:v>3.1652646544265599E-3</c:v>
                </c:pt>
                <c:pt idx="79">
                  <c:v>3.1652646544265599E-3</c:v>
                </c:pt>
                <c:pt idx="80">
                  <c:v>3.1652646544265599E-3</c:v>
                </c:pt>
                <c:pt idx="81">
                  <c:v>3.1652646544265599E-3</c:v>
                </c:pt>
                <c:pt idx="82">
                  <c:v>3.1652646544265599E-3</c:v>
                </c:pt>
                <c:pt idx="83">
                  <c:v>3.1652646544265599E-3</c:v>
                </c:pt>
                <c:pt idx="84">
                  <c:v>3.1652646544265599E-3</c:v>
                </c:pt>
                <c:pt idx="85">
                  <c:v>3.1652646544265599E-3</c:v>
                </c:pt>
                <c:pt idx="86">
                  <c:v>3.1652646544265599E-3</c:v>
                </c:pt>
                <c:pt idx="87">
                  <c:v>3.1652646544265599E-3</c:v>
                </c:pt>
                <c:pt idx="88">
                  <c:v>3.1652646544265599E-3</c:v>
                </c:pt>
                <c:pt idx="89">
                  <c:v>3.1652646544265599E-3</c:v>
                </c:pt>
                <c:pt idx="90">
                  <c:v>3.1652646544265599E-3</c:v>
                </c:pt>
                <c:pt idx="91">
                  <c:v>3.1652646544265599E-3</c:v>
                </c:pt>
                <c:pt idx="92">
                  <c:v>3.1652646544265599E-3</c:v>
                </c:pt>
                <c:pt idx="93">
                  <c:v>3.1652646544265599E-3</c:v>
                </c:pt>
                <c:pt idx="94">
                  <c:v>3.1652646544265599E-3</c:v>
                </c:pt>
                <c:pt idx="95">
                  <c:v>3.1652646544265599E-3</c:v>
                </c:pt>
                <c:pt idx="96">
                  <c:v>3.1652646544265599E-3</c:v>
                </c:pt>
                <c:pt idx="97">
                  <c:v>3.7826988887337603E-3</c:v>
                </c:pt>
                <c:pt idx="98">
                  <c:v>3.7826988887337603E-3</c:v>
                </c:pt>
                <c:pt idx="99">
                  <c:v>3.7826988887337603E-3</c:v>
                </c:pt>
                <c:pt idx="100">
                  <c:v>3.7826988887337603E-3</c:v>
                </c:pt>
                <c:pt idx="101">
                  <c:v>3.7826988887337603E-3</c:v>
                </c:pt>
                <c:pt idx="102">
                  <c:v>3.7826988887337603E-3</c:v>
                </c:pt>
                <c:pt idx="103">
                  <c:v>3.7826988887337603E-3</c:v>
                </c:pt>
                <c:pt idx="104">
                  <c:v>3.7826988887337603E-3</c:v>
                </c:pt>
                <c:pt idx="105">
                  <c:v>3.7826988887337603E-3</c:v>
                </c:pt>
                <c:pt idx="106">
                  <c:v>3.7826988887337603E-3</c:v>
                </c:pt>
                <c:pt idx="107">
                  <c:v>3.7826988887337603E-3</c:v>
                </c:pt>
                <c:pt idx="108">
                  <c:v>3.7826988887337603E-3</c:v>
                </c:pt>
                <c:pt idx="109">
                  <c:v>3.7826988887337603E-3</c:v>
                </c:pt>
                <c:pt idx="110">
                  <c:v>3.7826988887337603E-3</c:v>
                </c:pt>
                <c:pt idx="111">
                  <c:v>3.7826988887337603E-3</c:v>
                </c:pt>
                <c:pt idx="112">
                  <c:v>3.7826988887337603E-3</c:v>
                </c:pt>
                <c:pt idx="113">
                  <c:v>3.7826988887337603E-3</c:v>
                </c:pt>
                <c:pt idx="114">
                  <c:v>3.7826988887337603E-3</c:v>
                </c:pt>
                <c:pt idx="115">
                  <c:v>3.7826988887337603E-3</c:v>
                </c:pt>
                <c:pt idx="116">
                  <c:v>3.7826988887337603E-3</c:v>
                </c:pt>
                <c:pt idx="117">
                  <c:v>3.7826988887337603E-3</c:v>
                </c:pt>
                <c:pt idx="118">
                  <c:v>3.7826988887337603E-3</c:v>
                </c:pt>
                <c:pt idx="119">
                  <c:v>3.7826988887337603E-3</c:v>
                </c:pt>
                <c:pt idx="120">
                  <c:v>4.5012462741290601E-3</c:v>
                </c:pt>
                <c:pt idx="121">
                  <c:v>4.6806264765931896E-3</c:v>
                </c:pt>
                <c:pt idx="122">
                  <c:v>5.9253494008788994E-3</c:v>
                </c:pt>
                <c:pt idx="123">
                  <c:v>5.9253494008788994E-3</c:v>
                </c:pt>
                <c:pt idx="124">
                  <c:v>5.9253494008788994E-3</c:v>
                </c:pt>
                <c:pt idx="125">
                  <c:v>5.9253494008788994E-3</c:v>
                </c:pt>
                <c:pt idx="126">
                  <c:v>5.9253494008788994E-3</c:v>
                </c:pt>
                <c:pt idx="127">
                  <c:v>5.9253494008788994E-3</c:v>
                </c:pt>
                <c:pt idx="128">
                  <c:v>5.9253494008788994E-3</c:v>
                </c:pt>
                <c:pt idx="129">
                  <c:v>5.9253494008788994E-3</c:v>
                </c:pt>
                <c:pt idx="130">
                  <c:v>5.9253494008788994E-3</c:v>
                </c:pt>
                <c:pt idx="131">
                  <c:v>5.9253494008788994E-3</c:v>
                </c:pt>
                <c:pt idx="132">
                  <c:v>5.9253494008788994E-3</c:v>
                </c:pt>
                <c:pt idx="133">
                  <c:v>5.9253494008788994E-3</c:v>
                </c:pt>
                <c:pt idx="134">
                  <c:v>5.9253494008788994E-3</c:v>
                </c:pt>
                <c:pt idx="135">
                  <c:v>5.9253494008788994E-3</c:v>
                </c:pt>
                <c:pt idx="136">
                  <c:v>5.9253494008788994E-3</c:v>
                </c:pt>
                <c:pt idx="137">
                  <c:v>5.9253494008788994E-3</c:v>
                </c:pt>
                <c:pt idx="138">
                  <c:v>5.9253494008788994E-3</c:v>
                </c:pt>
                <c:pt idx="139">
                  <c:v>5.9253494008788994E-3</c:v>
                </c:pt>
                <c:pt idx="140">
                  <c:v>5.9253494008788994E-3</c:v>
                </c:pt>
                <c:pt idx="141">
                  <c:v>5.9253494008788994E-3</c:v>
                </c:pt>
                <c:pt idx="142">
                  <c:v>5.9253494008788994E-3</c:v>
                </c:pt>
                <c:pt idx="143">
                  <c:v>5.9253494008788994E-3</c:v>
                </c:pt>
                <c:pt idx="144">
                  <c:v>5.9253494008788994E-3</c:v>
                </c:pt>
                <c:pt idx="145">
                  <c:v>5.9253494008788994E-3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1.6859062266018701E-3</c:v>
                </c:pt>
                <c:pt idx="8">
                  <c:v>1.6859062266018701E-3</c:v>
                </c:pt>
                <c:pt idx="9">
                  <c:v>1.6859062266018701E-3</c:v>
                </c:pt>
                <c:pt idx="10">
                  <c:v>1.6859062266018701E-3</c:v>
                </c:pt>
                <c:pt idx="11">
                  <c:v>1.6859062266018701E-3</c:v>
                </c:pt>
                <c:pt idx="12">
                  <c:v>1.6859062266018701E-3</c:v>
                </c:pt>
                <c:pt idx="13">
                  <c:v>1.6859062266018701E-3</c:v>
                </c:pt>
                <c:pt idx="14">
                  <c:v>1.6859062266018701E-3</c:v>
                </c:pt>
                <c:pt idx="15">
                  <c:v>1.6859062266018701E-3</c:v>
                </c:pt>
                <c:pt idx="16">
                  <c:v>1.6859062266018701E-3</c:v>
                </c:pt>
                <c:pt idx="17">
                  <c:v>1.6859062266018701E-3</c:v>
                </c:pt>
                <c:pt idx="18">
                  <c:v>1.6859062266018701E-3</c:v>
                </c:pt>
                <c:pt idx="19">
                  <c:v>1.6859062266018701E-3</c:v>
                </c:pt>
                <c:pt idx="20">
                  <c:v>1.6859062266018701E-3</c:v>
                </c:pt>
                <c:pt idx="21">
                  <c:v>1.6859062266018701E-3</c:v>
                </c:pt>
                <c:pt idx="22">
                  <c:v>1.6859062266018701E-3</c:v>
                </c:pt>
                <c:pt idx="23">
                  <c:v>1.6859062266018701E-3</c:v>
                </c:pt>
                <c:pt idx="24">
                  <c:v>1.6859062266018701E-3</c:v>
                </c:pt>
                <c:pt idx="25">
                  <c:v>1.6859062266018701E-3</c:v>
                </c:pt>
                <c:pt idx="26">
                  <c:v>1.6859062266018701E-3</c:v>
                </c:pt>
                <c:pt idx="27">
                  <c:v>1.6859062266018701E-3</c:v>
                </c:pt>
                <c:pt idx="28">
                  <c:v>1.6859062266018701E-3</c:v>
                </c:pt>
                <c:pt idx="29">
                  <c:v>1.5608884743610503E-3</c:v>
                </c:pt>
                <c:pt idx="30">
                  <c:v>1.0545483648811502E-3</c:v>
                </c:pt>
                <c:pt idx="31">
                  <c:v>6.3317202975374937E-4</c:v>
                </c:pt>
                <c:pt idx="32">
                  <c:v>2.149051912591079E-3</c:v>
                </c:pt>
                <c:pt idx="33">
                  <c:v>2.149051912591079E-3</c:v>
                </c:pt>
                <c:pt idx="34">
                  <c:v>2.149051912591079E-3</c:v>
                </c:pt>
                <c:pt idx="35">
                  <c:v>2.149051912591079E-3</c:v>
                </c:pt>
                <c:pt idx="36">
                  <c:v>2.149051912591079E-3</c:v>
                </c:pt>
                <c:pt idx="37">
                  <c:v>2.149051912591079E-3</c:v>
                </c:pt>
                <c:pt idx="38">
                  <c:v>2.149051912591079E-3</c:v>
                </c:pt>
                <c:pt idx="39">
                  <c:v>2.149051912591079E-3</c:v>
                </c:pt>
                <c:pt idx="40">
                  <c:v>2.149051912591079E-3</c:v>
                </c:pt>
                <c:pt idx="41">
                  <c:v>2.149051912591079E-3</c:v>
                </c:pt>
                <c:pt idx="42">
                  <c:v>2.149051912591079E-3</c:v>
                </c:pt>
                <c:pt idx="43">
                  <c:v>2.149051912591079E-3</c:v>
                </c:pt>
                <c:pt idx="44">
                  <c:v>2.149051912591079E-3</c:v>
                </c:pt>
                <c:pt idx="45">
                  <c:v>2.149051912591079E-3</c:v>
                </c:pt>
                <c:pt idx="46">
                  <c:v>2.149051912591079E-3</c:v>
                </c:pt>
                <c:pt idx="47">
                  <c:v>2.149051912591079E-3</c:v>
                </c:pt>
                <c:pt idx="48">
                  <c:v>2.149051912591079E-3</c:v>
                </c:pt>
                <c:pt idx="49">
                  <c:v>2.149051912591079E-3</c:v>
                </c:pt>
                <c:pt idx="50">
                  <c:v>2.149051912591079E-3</c:v>
                </c:pt>
                <c:pt idx="51">
                  <c:v>2.149051912591079E-3</c:v>
                </c:pt>
                <c:pt idx="52">
                  <c:v>2.149051912591079E-3</c:v>
                </c:pt>
                <c:pt idx="53">
                  <c:v>2.149051912591079E-3</c:v>
                </c:pt>
                <c:pt idx="54">
                  <c:v>2.149051912591079E-3</c:v>
                </c:pt>
                <c:pt idx="55">
                  <c:v>2.149051912591079E-3</c:v>
                </c:pt>
                <c:pt idx="56">
                  <c:v>2.149051912591079E-3</c:v>
                </c:pt>
                <c:pt idx="57">
                  <c:v>2.149051912591079E-3</c:v>
                </c:pt>
                <c:pt idx="58">
                  <c:v>2.0668045463595594E-3</c:v>
                </c:pt>
                <c:pt idx="59">
                  <c:v>2.9728996643833992E-3</c:v>
                </c:pt>
                <c:pt idx="60">
                  <c:v>2.8877471028058389E-3</c:v>
                </c:pt>
                <c:pt idx="61">
                  <c:v>2.4146677247210398E-3</c:v>
                </c:pt>
                <c:pt idx="62">
                  <c:v>3.1652646544265599E-3</c:v>
                </c:pt>
                <c:pt idx="63">
                  <c:v>3.1652646544265599E-3</c:v>
                </c:pt>
                <c:pt idx="64">
                  <c:v>3.1652646544265599E-3</c:v>
                </c:pt>
                <c:pt idx="65">
                  <c:v>3.1652646544265599E-3</c:v>
                </c:pt>
                <c:pt idx="66">
                  <c:v>3.1652646544265599E-3</c:v>
                </c:pt>
                <c:pt idx="67">
                  <c:v>3.1652646544265599E-3</c:v>
                </c:pt>
                <c:pt idx="68">
                  <c:v>3.1652646544265599E-3</c:v>
                </c:pt>
                <c:pt idx="69">
                  <c:v>3.1652646544265599E-3</c:v>
                </c:pt>
                <c:pt idx="70">
                  <c:v>3.1652646544265599E-3</c:v>
                </c:pt>
                <c:pt idx="71">
                  <c:v>3.1652646544265599E-3</c:v>
                </c:pt>
                <c:pt idx="72">
                  <c:v>3.1652646544265599E-3</c:v>
                </c:pt>
                <c:pt idx="73">
                  <c:v>3.1652646544265599E-3</c:v>
                </c:pt>
                <c:pt idx="74">
                  <c:v>3.1652646544265599E-3</c:v>
                </c:pt>
                <c:pt idx="75">
                  <c:v>3.1652646544265599E-3</c:v>
                </c:pt>
                <c:pt idx="76">
                  <c:v>3.1652646544265599E-3</c:v>
                </c:pt>
                <c:pt idx="77">
                  <c:v>3.1652646544265599E-3</c:v>
                </c:pt>
                <c:pt idx="78">
                  <c:v>3.1652646544265599E-3</c:v>
                </c:pt>
                <c:pt idx="79">
                  <c:v>3.1652646544265599E-3</c:v>
                </c:pt>
                <c:pt idx="80">
                  <c:v>3.1652646544265599E-3</c:v>
                </c:pt>
                <c:pt idx="81">
                  <c:v>3.1652646544265599E-3</c:v>
                </c:pt>
                <c:pt idx="82">
                  <c:v>3.1652646544265599E-3</c:v>
                </c:pt>
                <c:pt idx="83">
                  <c:v>3.1652646544265599E-3</c:v>
                </c:pt>
                <c:pt idx="84">
                  <c:v>3.1652646544265599E-3</c:v>
                </c:pt>
                <c:pt idx="85">
                  <c:v>3.1652646544265599E-3</c:v>
                </c:pt>
                <c:pt idx="86">
                  <c:v>3.1652646544265599E-3</c:v>
                </c:pt>
                <c:pt idx="87">
                  <c:v>3.1652646544265599E-3</c:v>
                </c:pt>
                <c:pt idx="88">
                  <c:v>3.1652646544265599E-3</c:v>
                </c:pt>
                <c:pt idx="89">
                  <c:v>3.1652646544265599E-3</c:v>
                </c:pt>
                <c:pt idx="90">
                  <c:v>3.1652646544265599E-3</c:v>
                </c:pt>
                <c:pt idx="91">
                  <c:v>3.1652646544265599E-3</c:v>
                </c:pt>
                <c:pt idx="92">
                  <c:v>3.1652646544265599E-3</c:v>
                </c:pt>
                <c:pt idx="93">
                  <c:v>3.1652646544265599E-3</c:v>
                </c:pt>
                <c:pt idx="94">
                  <c:v>3.1652646544265599E-3</c:v>
                </c:pt>
                <c:pt idx="95">
                  <c:v>3.1652646544265599E-3</c:v>
                </c:pt>
                <c:pt idx="96">
                  <c:v>3.1652646544265599E-3</c:v>
                </c:pt>
                <c:pt idx="97">
                  <c:v>3.7826988887337603E-3</c:v>
                </c:pt>
                <c:pt idx="98">
                  <c:v>3.7826988887337603E-3</c:v>
                </c:pt>
                <c:pt idx="99">
                  <c:v>3.7826988887337603E-3</c:v>
                </c:pt>
                <c:pt idx="100">
                  <c:v>3.7826988887337603E-3</c:v>
                </c:pt>
                <c:pt idx="101">
                  <c:v>3.7826988887337603E-3</c:v>
                </c:pt>
                <c:pt idx="102">
                  <c:v>3.7826988887337603E-3</c:v>
                </c:pt>
                <c:pt idx="103">
                  <c:v>3.7826988887337603E-3</c:v>
                </c:pt>
                <c:pt idx="104">
                  <c:v>3.7826988887337603E-3</c:v>
                </c:pt>
                <c:pt idx="105">
                  <c:v>3.7826988887337603E-3</c:v>
                </c:pt>
                <c:pt idx="106">
                  <c:v>3.7826988887337603E-3</c:v>
                </c:pt>
                <c:pt idx="107">
                  <c:v>3.7826988887337603E-3</c:v>
                </c:pt>
                <c:pt idx="108">
                  <c:v>3.7826988887337603E-3</c:v>
                </c:pt>
                <c:pt idx="109">
                  <c:v>3.7826988887337603E-3</c:v>
                </c:pt>
                <c:pt idx="110">
                  <c:v>3.7826988887337603E-3</c:v>
                </c:pt>
                <c:pt idx="111">
                  <c:v>3.7826988887337603E-3</c:v>
                </c:pt>
                <c:pt idx="112">
                  <c:v>3.7826988887337603E-3</c:v>
                </c:pt>
                <c:pt idx="113">
                  <c:v>3.7826988887337603E-3</c:v>
                </c:pt>
                <c:pt idx="114">
                  <c:v>3.7826988887337603E-3</c:v>
                </c:pt>
                <c:pt idx="115">
                  <c:v>3.7826988887337603E-3</c:v>
                </c:pt>
                <c:pt idx="116">
                  <c:v>3.7826988887337603E-3</c:v>
                </c:pt>
                <c:pt idx="117">
                  <c:v>3.7826988887337603E-3</c:v>
                </c:pt>
                <c:pt idx="118">
                  <c:v>3.7826988887337603E-3</c:v>
                </c:pt>
                <c:pt idx="119">
                  <c:v>3.7826988887337603E-3</c:v>
                </c:pt>
                <c:pt idx="120">
                  <c:v>4.5012462741290601E-3</c:v>
                </c:pt>
                <c:pt idx="121">
                  <c:v>4.6806264765931896E-3</c:v>
                </c:pt>
                <c:pt idx="122">
                  <c:v>5.9253494008788994E-3</c:v>
                </c:pt>
                <c:pt idx="123">
                  <c:v>5.9253494008788994E-3</c:v>
                </c:pt>
                <c:pt idx="124">
                  <c:v>5.9253494008788994E-3</c:v>
                </c:pt>
                <c:pt idx="125">
                  <c:v>5.9253494008788994E-3</c:v>
                </c:pt>
                <c:pt idx="126">
                  <c:v>5.9253494008788994E-3</c:v>
                </c:pt>
                <c:pt idx="127">
                  <c:v>5.9253494008788994E-3</c:v>
                </c:pt>
                <c:pt idx="128">
                  <c:v>5.9253494008788994E-3</c:v>
                </c:pt>
                <c:pt idx="129">
                  <c:v>5.9253494008788994E-3</c:v>
                </c:pt>
                <c:pt idx="130">
                  <c:v>5.9253494008788994E-3</c:v>
                </c:pt>
                <c:pt idx="131">
                  <c:v>5.9253494008788994E-3</c:v>
                </c:pt>
                <c:pt idx="132">
                  <c:v>5.9253494008788994E-3</c:v>
                </c:pt>
                <c:pt idx="133">
                  <c:v>5.9253494008788994E-3</c:v>
                </c:pt>
                <c:pt idx="134">
                  <c:v>5.9253494008788994E-3</c:v>
                </c:pt>
                <c:pt idx="135">
                  <c:v>5.9253494008788994E-3</c:v>
                </c:pt>
                <c:pt idx="136">
                  <c:v>5.9253494008788994E-3</c:v>
                </c:pt>
                <c:pt idx="137">
                  <c:v>5.9253494008788994E-3</c:v>
                </c:pt>
                <c:pt idx="138">
                  <c:v>5.9253494008788994E-3</c:v>
                </c:pt>
                <c:pt idx="139">
                  <c:v>5.9253494008788994E-3</c:v>
                </c:pt>
                <c:pt idx="140">
                  <c:v>5.9253494008788994E-3</c:v>
                </c:pt>
                <c:pt idx="141">
                  <c:v>5.9253494008788994E-3</c:v>
                </c:pt>
                <c:pt idx="142">
                  <c:v>5.9253494008788994E-3</c:v>
                </c:pt>
                <c:pt idx="143">
                  <c:v>5.9253494008788994E-3</c:v>
                </c:pt>
                <c:pt idx="144">
                  <c:v>5.9253494008788994E-3</c:v>
                </c:pt>
                <c:pt idx="145">
                  <c:v>5.9253494008788994E-3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topLeftCell="AF1" workbookViewId="0">
      <selection activeCell="AJ1" sqref="AJ1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10</v>
      </c>
      <c r="C1" s="3" t="s">
        <v>11</v>
      </c>
      <c r="D1" s="4" t="s">
        <v>12</v>
      </c>
      <c r="E1" s="4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3" t="s">
        <v>26</v>
      </c>
      <c r="S1" s="3" t="s">
        <v>27</v>
      </c>
      <c r="T1" s="3" t="s">
        <v>28</v>
      </c>
      <c r="U1" s="4" t="s">
        <v>29</v>
      </c>
      <c r="V1" s="4" t="s">
        <v>30</v>
      </c>
      <c r="W1" s="4" t="s">
        <v>31</v>
      </c>
      <c r="X1" s="5" t="s">
        <v>32</v>
      </c>
      <c r="Y1" s="5" t="s">
        <v>33</v>
      </c>
      <c r="Z1" s="5" t="s">
        <v>34</v>
      </c>
      <c r="AA1" s="5" t="s">
        <v>35</v>
      </c>
      <c r="AB1" s="3" t="s">
        <v>36</v>
      </c>
      <c r="AC1" s="3" t="s">
        <v>37</v>
      </c>
      <c r="AD1" s="3" t="s">
        <v>38</v>
      </c>
      <c r="AE1" s="4" t="s">
        <v>39</v>
      </c>
      <c r="AF1" s="4" t="s">
        <v>40</v>
      </c>
      <c r="AG1" s="4" t="s">
        <v>41</v>
      </c>
      <c r="BG1" s="6"/>
      <c r="BH1" s="6"/>
      <c r="BI1" s="6"/>
      <c r="BJ1" s="7">
        <f>BJ167</f>
        <v>5.9253494008788994E-3</v>
      </c>
      <c r="BS1" s="6"/>
      <c r="BT1" s="6"/>
      <c r="BU1" s="6"/>
      <c r="BV1" s="7">
        <f>BV167</f>
        <v>0</v>
      </c>
      <c r="BY1" s="7">
        <f>BY167</f>
        <v>5.9253494008788994E-3</v>
      </c>
    </row>
    <row r="2" spans="1:77" x14ac:dyDescent="0.3">
      <c r="A2" s="1">
        <v>46024</v>
      </c>
      <c r="B2" s="8">
        <v>26.89</v>
      </c>
      <c r="C2" s="8">
        <v>88.52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26.89</v>
      </c>
      <c r="M2" s="8">
        <v>88.52</v>
      </c>
      <c r="N2" s="10">
        <v>3.2919300855336502</v>
      </c>
      <c r="O2" s="10">
        <v>3.2936632097661298</v>
      </c>
      <c r="X2" s="10">
        <v>3.2919300855336502</v>
      </c>
      <c r="Y2" s="10">
        <v>3.2927332496881698</v>
      </c>
    </row>
    <row r="3" spans="1:77" x14ac:dyDescent="0.3">
      <c r="A3" s="1">
        <v>46027</v>
      </c>
      <c r="B3" s="8">
        <v>26.95</v>
      </c>
      <c r="C3" s="8">
        <v>88.72</v>
      </c>
      <c r="D3" s="9">
        <v>2.22882707423283E-3</v>
      </c>
      <c r="E3" s="9">
        <v>2.2568278592628001E-3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26.95</v>
      </c>
      <c r="M3" s="8">
        <v>88.72</v>
      </c>
      <c r="N3" s="10">
        <v>3.2920222634508298</v>
      </c>
      <c r="O3" s="10">
        <v>3.2936632097661298</v>
      </c>
      <c r="R3" s="8">
        <v>88.764223503197201</v>
      </c>
      <c r="U3" s="9">
        <v>4.9833729713625002E-4</v>
      </c>
      <c r="X3" s="10">
        <v>3.2920222634508298</v>
      </c>
      <c r="Y3" s="10">
        <v>3.2927332496881698</v>
      </c>
      <c r="AB3" s="8">
        <v>88.739161079096405</v>
      </c>
      <c r="AE3" s="9">
        <v>2.1594916886071301E-4</v>
      </c>
    </row>
    <row r="4" spans="1:77" x14ac:dyDescent="0.3">
      <c r="A4" s="1">
        <v>46028</v>
      </c>
      <c r="B4" s="8">
        <v>27.15</v>
      </c>
      <c r="C4" s="8">
        <v>89.37</v>
      </c>
      <c r="D4" s="9">
        <v>7.3937490249381902E-3</v>
      </c>
      <c r="E4" s="9">
        <v>7.2997123511890196E-3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27.15</v>
      </c>
      <c r="M4" s="8">
        <v>89.37</v>
      </c>
      <c r="N4" s="10">
        <v>3.2917127071823198</v>
      </c>
      <c r="O4" s="10">
        <v>3.2936632097661298</v>
      </c>
      <c r="R4" s="8">
        <v>89.422956145150394</v>
      </c>
      <c r="U4" s="9">
        <v>5.9237397088549503E-4</v>
      </c>
      <c r="X4" s="10">
        <v>3.2917127071823198</v>
      </c>
      <c r="Y4" s="10">
        <v>3.2927332496881698</v>
      </c>
      <c r="AB4" s="8">
        <v>89.397707729033996</v>
      </c>
      <c r="AE4" s="9">
        <v>3.0998584260988701E-4</v>
      </c>
    </row>
    <row r="5" spans="1:77" x14ac:dyDescent="0.3">
      <c r="A5" s="1">
        <v>46029</v>
      </c>
      <c r="B5" s="8">
        <v>26.89</v>
      </c>
      <c r="C5" s="8">
        <v>88.5</v>
      </c>
      <c r="D5" s="9">
        <v>-9.6225760991710506E-3</v>
      </c>
      <c r="E5" s="9">
        <v>-9.7825033794168292E-3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26.89</v>
      </c>
      <c r="M5" s="8">
        <v>88.5</v>
      </c>
      <c r="N5" s="10">
        <v>3.2911863146150901</v>
      </c>
      <c r="O5" s="10">
        <v>3.2936632097661298</v>
      </c>
      <c r="R5" s="8">
        <v>88.566603710611204</v>
      </c>
      <c r="U5" s="9">
        <v>7.5230125113129201E-4</v>
      </c>
      <c r="X5" s="10">
        <v>3.2911863146150901</v>
      </c>
      <c r="Y5" s="10">
        <v>3.2927332496881698</v>
      </c>
      <c r="AB5" s="8">
        <v>88.541597084115097</v>
      </c>
      <c r="AE5" s="9">
        <v>4.6991312285556299E-4</v>
      </c>
    </row>
    <row r="6" spans="1:77" x14ac:dyDescent="0.3">
      <c r="A6" s="1">
        <v>46030</v>
      </c>
      <c r="B6" s="8">
        <v>27.13</v>
      </c>
      <c r="C6" s="8">
        <v>89.29</v>
      </c>
      <c r="D6" s="9">
        <v>8.8856563900669896E-3</v>
      </c>
      <c r="E6" s="9">
        <v>8.8869475152412603E-3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27.13</v>
      </c>
      <c r="M6" s="8">
        <v>89.29</v>
      </c>
      <c r="N6" s="10">
        <v>3.2911905639513401</v>
      </c>
      <c r="O6" s="10">
        <v>3.2936632097661298</v>
      </c>
      <c r="R6" s="8">
        <v>89.357082880955105</v>
      </c>
      <c r="U6" s="9">
        <v>7.5101012595707797E-4</v>
      </c>
      <c r="X6" s="10">
        <v>3.2911905639513401</v>
      </c>
      <c r="Y6" s="10">
        <v>3.2927332496881698</v>
      </c>
      <c r="AB6" s="8">
        <v>89.331853064040203</v>
      </c>
      <c r="AE6" s="9">
        <v>4.68621997681347E-4</v>
      </c>
    </row>
    <row r="7" spans="1:77" x14ac:dyDescent="0.3">
      <c r="A7" s="1">
        <v>46031</v>
      </c>
      <c r="B7" s="8">
        <v>27.2</v>
      </c>
      <c r="C7" s="8">
        <v>89.47</v>
      </c>
      <c r="D7" s="9">
        <v>2.5768466311113002E-3</v>
      </c>
      <c r="E7" s="9">
        <v>2.0138740303793801E-3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27.2</v>
      </c>
      <c r="M7" s="8">
        <v>89.47</v>
      </c>
      <c r="N7" s="10">
        <v>3.2893382352941098</v>
      </c>
      <c r="O7" s="10">
        <v>3.2936632097661298</v>
      </c>
      <c r="R7" s="8">
        <v>89.587639305638703</v>
      </c>
      <c r="U7" s="9">
        <v>1.3139827266888499E-3</v>
      </c>
      <c r="X7" s="10">
        <v>3.2893382352941098</v>
      </c>
      <c r="Y7" s="10">
        <v>3.2927332496881698</v>
      </c>
      <c r="AB7" s="8">
        <v>89.562344391518394</v>
      </c>
      <c r="AE7" s="9">
        <v>1.0315945984130501E-3</v>
      </c>
    </row>
    <row r="8" spans="1:77" x14ac:dyDescent="0.3">
      <c r="A8" s="1">
        <v>46034</v>
      </c>
      <c r="B8" s="8">
        <v>27.24</v>
      </c>
      <c r="C8" s="8">
        <v>89.59</v>
      </c>
      <c r="D8" s="9">
        <v>1.46950797935997E-3</v>
      </c>
      <c r="E8" s="9">
        <v>1.3403330499825201E-3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27.24</v>
      </c>
      <c r="M8" s="8">
        <v>89.59</v>
      </c>
      <c r="N8" s="10">
        <v>3.2889133627019</v>
      </c>
      <c r="O8" s="10">
        <v>3.2936632097661298</v>
      </c>
      <c r="R8" s="8">
        <v>89.719385834029396</v>
      </c>
      <c r="U8" s="9">
        <v>1.4431576560663001E-3</v>
      </c>
      <c r="X8" s="10">
        <v>3.2889133627019</v>
      </c>
      <c r="Y8" s="10">
        <v>3.2927332496881698</v>
      </c>
      <c r="AB8" s="8">
        <v>89.694053721505895</v>
      </c>
      <c r="AE8" s="9">
        <v>1.1607695277905401E-3</v>
      </c>
    </row>
    <row r="9" spans="1:77" x14ac:dyDescent="0.3">
      <c r="A9" s="1">
        <v>46035</v>
      </c>
      <c r="B9" s="8">
        <v>27.38</v>
      </c>
      <c r="C9" s="8">
        <v>90.09</v>
      </c>
      <c r="D9" s="9">
        <v>5.12633857899114E-3</v>
      </c>
      <c r="E9" s="9">
        <v>5.56546405386147E-3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27.38</v>
      </c>
      <c r="M9" s="8">
        <v>90.09</v>
      </c>
      <c r="N9" s="10">
        <v>3.2903579254930602</v>
      </c>
      <c r="O9" s="10">
        <v>3.2936632097661298</v>
      </c>
      <c r="R9" s="8">
        <v>90.180498683396607</v>
      </c>
      <c r="U9" s="9">
        <v>1.0040321811958699E-3</v>
      </c>
      <c r="X9" s="10">
        <v>3.2903579254930602</v>
      </c>
      <c r="Y9" s="10">
        <v>3.2927332496881698</v>
      </c>
      <c r="AB9" s="8">
        <v>90.155036376462306</v>
      </c>
      <c r="AE9" s="9">
        <v>7.2164405292016696E-4</v>
      </c>
      <c r="BJ9" s="12">
        <f>AVERAGE(BI22:BI200)</f>
        <v>4.0584584937526709E-5</v>
      </c>
      <c r="BV9" s="12">
        <f>AVERAGE(BU22:BU200)</f>
        <v>0</v>
      </c>
      <c r="BY9" s="12">
        <f>AVERAGE(BX22:BX200)</f>
        <v>4.0584584937526709E-5</v>
      </c>
    </row>
    <row r="10" spans="1:77" x14ac:dyDescent="0.3">
      <c r="A10" s="1">
        <v>46036</v>
      </c>
      <c r="B10" s="8">
        <v>27.63</v>
      </c>
      <c r="C10" s="8">
        <v>90.87</v>
      </c>
      <c r="D10" s="9">
        <v>9.0893190750223497E-3</v>
      </c>
      <c r="E10" s="9">
        <v>8.6207430439069494E-3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27.63</v>
      </c>
      <c r="M10" s="8">
        <v>90.87</v>
      </c>
      <c r="N10" s="10">
        <v>3.2888165038002102</v>
      </c>
      <c r="O10" s="10">
        <v>3.2936632097661298</v>
      </c>
      <c r="R10" s="8">
        <v>91.003914485838195</v>
      </c>
      <c r="U10" s="9">
        <v>1.4726082123112899E-3</v>
      </c>
      <c r="X10" s="10">
        <v>3.2888165038002102</v>
      </c>
      <c r="Y10" s="10">
        <v>3.2927332496881698</v>
      </c>
      <c r="AB10" s="8">
        <v>90.978219688884295</v>
      </c>
      <c r="AE10" s="9">
        <v>1.1902200840355E-3</v>
      </c>
      <c r="AZ10" s="13"/>
      <c r="BJ10" s="12">
        <f>STDEV(BI22:BI200)</f>
        <v>2.5529608412351275E-4</v>
      </c>
      <c r="BL10" s="13"/>
      <c r="BV10" s="12">
        <f>STDEV(BU22:BU200)</f>
        <v>0</v>
      </c>
      <c r="BY10" s="12">
        <f>STDEV(BX22:BX200)</f>
        <v>2.5529608412351275E-4</v>
      </c>
    </row>
    <row r="11" spans="1:77" x14ac:dyDescent="0.3">
      <c r="A11" s="1">
        <v>46037</v>
      </c>
      <c r="B11" s="8">
        <v>27.81</v>
      </c>
      <c r="C11" s="8">
        <v>91.5</v>
      </c>
      <c r="D11" s="9">
        <v>6.4935293105483098E-3</v>
      </c>
      <c r="E11" s="9">
        <v>6.9090585742198904E-3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27.81</v>
      </c>
      <c r="M11" s="8">
        <v>91.5</v>
      </c>
      <c r="N11" s="10">
        <v>3.2901833872707602</v>
      </c>
      <c r="O11" s="10">
        <v>3.2936632097661298</v>
      </c>
      <c r="P11" s="10">
        <v>3.2905651349293299</v>
      </c>
      <c r="R11" s="8">
        <v>91.596773863596098</v>
      </c>
      <c r="U11" s="9">
        <v>1.0570789486396401E-3</v>
      </c>
      <c r="X11" s="10">
        <v>3.2901833872707602</v>
      </c>
      <c r="Y11" s="10">
        <v>3.2927332496881698</v>
      </c>
      <c r="Z11" s="10">
        <v>3.2905651349293299</v>
      </c>
      <c r="AB11" s="8">
        <v>91.570911673828206</v>
      </c>
      <c r="AE11" s="9">
        <v>7.7469082036385603E-4</v>
      </c>
      <c r="BJ11">
        <f>SQRT(252)*BJ9/BJ10</f>
        <v>2.5235808651618283</v>
      </c>
      <c r="BV11" t="e">
        <f>SQRT(252)*BV9/BV10</f>
        <v>#DIV/0!</v>
      </c>
      <c r="BY11">
        <f>SQRT(252)*BY9/BY10</f>
        <v>2.5235808651618283</v>
      </c>
    </row>
    <row r="12" spans="1:77" x14ac:dyDescent="0.3">
      <c r="A12" s="1">
        <v>46038</v>
      </c>
      <c r="B12" s="8">
        <v>28.16</v>
      </c>
      <c r="C12" s="8">
        <v>92.62</v>
      </c>
      <c r="D12" s="9">
        <v>1.2506863043968201E-2</v>
      </c>
      <c r="E12" s="9">
        <v>1.21661287711302E-2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28.16</v>
      </c>
      <c r="M12" s="8">
        <v>92.62</v>
      </c>
      <c r="N12" s="10">
        <v>3.2890625</v>
      </c>
      <c r="O12" s="10">
        <v>3.2936632097661298</v>
      </c>
      <c r="P12" s="10">
        <v>3.29027837637596</v>
      </c>
      <c r="R12" s="8">
        <v>92.749555987014205</v>
      </c>
      <c r="S12" s="8">
        <v>92.662314199609995</v>
      </c>
      <c r="U12" s="9">
        <v>1.39781322147747E-3</v>
      </c>
      <c r="V12" s="9">
        <v>4.5675379788349702E-4</v>
      </c>
      <c r="X12" s="10">
        <v>3.2890625</v>
      </c>
      <c r="Y12" s="10">
        <v>3.2927332496881698</v>
      </c>
      <c r="Z12" s="10">
        <v>3.29027837637596</v>
      </c>
      <c r="AB12" s="8">
        <v>92.723368311219104</v>
      </c>
      <c r="AC12" s="8">
        <v>92.662314199609995</v>
      </c>
      <c r="AE12" s="9">
        <v>1.1154250932019099E-3</v>
      </c>
      <c r="AF12" s="9">
        <v>4.5675379788349702E-4</v>
      </c>
    </row>
    <row r="13" spans="1:77" x14ac:dyDescent="0.3">
      <c r="A13" s="1">
        <v>46042</v>
      </c>
      <c r="B13" s="8">
        <v>27.65</v>
      </c>
      <c r="C13" s="8">
        <v>90.9</v>
      </c>
      <c r="D13" s="9">
        <v>-1.8276803321497899E-2</v>
      </c>
      <c r="E13" s="9">
        <v>-1.87450998691727E-2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27.65</v>
      </c>
      <c r="M13" s="8">
        <v>90.9</v>
      </c>
      <c r="N13" s="10">
        <v>3.2875226039782999</v>
      </c>
      <c r="O13" s="10">
        <v>3.2936632097661298</v>
      </c>
      <c r="P13" s="10">
        <v>3.2898284104287101</v>
      </c>
      <c r="R13" s="8">
        <v>91.069787750033498</v>
      </c>
      <c r="S13" s="8">
        <v>90.976197106795397</v>
      </c>
      <c r="U13" s="9">
        <v>1.8661097691522099E-3</v>
      </c>
      <c r="V13" s="9">
        <v>8.3790086295624795E-4</v>
      </c>
      <c r="X13" s="10">
        <v>3.2875226039782999</v>
      </c>
      <c r="Y13" s="10">
        <v>3.2927332496881698</v>
      </c>
      <c r="Z13" s="10">
        <v>3.2898284104287101</v>
      </c>
      <c r="AB13" s="8">
        <v>91.044074353878102</v>
      </c>
      <c r="AC13" s="8">
        <v>90.976197106795397</v>
      </c>
      <c r="AE13" s="9">
        <v>1.58372164087668E-3</v>
      </c>
      <c r="AF13" s="9">
        <v>8.3790086295624795E-4</v>
      </c>
    </row>
    <row r="14" spans="1:77" x14ac:dyDescent="0.3">
      <c r="A14" s="1">
        <v>46043</v>
      </c>
      <c r="B14" s="8">
        <v>27.76</v>
      </c>
      <c r="C14" s="8">
        <v>91.26</v>
      </c>
      <c r="D14" s="9">
        <v>3.9704076702601204E-3</v>
      </c>
      <c r="E14" s="9">
        <v>3.9525743158233401E-3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27.76</v>
      </c>
      <c r="M14" s="8">
        <v>91.26</v>
      </c>
      <c r="N14" s="10">
        <v>3.2874639769452401</v>
      </c>
      <c r="O14" s="10">
        <v>3.2936632097661298</v>
      </c>
      <c r="P14" s="10">
        <v>3.2894035374050001</v>
      </c>
      <c r="R14" s="8">
        <v>91.432090703107804</v>
      </c>
      <c r="S14" s="8">
        <v>91.325636673501094</v>
      </c>
      <c r="U14" s="9">
        <v>1.88394312358903E-3</v>
      </c>
      <c r="V14" s="9">
        <v>7.1896867162500903E-4</v>
      </c>
      <c r="X14" s="10">
        <v>3.2874639769452401</v>
      </c>
      <c r="Y14" s="10">
        <v>3.2927332496881698</v>
      </c>
      <c r="Z14" s="10">
        <v>3.2894035374050001</v>
      </c>
      <c r="AB14" s="8">
        <v>91.406275011343794</v>
      </c>
      <c r="AC14" s="8">
        <v>91.325636673501094</v>
      </c>
      <c r="AE14" s="9">
        <v>1.60155499531345E-3</v>
      </c>
      <c r="AF14" s="9">
        <v>7.1896867162500903E-4</v>
      </c>
    </row>
    <row r="15" spans="1:77" x14ac:dyDescent="0.3">
      <c r="A15" s="1">
        <v>46044</v>
      </c>
      <c r="B15" s="8">
        <v>27.48</v>
      </c>
      <c r="C15" s="8">
        <v>90.36</v>
      </c>
      <c r="D15" s="9">
        <v>-1.01376682844552E-2</v>
      </c>
      <c r="E15" s="9">
        <v>-9.9108838994540101E-3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27.48</v>
      </c>
      <c r="M15" s="8">
        <v>90.36</v>
      </c>
      <c r="N15" s="10">
        <v>3.2882096069868898</v>
      </c>
      <c r="O15" s="10">
        <v>3.2936632097661298</v>
      </c>
      <c r="P15" s="10">
        <v>3.28910586664218</v>
      </c>
      <c r="R15" s="8">
        <v>90.509865004373296</v>
      </c>
      <c r="S15" s="8">
        <v>90.392809207889499</v>
      </c>
      <c r="U15" s="9">
        <v>1.65715873858799E-3</v>
      </c>
      <c r="V15" s="9">
        <v>3.6302847401026398E-4</v>
      </c>
      <c r="X15" s="10">
        <v>3.2882096069868898</v>
      </c>
      <c r="Y15" s="10">
        <v>3.2927332496881698</v>
      </c>
      <c r="Z15" s="10">
        <v>3.28910586664218</v>
      </c>
      <c r="AB15" s="8">
        <v>90.484309701431101</v>
      </c>
      <c r="AC15" s="8">
        <v>90.392809207889499</v>
      </c>
      <c r="AE15" s="9">
        <v>1.37477061031224E-3</v>
      </c>
      <c r="AF15" s="9">
        <v>3.6302847401026398E-4</v>
      </c>
    </row>
    <row r="16" spans="1:77" x14ac:dyDescent="0.3">
      <c r="A16" s="1">
        <v>46045</v>
      </c>
      <c r="B16" s="8">
        <v>27.52</v>
      </c>
      <c r="C16" s="8">
        <v>90.54</v>
      </c>
      <c r="D16" s="9">
        <v>1.45454571099436E-3</v>
      </c>
      <c r="E16" s="9">
        <v>1.9900504080100001E-3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27.52</v>
      </c>
      <c r="M16" s="8">
        <v>90.54</v>
      </c>
      <c r="N16" s="10">
        <v>3.2899709302325499</v>
      </c>
      <c r="O16" s="10">
        <v>3.2936632097661298</v>
      </c>
      <c r="P16" s="10">
        <v>3.2889839032702999</v>
      </c>
      <c r="R16" s="8">
        <v>90.641611532763903</v>
      </c>
      <c r="S16" s="8">
        <v>90.516193449992898</v>
      </c>
      <c r="U16" s="9">
        <v>1.1216540415719899E-3</v>
      </c>
      <c r="V16" s="9">
        <v>-2.6297415946507902E-4</v>
      </c>
      <c r="X16" s="10">
        <v>3.2899709302325499</v>
      </c>
      <c r="Y16" s="10">
        <v>3.2927332496881698</v>
      </c>
      <c r="Z16" s="10">
        <v>3.2889839032702999</v>
      </c>
      <c r="AB16" s="8">
        <v>90.616019031418602</v>
      </c>
      <c r="AC16" s="8">
        <v>90.516193449992898</v>
      </c>
      <c r="AE16" s="9">
        <v>8.3926591329631505E-4</v>
      </c>
      <c r="AF16" s="9">
        <v>-2.6297415946507902E-4</v>
      </c>
    </row>
    <row r="17" spans="1:77" x14ac:dyDescent="0.3">
      <c r="A17" s="1">
        <v>46048</v>
      </c>
      <c r="B17" s="8">
        <v>27.48</v>
      </c>
      <c r="C17" s="8">
        <v>90.42</v>
      </c>
      <c r="D17" s="9">
        <v>-1.4545457109943201E-3</v>
      </c>
      <c r="E17" s="9">
        <v>-1.3262601413534501E-3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27.48</v>
      </c>
      <c r="M17" s="8">
        <v>90.42</v>
      </c>
      <c r="N17" s="10">
        <v>3.29039301310043</v>
      </c>
      <c r="O17" s="10">
        <v>3.2936632097661298</v>
      </c>
      <c r="P17" s="10">
        <v>3.2890893810509398</v>
      </c>
      <c r="R17" s="8">
        <v>90.509865004373296</v>
      </c>
      <c r="S17" s="8">
        <v>90.381277661867998</v>
      </c>
      <c r="U17" s="9">
        <v>9.933684719312661E-4</v>
      </c>
      <c r="V17" s="9">
        <v>-4.2834142794524998E-4</v>
      </c>
      <c r="X17" s="10">
        <v>3.29039301310043</v>
      </c>
      <c r="Y17" s="10">
        <v>3.2927332496881698</v>
      </c>
      <c r="Z17" s="10">
        <v>3.2890893810509398</v>
      </c>
      <c r="AB17" s="8">
        <v>90.484309701431101</v>
      </c>
      <c r="AC17" s="8">
        <v>90.381277661867998</v>
      </c>
      <c r="AE17" s="9">
        <v>7.1098034365557801E-4</v>
      </c>
      <c r="AF17" s="9">
        <v>-4.2834142794524998E-4</v>
      </c>
    </row>
    <row r="18" spans="1:77" x14ac:dyDescent="0.3">
      <c r="A18" s="1">
        <v>46049</v>
      </c>
      <c r="B18" s="8">
        <v>27.48</v>
      </c>
      <c r="C18" s="8">
        <v>90.39</v>
      </c>
      <c r="D18" s="9">
        <v>0</v>
      </c>
      <c r="E18" s="9">
        <v>-3.3184005613955798E-4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27.48</v>
      </c>
      <c r="M18" s="8">
        <v>90.39</v>
      </c>
      <c r="N18" s="10">
        <v>3.2893013100436601</v>
      </c>
      <c r="O18" s="10">
        <v>3.2936632097661298</v>
      </c>
      <c r="P18" s="10">
        <v>3.2891281757851099</v>
      </c>
      <c r="R18" s="8">
        <v>90.509865004373296</v>
      </c>
      <c r="S18" s="8">
        <v>90.384176191279806</v>
      </c>
      <c r="U18" s="9">
        <v>1.3252085280707499E-3</v>
      </c>
      <c r="V18" s="9">
        <v>-6.4431865710936497E-5</v>
      </c>
      <c r="X18" s="10">
        <v>3.2893013100436601</v>
      </c>
      <c r="Y18" s="10">
        <v>3.2927332496881698</v>
      </c>
      <c r="Z18" s="10">
        <v>3.2891281757851099</v>
      </c>
      <c r="AB18" s="8">
        <v>90.484309701431101</v>
      </c>
      <c r="AC18" s="8">
        <v>90.384176191279806</v>
      </c>
      <c r="AE18" s="9">
        <v>1.0428203997952001E-3</v>
      </c>
      <c r="AF18" s="9">
        <v>-6.4431865710936497E-5</v>
      </c>
    </row>
    <row r="19" spans="1:77" x14ac:dyDescent="0.3">
      <c r="A19" s="1">
        <v>46050</v>
      </c>
      <c r="B19" s="8">
        <v>27.18</v>
      </c>
      <c r="C19" s="8">
        <v>89.46</v>
      </c>
      <c r="D19" s="9">
        <v>-1.0977058631151001E-2</v>
      </c>
      <c r="E19" s="9">
        <v>-1.03420438056175E-2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27.18</v>
      </c>
      <c r="M19" s="8">
        <v>89.46</v>
      </c>
      <c r="N19" s="10">
        <v>3.29139072847682</v>
      </c>
      <c r="O19" s="10">
        <v>3.2936632097661298</v>
      </c>
      <c r="P19" s="10">
        <v>3.2892314560834901</v>
      </c>
      <c r="R19" s="8">
        <v>89.521766041443399</v>
      </c>
      <c r="S19" s="8">
        <v>89.398503817839398</v>
      </c>
      <c r="U19" s="9">
        <v>6.9019370253755197E-4</v>
      </c>
      <c r="V19" s="9">
        <v>-6.8765178362980195E-4</v>
      </c>
      <c r="X19" s="10">
        <v>3.29139072847682</v>
      </c>
      <c r="Y19" s="10">
        <v>3.2927332496881698</v>
      </c>
      <c r="Z19" s="10">
        <v>3.2892314560834901</v>
      </c>
      <c r="AB19" s="8">
        <v>89.496489726524601</v>
      </c>
      <c r="AC19" s="8">
        <v>89.398503817839398</v>
      </c>
      <c r="AE19" s="9">
        <v>4.07805574261747E-4</v>
      </c>
      <c r="AF19" s="9">
        <v>-6.8765178362980195E-4</v>
      </c>
      <c r="BX19" s="6" t="s">
        <v>1</v>
      </c>
      <c r="BY19" s="6" t="s">
        <v>1</v>
      </c>
    </row>
    <row r="20" spans="1:77" x14ac:dyDescent="0.3">
      <c r="A20" s="1">
        <v>46051</v>
      </c>
      <c r="B20" s="8">
        <v>27.56</v>
      </c>
      <c r="C20" s="8">
        <v>90.71</v>
      </c>
      <c r="D20" s="9">
        <v>1.38840374224601E-2</v>
      </c>
      <c r="E20" s="9">
        <v>1.38760066221506E-2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27.56</v>
      </c>
      <c r="M20" s="8">
        <v>90.71</v>
      </c>
      <c r="N20" s="10">
        <v>3.2913642960812699</v>
      </c>
      <c r="O20" s="10">
        <v>3.2936632097661298</v>
      </c>
      <c r="P20" s="10">
        <v>3.2894862353115899</v>
      </c>
      <c r="R20" s="8">
        <v>90.773358061154596</v>
      </c>
      <c r="S20" s="8">
        <v>90.651218929660999</v>
      </c>
      <c r="U20" s="9">
        <v>6.9822450284690398E-4</v>
      </c>
      <c r="V20" s="9">
        <v>-6.4822096746108501E-4</v>
      </c>
      <c r="X20" s="10">
        <v>3.2913642960812699</v>
      </c>
      <c r="Y20" s="10">
        <v>3.2927332496881698</v>
      </c>
      <c r="Z20" s="10">
        <v>3.2894862353115899</v>
      </c>
      <c r="AB20" s="8">
        <v>90.747728361406104</v>
      </c>
      <c r="AC20" s="8">
        <v>90.651218929660999</v>
      </c>
      <c r="AE20" s="9">
        <v>4.15836374571086E-4</v>
      </c>
      <c r="AF20" s="9">
        <v>-6.4822096746108501E-4</v>
      </c>
      <c r="AZ20" s="14" t="s">
        <v>2</v>
      </c>
      <c r="BA20" s="15">
        <v>-1.1209599027042093E-3</v>
      </c>
      <c r="BB20" s="6" t="s">
        <v>3</v>
      </c>
      <c r="BC20" s="6" t="s">
        <v>4</v>
      </c>
      <c r="BD20" s="6" t="s">
        <v>5</v>
      </c>
      <c r="BE20" s="6" t="s">
        <v>6</v>
      </c>
      <c r="BF20" s="6" t="s">
        <v>7</v>
      </c>
      <c r="BG20" s="6" t="str">
        <f>D1</f>
        <v>FREL log rtn</v>
      </c>
      <c r="BH20" s="6" t="str">
        <f>E1</f>
        <v>VNQ log rtn</v>
      </c>
      <c r="BI20" s="6" t="s">
        <v>8</v>
      </c>
      <c r="BJ20" s="6" t="s">
        <v>9</v>
      </c>
      <c r="BL20" s="14" t="s">
        <v>2</v>
      </c>
      <c r="BM20" s="15">
        <v>2.2260370323622628E-3</v>
      </c>
      <c r="BN20" s="6" t="s">
        <v>4</v>
      </c>
      <c r="BO20" s="6" t="s">
        <v>3</v>
      </c>
      <c r="BP20" s="6" t="s">
        <v>5</v>
      </c>
      <c r="BQ20" s="6" t="s">
        <v>6</v>
      </c>
      <c r="BR20" s="6" t="s">
        <v>7</v>
      </c>
      <c r="BS20" s="7" t="str">
        <f>D1</f>
        <v>FREL log rtn</v>
      </c>
      <c r="BT20" s="7" t="str">
        <f>E1</f>
        <v>VNQ log rtn</v>
      </c>
      <c r="BU20" s="6" t="s">
        <v>8</v>
      </c>
      <c r="BV20" s="6" t="s">
        <v>9</v>
      </c>
      <c r="BX20" s="6" t="s">
        <v>8</v>
      </c>
      <c r="BY20" s="6" t="s">
        <v>9</v>
      </c>
    </row>
    <row r="21" spans="1:77" x14ac:dyDescent="0.3">
      <c r="A21" s="1">
        <v>46052</v>
      </c>
      <c r="B21" s="8">
        <v>27.59</v>
      </c>
      <c r="C21" s="8">
        <v>90.8</v>
      </c>
      <c r="D21" s="9">
        <v>1.0879420837369199E-3</v>
      </c>
      <c r="E21" s="9">
        <v>9.9168098039482803E-4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27.59</v>
      </c>
      <c r="M21" s="8">
        <v>90.8</v>
      </c>
      <c r="N21" s="10">
        <v>3.2910474809713599</v>
      </c>
      <c r="O21" s="10">
        <v>3.2936632097661298</v>
      </c>
      <c r="P21" s="10">
        <v>3.28957264468165</v>
      </c>
      <c r="Q21" s="10">
        <v>3.2900688898054899</v>
      </c>
      <c r="R21" s="8">
        <v>90.872167957447502</v>
      </c>
      <c r="S21" s="8">
        <v>90.7569252322469</v>
      </c>
      <c r="U21" s="9">
        <v>7.9448560618906796E-4</v>
      </c>
      <c r="V21" s="9">
        <v>-4.7450427469104101E-4</v>
      </c>
      <c r="X21" s="10">
        <v>3.2910474809713599</v>
      </c>
      <c r="Y21" s="10">
        <v>3.2927332496881698</v>
      </c>
      <c r="Z21" s="10">
        <v>3.28957264468165</v>
      </c>
      <c r="AA21" s="10">
        <v>3.2900688898054899</v>
      </c>
      <c r="AB21" s="8">
        <v>90.846510358896793</v>
      </c>
      <c r="AC21" s="8">
        <v>90.7569252322469</v>
      </c>
      <c r="AE21" s="9">
        <v>5.1209747791318698E-4</v>
      </c>
      <c r="AF21" s="9">
        <v>-4.7450427469104101E-4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27.29</v>
      </c>
      <c r="C22" s="8">
        <v>89.86</v>
      </c>
      <c r="D22" s="9">
        <v>-1.0933053508947599E-2</v>
      </c>
      <c r="E22" s="9">
        <v>-1.0406381965233601E-2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27.29</v>
      </c>
      <c r="M22" s="8">
        <v>89.86</v>
      </c>
      <c r="N22" s="10">
        <v>3.2927812385489101</v>
      </c>
      <c r="O22" s="10">
        <v>3.2936632097661298</v>
      </c>
      <c r="P22" s="10">
        <v>3.2899445185365401</v>
      </c>
      <c r="Q22" s="10">
        <v>3.2901114474562498</v>
      </c>
      <c r="R22" s="8">
        <v>89.884068994517705</v>
      </c>
      <c r="S22" s="8">
        <v>89.772437473362402</v>
      </c>
      <c r="T22" s="8">
        <v>89.785980002791902</v>
      </c>
      <c r="U22" s="9">
        <v>2.6781406247484101E-4</v>
      </c>
      <c r="V22" s="9">
        <v>-9.7490781514156201E-4</v>
      </c>
      <c r="W22" s="9">
        <v>-8.2406521310084797E-4</v>
      </c>
      <c r="X22" s="10">
        <v>3.2927812385489101</v>
      </c>
      <c r="Y22" s="10">
        <v>3.2927332496881698</v>
      </c>
      <c r="Z22" s="10">
        <v>3.2899445185365401</v>
      </c>
      <c r="AA22" s="10">
        <v>3.2901114474562498</v>
      </c>
      <c r="AB22" s="8">
        <v>89.858690383990293</v>
      </c>
      <c r="AC22" s="8">
        <v>89.772437473362402</v>
      </c>
      <c r="AD22" s="8">
        <v>89.785980002791902</v>
      </c>
      <c r="AE22" s="9">
        <v>-1.45740658007652E-5</v>
      </c>
      <c r="AF22" s="9">
        <v>-9.7490781514156201E-4</v>
      </c>
      <c r="AG22" s="9">
        <v>-8.2406521310084797E-4</v>
      </c>
      <c r="AZ22" s="9"/>
      <c r="BB22">
        <f>IF($AG22&lt;BA$20,1,0)</f>
        <v>0</v>
      </c>
      <c r="BC22">
        <f>IF($AG22&gt;BA$21,1,0)</f>
        <v>0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27.26</v>
      </c>
      <c r="C23" s="8">
        <v>89.66</v>
      </c>
      <c r="D23" s="9">
        <v>-1.0999084518605001E-3</v>
      </c>
      <c r="E23" s="9">
        <v>-2.2281649147205301E-3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27.26</v>
      </c>
      <c r="M23" s="8">
        <v>89.66</v>
      </c>
      <c r="N23" s="10">
        <v>3.2890682318415201</v>
      </c>
      <c r="O23" s="10">
        <v>3.2936632097661298</v>
      </c>
      <c r="P23" s="10">
        <v>3.2900990813228699</v>
      </c>
      <c r="Q23" s="10">
        <v>3.2899637458757902</v>
      </c>
      <c r="R23" s="8">
        <v>89.785259098224699</v>
      </c>
      <c r="S23" s="8">
        <v>89.683887575306301</v>
      </c>
      <c r="T23" s="8">
        <v>89.688438057657606</v>
      </c>
      <c r="U23" s="9">
        <v>1.3960705253349701E-3</v>
      </c>
      <c r="V23" s="9">
        <v>2.6638850947815497E-4</v>
      </c>
      <c r="W23" s="9">
        <v>3.1712635140773498E-4</v>
      </c>
      <c r="X23" s="10">
        <v>3.2890682318415201</v>
      </c>
      <c r="Y23" s="10">
        <v>3.2927332496881698</v>
      </c>
      <c r="Z23" s="10">
        <v>3.2900990813228699</v>
      </c>
      <c r="AA23" s="10">
        <v>3.2899637458757902</v>
      </c>
      <c r="AB23" s="8">
        <v>89.759908386499703</v>
      </c>
      <c r="AC23" s="8">
        <v>89.683887575306301</v>
      </c>
      <c r="AD23" s="8">
        <v>89.688438057657606</v>
      </c>
      <c r="AE23" s="9">
        <v>1.1136823970593101E-3</v>
      </c>
      <c r="AF23" s="9">
        <v>2.6638850947815497E-4</v>
      </c>
      <c r="AG23" s="9">
        <v>3.1712635140773498E-4</v>
      </c>
      <c r="AZ23" s="9"/>
      <c r="BB23">
        <f t="shared" ref="BB23:BB86" si="2">IF($AG23&lt;BA$20,1,0)</f>
        <v>0</v>
      </c>
      <c r="BC23">
        <f t="shared" ref="BC23:BC86" si="3">IF($AG23&gt;BA$21,1,0)</f>
        <v>1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0</v>
      </c>
      <c r="BO23">
        <f t="shared" ref="BO23:BO86" si="11">IF($AG23&lt;BM$21,1,0)</f>
        <v>0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0</v>
      </c>
      <c r="BY23" s="12">
        <f t="shared" ref="BY23:BY86" si="19">BY22+BX23</f>
        <v>0</v>
      </c>
    </row>
    <row r="24" spans="1:77" x14ac:dyDescent="0.3">
      <c r="A24" s="1">
        <v>46057</v>
      </c>
      <c r="B24" s="8">
        <v>27.65</v>
      </c>
      <c r="C24" s="8">
        <v>90.95</v>
      </c>
      <c r="D24" s="9">
        <v>1.4205301699957099E-2</v>
      </c>
      <c r="E24" s="9">
        <v>1.42851662368378E-2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27.65</v>
      </c>
      <c r="M24" s="8">
        <v>90.95</v>
      </c>
      <c r="N24" s="10">
        <v>3.2893309222423102</v>
      </c>
      <c r="O24" s="10">
        <v>3.2936632097661298</v>
      </c>
      <c r="P24" s="10">
        <v>3.2902857758525701</v>
      </c>
      <c r="Q24" s="10">
        <v>3.28984465662879</v>
      </c>
      <c r="R24" s="8">
        <v>91.069787750033498</v>
      </c>
      <c r="S24" s="8">
        <v>90.971239598577398</v>
      </c>
      <c r="T24" s="8">
        <v>90.967497573465593</v>
      </c>
      <c r="U24" s="9">
        <v>1.3162059884541501E-3</v>
      </c>
      <c r="V24" s="9">
        <v>2.33503231626616E-4</v>
      </c>
      <c r="W24" s="9">
        <v>1.9236823013734299E-4</v>
      </c>
      <c r="X24" s="10">
        <v>3.2893309222423102</v>
      </c>
      <c r="Y24" s="10">
        <v>3.2927332496881698</v>
      </c>
      <c r="Z24" s="10">
        <v>3.2902857758525701</v>
      </c>
      <c r="AA24" s="10">
        <v>3.28984465662879</v>
      </c>
      <c r="AB24" s="8">
        <v>91.044074353878102</v>
      </c>
      <c r="AC24" s="8">
        <v>90.971239598577398</v>
      </c>
      <c r="AD24" s="8">
        <v>90.967497573465593</v>
      </c>
      <c r="AE24" s="9">
        <v>1.0338178601786499E-3</v>
      </c>
      <c r="AF24" s="9">
        <v>2.33503231626616E-4</v>
      </c>
      <c r="AG24" s="9">
        <v>1.9236823013734299E-4</v>
      </c>
      <c r="AZ24" s="9"/>
      <c r="BB24">
        <f t="shared" si="2"/>
        <v>0</v>
      </c>
      <c r="BC24">
        <f t="shared" si="3"/>
        <v>1</v>
      </c>
      <c r="BD24">
        <f t="shared" si="4"/>
        <v>0</v>
      </c>
      <c r="BE24">
        <f t="shared" si="0"/>
        <v>1</v>
      </c>
      <c r="BF24">
        <f t="shared" si="5"/>
        <v>0</v>
      </c>
      <c r="BG24" s="9">
        <f t="shared" si="6"/>
        <v>0</v>
      </c>
      <c r="BH24" s="9">
        <f t="shared" si="7"/>
        <v>0</v>
      </c>
      <c r="BI24" s="9">
        <f t="shared" si="8"/>
        <v>0</v>
      </c>
      <c r="BJ24" s="12">
        <f t="shared" si="9"/>
        <v>0</v>
      </c>
      <c r="BL24" s="9"/>
      <c r="BN24">
        <f t="shared" si="10"/>
        <v>0</v>
      </c>
      <c r="BO24">
        <f t="shared" si="11"/>
        <v>0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0</v>
      </c>
      <c r="BY24" s="12">
        <f t="shared" si="19"/>
        <v>0</v>
      </c>
    </row>
    <row r="25" spans="1:77" x14ac:dyDescent="0.3">
      <c r="A25" s="1">
        <v>46058</v>
      </c>
      <c r="B25" s="8">
        <v>27.61</v>
      </c>
      <c r="C25" s="8">
        <v>90.82</v>
      </c>
      <c r="D25" s="9">
        <v>-1.44770202628068E-3</v>
      </c>
      <c r="E25" s="9">
        <v>-1.4303792943263301E-3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27.61</v>
      </c>
      <c r="M25" s="8">
        <v>90.82</v>
      </c>
      <c r="N25" s="10">
        <v>3.2893879029337101</v>
      </c>
      <c r="O25" s="10">
        <v>3.2936632097661298</v>
      </c>
      <c r="P25" s="10">
        <v>3.2904036054472598</v>
      </c>
      <c r="Q25" s="10">
        <v>3.2897547360447201</v>
      </c>
      <c r="R25" s="8">
        <v>90.938041221642905</v>
      </c>
      <c r="S25" s="8">
        <v>90.844790271289696</v>
      </c>
      <c r="T25" s="8">
        <v>90.8326109695209</v>
      </c>
      <c r="U25" s="9">
        <v>1.2988832564998999E-3</v>
      </c>
      <c r="V25" s="9">
        <v>2.7292323852704198E-4</v>
      </c>
      <c r="W25" s="9">
        <v>1.38847104634734E-4</v>
      </c>
      <c r="X25" s="10">
        <v>3.2893879029337101</v>
      </c>
      <c r="Y25" s="10">
        <v>3.2927332496881698</v>
      </c>
      <c r="Z25" s="10">
        <v>3.2904036054472598</v>
      </c>
      <c r="AA25" s="10">
        <v>3.2897547360447201</v>
      </c>
      <c r="AB25" s="8">
        <v>90.912365023890601</v>
      </c>
      <c r="AC25" s="8">
        <v>90.844790271289696</v>
      </c>
      <c r="AD25" s="8">
        <v>90.8326109695209</v>
      </c>
      <c r="AE25" s="9">
        <v>1.01649512822418E-3</v>
      </c>
      <c r="AF25" s="9">
        <v>2.7292323852704198E-4</v>
      </c>
      <c r="AG25" s="9">
        <v>1.38847104634734E-4</v>
      </c>
      <c r="AZ25" s="9"/>
      <c r="BB25">
        <f t="shared" si="2"/>
        <v>0</v>
      </c>
      <c r="BC25">
        <f t="shared" si="3"/>
        <v>1</v>
      </c>
      <c r="BD25">
        <f t="shared" si="4"/>
        <v>0</v>
      </c>
      <c r="BE25">
        <f t="shared" si="0"/>
        <v>1</v>
      </c>
      <c r="BF25">
        <f t="shared" si="5"/>
        <v>0</v>
      </c>
      <c r="BG25" s="9">
        <f t="shared" si="6"/>
        <v>0</v>
      </c>
      <c r="BH25" s="9">
        <f t="shared" si="7"/>
        <v>0</v>
      </c>
      <c r="BI25" s="9">
        <f t="shared" si="8"/>
        <v>0</v>
      </c>
      <c r="BJ25" s="12">
        <f t="shared" si="9"/>
        <v>0</v>
      </c>
      <c r="BL25" s="9"/>
      <c r="BN25">
        <f t="shared" si="10"/>
        <v>0</v>
      </c>
      <c r="BO25">
        <f t="shared" si="11"/>
        <v>0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0</v>
      </c>
      <c r="BY25" s="12">
        <f t="shared" si="19"/>
        <v>0</v>
      </c>
    </row>
    <row r="26" spans="1:77" x14ac:dyDescent="0.3">
      <c r="A26" s="1">
        <v>46059</v>
      </c>
      <c r="B26" s="8">
        <v>28.02</v>
      </c>
      <c r="C26" s="8">
        <v>92.25</v>
      </c>
      <c r="D26" s="9">
        <v>1.47405149667978E-2</v>
      </c>
      <c r="E26" s="9">
        <v>1.56227572508316E-2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28.02</v>
      </c>
      <c r="M26" s="8">
        <v>92.25</v>
      </c>
      <c r="N26" s="10">
        <v>3.2922912205567401</v>
      </c>
      <c r="O26" s="10">
        <v>3.2936632097661298</v>
      </c>
      <c r="P26" s="10">
        <v>3.2906356344796701</v>
      </c>
      <c r="Q26" s="10">
        <v>3.2898097688749899</v>
      </c>
      <c r="R26" s="8">
        <v>92.288443137646993</v>
      </c>
      <c r="S26" s="8">
        <v>92.197109024632198</v>
      </c>
      <c r="T26" s="8">
        <v>92.178927703973102</v>
      </c>
      <c r="U26" s="9">
        <v>4.16640972466085E-4</v>
      </c>
      <c r="V26" s="9">
        <v>-5.7350833089397099E-4</v>
      </c>
      <c r="W26" s="9">
        <v>-7.7072832803262898E-4</v>
      </c>
      <c r="X26" s="10">
        <v>3.2922912205567401</v>
      </c>
      <c r="Y26" s="10">
        <v>3.2927332496881698</v>
      </c>
      <c r="Z26" s="10">
        <v>3.2906356344796701</v>
      </c>
      <c r="AA26" s="10">
        <v>3.2898097688749899</v>
      </c>
      <c r="AB26" s="8">
        <v>92.262385656262694</v>
      </c>
      <c r="AC26" s="8">
        <v>92.197109024632198</v>
      </c>
      <c r="AD26" s="8">
        <v>92.178927703973102</v>
      </c>
      <c r="AE26" s="9">
        <v>1.3425284419038699E-4</v>
      </c>
      <c r="AF26" s="9">
        <v>-5.7350833089397099E-4</v>
      </c>
      <c r="AG26" s="9">
        <v>-7.7072832803262898E-4</v>
      </c>
      <c r="AZ26" s="9"/>
      <c r="BB26">
        <f t="shared" si="2"/>
        <v>0</v>
      </c>
      <c r="BC26">
        <f t="shared" si="3"/>
        <v>0</v>
      </c>
      <c r="BD26">
        <f t="shared" si="4"/>
        <v>0</v>
      </c>
      <c r="BE26">
        <f t="shared" si="0"/>
        <v>1</v>
      </c>
      <c r="BF26">
        <f t="shared" si="5"/>
        <v>0</v>
      </c>
      <c r="BG26" s="9">
        <f t="shared" si="6"/>
        <v>0</v>
      </c>
      <c r="BH26" s="9">
        <f t="shared" si="7"/>
        <v>0</v>
      </c>
      <c r="BI26" s="9">
        <f t="shared" si="8"/>
        <v>0</v>
      </c>
      <c r="BJ26" s="12">
        <f t="shared" si="9"/>
        <v>0</v>
      </c>
      <c r="BL26" s="9"/>
      <c r="BN26">
        <f t="shared" si="10"/>
        <v>0</v>
      </c>
      <c r="BO26">
        <f t="shared" si="11"/>
        <v>1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0</v>
      </c>
      <c r="BY26" s="12">
        <f t="shared" si="19"/>
        <v>0</v>
      </c>
    </row>
    <row r="27" spans="1:77" x14ac:dyDescent="0.3">
      <c r="A27" s="1">
        <v>46062</v>
      </c>
      <c r="B27" s="8">
        <v>28.13</v>
      </c>
      <c r="C27" s="8">
        <v>92.64</v>
      </c>
      <c r="D27" s="9">
        <v>3.9180815929044897E-3</v>
      </c>
      <c r="E27" s="9">
        <v>4.2187309040484702E-3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28.13</v>
      </c>
      <c r="M27" s="8">
        <v>92.64</v>
      </c>
      <c r="N27" s="10">
        <v>3.2932811944543099</v>
      </c>
      <c r="O27" s="10">
        <v>3.2936632097661298</v>
      </c>
      <c r="P27" s="10">
        <v>3.2909244526150601</v>
      </c>
      <c r="Q27" s="10">
        <v>3.2900069168330002</v>
      </c>
      <c r="R27" s="8">
        <v>92.650746090721199</v>
      </c>
      <c r="S27" s="8">
        <v>92.565580397913294</v>
      </c>
      <c r="T27" s="8">
        <v>92.542348798453503</v>
      </c>
      <c r="U27" s="9">
        <v>1.1599166132213E-4</v>
      </c>
      <c r="V27" s="9">
        <v>-8.0364323722880002E-4</v>
      </c>
      <c r="W27" s="9">
        <v>-1.05464922797857E-3</v>
      </c>
      <c r="X27" s="10">
        <v>3.2932811944543099</v>
      </c>
      <c r="Y27" s="10">
        <v>3.2927332496881698</v>
      </c>
      <c r="Z27" s="10">
        <v>3.2909244526150601</v>
      </c>
      <c r="AA27" s="10">
        <v>3.2900069168330002</v>
      </c>
      <c r="AB27" s="8">
        <v>92.6245863137284</v>
      </c>
      <c r="AC27" s="8">
        <v>92.565580397913294</v>
      </c>
      <c r="AD27" s="8">
        <v>92.542348798453503</v>
      </c>
      <c r="AE27" s="9">
        <v>-1.6639646695356701E-4</v>
      </c>
      <c r="AF27" s="9">
        <v>-8.0364323722880002E-4</v>
      </c>
      <c r="AG27" s="9">
        <v>-1.05464922797857E-3</v>
      </c>
      <c r="AZ27" s="9"/>
      <c r="BB27">
        <f t="shared" si="2"/>
        <v>0</v>
      </c>
      <c r="BC27">
        <f t="shared" si="3"/>
        <v>0</v>
      </c>
      <c r="BD27">
        <f t="shared" si="4"/>
        <v>0</v>
      </c>
      <c r="BE27">
        <f t="shared" si="0"/>
        <v>1</v>
      </c>
      <c r="BF27">
        <f t="shared" si="5"/>
        <v>0</v>
      </c>
      <c r="BG27" s="9">
        <f t="shared" si="6"/>
        <v>0</v>
      </c>
      <c r="BH27" s="9">
        <f t="shared" si="7"/>
        <v>0</v>
      </c>
      <c r="BI27" s="9">
        <f t="shared" si="8"/>
        <v>0</v>
      </c>
      <c r="BJ27" s="12">
        <f t="shared" si="9"/>
        <v>0</v>
      </c>
      <c r="BL27" s="9"/>
      <c r="BN27">
        <f t="shared" si="10"/>
        <v>0</v>
      </c>
      <c r="BO27">
        <f t="shared" si="11"/>
        <v>1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0</v>
      </c>
      <c r="BX27" s="12">
        <f t="shared" si="18"/>
        <v>0</v>
      </c>
      <c r="BY27" s="12">
        <f t="shared" si="19"/>
        <v>0</v>
      </c>
    </row>
    <row r="28" spans="1:77" x14ac:dyDescent="0.3">
      <c r="A28" s="1">
        <v>46063</v>
      </c>
      <c r="B28" s="8">
        <v>28.49</v>
      </c>
      <c r="C28" s="8">
        <v>93.88</v>
      </c>
      <c r="D28" s="9">
        <v>1.27165260080514E-2</v>
      </c>
      <c r="E28" s="9">
        <v>1.32963571581375E-2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28.49</v>
      </c>
      <c r="M28" s="8">
        <v>93.88</v>
      </c>
      <c r="N28" s="10">
        <v>3.2951912951912901</v>
      </c>
      <c r="O28" s="10">
        <v>3.2936632097661298</v>
      </c>
      <c r="P28" s="10">
        <v>3.2915134511298301</v>
      </c>
      <c r="Q28" s="10">
        <v>3.2903208134574702</v>
      </c>
      <c r="R28" s="8">
        <v>93.836464846237007</v>
      </c>
      <c r="S28" s="8">
        <v>93.758437655003206</v>
      </c>
      <c r="T28" s="8">
        <v>93.732297060572193</v>
      </c>
      <c r="U28" s="9">
        <v>-4.6383948876409101E-4</v>
      </c>
      <c r="V28" s="9">
        <v>-1.2957085288400499E-3</v>
      </c>
      <c r="W28" s="9">
        <v>-1.57455531708314E-3</v>
      </c>
      <c r="X28" s="10">
        <v>3.2951912951912901</v>
      </c>
      <c r="Y28" s="10">
        <v>3.2927332496881698</v>
      </c>
      <c r="Z28" s="10">
        <v>3.2915134511298301</v>
      </c>
      <c r="AA28" s="10">
        <v>3.2903208134574702</v>
      </c>
      <c r="AB28" s="8">
        <v>93.809970283616195</v>
      </c>
      <c r="AC28" s="8">
        <v>93.758437655003206</v>
      </c>
      <c r="AD28" s="8">
        <v>93.732297060572193</v>
      </c>
      <c r="AE28" s="9">
        <v>-7.4622761703979201E-4</v>
      </c>
      <c r="AF28" s="9">
        <v>-1.2957085288400499E-3</v>
      </c>
      <c r="AG28" s="9">
        <v>-1.57455531708314E-3</v>
      </c>
      <c r="AZ28" s="9"/>
      <c r="BB28">
        <f t="shared" si="2"/>
        <v>1</v>
      </c>
      <c r="BC28">
        <f t="shared" si="3"/>
        <v>0</v>
      </c>
      <c r="BD28">
        <f t="shared" si="4"/>
        <v>0</v>
      </c>
      <c r="BE28">
        <f t="shared" si="0"/>
        <v>1</v>
      </c>
      <c r="BF28">
        <f t="shared" si="5"/>
        <v>0</v>
      </c>
      <c r="BG28" s="9">
        <f t="shared" si="6"/>
        <v>0</v>
      </c>
      <c r="BH28" s="9">
        <f t="shared" si="7"/>
        <v>0</v>
      </c>
      <c r="BI28" s="9">
        <f t="shared" si="8"/>
        <v>0</v>
      </c>
      <c r="BJ28" s="12">
        <f t="shared" si="9"/>
        <v>0</v>
      </c>
      <c r="BL28" s="9"/>
      <c r="BN28">
        <f t="shared" si="10"/>
        <v>0</v>
      </c>
      <c r="BO28">
        <f t="shared" si="11"/>
        <v>1</v>
      </c>
      <c r="BP28">
        <f t="shared" si="12"/>
        <v>0</v>
      </c>
      <c r="BQ28">
        <f t="shared" si="1"/>
        <v>1</v>
      </c>
      <c r="BR28">
        <f t="shared" si="13"/>
        <v>0</v>
      </c>
      <c r="BS28" s="9">
        <f t="shared" si="14"/>
        <v>0</v>
      </c>
      <c r="BT28" s="9">
        <f t="shared" si="15"/>
        <v>0</v>
      </c>
      <c r="BU28" s="9">
        <f t="shared" si="16"/>
        <v>0</v>
      </c>
      <c r="BV28" s="12">
        <f t="shared" si="17"/>
        <v>0</v>
      </c>
      <c r="BX28" s="12">
        <f t="shared" si="18"/>
        <v>0</v>
      </c>
      <c r="BY28" s="12">
        <f t="shared" si="19"/>
        <v>0</v>
      </c>
    </row>
    <row r="29" spans="1:77" x14ac:dyDescent="0.3">
      <c r="A29" s="1">
        <v>46064</v>
      </c>
      <c r="B29" s="8">
        <v>28.38</v>
      </c>
      <c r="C29" s="8">
        <v>93.36</v>
      </c>
      <c r="D29" s="9">
        <v>-3.8684767779203098E-3</v>
      </c>
      <c r="E29" s="9">
        <v>-5.5543830045221799E-3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28.38</v>
      </c>
      <c r="M29" s="8">
        <v>93.36</v>
      </c>
      <c r="N29" s="10">
        <v>3.2896405919661702</v>
      </c>
      <c r="O29" s="10">
        <v>3.2936632097661298</v>
      </c>
      <c r="P29" s="10">
        <v>3.29133843747876</v>
      </c>
      <c r="Q29" s="10">
        <v>3.2902849467811199</v>
      </c>
      <c r="R29" s="8">
        <v>93.474161893162801</v>
      </c>
      <c r="S29" s="8">
        <v>93.413151743064503</v>
      </c>
      <c r="T29" s="8">
        <v>93.379304685923003</v>
      </c>
      <c r="U29" s="9">
        <v>1.22206673783785E-3</v>
      </c>
      <c r="V29" s="9">
        <v>5.6915829714684701E-4</v>
      </c>
      <c r="W29" s="9">
        <v>2.0675546612208601E-4</v>
      </c>
      <c r="X29" s="10">
        <v>3.2896405919661702</v>
      </c>
      <c r="Y29" s="10">
        <v>3.2927332496881698</v>
      </c>
      <c r="Z29" s="10">
        <v>3.29133843747876</v>
      </c>
      <c r="AA29" s="10">
        <v>3.2902849467811199</v>
      </c>
      <c r="AB29" s="8">
        <v>93.447769626150404</v>
      </c>
      <c r="AC29" s="8">
        <v>93.413151743064503</v>
      </c>
      <c r="AD29" s="8">
        <v>93.379304685923003</v>
      </c>
      <c r="AE29" s="9">
        <v>9.3967860956205003E-4</v>
      </c>
      <c r="AF29" s="9">
        <v>5.6915829714684701E-4</v>
      </c>
      <c r="AG29" s="9">
        <v>2.0675546612208601E-4</v>
      </c>
      <c r="AZ29" s="9"/>
      <c r="BB29">
        <f t="shared" si="2"/>
        <v>0</v>
      </c>
      <c r="BC29">
        <f t="shared" si="3"/>
        <v>1</v>
      </c>
      <c r="BD29">
        <f t="shared" si="4"/>
        <v>1</v>
      </c>
      <c r="BE29">
        <f t="shared" si="0"/>
        <v>1</v>
      </c>
      <c r="BF29">
        <f t="shared" si="5"/>
        <v>1</v>
      </c>
      <c r="BG29" s="9">
        <f t="shared" si="6"/>
        <v>-3.8684767779203098E-3</v>
      </c>
      <c r="BH29" s="9">
        <f t="shared" si="7"/>
        <v>5.5543830045221799E-3</v>
      </c>
      <c r="BI29" s="9">
        <f t="shared" si="8"/>
        <v>1.6859062266018701E-3</v>
      </c>
      <c r="BJ29" s="12">
        <f t="shared" si="9"/>
        <v>1.6859062266018701E-3</v>
      </c>
      <c r="BL29" s="9"/>
      <c r="BN29">
        <f t="shared" si="10"/>
        <v>0</v>
      </c>
      <c r="BO29">
        <f t="shared" si="11"/>
        <v>0</v>
      </c>
      <c r="BP29">
        <f t="shared" si="12"/>
        <v>0</v>
      </c>
      <c r="BQ29">
        <f t="shared" si="1"/>
        <v>1</v>
      </c>
      <c r="BR29">
        <f t="shared" si="13"/>
        <v>0</v>
      </c>
      <c r="BS29" s="9">
        <f t="shared" si="14"/>
        <v>0</v>
      </c>
      <c r="BT29" s="9">
        <f t="shared" si="15"/>
        <v>0</v>
      </c>
      <c r="BU29" s="9">
        <f t="shared" si="16"/>
        <v>0</v>
      </c>
      <c r="BV29" s="12">
        <f t="shared" si="17"/>
        <v>0</v>
      </c>
      <c r="BX29" s="12">
        <f t="shared" si="18"/>
        <v>1.6859062266018701E-3</v>
      </c>
      <c r="BY29" s="12">
        <f t="shared" si="19"/>
        <v>1.6859062266018701E-3</v>
      </c>
    </row>
    <row r="30" spans="1:77" x14ac:dyDescent="0.3">
      <c r="A30" s="1">
        <v>46065</v>
      </c>
      <c r="B30" s="8">
        <v>28.31</v>
      </c>
      <c r="C30" s="8">
        <v>93.25</v>
      </c>
      <c r="D30" s="9">
        <v>-2.46957260808843E-3</v>
      </c>
      <c r="E30" s="9">
        <v>-1.1789294543756001E-3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28.31</v>
      </c>
      <c r="M30" s="8">
        <v>93.25</v>
      </c>
      <c r="N30" s="10">
        <v>3.29388908512892</v>
      </c>
      <c r="O30" s="10">
        <v>3.2936632097661298</v>
      </c>
      <c r="P30" s="10">
        <v>3.2915909163835302</v>
      </c>
      <c r="Q30" s="10">
        <v>3.29053857584756</v>
      </c>
      <c r="R30" s="8">
        <v>93.243605468479103</v>
      </c>
      <c r="S30" s="8">
        <v>93.177791165023805</v>
      </c>
      <c r="T30" s="8">
        <v>93.147966843373695</v>
      </c>
      <c r="U30" s="9">
        <v>-6.8576415875054394E-5</v>
      </c>
      <c r="V30" s="9">
        <v>-7.7465744925599904E-4</v>
      </c>
      <c r="W30" s="9">
        <v>-1.0947884093936799E-3</v>
      </c>
      <c r="X30" s="10">
        <v>3.29388908512892</v>
      </c>
      <c r="Y30" s="10">
        <v>3.2927332496881698</v>
      </c>
      <c r="Z30" s="10">
        <v>3.2915909163835302</v>
      </c>
      <c r="AA30" s="10">
        <v>3.29053857584756</v>
      </c>
      <c r="AB30" s="8">
        <v>93.217278298672298</v>
      </c>
      <c r="AC30" s="8">
        <v>93.177791165023805</v>
      </c>
      <c r="AD30" s="8">
        <v>93.147966843373695</v>
      </c>
      <c r="AE30" s="9">
        <v>-3.5096454415060901E-4</v>
      </c>
      <c r="AF30" s="9">
        <v>-7.7465744925599904E-4</v>
      </c>
      <c r="AG30" s="9">
        <v>-1.0947884093936799E-3</v>
      </c>
      <c r="AZ30" s="9"/>
      <c r="BB30">
        <f t="shared" si="2"/>
        <v>0</v>
      </c>
      <c r="BC30">
        <f t="shared" si="3"/>
        <v>0</v>
      </c>
      <c r="BD30">
        <f t="shared" si="4"/>
        <v>0</v>
      </c>
      <c r="BE30">
        <f t="shared" si="0"/>
        <v>1</v>
      </c>
      <c r="BF30">
        <f t="shared" si="5"/>
        <v>0</v>
      </c>
      <c r="BG30" s="9">
        <f t="shared" si="6"/>
        <v>0</v>
      </c>
      <c r="BH30" s="9">
        <f t="shared" si="7"/>
        <v>0</v>
      </c>
      <c r="BI30" s="9">
        <f t="shared" si="8"/>
        <v>0</v>
      </c>
      <c r="BJ30" s="12">
        <f t="shared" si="9"/>
        <v>1.6859062266018701E-3</v>
      </c>
      <c r="BL30" s="9"/>
      <c r="BN30">
        <f t="shared" si="10"/>
        <v>0</v>
      </c>
      <c r="BO30">
        <f t="shared" si="11"/>
        <v>1</v>
      </c>
      <c r="BP30">
        <f t="shared" si="12"/>
        <v>0</v>
      </c>
      <c r="BQ30">
        <f t="shared" si="1"/>
        <v>1</v>
      </c>
      <c r="BR30">
        <f t="shared" si="13"/>
        <v>0</v>
      </c>
      <c r="BS30" s="9">
        <f t="shared" si="14"/>
        <v>0</v>
      </c>
      <c r="BT30" s="9">
        <f t="shared" si="15"/>
        <v>0</v>
      </c>
      <c r="BU30" s="9">
        <f t="shared" si="16"/>
        <v>0</v>
      </c>
      <c r="BV30" s="12">
        <f t="shared" si="17"/>
        <v>0</v>
      </c>
      <c r="BX30" s="12">
        <f t="shared" si="18"/>
        <v>0</v>
      </c>
      <c r="BY30" s="12">
        <f t="shared" si="19"/>
        <v>1.6859062266018701E-3</v>
      </c>
    </row>
    <row r="31" spans="1:77" x14ac:dyDescent="0.3">
      <c r="A31" s="1">
        <v>46066</v>
      </c>
      <c r="B31" s="8">
        <v>28.73</v>
      </c>
      <c r="C31" s="8">
        <v>94.59</v>
      </c>
      <c r="D31" s="9">
        <v>1.47267738673899E-2</v>
      </c>
      <c r="E31" s="9">
        <v>1.42677037011542E-2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28.73</v>
      </c>
      <c r="M31" s="8">
        <v>94.59</v>
      </c>
      <c r="N31" s="10">
        <v>3.2923773059519599</v>
      </c>
      <c r="O31" s="10">
        <v>3.2936632097661298</v>
      </c>
      <c r="P31" s="10">
        <v>3.2917238988815898</v>
      </c>
      <c r="Q31" s="10">
        <v>3.2906482717816199</v>
      </c>
      <c r="R31" s="8">
        <v>94.626944016580893</v>
      </c>
      <c r="S31" s="8">
        <v>94.567407027698806</v>
      </c>
      <c r="T31" s="8">
        <v>94.537173284100504</v>
      </c>
      <c r="U31" s="9">
        <v>3.9049375036089002E-4</v>
      </c>
      <c r="V31" s="9">
        <v>-2.3888012384609101E-4</v>
      </c>
      <c r="W31" s="9">
        <v>-5.5863698860398497E-4</v>
      </c>
      <c r="X31" s="10">
        <v>3.2923773059519599</v>
      </c>
      <c r="Y31" s="10">
        <v>3.2927332496881698</v>
      </c>
      <c r="Z31" s="10">
        <v>3.2917238988815898</v>
      </c>
      <c r="AA31" s="10">
        <v>3.2906482717816199</v>
      </c>
      <c r="AB31" s="8">
        <v>94.600226263541302</v>
      </c>
      <c r="AC31" s="8">
        <v>94.567407027698806</v>
      </c>
      <c r="AD31" s="8">
        <v>94.537173284100504</v>
      </c>
      <c r="AE31" s="9">
        <v>1.0810562208509999E-4</v>
      </c>
      <c r="AF31" s="9">
        <v>-2.3888012384609101E-4</v>
      </c>
      <c r="AG31" s="9">
        <v>-5.5863698860398497E-4</v>
      </c>
      <c r="AZ31" s="9"/>
      <c r="BB31">
        <f t="shared" si="2"/>
        <v>0</v>
      </c>
      <c r="BC31">
        <f t="shared" si="3"/>
        <v>0</v>
      </c>
      <c r="BD31">
        <f t="shared" si="4"/>
        <v>0</v>
      </c>
      <c r="BE31">
        <f t="shared" si="0"/>
        <v>1</v>
      </c>
      <c r="BF31">
        <f t="shared" si="5"/>
        <v>0</v>
      </c>
      <c r="BG31" s="9">
        <f t="shared" si="6"/>
        <v>0</v>
      </c>
      <c r="BH31" s="9">
        <f t="shared" si="7"/>
        <v>0</v>
      </c>
      <c r="BI31" s="9">
        <f t="shared" si="8"/>
        <v>0</v>
      </c>
      <c r="BJ31" s="12">
        <f t="shared" si="9"/>
        <v>1.6859062266018701E-3</v>
      </c>
      <c r="BL31" s="9"/>
      <c r="BN31">
        <f t="shared" si="10"/>
        <v>0</v>
      </c>
      <c r="BO31">
        <f t="shared" si="11"/>
        <v>1</v>
      </c>
      <c r="BP31">
        <f t="shared" si="12"/>
        <v>0</v>
      </c>
      <c r="BQ31">
        <f t="shared" si="1"/>
        <v>1</v>
      </c>
      <c r="BR31">
        <f t="shared" si="13"/>
        <v>0</v>
      </c>
      <c r="BS31" s="9">
        <f t="shared" si="14"/>
        <v>0</v>
      </c>
      <c r="BT31" s="9">
        <f t="shared" si="15"/>
        <v>0</v>
      </c>
      <c r="BU31" s="9">
        <f t="shared" si="16"/>
        <v>0</v>
      </c>
      <c r="BV31" s="12">
        <f t="shared" si="17"/>
        <v>0</v>
      </c>
      <c r="BX31" s="12">
        <f t="shared" si="18"/>
        <v>0</v>
      </c>
      <c r="BY31" s="12">
        <f t="shared" si="19"/>
        <v>1.6859062266018701E-3</v>
      </c>
    </row>
    <row r="32" spans="1:77" x14ac:dyDescent="0.3">
      <c r="A32" s="1">
        <v>46070</v>
      </c>
      <c r="B32" s="8">
        <v>29.01</v>
      </c>
      <c r="C32" s="8">
        <v>95.49</v>
      </c>
      <c r="D32" s="9">
        <v>9.6987251421145598E-3</v>
      </c>
      <c r="E32" s="9">
        <v>9.4697677370319897E-3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29.01</v>
      </c>
      <c r="M32" s="8">
        <v>95.49</v>
      </c>
      <c r="N32" s="10">
        <v>3.29162357807652</v>
      </c>
      <c r="O32" s="10">
        <v>3.2936632097661298</v>
      </c>
      <c r="P32" s="10">
        <v>3.2916081328343498</v>
      </c>
      <c r="Q32" s="10">
        <v>3.2907763256854499</v>
      </c>
      <c r="R32" s="8">
        <v>95.5491697153155</v>
      </c>
      <c r="S32" s="8">
        <v>95.492910306554904</v>
      </c>
      <c r="T32" s="8">
        <v>95.461706364384895</v>
      </c>
      <c r="U32" s="9">
        <v>6.1945115544349599E-4</v>
      </c>
      <c r="V32" s="9">
        <v>3.0477141127624499E-5</v>
      </c>
      <c r="W32" s="9">
        <v>-2.9634336724022501E-4</v>
      </c>
      <c r="X32" s="10">
        <v>3.29162357807652</v>
      </c>
      <c r="Y32" s="10">
        <v>3.2927332496881698</v>
      </c>
      <c r="Z32" s="10">
        <v>3.2916081328343498</v>
      </c>
      <c r="AA32" s="10">
        <v>3.2907763256854499</v>
      </c>
      <c r="AB32" s="8">
        <v>95.522191573453995</v>
      </c>
      <c r="AC32" s="8">
        <v>95.492910306554904</v>
      </c>
      <c r="AD32" s="8">
        <v>95.461706364384895</v>
      </c>
      <c r="AE32" s="9">
        <v>3.3706302716769102E-4</v>
      </c>
      <c r="AF32" s="9">
        <v>3.0477141127624499E-5</v>
      </c>
      <c r="AG32" s="9">
        <v>-2.9634336724022501E-4</v>
      </c>
      <c r="AZ32" s="9"/>
      <c r="BB32">
        <f t="shared" si="2"/>
        <v>0</v>
      </c>
      <c r="BC32">
        <f t="shared" si="3"/>
        <v>0</v>
      </c>
      <c r="BD32">
        <f t="shared" si="4"/>
        <v>0</v>
      </c>
      <c r="BE32">
        <f t="shared" si="0"/>
        <v>1</v>
      </c>
      <c r="BF32">
        <f t="shared" si="5"/>
        <v>0</v>
      </c>
      <c r="BG32" s="9">
        <f t="shared" si="6"/>
        <v>0</v>
      </c>
      <c r="BH32" s="9">
        <f t="shared" si="7"/>
        <v>0</v>
      </c>
      <c r="BI32" s="9">
        <f t="shared" si="8"/>
        <v>0</v>
      </c>
      <c r="BJ32" s="12">
        <f t="shared" si="9"/>
        <v>1.6859062266018701E-3</v>
      </c>
      <c r="BL32" s="9"/>
      <c r="BN32">
        <f t="shared" si="10"/>
        <v>0</v>
      </c>
      <c r="BO32">
        <f t="shared" si="11"/>
        <v>1</v>
      </c>
      <c r="BP32">
        <f t="shared" si="12"/>
        <v>0</v>
      </c>
      <c r="BQ32">
        <f t="shared" si="1"/>
        <v>1</v>
      </c>
      <c r="BR32">
        <f t="shared" si="13"/>
        <v>0</v>
      </c>
      <c r="BS32" s="9">
        <f t="shared" si="14"/>
        <v>0</v>
      </c>
      <c r="BT32" s="9">
        <f t="shared" si="15"/>
        <v>0</v>
      </c>
      <c r="BU32" s="9">
        <f t="shared" si="16"/>
        <v>0</v>
      </c>
      <c r="BV32" s="12">
        <f t="shared" si="17"/>
        <v>0</v>
      </c>
      <c r="BX32" s="12">
        <f t="shared" si="18"/>
        <v>0</v>
      </c>
      <c r="BY32" s="12">
        <f t="shared" si="19"/>
        <v>1.6859062266018701E-3</v>
      </c>
    </row>
    <row r="33" spans="1:77" x14ac:dyDescent="0.3">
      <c r="A33" s="1">
        <v>46071</v>
      </c>
      <c r="B33" s="8">
        <v>28.67</v>
      </c>
      <c r="C33" s="8">
        <v>94.37</v>
      </c>
      <c r="D33" s="9">
        <v>-1.1789318238034099E-2</v>
      </c>
      <c r="E33" s="9">
        <v>-1.17983039288693E-2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28.67</v>
      </c>
      <c r="M33" s="8">
        <v>94.37</v>
      </c>
      <c r="N33" s="10">
        <v>3.2915940006975899</v>
      </c>
      <c r="O33" s="10">
        <v>3.2936632097661298</v>
      </c>
      <c r="P33" s="10">
        <v>3.2918607097199502</v>
      </c>
      <c r="Q33" s="10">
        <v>3.29097989552141</v>
      </c>
      <c r="R33" s="8">
        <v>94.429324223994996</v>
      </c>
      <c r="S33" s="8">
        <v>94.370405168360804</v>
      </c>
      <c r="T33" s="8">
        <v>94.346557257401798</v>
      </c>
      <c r="U33" s="9">
        <v>6.2843684627866998E-4</v>
      </c>
      <c r="V33" s="9">
        <v>4.29339293295533E-6</v>
      </c>
      <c r="W33" s="9">
        <v>-2.48443942168171E-4</v>
      </c>
      <c r="X33" s="10">
        <v>3.2915940006975899</v>
      </c>
      <c r="Y33" s="10">
        <v>3.2927332496881698</v>
      </c>
      <c r="Z33" s="10">
        <v>3.2918607097199502</v>
      </c>
      <c r="AA33" s="10">
        <v>3.29097989552141</v>
      </c>
      <c r="AB33" s="8">
        <v>94.402662268559993</v>
      </c>
      <c r="AC33" s="8">
        <v>94.370405168360804</v>
      </c>
      <c r="AD33" s="8">
        <v>94.346557257401798</v>
      </c>
      <c r="AE33" s="9">
        <v>3.4604871800282799E-4</v>
      </c>
      <c r="AF33" s="9">
        <v>4.29339293295533E-6</v>
      </c>
      <c r="AG33" s="9">
        <v>-2.48443942168171E-4</v>
      </c>
      <c r="AZ33" s="9"/>
      <c r="BB33">
        <f t="shared" si="2"/>
        <v>0</v>
      </c>
      <c r="BC33">
        <f t="shared" si="3"/>
        <v>0</v>
      </c>
      <c r="BD33">
        <f t="shared" si="4"/>
        <v>0</v>
      </c>
      <c r="BE33">
        <f t="shared" si="0"/>
        <v>1</v>
      </c>
      <c r="BF33">
        <f t="shared" si="5"/>
        <v>0</v>
      </c>
      <c r="BG33" s="9">
        <f t="shared" si="6"/>
        <v>0</v>
      </c>
      <c r="BH33" s="9">
        <f t="shared" si="7"/>
        <v>0</v>
      </c>
      <c r="BI33" s="9">
        <f t="shared" si="8"/>
        <v>0</v>
      </c>
      <c r="BJ33" s="12">
        <f t="shared" si="9"/>
        <v>1.6859062266018701E-3</v>
      </c>
      <c r="BL33" s="9"/>
      <c r="BN33">
        <f t="shared" si="10"/>
        <v>0</v>
      </c>
      <c r="BO33">
        <f t="shared" si="11"/>
        <v>1</v>
      </c>
      <c r="BP33">
        <f t="shared" si="12"/>
        <v>0</v>
      </c>
      <c r="BQ33">
        <f t="shared" si="1"/>
        <v>1</v>
      </c>
      <c r="BR33">
        <f t="shared" si="13"/>
        <v>0</v>
      </c>
      <c r="BS33" s="9">
        <f t="shared" si="14"/>
        <v>0</v>
      </c>
      <c r="BT33" s="9">
        <f t="shared" si="15"/>
        <v>0</v>
      </c>
      <c r="BU33" s="9">
        <f t="shared" si="16"/>
        <v>0</v>
      </c>
      <c r="BV33" s="12">
        <f t="shared" si="17"/>
        <v>0</v>
      </c>
      <c r="BX33" s="12">
        <f t="shared" si="18"/>
        <v>0</v>
      </c>
      <c r="BY33" s="12">
        <f t="shared" si="19"/>
        <v>1.6859062266018701E-3</v>
      </c>
    </row>
    <row r="34" spans="1:77" x14ac:dyDescent="0.3">
      <c r="A34" s="1">
        <v>46072</v>
      </c>
      <c r="B34" s="8">
        <v>28.63</v>
      </c>
      <c r="C34" s="8">
        <v>94.17</v>
      </c>
      <c r="D34" s="9">
        <v>-1.3961607852548299E-3</v>
      </c>
      <c r="E34" s="9">
        <v>-2.1215665112698299E-3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28.63</v>
      </c>
      <c r="M34" s="8">
        <v>94.17</v>
      </c>
      <c r="N34" s="10">
        <v>3.2892071253929398</v>
      </c>
      <c r="O34" s="10">
        <v>3.2936632097661298</v>
      </c>
      <c r="P34" s="10">
        <v>3.2918483300350201</v>
      </c>
      <c r="Q34" s="10">
        <v>3.2910670529438</v>
      </c>
      <c r="R34" s="8">
        <v>94.297577695604303</v>
      </c>
      <c r="S34" s="8">
        <v>94.245972119282399</v>
      </c>
      <c r="T34" s="8">
        <v>94.220754408778106</v>
      </c>
      <c r="U34" s="9">
        <v>1.3538425722936199E-3</v>
      </c>
      <c r="V34" s="9">
        <v>8.0642975799877302E-4</v>
      </c>
      <c r="W34" s="9">
        <v>5.3882060364723199E-4</v>
      </c>
      <c r="X34" s="10">
        <v>3.2892071253929398</v>
      </c>
      <c r="Y34" s="10">
        <v>3.2927332496881698</v>
      </c>
      <c r="Z34" s="10">
        <v>3.2918483300350201</v>
      </c>
      <c r="AA34" s="10">
        <v>3.2910670529438</v>
      </c>
      <c r="AB34" s="8">
        <v>94.270952938572506</v>
      </c>
      <c r="AC34" s="8">
        <v>94.245972119282399</v>
      </c>
      <c r="AD34" s="8">
        <v>94.220754408778106</v>
      </c>
      <c r="AE34" s="9">
        <v>1.0714544440177001E-3</v>
      </c>
      <c r="AF34" s="9">
        <v>8.0642975799877302E-4</v>
      </c>
      <c r="AG34" s="9">
        <v>5.3882060364723199E-4</v>
      </c>
      <c r="AZ34" s="9"/>
      <c r="BB34">
        <f t="shared" si="2"/>
        <v>0</v>
      </c>
      <c r="BC34">
        <f t="shared" si="3"/>
        <v>1</v>
      </c>
      <c r="BD34">
        <f t="shared" si="4"/>
        <v>0</v>
      </c>
      <c r="BE34">
        <f t="shared" si="0"/>
        <v>1</v>
      </c>
      <c r="BF34">
        <f t="shared" si="5"/>
        <v>0</v>
      </c>
      <c r="BG34" s="9">
        <f t="shared" si="6"/>
        <v>0</v>
      </c>
      <c r="BH34" s="9">
        <f t="shared" si="7"/>
        <v>0</v>
      </c>
      <c r="BI34" s="9">
        <f t="shared" si="8"/>
        <v>0</v>
      </c>
      <c r="BJ34" s="12">
        <f t="shared" si="9"/>
        <v>1.6859062266018701E-3</v>
      </c>
      <c r="BL34" s="9"/>
      <c r="BN34">
        <f t="shared" si="10"/>
        <v>0</v>
      </c>
      <c r="BO34">
        <f t="shared" si="11"/>
        <v>0</v>
      </c>
      <c r="BP34">
        <f t="shared" si="12"/>
        <v>0</v>
      </c>
      <c r="BQ34">
        <f t="shared" si="1"/>
        <v>1</v>
      </c>
      <c r="BR34">
        <f t="shared" si="13"/>
        <v>0</v>
      </c>
      <c r="BS34" s="9">
        <f t="shared" si="14"/>
        <v>0</v>
      </c>
      <c r="BT34" s="9">
        <f t="shared" si="15"/>
        <v>0</v>
      </c>
      <c r="BU34" s="9">
        <f t="shared" si="16"/>
        <v>0</v>
      </c>
      <c r="BV34" s="12">
        <f t="shared" si="17"/>
        <v>0</v>
      </c>
      <c r="BX34" s="12">
        <f t="shared" si="18"/>
        <v>0</v>
      </c>
      <c r="BY34" s="12">
        <f t="shared" si="19"/>
        <v>1.6859062266018701E-3</v>
      </c>
    </row>
    <row r="35" spans="1:77" x14ac:dyDescent="0.3">
      <c r="A35" s="1">
        <v>46073</v>
      </c>
      <c r="B35" s="8">
        <v>28.81</v>
      </c>
      <c r="C35" s="8">
        <v>94.88</v>
      </c>
      <c r="D35" s="9">
        <v>6.26742998641335E-3</v>
      </c>
      <c r="E35" s="9">
        <v>7.5112757274434097E-3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28.81</v>
      </c>
      <c r="M35" s="8">
        <v>94.88</v>
      </c>
      <c r="N35" s="10">
        <v>3.2933009371745898</v>
      </c>
      <c r="O35" s="10">
        <v>3.2936632097661298</v>
      </c>
      <c r="P35" s="10">
        <v>3.2922396334591002</v>
      </c>
      <c r="Q35" s="10">
        <v>3.2913216194531798</v>
      </c>
      <c r="R35" s="8">
        <v>94.890437073362193</v>
      </c>
      <c r="S35" s="8">
        <v>94.838150388308904</v>
      </c>
      <c r="T35" s="8">
        <v>94.815641795310796</v>
      </c>
      <c r="U35" s="9">
        <v>1.0999683126367401E-4</v>
      </c>
      <c r="V35" s="9">
        <v>-4.4117668535327797E-4</v>
      </c>
      <c r="W35" s="9">
        <v>-6.7854175825384302E-4</v>
      </c>
      <c r="X35" s="10">
        <v>3.2933009371745898</v>
      </c>
      <c r="Y35" s="10">
        <v>3.2927332496881698</v>
      </c>
      <c r="Z35" s="10">
        <v>3.2922396334591002</v>
      </c>
      <c r="AA35" s="10">
        <v>3.2913216194531798</v>
      </c>
      <c r="AB35" s="8">
        <v>94.863644923516404</v>
      </c>
      <c r="AC35" s="8">
        <v>94.838150388308904</v>
      </c>
      <c r="AD35" s="8">
        <v>94.815641795310796</v>
      </c>
      <c r="AE35" s="9">
        <v>-1.7239129701202501E-4</v>
      </c>
      <c r="AF35" s="9">
        <v>-4.4117668535327797E-4</v>
      </c>
      <c r="AG35" s="9">
        <v>-6.7854175825384302E-4</v>
      </c>
      <c r="AZ35" s="9"/>
      <c r="BB35">
        <f t="shared" si="2"/>
        <v>0</v>
      </c>
      <c r="BC35">
        <f t="shared" si="3"/>
        <v>0</v>
      </c>
      <c r="BD35">
        <f t="shared" si="4"/>
        <v>0</v>
      </c>
      <c r="BE35">
        <f t="shared" si="0"/>
        <v>1</v>
      </c>
      <c r="BF35">
        <f t="shared" si="5"/>
        <v>0</v>
      </c>
      <c r="BG35" s="9">
        <f t="shared" si="6"/>
        <v>0</v>
      </c>
      <c r="BH35" s="9">
        <f t="shared" si="7"/>
        <v>0</v>
      </c>
      <c r="BI35" s="9">
        <f t="shared" si="8"/>
        <v>0</v>
      </c>
      <c r="BJ35" s="12">
        <f t="shared" si="9"/>
        <v>1.6859062266018701E-3</v>
      </c>
      <c r="BL35" s="9"/>
      <c r="BN35">
        <f t="shared" si="10"/>
        <v>0</v>
      </c>
      <c r="BO35">
        <f t="shared" si="11"/>
        <v>1</v>
      </c>
      <c r="BP35">
        <f t="shared" si="12"/>
        <v>0</v>
      </c>
      <c r="BQ35">
        <f t="shared" si="1"/>
        <v>1</v>
      </c>
      <c r="BR35">
        <f t="shared" si="13"/>
        <v>0</v>
      </c>
      <c r="BS35" s="9">
        <f t="shared" si="14"/>
        <v>0</v>
      </c>
      <c r="BT35" s="9">
        <f t="shared" si="15"/>
        <v>0</v>
      </c>
      <c r="BU35" s="9">
        <f t="shared" si="16"/>
        <v>0</v>
      </c>
      <c r="BV35" s="12">
        <f t="shared" si="17"/>
        <v>0</v>
      </c>
      <c r="BX35" s="12">
        <f t="shared" si="18"/>
        <v>0</v>
      </c>
      <c r="BY35" s="12">
        <f t="shared" si="19"/>
        <v>1.6859062266018701E-3</v>
      </c>
    </row>
    <row r="36" spans="1:77" x14ac:dyDescent="0.3">
      <c r="A36" s="1">
        <v>46076</v>
      </c>
      <c r="B36" s="8">
        <v>28.82</v>
      </c>
      <c r="C36" s="8">
        <v>94.89</v>
      </c>
      <c r="D36" s="9">
        <v>3.4704147493890502E-4</v>
      </c>
      <c r="E36" s="9">
        <v>1.05390736251826E-4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28.82</v>
      </c>
      <c r="M36" s="8">
        <v>94.89</v>
      </c>
      <c r="N36" s="10">
        <v>3.2925052047189398</v>
      </c>
      <c r="O36" s="10">
        <v>3.2936632097661298</v>
      </c>
      <c r="P36" s="10">
        <v>3.29226103187532</v>
      </c>
      <c r="Q36" s="10">
        <v>3.2914483331775002</v>
      </c>
      <c r="R36" s="8">
        <v>94.923373705459895</v>
      </c>
      <c r="S36" s="8">
        <v>94.882346236291497</v>
      </c>
      <c r="T36" s="8">
        <v>94.855889072640693</v>
      </c>
      <c r="U36" s="9">
        <v>3.5164756995065001E-4</v>
      </c>
      <c r="V36" s="9">
        <v>-8.0662581924462198E-5</v>
      </c>
      <c r="W36" s="9">
        <v>-3.5954325960264698E-4</v>
      </c>
      <c r="X36" s="10">
        <v>3.2925052047189398</v>
      </c>
      <c r="Y36" s="10">
        <v>3.2927332496881698</v>
      </c>
      <c r="Z36" s="10">
        <v>3.29226103187532</v>
      </c>
      <c r="AA36" s="10">
        <v>3.2914483331775002</v>
      </c>
      <c r="AB36" s="8">
        <v>94.8965722560133</v>
      </c>
      <c r="AC36" s="8">
        <v>94.882346236291497</v>
      </c>
      <c r="AD36" s="8">
        <v>94.855889072640693</v>
      </c>
      <c r="AE36" s="9">
        <v>6.9259441674921404E-5</v>
      </c>
      <c r="AF36" s="9">
        <v>-8.0662581924462198E-5</v>
      </c>
      <c r="AG36" s="9">
        <v>-3.5954325960264698E-4</v>
      </c>
      <c r="AZ36" s="9"/>
      <c r="BB36">
        <f t="shared" si="2"/>
        <v>0</v>
      </c>
      <c r="BC36">
        <f t="shared" si="3"/>
        <v>0</v>
      </c>
      <c r="BD36">
        <f t="shared" si="4"/>
        <v>0</v>
      </c>
      <c r="BE36">
        <f t="shared" si="0"/>
        <v>1</v>
      </c>
      <c r="BF36">
        <f t="shared" si="5"/>
        <v>0</v>
      </c>
      <c r="BG36" s="9">
        <f t="shared" si="6"/>
        <v>0</v>
      </c>
      <c r="BH36" s="9">
        <f t="shared" si="7"/>
        <v>0</v>
      </c>
      <c r="BI36" s="9">
        <f t="shared" si="8"/>
        <v>0</v>
      </c>
      <c r="BJ36" s="12">
        <f t="shared" si="9"/>
        <v>1.6859062266018701E-3</v>
      </c>
      <c r="BL36" s="9"/>
      <c r="BN36">
        <f t="shared" si="10"/>
        <v>0</v>
      </c>
      <c r="BO36">
        <f t="shared" si="11"/>
        <v>1</v>
      </c>
      <c r="BP36">
        <f t="shared" si="12"/>
        <v>0</v>
      </c>
      <c r="BQ36">
        <f t="shared" si="1"/>
        <v>1</v>
      </c>
      <c r="BR36">
        <f t="shared" si="13"/>
        <v>0</v>
      </c>
      <c r="BS36" s="9">
        <f t="shared" si="14"/>
        <v>0</v>
      </c>
      <c r="BT36" s="9">
        <f t="shared" si="15"/>
        <v>0</v>
      </c>
      <c r="BU36" s="9">
        <f t="shared" si="16"/>
        <v>0</v>
      </c>
      <c r="BV36" s="12">
        <f t="shared" si="17"/>
        <v>0</v>
      </c>
      <c r="BX36" s="12">
        <f t="shared" si="18"/>
        <v>0</v>
      </c>
      <c r="BY36" s="12">
        <f t="shared" si="19"/>
        <v>1.6859062266018701E-3</v>
      </c>
    </row>
    <row r="37" spans="1:77" x14ac:dyDescent="0.3">
      <c r="A37" s="1">
        <v>46077</v>
      </c>
      <c r="B37" s="8">
        <v>28.89</v>
      </c>
      <c r="C37" s="8">
        <v>95.13</v>
      </c>
      <c r="D37" s="9">
        <v>2.4259239067677702E-3</v>
      </c>
      <c r="E37" s="9">
        <v>2.52605123269845E-3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28.89</v>
      </c>
      <c r="M37" s="8">
        <v>95.13</v>
      </c>
      <c r="N37" s="10">
        <v>3.2928348909657301</v>
      </c>
      <c r="O37" s="10">
        <v>3.2936632097661298</v>
      </c>
      <c r="P37" s="10">
        <v>3.2922164015264599</v>
      </c>
      <c r="Q37" s="10">
        <v>3.2915704270707602</v>
      </c>
      <c r="R37" s="8">
        <v>95.153930130143493</v>
      </c>
      <c r="S37" s="8">
        <v>95.113421210878201</v>
      </c>
      <c r="T37" s="8">
        <v>95.089942345498002</v>
      </c>
      <c r="U37" s="9">
        <v>2.5152024402001598E-4</v>
      </c>
      <c r="V37" s="9">
        <v>-1.7429027567100199E-4</v>
      </c>
      <c r="W37" s="9">
        <v>-4.2117198228654401E-4</v>
      </c>
      <c r="X37" s="10">
        <v>3.2928348909657301</v>
      </c>
      <c r="Y37" s="10">
        <v>3.2927332496881698</v>
      </c>
      <c r="Z37" s="10">
        <v>3.2922164015264599</v>
      </c>
      <c r="AA37" s="10">
        <v>3.2915704270707602</v>
      </c>
      <c r="AB37" s="8">
        <v>95.127063583491406</v>
      </c>
      <c r="AC37" s="8">
        <v>95.113421210878201</v>
      </c>
      <c r="AD37" s="8">
        <v>95.089942345498002</v>
      </c>
      <c r="AE37" s="9">
        <v>-3.0867884255538699E-5</v>
      </c>
      <c r="AF37" s="9">
        <v>-1.7429027567100199E-4</v>
      </c>
      <c r="AG37" s="9">
        <v>-4.2117198228654401E-4</v>
      </c>
      <c r="AZ37" s="9"/>
      <c r="BB37">
        <f t="shared" si="2"/>
        <v>0</v>
      </c>
      <c r="BC37">
        <f t="shared" si="3"/>
        <v>0</v>
      </c>
      <c r="BD37">
        <f t="shared" si="4"/>
        <v>0</v>
      </c>
      <c r="BE37">
        <f t="shared" si="0"/>
        <v>1</v>
      </c>
      <c r="BF37">
        <f t="shared" si="5"/>
        <v>0</v>
      </c>
      <c r="BG37" s="9">
        <f t="shared" si="6"/>
        <v>0</v>
      </c>
      <c r="BH37" s="9">
        <f t="shared" si="7"/>
        <v>0</v>
      </c>
      <c r="BI37" s="9">
        <f t="shared" si="8"/>
        <v>0</v>
      </c>
      <c r="BJ37" s="12">
        <f t="shared" si="9"/>
        <v>1.6859062266018701E-3</v>
      </c>
      <c r="BL37" s="9"/>
      <c r="BN37">
        <f t="shared" si="10"/>
        <v>0</v>
      </c>
      <c r="BO37">
        <f t="shared" si="11"/>
        <v>1</v>
      </c>
      <c r="BP37">
        <f t="shared" si="12"/>
        <v>0</v>
      </c>
      <c r="BQ37">
        <f t="shared" si="1"/>
        <v>1</v>
      </c>
      <c r="BR37">
        <f t="shared" si="13"/>
        <v>0</v>
      </c>
      <c r="BS37" s="9">
        <f t="shared" si="14"/>
        <v>0</v>
      </c>
      <c r="BT37" s="9">
        <f t="shared" si="15"/>
        <v>0</v>
      </c>
      <c r="BU37" s="9">
        <f t="shared" si="16"/>
        <v>0</v>
      </c>
      <c r="BV37" s="12">
        <f t="shared" si="17"/>
        <v>0</v>
      </c>
      <c r="BX37" s="12">
        <f t="shared" si="18"/>
        <v>0</v>
      </c>
      <c r="BY37" s="12">
        <f t="shared" si="19"/>
        <v>1.6859062266018701E-3</v>
      </c>
    </row>
    <row r="38" spans="1:77" x14ac:dyDescent="0.3">
      <c r="A38" s="1">
        <v>46078</v>
      </c>
      <c r="B38" s="8">
        <v>28.79</v>
      </c>
      <c r="C38" s="8">
        <v>94.87</v>
      </c>
      <c r="D38" s="9">
        <v>-3.4674098540594298E-3</v>
      </c>
      <c r="E38" s="9">
        <v>-2.7368438135800801E-3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28.79</v>
      </c>
      <c r="M38" s="8">
        <v>94.87</v>
      </c>
      <c r="N38" s="10">
        <v>3.2952414032650199</v>
      </c>
      <c r="O38" s="10">
        <v>3.2936632097661298</v>
      </c>
      <c r="P38" s="10">
        <v>3.29222141233384</v>
      </c>
      <c r="Q38" s="10">
        <v>3.2918674317318302</v>
      </c>
      <c r="R38" s="8">
        <v>94.824563809166904</v>
      </c>
      <c r="S38" s="8">
        <v>94.782910199946997</v>
      </c>
      <c r="T38" s="8">
        <v>94.7643125953674</v>
      </c>
      <c r="U38" s="9">
        <v>-4.7904579645932302E-4</v>
      </c>
      <c r="V38" s="9">
        <v>-9.1841254724423101E-4</v>
      </c>
      <c r="W38" s="9">
        <v>-1.1146444346339099E-3</v>
      </c>
      <c r="X38" s="10">
        <v>3.2952414032650199</v>
      </c>
      <c r="Y38" s="10">
        <v>3.2927332496881698</v>
      </c>
      <c r="Z38" s="10">
        <v>3.29222141233384</v>
      </c>
      <c r="AA38" s="10">
        <v>3.2918674317318302</v>
      </c>
      <c r="AB38" s="8">
        <v>94.797790258522596</v>
      </c>
      <c r="AC38" s="8">
        <v>94.782910199946997</v>
      </c>
      <c r="AD38" s="8">
        <v>94.7643125953674</v>
      </c>
      <c r="AE38" s="9">
        <v>-7.6143392473492703E-4</v>
      </c>
      <c r="AF38" s="9">
        <v>-9.1841254724423101E-4</v>
      </c>
      <c r="AG38" s="9">
        <v>-1.1146444346339099E-3</v>
      </c>
      <c r="AZ38" s="9"/>
      <c r="BB38">
        <f t="shared" si="2"/>
        <v>0</v>
      </c>
      <c r="BC38">
        <f t="shared" si="3"/>
        <v>0</v>
      </c>
      <c r="BD38">
        <f t="shared" si="4"/>
        <v>0</v>
      </c>
      <c r="BE38">
        <f t="shared" si="0"/>
        <v>1</v>
      </c>
      <c r="BF38">
        <f t="shared" si="5"/>
        <v>0</v>
      </c>
      <c r="BG38" s="9">
        <f t="shared" si="6"/>
        <v>0</v>
      </c>
      <c r="BH38" s="9">
        <f t="shared" si="7"/>
        <v>0</v>
      </c>
      <c r="BI38" s="9">
        <f t="shared" si="8"/>
        <v>0</v>
      </c>
      <c r="BJ38" s="12">
        <f t="shared" si="9"/>
        <v>1.6859062266018701E-3</v>
      </c>
      <c r="BL38" s="9"/>
      <c r="BN38">
        <f t="shared" si="10"/>
        <v>0</v>
      </c>
      <c r="BO38">
        <f t="shared" si="11"/>
        <v>1</v>
      </c>
      <c r="BP38">
        <f t="shared" si="12"/>
        <v>0</v>
      </c>
      <c r="BQ38">
        <f t="shared" si="1"/>
        <v>1</v>
      </c>
      <c r="BR38">
        <f t="shared" si="13"/>
        <v>0</v>
      </c>
      <c r="BS38" s="9">
        <f t="shared" si="14"/>
        <v>0</v>
      </c>
      <c r="BT38" s="9">
        <f t="shared" si="15"/>
        <v>0</v>
      </c>
      <c r="BU38" s="9">
        <f t="shared" si="16"/>
        <v>0</v>
      </c>
      <c r="BV38" s="12">
        <f t="shared" si="17"/>
        <v>0</v>
      </c>
      <c r="BX38" s="12">
        <f t="shared" si="18"/>
        <v>0</v>
      </c>
      <c r="BY38" s="12">
        <f t="shared" si="19"/>
        <v>1.6859062266018701E-3</v>
      </c>
    </row>
    <row r="39" spans="1:77" x14ac:dyDescent="0.3">
      <c r="A39" s="1">
        <v>46079</v>
      </c>
      <c r="B39" s="8">
        <v>28.99</v>
      </c>
      <c r="C39" s="8">
        <v>95.52</v>
      </c>
      <c r="D39" s="9">
        <v>6.9228383094795502E-3</v>
      </c>
      <c r="E39" s="9">
        <v>6.8281162395064897E-3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28.99</v>
      </c>
      <c r="M39" s="8">
        <v>95.52</v>
      </c>
      <c r="N39" s="10">
        <v>3.29492928596067</v>
      </c>
      <c r="O39" s="10">
        <v>3.2936632097661298</v>
      </c>
      <c r="P39" s="10">
        <v>3.2927502817332899</v>
      </c>
      <c r="Q39" s="10">
        <v>3.2920443596060198</v>
      </c>
      <c r="R39" s="8">
        <v>95.483296451120097</v>
      </c>
      <c r="S39" s="8">
        <v>95.441498743558</v>
      </c>
      <c r="T39" s="8">
        <v>95.4312368459059</v>
      </c>
      <c r="U39" s="9">
        <v>-3.8432372648597202E-4</v>
      </c>
      <c r="V39" s="9">
        <v>-8.2216846202402296E-4</v>
      </c>
      <c r="W39" s="9">
        <v>-9.2969453305086496E-4</v>
      </c>
      <c r="X39" s="10">
        <v>3.29492928596067</v>
      </c>
      <c r="Y39" s="10">
        <v>3.2927332496881698</v>
      </c>
      <c r="Z39" s="10">
        <v>3.2927502817332899</v>
      </c>
      <c r="AA39" s="10">
        <v>3.2920443596060198</v>
      </c>
      <c r="AB39" s="8">
        <v>95.456336908460202</v>
      </c>
      <c r="AC39" s="8">
        <v>95.441498743558</v>
      </c>
      <c r="AD39" s="8">
        <v>95.4312368459059</v>
      </c>
      <c r="AE39" s="9">
        <v>-6.6671185476172099E-4</v>
      </c>
      <c r="AF39" s="9">
        <v>-8.2216846202402296E-4</v>
      </c>
      <c r="AG39" s="9">
        <v>-9.2969453305086496E-4</v>
      </c>
      <c r="AZ39" s="9"/>
      <c r="BB39">
        <f t="shared" si="2"/>
        <v>0</v>
      </c>
      <c r="BC39">
        <f t="shared" si="3"/>
        <v>0</v>
      </c>
      <c r="BD39">
        <f t="shared" si="4"/>
        <v>0</v>
      </c>
      <c r="BE39">
        <f t="shared" si="0"/>
        <v>1</v>
      </c>
      <c r="BF39">
        <f t="shared" si="5"/>
        <v>0</v>
      </c>
      <c r="BG39" s="9">
        <f t="shared" si="6"/>
        <v>0</v>
      </c>
      <c r="BH39" s="9">
        <f t="shared" si="7"/>
        <v>0</v>
      </c>
      <c r="BI39" s="9">
        <f t="shared" si="8"/>
        <v>0</v>
      </c>
      <c r="BJ39" s="12">
        <f t="shared" si="9"/>
        <v>1.6859062266018701E-3</v>
      </c>
      <c r="BL39" s="9"/>
      <c r="BN39">
        <f t="shared" si="10"/>
        <v>0</v>
      </c>
      <c r="BO39">
        <f t="shared" si="11"/>
        <v>1</v>
      </c>
      <c r="BP39">
        <f t="shared" si="12"/>
        <v>0</v>
      </c>
      <c r="BQ39">
        <f t="shared" si="1"/>
        <v>1</v>
      </c>
      <c r="BR39">
        <f t="shared" si="13"/>
        <v>0</v>
      </c>
      <c r="BS39" s="9">
        <f t="shared" si="14"/>
        <v>0</v>
      </c>
      <c r="BT39" s="9">
        <f t="shared" si="15"/>
        <v>0</v>
      </c>
      <c r="BU39" s="9">
        <f t="shared" si="16"/>
        <v>0</v>
      </c>
      <c r="BV39" s="12">
        <f t="shared" si="17"/>
        <v>0</v>
      </c>
      <c r="BX39" s="12">
        <f t="shared" si="18"/>
        <v>0</v>
      </c>
      <c r="BY39" s="12">
        <f t="shared" si="19"/>
        <v>1.6859062266018701E-3</v>
      </c>
    </row>
    <row r="40" spans="1:77" x14ac:dyDescent="0.3">
      <c r="A40" s="1">
        <v>46080</v>
      </c>
      <c r="B40" s="8">
        <v>29.06</v>
      </c>
      <c r="C40" s="8">
        <v>95.69</v>
      </c>
      <c r="D40" s="9">
        <v>2.4117152085726501E-3</v>
      </c>
      <c r="E40" s="9">
        <v>1.77815014687965E-3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29.06</v>
      </c>
      <c r="M40" s="8">
        <v>95.69</v>
      </c>
      <c r="N40" s="10">
        <v>3.2928423950447301</v>
      </c>
      <c r="O40" s="10">
        <v>3.2936632097661298</v>
      </c>
      <c r="P40" s="10">
        <v>3.2926456127248702</v>
      </c>
      <c r="Q40" s="10">
        <v>3.2921182645542002</v>
      </c>
      <c r="R40" s="8">
        <v>95.713852875803795</v>
      </c>
      <c r="S40" s="8">
        <v>95.687323187169497</v>
      </c>
      <c r="T40" s="8">
        <v>95.666809090151204</v>
      </c>
      <c r="U40" s="9">
        <v>2.49241335207049E-4</v>
      </c>
      <c r="V40" s="9">
        <v>-2.7974190317858902E-5</v>
      </c>
      <c r="W40" s="9">
        <v>-2.4238395354296501E-4</v>
      </c>
      <c r="X40" s="10">
        <v>3.2928423950447301</v>
      </c>
      <c r="Y40" s="10">
        <v>3.2927332496881698</v>
      </c>
      <c r="Z40" s="10">
        <v>3.2926456127248702</v>
      </c>
      <c r="AA40" s="10">
        <v>3.2921182645542002</v>
      </c>
      <c r="AB40" s="8">
        <v>95.686828235938407</v>
      </c>
      <c r="AC40" s="8">
        <v>95.687323187169497</v>
      </c>
      <c r="AD40" s="8">
        <v>95.666809090151204</v>
      </c>
      <c r="AE40" s="9">
        <v>-3.3146793068737103E-5</v>
      </c>
      <c r="AF40" s="9">
        <v>-2.7974190317858902E-5</v>
      </c>
      <c r="AG40" s="9">
        <v>-2.4238395354296501E-4</v>
      </c>
      <c r="AZ40" s="9"/>
      <c r="BB40">
        <f t="shared" si="2"/>
        <v>0</v>
      </c>
      <c r="BC40">
        <f t="shared" si="3"/>
        <v>0</v>
      </c>
      <c r="BD40">
        <f t="shared" si="4"/>
        <v>0</v>
      </c>
      <c r="BE40">
        <f t="shared" si="0"/>
        <v>1</v>
      </c>
      <c r="BF40">
        <f t="shared" si="5"/>
        <v>0</v>
      </c>
      <c r="BG40" s="9">
        <f t="shared" si="6"/>
        <v>0</v>
      </c>
      <c r="BH40" s="9">
        <f t="shared" si="7"/>
        <v>0</v>
      </c>
      <c r="BI40" s="9">
        <f t="shared" si="8"/>
        <v>0</v>
      </c>
      <c r="BJ40" s="12">
        <f t="shared" si="9"/>
        <v>1.6859062266018701E-3</v>
      </c>
      <c r="BL40" s="9"/>
      <c r="BN40">
        <f t="shared" si="10"/>
        <v>0</v>
      </c>
      <c r="BO40">
        <f t="shared" si="11"/>
        <v>1</v>
      </c>
      <c r="BP40">
        <f t="shared" si="12"/>
        <v>0</v>
      </c>
      <c r="BQ40">
        <f t="shared" si="1"/>
        <v>1</v>
      </c>
      <c r="BR40">
        <f t="shared" si="13"/>
        <v>0</v>
      </c>
      <c r="BS40" s="9">
        <f t="shared" si="14"/>
        <v>0</v>
      </c>
      <c r="BT40" s="9">
        <f t="shared" si="15"/>
        <v>0</v>
      </c>
      <c r="BU40" s="9">
        <f t="shared" si="16"/>
        <v>0</v>
      </c>
      <c r="BV40" s="12">
        <f t="shared" si="17"/>
        <v>0</v>
      </c>
      <c r="BX40" s="12">
        <f t="shared" si="18"/>
        <v>0</v>
      </c>
      <c r="BY40" s="12">
        <f t="shared" si="19"/>
        <v>1.6859062266018701E-3</v>
      </c>
    </row>
    <row r="41" spans="1:77" x14ac:dyDescent="0.3">
      <c r="A41" s="1">
        <v>46083</v>
      </c>
      <c r="B41" s="8">
        <v>29.12</v>
      </c>
      <c r="C41" s="8">
        <v>95.93</v>
      </c>
      <c r="D41" s="9">
        <v>2.06256518634854E-3</v>
      </c>
      <c r="E41" s="9">
        <v>2.5049590386847899E-3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29.12</v>
      </c>
      <c r="M41" s="8">
        <v>95.93</v>
      </c>
      <c r="N41" s="10">
        <v>3.2942994505494498</v>
      </c>
      <c r="O41" s="10">
        <v>3.2936632097661298</v>
      </c>
      <c r="P41" s="10">
        <v>3.2928378271846199</v>
      </c>
      <c r="Q41" s="10">
        <v>3.2922808630331</v>
      </c>
      <c r="R41" s="8">
        <v>95.911472668389706</v>
      </c>
      <c r="S41" s="8">
        <v>95.881840242548293</v>
      </c>
      <c r="T41" s="8">
        <v>95.866483863818303</v>
      </c>
      <c r="U41" s="9">
        <v>-1.9315251712927501E-4</v>
      </c>
      <c r="V41" s="9">
        <v>-5.0215626316694702E-4</v>
      </c>
      <c r="W41" s="9">
        <v>-6.6232849762433801E-4</v>
      </c>
      <c r="X41" s="10">
        <v>3.2942994505494498</v>
      </c>
      <c r="Y41" s="10">
        <v>3.2927332496881698</v>
      </c>
      <c r="Z41" s="10">
        <v>3.2928378271846199</v>
      </c>
      <c r="AA41" s="10">
        <v>3.2922808630331</v>
      </c>
      <c r="AB41" s="8">
        <v>95.884392230919701</v>
      </c>
      <c r="AC41" s="8">
        <v>95.881840242548293</v>
      </c>
      <c r="AD41" s="8">
        <v>95.866483863818303</v>
      </c>
      <c r="AE41" s="9">
        <v>-4.7554064540489602E-4</v>
      </c>
      <c r="AF41" s="9">
        <v>-5.0215626316694702E-4</v>
      </c>
      <c r="AG41" s="9">
        <v>-6.6232849762433801E-4</v>
      </c>
      <c r="AZ41" s="9"/>
      <c r="BB41">
        <f t="shared" si="2"/>
        <v>0</v>
      </c>
      <c r="BC41">
        <f t="shared" si="3"/>
        <v>0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1.6859062266018701E-3</v>
      </c>
      <c r="BL41" s="9"/>
      <c r="BN41">
        <f t="shared" si="10"/>
        <v>0</v>
      </c>
      <c r="BO41">
        <f t="shared" si="11"/>
        <v>1</v>
      </c>
      <c r="BP41">
        <f t="shared" si="12"/>
        <v>0</v>
      </c>
      <c r="BQ41">
        <f t="shared" si="1"/>
        <v>1</v>
      </c>
      <c r="BR41">
        <f t="shared" si="13"/>
        <v>0</v>
      </c>
      <c r="BS41" s="9">
        <f t="shared" si="14"/>
        <v>0</v>
      </c>
      <c r="BT41" s="9">
        <f t="shared" si="15"/>
        <v>0</v>
      </c>
      <c r="BU41" s="9">
        <f t="shared" si="16"/>
        <v>0</v>
      </c>
      <c r="BV41" s="12">
        <f t="shared" si="17"/>
        <v>0</v>
      </c>
      <c r="BX41" s="12">
        <f t="shared" si="18"/>
        <v>0</v>
      </c>
      <c r="BY41" s="12">
        <f t="shared" si="19"/>
        <v>1.6859062266018701E-3</v>
      </c>
    </row>
    <row r="42" spans="1:77" x14ac:dyDescent="0.3">
      <c r="A42" s="1">
        <v>46084</v>
      </c>
      <c r="B42" s="8">
        <v>28.96</v>
      </c>
      <c r="C42" s="8">
        <v>95.42</v>
      </c>
      <c r="D42" s="9">
        <v>-5.5096558109695801E-3</v>
      </c>
      <c r="E42" s="9">
        <v>-5.3305587418953004E-3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28.96</v>
      </c>
      <c r="M42" s="8">
        <v>95.42</v>
      </c>
      <c r="N42" s="10">
        <v>3.2948895027624299</v>
      </c>
      <c r="O42" s="10">
        <v>3.2936632097661298</v>
      </c>
      <c r="P42" s="10">
        <v>3.2931644196532099</v>
      </c>
      <c r="Q42" s="10">
        <v>3.2923862762437799</v>
      </c>
      <c r="R42" s="8">
        <v>95.384486554827106</v>
      </c>
      <c r="S42" s="8">
        <v>95.360583475266594</v>
      </c>
      <c r="T42" s="8">
        <v>95.344453793438703</v>
      </c>
      <c r="U42" s="9">
        <v>-3.7224958620351201E-4</v>
      </c>
      <c r="V42" s="9">
        <v>-6.2287813122303796E-4</v>
      </c>
      <c r="W42" s="9">
        <v>-7.9203655616423595E-4</v>
      </c>
      <c r="X42" s="10">
        <v>3.2948895027624299</v>
      </c>
      <c r="Y42" s="10">
        <v>3.2927332496881698</v>
      </c>
      <c r="Z42" s="10">
        <v>3.2931644196532099</v>
      </c>
      <c r="AA42" s="10">
        <v>3.2923862762437799</v>
      </c>
      <c r="AB42" s="8">
        <v>95.357554910969597</v>
      </c>
      <c r="AC42" s="8">
        <v>95.360583475266594</v>
      </c>
      <c r="AD42" s="8">
        <v>95.344453793438703</v>
      </c>
      <c r="AE42" s="9">
        <v>-6.54637714479267E-4</v>
      </c>
      <c r="AF42" s="9">
        <v>-6.2287813122303796E-4</v>
      </c>
      <c r="AG42" s="9">
        <v>-7.9203655616423595E-4</v>
      </c>
      <c r="AZ42" s="9"/>
      <c r="BB42">
        <f t="shared" si="2"/>
        <v>0</v>
      </c>
      <c r="BC42">
        <f t="shared" si="3"/>
        <v>0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1.6859062266018701E-3</v>
      </c>
      <c r="BL42" s="9"/>
      <c r="BN42">
        <f t="shared" si="10"/>
        <v>0</v>
      </c>
      <c r="BO42">
        <f t="shared" si="11"/>
        <v>1</v>
      </c>
      <c r="BP42">
        <f t="shared" si="12"/>
        <v>0</v>
      </c>
      <c r="BQ42">
        <f t="shared" si="1"/>
        <v>1</v>
      </c>
      <c r="BR42">
        <f t="shared" si="13"/>
        <v>0</v>
      </c>
      <c r="BS42" s="9">
        <f t="shared" si="14"/>
        <v>0</v>
      </c>
      <c r="BT42" s="9">
        <f t="shared" si="15"/>
        <v>0</v>
      </c>
      <c r="BU42" s="9">
        <f t="shared" si="16"/>
        <v>0</v>
      </c>
      <c r="BV42" s="12">
        <f t="shared" si="17"/>
        <v>0</v>
      </c>
      <c r="BX42" s="12">
        <f t="shared" si="18"/>
        <v>0</v>
      </c>
      <c r="BY42" s="12">
        <f t="shared" si="19"/>
        <v>1.6859062266018701E-3</v>
      </c>
    </row>
    <row r="43" spans="1:77" x14ac:dyDescent="0.3">
      <c r="A43" s="1">
        <v>46085</v>
      </c>
      <c r="B43" s="8">
        <v>29.01</v>
      </c>
      <c r="C43" s="8">
        <v>95.54</v>
      </c>
      <c r="D43" s="9">
        <v>1.72503061579707E-3</v>
      </c>
      <c r="E43" s="9">
        <v>1.25680787385492E-3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29.01</v>
      </c>
      <c r="M43" s="8">
        <v>95.54</v>
      </c>
      <c r="N43" s="10">
        <v>3.2933471216821699</v>
      </c>
      <c r="O43" s="10">
        <v>3.2936632097661298</v>
      </c>
      <c r="P43" s="10">
        <v>3.2933397317516699</v>
      </c>
      <c r="Q43" s="10">
        <v>3.2926002207358098</v>
      </c>
      <c r="R43" s="8">
        <v>95.5491697153155</v>
      </c>
      <c r="S43" s="8">
        <v>95.534699814139699</v>
      </c>
      <c r="T43" s="8">
        <v>95.512125873832105</v>
      </c>
      <c r="U43" s="9">
        <v>9.5973155738782097E-5</v>
      </c>
      <c r="V43" s="9">
        <v>-5.5477631175917302E-5</v>
      </c>
      <c r="W43" s="9">
        <v>-2.9179603459712598E-4</v>
      </c>
      <c r="X43" s="10">
        <v>3.2933471216821699</v>
      </c>
      <c r="Y43" s="10">
        <v>3.2927332496881698</v>
      </c>
      <c r="Z43" s="10">
        <v>3.2933397317516699</v>
      </c>
      <c r="AA43" s="10">
        <v>3.2926002207358098</v>
      </c>
      <c r="AB43" s="8">
        <v>95.522191573453995</v>
      </c>
      <c r="AC43" s="8">
        <v>95.534699814139699</v>
      </c>
      <c r="AD43" s="8">
        <v>95.512125873832105</v>
      </c>
      <c r="AE43" s="9">
        <v>-1.8641497253719499E-4</v>
      </c>
      <c r="AF43" s="9">
        <v>-5.5477631175917302E-5</v>
      </c>
      <c r="AG43" s="9">
        <v>-2.9179603459712598E-4</v>
      </c>
      <c r="AZ43" s="9"/>
      <c r="BB43">
        <f t="shared" si="2"/>
        <v>0</v>
      </c>
      <c r="BC43">
        <f t="shared" si="3"/>
        <v>0</v>
      </c>
      <c r="BD43">
        <f t="shared" si="4"/>
        <v>0</v>
      </c>
      <c r="BE43">
        <f t="shared" si="0"/>
        <v>1</v>
      </c>
      <c r="BF43">
        <f t="shared" si="5"/>
        <v>0</v>
      </c>
      <c r="BG43" s="9">
        <f t="shared" si="6"/>
        <v>0</v>
      </c>
      <c r="BH43" s="9">
        <f t="shared" si="7"/>
        <v>0</v>
      </c>
      <c r="BI43" s="9">
        <f t="shared" si="8"/>
        <v>0</v>
      </c>
      <c r="BJ43" s="12">
        <f t="shared" si="9"/>
        <v>1.6859062266018701E-3</v>
      </c>
      <c r="BL43" s="9"/>
      <c r="BN43">
        <f t="shared" si="10"/>
        <v>0</v>
      </c>
      <c r="BO43">
        <f t="shared" si="11"/>
        <v>1</v>
      </c>
      <c r="BP43">
        <f t="shared" si="12"/>
        <v>0</v>
      </c>
      <c r="BQ43">
        <f t="shared" si="1"/>
        <v>1</v>
      </c>
      <c r="BR43">
        <f t="shared" si="13"/>
        <v>0</v>
      </c>
      <c r="BS43" s="9">
        <f t="shared" si="14"/>
        <v>0</v>
      </c>
      <c r="BT43" s="9">
        <f t="shared" si="15"/>
        <v>0</v>
      </c>
      <c r="BU43" s="9">
        <f t="shared" si="16"/>
        <v>0</v>
      </c>
      <c r="BV43" s="12">
        <f t="shared" si="17"/>
        <v>0</v>
      </c>
      <c r="BX43" s="12">
        <f t="shared" si="18"/>
        <v>0</v>
      </c>
      <c r="BY43" s="12">
        <f t="shared" si="19"/>
        <v>1.6859062266018701E-3</v>
      </c>
    </row>
    <row r="44" spans="1:77" x14ac:dyDescent="0.3">
      <c r="A44" s="1">
        <v>46086</v>
      </c>
      <c r="B44" s="8">
        <v>28.75</v>
      </c>
      <c r="C44" s="8">
        <v>94.58</v>
      </c>
      <c r="D44" s="9">
        <v>-9.0028308899532897E-3</v>
      </c>
      <c r="E44" s="9">
        <v>-1.00989707460861E-2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28.75</v>
      </c>
      <c r="M44" s="8">
        <v>94.58</v>
      </c>
      <c r="N44" s="10">
        <v>3.2897391304347798</v>
      </c>
      <c r="O44" s="10">
        <v>3.2936632097661298</v>
      </c>
      <c r="P44" s="10">
        <v>3.2933929322558502</v>
      </c>
      <c r="Q44" s="10">
        <v>3.29262063114543</v>
      </c>
      <c r="R44" s="8">
        <v>94.692817280776296</v>
      </c>
      <c r="S44" s="8">
        <v>94.683517287860496</v>
      </c>
      <c r="T44" s="8">
        <v>94.662256346154606</v>
      </c>
      <c r="U44" s="9">
        <v>1.19211301187149E-3</v>
      </c>
      <c r="V44" s="9">
        <v>1.0938959569853799E-3</v>
      </c>
      <c r="W44" s="9">
        <v>8.6932329938481595E-4</v>
      </c>
      <c r="X44" s="10">
        <v>3.2897391304347798</v>
      </c>
      <c r="Y44" s="10">
        <v>3.2927332496881698</v>
      </c>
      <c r="Z44" s="10">
        <v>3.2933929322558502</v>
      </c>
      <c r="AA44" s="10">
        <v>3.29262063114543</v>
      </c>
      <c r="AB44" s="8">
        <v>94.666080928535095</v>
      </c>
      <c r="AC44" s="8">
        <v>94.683517287860496</v>
      </c>
      <c r="AD44" s="8">
        <v>94.662256346154606</v>
      </c>
      <c r="AE44" s="9">
        <v>9.0972488359579201E-4</v>
      </c>
      <c r="AF44" s="9">
        <v>1.0938959569853799E-3</v>
      </c>
      <c r="AG44" s="9">
        <v>8.6932329938481595E-4</v>
      </c>
      <c r="AZ44" s="9"/>
      <c r="BB44">
        <f t="shared" si="2"/>
        <v>0</v>
      </c>
      <c r="BC44">
        <f t="shared" si="3"/>
        <v>1</v>
      </c>
      <c r="BD44">
        <f t="shared" si="4"/>
        <v>0</v>
      </c>
      <c r="BE44">
        <f t="shared" si="0"/>
        <v>1</v>
      </c>
      <c r="BF44">
        <f t="shared" si="5"/>
        <v>0</v>
      </c>
      <c r="BG44" s="9">
        <f t="shared" si="6"/>
        <v>0</v>
      </c>
      <c r="BH44" s="9">
        <f t="shared" si="7"/>
        <v>0</v>
      </c>
      <c r="BI44" s="9">
        <f t="shared" si="8"/>
        <v>0</v>
      </c>
      <c r="BJ44" s="12">
        <f t="shared" si="9"/>
        <v>1.6859062266018701E-3</v>
      </c>
      <c r="BL44" s="9"/>
      <c r="BN44">
        <f t="shared" si="10"/>
        <v>0</v>
      </c>
      <c r="BO44">
        <f t="shared" si="11"/>
        <v>0</v>
      </c>
      <c r="BP44">
        <f t="shared" si="12"/>
        <v>0</v>
      </c>
      <c r="BQ44">
        <f t="shared" si="1"/>
        <v>1</v>
      </c>
      <c r="BR44">
        <f t="shared" si="13"/>
        <v>0</v>
      </c>
      <c r="BS44" s="9">
        <f t="shared" si="14"/>
        <v>0</v>
      </c>
      <c r="BT44" s="9">
        <f t="shared" si="15"/>
        <v>0</v>
      </c>
      <c r="BU44" s="9">
        <f t="shared" si="16"/>
        <v>0</v>
      </c>
      <c r="BV44" s="12">
        <f t="shared" si="17"/>
        <v>0</v>
      </c>
      <c r="BX44" s="12">
        <f t="shared" si="18"/>
        <v>0</v>
      </c>
      <c r="BY44" s="12">
        <f t="shared" si="19"/>
        <v>1.6859062266018701E-3</v>
      </c>
    </row>
    <row r="45" spans="1:77" x14ac:dyDescent="0.3">
      <c r="A45" s="1">
        <v>46087</v>
      </c>
      <c r="B45" s="8">
        <v>28.4</v>
      </c>
      <c r="C45" s="8">
        <v>93.55</v>
      </c>
      <c r="D45" s="9">
        <v>-1.2248622076198999E-2</v>
      </c>
      <c r="E45" s="9">
        <v>-1.09499844956311E-2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28.4</v>
      </c>
      <c r="M45" s="8">
        <v>93.55</v>
      </c>
      <c r="N45" s="10">
        <v>3.2940140845070398</v>
      </c>
      <c r="O45" s="10">
        <v>3.2936632097661298</v>
      </c>
      <c r="P45" s="10">
        <v>3.2934642469890898</v>
      </c>
      <c r="Q45" s="10">
        <v>3.2928519402241001</v>
      </c>
      <c r="R45" s="8">
        <v>93.540035157358105</v>
      </c>
      <c r="S45" s="8">
        <v>93.532359276066202</v>
      </c>
      <c r="T45" s="8">
        <v>93.510425924530395</v>
      </c>
      <c r="U45" s="9">
        <v>-1.0652456869652399E-4</v>
      </c>
      <c r="V45" s="9">
        <v>-1.8858778619519501E-4</v>
      </c>
      <c r="W45" s="9">
        <v>-4.2311542769526397E-4</v>
      </c>
      <c r="X45" s="10">
        <v>3.2940140845070398</v>
      </c>
      <c r="Y45" s="10">
        <v>3.2927332496881698</v>
      </c>
      <c r="Z45" s="10">
        <v>3.2934642469890898</v>
      </c>
      <c r="AA45" s="10">
        <v>3.2928519402241001</v>
      </c>
      <c r="AB45" s="8">
        <v>93.513624291144197</v>
      </c>
      <c r="AC45" s="8">
        <v>93.532359276066202</v>
      </c>
      <c r="AD45" s="8">
        <v>93.510425924530395</v>
      </c>
      <c r="AE45" s="9">
        <v>-3.8891269697225199E-4</v>
      </c>
      <c r="AF45" s="9">
        <v>-1.8858778619519501E-4</v>
      </c>
      <c r="AG45" s="9">
        <v>-4.2311542769526397E-4</v>
      </c>
      <c r="AZ45" s="9"/>
      <c r="BB45">
        <f t="shared" si="2"/>
        <v>0</v>
      </c>
      <c r="BC45">
        <f t="shared" si="3"/>
        <v>0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1.6859062266018701E-3</v>
      </c>
      <c r="BL45" s="9"/>
      <c r="BN45">
        <f t="shared" si="10"/>
        <v>0</v>
      </c>
      <c r="BO45">
        <f t="shared" si="11"/>
        <v>1</v>
      </c>
      <c r="BP45">
        <f t="shared" si="12"/>
        <v>0</v>
      </c>
      <c r="BQ45">
        <f t="shared" si="1"/>
        <v>1</v>
      </c>
      <c r="BR45">
        <f t="shared" si="13"/>
        <v>0</v>
      </c>
      <c r="BS45" s="9">
        <f t="shared" si="14"/>
        <v>0</v>
      </c>
      <c r="BT45" s="9">
        <f t="shared" si="15"/>
        <v>0</v>
      </c>
      <c r="BU45" s="9">
        <f t="shared" si="16"/>
        <v>0</v>
      </c>
      <c r="BV45" s="12">
        <f t="shared" si="17"/>
        <v>0</v>
      </c>
      <c r="BX45" s="12">
        <f t="shared" si="18"/>
        <v>0</v>
      </c>
      <c r="BY45" s="12">
        <f t="shared" si="19"/>
        <v>1.6859062266018701E-3</v>
      </c>
    </row>
    <row r="46" spans="1:77" x14ac:dyDescent="0.3">
      <c r="A46" s="1">
        <v>46090</v>
      </c>
      <c r="B46" s="8">
        <v>28.47</v>
      </c>
      <c r="C46" s="8">
        <v>93.76</v>
      </c>
      <c r="D46" s="9">
        <v>2.4617561227857701E-3</v>
      </c>
      <c r="E46" s="9">
        <v>2.2422731086039998E-3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28.47</v>
      </c>
      <c r="M46" s="8">
        <v>93.76</v>
      </c>
      <c r="N46" s="10">
        <v>3.2932911837021401</v>
      </c>
      <c r="O46" s="10">
        <v>3.2936632097661298</v>
      </c>
      <c r="P46" s="10">
        <v>3.2935428448874098</v>
      </c>
      <c r="Q46" s="10">
        <v>3.29290193838137</v>
      </c>
      <c r="R46" s="8">
        <v>93.770591582041703</v>
      </c>
      <c r="S46" s="8">
        <v>93.764927111779599</v>
      </c>
      <c r="T46" s="8">
        <v>93.747494738180194</v>
      </c>
      <c r="U46" s="9">
        <v>1.12958445485486E-4</v>
      </c>
      <c r="V46" s="9">
        <v>5.2548872906400603E-5</v>
      </c>
      <c r="W46" s="9">
        <v>-1.3338412798679999E-4</v>
      </c>
      <c r="X46" s="10">
        <v>3.2932911837021401</v>
      </c>
      <c r="Y46" s="10">
        <v>3.2927332496881698</v>
      </c>
      <c r="Z46" s="10">
        <v>3.2935428448874098</v>
      </c>
      <c r="AA46" s="10">
        <v>3.29290193838137</v>
      </c>
      <c r="AB46" s="8">
        <v>93.744115618622402</v>
      </c>
      <c r="AC46" s="8">
        <v>93.764927111779599</v>
      </c>
      <c r="AD46" s="8">
        <v>93.747494738180194</v>
      </c>
      <c r="AE46" s="9">
        <v>-1.6942968279039399E-4</v>
      </c>
      <c r="AF46" s="9">
        <v>5.2548872906400603E-5</v>
      </c>
      <c r="AG46" s="9">
        <v>-1.3338412798679999E-4</v>
      </c>
      <c r="AZ46" s="9"/>
      <c r="BB46">
        <f t="shared" si="2"/>
        <v>0</v>
      </c>
      <c r="BC46">
        <f t="shared" si="3"/>
        <v>0</v>
      </c>
      <c r="BD46">
        <f t="shared" si="4"/>
        <v>0</v>
      </c>
      <c r="BE46">
        <f t="shared" si="0"/>
        <v>1</v>
      </c>
      <c r="BF46">
        <f t="shared" si="5"/>
        <v>0</v>
      </c>
      <c r="BG46" s="9">
        <f t="shared" si="6"/>
        <v>0</v>
      </c>
      <c r="BH46" s="9">
        <f t="shared" si="7"/>
        <v>0</v>
      </c>
      <c r="BI46" s="9">
        <f t="shared" si="8"/>
        <v>0</v>
      </c>
      <c r="BJ46" s="12">
        <f t="shared" si="9"/>
        <v>1.6859062266018701E-3</v>
      </c>
      <c r="BL46" s="9"/>
      <c r="BN46">
        <f t="shared" si="10"/>
        <v>0</v>
      </c>
      <c r="BO46">
        <f t="shared" si="11"/>
        <v>1</v>
      </c>
      <c r="BP46">
        <f t="shared" si="12"/>
        <v>0</v>
      </c>
      <c r="BQ46">
        <f t="shared" si="1"/>
        <v>1</v>
      </c>
      <c r="BR46">
        <f t="shared" si="13"/>
        <v>0</v>
      </c>
      <c r="BS46" s="9">
        <f t="shared" si="14"/>
        <v>0</v>
      </c>
      <c r="BT46" s="9">
        <f t="shared" si="15"/>
        <v>0</v>
      </c>
      <c r="BU46" s="9">
        <f t="shared" si="16"/>
        <v>0</v>
      </c>
      <c r="BV46" s="12">
        <f t="shared" si="17"/>
        <v>0</v>
      </c>
      <c r="BX46" s="12">
        <f t="shared" si="18"/>
        <v>0</v>
      </c>
      <c r="BY46" s="12">
        <f t="shared" si="19"/>
        <v>1.6859062266018701E-3</v>
      </c>
    </row>
    <row r="47" spans="1:77" x14ac:dyDescent="0.3">
      <c r="A47" s="1">
        <v>46091</v>
      </c>
      <c r="B47" s="8">
        <v>28.42</v>
      </c>
      <c r="C47" s="8">
        <v>93.62</v>
      </c>
      <c r="D47" s="9">
        <v>-1.75777862099147E-3</v>
      </c>
      <c r="E47" s="9">
        <v>-1.49428995677797E-3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28.42</v>
      </c>
      <c r="M47" s="8">
        <v>93.62</v>
      </c>
      <c r="N47" s="10">
        <v>3.2941590429275101</v>
      </c>
      <c r="O47" s="10">
        <v>3.2936632097661298</v>
      </c>
      <c r="P47" s="10">
        <v>3.2936752600835901</v>
      </c>
      <c r="Q47" s="10">
        <v>3.2929458308050301</v>
      </c>
      <c r="R47" s="8">
        <v>93.605908421553394</v>
      </c>
      <c r="S47" s="8">
        <v>93.6024876517004</v>
      </c>
      <c r="T47" s="8">
        <v>93.584273088798597</v>
      </c>
      <c r="U47" s="9">
        <v>-1.50530218728162E-4</v>
      </c>
      <c r="V47" s="9">
        <v>-1.8707526612083301E-4</v>
      </c>
      <c r="W47" s="9">
        <v>-3.8168906131907303E-4</v>
      </c>
      <c r="X47" s="10">
        <v>3.2941590429275101</v>
      </c>
      <c r="Y47" s="10">
        <v>3.2927332496881698</v>
      </c>
      <c r="Z47" s="10">
        <v>3.2936752600835901</v>
      </c>
      <c r="AA47" s="10">
        <v>3.2929458308050301</v>
      </c>
      <c r="AB47" s="8">
        <v>93.579478956138004</v>
      </c>
      <c r="AC47" s="8">
        <v>93.6024876517004</v>
      </c>
      <c r="AD47" s="8">
        <v>93.584273088798597</v>
      </c>
      <c r="AE47" s="9">
        <v>-4.32918347003863E-4</v>
      </c>
      <c r="AF47" s="9">
        <v>-1.8707526612083301E-4</v>
      </c>
      <c r="AG47" s="9">
        <v>-3.8168906131907303E-4</v>
      </c>
      <c r="AZ47" s="9"/>
      <c r="BB47">
        <f t="shared" si="2"/>
        <v>0</v>
      </c>
      <c r="BC47">
        <f t="shared" si="3"/>
        <v>0</v>
      </c>
      <c r="BD47">
        <f t="shared" si="4"/>
        <v>0</v>
      </c>
      <c r="BE47">
        <f t="shared" si="0"/>
        <v>1</v>
      </c>
      <c r="BF47">
        <f t="shared" si="5"/>
        <v>0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1.6859062266018701E-3</v>
      </c>
      <c r="BL47" s="9"/>
      <c r="BN47">
        <f t="shared" si="10"/>
        <v>0</v>
      </c>
      <c r="BO47">
        <f t="shared" si="11"/>
        <v>1</v>
      </c>
      <c r="BP47">
        <f t="shared" si="12"/>
        <v>0</v>
      </c>
      <c r="BQ47">
        <f t="shared" si="1"/>
        <v>1</v>
      </c>
      <c r="BR47">
        <f t="shared" si="13"/>
        <v>0</v>
      </c>
      <c r="BS47" s="9">
        <f t="shared" si="14"/>
        <v>0</v>
      </c>
      <c r="BT47" s="9">
        <f t="shared" si="15"/>
        <v>0</v>
      </c>
      <c r="BU47" s="9">
        <f t="shared" si="16"/>
        <v>0</v>
      </c>
      <c r="BV47" s="12">
        <f t="shared" si="17"/>
        <v>0</v>
      </c>
      <c r="BX47" s="12">
        <f t="shared" si="18"/>
        <v>0</v>
      </c>
      <c r="BY47" s="12">
        <f t="shared" si="19"/>
        <v>1.6859062266018701E-3</v>
      </c>
    </row>
    <row r="48" spans="1:77" x14ac:dyDescent="0.3">
      <c r="A48" s="1">
        <v>46092</v>
      </c>
      <c r="B48" s="8">
        <v>28.11</v>
      </c>
      <c r="C48" s="8">
        <v>92.65</v>
      </c>
      <c r="D48" s="9">
        <v>-1.09677377505141E-2</v>
      </c>
      <c r="E48" s="9">
        <v>-1.0415083140555699E-2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28.11</v>
      </c>
      <c r="M48" s="8">
        <v>92.65</v>
      </c>
      <c r="N48" s="10">
        <v>3.2959800782639599</v>
      </c>
      <c r="O48" s="10">
        <v>3.2936632097661298</v>
      </c>
      <c r="P48" s="10">
        <v>3.29374912758349</v>
      </c>
      <c r="Q48" s="10">
        <v>3.2929852699586601</v>
      </c>
      <c r="R48" s="8">
        <v>92.584872826525896</v>
      </c>
      <c r="S48" s="8">
        <v>92.585211560949901</v>
      </c>
      <c r="T48" s="8">
        <v>92.564707303929495</v>
      </c>
      <c r="U48" s="9">
        <v>-7.0318482868665601E-4</v>
      </c>
      <c r="V48" s="9">
        <v>-6.9952619856714895E-4</v>
      </c>
      <c r="W48" s="9">
        <v>-9.2101435508359995E-4</v>
      </c>
      <c r="X48" s="10">
        <v>3.2959800782639599</v>
      </c>
      <c r="Y48" s="10">
        <v>3.2927332496881698</v>
      </c>
      <c r="Z48" s="10">
        <v>3.29374912758349</v>
      </c>
      <c r="AA48" s="10">
        <v>3.2929852699586601</v>
      </c>
      <c r="AB48" s="8">
        <v>92.558731648734593</v>
      </c>
      <c r="AC48" s="8">
        <v>92.585211560949901</v>
      </c>
      <c r="AD48" s="8">
        <v>92.564707303929495</v>
      </c>
      <c r="AE48" s="9">
        <v>-9.8557295696225303E-4</v>
      </c>
      <c r="AF48" s="9">
        <v>-6.9952619856714895E-4</v>
      </c>
      <c r="AG48" s="9">
        <v>-9.2101435508359995E-4</v>
      </c>
      <c r="AZ48" s="9"/>
      <c r="BB48">
        <f t="shared" si="2"/>
        <v>0</v>
      </c>
      <c r="BC48">
        <f t="shared" si="3"/>
        <v>0</v>
      </c>
      <c r="BD48">
        <f t="shared" si="4"/>
        <v>0</v>
      </c>
      <c r="BE48">
        <f t="shared" si="0"/>
        <v>1</v>
      </c>
      <c r="BF48">
        <f t="shared" si="5"/>
        <v>0</v>
      </c>
      <c r="BG48" s="9">
        <f t="shared" si="6"/>
        <v>0</v>
      </c>
      <c r="BH48" s="9">
        <f t="shared" si="7"/>
        <v>0</v>
      </c>
      <c r="BI48" s="9">
        <f t="shared" si="8"/>
        <v>0</v>
      </c>
      <c r="BJ48" s="12">
        <f t="shared" si="9"/>
        <v>1.6859062266018701E-3</v>
      </c>
      <c r="BL48" s="9"/>
      <c r="BN48">
        <f t="shared" si="10"/>
        <v>0</v>
      </c>
      <c r="BO48">
        <f t="shared" si="11"/>
        <v>1</v>
      </c>
      <c r="BP48">
        <f t="shared" si="12"/>
        <v>0</v>
      </c>
      <c r="BQ48">
        <f t="shared" si="1"/>
        <v>1</v>
      </c>
      <c r="BR48">
        <f t="shared" si="13"/>
        <v>0</v>
      </c>
      <c r="BS48" s="9">
        <f t="shared" si="14"/>
        <v>0</v>
      </c>
      <c r="BT48" s="9">
        <f t="shared" si="15"/>
        <v>0</v>
      </c>
      <c r="BU48" s="9">
        <f t="shared" si="16"/>
        <v>0</v>
      </c>
      <c r="BV48" s="12">
        <f t="shared" si="17"/>
        <v>0</v>
      </c>
      <c r="BX48" s="12">
        <f t="shared" si="18"/>
        <v>0</v>
      </c>
      <c r="BY48" s="12">
        <f t="shared" si="19"/>
        <v>1.6859062266018701E-3</v>
      </c>
    </row>
    <row r="49" spans="1:77" x14ac:dyDescent="0.3">
      <c r="A49" s="1">
        <v>46093</v>
      </c>
      <c r="B49" s="8">
        <v>27.92</v>
      </c>
      <c r="C49" s="8">
        <v>92.01</v>
      </c>
      <c r="D49" s="9">
        <v>-6.7821070242687501E-3</v>
      </c>
      <c r="E49" s="9">
        <v>-6.9316859370988897E-3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27.92</v>
      </c>
      <c r="M49" s="8">
        <v>92.01</v>
      </c>
      <c r="N49" s="10">
        <v>3.2954871060171902</v>
      </c>
      <c r="O49" s="10">
        <v>3.2936632097661298</v>
      </c>
      <c r="P49" s="10">
        <v>3.2938049095891402</v>
      </c>
      <c r="Q49" s="10">
        <v>3.2932775956612099</v>
      </c>
      <c r="R49" s="8">
        <v>91.959076816670404</v>
      </c>
      <c r="S49" s="8">
        <v>91.961475642131006</v>
      </c>
      <c r="T49" s="8">
        <v>91.940148737245906</v>
      </c>
      <c r="U49" s="9">
        <v>-5.5360591585625995E-4</v>
      </c>
      <c r="V49" s="9">
        <v>-5.2752046288495505E-4</v>
      </c>
      <c r="W49" s="9">
        <v>-7.5945865323746398E-4</v>
      </c>
      <c r="X49" s="10">
        <v>3.2954871060171902</v>
      </c>
      <c r="Y49" s="10">
        <v>3.2927332496881698</v>
      </c>
      <c r="Z49" s="10">
        <v>3.2938049095891402</v>
      </c>
      <c r="AA49" s="10">
        <v>3.2932775956612099</v>
      </c>
      <c r="AB49" s="8">
        <v>91.933112331293898</v>
      </c>
      <c r="AC49" s="8">
        <v>91.961475642131006</v>
      </c>
      <c r="AD49" s="8">
        <v>91.940148737245906</v>
      </c>
      <c r="AE49" s="9">
        <v>-8.3599404413213995E-4</v>
      </c>
      <c r="AF49" s="9">
        <v>-5.2752046288495505E-4</v>
      </c>
      <c r="AG49" s="9">
        <v>-7.5945865323746398E-4</v>
      </c>
      <c r="AZ49" s="9"/>
      <c r="BB49">
        <f t="shared" si="2"/>
        <v>0</v>
      </c>
      <c r="BC49">
        <f t="shared" si="3"/>
        <v>0</v>
      </c>
      <c r="BD49">
        <f t="shared" si="4"/>
        <v>0</v>
      </c>
      <c r="BE49">
        <f t="shared" si="0"/>
        <v>1</v>
      </c>
      <c r="BF49">
        <f t="shared" si="5"/>
        <v>0</v>
      </c>
      <c r="BG49" s="9">
        <f t="shared" si="6"/>
        <v>0</v>
      </c>
      <c r="BH49" s="9">
        <f t="shared" si="7"/>
        <v>0</v>
      </c>
      <c r="BI49" s="9">
        <f t="shared" si="8"/>
        <v>0</v>
      </c>
      <c r="BJ49" s="12">
        <f t="shared" si="9"/>
        <v>1.6859062266018701E-3</v>
      </c>
      <c r="BL49" s="9"/>
      <c r="BN49">
        <f t="shared" si="10"/>
        <v>0</v>
      </c>
      <c r="BO49">
        <f t="shared" si="11"/>
        <v>1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0</v>
      </c>
      <c r="BX49" s="12">
        <f t="shared" si="18"/>
        <v>0</v>
      </c>
      <c r="BY49" s="12">
        <f t="shared" si="19"/>
        <v>1.6859062266018701E-3</v>
      </c>
    </row>
    <row r="50" spans="1:77" x14ac:dyDescent="0.3">
      <c r="A50" s="1">
        <v>46094</v>
      </c>
      <c r="B50" s="8">
        <v>27.95</v>
      </c>
      <c r="C50" s="8">
        <v>92.16</v>
      </c>
      <c r="D50" s="9">
        <v>1.0739217069364101E-3</v>
      </c>
      <c r="E50" s="9">
        <v>1.6289301533111799E-3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27.95</v>
      </c>
      <c r="M50" s="8">
        <v>92.16</v>
      </c>
      <c r="N50" s="10">
        <v>3.2973166368515199</v>
      </c>
      <c r="O50" s="10">
        <v>3.2936632097661298</v>
      </c>
      <c r="P50" s="10">
        <v>3.29425233376982</v>
      </c>
      <c r="Q50" s="10">
        <v>3.2934489732473402</v>
      </c>
      <c r="R50" s="8">
        <v>92.057886712963395</v>
      </c>
      <c r="S50" s="8">
        <v>92.0618472230165</v>
      </c>
      <c r="T50" s="8">
        <v>92.047108798731003</v>
      </c>
      <c r="U50" s="9">
        <v>-1.1086143622310799E-3</v>
      </c>
      <c r="V50" s="9">
        <v>-1.06559333489091E-3</v>
      </c>
      <c r="W50" s="9">
        <v>-1.22569879239234E-3</v>
      </c>
      <c r="X50" s="10">
        <v>3.2973166368515199</v>
      </c>
      <c r="Y50" s="10">
        <v>3.2927332496881698</v>
      </c>
      <c r="Z50" s="10">
        <v>3.29425233376982</v>
      </c>
      <c r="AA50" s="10">
        <v>3.2934489732473402</v>
      </c>
      <c r="AB50" s="8">
        <v>92.031894328784503</v>
      </c>
      <c r="AC50" s="8">
        <v>92.0618472230165</v>
      </c>
      <c r="AD50" s="8">
        <v>92.047108798731003</v>
      </c>
      <c r="AE50" s="9">
        <v>-1.39100249050689E-3</v>
      </c>
      <c r="AF50" s="9">
        <v>-1.06559333489091E-3</v>
      </c>
      <c r="AG50" s="9">
        <v>-1.22569879239234E-3</v>
      </c>
      <c r="AZ50" s="9"/>
      <c r="BB50">
        <f t="shared" si="2"/>
        <v>1</v>
      </c>
      <c r="BC50">
        <f t="shared" si="3"/>
        <v>0</v>
      </c>
      <c r="BD50">
        <f t="shared" si="4"/>
        <v>0</v>
      </c>
      <c r="BE50">
        <f t="shared" si="0"/>
        <v>1</v>
      </c>
      <c r="BF50">
        <f t="shared" si="5"/>
        <v>0</v>
      </c>
      <c r="BG50" s="9">
        <f t="shared" si="6"/>
        <v>0</v>
      </c>
      <c r="BH50" s="9">
        <f t="shared" si="7"/>
        <v>0</v>
      </c>
      <c r="BI50" s="9">
        <f t="shared" si="8"/>
        <v>0</v>
      </c>
      <c r="BJ50" s="12">
        <f t="shared" si="9"/>
        <v>1.6859062266018701E-3</v>
      </c>
      <c r="BL50" s="9"/>
      <c r="BN50">
        <f t="shared" si="10"/>
        <v>0</v>
      </c>
      <c r="BO50">
        <f t="shared" si="11"/>
        <v>1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0</v>
      </c>
      <c r="BX50" s="12">
        <f t="shared" si="18"/>
        <v>0</v>
      </c>
      <c r="BY50" s="12">
        <f t="shared" si="19"/>
        <v>1.6859062266018701E-3</v>
      </c>
    </row>
    <row r="51" spans="1:77" x14ac:dyDescent="0.3">
      <c r="A51" s="1">
        <v>46097</v>
      </c>
      <c r="B51" s="8">
        <v>28.18</v>
      </c>
      <c r="C51" s="8">
        <v>92.93</v>
      </c>
      <c r="D51" s="9">
        <v>8.1953068694261104E-3</v>
      </c>
      <c r="E51" s="9">
        <v>8.3203246216669302E-3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28.18</v>
      </c>
      <c r="M51" s="8">
        <v>92.93</v>
      </c>
      <c r="N51" s="10">
        <v>3.2977288857345601</v>
      </c>
      <c r="O51" s="10">
        <v>3.2936632097661298</v>
      </c>
      <c r="P51" s="10">
        <v>3.2945952772883298</v>
      </c>
      <c r="Q51" s="10">
        <v>3.2937165522364702</v>
      </c>
      <c r="R51" s="8">
        <v>92.815429251209594</v>
      </c>
      <c r="S51" s="8">
        <v>92.832030765633505</v>
      </c>
      <c r="T51" s="8">
        <v>92.809392066110206</v>
      </c>
      <c r="U51" s="9">
        <v>-1.2336321144721201E-3</v>
      </c>
      <c r="V51" s="9">
        <v>-1.0547822183655201E-3</v>
      </c>
      <c r="W51" s="9">
        <v>-1.2986792892907099E-3</v>
      </c>
      <c r="X51" s="10">
        <v>3.2977288857345601</v>
      </c>
      <c r="Y51" s="10">
        <v>3.2927332496881698</v>
      </c>
      <c r="Z51" s="10">
        <v>3.2945952772883298</v>
      </c>
      <c r="AA51" s="10">
        <v>3.2937165522364702</v>
      </c>
      <c r="AB51" s="8">
        <v>92.789222976212798</v>
      </c>
      <c r="AC51" s="8">
        <v>92.832030765633505</v>
      </c>
      <c r="AD51" s="8">
        <v>92.809392066110206</v>
      </c>
      <c r="AE51" s="9">
        <v>-1.51602024274773E-3</v>
      </c>
      <c r="AF51" s="9">
        <v>-1.0547822183655201E-3</v>
      </c>
      <c r="AG51" s="9">
        <v>-1.2986792892907099E-3</v>
      </c>
      <c r="AZ51" s="9"/>
      <c r="BB51">
        <f t="shared" si="2"/>
        <v>1</v>
      </c>
      <c r="BC51">
        <f t="shared" si="3"/>
        <v>0</v>
      </c>
      <c r="BD51">
        <f t="shared" si="4"/>
        <v>1</v>
      </c>
      <c r="BE51">
        <f t="shared" si="0"/>
        <v>1</v>
      </c>
      <c r="BF51">
        <f t="shared" si="5"/>
        <v>1</v>
      </c>
      <c r="BG51" s="9">
        <f t="shared" si="6"/>
        <v>8.1953068694261104E-3</v>
      </c>
      <c r="BH51" s="9">
        <f t="shared" si="7"/>
        <v>-8.3203246216669302E-3</v>
      </c>
      <c r="BI51" s="9">
        <f t="shared" si="8"/>
        <v>-1.2501775224081982E-4</v>
      </c>
      <c r="BJ51" s="12">
        <f t="shared" si="9"/>
        <v>1.5608884743610503E-3</v>
      </c>
      <c r="BL51" s="9"/>
      <c r="BN51">
        <f t="shared" si="10"/>
        <v>0</v>
      </c>
      <c r="BO51">
        <f t="shared" si="11"/>
        <v>1</v>
      </c>
      <c r="BP51">
        <f t="shared" si="12"/>
        <v>0</v>
      </c>
      <c r="BQ51">
        <f t="shared" si="1"/>
        <v>1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0</v>
      </c>
      <c r="BX51" s="12">
        <f t="shared" si="18"/>
        <v>-1.2501775224081982E-4</v>
      </c>
      <c r="BY51" s="12">
        <f t="shared" si="19"/>
        <v>1.5608884743610503E-3</v>
      </c>
    </row>
    <row r="52" spans="1:77" x14ac:dyDescent="0.3">
      <c r="A52" s="1">
        <v>46098</v>
      </c>
      <c r="B52" s="8">
        <v>28.29</v>
      </c>
      <c r="C52" s="8">
        <v>93.34</v>
      </c>
      <c r="D52" s="9">
        <v>3.8958788429417201E-3</v>
      </c>
      <c r="E52" s="9">
        <v>4.4022189524216201E-3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28.29</v>
      </c>
      <c r="M52" s="8">
        <v>93.34</v>
      </c>
      <c r="N52" s="10">
        <v>3.2993990809473299</v>
      </c>
      <c r="O52" s="10">
        <v>3.2936632097661298</v>
      </c>
      <c r="P52" s="10">
        <v>3.2950462351068199</v>
      </c>
      <c r="Q52" s="10">
        <v>3.2941053273800098</v>
      </c>
      <c r="R52" s="8">
        <v>93.177732204283799</v>
      </c>
      <c r="S52" s="8">
        <v>93.2041003944869</v>
      </c>
      <c r="T52" s="8">
        <v>93.179241262769906</v>
      </c>
      <c r="U52" s="9">
        <v>-1.7399722239520401E-3</v>
      </c>
      <c r="V52" s="9">
        <v>-1.45702414890294E-3</v>
      </c>
      <c r="W52" s="9">
        <v>-1.7237768709363599E-3</v>
      </c>
      <c r="X52" s="10">
        <v>3.2993990809473299</v>
      </c>
      <c r="Y52" s="10">
        <v>3.2927332496881698</v>
      </c>
      <c r="Z52" s="10">
        <v>3.2950462351068199</v>
      </c>
      <c r="AA52" s="10">
        <v>3.2941053273800098</v>
      </c>
      <c r="AB52" s="8">
        <v>93.151423633678505</v>
      </c>
      <c r="AC52" s="8">
        <v>93.2041003944869</v>
      </c>
      <c r="AD52" s="8">
        <v>93.179241262769906</v>
      </c>
      <c r="AE52" s="9">
        <v>-2.0223603522276801E-3</v>
      </c>
      <c r="AF52" s="9">
        <v>-1.45702414890294E-3</v>
      </c>
      <c r="AG52" s="9">
        <v>-1.7237768709363599E-3</v>
      </c>
      <c r="AZ52" s="9"/>
      <c r="BB52">
        <f t="shared" si="2"/>
        <v>1</v>
      </c>
      <c r="BC52">
        <f t="shared" si="3"/>
        <v>0</v>
      </c>
      <c r="BD52">
        <f t="shared" si="4"/>
        <v>1</v>
      </c>
      <c r="BE52">
        <f t="shared" si="0"/>
        <v>1</v>
      </c>
      <c r="BF52">
        <f t="shared" si="5"/>
        <v>1</v>
      </c>
      <c r="BG52" s="9">
        <f t="shared" si="6"/>
        <v>3.8958788429417201E-3</v>
      </c>
      <c r="BH52" s="9">
        <f t="shared" si="7"/>
        <v>-4.4022189524216201E-3</v>
      </c>
      <c r="BI52" s="9">
        <f t="shared" si="8"/>
        <v>-5.0634010947990006E-4</v>
      </c>
      <c r="BJ52" s="12">
        <f t="shared" si="9"/>
        <v>1.0545483648811502E-3</v>
      </c>
      <c r="BL52" s="9"/>
      <c r="BN52">
        <f t="shared" si="10"/>
        <v>0</v>
      </c>
      <c r="BO52">
        <f t="shared" si="11"/>
        <v>1</v>
      </c>
      <c r="BP52">
        <f t="shared" si="12"/>
        <v>0</v>
      </c>
      <c r="BQ52">
        <f t="shared" si="1"/>
        <v>1</v>
      </c>
      <c r="BR52">
        <f t="shared" si="13"/>
        <v>0</v>
      </c>
      <c r="BS52" s="9">
        <f t="shared" si="14"/>
        <v>0</v>
      </c>
      <c r="BT52" s="9">
        <f t="shared" si="15"/>
        <v>0</v>
      </c>
      <c r="BU52" s="9">
        <f t="shared" si="16"/>
        <v>0</v>
      </c>
      <c r="BV52" s="12">
        <f t="shared" si="17"/>
        <v>0</v>
      </c>
      <c r="BX52" s="12">
        <f t="shared" si="18"/>
        <v>-5.0634010947990006E-4</v>
      </c>
      <c r="BY52" s="12">
        <f t="shared" si="19"/>
        <v>1.0545483648811502E-3</v>
      </c>
    </row>
    <row r="53" spans="1:77" x14ac:dyDescent="0.3">
      <c r="A53" s="1">
        <v>46099</v>
      </c>
      <c r="B53" s="8">
        <v>27.86</v>
      </c>
      <c r="C53" s="8">
        <v>91.96</v>
      </c>
      <c r="D53" s="9">
        <v>-1.5316416961816201E-2</v>
      </c>
      <c r="E53" s="9">
        <v>-1.48950406266888E-2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27.86</v>
      </c>
      <c r="M53" s="8">
        <v>91.96</v>
      </c>
      <c r="N53" s="10">
        <v>3.3007896625986999</v>
      </c>
      <c r="O53" s="10">
        <v>3.2936632097661298</v>
      </c>
      <c r="P53" s="10">
        <v>3.29579048919847</v>
      </c>
      <c r="Q53" s="10">
        <v>3.2945651104750699</v>
      </c>
      <c r="R53" s="8">
        <v>91.761457024084393</v>
      </c>
      <c r="S53" s="8">
        <v>91.799988110076001</v>
      </c>
      <c r="T53" s="8">
        <v>91.7737744208073</v>
      </c>
      <c r="U53" s="9">
        <v>-2.1613485590792998E-3</v>
      </c>
      <c r="V53" s="9">
        <v>-1.7415317884126699E-3</v>
      </c>
      <c r="W53" s="9">
        <v>-2.0271247738759199E-3</v>
      </c>
      <c r="X53" s="10">
        <v>3.3007896625986999</v>
      </c>
      <c r="Y53" s="10">
        <v>3.2927332496881698</v>
      </c>
      <c r="Z53" s="10">
        <v>3.29579048919847</v>
      </c>
      <c r="AA53" s="10">
        <v>3.2945651104750699</v>
      </c>
      <c r="AB53" s="8">
        <v>91.735548336312604</v>
      </c>
      <c r="AC53" s="8">
        <v>91.799988110076001</v>
      </c>
      <c r="AD53" s="8">
        <v>91.7737744208073</v>
      </c>
      <c r="AE53" s="9">
        <v>-2.4437366873550498E-3</v>
      </c>
      <c r="AF53" s="9">
        <v>-1.7415317884126699E-3</v>
      </c>
      <c r="AG53" s="9">
        <v>-2.0271247738759199E-3</v>
      </c>
      <c r="AZ53" s="9"/>
      <c r="BB53">
        <f t="shared" si="2"/>
        <v>1</v>
      </c>
      <c r="BC53">
        <f t="shared" si="3"/>
        <v>0</v>
      </c>
      <c r="BD53">
        <f t="shared" si="4"/>
        <v>1</v>
      </c>
      <c r="BE53">
        <f t="shared" si="0"/>
        <v>1</v>
      </c>
      <c r="BF53">
        <f t="shared" si="5"/>
        <v>1</v>
      </c>
      <c r="BG53" s="9">
        <f t="shared" si="6"/>
        <v>-1.5316416961816201E-2</v>
      </c>
      <c r="BH53" s="9">
        <f t="shared" si="7"/>
        <v>1.48950406266888E-2</v>
      </c>
      <c r="BI53" s="9">
        <f t="shared" si="8"/>
        <v>-4.2137633512740087E-4</v>
      </c>
      <c r="BJ53" s="12">
        <f t="shared" si="9"/>
        <v>6.3317202975374937E-4</v>
      </c>
      <c r="BL53" s="9"/>
      <c r="BN53">
        <f t="shared" si="10"/>
        <v>0</v>
      </c>
      <c r="BO53">
        <f t="shared" si="11"/>
        <v>1</v>
      </c>
      <c r="BP53">
        <f t="shared" si="12"/>
        <v>0</v>
      </c>
      <c r="BQ53">
        <f t="shared" si="1"/>
        <v>1</v>
      </c>
      <c r="BR53">
        <f t="shared" si="13"/>
        <v>0</v>
      </c>
      <c r="BS53" s="9">
        <f t="shared" si="14"/>
        <v>0</v>
      </c>
      <c r="BT53" s="9">
        <f t="shared" si="15"/>
        <v>0</v>
      </c>
      <c r="BU53" s="9">
        <f t="shared" si="16"/>
        <v>0</v>
      </c>
      <c r="BV53" s="12">
        <f t="shared" si="17"/>
        <v>0</v>
      </c>
      <c r="BX53" s="12">
        <f t="shared" si="18"/>
        <v>-4.2137633512740087E-4</v>
      </c>
      <c r="BY53" s="12">
        <f t="shared" si="19"/>
        <v>6.3317202975374937E-4</v>
      </c>
    </row>
    <row r="54" spans="1:77" x14ac:dyDescent="0.3">
      <c r="A54" s="1">
        <v>46100</v>
      </c>
      <c r="B54" s="8">
        <v>27.79</v>
      </c>
      <c r="C54" s="8">
        <v>91.59</v>
      </c>
      <c r="D54" s="9">
        <v>-2.5157245972472399E-3</v>
      </c>
      <c r="E54" s="9">
        <v>-4.0316044800845696E-3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27.79</v>
      </c>
      <c r="M54" s="8">
        <v>91.59</v>
      </c>
      <c r="N54" s="10">
        <v>3.2957898524649099</v>
      </c>
      <c r="O54" s="10">
        <v>3.2936632097661298</v>
      </c>
      <c r="P54" s="10">
        <v>3.2963955614014799</v>
      </c>
      <c r="Q54" s="10">
        <v>3.2948942468286702</v>
      </c>
      <c r="R54" s="8">
        <v>91.530900599400795</v>
      </c>
      <c r="S54" s="8">
        <v>91.590017694825605</v>
      </c>
      <c r="T54" s="8">
        <v>91.555964420102299</v>
      </c>
      <c r="U54" s="9">
        <v>-6.4546867624208203E-4</v>
      </c>
      <c r="V54" s="9">
        <v>1.93196024945104E-7</v>
      </c>
      <c r="W54" s="9">
        <v>-3.7167709807086198E-4</v>
      </c>
      <c r="X54" s="10">
        <v>3.2957898524649099</v>
      </c>
      <c r="Y54" s="10">
        <v>3.2927332496881698</v>
      </c>
      <c r="Z54" s="10">
        <v>3.2963955614014799</v>
      </c>
      <c r="AA54" s="10">
        <v>3.2948942468286702</v>
      </c>
      <c r="AB54" s="8">
        <v>91.505057008834399</v>
      </c>
      <c r="AC54" s="8">
        <v>91.590017694825605</v>
      </c>
      <c r="AD54" s="8">
        <v>91.555964420102299</v>
      </c>
      <c r="AE54" s="9">
        <v>-9.2785680451788505E-4</v>
      </c>
      <c r="AF54" s="9">
        <v>1.93196024945104E-7</v>
      </c>
      <c r="AG54" s="9">
        <v>-3.7167709807086198E-4</v>
      </c>
      <c r="AZ54" s="9"/>
      <c r="BB54">
        <f t="shared" si="2"/>
        <v>0</v>
      </c>
      <c r="BC54">
        <f t="shared" si="3"/>
        <v>0</v>
      </c>
      <c r="BD54">
        <f t="shared" si="4"/>
        <v>1</v>
      </c>
      <c r="BE54">
        <f t="shared" si="0"/>
        <v>0</v>
      </c>
      <c r="BF54">
        <f t="shared" si="5"/>
        <v>1</v>
      </c>
      <c r="BG54" s="9">
        <f t="shared" si="6"/>
        <v>-2.5157245972472399E-3</v>
      </c>
      <c r="BH54" s="9">
        <f t="shared" si="7"/>
        <v>4.0316044800845696E-3</v>
      </c>
      <c r="BI54" s="9">
        <f t="shared" si="8"/>
        <v>1.5158798828373296E-3</v>
      </c>
      <c r="BJ54" s="12">
        <f t="shared" si="9"/>
        <v>2.149051912591079E-3</v>
      </c>
      <c r="BL54" s="9"/>
      <c r="BN54">
        <f t="shared" si="10"/>
        <v>0</v>
      </c>
      <c r="BO54">
        <f t="shared" si="11"/>
        <v>1</v>
      </c>
      <c r="BP54">
        <f t="shared" si="12"/>
        <v>0</v>
      </c>
      <c r="BQ54">
        <f t="shared" si="1"/>
        <v>0</v>
      </c>
      <c r="BR54">
        <f t="shared" si="13"/>
        <v>0</v>
      </c>
      <c r="BS54" s="9">
        <f t="shared" si="14"/>
        <v>0</v>
      </c>
      <c r="BT54" s="9">
        <f t="shared" si="15"/>
        <v>0</v>
      </c>
      <c r="BU54" s="9">
        <f t="shared" si="16"/>
        <v>0</v>
      </c>
      <c r="BV54" s="12">
        <f t="shared" si="17"/>
        <v>0</v>
      </c>
      <c r="BX54" s="12">
        <f t="shared" si="18"/>
        <v>1.5158798828373296E-3</v>
      </c>
      <c r="BY54" s="12">
        <f t="shared" si="19"/>
        <v>2.149051912591079E-3</v>
      </c>
    </row>
    <row r="55" spans="1:77" x14ac:dyDescent="0.3">
      <c r="A55" s="1">
        <v>46101</v>
      </c>
      <c r="B55" s="8">
        <v>26.66</v>
      </c>
      <c r="C55" s="8">
        <v>88.75</v>
      </c>
      <c r="D55" s="9">
        <v>-4.1511929003849701E-2</v>
      </c>
      <c r="E55" s="9">
        <v>-3.1498667059371002E-2</v>
      </c>
      <c r="F55" s="8">
        <v>0.25</v>
      </c>
      <c r="G55" s="8">
        <v>0.25</v>
      </c>
      <c r="H55" s="8">
        <v>0</v>
      </c>
      <c r="I55" s="8">
        <v>0</v>
      </c>
      <c r="J55" s="8">
        <v>0.25</v>
      </c>
      <c r="K55" s="8">
        <v>0</v>
      </c>
      <c r="L55" s="8">
        <v>26.91</v>
      </c>
      <c r="M55" s="8">
        <v>88.75</v>
      </c>
      <c r="N55" s="10">
        <v>3.3289572393098199</v>
      </c>
      <c r="O55" s="10">
        <v>3.2936632097661298</v>
      </c>
      <c r="P55" s="10">
        <v>3.2998898768817599</v>
      </c>
      <c r="Q55" s="10">
        <v>3.29667706193543</v>
      </c>
      <c r="R55" s="8">
        <v>87.809061172365006</v>
      </c>
      <c r="S55" s="8">
        <v>87.881905666963704</v>
      </c>
      <c r="T55" s="8">
        <v>87.841880620452301</v>
      </c>
      <c r="U55" s="9">
        <v>-1.0658730620720799E-2</v>
      </c>
      <c r="V55" s="9">
        <v>-9.8294961975371204E-3</v>
      </c>
      <c r="W55" s="9">
        <v>-1.02850412099582E-2</v>
      </c>
      <c r="X55" s="10">
        <v>3.2980304719435098</v>
      </c>
      <c r="Y55" s="10">
        <v>3.2927332496881698</v>
      </c>
      <c r="Z55" s="10">
        <v>3.29679720014513</v>
      </c>
      <c r="AA55" s="10">
        <v>3.2951307235671101</v>
      </c>
      <c r="AB55" s="8">
        <v>88.607451749108805</v>
      </c>
      <c r="AC55" s="8">
        <v>88.706004557314003</v>
      </c>
      <c r="AD55" s="8">
        <v>88.665604182159498</v>
      </c>
      <c r="AE55" s="9">
        <v>-1.60746876074472E-3</v>
      </c>
      <c r="AF55" s="9">
        <v>-4.9584620928535997E-4</v>
      </c>
      <c r="AG55" s="9">
        <v>-9.5139122170631498E-4</v>
      </c>
      <c r="AZ55" s="9"/>
      <c r="BB55">
        <f t="shared" si="2"/>
        <v>0</v>
      </c>
      <c r="BC55">
        <f t="shared" si="3"/>
        <v>0</v>
      </c>
      <c r="BD55">
        <f t="shared" si="4"/>
        <v>0</v>
      </c>
      <c r="BE55">
        <f t="shared" si="0"/>
        <v>1</v>
      </c>
      <c r="BF55">
        <f t="shared" si="5"/>
        <v>0</v>
      </c>
      <c r="BG55" s="9">
        <f t="shared" si="6"/>
        <v>0</v>
      </c>
      <c r="BH55" s="9">
        <f t="shared" si="7"/>
        <v>0</v>
      </c>
      <c r="BI55" s="9">
        <f t="shared" si="8"/>
        <v>0</v>
      </c>
      <c r="BJ55" s="12">
        <f t="shared" si="9"/>
        <v>2.149051912591079E-3</v>
      </c>
      <c r="BL55" s="9"/>
      <c r="BN55">
        <f t="shared" si="10"/>
        <v>0</v>
      </c>
      <c r="BO55">
        <f t="shared" si="11"/>
        <v>1</v>
      </c>
      <c r="BP55">
        <f t="shared" si="12"/>
        <v>0</v>
      </c>
      <c r="BQ55">
        <f t="shared" si="1"/>
        <v>1</v>
      </c>
      <c r="BR55">
        <f t="shared" si="13"/>
        <v>0</v>
      </c>
      <c r="BS55" s="9">
        <f t="shared" si="14"/>
        <v>0</v>
      </c>
      <c r="BT55" s="9">
        <f t="shared" si="15"/>
        <v>0</v>
      </c>
      <c r="BU55" s="9">
        <f t="shared" si="16"/>
        <v>0</v>
      </c>
      <c r="BV55" s="12">
        <f t="shared" si="17"/>
        <v>0</v>
      </c>
      <c r="BX55" s="12">
        <f t="shared" si="18"/>
        <v>0</v>
      </c>
      <c r="BY55" s="12">
        <f t="shared" si="19"/>
        <v>2.149051912591079E-3</v>
      </c>
    </row>
    <row r="56" spans="1:77" x14ac:dyDescent="0.3">
      <c r="A56" s="1">
        <v>46104</v>
      </c>
      <c r="B56" s="8">
        <v>26.86</v>
      </c>
      <c r="C56" s="8">
        <v>89.44</v>
      </c>
      <c r="D56" s="9">
        <v>7.4738763445288403E-3</v>
      </c>
      <c r="E56" s="9">
        <v>7.7445810512638599E-3</v>
      </c>
      <c r="F56" s="8">
        <v>0</v>
      </c>
      <c r="G56" s="8">
        <v>0.25</v>
      </c>
      <c r="H56" s="8">
        <v>0</v>
      </c>
      <c r="I56" s="8">
        <v>0</v>
      </c>
      <c r="J56" s="8">
        <v>0.25</v>
      </c>
      <c r="K56" s="8">
        <v>0</v>
      </c>
      <c r="L56" s="8">
        <v>27.11</v>
      </c>
      <c r="M56" s="8">
        <v>89.44</v>
      </c>
      <c r="N56" s="10">
        <v>3.3298585256887501</v>
      </c>
      <c r="O56" s="10">
        <v>3.2936632097661298</v>
      </c>
      <c r="P56" s="10">
        <v>3.3035466110804199</v>
      </c>
      <c r="Q56" s="10">
        <v>3.29854472798392</v>
      </c>
      <c r="R56" s="8">
        <v>88.467793814318298</v>
      </c>
      <c r="S56" s="8">
        <v>88.635042093044206</v>
      </c>
      <c r="T56" s="8">
        <v>88.548745883585696</v>
      </c>
      <c r="U56" s="9">
        <v>-1.09294353274558E-2</v>
      </c>
      <c r="V56" s="9">
        <v>-9.0407210379636199E-3</v>
      </c>
      <c r="W56" s="9">
        <v>-1.00148080835958E-2</v>
      </c>
      <c r="X56" s="10">
        <v>3.2991516045739502</v>
      </c>
      <c r="Y56" s="10">
        <v>3.2927332496881698</v>
      </c>
      <c r="Z56" s="10">
        <v>3.2973832422323102</v>
      </c>
      <c r="AA56" s="10">
        <v>3.29546304355986</v>
      </c>
      <c r="AB56" s="8">
        <v>89.265998399046495</v>
      </c>
      <c r="AC56" s="8">
        <v>89.376172095934606</v>
      </c>
      <c r="AD56" s="8">
        <v>89.3309939159045</v>
      </c>
      <c r="AE56" s="9">
        <v>-1.9473510402488699E-3</v>
      </c>
      <c r="AF56" s="9">
        <v>-7.1389411850182496E-4</v>
      </c>
      <c r="AG56" s="9">
        <v>-1.2195054154717599E-3</v>
      </c>
      <c r="AZ56" s="9"/>
      <c r="BB56">
        <f t="shared" si="2"/>
        <v>1</v>
      </c>
      <c r="BC56">
        <f t="shared" si="3"/>
        <v>0</v>
      </c>
      <c r="BD56">
        <f t="shared" si="4"/>
        <v>0</v>
      </c>
      <c r="BE56">
        <f t="shared" si="0"/>
        <v>0</v>
      </c>
      <c r="BF56">
        <f t="shared" si="5"/>
        <v>0</v>
      </c>
      <c r="BG56" s="9">
        <f t="shared" si="6"/>
        <v>0</v>
      </c>
      <c r="BH56" s="9">
        <f t="shared" si="7"/>
        <v>0</v>
      </c>
      <c r="BI56" s="9">
        <f t="shared" si="8"/>
        <v>0</v>
      </c>
      <c r="BJ56" s="12">
        <f t="shared" si="9"/>
        <v>2.149051912591079E-3</v>
      </c>
      <c r="BL56" s="9"/>
      <c r="BN56">
        <f t="shared" si="10"/>
        <v>0</v>
      </c>
      <c r="BO56">
        <f t="shared" si="11"/>
        <v>1</v>
      </c>
      <c r="BP56">
        <f t="shared" si="12"/>
        <v>0</v>
      </c>
      <c r="BQ56">
        <f t="shared" si="1"/>
        <v>0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0</v>
      </c>
      <c r="BX56" s="12">
        <f t="shared" si="18"/>
        <v>0</v>
      </c>
      <c r="BY56" s="12">
        <f t="shared" si="19"/>
        <v>2.149051912591079E-3</v>
      </c>
    </row>
    <row r="57" spans="1:77" x14ac:dyDescent="0.3">
      <c r="A57" s="1">
        <v>46105</v>
      </c>
      <c r="B57" s="8">
        <v>26.69</v>
      </c>
      <c r="C57" s="8">
        <v>87.91</v>
      </c>
      <c r="D57" s="9">
        <v>-6.3492276786586603E-3</v>
      </c>
      <c r="E57" s="9">
        <v>-1.7254445543701799E-2</v>
      </c>
      <c r="F57" s="8">
        <v>0</v>
      </c>
      <c r="G57" s="8">
        <v>0.25</v>
      </c>
      <c r="H57" s="8">
        <v>0.94569999999999999</v>
      </c>
      <c r="I57" s="8">
        <v>0.94569999999999999</v>
      </c>
      <c r="J57" s="8">
        <v>0</v>
      </c>
      <c r="K57" s="8">
        <v>0</v>
      </c>
      <c r="L57" s="8">
        <v>26.69</v>
      </c>
      <c r="M57" s="8">
        <v>87.91</v>
      </c>
      <c r="N57" s="10">
        <v>3.29374297489696</v>
      </c>
      <c r="O57" s="10">
        <v>3.2936632097661298</v>
      </c>
      <c r="P57" s="10">
        <v>3.3035050042773699</v>
      </c>
      <c r="Q57" s="10">
        <v>3.2985901321804798</v>
      </c>
      <c r="R57" s="8">
        <v>87.907871068657997</v>
      </c>
      <c r="S57" s="8">
        <v>88.171659049736604</v>
      </c>
      <c r="T57" s="8">
        <v>88.0381587898909</v>
      </c>
      <c r="U57" s="9">
        <v>-2.4217462412600498E-5</v>
      </c>
      <c r="V57" s="9">
        <v>2.9720215467037201E-3</v>
      </c>
      <c r="W57" s="9">
        <v>1.45677924040046E-3</v>
      </c>
      <c r="X57" s="10">
        <v>3.29374297489696</v>
      </c>
      <c r="Y57" s="10">
        <v>3.2927332496881698</v>
      </c>
      <c r="Z57" s="10">
        <v>3.2973416354292602</v>
      </c>
      <c r="AA57" s="10">
        <v>3.29550844775643</v>
      </c>
      <c r="AB57" s="8">
        <v>87.883050434177406</v>
      </c>
      <c r="AC57" s="8">
        <v>88.007158735180496</v>
      </c>
      <c r="AD57" s="8">
        <v>87.955908632612903</v>
      </c>
      <c r="AE57" s="9">
        <v>-3.0660559068832897E-4</v>
      </c>
      <c r="AF57" s="9">
        <v>1.1045965698631699E-3</v>
      </c>
      <c r="AG57" s="9">
        <v>5.2208678774248198E-4</v>
      </c>
      <c r="AZ57" s="9"/>
      <c r="BB57">
        <f t="shared" si="2"/>
        <v>0</v>
      </c>
      <c r="BC57">
        <f t="shared" si="3"/>
        <v>1</v>
      </c>
      <c r="BD57">
        <f t="shared" si="4"/>
        <v>0</v>
      </c>
      <c r="BE57">
        <f t="shared" si="0"/>
        <v>1</v>
      </c>
      <c r="BF57">
        <f t="shared" si="5"/>
        <v>0</v>
      </c>
      <c r="BG57" s="9">
        <f t="shared" si="6"/>
        <v>0</v>
      </c>
      <c r="BH57" s="9">
        <f t="shared" si="7"/>
        <v>0</v>
      </c>
      <c r="BI57" s="9">
        <f t="shared" si="8"/>
        <v>0</v>
      </c>
      <c r="BJ57" s="12">
        <f t="shared" si="9"/>
        <v>2.149051912591079E-3</v>
      </c>
      <c r="BL57" s="9"/>
      <c r="BN57">
        <f t="shared" si="10"/>
        <v>0</v>
      </c>
      <c r="BO57">
        <f t="shared" si="11"/>
        <v>0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0</v>
      </c>
      <c r="BX57" s="12">
        <f t="shared" si="18"/>
        <v>0</v>
      </c>
      <c r="BY57" s="12">
        <f t="shared" si="19"/>
        <v>2.149051912591079E-3</v>
      </c>
    </row>
    <row r="58" spans="1:77" x14ac:dyDescent="0.3">
      <c r="A58" s="1">
        <v>46106</v>
      </c>
      <c r="B58" s="8">
        <v>26.67</v>
      </c>
      <c r="C58" s="8">
        <v>87.84</v>
      </c>
      <c r="D58" s="9">
        <v>-7.4962522250988104E-4</v>
      </c>
      <c r="E58" s="9">
        <v>-7.9658610186669797E-4</v>
      </c>
      <c r="F58" s="8">
        <v>0</v>
      </c>
      <c r="G58" s="8">
        <v>0.25</v>
      </c>
      <c r="H58" s="8">
        <v>0</v>
      </c>
      <c r="I58" s="8">
        <v>0.94569999999999999</v>
      </c>
      <c r="J58" s="8">
        <v>0</v>
      </c>
      <c r="K58" s="8">
        <v>0</v>
      </c>
      <c r="L58" s="8">
        <v>26.67</v>
      </c>
      <c r="M58" s="8">
        <v>87.84</v>
      </c>
      <c r="N58" s="10">
        <v>3.29358830146231</v>
      </c>
      <c r="O58" s="10">
        <v>3.2936632097661298</v>
      </c>
      <c r="P58" s="10">
        <v>3.3032658265972001</v>
      </c>
      <c r="Q58" s="10">
        <v>3.2985074770903502</v>
      </c>
      <c r="R58" s="8">
        <v>87.841997804462693</v>
      </c>
      <c r="S58" s="8">
        <v>88.104478464077502</v>
      </c>
      <c r="T58" s="8">
        <v>87.973398825253497</v>
      </c>
      <c r="U58" s="9">
        <v>2.2743416944284198E-5</v>
      </c>
      <c r="V58" s="9">
        <v>3.0063877603980702E-3</v>
      </c>
      <c r="W58" s="9">
        <v>1.5175049426765601E-3</v>
      </c>
      <c r="X58" s="10">
        <v>3.29358830146231</v>
      </c>
      <c r="Y58" s="10">
        <v>3.2927332496881698</v>
      </c>
      <c r="Z58" s="10">
        <v>3.2971024577490899</v>
      </c>
      <c r="AA58" s="10">
        <v>3.2954257926662902</v>
      </c>
      <c r="AB58" s="8">
        <v>87.817195769183698</v>
      </c>
      <c r="AC58" s="8">
        <v>87.940101416898401</v>
      </c>
      <c r="AD58" s="8">
        <v>87.891210301664003</v>
      </c>
      <c r="AE58" s="9">
        <v>-2.59644711331487E-4</v>
      </c>
      <c r="AF58" s="9">
        <v>1.13893924184135E-3</v>
      </c>
      <c r="AG58" s="9">
        <v>5.8282536182048799E-4</v>
      </c>
      <c r="AZ58" s="9"/>
      <c r="BB58">
        <f t="shared" si="2"/>
        <v>0</v>
      </c>
      <c r="BC58">
        <f t="shared" si="3"/>
        <v>1</v>
      </c>
      <c r="BD58">
        <f t="shared" si="4"/>
        <v>0</v>
      </c>
      <c r="BE58">
        <f t="shared" si="0"/>
        <v>1</v>
      </c>
      <c r="BF58">
        <f t="shared" si="5"/>
        <v>0</v>
      </c>
      <c r="BG58" s="9">
        <f t="shared" si="6"/>
        <v>0</v>
      </c>
      <c r="BH58" s="9">
        <f t="shared" si="7"/>
        <v>0</v>
      </c>
      <c r="BI58" s="9">
        <f t="shared" si="8"/>
        <v>0</v>
      </c>
      <c r="BJ58" s="12">
        <f t="shared" si="9"/>
        <v>2.149051912591079E-3</v>
      </c>
      <c r="BL58" s="9"/>
      <c r="BN58">
        <f t="shared" si="10"/>
        <v>0</v>
      </c>
      <c r="BO58">
        <f t="shared" si="11"/>
        <v>0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0</v>
      </c>
      <c r="BX58" s="12">
        <f t="shared" si="18"/>
        <v>0</v>
      </c>
      <c r="BY58" s="12">
        <f t="shared" si="19"/>
        <v>2.149051912591079E-3</v>
      </c>
    </row>
    <row r="59" spans="1:77" x14ac:dyDescent="0.3">
      <c r="A59" s="1">
        <v>46107</v>
      </c>
      <c r="B59" s="8">
        <v>26.64</v>
      </c>
      <c r="C59" s="8">
        <v>87.72</v>
      </c>
      <c r="D59" s="9">
        <v>-1.1254925217345901E-3</v>
      </c>
      <c r="E59" s="9">
        <v>-1.36705421153311E-3</v>
      </c>
      <c r="F59" s="8">
        <v>0</v>
      </c>
      <c r="G59" s="8">
        <v>0.25</v>
      </c>
      <c r="H59" s="8">
        <v>0</v>
      </c>
      <c r="I59" s="8">
        <v>0.94569999999999999</v>
      </c>
      <c r="J59" s="8">
        <v>0</v>
      </c>
      <c r="K59" s="8">
        <v>0</v>
      </c>
      <c r="L59" s="8">
        <v>26.64</v>
      </c>
      <c r="M59" s="8">
        <v>87.72</v>
      </c>
      <c r="N59" s="10">
        <v>3.29279279279279</v>
      </c>
      <c r="O59" s="10">
        <v>3.2936632097661298</v>
      </c>
      <c r="P59" s="10">
        <v>3.3029963952747701</v>
      </c>
      <c r="Q59" s="10">
        <v>3.2984006524319498</v>
      </c>
      <c r="R59" s="8">
        <v>87.743187908169702</v>
      </c>
      <c r="S59" s="8">
        <v>87.999001620549606</v>
      </c>
      <c r="T59" s="8">
        <v>87.872239189686894</v>
      </c>
      <c r="U59" s="9">
        <v>2.6430510674282503E-4</v>
      </c>
      <c r="V59" s="9">
        <v>3.17554564313493E-3</v>
      </c>
      <c r="W59" s="9">
        <v>1.73400861604576E-3</v>
      </c>
      <c r="X59" s="10">
        <v>3.29279279279279</v>
      </c>
      <c r="Y59" s="10">
        <v>3.2927332496881698</v>
      </c>
      <c r="Z59" s="10">
        <v>3.2968330264266501</v>
      </c>
      <c r="AA59" s="10">
        <v>3.2953189680079</v>
      </c>
      <c r="AB59" s="8">
        <v>87.718413771692994</v>
      </c>
      <c r="AC59" s="8">
        <v>87.834809474436</v>
      </c>
      <c r="AD59" s="8">
        <v>87.790143116630105</v>
      </c>
      <c r="AE59" s="9">
        <v>-1.8083021533020798E-5</v>
      </c>
      <c r="AF59" s="9">
        <v>1.3079617829595399E-3</v>
      </c>
      <c r="AG59" s="9">
        <v>7.9930560273075196E-4</v>
      </c>
      <c r="AZ59" s="9"/>
      <c r="BB59">
        <f t="shared" si="2"/>
        <v>0</v>
      </c>
      <c r="BC59">
        <f t="shared" si="3"/>
        <v>1</v>
      </c>
      <c r="BD59">
        <f t="shared" si="4"/>
        <v>0</v>
      </c>
      <c r="BE59">
        <f t="shared" si="0"/>
        <v>1</v>
      </c>
      <c r="BF59">
        <f t="shared" si="5"/>
        <v>0</v>
      </c>
      <c r="BG59" s="9">
        <f t="shared" si="6"/>
        <v>0</v>
      </c>
      <c r="BH59" s="9">
        <f t="shared" si="7"/>
        <v>0</v>
      </c>
      <c r="BI59" s="9">
        <f t="shared" si="8"/>
        <v>0</v>
      </c>
      <c r="BJ59" s="12">
        <f t="shared" si="9"/>
        <v>2.149051912591079E-3</v>
      </c>
      <c r="BL59" s="9"/>
      <c r="BN59">
        <f t="shared" si="10"/>
        <v>0</v>
      </c>
      <c r="BO59">
        <f t="shared" si="11"/>
        <v>0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0</v>
      </c>
      <c r="BX59" s="12">
        <f t="shared" si="18"/>
        <v>0</v>
      </c>
      <c r="BY59" s="12">
        <f t="shared" si="19"/>
        <v>2.149051912591079E-3</v>
      </c>
    </row>
    <row r="60" spans="1:77" x14ac:dyDescent="0.3">
      <c r="A60" s="1">
        <v>46108</v>
      </c>
      <c r="B60" s="8">
        <v>26.42</v>
      </c>
      <c r="C60" s="8">
        <v>87</v>
      </c>
      <c r="D60" s="9">
        <v>-8.2925465780090794E-3</v>
      </c>
      <c r="E60" s="9">
        <v>-8.2418048951037499E-3</v>
      </c>
      <c r="F60" s="8">
        <v>0</v>
      </c>
      <c r="G60" s="8">
        <v>0.25</v>
      </c>
      <c r="H60" s="8">
        <v>0</v>
      </c>
      <c r="I60" s="8">
        <v>0.94569999999999999</v>
      </c>
      <c r="J60" s="8">
        <v>0</v>
      </c>
      <c r="K60" s="8">
        <v>0</v>
      </c>
      <c r="L60" s="8">
        <v>26.42</v>
      </c>
      <c r="M60" s="8">
        <v>87</v>
      </c>
      <c r="N60" s="10">
        <v>3.2929598788796302</v>
      </c>
      <c r="O60" s="10">
        <v>3.2936632097661298</v>
      </c>
      <c r="P60" s="10">
        <v>3.3025607194775799</v>
      </c>
      <c r="Q60" s="10">
        <v>3.2984065266237002</v>
      </c>
      <c r="R60" s="8">
        <v>87.018582002021205</v>
      </c>
      <c r="S60" s="8">
        <v>87.265164763159405</v>
      </c>
      <c r="T60" s="8">
        <v>87.143745237252304</v>
      </c>
      <c r="U60" s="9">
        <v>2.13563423837402E-4</v>
      </c>
      <c r="V60" s="9">
        <v>3.0432354988091902E-3</v>
      </c>
      <c r="W60" s="9">
        <v>1.6508806526869999E-3</v>
      </c>
      <c r="X60" s="10">
        <v>3.2929598788796302</v>
      </c>
      <c r="Y60" s="10">
        <v>3.2927332496881698</v>
      </c>
      <c r="Z60" s="10">
        <v>3.2963973506294701</v>
      </c>
      <c r="AA60" s="10">
        <v>3.2953248421996402</v>
      </c>
      <c r="AB60" s="8">
        <v>86.994012456761595</v>
      </c>
      <c r="AC60" s="8">
        <v>87.102328558192298</v>
      </c>
      <c r="AD60" s="8">
        <v>87.062327134768694</v>
      </c>
      <c r="AE60" s="9">
        <v>-6.8824704438274196E-5</v>
      </c>
      <c r="AF60" s="9">
        <v>1.1754991541223299E-3</v>
      </c>
      <c r="AG60" s="9">
        <v>7.1614735317540503E-4</v>
      </c>
      <c r="AZ60" s="9"/>
      <c r="BB60">
        <f t="shared" si="2"/>
        <v>0</v>
      </c>
      <c r="BC60">
        <f t="shared" si="3"/>
        <v>1</v>
      </c>
      <c r="BD60">
        <f t="shared" si="4"/>
        <v>0</v>
      </c>
      <c r="BE60">
        <f t="shared" si="0"/>
        <v>1</v>
      </c>
      <c r="BF60">
        <f t="shared" si="5"/>
        <v>0</v>
      </c>
      <c r="BG60" s="9">
        <f t="shared" si="6"/>
        <v>0</v>
      </c>
      <c r="BH60" s="9">
        <f t="shared" si="7"/>
        <v>0</v>
      </c>
      <c r="BI60" s="9">
        <f t="shared" si="8"/>
        <v>0</v>
      </c>
      <c r="BJ60" s="12">
        <f t="shared" si="9"/>
        <v>2.149051912591079E-3</v>
      </c>
      <c r="BL60" s="9"/>
      <c r="BN60">
        <f t="shared" si="10"/>
        <v>0</v>
      </c>
      <c r="BO60">
        <f t="shared" si="11"/>
        <v>0</v>
      </c>
      <c r="BP60">
        <f t="shared" si="12"/>
        <v>0</v>
      </c>
      <c r="BQ60">
        <f t="shared" si="1"/>
        <v>1</v>
      </c>
      <c r="BR60">
        <f t="shared" si="13"/>
        <v>0</v>
      </c>
      <c r="BS60" s="9">
        <f t="shared" si="14"/>
        <v>0</v>
      </c>
      <c r="BT60" s="9">
        <f t="shared" si="15"/>
        <v>0</v>
      </c>
      <c r="BU60" s="9">
        <f t="shared" si="16"/>
        <v>0</v>
      </c>
      <c r="BV60" s="12">
        <f t="shared" si="17"/>
        <v>0</v>
      </c>
      <c r="BX60" s="12">
        <f t="shared" si="18"/>
        <v>0</v>
      </c>
      <c r="BY60" s="12">
        <f t="shared" si="19"/>
        <v>2.149051912591079E-3</v>
      </c>
    </row>
    <row r="61" spans="1:77" x14ac:dyDescent="0.3">
      <c r="A61" s="1">
        <v>46111</v>
      </c>
      <c r="B61" s="8">
        <v>26.53</v>
      </c>
      <c r="C61" s="8">
        <v>87.33</v>
      </c>
      <c r="D61" s="9">
        <v>4.1548690554690298E-3</v>
      </c>
      <c r="E61" s="9">
        <v>3.7859277710578401E-3</v>
      </c>
      <c r="F61" s="8">
        <v>0</v>
      </c>
      <c r="G61" s="8">
        <v>0.25</v>
      </c>
      <c r="H61" s="8">
        <v>0</v>
      </c>
      <c r="I61" s="8">
        <v>0.94569999999999999</v>
      </c>
      <c r="J61" s="8">
        <v>0</v>
      </c>
      <c r="K61" s="8">
        <v>0</v>
      </c>
      <c r="L61" s="8">
        <v>26.53</v>
      </c>
      <c r="M61" s="8">
        <v>87.33</v>
      </c>
      <c r="N61" s="10">
        <v>3.2917451941198599</v>
      </c>
      <c r="O61" s="10">
        <v>3.2936632097661298</v>
      </c>
      <c r="P61" s="10">
        <v>3.30196235031611</v>
      </c>
      <c r="Q61" s="10">
        <v>3.2982788138022201</v>
      </c>
      <c r="R61" s="8">
        <v>87.380884955095397</v>
      </c>
      <c r="S61" s="8">
        <v>87.616935887740198</v>
      </c>
      <c r="T61" s="8">
        <v>87.506725151326805</v>
      </c>
      <c r="U61" s="9">
        <v>5.8250470824857705E-4</v>
      </c>
      <c r="V61" s="9">
        <v>3.2802648823007001E-3</v>
      </c>
      <c r="W61" s="9">
        <v>2.0216028567418901E-3</v>
      </c>
      <c r="X61" s="10">
        <v>3.2917451941198599</v>
      </c>
      <c r="Y61" s="10">
        <v>3.2927332496881698</v>
      </c>
      <c r="Z61" s="10">
        <v>3.2957989814680002</v>
      </c>
      <c r="AA61" s="10">
        <v>3.2951971293781601</v>
      </c>
      <c r="AB61" s="8">
        <v>87.356213114227302</v>
      </c>
      <c r="AC61" s="8">
        <v>87.453421712199798</v>
      </c>
      <c r="AD61" s="8">
        <v>87.424968063556605</v>
      </c>
      <c r="AE61" s="9">
        <v>3.0011657997296398E-4</v>
      </c>
      <c r="AF61" s="9">
        <v>1.41228191443945E-3</v>
      </c>
      <c r="AG61" s="9">
        <v>1.0868712226918399E-3</v>
      </c>
      <c r="AZ61" s="9"/>
      <c r="BB61">
        <f t="shared" si="2"/>
        <v>0</v>
      </c>
      <c r="BC61">
        <f t="shared" si="3"/>
        <v>1</v>
      </c>
      <c r="BD61">
        <f t="shared" si="4"/>
        <v>0</v>
      </c>
      <c r="BE61">
        <f t="shared" si="0"/>
        <v>1</v>
      </c>
      <c r="BF61">
        <f t="shared" si="5"/>
        <v>0</v>
      </c>
      <c r="BG61" s="9">
        <f t="shared" si="6"/>
        <v>0</v>
      </c>
      <c r="BH61" s="9">
        <f t="shared" si="7"/>
        <v>0</v>
      </c>
      <c r="BI61" s="9">
        <f t="shared" si="8"/>
        <v>0</v>
      </c>
      <c r="BJ61" s="12">
        <f t="shared" si="9"/>
        <v>2.149051912591079E-3</v>
      </c>
      <c r="BL61" s="9"/>
      <c r="BN61">
        <f t="shared" si="10"/>
        <v>0</v>
      </c>
      <c r="BO61">
        <f t="shared" si="11"/>
        <v>0</v>
      </c>
      <c r="BP61">
        <f t="shared" si="12"/>
        <v>0</v>
      </c>
      <c r="BQ61">
        <f t="shared" si="1"/>
        <v>1</v>
      </c>
      <c r="BR61">
        <f t="shared" si="13"/>
        <v>0</v>
      </c>
      <c r="BS61" s="9">
        <f t="shared" si="14"/>
        <v>0</v>
      </c>
      <c r="BT61" s="9">
        <f t="shared" si="15"/>
        <v>0</v>
      </c>
      <c r="BU61" s="9">
        <f t="shared" si="16"/>
        <v>0</v>
      </c>
      <c r="BV61" s="12">
        <f t="shared" si="17"/>
        <v>0</v>
      </c>
      <c r="BX61" s="12">
        <f t="shared" si="18"/>
        <v>0</v>
      </c>
      <c r="BY61" s="12">
        <f t="shared" si="19"/>
        <v>2.149051912591079E-3</v>
      </c>
    </row>
    <row r="62" spans="1:77" x14ac:dyDescent="0.3">
      <c r="A62" s="1">
        <v>46112</v>
      </c>
      <c r="B62" s="8">
        <v>26.91</v>
      </c>
      <c r="C62" s="8">
        <v>88.7</v>
      </c>
      <c r="D62" s="9">
        <v>1.4221796589166001E-2</v>
      </c>
      <c r="E62" s="9">
        <v>1.55658428898922E-2</v>
      </c>
      <c r="F62" s="8">
        <v>0</v>
      </c>
      <c r="G62" s="8">
        <v>0.25</v>
      </c>
      <c r="H62" s="8">
        <v>0</v>
      </c>
      <c r="I62" s="8">
        <v>0.94569999999999999</v>
      </c>
      <c r="J62" s="8">
        <v>0</v>
      </c>
      <c r="K62" s="8">
        <v>0</v>
      </c>
      <c r="L62" s="8">
        <v>26.91</v>
      </c>
      <c r="M62" s="8">
        <v>88.7</v>
      </c>
      <c r="N62" s="10">
        <v>3.2961724266072001</v>
      </c>
      <c r="O62" s="10">
        <v>3.2936632097661298</v>
      </c>
      <c r="P62" s="10">
        <v>3.3016396848820899</v>
      </c>
      <c r="Q62" s="10">
        <v>3.2983429599944598</v>
      </c>
      <c r="R62" s="8">
        <v>88.632476974806593</v>
      </c>
      <c r="S62" s="8">
        <v>88.855806847006505</v>
      </c>
      <c r="T62" s="8">
        <v>88.756682879417795</v>
      </c>
      <c r="U62" s="9">
        <v>-7.6154159247766699E-4</v>
      </c>
      <c r="V62" s="9">
        <v>1.7550187714492501E-3</v>
      </c>
      <c r="W62" s="9">
        <v>6.3883625486295501E-4</v>
      </c>
      <c r="X62" s="10">
        <v>3.2961724266072001</v>
      </c>
      <c r="Y62" s="10">
        <v>3.2927332496881698</v>
      </c>
      <c r="Z62" s="10">
        <v>3.2954763160339802</v>
      </c>
      <c r="AA62" s="10">
        <v>3.2952612755703998</v>
      </c>
      <c r="AB62" s="8">
        <v>88.607451749108805</v>
      </c>
      <c r="AC62" s="8">
        <v>88.689950591303898</v>
      </c>
      <c r="AD62" s="8">
        <v>88.673754751566406</v>
      </c>
      <c r="AE62" s="9">
        <v>-1.0439297207533E-3</v>
      </c>
      <c r="AF62" s="9">
        <v>-1.13303021657709E-4</v>
      </c>
      <c r="AG62" s="9">
        <v>-2.95931589899932E-4</v>
      </c>
      <c r="AZ62" s="9"/>
      <c r="BB62">
        <f t="shared" si="2"/>
        <v>0</v>
      </c>
      <c r="BC62">
        <f t="shared" si="3"/>
        <v>0</v>
      </c>
      <c r="BD62">
        <f t="shared" si="4"/>
        <v>0</v>
      </c>
      <c r="BE62">
        <f t="shared" si="0"/>
        <v>1</v>
      </c>
      <c r="BF62">
        <f t="shared" si="5"/>
        <v>0</v>
      </c>
      <c r="BG62" s="9">
        <f t="shared" si="6"/>
        <v>0</v>
      </c>
      <c r="BH62" s="9">
        <f t="shared" si="7"/>
        <v>0</v>
      </c>
      <c r="BI62" s="9">
        <f t="shared" si="8"/>
        <v>0</v>
      </c>
      <c r="BJ62" s="12">
        <f t="shared" si="9"/>
        <v>2.149051912591079E-3</v>
      </c>
      <c r="BL62" s="9"/>
      <c r="BN62">
        <f t="shared" si="10"/>
        <v>0</v>
      </c>
      <c r="BO62">
        <f t="shared" si="11"/>
        <v>1</v>
      </c>
      <c r="BP62">
        <f t="shared" si="12"/>
        <v>0</v>
      </c>
      <c r="BQ62">
        <f t="shared" si="1"/>
        <v>1</v>
      </c>
      <c r="BR62">
        <f t="shared" si="13"/>
        <v>0</v>
      </c>
      <c r="BS62" s="9">
        <f t="shared" si="14"/>
        <v>0</v>
      </c>
      <c r="BT62" s="9">
        <f t="shared" si="15"/>
        <v>0</v>
      </c>
      <c r="BU62" s="9">
        <f t="shared" si="16"/>
        <v>0</v>
      </c>
      <c r="BV62" s="12">
        <f t="shared" si="17"/>
        <v>0</v>
      </c>
      <c r="BX62" s="12">
        <f t="shared" si="18"/>
        <v>0</v>
      </c>
      <c r="BY62" s="12">
        <f t="shared" si="19"/>
        <v>2.149051912591079E-3</v>
      </c>
    </row>
    <row r="63" spans="1:77" x14ac:dyDescent="0.3">
      <c r="A63" s="1">
        <v>46113</v>
      </c>
      <c r="B63" s="8">
        <v>27</v>
      </c>
      <c r="C63" s="8">
        <v>89.02</v>
      </c>
      <c r="D63" s="9">
        <v>3.3389012655146298E-3</v>
      </c>
      <c r="E63" s="9">
        <v>3.60117427217431E-3</v>
      </c>
      <c r="F63" s="8">
        <v>0</v>
      </c>
      <c r="G63" s="8">
        <v>0.25</v>
      </c>
      <c r="H63" s="8">
        <v>0</v>
      </c>
      <c r="I63" s="8">
        <v>0.94569999999999999</v>
      </c>
      <c r="J63" s="8">
        <v>0</v>
      </c>
      <c r="K63" s="8">
        <v>0</v>
      </c>
      <c r="L63" s="8">
        <v>27</v>
      </c>
      <c r="M63" s="8">
        <v>89.02</v>
      </c>
      <c r="N63" s="10">
        <v>3.2970370370370299</v>
      </c>
      <c r="O63" s="10">
        <v>3.2936632097661298</v>
      </c>
      <c r="P63" s="10">
        <v>3.30126442232593</v>
      </c>
      <c r="Q63" s="10">
        <v>3.2985274557622</v>
      </c>
      <c r="R63" s="8">
        <v>88.928906663685495</v>
      </c>
      <c r="S63" s="8">
        <v>89.144271491816596</v>
      </c>
      <c r="T63" s="8">
        <v>89.0552599198504</v>
      </c>
      <c r="U63" s="9">
        <v>-1.02381459913737E-3</v>
      </c>
      <c r="V63" s="9">
        <v>1.3950216946381701E-3</v>
      </c>
      <c r="W63" s="9">
        <v>3.96011442882555E-4</v>
      </c>
      <c r="X63" s="10">
        <v>3.2970370370370299</v>
      </c>
      <c r="Y63" s="10">
        <v>3.2927332496881698</v>
      </c>
      <c r="Z63" s="10">
        <v>3.2951010534778198</v>
      </c>
      <c r="AA63" s="10">
        <v>3.29544577133814</v>
      </c>
      <c r="AB63" s="8">
        <v>88.903797741580803</v>
      </c>
      <c r="AC63" s="8">
        <v>88.977860532917603</v>
      </c>
      <c r="AD63" s="8">
        <v>88.972054440400896</v>
      </c>
      <c r="AE63" s="9">
        <v>-1.30620272741302E-3</v>
      </c>
      <c r="AF63" s="9">
        <v>-4.73482858090716E-4</v>
      </c>
      <c r="AG63" s="9">
        <v>-5.3873821401075397E-4</v>
      </c>
      <c r="AZ63" s="9"/>
      <c r="BB63">
        <f t="shared" si="2"/>
        <v>0</v>
      </c>
      <c r="BC63">
        <f t="shared" si="3"/>
        <v>0</v>
      </c>
      <c r="BD63">
        <f t="shared" si="4"/>
        <v>0</v>
      </c>
      <c r="BE63">
        <f t="shared" si="0"/>
        <v>1</v>
      </c>
      <c r="BF63">
        <f t="shared" si="5"/>
        <v>0</v>
      </c>
      <c r="BG63" s="9">
        <f t="shared" si="6"/>
        <v>0</v>
      </c>
      <c r="BH63" s="9">
        <f t="shared" si="7"/>
        <v>0</v>
      </c>
      <c r="BI63" s="9">
        <f t="shared" si="8"/>
        <v>0</v>
      </c>
      <c r="BJ63" s="12">
        <f t="shared" si="9"/>
        <v>2.149051912591079E-3</v>
      </c>
      <c r="BL63" s="9"/>
      <c r="BN63">
        <f t="shared" si="10"/>
        <v>0</v>
      </c>
      <c r="BO63">
        <f t="shared" si="11"/>
        <v>1</v>
      </c>
      <c r="BP63">
        <f t="shared" si="12"/>
        <v>0</v>
      </c>
      <c r="BQ63">
        <f t="shared" si="1"/>
        <v>1</v>
      </c>
      <c r="BR63">
        <f t="shared" si="13"/>
        <v>0</v>
      </c>
      <c r="BS63" s="9">
        <f t="shared" si="14"/>
        <v>0</v>
      </c>
      <c r="BT63" s="9">
        <f t="shared" si="15"/>
        <v>0</v>
      </c>
      <c r="BU63" s="9">
        <f t="shared" si="16"/>
        <v>0</v>
      </c>
      <c r="BV63" s="12">
        <f t="shared" si="17"/>
        <v>0</v>
      </c>
      <c r="BX63" s="12">
        <f t="shared" si="18"/>
        <v>0</v>
      </c>
      <c r="BY63" s="12">
        <f t="shared" si="19"/>
        <v>2.149051912591079E-3</v>
      </c>
    </row>
    <row r="64" spans="1:77" x14ac:dyDescent="0.3">
      <c r="A64" s="1">
        <v>46114</v>
      </c>
      <c r="B64" s="8">
        <v>27.39</v>
      </c>
      <c r="C64" s="8">
        <v>90.23</v>
      </c>
      <c r="D64" s="9">
        <v>1.43411172706577E-2</v>
      </c>
      <c r="E64" s="9">
        <v>1.35009024187011E-2</v>
      </c>
      <c r="F64" s="8">
        <v>0</v>
      </c>
      <c r="G64" s="8">
        <v>0.25</v>
      </c>
      <c r="H64" s="8">
        <v>0</v>
      </c>
      <c r="I64" s="8">
        <v>0.94569999999999999</v>
      </c>
      <c r="J64" s="8">
        <v>0</v>
      </c>
      <c r="K64" s="8">
        <v>0</v>
      </c>
      <c r="L64" s="8">
        <v>27.39</v>
      </c>
      <c r="M64" s="8">
        <v>90.23</v>
      </c>
      <c r="N64" s="10">
        <v>3.29426798101496</v>
      </c>
      <c r="O64" s="10">
        <v>3.2936632097661298</v>
      </c>
      <c r="P64" s="10">
        <v>3.3011122351809301</v>
      </c>
      <c r="Q64" s="10">
        <v>3.2987538982912099</v>
      </c>
      <c r="R64" s="8">
        <v>90.213435315494294</v>
      </c>
      <c r="S64" s="8">
        <v>90.421632527507199</v>
      </c>
      <c r="T64" s="8">
        <v>90.346667013326694</v>
      </c>
      <c r="U64" s="9">
        <v>-1.83599747180873E-4</v>
      </c>
      <c r="V64" s="9">
        <v>2.1215706352086098E-3</v>
      </c>
      <c r="W64" s="9">
        <v>1.29216062616984E-3</v>
      </c>
      <c r="X64" s="10">
        <v>3.29426798101496</v>
      </c>
      <c r="Y64" s="10">
        <v>3.2927332496881698</v>
      </c>
      <c r="Z64" s="10">
        <v>3.2949488663328199</v>
      </c>
      <c r="AA64" s="10">
        <v>3.2956722138671499</v>
      </c>
      <c r="AB64" s="8">
        <v>90.187963708959202</v>
      </c>
      <c r="AC64" s="8">
        <v>90.252817854757495</v>
      </c>
      <c r="AD64" s="8">
        <v>90.262259676951899</v>
      </c>
      <c r="AE64" s="9">
        <v>-4.6598787545653198E-4</v>
      </c>
      <c r="AF64" s="9">
        <v>2.5285348655696701E-4</v>
      </c>
      <c r="AG64" s="9">
        <v>3.5746327685341701E-4</v>
      </c>
      <c r="AZ64" s="9"/>
      <c r="BB64">
        <f t="shared" si="2"/>
        <v>0</v>
      </c>
      <c r="BC64">
        <f t="shared" si="3"/>
        <v>1</v>
      </c>
      <c r="BD64">
        <f t="shared" si="4"/>
        <v>0</v>
      </c>
      <c r="BE64">
        <f t="shared" si="0"/>
        <v>1</v>
      </c>
      <c r="BF64">
        <f t="shared" si="5"/>
        <v>0</v>
      </c>
      <c r="BG64" s="9">
        <f t="shared" si="6"/>
        <v>0</v>
      </c>
      <c r="BH64" s="9">
        <f t="shared" si="7"/>
        <v>0</v>
      </c>
      <c r="BI64" s="9">
        <f t="shared" si="8"/>
        <v>0</v>
      </c>
      <c r="BJ64" s="12">
        <f t="shared" si="9"/>
        <v>2.149051912591079E-3</v>
      </c>
      <c r="BL64" s="9"/>
      <c r="BN64">
        <f t="shared" si="10"/>
        <v>0</v>
      </c>
      <c r="BO64">
        <f t="shared" si="11"/>
        <v>0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0</v>
      </c>
      <c r="BX64" s="12">
        <f t="shared" si="18"/>
        <v>0</v>
      </c>
      <c r="BY64" s="12">
        <f t="shared" si="19"/>
        <v>2.149051912591079E-3</v>
      </c>
    </row>
    <row r="65" spans="1:77" x14ac:dyDescent="0.3">
      <c r="A65" s="1">
        <v>46118</v>
      </c>
      <c r="B65" s="8">
        <v>27.42</v>
      </c>
      <c r="C65" s="8">
        <v>90.36</v>
      </c>
      <c r="D65" s="9">
        <v>1.09469085918157E-3</v>
      </c>
      <c r="E65" s="9">
        <v>1.43972559339314E-3</v>
      </c>
      <c r="F65" s="8">
        <v>0</v>
      </c>
      <c r="G65" s="8">
        <v>0.25</v>
      </c>
      <c r="H65" s="8">
        <v>0</v>
      </c>
      <c r="I65" s="8">
        <v>0.94569999999999999</v>
      </c>
      <c r="J65" s="8">
        <v>0</v>
      </c>
      <c r="K65" s="8">
        <v>0</v>
      </c>
      <c r="L65" s="8">
        <v>27.42</v>
      </c>
      <c r="M65" s="8">
        <v>90.36</v>
      </c>
      <c r="N65" s="10">
        <v>3.2954048140043701</v>
      </c>
      <c r="O65" s="10">
        <v>3.2936632097661298</v>
      </c>
      <c r="P65" s="10">
        <v>3.29775699265039</v>
      </c>
      <c r="Q65" s="10">
        <v>3.2988234347660801</v>
      </c>
      <c r="R65" s="8">
        <v>90.3122452117873</v>
      </c>
      <c r="S65" s="8">
        <v>90.516497488661301</v>
      </c>
      <c r="T65" s="8">
        <v>90.451831891145005</v>
      </c>
      <c r="U65" s="9">
        <v>-5.2863448139240602E-4</v>
      </c>
      <c r="V65" s="9">
        <v>1.73043518517428E-3</v>
      </c>
      <c r="W65" s="9">
        <v>1.01577311706398E-3</v>
      </c>
      <c r="X65" s="10">
        <v>3.2954048140043701</v>
      </c>
      <c r="Y65" s="10">
        <v>3.2927332496881698</v>
      </c>
      <c r="Z65" s="10">
        <v>3.2946863005389102</v>
      </c>
      <c r="AA65" s="10">
        <v>3.2957417503420201</v>
      </c>
      <c r="AB65" s="8">
        <v>90.286745706449807</v>
      </c>
      <c r="AC65" s="8">
        <v>90.347497914846102</v>
      </c>
      <c r="AD65" s="8">
        <v>90.367332104237406</v>
      </c>
      <c r="AE65" s="9">
        <v>-8.1102260966809205E-4</v>
      </c>
      <c r="AF65" s="9">
        <v>-1.38368195211659E-4</v>
      </c>
      <c r="AG65" s="9">
        <v>8.1139959917905197E-5</v>
      </c>
      <c r="AZ65" s="9"/>
      <c r="BB65">
        <f t="shared" si="2"/>
        <v>0</v>
      </c>
      <c r="BC65">
        <f t="shared" si="3"/>
        <v>1</v>
      </c>
      <c r="BD65">
        <f t="shared" si="4"/>
        <v>0</v>
      </c>
      <c r="BE65">
        <f t="shared" si="0"/>
        <v>1</v>
      </c>
      <c r="BF65">
        <f t="shared" si="5"/>
        <v>0</v>
      </c>
      <c r="BG65" s="9">
        <f t="shared" si="6"/>
        <v>0</v>
      </c>
      <c r="BH65" s="9">
        <f t="shared" si="7"/>
        <v>0</v>
      </c>
      <c r="BI65" s="9">
        <f t="shared" si="8"/>
        <v>0</v>
      </c>
      <c r="BJ65" s="12">
        <f t="shared" si="9"/>
        <v>2.149051912591079E-3</v>
      </c>
      <c r="BL65" s="9"/>
      <c r="BN65">
        <f t="shared" si="10"/>
        <v>0</v>
      </c>
      <c r="BO65">
        <f t="shared" si="11"/>
        <v>0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0</v>
      </c>
      <c r="BX65" s="12">
        <f t="shared" si="18"/>
        <v>0</v>
      </c>
      <c r="BY65" s="12">
        <f t="shared" si="19"/>
        <v>2.149051912591079E-3</v>
      </c>
    </row>
    <row r="66" spans="1:77" x14ac:dyDescent="0.3">
      <c r="A66" s="1">
        <v>46119</v>
      </c>
      <c r="B66" s="8">
        <v>27.46</v>
      </c>
      <c r="C66" s="8">
        <v>90.49</v>
      </c>
      <c r="D66" s="9">
        <v>1.45772620565656E-3</v>
      </c>
      <c r="E66" s="9">
        <v>1.4376557632392001E-3</v>
      </c>
      <c r="F66" s="8">
        <v>0</v>
      </c>
      <c r="G66" s="8">
        <v>0.25</v>
      </c>
      <c r="H66" s="8">
        <v>0</v>
      </c>
      <c r="I66" s="8">
        <v>0.94569999999999999</v>
      </c>
      <c r="J66" s="8">
        <v>0</v>
      </c>
      <c r="K66" s="8">
        <v>0</v>
      </c>
      <c r="L66" s="8">
        <v>27.46</v>
      </c>
      <c r="M66" s="8">
        <v>90.49</v>
      </c>
      <c r="N66" s="10">
        <v>3.29533867443554</v>
      </c>
      <c r="O66" s="10">
        <v>3.2936632097661298</v>
      </c>
      <c r="P66" s="10">
        <v>3.2943050075250699</v>
      </c>
      <c r="Q66" s="10">
        <v>3.2989258093027498</v>
      </c>
      <c r="R66" s="8">
        <v>90.443991740177907</v>
      </c>
      <c r="S66" s="8">
        <v>90.556407018179698</v>
      </c>
      <c r="T66" s="8">
        <v>90.585691518676498</v>
      </c>
      <c r="U66" s="9">
        <v>-5.0856403897501102E-4</v>
      </c>
      <c r="V66" s="9">
        <v>7.3359115214284803E-4</v>
      </c>
      <c r="W66" s="9">
        <v>1.05692295616249E-3</v>
      </c>
      <c r="X66" s="10">
        <v>3.29533867443554</v>
      </c>
      <c r="Y66" s="10">
        <v>3.2927332496881698</v>
      </c>
      <c r="Z66" s="10">
        <v>3.2943050075250699</v>
      </c>
      <c r="AA66" s="10">
        <v>3.2958441248786898</v>
      </c>
      <c r="AB66" s="8">
        <v>90.418455036437294</v>
      </c>
      <c r="AC66" s="8">
        <v>90.472085812798497</v>
      </c>
      <c r="AD66" s="8">
        <v>90.501068464391906</v>
      </c>
      <c r="AE66" s="9">
        <v>-7.9095216725070497E-4</v>
      </c>
      <c r="AF66" s="9">
        <v>-1.9798829328822001E-4</v>
      </c>
      <c r="AG66" s="9">
        <v>1.2230950952125499E-4</v>
      </c>
      <c r="AZ66" s="9"/>
      <c r="BB66">
        <f t="shared" si="2"/>
        <v>0</v>
      </c>
      <c r="BC66">
        <f t="shared" si="3"/>
        <v>1</v>
      </c>
      <c r="BD66">
        <f t="shared" si="4"/>
        <v>0</v>
      </c>
      <c r="BE66">
        <f t="shared" si="0"/>
        <v>1</v>
      </c>
      <c r="BF66">
        <f t="shared" si="5"/>
        <v>0</v>
      </c>
      <c r="BG66" s="9">
        <f t="shared" si="6"/>
        <v>0</v>
      </c>
      <c r="BH66" s="9">
        <f t="shared" si="7"/>
        <v>0</v>
      </c>
      <c r="BI66" s="9">
        <f t="shared" si="8"/>
        <v>0</v>
      </c>
      <c r="BJ66" s="12">
        <f t="shared" si="9"/>
        <v>2.149051912591079E-3</v>
      </c>
      <c r="BL66" s="9"/>
      <c r="BN66">
        <f t="shared" si="10"/>
        <v>0</v>
      </c>
      <c r="BO66">
        <f t="shared" si="11"/>
        <v>0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0</v>
      </c>
      <c r="BX66" s="12">
        <f t="shared" si="18"/>
        <v>0</v>
      </c>
      <c r="BY66" s="12">
        <f t="shared" si="19"/>
        <v>2.149051912591079E-3</v>
      </c>
    </row>
    <row r="67" spans="1:77" x14ac:dyDescent="0.3">
      <c r="A67" s="1">
        <v>46120</v>
      </c>
      <c r="B67" s="8">
        <v>27.96</v>
      </c>
      <c r="C67" s="8">
        <v>92.12</v>
      </c>
      <c r="D67" s="9">
        <v>1.8044517025784499E-2</v>
      </c>
      <c r="E67" s="9">
        <v>1.7852727589442601E-2</v>
      </c>
      <c r="F67" s="8">
        <v>0</v>
      </c>
      <c r="G67" s="8">
        <v>0.25</v>
      </c>
      <c r="H67" s="8">
        <v>0</v>
      </c>
      <c r="I67" s="8">
        <v>0.94569999999999999</v>
      </c>
      <c r="J67" s="8">
        <v>0</v>
      </c>
      <c r="K67" s="8">
        <v>0</v>
      </c>
      <c r="L67" s="8">
        <v>27.96</v>
      </c>
      <c r="M67" s="8">
        <v>92.12</v>
      </c>
      <c r="N67" s="10">
        <v>3.2947067238912702</v>
      </c>
      <c r="O67" s="10">
        <v>3.2936632097661298</v>
      </c>
      <c r="P67" s="10">
        <v>3.2944013824245002</v>
      </c>
      <c r="Q67" s="10">
        <v>3.29895319335093</v>
      </c>
      <c r="R67" s="8">
        <v>92.090823345060997</v>
      </c>
      <c r="S67" s="8">
        <v>92.108768010400894</v>
      </c>
      <c r="T67" s="8">
        <v>92.237965628104902</v>
      </c>
      <c r="U67" s="9">
        <v>-3.1677460263320102E-4</v>
      </c>
      <c r="V67" s="9">
        <v>-1.21935240996789E-4</v>
      </c>
      <c r="W67" s="9">
        <v>1.27974556242075E-3</v>
      </c>
      <c r="X67" s="10">
        <v>3.2947067238912702</v>
      </c>
      <c r="Y67" s="10">
        <v>3.2927332496881698</v>
      </c>
      <c r="Z67" s="10">
        <v>3.2944013824245002</v>
      </c>
      <c r="AA67" s="10">
        <v>3.2958715089268802</v>
      </c>
      <c r="AB67" s="8">
        <v>92.0648216612814</v>
      </c>
      <c r="AC67" s="8">
        <v>92.108768010400894</v>
      </c>
      <c r="AD67" s="8">
        <v>92.151801731608302</v>
      </c>
      <c r="AE67" s="9">
        <v>-5.9916273090887496E-4</v>
      </c>
      <c r="AF67" s="9">
        <v>-1.21935240996789E-4</v>
      </c>
      <c r="AG67" s="9">
        <v>3.4516113290451299E-4</v>
      </c>
      <c r="AZ67" s="9"/>
      <c r="BB67">
        <f t="shared" si="2"/>
        <v>0</v>
      </c>
      <c r="BC67">
        <f t="shared" si="3"/>
        <v>1</v>
      </c>
      <c r="BD67">
        <f t="shared" si="4"/>
        <v>0</v>
      </c>
      <c r="BE67">
        <f t="shared" si="0"/>
        <v>1</v>
      </c>
      <c r="BF67">
        <f t="shared" si="5"/>
        <v>0</v>
      </c>
      <c r="BG67" s="9">
        <f t="shared" si="6"/>
        <v>0</v>
      </c>
      <c r="BH67" s="9">
        <f t="shared" si="7"/>
        <v>0</v>
      </c>
      <c r="BI67" s="9">
        <f t="shared" si="8"/>
        <v>0</v>
      </c>
      <c r="BJ67" s="12">
        <f t="shared" si="9"/>
        <v>2.149051912591079E-3</v>
      </c>
      <c r="BL67" s="9"/>
      <c r="BN67">
        <f t="shared" si="10"/>
        <v>0</v>
      </c>
      <c r="BO67">
        <f t="shared" si="11"/>
        <v>0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0</v>
      </c>
      <c r="BX67" s="12">
        <f t="shared" si="18"/>
        <v>0</v>
      </c>
      <c r="BY67" s="12">
        <f t="shared" si="19"/>
        <v>2.149051912591079E-3</v>
      </c>
    </row>
    <row r="68" spans="1:77" x14ac:dyDescent="0.3">
      <c r="A68" s="1">
        <v>46121</v>
      </c>
      <c r="B68" s="8">
        <v>28.16</v>
      </c>
      <c r="C68" s="8">
        <v>92.78</v>
      </c>
      <c r="D68" s="9">
        <v>7.1276139242321401E-3</v>
      </c>
      <c r="E68" s="9">
        <v>7.1390243711132E-3</v>
      </c>
      <c r="F68" s="8">
        <v>0</v>
      </c>
      <c r="G68" s="8">
        <v>0.25</v>
      </c>
      <c r="H68" s="8">
        <v>0</v>
      </c>
      <c r="I68" s="8">
        <v>0.94569999999999999</v>
      </c>
      <c r="J68" s="8">
        <v>0</v>
      </c>
      <c r="K68" s="8">
        <v>0</v>
      </c>
      <c r="L68" s="8">
        <v>28.16</v>
      </c>
      <c r="M68" s="8">
        <v>92.78</v>
      </c>
      <c r="N68" s="10">
        <v>3.2947443181818099</v>
      </c>
      <c r="O68" s="10">
        <v>3.2936632097661298</v>
      </c>
      <c r="P68" s="10">
        <v>3.2945169840964499</v>
      </c>
      <c r="Q68" s="10">
        <v>3.2988914053468301</v>
      </c>
      <c r="R68" s="8">
        <v>92.749555987014205</v>
      </c>
      <c r="S68" s="8">
        <v>92.770342929073905</v>
      </c>
      <c r="T68" s="8">
        <v>92.898521924762406</v>
      </c>
      <c r="U68" s="9">
        <v>-3.2818504951422198E-4</v>
      </c>
      <c r="V68" s="9">
        <v>-1.0409111384331701E-4</v>
      </c>
      <c r="W68" s="9">
        <v>1.2766359795527999E-3</v>
      </c>
      <c r="X68" s="10">
        <v>3.2947443181818099</v>
      </c>
      <c r="Y68" s="10">
        <v>3.2927332496881698</v>
      </c>
      <c r="Z68" s="10">
        <v>3.2945169840964499</v>
      </c>
      <c r="AA68" s="10">
        <v>3.2958097209227701</v>
      </c>
      <c r="AB68" s="8">
        <v>92.723368311219104</v>
      </c>
      <c r="AC68" s="8">
        <v>92.770342929073905</v>
      </c>
      <c r="AD68" s="8">
        <v>92.811741691381002</v>
      </c>
      <c r="AE68" s="9">
        <v>-6.1057317778989695E-4</v>
      </c>
      <c r="AF68" s="9">
        <v>-1.0409111384331701E-4</v>
      </c>
      <c r="AG68" s="9">
        <v>3.4205931148907599E-4</v>
      </c>
      <c r="AZ68" s="9"/>
      <c r="BB68">
        <f t="shared" si="2"/>
        <v>0</v>
      </c>
      <c r="BC68">
        <f t="shared" si="3"/>
        <v>1</v>
      </c>
      <c r="BD68">
        <f t="shared" si="4"/>
        <v>0</v>
      </c>
      <c r="BE68">
        <f t="shared" si="0"/>
        <v>1</v>
      </c>
      <c r="BF68">
        <f t="shared" si="5"/>
        <v>0</v>
      </c>
      <c r="BG68" s="9">
        <f t="shared" si="6"/>
        <v>0</v>
      </c>
      <c r="BH68" s="9">
        <f t="shared" si="7"/>
        <v>0</v>
      </c>
      <c r="BI68" s="9">
        <f t="shared" si="8"/>
        <v>0</v>
      </c>
      <c r="BJ68" s="12">
        <f t="shared" si="9"/>
        <v>2.149051912591079E-3</v>
      </c>
      <c r="BL68" s="9"/>
      <c r="BN68">
        <f t="shared" si="10"/>
        <v>0</v>
      </c>
      <c r="BO68">
        <f t="shared" si="11"/>
        <v>0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0</v>
      </c>
      <c r="BX68" s="12">
        <f t="shared" si="18"/>
        <v>0</v>
      </c>
      <c r="BY68" s="12">
        <f t="shared" si="19"/>
        <v>2.149051912591079E-3</v>
      </c>
    </row>
    <row r="69" spans="1:77" x14ac:dyDescent="0.3">
      <c r="A69" s="1">
        <v>46122</v>
      </c>
      <c r="B69" s="8">
        <v>28.23</v>
      </c>
      <c r="C69" s="8">
        <v>92.98</v>
      </c>
      <c r="D69" s="9">
        <v>2.4827109755562599E-3</v>
      </c>
      <c r="E69" s="9">
        <v>2.1533169388410298E-3</v>
      </c>
      <c r="F69" s="8">
        <v>0</v>
      </c>
      <c r="G69" s="8">
        <v>0.25</v>
      </c>
      <c r="H69" s="8">
        <v>0</v>
      </c>
      <c r="I69" s="8">
        <v>0.94569999999999999</v>
      </c>
      <c r="J69" s="8">
        <v>0</v>
      </c>
      <c r="K69" s="8">
        <v>0</v>
      </c>
      <c r="L69" s="8">
        <v>28.23</v>
      </c>
      <c r="M69" s="8">
        <v>92.98</v>
      </c>
      <c r="N69" s="10">
        <v>3.2936592277718701</v>
      </c>
      <c r="O69" s="10">
        <v>3.2936632097661298</v>
      </c>
      <c r="P69" s="10">
        <v>3.29460362759436</v>
      </c>
      <c r="Q69" s="10">
        <v>3.2988000114345599</v>
      </c>
      <c r="R69" s="8">
        <v>92.980112411697903</v>
      </c>
      <c r="S69" s="8">
        <v>93.004214461042807</v>
      </c>
      <c r="T69" s="8">
        <v>93.127704372940997</v>
      </c>
      <c r="U69" s="9">
        <v>1.20898720094139E-6</v>
      </c>
      <c r="V69" s="9">
        <v>2.6039264944950798E-4</v>
      </c>
      <c r="W69" s="9">
        <v>1.5873002619716001E-3</v>
      </c>
      <c r="X69" s="10">
        <v>3.2936592277718701</v>
      </c>
      <c r="Y69" s="10">
        <v>3.2927332496881698</v>
      </c>
      <c r="Z69" s="10">
        <v>3.29460362759436</v>
      </c>
      <c r="AA69" s="10">
        <v>3.2957183270104999</v>
      </c>
      <c r="AB69" s="8">
        <v>92.953859638697196</v>
      </c>
      <c r="AC69" s="8">
        <v>93.004214461042807</v>
      </c>
      <c r="AD69" s="8">
        <v>93.040708421649896</v>
      </c>
      <c r="AE69" s="9">
        <v>-2.8117914107470498E-4</v>
      </c>
      <c r="AF69" s="9">
        <v>2.6039264944950798E-4</v>
      </c>
      <c r="AG69" s="9">
        <v>6.5270608117034895E-4</v>
      </c>
      <c r="AZ69" s="9"/>
      <c r="BB69">
        <f t="shared" si="2"/>
        <v>0</v>
      </c>
      <c r="BC69">
        <f t="shared" si="3"/>
        <v>1</v>
      </c>
      <c r="BD69">
        <f t="shared" si="4"/>
        <v>0</v>
      </c>
      <c r="BE69">
        <f t="shared" si="0"/>
        <v>1</v>
      </c>
      <c r="BF69">
        <f t="shared" si="5"/>
        <v>0</v>
      </c>
      <c r="BG69" s="9">
        <f t="shared" si="6"/>
        <v>0</v>
      </c>
      <c r="BH69" s="9">
        <f t="shared" si="7"/>
        <v>0</v>
      </c>
      <c r="BI69" s="9">
        <f t="shared" si="8"/>
        <v>0</v>
      </c>
      <c r="BJ69" s="12">
        <f t="shared" si="9"/>
        <v>2.149051912591079E-3</v>
      </c>
      <c r="BL69" s="9"/>
      <c r="BN69">
        <f t="shared" si="10"/>
        <v>0</v>
      </c>
      <c r="BO69">
        <f t="shared" si="11"/>
        <v>0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0</v>
      </c>
      <c r="BX69" s="12">
        <f t="shared" si="18"/>
        <v>0</v>
      </c>
      <c r="BY69" s="12">
        <f t="shared" si="19"/>
        <v>2.149051912591079E-3</v>
      </c>
    </row>
    <row r="70" spans="1:77" x14ac:dyDescent="0.3">
      <c r="A70" s="1">
        <v>46125</v>
      </c>
      <c r="B70" s="8">
        <v>28.34</v>
      </c>
      <c r="C70" s="8">
        <v>93.33</v>
      </c>
      <c r="D70" s="9">
        <v>3.8889919971362898E-3</v>
      </c>
      <c r="E70" s="9">
        <v>3.75718331521665E-3</v>
      </c>
      <c r="F70" s="8">
        <v>0</v>
      </c>
      <c r="G70" s="8">
        <v>0.25</v>
      </c>
      <c r="H70" s="8">
        <v>0</v>
      </c>
      <c r="I70" s="8">
        <v>0.94569999999999999</v>
      </c>
      <c r="J70" s="8">
        <v>0</v>
      </c>
      <c r="K70" s="8">
        <v>0</v>
      </c>
      <c r="L70" s="8">
        <v>28.34</v>
      </c>
      <c r="M70" s="8">
        <v>93.33</v>
      </c>
      <c r="N70" s="10">
        <v>3.29322512350035</v>
      </c>
      <c r="O70" s="10">
        <v>3.2936632097661298</v>
      </c>
      <c r="P70" s="10">
        <v>3.2946301520564298</v>
      </c>
      <c r="Q70" s="10">
        <v>3.298595435767</v>
      </c>
      <c r="R70" s="8">
        <v>93.342415364772094</v>
      </c>
      <c r="S70" s="8">
        <v>93.369066806024094</v>
      </c>
      <c r="T70" s="8">
        <v>93.487992324055497</v>
      </c>
      <c r="U70" s="9">
        <v>1.3301766912084099E-4</v>
      </c>
      <c r="V70" s="9">
        <v>4.1850028779145601E-4</v>
      </c>
      <c r="W70" s="9">
        <v>1.6914041282222699E-3</v>
      </c>
      <c r="X70" s="10">
        <v>3.29322512350035</v>
      </c>
      <c r="Y70" s="10">
        <v>3.2927332496881698</v>
      </c>
      <c r="Z70" s="10">
        <v>3.2946301520564298</v>
      </c>
      <c r="AA70" s="10">
        <v>3.2955137513429502</v>
      </c>
      <c r="AB70" s="8">
        <v>93.316060296162902</v>
      </c>
      <c r="AC70" s="8">
        <v>93.369066806024094</v>
      </c>
      <c r="AD70" s="8">
        <v>93.400657387477807</v>
      </c>
      <c r="AE70" s="9">
        <v>-1.4937045915482599E-4</v>
      </c>
      <c r="AF70" s="9">
        <v>4.1850028779145601E-4</v>
      </c>
      <c r="AG70" s="9">
        <v>7.56784042199026E-4</v>
      </c>
      <c r="AZ70" s="9"/>
      <c r="BB70">
        <f t="shared" si="2"/>
        <v>0</v>
      </c>
      <c r="BC70">
        <f t="shared" si="3"/>
        <v>1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2.149051912591079E-3</v>
      </c>
      <c r="BL70" s="9"/>
      <c r="BN70">
        <f t="shared" si="10"/>
        <v>0</v>
      </c>
      <c r="BO70">
        <f t="shared" si="11"/>
        <v>0</v>
      </c>
      <c r="BP70">
        <f t="shared" si="12"/>
        <v>0</v>
      </c>
      <c r="BQ70">
        <f t="shared" si="1"/>
        <v>1</v>
      </c>
      <c r="BR70">
        <f t="shared" si="13"/>
        <v>0</v>
      </c>
      <c r="BS70" s="9">
        <f t="shared" si="14"/>
        <v>0</v>
      </c>
      <c r="BT70" s="9">
        <f t="shared" si="15"/>
        <v>0</v>
      </c>
      <c r="BU70" s="9">
        <f t="shared" si="16"/>
        <v>0</v>
      </c>
      <c r="BV70" s="12">
        <f t="shared" si="17"/>
        <v>0</v>
      </c>
      <c r="BX70" s="12">
        <f t="shared" si="18"/>
        <v>0</v>
      </c>
      <c r="BY70" s="12">
        <f t="shared" si="19"/>
        <v>2.149051912591079E-3</v>
      </c>
    </row>
    <row r="71" spans="1:77" x14ac:dyDescent="0.3">
      <c r="A71" s="1">
        <v>46126</v>
      </c>
      <c r="B71" s="8">
        <v>28.59</v>
      </c>
      <c r="C71" s="8">
        <v>94.22</v>
      </c>
      <c r="D71" s="9">
        <v>8.7827720716860298E-3</v>
      </c>
      <c r="E71" s="9">
        <v>9.4908736942397303E-3</v>
      </c>
      <c r="F71" s="8">
        <v>0</v>
      </c>
      <c r="G71" s="8">
        <v>0.25</v>
      </c>
      <c r="H71" s="8">
        <v>0</v>
      </c>
      <c r="I71" s="8">
        <v>0.94569999999999999</v>
      </c>
      <c r="J71" s="8">
        <v>0</v>
      </c>
      <c r="K71" s="8">
        <v>0</v>
      </c>
      <c r="L71" s="8">
        <v>28.59</v>
      </c>
      <c r="M71" s="8">
        <v>94.22</v>
      </c>
      <c r="N71" s="10">
        <v>3.2955578873731999</v>
      </c>
      <c r="O71" s="10">
        <v>3.2936632097661298</v>
      </c>
      <c r="P71" s="10">
        <v>3.2950114213817598</v>
      </c>
      <c r="Q71" s="10">
        <v>3.2984868858489298</v>
      </c>
      <c r="R71" s="8">
        <v>94.165831167213696</v>
      </c>
      <c r="S71" s="8">
        <v>94.193476047293302</v>
      </c>
      <c r="T71" s="8">
        <v>94.306843508578694</v>
      </c>
      <c r="U71" s="9">
        <v>-5.7508395343285697E-4</v>
      </c>
      <c r="V71" s="9">
        <v>-2.8155048607207499E-4</v>
      </c>
      <c r="W71" s="9">
        <v>9.2128540535672896E-4</v>
      </c>
      <c r="X71" s="10">
        <v>3.2955578873731999</v>
      </c>
      <c r="Y71" s="10">
        <v>3.2927332496881698</v>
      </c>
      <c r="Z71" s="10">
        <v>3.2950114213817598</v>
      </c>
      <c r="AA71" s="10">
        <v>3.29540520142488</v>
      </c>
      <c r="AB71" s="8">
        <v>94.139243608585005</v>
      </c>
      <c r="AC71" s="8">
        <v>94.193476047293302</v>
      </c>
      <c r="AD71" s="8">
        <v>94.218738150894893</v>
      </c>
      <c r="AE71" s="9">
        <v>-8.5747208170853595E-4</v>
      </c>
      <c r="AF71" s="9">
        <v>-2.8155048607207499E-4</v>
      </c>
      <c r="AG71" s="9">
        <v>-1.33926719890231E-5</v>
      </c>
      <c r="AZ71" s="9"/>
      <c r="BB71">
        <f t="shared" si="2"/>
        <v>0</v>
      </c>
      <c r="BC71">
        <f t="shared" si="3"/>
        <v>0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2.149051912591079E-3</v>
      </c>
      <c r="BL71" s="9"/>
      <c r="BN71">
        <f t="shared" si="10"/>
        <v>0</v>
      </c>
      <c r="BO71">
        <f t="shared" si="11"/>
        <v>1</v>
      </c>
      <c r="BP71">
        <f t="shared" si="12"/>
        <v>0</v>
      </c>
      <c r="BQ71">
        <f t="shared" si="1"/>
        <v>1</v>
      </c>
      <c r="BR71">
        <f t="shared" si="13"/>
        <v>0</v>
      </c>
      <c r="BS71" s="9">
        <f t="shared" si="14"/>
        <v>0</v>
      </c>
      <c r="BT71" s="9">
        <f t="shared" si="15"/>
        <v>0</v>
      </c>
      <c r="BU71" s="9">
        <f t="shared" si="16"/>
        <v>0</v>
      </c>
      <c r="BV71" s="12">
        <f t="shared" si="17"/>
        <v>0</v>
      </c>
      <c r="BX71" s="12">
        <f t="shared" si="18"/>
        <v>0</v>
      </c>
      <c r="BY71" s="12">
        <f t="shared" si="19"/>
        <v>2.149051912591079E-3</v>
      </c>
    </row>
    <row r="72" spans="1:77" x14ac:dyDescent="0.3">
      <c r="A72" s="1">
        <v>46127</v>
      </c>
      <c r="B72" s="8">
        <v>28.63</v>
      </c>
      <c r="C72" s="8">
        <v>94.29</v>
      </c>
      <c r="D72" s="9">
        <v>1.3981127758031201E-3</v>
      </c>
      <c r="E72" s="9">
        <v>7.4266620569086799E-4</v>
      </c>
      <c r="F72" s="8">
        <v>0</v>
      </c>
      <c r="G72" s="8">
        <v>0.25</v>
      </c>
      <c r="H72" s="8">
        <v>0</v>
      </c>
      <c r="I72" s="8">
        <v>0.94569999999999999</v>
      </c>
      <c r="J72" s="8">
        <v>0</v>
      </c>
      <c r="K72" s="8">
        <v>0</v>
      </c>
      <c r="L72" s="8">
        <v>28.63</v>
      </c>
      <c r="M72" s="8">
        <v>94.29</v>
      </c>
      <c r="N72" s="10">
        <v>3.2933985330073301</v>
      </c>
      <c r="O72" s="10">
        <v>3.2936632097661298</v>
      </c>
      <c r="P72" s="10">
        <v>3.2947340320217702</v>
      </c>
      <c r="Q72" s="10">
        <v>3.2981868584519298</v>
      </c>
      <c r="R72" s="8">
        <v>94.297577695604303</v>
      </c>
      <c r="S72" s="8">
        <v>94.336176994159899</v>
      </c>
      <c r="T72" s="8">
        <v>94.435679541855094</v>
      </c>
      <c r="U72" s="9">
        <v>8.0362616679454505E-5</v>
      </c>
      <c r="V72" s="9">
        <v>4.8961385761259505E-4</v>
      </c>
      <c r="W72" s="9">
        <v>1.5438235129742899E-3</v>
      </c>
      <c r="X72" s="10">
        <v>3.2933985330073301</v>
      </c>
      <c r="Y72" s="10">
        <v>3.2927332496881698</v>
      </c>
      <c r="Z72" s="10">
        <v>3.2947340320217702</v>
      </c>
      <c r="AA72" s="10">
        <v>3.2951051740278801</v>
      </c>
      <c r="AB72" s="8">
        <v>94.270952938572506</v>
      </c>
      <c r="AC72" s="8">
        <v>94.336176994159899</v>
      </c>
      <c r="AD72" s="8">
        <v>94.347450916794401</v>
      </c>
      <c r="AE72" s="9">
        <v>-2.02025511596286E-4</v>
      </c>
      <c r="AF72" s="9">
        <v>4.8961385761281699E-4</v>
      </c>
      <c r="AG72" s="9">
        <v>6.0911466192388605E-4</v>
      </c>
      <c r="AZ72" s="9"/>
      <c r="BB72">
        <f t="shared" si="2"/>
        <v>0</v>
      </c>
      <c r="BC72">
        <f t="shared" si="3"/>
        <v>1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2.149051912591079E-3</v>
      </c>
      <c r="BL72" s="9"/>
      <c r="BN72">
        <f t="shared" si="10"/>
        <v>0</v>
      </c>
      <c r="BO72">
        <f t="shared" si="11"/>
        <v>0</v>
      </c>
      <c r="BP72">
        <f t="shared" si="12"/>
        <v>0</v>
      </c>
      <c r="BQ72">
        <f t="shared" si="1"/>
        <v>1</v>
      </c>
      <c r="BR72">
        <f t="shared" si="13"/>
        <v>0</v>
      </c>
      <c r="BS72" s="9">
        <f t="shared" si="14"/>
        <v>0</v>
      </c>
      <c r="BT72" s="9">
        <f t="shared" si="15"/>
        <v>0</v>
      </c>
      <c r="BU72" s="9">
        <f t="shared" si="16"/>
        <v>0</v>
      </c>
      <c r="BV72" s="12">
        <f t="shared" si="17"/>
        <v>0</v>
      </c>
      <c r="BX72" s="12">
        <f t="shared" si="18"/>
        <v>0</v>
      </c>
      <c r="BY72" s="12">
        <f t="shared" si="19"/>
        <v>2.149051912591079E-3</v>
      </c>
    </row>
    <row r="73" spans="1:77" x14ac:dyDescent="0.3">
      <c r="A73" s="1">
        <v>46128</v>
      </c>
      <c r="B73" s="8">
        <v>28.87</v>
      </c>
      <c r="C73" s="8">
        <v>95.16</v>
      </c>
      <c r="D73" s="9">
        <v>8.3478745648200795E-3</v>
      </c>
      <c r="E73" s="9">
        <v>9.1845459571708692E-3</v>
      </c>
      <c r="F73" s="8">
        <v>0</v>
      </c>
      <c r="G73" s="8">
        <v>0.25</v>
      </c>
      <c r="H73" s="8">
        <v>0</v>
      </c>
      <c r="I73" s="8">
        <v>0.94569999999999999</v>
      </c>
      <c r="J73" s="8">
        <v>0</v>
      </c>
      <c r="K73" s="8">
        <v>0</v>
      </c>
      <c r="L73" s="8">
        <v>28.87</v>
      </c>
      <c r="M73" s="8">
        <v>95.16</v>
      </c>
      <c r="N73" s="10">
        <v>3.29615517838586</v>
      </c>
      <c r="O73" s="10">
        <v>3.2936632097661298</v>
      </c>
      <c r="P73" s="10">
        <v>3.2946458461566599</v>
      </c>
      <c r="Q73" s="10">
        <v>3.2979551342412901</v>
      </c>
      <c r="R73" s="8">
        <v>95.088056865948204</v>
      </c>
      <c r="S73" s="8">
        <v>95.118971504468703</v>
      </c>
      <c r="T73" s="8">
        <v>95.218654603507403</v>
      </c>
      <c r="U73" s="9">
        <v>-7.5630877567141395E-4</v>
      </c>
      <c r="V73" s="9">
        <v>-4.31245721402607E-4</v>
      </c>
      <c r="W73" s="9">
        <v>6.1618888404829598E-4</v>
      </c>
      <c r="X73" s="10">
        <v>3.29615517838586</v>
      </c>
      <c r="Y73" s="10">
        <v>3.2927332496881698</v>
      </c>
      <c r="Z73" s="10">
        <v>3.2946458461566599</v>
      </c>
      <c r="AA73" s="10">
        <v>3.2948734498172398</v>
      </c>
      <c r="AB73" s="8">
        <v>95.061208918497698</v>
      </c>
      <c r="AC73" s="8">
        <v>95.118971504468703</v>
      </c>
      <c r="AD73" s="8">
        <v>95.129686374184999</v>
      </c>
      <c r="AE73" s="9">
        <v>-1.0386969039470101E-3</v>
      </c>
      <c r="AF73" s="9">
        <v>-4.31245721402607E-4</v>
      </c>
      <c r="AG73" s="9">
        <v>-3.1860503476588902E-4</v>
      </c>
      <c r="AZ73" s="9"/>
      <c r="BB73">
        <f t="shared" si="2"/>
        <v>0</v>
      </c>
      <c r="BC73">
        <f t="shared" si="3"/>
        <v>0</v>
      </c>
      <c r="BD73">
        <f t="shared" si="4"/>
        <v>0</v>
      </c>
      <c r="BE73">
        <f t="shared" si="0"/>
        <v>1</v>
      </c>
      <c r="BF73">
        <f t="shared" si="5"/>
        <v>0</v>
      </c>
      <c r="BG73" s="9">
        <f t="shared" si="6"/>
        <v>0</v>
      </c>
      <c r="BH73" s="9">
        <f t="shared" si="7"/>
        <v>0</v>
      </c>
      <c r="BI73" s="9">
        <f t="shared" si="8"/>
        <v>0</v>
      </c>
      <c r="BJ73" s="12">
        <f t="shared" si="9"/>
        <v>2.149051912591079E-3</v>
      </c>
      <c r="BL73" s="9"/>
      <c r="BN73">
        <f t="shared" si="10"/>
        <v>0</v>
      </c>
      <c r="BO73">
        <f t="shared" si="11"/>
        <v>1</v>
      </c>
      <c r="BP73">
        <f t="shared" si="12"/>
        <v>0</v>
      </c>
      <c r="BQ73">
        <f t="shared" si="1"/>
        <v>1</v>
      </c>
      <c r="BR73">
        <f t="shared" si="13"/>
        <v>0</v>
      </c>
      <c r="BS73" s="9">
        <f t="shared" si="14"/>
        <v>0</v>
      </c>
      <c r="BT73" s="9">
        <f t="shared" si="15"/>
        <v>0</v>
      </c>
      <c r="BU73" s="9">
        <f t="shared" si="16"/>
        <v>0</v>
      </c>
      <c r="BV73" s="12">
        <f t="shared" si="17"/>
        <v>0</v>
      </c>
      <c r="BX73" s="12">
        <f t="shared" si="18"/>
        <v>0</v>
      </c>
      <c r="BY73" s="12">
        <f t="shared" si="19"/>
        <v>2.149051912591079E-3</v>
      </c>
    </row>
    <row r="74" spans="1:77" x14ac:dyDescent="0.3">
      <c r="A74" s="1">
        <v>46129</v>
      </c>
      <c r="B74" s="8">
        <v>29.35</v>
      </c>
      <c r="C74" s="8">
        <v>96.68</v>
      </c>
      <c r="D74" s="9">
        <v>1.64895525992616E-2</v>
      </c>
      <c r="E74" s="9">
        <v>1.58468704005254E-2</v>
      </c>
      <c r="F74" s="8">
        <v>0</v>
      </c>
      <c r="G74" s="8">
        <v>0.25</v>
      </c>
      <c r="H74" s="8">
        <v>0</v>
      </c>
      <c r="I74" s="8">
        <v>0.94569999999999999</v>
      </c>
      <c r="J74" s="8">
        <v>0</v>
      </c>
      <c r="K74" s="8">
        <v>0</v>
      </c>
      <c r="L74" s="8">
        <v>29.35</v>
      </c>
      <c r="M74" s="8">
        <v>96.68</v>
      </c>
      <c r="N74" s="10">
        <v>3.2940374787052802</v>
      </c>
      <c r="O74" s="10">
        <v>3.2936632097661298</v>
      </c>
      <c r="P74" s="10">
        <v>3.2946227959256902</v>
      </c>
      <c r="Q74" s="10">
        <v>3.2978675155533099</v>
      </c>
      <c r="R74" s="8">
        <v>96.669015206635905</v>
      </c>
      <c r="S74" s="8">
        <v>96.697855584698004</v>
      </c>
      <c r="T74" s="8">
        <v>96.794983189982005</v>
      </c>
      <c r="U74" s="9">
        <v>-1.1362657693503E-4</v>
      </c>
      <c r="V74" s="9">
        <v>1.84670418386449E-4</v>
      </c>
      <c r="W74" s="9">
        <v>1.1886105544349601E-3</v>
      </c>
      <c r="X74" s="10">
        <v>3.2940374787052802</v>
      </c>
      <c r="Y74" s="10">
        <v>3.2927332496881698</v>
      </c>
      <c r="Z74" s="10">
        <v>3.2946227959256902</v>
      </c>
      <c r="AA74" s="10">
        <v>3.2947858311292499</v>
      </c>
      <c r="AB74" s="8">
        <v>96.641720878347996</v>
      </c>
      <c r="AC74" s="8">
        <v>96.697855584698004</v>
      </c>
      <c r="AD74" s="8">
        <v>96.704535752135996</v>
      </c>
      <c r="AE74" s="9">
        <v>-3.9601470521078498E-4</v>
      </c>
      <c r="AF74" s="9">
        <v>1.8467041838667099E-4</v>
      </c>
      <c r="AG74" s="9">
        <v>2.5375092348788199E-4</v>
      </c>
      <c r="AZ74" s="9"/>
      <c r="BB74">
        <f t="shared" si="2"/>
        <v>0</v>
      </c>
      <c r="BC74">
        <f t="shared" si="3"/>
        <v>1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2.149051912591079E-3</v>
      </c>
      <c r="BL74" s="9"/>
      <c r="BN74">
        <f t="shared" si="10"/>
        <v>0</v>
      </c>
      <c r="BO74">
        <f t="shared" si="11"/>
        <v>0</v>
      </c>
      <c r="BP74">
        <f t="shared" si="12"/>
        <v>0</v>
      </c>
      <c r="BQ74">
        <f t="shared" si="1"/>
        <v>1</v>
      </c>
      <c r="BR74">
        <f t="shared" si="13"/>
        <v>0</v>
      </c>
      <c r="BS74" s="9">
        <f t="shared" si="14"/>
        <v>0</v>
      </c>
      <c r="BT74" s="9">
        <f t="shared" si="15"/>
        <v>0</v>
      </c>
      <c r="BU74" s="9">
        <f t="shared" si="16"/>
        <v>0</v>
      </c>
      <c r="BV74" s="12">
        <f t="shared" si="17"/>
        <v>0</v>
      </c>
      <c r="BX74" s="12">
        <f t="shared" si="18"/>
        <v>0</v>
      </c>
      <c r="BY74" s="12">
        <f t="shared" si="19"/>
        <v>2.149051912591079E-3</v>
      </c>
    </row>
    <row r="75" spans="1:77" x14ac:dyDescent="0.3">
      <c r="A75" s="1">
        <v>46132</v>
      </c>
      <c r="B75" s="8">
        <v>29.45</v>
      </c>
      <c r="C75" s="8">
        <v>97.03</v>
      </c>
      <c r="D75" s="9">
        <v>3.4013638234902601E-3</v>
      </c>
      <c r="E75" s="9">
        <v>3.6136532019257102E-3</v>
      </c>
      <c r="F75" s="8">
        <v>0</v>
      </c>
      <c r="G75" s="8">
        <v>0.25</v>
      </c>
      <c r="H75" s="8">
        <v>0</v>
      </c>
      <c r="I75" s="8">
        <v>0.94569999999999999</v>
      </c>
      <c r="J75" s="8">
        <v>0</v>
      </c>
      <c r="K75" s="8">
        <v>0</v>
      </c>
      <c r="L75" s="8">
        <v>29.45</v>
      </c>
      <c r="M75" s="8">
        <v>97.03</v>
      </c>
      <c r="N75" s="10">
        <v>3.2947368421052601</v>
      </c>
      <c r="O75" s="10">
        <v>3.2936632097661298</v>
      </c>
      <c r="P75" s="10">
        <v>3.2945559987357802</v>
      </c>
      <c r="Q75" s="10">
        <v>3.2961564956930798</v>
      </c>
      <c r="R75" s="8">
        <v>96.998381527612494</v>
      </c>
      <c r="S75" s="8">
        <v>97.026641340011594</v>
      </c>
      <c r="T75" s="8">
        <v>97.122198333045105</v>
      </c>
      <c r="U75" s="9">
        <v>-3.2591595537074001E-4</v>
      </c>
      <c r="V75" s="9">
        <v>-3.4615254242207799E-5</v>
      </c>
      <c r="W75" s="9">
        <v>9.4975324273653303E-4</v>
      </c>
      <c r="X75" s="10">
        <v>3.2947368421052601</v>
      </c>
      <c r="Y75" s="10">
        <v>3.2927332496881698</v>
      </c>
      <c r="Z75" s="10">
        <v>3.2945559987357802</v>
      </c>
      <c r="AA75" s="10">
        <v>3.2946211496373401</v>
      </c>
      <c r="AB75" s="8">
        <v>96.970994203316806</v>
      </c>
      <c r="AC75" s="8">
        <v>97.026641340011594</v>
      </c>
      <c r="AD75" s="8">
        <v>97.031442726756694</v>
      </c>
      <c r="AE75" s="9">
        <v>-6.0830408364636603E-4</v>
      </c>
      <c r="AF75" s="9">
        <v>-3.4615254242207799E-5</v>
      </c>
      <c r="AG75" s="9">
        <v>1.48687625572751E-5</v>
      </c>
      <c r="AZ75" s="9"/>
      <c r="BB75">
        <f t="shared" si="2"/>
        <v>0</v>
      </c>
      <c r="BC75">
        <f t="shared" si="3"/>
        <v>1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2.149051912591079E-3</v>
      </c>
      <c r="BL75" s="9"/>
      <c r="BN75">
        <f t="shared" si="10"/>
        <v>0</v>
      </c>
      <c r="BO75">
        <f t="shared" si="11"/>
        <v>0</v>
      </c>
      <c r="BP75">
        <f t="shared" si="12"/>
        <v>0</v>
      </c>
      <c r="BQ75">
        <f t="shared" si="1"/>
        <v>1</v>
      </c>
      <c r="BR75">
        <f t="shared" si="13"/>
        <v>0</v>
      </c>
      <c r="BS75" s="9">
        <f t="shared" si="14"/>
        <v>0</v>
      </c>
      <c r="BT75" s="9">
        <f t="shared" si="15"/>
        <v>0</v>
      </c>
      <c r="BU75" s="9">
        <f t="shared" si="16"/>
        <v>0</v>
      </c>
      <c r="BV75" s="12">
        <f t="shared" si="17"/>
        <v>0</v>
      </c>
      <c r="BX75" s="12">
        <f t="shared" si="18"/>
        <v>0</v>
      </c>
      <c r="BY75" s="12">
        <f t="shared" si="19"/>
        <v>2.149051912591079E-3</v>
      </c>
    </row>
    <row r="76" spans="1:77" x14ac:dyDescent="0.3">
      <c r="A76" s="1">
        <v>46133</v>
      </c>
      <c r="B76" s="8">
        <v>28.91</v>
      </c>
      <c r="C76" s="8">
        <v>95.31</v>
      </c>
      <c r="D76" s="9">
        <v>-1.8506354069341001E-2</v>
      </c>
      <c r="E76" s="9">
        <v>-1.78854720876735E-2</v>
      </c>
      <c r="F76" s="8">
        <v>0</v>
      </c>
      <c r="G76" s="8">
        <v>0.25</v>
      </c>
      <c r="H76" s="8">
        <v>0</v>
      </c>
      <c r="I76" s="8">
        <v>0.94569999999999999</v>
      </c>
      <c r="J76" s="8">
        <v>0</v>
      </c>
      <c r="K76" s="8">
        <v>0</v>
      </c>
      <c r="L76" s="8">
        <v>28.91</v>
      </c>
      <c r="M76" s="8">
        <v>95.31</v>
      </c>
      <c r="N76" s="10">
        <v>3.29678312002767</v>
      </c>
      <c r="O76" s="10">
        <v>3.2936632097661298</v>
      </c>
      <c r="P76" s="10">
        <v>3.2947004432949898</v>
      </c>
      <c r="Q76" s="10">
        <v>3.2945027254100299</v>
      </c>
      <c r="R76" s="8">
        <v>95.219803394338797</v>
      </c>
      <c r="S76" s="8">
        <v>95.245613923451401</v>
      </c>
      <c r="T76" s="8">
        <v>95.291884290487104</v>
      </c>
      <c r="U76" s="9">
        <v>-9.4679793703801498E-4</v>
      </c>
      <c r="V76" s="9">
        <v>-6.7577205072205204E-4</v>
      </c>
      <c r="W76" s="9">
        <v>-1.9008951180992799E-4</v>
      </c>
      <c r="X76" s="10">
        <v>3.29678312002767</v>
      </c>
      <c r="Y76" s="10">
        <v>3.2927332496881698</v>
      </c>
      <c r="Z76" s="10">
        <v>3.2947004432949898</v>
      </c>
      <c r="AA76" s="10">
        <v>3.2945027254100299</v>
      </c>
      <c r="AB76" s="8">
        <v>95.192918248485199</v>
      </c>
      <c r="AC76" s="8">
        <v>95.245613923451401</v>
      </c>
      <c r="AD76" s="8">
        <v>95.247497436015706</v>
      </c>
      <c r="AE76" s="9">
        <v>-1.2291860653138201E-3</v>
      </c>
      <c r="AF76" s="9">
        <v>-6.7577205072171897E-4</v>
      </c>
      <c r="AG76" s="9">
        <v>-6.5599692551255705E-4</v>
      </c>
      <c r="AZ76" s="9"/>
      <c r="BB76">
        <f t="shared" si="2"/>
        <v>0</v>
      </c>
      <c r="BC76">
        <f t="shared" si="3"/>
        <v>0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2.149051912591079E-3</v>
      </c>
      <c r="BL76" s="9"/>
      <c r="BN76">
        <f t="shared" si="10"/>
        <v>0</v>
      </c>
      <c r="BO76">
        <f t="shared" si="11"/>
        <v>1</v>
      </c>
      <c r="BP76">
        <f t="shared" si="12"/>
        <v>0</v>
      </c>
      <c r="BQ76">
        <f t="shared" si="1"/>
        <v>1</v>
      </c>
      <c r="BR76">
        <f t="shared" si="13"/>
        <v>0</v>
      </c>
      <c r="BS76" s="9">
        <f t="shared" si="14"/>
        <v>0</v>
      </c>
      <c r="BT76" s="9">
        <f t="shared" si="15"/>
        <v>0</v>
      </c>
      <c r="BU76" s="9">
        <f t="shared" si="16"/>
        <v>0</v>
      </c>
      <c r="BV76" s="12">
        <f t="shared" si="17"/>
        <v>0</v>
      </c>
      <c r="BX76" s="12">
        <f t="shared" si="18"/>
        <v>0</v>
      </c>
      <c r="BY76" s="12">
        <f t="shared" si="19"/>
        <v>2.149051912591079E-3</v>
      </c>
    </row>
    <row r="77" spans="1:77" x14ac:dyDescent="0.3">
      <c r="A77" s="1">
        <v>46134</v>
      </c>
      <c r="B77" s="8">
        <v>28.69</v>
      </c>
      <c r="C77" s="8">
        <v>94.52</v>
      </c>
      <c r="D77" s="9">
        <v>-7.6389260349812799E-3</v>
      </c>
      <c r="E77" s="9">
        <v>-8.32328463082746E-3</v>
      </c>
      <c r="F77" s="8">
        <v>0</v>
      </c>
      <c r="G77" s="8">
        <v>0.25</v>
      </c>
      <c r="H77" s="8">
        <v>0</v>
      </c>
      <c r="I77" s="8">
        <v>0.94569999999999999</v>
      </c>
      <c r="J77" s="8">
        <v>0</v>
      </c>
      <c r="K77" s="8">
        <v>0</v>
      </c>
      <c r="L77" s="8">
        <v>28.69</v>
      </c>
      <c r="M77" s="8">
        <v>94.52</v>
      </c>
      <c r="N77" s="10">
        <v>3.29452771000348</v>
      </c>
      <c r="O77" s="10">
        <v>3.2936632097661298</v>
      </c>
      <c r="P77" s="10">
        <v>3.29468254190621</v>
      </c>
      <c r="Q77" s="10">
        <v>3.2945419621653498</v>
      </c>
      <c r="R77" s="8">
        <v>94.4951974881903</v>
      </c>
      <c r="S77" s="8">
        <v>94.524955718133398</v>
      </c>
      <c r="T77" s="8">
        <v>94.519283192013802</v>
      </c>
      <c r="U77" s="9">
        <v>-2.6243934119178701E-4</v>
      </c>
      <c r="V77" s="9">
        <v>5.2428990931950902E-5</v>
      </c>
      <c r="W77" s="9">
        <v>-7.5836934424696201E-6</v>
      </c>
      <c r="X77" s="10">
        <v>3.29452771000348</v>
      </c>
      <c r="Y77" s="10">
        <v>3.2927332496881698</v>
      </c>
      <c r="Z77" s="10">
        <v>3.29468254190621</v>
      </c>
      <c r="AA77" s="10">
        <v>3.2945419621653498</v>
      </c>
      <c r="AB77" s="8">
        <v>94.468516933553801</v>
      </c>
      <c r="AC77" s="8">
        <v>94.524955718133398</v>
      </c>
      <c r="AD77" s="8">
        <v>94.519283192013802</v>
      </c>
      <c r="AE77" s="9">
        <v>-5.4482746946746599E-4</v>
      </c>
      <c r="AF77" s="9">
        <v>5.2428990931950902E-5</v>
      </c>
      <c r="AG77" s="9">
        <v>-7.5836934424696201E-6</v>
      </c>
      <c r="AZ77" s="9"/>
      <c r="BB77">
        <f t="shared" si="2"/>
        <v>0</v>
      </c>
      <c r="BC77">
        <f t="shared" si="3"/>
        <v>0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2.149051912591079E-3</v>
      </c>
      <c r="BL77" s="9"/>
      <c r="BN77">
        <f t="shared" si="10"/>
        <v>0</v>
      </c>
      <c r="BO77">
        <f t="shared" si="11"/>
        <v>1</v>
      </c>
      <c r="BP77">
        <f t="shared" si="12"/>
        <v>0</v>
      </c>
      <c r="BQ77">
        <f t="shared" si="1"/>
        <v>1</v>
      </c>
      <c r="BR77">
        <f t="shared" si="13"/>
        <v>0</v>
      </c>
      <c r="BS77" s="9">
        <f t="shared" si="14"/>
        <v>0</v>
      </c>
      <c r="BT77" s="9">
        <f t="shared" si="15"/>
        <v>0</v>
      </c>
      <c r="BU77" s="9">
        <f t="shared" si="16"/>
        <v>0</v>
      </c>
      <c r="BV77" s="12">
        <f t="shared" si="17"/>
        <v>0</v>
      </c>
      <c r="BX77" s="12">
        <f t="shared" si="18"/>
        <v>0</v>
      </c>
      <c r="BY77" s="12">
        <f t="shared" si="19"/>
        <v>2.149051912591079E-3</v>
      </c>
    </row>
    <row r="78" spans="1:77" x14ac:dyDescent="0.3">
      <c r="A78" s="1">
        <v>46135</v>
      </c>
      <c r="B78" s="8">
        <v>28.96</v>
      </c>
      <c r="C78" s="8">
        <v>95.49</v>
      </c>
      <c r="D78" s="9">
        <v>9.3669375242421901E-3</v>
      </c>
      <c r="E78" s="9">
        <v>1.0210077643404101E-2</v>
      </c>
      <c r="F78" s="8">
        <v>0</v>
      </c>
      <c r="G78" s="8">
        <v>0.25</v>
      </c>
      <c r="H78" s="8">
        <v>0</v>
      </c>
      <c r="I78" s="8">
        <v>0.94569999999999999</v>
      </c>
      <c r="J78" s="8">
        <v>0</v>
      </c>
      <c r="K78" s="8">
        <v>0</v>
      </c>
      <c r="L78" s="8">
        <v>28.96</v>
      </c>
      <c r="M78" s="8">
        <v>95.49</v>
      </c>
      <c r="N78" s="10">
        <v>3.2973066298342499</v>
      </c>
      <c r="O78" s="10">
        <v>3.2936632097661298</v>
      </c>
      <c r="P78" s="10">
        <v>3.2949387730714501</v>
      </c>
      <c r="Q78" s="10">
        <v>3.29472787858395</v>
      </c>
      <c r="R78" s="8">
        <v>95.384486554827106</v>
      </c>
      <c r="S78" s="8">
        <v>95.414006413604</v>
      </c>
      <c r="T78" s="8">
        <v>95.409935224308796</v>
      </c>
      <c r="U78" s="9">
        <v>-1.1055794603535801E-3</v>
      </c>
      <c r="V78" s="9">
        <v>-7.9614453187912704E-4</v>
      </c>
      <c r="W78" s="9">
        <v>-8.3881411789533402E-4</v>
      </c>
      <c r="X78" s="10">
        <v>3.2973066298342499</v>
      </c>
      <c r="Y78" s="10">
        <v>3.2927332496881698</v>
      </c>
      <c r="Z78" s="10">
        <v>3.2949387730714501</v>
      </c>
      <c r="AA78" s="10">
        <v>3.29472787858395</v>
      </c>
      <c r="AB78" s="8">
        <v>95.357554910969597</v>
      </c>
      <c r="AC78" s="8">
        <v>95.414006413604</v>
      </c>
      <c r="AD78" s="8">
        <v>95.409935224308796</v>
      </c>
      <c r="AE78" s="9">
        <v>-1.38796758862947E-3</v>
      </c>
      <c r="AF78" s="9">
        <v>-7.9614453187912704E-4</v>
      </c>
      <c r="AG78" s="9">
        <v>-8.3881411789533402E-4</v>
      </c>
      <c r="AZ78" s="9"/>
      <c r="BB78">
        <f t="shared" si="2"/>
        <v>0</v>
      </c>
      <c r="BC78">
        <f t="shared" si="3"/>
        <v>0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2.149051912591079E-3</v>
      </c>
      <c r="BL78" s="9"/>
      <c r="BN78">
        <f t="shared" si="10"/>
        <v>0</v>
      </c>
      <c r="BO78">
        <f t="shared" si="11"/>
        <v>1</v>
      </c>
      <c r="BP78">
        <f t="shared" si="12"/>
        <v>0</v>
      </c>
      <c r="BQ78">
        <f t="shared" si="1"/>
        <v>1</v>
      </c>
      <c r="BR78">
        <f t="shared" si="13"/>
        <v>0</v>
      </c>
      <c r="BS78" s="9">
        <f t="shared" si="14"/>
        <v>0</v>
      </c>
      <c r="BT78" s="9">
        <f t="shared" si="15"/>
        <v>0</v>
      </c>
      <c r="BU78" s="9">
        <f t="shared" si="16"/>
        <v>0</v>
      </c>
      <c r="BV78" s="12">
        <f t="shared" si="17"/>
        <v>0</v>
      </c>
      <c r="BX78" s="12">
        <f t="shared" si="18"/>
        <v>0</v>
      </c>
      <c r="BY78" s="12">
        <f t="shared" si="19"/>
        <v>2.149051912591079E-3</v>
      </c>
    </row>
    <row r="79" spans="1:77" x14ac:dyDescent="0.3">
      <c r="A79" s="1">
        <v>46136</v>
      </c>
      <c r="B79" s="8">
        <v>28.89</v>
      </c>
      <c r="C79" s="8">
        <v>95.3</v>
      </c>
      <c r="D79" s="9">
        <v>-2.42005303937171E-3</v>
      </c>
      <c r="E79" s="9">
        <v>-1.99171930195465E-3</v>
      </c>
      <c r="F79" s="8">
        <v>0</v>
      </c>
      <c r="G79" s="8">
        <v>0.25</v>
      </c>
      <c r="H79" s="8">
        <v>0</v>
      </c>
      <c r="I79" s="8">
        <v>0.94569999999999999</v>
      </c>
      <c r="J79" s="8">
        <v>0</v>
      </c>
      <c r="K79" s="8">
        <v>0</v>
      </c>
      <c r="L79" s="8">
        <v>28.89</v>
      </c>
      <c r="M79" s="8">
        <v>95.3</v>
      </c>
      <c r="N79" s="10">
        <v>3.2987192800276901</v>
      </c>
      <c r="O79" s="10">
        <v>3.2936632097661298</v>
      </c>
      <c r="P79" s="10">
        <v>3.29544477829704</v>
      </c>
      <c r="Q79" s="10">
        <v>3.2950242029457</v>
      </c>
      <c r="R79" s="8">
        <v>95.153930130143493</v>
      </c>
      <c r="S79" s="8">
        <v>95.190781154034397</v>
      </c>
      <c r="T79" s="8">
        <v>95.184688412290399</v>
      </c>
      <c r="U79" s="9">
        <v>-1.5339131977707601E-3</v>
      </c>
      <c r="V79" s="9">
        <v>-1.1467101690898901E-3</v>
      </c>
      <c r="W79" s="9">
        <v>-1.2107178036860999E-3</v>
      </c>
      <c r="X79" s="10">
        <v>3.2987192800276901</v>
      </c>
      <c r="Y79" s="10">
        <v>3.2927332496881698</v>
      </c>
      <c r="Z79" s="10">
        <v>3.29544477829704</v>
      </c>
      <c r="AA79" s="10">
        <v>3.2950242029457</v>
      </c>
      <c r="AB79" s="8">
        <v>95.127063583491406</v>
      </c>
      <c r="AC79" s="8">
        <v>95.190781154034397</v>
      </c>
      <c r="AD79" s="8">
        <v>95.184688412290399</v>
      </c>
      <c r="AE79" s="9">
        <v>-1.81630132604639E-3</v>
      </c>
      <c r="AF79" s="9">
        <v>-1.1467101690898901E-3</v>
      </c>
      <c r="AG79" s="9">
        <v>-1.2107178036860999E-3</v>
      </c>
      <c r="AZ79" s="9"/>
      <c r="BB79">
        <f t="shared" si="2"/>
        <v>1</v>
      </c>
      <c r="BC79">
        <f t="shared" si="3"/>
        <v>0</v>
      </c>
      <c r="BD79">
        <f t="shared" si="4"/>
        <v>0</v>
      </c>
      <c r="BE79">
        <f t="shared" si="0"/>
        <v>1</v>
      </c>
      <c r="BF79">
        <f t="shared" si="5"/>
        <v>0</v>
      </c>
      <c r="BG79" s="9">
        <f t="shared" si="6"/>
        <v>0</v>
      </c>
      <c r="BH79" s="9">
        <f t="shared" si="7"/>
        <v>0</v>
      </c>
      <c r="BI79" s="9">
        <f t="shared" si="8"/>
        <v>0</v>
      </c>
      <c r="BJ79" s="12">
        <f t="shared" si="9"/>
        <v>2.149051912591079E-3</v>
      </c>
      <c r="BL79" s="9"/>
      <c r="BN79">
        <f t="shared" si="10"/>
        <v>0</v>
      </c>
      <c r="BO79">
        <f t="shared" si="11"/>
        <v>1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0</v>
      </c>
      <c r="BX79" s="12">
        <f t="shared" si="18"/>
        <v>0</v>
      </c>
      <c r="BY79" s="12">
        <f t="shared" si="19"/>
        <v>2.149051912591079E-3</v>
      </c>
    </row>
    <row r="80" spans="1:77" x14ac:dyDescent="0.3">
      <c r="A80" s="1">
        <v>46139</v>
      </c>
      <c r="B80" s="8">
        <v>28.73</v>
      </c>
      <c r="C80" s="8">
        <v>94.78</v>
      </c>
      <c r="D80" s="9">
        <v>-5.5536414869456797E-3</v>
      </c>
      <c r="E80" s="9">
        <v>-5.4713941207141601E-3</v>
      </c>
      <c r="F80" s="8">
        <v>0</v>
      </c>
      <c r="G80" s="8">
        <v>0.25</v>
      </c>
      <c r="H80" s="8">
        <v>0</v>
      </c>
      <c r="I80" s="8">
        <v>0.94569999999999999</v>
      </c>
      <c r="J80" s="8">
        <v>0</v>
      </c>
      <c r="K80" s="8">
        <v>0</v>
      </c>
      <c r="L80" s="8">
        <v>28.73</v>
      </c>
      <c r="M80" s="8">
        <v>94.78</v>
      </c>
      <c r="N80" s="10">
        <v>3.2989906021580202</v>
      </c>
      <c r="O80" s="10">
        <v>3.2936632097661298</v>
      </c>
      <c r="P80" s="10">
        <v>3.2960213261628</v>
      </c>
      <c r="Q80" s="10">
        <v>3.29532573910961</v>
      </c>
      <c r="R80" s="8">
        <v>94.626944016580893</v>
      </c>
      <c r="S80" s="8">
        <v>94.678128480473902</v>
      </c>
      <c r="T80" s="8">
        <v>94.666045350629901</v>
      </c>
      <c r="U80" s="9">
        <v>-1.6161605640022099E-3</v>
      </c>
      <c r="V80" s="9">
        <v>-1.07539887742793E-3</v>
      </c>
      <c r="W80" s="9">
        <v>-1.2030302654545901E-3</v>
      </c>
      <c r="X80" s="10">
        <v>3.2989906021580202</v>
      </c>
      <c r="Y80" s="10">
        <v>3.2927332496881698</v>
      </c>
      <c r="Z80" s="10">
        <v>3.2960213261628</v>
      </c>
      <c r="AA80" s="10">
        <v>3.29532573910961</v>
      </c>
      <c r="AB80" s="8">
        <v>94.600226263541302</v>
      </c>
      <c r="AC80" s="8">
        <v>94.678128480474001</v>
      </c>
      <c r="AD80" s="8">
        <v>94.666045350629901</v>
      </c>
      <c r="AE80" s="9">
        <v>-1.8985486922780499E-3</v>
      </c>
      <c r="AF80" s="9">
        <v>-1.0753988774276E-3</v>
      </c>
      <c r="AG80" s="9">
        <v>-1.20303026545437E-3</v>
      </c>
      <c r="AZ80" s="9"/>
      <c r="BB80">
        <f t="shared" si="2"/>
        <v>1</v>
      </c>
      <c r="BC80">
        <f t="shared" si="3"/>
        <v>0</v>
      </c>
      <c r="BD80">
        <f t="shared" si="4"/>
        <v>1</v>
      </c>
      <c r="BE80">
        <f t="shared" si="0"/>
        <v>1</v>
      </c>
      <c r="BF80">
        <f t="shared" si="5"/>
        <v>1</v>
      </c>
      <c r="BG80" s="9">
        <f t="shared" si="6"/>
        <v>-5.5536414869456797E-3</v>
      </c>
      <c r="BH80" s="9">
        <f t="shared" si="7"/>
        <v>5.4713941207141601E-3</v>
      </c>
      <c r="BI80" s="9">
        <f t="shared" si="8"/>
        <v>-8.2247366231519639E-5</v>
      </c>
      <c r="BJ80" s="12">
        <f t="shared" si="9"/>
        <v>2.0668045463595594E-3</v>
      </c>
      <c r="BL80" s="9"/>
      <c r="BN80">
        <f t="shared" si="10"/>
        <v>0</v>
      </c>
      <c r="BO80">
        <f t="shared" si="11"/>
        <v>1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0</v>
      </c>
      <c r="BX80" s="12">
        <f t="shared" si="18"/>
        <v>-8.2247366231519639E-5</v>
      </c>
      <c r="BY80" s="12">
        <f t="shared" si="19"/>
        <v>2.0668045463595594E-3</v>
      </c>
    </row>
    <row r="81" spans="1:77" x14ac:dyDescent="0.3">
      <c r="A81" s="1">
        <v>46140</v>
      </c>
      <c r="B81" s="8">
        <v>29.02</v>
      </c>
      <c r="C81" s="8">
        <v>95.65</v>
      </c>
      <c r="D81" s="9">
        <v>1.00433744648435E-2</v>
      </c>
      <c r="E81" s="9">
        <v>9.1372793468196597E-3</v>
      </c>
      <c r="F81" s="8">
        <v>0</v>
      </c>
      <c r="G81" s="8">
        <v>0.25</v>
      </c>
      <c r="H81" s="8">
        <v>0</v>
      </c>
      <c r="I81" s="8">
        <v>0.94569999999999999</v>
      </c>
      <c r="J81" s="8">
        <v>0</v>
      </c>
      <c r="K81" s="8">
        <v>0</v>
      </c>
      <c r="L81" s="8">
        <v>29.02</v>
      </c>
      <c r="M81" s="8">
        <v>95.65</v>
      </c>
      <c r="N81" s="10">
        <v>3.2960027567195</v>
      </c>
      <c r="O81" s="10">
        <v>3.2936632097661298</v>
      </c>
      <c r="P81" s="10">
        <v>3.2960658130974299</v>
      </c>
      <c r="Q81" s="10">
        <v>3.2955386172396</v>
      </c>
      <c r="R81" s="8">
        <v>95.582106347413102</v>
      </c>
      <c r="S81" s="8">
        <v>95.6505388852446</v>
      </c>
      <c r="T81" s="8">
        <v>95.630352948961104</v>
      </c>
      <c r="U81" s="9">
        <v>-7.1006544597847199E-4</v>
      </c>
      <c r="V81" s="9">
        <v>5.6339124584595302E-6</v>
      </c>
      <c r="W81" s="9">
        <v>-2.0542675507497499E-4</v>
      </c>
      <c r="X81" s="10">
        <v>3.2960027567195</v>
      </c>
      <c r="Y81" s="10">
        <v>3.2927332496881698</v>
      </c>
      <c r="Z81" s="10">
        <v>3.2960658130974299</v>
      </c>
      <c r="AA81" s="10">
        <v>3.2955386172396</v>
      </c>
      <c r="AB81" s="8">
        <v>95.555118905950906</v>
      </c>
      <c r="AC81" s="8">
        <v>95.6505388852447</v>
      </c>
      <c r="AD81" s="8">
        <v>95.630352948961104</v>
      </c>
      <c r="AE81" s="9">
        <v>-9.9245357425413092E-4</v>
      </c>
      <c r="AF81" s="9">
        <v>5.6339124586815799E-6</v>
      </c>
      <c r="AG81" s="9">
        <v>-2.0542675507497499E-4</v>
      </c>
      <c r="AZ81" s="9"/>
      <c r="BB81">
        <f t="shared" si="2"/>
        <v>0</v>
      </c>
      <c r="BC81">
        <f t="shared" si="3"/>
        <v>0</v>
      </c>
      <c r="BD81">
        <f t="shared" si="4"/>
        <v>1</v>
      </c>
      <c r="BE81">
        <f t="shared" si="0"/>
        <v>1</v>
      </c>
      <c r="BF81">
        <f t="shared" si="5"/>
        <v>1</v>
      </c>
      <c r="BG81" s="9">
        <f t="shared" si="6"/>
        <v>1.00433744648435E-2</v>
      </c>
      <c r="BH81" s="9">
        <f t="shared" si="7"/>
        <v>-9.1372793468196597E-3</v>
      </c>
      <c r="BI81" s="9">
        <f t="shared" si="8"/>
        <v>9.0609511802383982E-4</v>
      </c>
      <c r="BJ81" s="12">
        <f t="shared" si="9"/>
        <v>2.9728996643833992E-3</v>
      </c>
      <c r="BL81" s="9"/>
      <c r="BN81">
        <f t="shared" si="10"/>
        <v>0</v>
      </c>
      <c r="BO81">
        <f t="shared" si="11"/>
        <v>1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0</v>
      </c>
      <c r="BX81" s="12">
        <f t="shared" si="18"/>
        <v>9.0609511802383982E-4</v>
      </c>
      <c r="BY81" s="12">
        <f t="shared" si="19"/>
        <v>2.9728996643833992E-3</v>
      </c>
    </row>
    <row r="82" spans="1:77" x14ac:dyDescent="0.3">
      <c r="A82" s="1">
        <v>46141</v>
      </c>
      <c r="B82" s="8">
        <v>28.79</v>
      </c>
      <c r="C82" s="8">
        <v>94.9</v>
      </c>
      <c r="D82" s="9">
        <v>-7.9571428319572795E-3</v>
      </c>
      <c r="E82" s="9">
        <v>-7.8719902703797192E-3</v>
      </c>
      <c r="F82" s="8">
        <v>0</v>
      </c>
      <c r="G82" s="8">
        <v>0.25</v>
      </c>
      <c r="H82" s="8">
        <v>0</v>
      </c>
      <c r="I82" s="8">
        <v>0.94569999999999999</v>
      </c>
      <c r="J82" s="8">
        <v>0</v>
      </c>
      <c r="K82" s="8">
        <v>0</v>
      </c>
      <c r="L82" s="8">
        <v>28.79</v>
      </c>
      <c r="M82" s="8">
        <v>94.9</v>
      </c>
      <c r="N82" s="10">
        <v>3.2962834317471299</v>
      </c>
      <c r="O82" s="10">
        <v>3.2936632097661298</v>
      </c>
      <c r="P82" s="10">
        <v>3.2963543029714102</v>
      </c>
      <c r="Q82" s="10">
        <v>3.29554416749659</v>
      </c>
      <c r="R82" s="8">
        <v>94.824563809166904</v>
      </c>
      <c r="S82" s="8">
        <v>94.893734759075201</v>
      </c>
      <c r="T82" s="8">
        <v>94.878556790328105</v>
      </c>
      <c r="U82" s="9">
        <v>-7.9521800755599596E-4</v>
      </c>
      <c r="V82" s="9">
        <v>-6.6021577951616494E-5</v>
      </c>
      <c r="W82" s="9">
        <v>-2.2598137667169399E-4</v>
      </c>
      <c r="X82" s="10">
        <v>3.2962834317471299</v>
      </c>
      <c r="Y82" s="10">
        <v>3.2927332496881698</v>
      </c>
      <c r="Z82" s="10">
        <v>3.2963543029714102</v>
      </c>
      <c r="AA82" s="10">
        <v>3.29554416749659</v>
      </c>
      <c r="AB82" s="8">
        <v>94.797790258522596</v>
      </c>
      <c r="AC82" s="8">
        <v>94.893734759075201</v>
      </c>
      <c r="AD82" s="8">
        <v>94.878556790328105</v>
      </c>
      <c r="AE82" s="9">
        <v>-1.0776061358317101E-3</v>
      </c>
      <c r="AF82" s="9">
        <v>-6.6021577951505403E-5</v>
      </c>
      <c r="AG82" s="9">
        <v>-2.2598137667169399E-4</v>
      </c>
      <c r="AZ82" s="9"/>
      <c r="BB82">
        <f t="shared" si="2"/>
        <v>0</v>
      </c>
      <c r="BC82">
        <f t="shared" si="3"/>
        <v>0</v>
      </c>
      <c r="BD82">
        <f t="shared" si="4"/>
        <v>1</v>
      </c>
      <c r="BE82">
        <f t="shared" si="0"/>
        <v>1</v>
      </c>
      <c r="BF82">
        <f t="shared" si="5"/>
        <v>1</v>
      </c>
      <c r="BG82" s="9">
        <f t="shared" si="6"/>
        <v>-7.9571428319572795E-3</v>
      </c>
      <c r="BH82" s="9">
        <f t="shared" si="7"/>
        <v>7.8719902703797192E-3</v>
      </c>
      <c r="BI82" s="9">
        <f t="shared" si="8"/>
        <v>-8.5152561577560293E-5</v>
      </c>
      <c r="BJ82" s="12">
        <f t="shared" si="9"/>
        <v>2.8877471028058389E-3</v>
      </c>
      <c r="BL82" s="9"/>
      <c r="BN82">
        <f t="shared" si="10"/>
        <v>0</v>
      </c>
      <c r="BO82">
        <f t="shared" si="11"/>
        <v>1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0</v>
      </c>
      <c r="BX82" s="12">
        <f t="shared" si="18"/>
        <v>-8.5152561577560293E-5</v>
      </c>
      <c r="BY82" s="12">
        <f t="shared" si="19"/>
        <v>2.8877471028058389E-3</v>
      </c>
    </row>
    <row r="83" spans="1:77" x14ac:dyDescent="0.3">
      <c r="A83" s="1">
        <v>46142</v>
      </c>
      <c r="B83" s="8">
        <v>29.21</v>
      </c>
      <c r="C83" s="8">
        <v>96.33</v>
      </c>
      <c r="D83" s="9">
        <v>1.44830117755651E-2</v>
      </c>
      <c r="E83" s="9">
        <v>1.49560911536499E-2</v>
      </c>
      <c r="F83" s="8">
        <v>0</v>
      </c>
      <c r="G83" s="8">
        <v>0.25</v>
      </c>
      <c r="H83" s="8">
        <v>0</v>
      </c>
      <c r="I83" s="8">
        <v>0.94569999999999999</v>
      </c>
      <c r="J83" s="8">
        <v>0</v>
      </c>
      <c r="K83" s="8">
        <v>0</v>
      </c>
      <c r="L83" s="8">
        <v>29.21</v>
      </c>
      <c r="M83" s="8">
        <v>96.33</v>
      </c>
      <c r="N83" s="10">
        <v>3.29784320438206</v>
      </c>
      <c r="O83" s="10">
        <v>3.2936632097661298</v>
      </c>
      <c r="P83" s="10">
        <v>3.2965231055710298</v>
      </c>
      <c r="Q83" s="10">
        <v>3.2955844758638402</v>
      </c>
      <c r="R83" s="8">
        <v>96.207902357268694</v>
      </c>
      <c r="S83" s="8">
        <v>96.286509189795098</v>
      </c>
      <c r="T83" s="8">
        <v>96.262845132575606</v>
      </c>
      <c r="U83" s="9">
        <v>-1.26829738564079E-3</v>
      </c>
      <c r="V83" s="9">
        <v>-4.5157926625193897E-4</v>
      </c>
      <c r="W83" s="9">
        <v>-6.97376583224224E-4</v>
      </c>
      <c r="X83" s="10">
        <v>3.29784320438206</v>
      </c>
      <c r="Y83" s="10">
        <v>3.2927332496881698</v>
      </c>
      <c r="Z83" s="10">
        <v>3.2965231055710298</v>
      </c>
      <c r="AA83" s="10">
        <v>3.2955844758638402</v>
      </c>
      <c r="AB83" s="8">
        <v>96.1807382233916</v>
      </c>
      <c r="AC83" s="8">
        <v>96.286509189795098</v>
      </c>
      <c r="AD83" s="8">
        <v>96.262845132575606</v>
      </c>
      <c r="AE83" s="9">
        <v>-1.5506855139165701E-3</v>
      </c>
      <c r="AF83" s="9">
        <v>-4.5157926625193897E-4</v>
      </c>
      <c r="AG83" s="9">
        <v>-6.97376583224224E-4</v>
      </c>
      <c r="AZ83" s="9"/>
      <c r="BB83">
        <f t="shared" si="2"/>
        <v>0</v>
      </c>
      <c r="BC83">
        <f t="shared" si="3"/>
        <v>0</v>
      </c>
      <c r="BD83">
        <f t="shared" si="4"/>
        <v>1</v>
      </c>
      <c r="BE83">
        <f t="shared" si="0"/>
        <v>1</v>
      </c>
      <c r="BF83">
        <f t="shared" si="5"/>
        <v>1</v>
      </c>
      <c r="BG83" s="9">
        <f t="shared" si="6"/>
        <v>1.44830117755651E-2</v>
      </c>
      <c r="BH83" s="9">
        <f t="shared" si="7"/>
        <v>-1.49560911536499E-2</v>
      </c>
      <c r="BI83" s="9">
        <f t="shared" si="8"/>
        <v>-4.7307937808479909E-4</v>
      </c>
      <c r="BJ83" s="12">
        <f t="shared" si="9"/>
        <v>2.4146677247210398E-3</v>
      </c>
      <c r="BL83" s="9"/>
      <c r="BN83">
        <f t="shared" si="10"/>
        <v>0</v>
      </c>
      <c r="BO83">
        <f t="shared" si="11"/>
        <v>1</v>
      </c>
      <c r="BP83">
        <f t="shared" si="12"/>
        <v>0</v>
      </c>
      <c r="BQ83">
        <f t="shared" si="1"/>
        <v>1</v>
      </c>
      <c r="BR83">
        <f t="shared" si="13"/>
        <v>0</v>
      </c>
      <c r="BS83" s="9">
        <f t="shared" si="14"/>
        <v>0</v>
      </c>
      <c r="BT83" s="9">
        <f t="shared" si="15"/>
        <v>0</v>
      </c>
      <c r="BU83" s="9">
        <f t="shared" si="16"/>
        <v>0</v>
      </c>
      <c r="BV83" s="12">
        <f t="shared" si="17"/>
        <v>0</v>
      </c>
      <c r="BX83" s="12">
        <f t="shared" si="18"/>
        <v>-4.7307937808479909E-4</v>
      </c>
      <c r="BY83" s="12">
        <f t="shared" si="19"/>
        <v>2.4146677247210398E-3</v>
      </c>
    </row>
    <row r="84" spans="1:77" x14ac:dyDescent="0.3">
      <c r="A84" s="1">
        <v>46143</v>
      </c>
      <c r="B84" s="8">
        <v>29.15</v>
      </c>
      <c r="C84" s="8">
        <v>96.06</v>
      </c>
      <c r="D84" s="9">
        <v>-2.0562036031483398E-3</v>
      </c>
      <c r="E84" s="9">
        <v>-2.8068005328538599E-3</v>
      </c>
      <c r="F84" s="8">
        <v>0</v>
      </c>
      <c r="G84" s="8">
        <v>0.25</v>
      </c>
      <c r="H84" s="8">
        <v>0</v>
      </c>
      <c r="I84" s="8">
        <v>0.94569999999999999</v>
      </c>
      <c r="J84" s="8">
        <v>0</v>
      </c>
      <c r="K84" s="8">
        <v>0</v>
      </c>
      <c r="L84" s="8">
        <v>29.15</v>
      </c>
      <c r="M84" s="8">
        <v>96.06</v>
      </c>
      <c r="N84" s="10">
        <v>3.2953687821612299</v>
      </c>
      <c r="O84" s="10">
        <v>3.2936632097661298</v>
      </c>
      <c r="P84" s="10">
        <v>3.2966562359166298</v>
      </c>
      <c r="Q84" s="10">
        <v>3.29563951592116</v>
      </c>
      <c r="R84" s="8">
        <v>96.010282564682697</v>
      </c>
      <c r="S84" s="8">
        <v>96.0936485273957</v>
      </c>
      <c r="T84" s="8">
        <v>96.066287471431195</v>
      </c>
      <c r="U84" s="9">
        <v>-5.1770045593526703E-4</v>
      </c>
      <c r="V84" s="9">
        <v>3.5022522858693E-4</v>
      </c>
      <c r="W84" s="9">
        <v>6.5451443591497201E-5</v>
      </c>
      <c r="X84" s="10">
        <v>3.2953687821612299</v>
      </c>
      <c r="Y84" s="10">
        <v>3.2927332496881698</v>
      </c>
      <c r="Z84" s="10">
        <v>3.2966562359166298</v>
      </c>
      <c r="AA84" s="10">
        <v>3.29563951592116</v>
      </c>
      <c r="AB84" s="8">
        <v>95.983174228410306</v>
      </c>
      <c r="AC84" s="8">
        <v>96.0936485273957</v>
      </c>
      <c r="AD84" s="8">
        <v>96.066287471431195</v>
      </c>
      <c r="AE84" s="9">
        <v>-8.0008858421092705E-4</v>
      </c>
      <c r="AF84" s="9">
        <v>3.5022522858693E-4</v>
      </c>
      <c r="AG84" s="9">
        <v>6.5451443591497201E-5</v>
      </c>
      <c r="AZ84" s="9"/>
      <c r="BB84">
        <f t="shared" si="2"/>
        <v>0</v>
      </c>
      <c r="BC84">
        <f t="shared" si="3"/>
        <v>1</v>
      </c>
      <c r="BD84">
        <f t="shared" si="4"/>
        <v>1</v>
      </c>
      <c r="BE84">
        <f t="shared" si="0"/>
        <v>1</v>
      </c>
      <c r="BF84">
        <f t="shared" si="5"/>
        <v>1</v>
      </c>
      <c r="BG84" s="9">
        <f t="shared" si="6"/>
        <v>-2.0562036031483398E-3</v>
      </c>
      <c r="BH84" s="9">
        <f t="shared" si="7"/>
        <v>2.8068005328538599E-3</v>
      </c>
      <c r="BI84" s="9">
        <f t="shared" si="8"/>
        <v>7.5059692970552011E-4</v>
      </c>
      <c r="BJ84" s="12">
        <f t="shared" si="9"/>
        <v>3.1652646544265599E-3</v>
      </c>
      <c r="BL84" s="9"/>
      <c r="BN84">
        <f t="shared" si="10"/>
        <v>0</v>
      </c>
      <c r="BO84">
        <f t="shared" si="11"/>
        <v>0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0</v>
      </c>
      <c r="BX84" s="12">
        <f t="shared" si="18"/>
        <v>7.5059692970552011E-4</v>
      </c>
      <c r="BY84" s="12">
        <f t="shared" si="19"/>
        <v>3.1652646544265599E-3</v>
      </c>
    </row>
    <row r="85" spans="1:77" x14ac:dyDescent="0.3">
      <c r="A85" s="1">
        <v>46146</v>
      </c>
      <c r="B85" s="8">
        <v>28.96</v>
      </c>
      <c r="C85" s="8">
        <v>95.46</v>
      </c>
      <c r="D85" s="9">
        <v>-6.5393452789857202E-3</v>
      </c>
      <c r="E85" s="9">
        <v>-6.2656846589278599E-3</v>
      </c>
      <c r="F85" s="8">
        <v>0</v>
      </c>
      <c r="G85" s="8">
        <v>0.25</v>
      </c>
      <c r="H85" s="8">
        <v>0</v>
      </c>
      <c r="I85" s="8">
        <v>0.94569999999999999</v>
      </c>
      <c r="J85" s="8">
        <v>0</v>
      </c>
      <c r="K85" s="8">
        <v>0</v>
      </c>
      <c r="L85" s="8">
        <v>28.96</v>
      </c>
      <c r="M85" s="8">
        <v>95.46</v>
      </c>
      <c r="N85" s="10">
        <v>3.2962707182320399</v>
      </c>
      <c r="O85" s="10">
        <v>3.2936632097661298</v>
      </c>
      <c r="P85" s="10">
        <v>3.2968096235293101</v>
      </c>
      <c r="Q85" s="10">
        <v>3.29568281113254</v>
      </c>
      <c r="R85" s="8">
        <v>95.384486554827106</v>
      </c>
      <c r="S85" s="8">
        <v>95.471164592145598</v>
      </c>
      <c r="T85" s="8">
        <v>95.441720381076806</v>
      </c>
      <c r="U85" s="9">
        <v>-7.9136107599294704E-4</v>
      </c>
      <c r="V85" s="9">
        <v>1.1694887193775899E-4</v>
      </c>
      <c r="W85" s="9">
        <v>-1.9150816391257E-4</v>
      </c>
      <c r="X85" s="10">
        <v>3.2962707182320399</v>
      </c>
      <c r="Y85" s="10">
        <v>3.2927332496881698</v>
      </c>
      <c r="Z85" s="10">
        <v>3.2968096235293101</v>
      </c>
      <c r="AA85" s="10">
        <v>3.29568281113254</v>
      </c>
      <c r="AB85" s="8">
        <v>95.357554910969597</v>
      </c>
      <c r="AC85" s="8">
        <v>95.471164592145598</v>
      </c>
      <c r="AD85" s="8">
        <v>95.441720381076806</v>
      </c>
      <c r="AE85" s="9">
        <v>-1.07374920426876E-3</v>
      </c>
      <c r="AF85" s="9">
        <v>1.1694887193775899E-4</v>
      </c>
      <c r="AG85" s="9">
        <v>-1.9150816391290301E-4</v>
      </c>
      <c r="AZ85" s="9"/>
      <c r="BB85">
        <f t="shared" si="2"/>
        <v>0</v>
      </c>
      <c r="BC85">
        <f t="shared" si="3"/>
        <v>0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3.1652646544265599E-3</v>
      </c>
      <c r="BL85" s="9"/>
      <c r="BN85">
        <f t="shared" si="10"/>
        <v>0</v>
      </c>
      <c r="BO85">
        <f t="shared" si="11"/>
        <v>1</v>
      </c>
      <c r="BP85">
        <f t="shared" si="12"/>
        <v>0</v>
      </c>
      <c r="BQ85">
        <f t="shared" si="1"/>
        <v>1</v>
      </c>
      <c r="BR85">
        <f t="shared" si="13"/>
        <v>0</v>
      </c>
      <c r="BS85" s="9">
        <f t="shared" si="14"/>
        <v>0</v>
      </c>
      <c r="BT85" s="9">
        <f t="shared" si="15"/>
        <v>0</v>
      </c>
      <c r="BU85" s="9">
        <f t="shared" si="16"/>
        <v>0</v>
      </c>
      <c r="BV85" s="12">
        <f t="shared" si="17"/>
        <v>0</v>
      </c>
      <c r="BX85" s="12">
        <f t="shared" si="18"/>
        <v>0</v>
      </c>
      <c r="BY85" s="12">
        <f t="shared" si="19"/>
        <v>3.1652646544265599E-3</v>
      </c>
    </row>
    <row r="86" spans="1:77" x14ac:dyDescent="0.3">
      <c r="A86" s="1">
        <v>46147</v>
      </c>
      <c r="B86" s="8">
        <v>29.05</v>
      </c>
      <c r="C86" s="8">
        <v>95.76</v>
      </c>
      <c r="D86" s="9">
        <v>3.10291578040452E-3</v>
      </c>
      <c r="E86" s="9">
        <v>3.1377496719673802E-3</v>
      </c>
      <c r="F86" s="8">
        <v>0</v>
      </c>
      <c r="G86" s="8">
        <v>0.25</v>
      </c>
      <c r="H86" s="8">
        <v>0</v>
      </c>
      <c r="I86" s="8">
        <v>0.94569999999999999</v>
      </c>
      <c r="J86" s="8">
        <v>0</v>
      </c>
      <c r="K86" s="8">
        <v>0</v>
      </c>
      <c r="L86" s="8">
        <v>29.05</v>
      </c>
      <c r="M86" s="8">
        <v>95.76</v>
      </c>
      <c r="N86" s="10">
        <v>3.2963855421686699</v>
      </c>
      <c r="O86" s="10">
        <v>3.2936632097661298</v>
      </c>
      <c r="P86" s="10">
        <v>3.2967698657434101</v>
      </c>
      <c r="Q86" s="10">
        <v>3.2957351545192002</v>
      </c>
      <c r="R86" s="8">
        <v>95.680916243706093</v>
      </c>
      <c r="S86" s="8">
        <v>95.772319563526395</v>
      </c>
      <c r="T86" s="8">
        <v>95.739585663400405</v>
      </c>
      <c r="U86" s="9">
        <v>-8.2619496755578304E-4</v>
      </c>
      <c r="V86" s="9">
        <v>1.28642138011114E-4</v>
      </c>
      <c r="W86" s="9">
        <v>-2.1320502189226001E-4</v>
      </c>
      <c r="X86" s="10">
        <v>3.2963855421686699</v>
      </c>
      <c r="Y86" s="10">
        <v>3.2927332496881698</v>
      </c>
      <c r="Z86" s="10">
        <v>3.2967698657434101</v>
      </c>
      <c r="AA86" s="10">
        <v>3.2957351545192002</v>
      </c>
      <c r="AB86" s="8">
        <v>95.653900903441496</v>
      </c>
      <c r="AC86" s="8">
        <v>95.772319563526395</v>
      </c>
      <c r="AD86" s="8">
        <v>95.739585663400405</v>
      </c>
      <c r="AE86" s="9">
        <v>-1.10858309583144E-3</v>
      </c>
      <c r="AF86" s="9">
        <v>1.28642138011114E-4</v>
      </c>
      <c r="AG86" s="9">
        <v>-2.13205021892371E-4</v>
      </c>
      <c r="AZ86" s="9"/>
      <c r="BB86">
        <f t="shared" si="2"/>
        <v>0</v>
      </c>
      <c r="BC86">
        <f t="shared" si="3"/>
        <v>0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3.1652646544265599E-3</v>
      </c>
      <c r="BL86" s="9"/>
      <c r="BN86">
        <f t="shared" si="10"/>
        <v>0</v>
      </c>
      <c r="BO86">
        <f t="shared" si="11"/>
        <v>1</v>
      </c>
      <c r="BP86">
        <f t="shared" si="12"/>
        <v>0</v>
      </c>
      <c r="BQ86">
        <f t="shared" ref="BQ86:BQ149" si="21">IF(F87+H87&gt;0,0,1)</f>
        <v>1</v>
      </c>
      <c r="BR86">
        <f t="shared" si="13"/>
        <v>0</v>
      </c>
      <c r="BS86" s="9">
        <f t="shared" si="14"/>
        <v>0</v>
      </c>
      <c r="BT86" s="9">
        <f t="shared" si="15"/>
        <v>0</v>
      </c>
      <c r="BU86" s="9">
        <f t="shared" si="16"/>
        <v>0</v>
      </c>
      <c r="BV86" s="12">
        <f t="shared" si="17"/>
        <v>0</v>
      </c>
      <c r="BX86" s="12">
        <f t="shared" si="18"/>
        <v>0</v>
      </c>
      <c r="BY86" s="12">
        <f t="shared" si="19"/>
        <v>3.1652646544265599E-3</v>
      </c>
    </row>
    <row r="87" spans="1:77" x14ac:dyDescent="0.3">
      <c r="A87" s="1">
        <v>46148</v>
      </c>
      <c r="B87" s="8">
        <v>29.47</v>
      </c>
      <c r="C87" s="8">
        <v>97.09</v>
      </c>
      <c r="D87" s="9">
        <v>1.4354313451683099E-2</v>
      </c>
      <c r="E87" s="9">
        <v>1.37933221323357E-2</v>
      </c>
      <c r="F87" s="8">
        <v>0</v>
      </c>
      <c r="G87" s="8">
        <v>0.25</v>
      </c>
      <c r="H87" s="8">
        <v>0</v>
      </c>
      <c r="I87" s="8">
        <v>0.94569999999999999</v>
      </c>
      <c r="J87" s="8">
        <v>0</v>
      </c>
      <c r="K87" s="8">
        <v>0</v>
      </c>
      <c r="L87" s="8">
        <v>29.47</v>
      </c>
      <c r="M87" s="8">
        <v>97.09</v>
      </c>
      <c r="N87" s="10">
        <v>3.2945368171021299</v>
      </c>
      <c r="O87" s="10">
        <v>3.2936632097661298</v>
      </c>
      <c r="P87" s="10">
        <v>3.2967707764532701</v>
      </c>
      <c r="Q87" s="10">
        <v>3.2957266591797398</v>
      </c>
      <c r="R87" s="8">
        <v>97.064254791807898</v>
      </c>
      <c r="S87" s="8">
        <v>97.155807943458299</v>
      </c>
      <c r="T87" s="8">
        <v>97.125315003680896</v>
      </c>
      <c r="U87" s="9">
        <v>-2.6520364820844898E-4</v>
      </c>
      <c r="V87" s="9">
        <v>6.7757391186725304E-4</v>
      </c>
      <c r="W87" s="9">
        <v>3.6366858164021601E-4</v>
      </c>
      <c r="X87" s="10">
        <v>3.2945368171021299</v>
      </c>
      <c r="Y87" s="10">
        <v>3.2927332496881698</v>
      </c>
      <c r="Z87" s="10">
        <v>3.2967707764532701</v>
      </c>
      <c r="AA87" s="10">
        <v>3.2957266591797398</v>
      </c>
      <c r="AB87" s="8">
        <v>97.036848868310599</v>
      </c>
      <c r="AC87" s="8">
        <v>97.155807943458299</v>
      </c>
      <c r="AD87" s="8">
        <v>97.125315003680896</v>
      </c>
      <c r="AE87" s="9">
        <v>-5.4759177648413399E-4</v>
      </c>
      <c r="AF87" s="9">
        <v>6.7757391186725304E-4</v>
      </c>
      <c r="AG87" s="9">
        <v>3.6366858164021601E-4</v>
      </c>
      <c r="AZ87" s="9"/>
      <c r="BB87">
        <f t="shared" ref="BB87:BB150" si="22">IF($AG87&lt;BA$20,1,0)</f>
        <v>0</v>
      </c>
      <c r="BC87">
        <f t="shared" ref="BC87:BC150" si="23">IF($AG87&gt;BA$21,1,0)</f>
        <v>1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3.1652646544265599E-3</v>
      </c>
      <c r="BL87" s="9"/>
      <c r="BN87">
        <f t="shared" ref="BN87:BN150" si="30">IF($AG87&gt;BM$20,1,0)</f>
        <v>0</v>
      </c>
      <c r="BO87">
        <f t="shared" ref="BO87:BO150" si="31">IF($AG87&lt;BM$21,1,0)</f>
        <v>0</v>
      </c>
      <c r="BP87">
        <f t="shared" ref="BP87:BP150" si="32">BR87</f>
        <v>0</v>
      </c>
      <c r="BQ87">
        <f t="shared" si="21"/>
        <v>1</v>
      </c>
      <c r="BR87">
        <f t="shared" ref="BR87:BR150" si="33">IF(BN86,1,IF(BO86,0,BP86))*BQ86</f>
        <v>0</v>
      </c>
      <c r="BS87" s="9">
        <f t="shared" ref="BS87:BS150" si="34">-BR87*D87</f>
        <v>0</v>
      </c>
      <c r="BT87" s="9">
        <f t="shared" ref="BT87:BT150" si="35">BR87*$E87</f>
        <v>0</v>
      </c>
      <c r="BU87" s="9">
        <f t="shared" ref="BU87:BU150" si="36">BS87+BT87</f>
        <v>0</v>
      </c>
      <c r="BV87" s="12">
        <f t="shared" ref="BV87:BV150" si="37">BV86+BU87</f>
        <v>0</v>
      </c>
      <c r="BX87" s="12">
        <f t="shared" ref="BX87:BX150" si="38">BI87+BU87</f>
        <v>0</v>
      </c>
      <c r="BY87" s="12">
        <f t="shared" ref="BY87:BY150" si="39">BY86+BX87</f>
        <v>3.1652646544265599E-3</v>
      </c>
    </row>
    <row r="88" spans="1:77" x14ac:dyDescent="0.3">
      <c r="A88" s="1">
        <v>46149</v>
      </c>
      <c r="B88" s="8">
        <v>29.29</v>
      </c>
      <c r="C88" s="8">
        <v>96.39</v>
      </c>
      <c r="D88" s="9">
        <v>-6.1266359099612097E-3</v>
      </c>
      <c r="E88" s="9">
        <v>-7.2359215861767402E-3</v>
      </c>
      <c r="F88" s="8">
        <v>0</v>
      </c>
      <c r="G88" s="8">
        <v>0.25</v>
      </c>
      <c r="H88" s="8">
        <v>0</v>
      </c>
      <c r="I88" s="8">
        <v>0.94569999999999999</v>
      </c>
      <c r="J88" s="8">
        <v>0</v>
      </c>
      <c r="K88" s="8">
        <v>0</v>
      </c>
      <c r="L88" s="8">
        <v>29.29</v>
      </c>
      <c r="M88" s="8">
        <v>96.39</v>
      </c>
      <c r="N88" s="10">
        <v>3.2908842608398698</v>
      </c>
      <c r="O88" s="10">
        <v>3.2936632097661298</v>
      </c>
      <c r="P88" s="10">
        <v>3.29612853955383</v>
      </c>
      <c r="Q88" s="10">
        <v>3.2955336563126401</v>
      </c>
      <c r="R88" s="8">
        <v>96.471395414049994</v>
      </c>
      <c r="S88" s="8">
        <v>96.5624160423164</v>
      </c>
      <c r="T88" s="8">
        <v>96.531833847374699</v>
      </c>
      <c r="U88" s="9">
        <v>8.4408202800710902E-4</v>
      </c>
      <c r="V88" s="9">
        <v>1.7871358311255399E-3</v>
      </c>
      <c r="W88" s="9">
        <v>1.4703765779126E-3</v>
      </c>
      <c r="X88" s="10">
        <v>3.2908842608398698</v>
      </c>
      <c r="Y88" s="10">
        <v>3.2927332496881698</v>
      </c>
      <c r="Z88" s="10">
        <v>3.29612853955383</v>
      </c>
      <c r="AA88" s="10">
        <v>3.2955336563126401</v>
      </c>
      <c r="AB88" s="8">
        <v>96.444156883366702</v>
      </c>
      <c r="AC88" s="8">
        <v>96.5624160423164</v>
      </c>
      <c r="AD88" s="8">
        <v>96.531833847374699</v>
      </c>
      <c r="AE88" s="9">
        <v>5.6169389973140596E-4</v>
      </c>
      <c r="AF88" s="9">
        <v>1.7871358311259799E-3</v>
      </c>
      <c r="AG88" s="9">
        <v>1.4703765779126E-3</v>
      </c>
      <c r="AZ88" s="9"/>
      <c r="BB88">
        <f t="shared" si="22"/>
        <v>0</v>
      </c>
      <c r="BC88">
        <f t="shared" si="23"/>
        <v>1</v>
      </c>
      <c r="BD88">
        <f t="shared" si="24"/>
        <v>0</v>
      </c>
      <c r="BE88">
        <f t="shared" si="20"/>
        <v>1</v>
      </c>
      <c r="BF88">
        <f t="shared" si="25"/>
        <v>0</v>
      </c>
      <c r="BG88" s="9">
        <f t="shared" si="26"/>
        <v>0</v>
      </c>
      <c r="BH88" s="9">
        <f t="shared" si="27"/>
        <v>0</v>
      </c>
      <c r="BI88" s="9">
        <f t="shared" si="28"/>
        <v>0</v>
      </c>
      <c r="BJ88" s="12">
        <f t="shared" si="29"/>
        <v>3.1652646544265599E-3</v>
      </c>
      <c r="BL88" s="9"/>
      <c r="BN88">
        <f t="shared" si="30"/>
        <v>0</v>
      </c>
      <c r="BO88">
        <f t="shared" si="31"/>
        <v>0</v>
      </c>
      <c r="BP88">
        <f t="shared" si="32"/>
        <v>0</v>
      </c>
      <c r="BQ88">
        <f t="shared" si="21"/>
        <v>1</v>
      </c>
      <c r="BR88">
        <f t="shared" si="33"/>
        <v>0</v>
      </c>
      <c r="BS88" s="9">
        <f t="shared" si="34"/>
        <v>0</v>
      </c>
      <c r="BT88" s="9">
        <f t="shared" si="35"/>
        <v>0</v>
      </c>
      <c r="BU88" s="9">
        <f t="shared" si="36"/>
        <v>0</v>
      </c>
      <c r="BV88" s="12">
        <f t="shared" si="37"/>
        <v>0</v>
      </c>
      <c r="BX88" s="12">
        <f t="shared" si="38"/>
        <v>0</v>
      </c>
      <c r="BY88" s="12">
        <f t="shared" si="39"/>
        <v>3.1652646544265599E-3</v>
      </c>
    </row>
    <row r="89" spans="1:77" x14ac:dyDescent="0.3">
      <c r="A89" s="1">
        <v>46150</v>
      </c>
      <c r="B89" s="8">
        <v>29.35</v>
      </c>
      <c r="C89" s="8">
        <v>96.62</v>
      </c>
      <c r="D89" s="9">
        <v>2.0463854344633299E-3</v>
      </c>
      <c r="E89" s="9">
        <v>2.38329733038384E-3</v>
      </c>
      <c r="F89" s="8">
        <v>0</v>
      </c>
      <c r="G89" s="8">
        <v>0.25</v>
      </c>
      <c r="H89" s="8">
        <v>0</v>
      </c>
      <c r="I89" s="8">
        <v>0.94569999999999999</v>
      </c>
      <c r="J89" s="8">
        <v>0</v>
      </c>
      <c r="K89" s="8">
        <v>0</v>
      </c>
      <c r="L89" s="8">
        <v>29.35</v>
      </c>
      <c r="M89" s="8">
        <v>96.62</v>
      </c>
      <c r="N89" s="10">
        <v>3.29199318568994</v>
      </c>
      <c r="O89" s="10">
        <v>3.2936632097661298</v>
      </c>
      <c r="P89" s="10">
        <v>3.2954559301200601</v>
      </c>
      <c r="Q89" s="10">
        <v>3.2954503542085498</v>
      </c>
      <c r="R89" s="8">
        <v>96.669015206635905</v>
      </c>
      <c r="S89" s="8">
        <v>96.741372635905094</v>
      </c>
      <c r="T89" s="8">
        <v>96.723912812776206</v>
      </c>
      <c r="U89" s="9">
        <v>5.0717013208660298E-4</v>
      </c>
      <c r="V89" s="9">
        <v>1.25539708568567E-3</v>
      </c>
      <c r="W89" s="9">
        <v>1.0749014155107799E-3</v>
      </c>
      <c r="X89" s="10">
        <v>3.29199318568994</v>
      </c>
      <c r="Y89" s="10">
        <v>3.2927332496881698</v>
      </c>
      <c r="Z89" s="10">
        <v>3.2954559301200601</v>
      </c>
      <c r="AA89" s="10">
        <v>3.2954503542085498</v>
      </c>
      <c r="AB89" s="8">
        <v>96.641720878347996</v>
      </c>
      <c r="AC89" s="8">
        <v>96.741372635905094</v>
      </c>
      <c r="AD89" s="8">
        <v>96.723912812776206</v>
      </c>
      <c r="AE89" s="9">
        <v>2.2478200381096701E-4</v>
      </c>
      <c r="AF89" s="9">
        <v>1.25539708568567E-3</v>
      </c>
      <c r="AG89" s="9">
        <v>1.0749014155107799E-3</v>
      </c>
      <c r="AZ89" s="9"/>
      <c r="BB89">
        <f t="shared" si="22"/>
        <v>0</v>
      </c>
      <c r="BC89">
        <f t="shared" si="23"/>
        <v>1</v>
      </c>
      <c r="BD89">
        <f t="shared" si="24"/>
        <v>0</v>
      </c>
      <c r="BE89">
        <f t="shared" si="20"/>
        <v>1</v>
      </c>
      <c r="BF89">
        <f t="shared" si="25"/>
        <v>0</v>
      </c>
      <c r="BG89" s="9">
        <f t="shared" si="26"/>
        <v>0</v>
      </c>
      <c r="BH89" s="9">
        <f t="shared" si="27"/>
        <v>0</v>
      </c>
      <c r="BI89" s="9">
        <f t="shared" si="28"/>
        <v>0</v>
      </c>
      <c r="BJ89" s="12">
        <f t="shared" si="29"/>
        <v>3.1652646544265599E-3</v>
      </c>
      <c r="BL89" s="9"/>
      <c r="BN89">
        <f t="shared" si="30"/>
        <v>0</v>
      </c>
      <c r="BO89">
        <f t="shared" si="31"/>
        <v>0</v>
      </c>
      <c r="BP89">
        <f t="shared" si="32"/>
        <v>0</v>
      </c>
      <c r="BQ89">
        <f t="shared" si="21"/>
        <v>1</v>
      </c>
      <c r="BR89">
        <f t="shared" si="33"/>
        <v>0</v>
      </c>
      <c r="BS89" s="9">
        <f t="shared" si="34"/>
        <v>0</v>
      </c>
      <c r="BT89" s="9">
        <f t="shared" si="35"/>
        <v>0</v>
      </c>
      <c r="BU89" s="9">
        <f t="shared" si="36"/>
        <v>0</v>
      </c>
      <c r="BV89" s="12">
        <f t="shared" si="37"/>
        <v>0</v>
      </c>
      <c r="BX89" s="12">
        <f t="shared" si="38"/>
        <v>0</v>
      </c>
      <c r="BY89" s="12">
        <f t="shared" si="39"/>
        <v>3.1652646544265599E-3</v>
      </c>
    </row>
    <row r="90" spans="1:77" x14ac:dyDescent="0.3">
      <c r="A90" s="1">
        <v>46153</v>
      </c>
      <c r="B90" s="8">
        <v>29.35</v>
      </c>
      <c r="C90" s="8">
        <v>96.69</v>
      </c>
      <c r="D90" s="9">
        <v>0</v>
      </c>
      <c r="E90" s="9">
        <v>7.2422536919554902E-4</v>
      </c>
      <c r="F90" s="8">
        <v>0</v>
      </c>
      <c r="G90" s="8">
        <v>0.25</v>
      </c>
      <c r="H90" s="8">
        <v>0</v>
      </c>
      <c r="I90" s="8">
        <v>0.94569999999999999</v>
      </c>
      <c r="J90" s="8">
        <v>0</v>
      </c>
      <c r="K90" s="8">
        <v>0</v>
      </c>
      <c r="L90" s="8">
        <v>29.35</v>
      </c>
      <c r="M90" s="8">
        <v>96.69</v>
      </c>
      <c r="N90" s="10">
        <v>3.2943781942078298</v>
      </c>
      <c r="O90" s="10">
        <v>3.2936632097661298</v>
      </c>
      <c r="P90" s="10">
        <v>3.2949946893250401</v>
      </c>
      <c r="Q90" s="10">
        <v>3.2955080077439201</v>
      </c>
      <c r="R90" s="8">
        <v>96.669015206635905</v>
      </c>
      <c r="S90" s="8">
        <v>96.721631549023797</v>
      </c>
      <c r="T90" s="8">
        <v>96.721467896020997</v>
      </c>
      <c r="U90" s="9">
        <v>-2.17055237108948E-4</v>
      </c>
      <c r="V90" s="9">
        <v>3.2709045523853002E-4</v>
      </c>
      <c r="W90" s="9">
        <v>3.25398453783585E-4</v>
      </c>
      <c r="X90" s="10">
        <v>3.2943781942078298</v>
      </c>
      <c r="Y90" s="10">
        <v>3.2927332496881698</v>
      </c>
      <c r="Z90" s="10">
        <v>3.2949946893250401</v>
      </c>
      <c r="AA90" s="10">
        <v>3.2955080077439201</v>
      </c>
      <c r="AB90" s="8">
        <v>96.641720878347996</v>
      </c>
      <c r="AC90" s="8">
        <v>96.721631549023797</v>
      </c>
      <c r="AD90" s="8">
        <v>96.721467896020997</v>
      </c>
      <c r="AE90" s="9">
        <v>-4.9944336538456399E-4</v>
      </c>
      <c r="AF90" s="9">
        <v>3.2709045523853002E-4</v>
      </c>
      <c r="AG90" s="9">
        <v>3.25398453783585E-4</v>
      </c>
      <c r="AZ90" s="9"/>
      <c r="BB90">
        <f t="shared" si="22"/>
        <v>0</v>
      </c>
      <c r="BC90">
        <f t="shared" si="23"/>
        <v>1</v>
      </c>
      <c r="BD90">
        <f t="shared" si="24"/>
        <v>0</v>
      </c>
      <c r="BE90">
        <f t="shared" si="20"/>
        <v>1</v>
      </c>
      <c r="BF90">
        <f t="shared" si="25"/>
        <v>0</v>
      </c>
      <c r="BG90" s="9">
        <f t="shared" si="26"/>
        <v>0</v>
      </c>
      <c r="BH90" s="9">
        <f t="shared" si="27"/>
        <v>0</v>
      </c>
      <c r="BI90" s="9">
        <f t="shared" si="28"/>
        <v>0</v>
      </c>
      <c r="BJ90" s="12">
        <f t="shared" si="29"/>
        <v>3.1652646544265599E-3</v>
      </c>
      <c r="BL90" s="9"/>
      <c r="BN90">
        <f t="shared" si="30"/>
        <v>0</v>
      </c>
      <c r="BO90">
        <f t="shared" si="31"/>
        <v>0</v>
      </c>
      <c r="BP90">
        <f t="shared" si="32"/>
        <v>0</v>
      </c>
      <c r="BQ90">
        <f t="shared" si="21"/>
        <v>1</v>
      </c>
      <c r="BR90">
        <f t="shared" si="33"/>
        <v>0</v>
      </c>
      <c r="BS90" s="9">
        <f t="shared" si="34"/>
        <v>0</v>
      </c>
      <c r="BT90" s="9">
        <f t="shared" si="35"/>
        <v>0</v>
      </c>
      <c r="BU90" s="9">
        <f t="shared" si="36"/>
        <v>0</v>
      </c>
      <c r="BV90" s="12">
        <f t="shared" si="37"/>
        <v>0</v>
      </c>
      <c r="BX90" s="12">
        <f t="shared" si="38"/>
        <v>0</v>
      </c>
      <c r="BY90" s="12">
        <f t="shared" si="39"/>
        <v>3.1652646544265599E-3</v>
      </c>
    </row>
    <row r="91" spans="1:77" x14ac:dyDescent="0.3">
      <c r="A91" s="1">
        <v>46154</v>
      </c>
      <c r="B91" s="8">
        <v>29.37</v>
      </c>
      <c r="C91" s="8">
        <v>96.69</v>
      </c>
      <c r="D91" s="9">
        <v>6.8119893642316204E-4</v>
      </c>
      <c r="E91" s="9">
        <v>0</v>
      </c>
      <c r="F91" s="8">
        <v>0</v>
      </c>
      <c r="G91" s="8">
        <v>0.25</v>
      </c>
      <c r="H91" s="8">
        <v>0</v>
      </c>
      <c r="I91" s="8">
        <v>0.94569999999999999</v>
      </c>
      <c r="J91" s="8">
        <v>0</v>
      </c>
      <c r="K91" s="8">
        <v>0</v>
      </c>
      <c r="L91" s="8">
        <v>29.37</v>
      </c>
      <c r="M91" s="8">
        <v>96.69</v>
      </c>
      <c r="N91" s="10">
        <v>3.29213483146067</v>
      </c>
      <c r="O91" s="10">
        <v>3.2936632097661298</v>
      </c>
      <c r="P91" s="10">
        <v>3.2946078967991599</v>
      </c>
      <c r="Q91" s="10">
        <v>3.2953368549483</v>
      </c>
      <c r="R91" s="8">
        <v>96.734888470831294</v>
      </c>
      <c r="S91" s="8">
        <v>96.773994025476497</v>
      </c>
      <c r="T91" s="8">
        <v>96.789070187439094</v>
      </c>
      <c r="U91" s="9">
        <v>4.6414369931453302E-4</v>
      </c>
      <c r="V91" s="9">
        <v>8.6831693077708697E-4</v>
      </c>
      <c r="W91" s="9">
        <v>1.0240921253303499E-3</v>
      </c>
      <c r="X91" s="10">
        <v>3.29213483146067</v>
      </c>
      <c r="Y91" s="10">
        <v>3.2927332496881698</v>
      </c>
      <c r="Z91" s="10">
        <v>3.2946078967991599</v>
      </c>
      <c r="AA91" s="10">
        <v>3.2953368549483</v>
      </c>
      <c r="AB91" s="8">
        <v>96.707575543341804</v>
      </c>
      <c r="AC91" s="8">
        <v>96.773994025476497</v>
      </c>
      <c r="AD91" s="8">
        <v>96.789070187439094</v>
      </c>
      <c r="AE91" s="9">
        <v>1.8175557103879901E-4</v>
      </c>
      <c r="AF91" s="9">
        <v>8.6831693077708697E-4</v>
      </c>
      <c r="AG91" s="9">
        <v>1.0240921253303499E-3</v>
      </c>
      <c r="AZ91" s="9"/>
      <c r="BB91">
        <f t="shared" si="22"/>
        <v>0</v>
      </c>
      <c r="BC91">
        <f t="shared" si="23"/>
        <v>1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3.1652646544265599E-3</v>
      </c>
      <c r="BL91" s="9"/>
      <c r="BN91">
        <f t="shared" si="30"/>
        <v>0</v>
      </c>
      <c r="BO91">
        <f t="shared" si="31"/>
        <v>0</v>
      </c>
      <c r="BP91">
        <f t="shared" si="32"/>
        <v>0</v>
      </c>
      <c r="BQ91">
        <f t="shared" si="21"/>
        <v>1</v>
      </c>
      <c r="BR91">
        <f t="shared" si="33"/>
        <v>0</v>
      </c>
      <c r="BS91" s="9">
        <f t="shared" si="34"/>
        <v>0</v>
      </c>
      <c r="BT91" s="9">
        <f t="shared" si="35"/>
        <v>0</v>
      </c>
      <c r="BU91" s="9">
        <f t="shared" si="36"/>
        <v>0</v>
      </c>
      <c r="BV91" s="12">
        <f t="shared" si="37"/>
        <v>0</v>
      </c>
      <c r="BX91" s="12">
        <f t="shared" si="38"/>
        <v>0</v>
      </c>
      <c r="BY91" s="12">
        <f t="shared" si="39"/>
        <v>3.1652646544265599E-3</v>
      </c>
    </row>
    <row r="92" spans="1:77" x14ac:dyDescent="0.3">
      <c r="A92" s="1">
        <v>46155</v>
      </c>
      <c r="B92" s="8">
        <v>29.12</v>
      </c>
      <c r="C92" s="8">
        <v>95.89</v>
      </c>
      <c r="D92" s="9">
        <v>-8.5485218820435301E-3</v>
      </c>
      <c r="E92" s="9">
        <v>-8.30828332986637E-3</v>
      </c>
      <c r="F92" s="8">
        <v>0</v>
      </c>
      <c r="G92" s="8">
        <v>0.25</v>
      </c>
      <c r="H92" s="8">
        <v>0</v>
      </c>
      <c r="I92" s="8">
        <v>0.94569999999999999</v>
      </c>
      <c r="J92" s="8">
        <v>0</v>
      </c>
      <c r="K92" s="8">
        <v>0</v>
      </c>
      <c r="L92" s="8">
        <v>29.12</v>
      </c>
      <c r="M92" s="8">
        <v>95.89</v>
      </c>
      <c r="N92" s="10">
        <v>3.2929258241758199</v>
      </c>
      <c r="O92" s="10">
        <v>3.2936632097661298</v>
      </c>
      <c r="P92" s="10">
        <v>3.29427213604203</v>
      </c>
      <c r="Q92" s="10">
        <v>3.2953132195067201</v>
      </c>
      <c r="R92" s="8">
        <v>95.911472668389706</v>
      </c>
      <c r="S92" s="8">
        <v>95.938981954791601</v>
      </c>
      <c r="T92" s="8">
        <v>95.960209216094498</v>
      </c>
      <c r="U92" s="9">
        <v>2.2390514713719001E-4</v>
      </c>
      <c r="V92" s="9">
        <v>5.1068358239718501E-4</v>
      </c>
      <c r="W92" s="9">
        <v>7.3191704627957295E-4</v>
      </c>
      <c r="X92" s="10">
        <v>3.2929258241758199</v>
      </c>
      <c r="Y92" s="10">
        <v>3.2927332496881698</v>
      </c>
      <c r="Z92" s="10">
        <v>3.29427213604203</v>
      </c>
      <c r="AA92" s="10">
        <v>3.2953132195067201</v>
      </c>
      <c r="AB92" s="8">
        <v>95.884392230919701</v>
      </c>
      <c r="AC92" s="8">
        <v>95.938981954791601</v>
      </c>
      <c r="AD92" s="8">
        <v>95.960209216094498</v>
      </c>
      <c r="AE92" s="9">
        <v>-5.8482981138447397E-5</v>
      </c>
      <c r="AF92" s="9">
        <v>5.1068358239718501E-4</v>
      </c>
      <c r="AG92" s="9">
        <v>7.3191704627957295E-4</v>
      </c>
      <c r="AZ92" s="9"/>
      <c r="BB92">
        <f t="shared" si="22"/>
        <v>0</v>
      </c>
      <c r="BC92">
        <f t="shared" si="23"/>
        <v>1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3.1652646544265599E-3</v>
      </c>
      <c r="BL92" s="9"/>
      <c r="BN92">
        <f t="shared" si="30"/>
        <v>0</v>
      </c>
      <c r="BO92">
        <f t="shared" si="31"/>
        <v>0</v>
      </c>
      <c r="BP92">
        <f t="shared" si="32"/>
        <v>0</v>
      </c>
      <c r="BQ92">
        <f t="shared" si="21"/>
        <v>1</v>
      </c>
      <c r="BR92">
        <f t="shared" si="33"/>
        <v>0</v>
      </c>
      <c r="BS92" s="9">
        <f t="shared" si="34"/>
        <v>0</v>
      </c>
      <c r="BT92" s="9">
        <f t="shared" si="35"/>
        <v>0</v>
      </c>
      <c r="BU92" s="9">
        <f t="shared" si="36"/>
        <v>0</v>
      </c>
      <c r="BV92" s="12">
        <f t="shared" si="37"/>
        <v>0</v>
      </c>
      <c r="BX92" s="12">
        <f t="shared" si="38"/>
        <v>0</v>
      </c>
      <c r="BY92" s="12">
        <f t="shared" si="39"/>
        <v>3.1652646544265599E-3</v>
      </c>
    </row>
    <row r="93" spans="1:77" x14ac:dyDescent="0.3">
      <c r="A93" s="1">
        <v>46156</v>
      </c>
      <c r="B93" s="8">
        <v>28.94</v>
      </c>
      <c r="C93" s="8">
        <v>95.32</v>
      </c>
      <c r="D93" s="9">
        <v>-6.2005021251473899E-3</v>
      </c>
      <c r="E93" s="9">
        <v>-5.9620489350484598E-3</v>
      </c>
      <c r="F93" s="8">
        <v>0</v>
      </c>
      <c r="G93" s="8">
        <v>0.25</v>
      </c>
      <c r="H93" s="8">
        <v>0</v>
      </c>
      <c r="I93" s="8">
        <v>0.94569999999999999</v>
      </c>
      <c r="J93" s="8">
        <v>0</v>
      </c>
      <c r="K93" s="8">
        <v>0</v>
      </c>
      <c r="L93" s="8">
        <v>28.94</v>
      </c>
      <c r="M93" s="8">
        <v>95.32</v>
      </c>
      <c r="N93" s="10">
        <v>3.2937111264685499</v>
      </c>
      <c r="O93" s="10">
        <v>3.2936632097661298</v>
      </c>
      <c r="P93" s="10">
        <v>3.2938589282506801</v>
      </c>
      <c r="Q93" s="10">
        <v>3.29519101691085</v>
      </c>
      <c r="R93" s="8">
        <v>95.318613290631802</v>
      </c>
      <c r="S93" s="8">
        <v>95.336235617056303</v>
      </c>
      <c r="T93" s="8">
        <v>95.366364572524603</v>
      </c>
      <c r="U93" s="9">
        <v>-1.45480429617723E-5</v>
      </c>
      <c r="V93" s="9">
        <v>1.7031299336302399E-4</v>
      </c>
      <c r="W93" s="9">
        <v>4.8629144031591499E-4</v>
      </c>
      <c r="X93" s="10">
        <v>3.2937111264685499</v>
      </c>
      <c r="Y93" s="10">
        <v>3.2927332496881698</v>
      </c>
      <c r="Z93" s="10">
        <v>3.2938589282506801</v>
      </c>
      <c r="AA93" s="10">
        <v>3.29519101691085</v>
      </c>
      <c r="AB93" s="8">
        <v>95.291700245975804</v>
      </c>
      <c r="AC93" s="8">
        <v>95.336235617056303</v>
      </c>
      <c r="AD93" s="8">
        <v>95.366364572524603</v>
      </c>
      <c r="AE93" s="9">
        <v>-2.9693617123736498E-4</v>
      </c>
      <c r="AF93" s="9">
        <v>1.7031299336302399E-4</v>
      </c>
      <c r="AG93" s="9">
        <v>4.8629144031635903E-4</v>
      </c>
      <c r="AZ93" s="9"/>
      <c r="BB93">
        <f t="shared" si="22"/>
        <v>0</v>
      </c>
      <c r="BC93">
        <f t="shared" si="23"/>
        <v>1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3.1652646544265599E-3</v>
      </c>
      <c r="BL93" s="9"/>
      <c r="BN93">
        <f t="shared" si="30"/>
        <v>0</v>
      </c>
      <c r="BO93">
        <f t="shared" si="31"/>
        <v>0</v>
      </c>
      <c r="BP93">
        <f t="shared" si="32"/>
        <v>0</v>
      </c>
      <c r="BQ93">
        <f t="shared" si="21"/>
        <v>1</v>
      </c>
      <c r="BR93">
        <f t="shared" si="33"/>
        <v>0</v>
      </c>
      <c r="BS93" s="9">
        <f t="shared" si="34"/>
        <v>0</v>
      </c>
      <c r="BT93" s="9">
        <f t="shared" si="35"/>
        <v>0</v>
      </c>
      <c r="BU93" s="9">
        <f t="shared" si="36"/>
        <v>0</v>
      </c>
      <c r="BV93" s="12">
        <f t="shared" si="37"/>
        <v>0</v>
      </c>
      <c r="BX93" s="12">
        <f t="shared" si="38"/>
        <v>0</v>
      </c>
      <c r="BY93" s="12">
        <f t="shared" si="39"/>
        <v>3.1652646544265599E-3</v>
      </c>
    </row>
    <row r="94" spans="1:77" x14ac:dyDescent="0.3">
      <c r="A94" s="1">
        <v>46157</v>
      </c>
      <c r="B94" s="8">
        <v>28.5</v>
      </c>
      <c r="C94" s="8">
        <v>93.91</v>
      </c>
      <c r="D94" s="9">
        <v>-1.5320633928733E-2</v>
      </c>
      <c r="E94" s="9">
        <v>-1.49027754140191E-2</v>
      </c>
      <c r="F94" s="8">
        <v>0</v>
      </c>
      <c r="G94" s="8">
        <v>0.25</v>
      </c>
      <c r="H94" s="8">
        <v>0</v>
      </c>
      <c r="I94" s="8">
        <v>0.94569999999999999</v>
      </c>
      <c r="J94" s="8">
        <v>0</v>
      </c>
      <c r="K94" s="8">
        <v>0</v>
      </c>
      <c r="L94" s="8">
        <v>28.5</v>
      </c>
      <c r="M94" s="8">
        <v>93.91</v>
      </c>
      <c r="N94" s="10">
        <v>3.2950877192982402</v>
      </c>
      <c r="O94" s="10">
        <v>3.2936632097661298</v>
      </c>
      <c r="P94" s="10">
        <v>3.2938308219643799</v>
      </c>
      <c r="Q94" s="10">
        <v>3.2952435289405</v>
      </c>
      <c r="R94" s="8">
        <v>93.869401478334694</v>
      </c>
      <c r="S94" s="8">
        <v>93.874979455144398</v>
      </c>
      <c r="T94" s="8">
        <v>93.912943981959401</v>
      </c>
      <c r="U94" s="9">
        <v>-4.3240655767550498E-4</v>
      </c>
      <c r="V94" s="9">
        <v>-3.7298558556929498E-4</v>
      </c>
      <c r="W94" s="9">
        <v>3.1348480620222703E-5</v>
      </c>
      <c r="X94" s="10">
        <v>3.2950877192982402</v>
      </c>
      <c r="Y94" s="10">
        <v>3.2927332496881698</v>
      </c>
      <c r="Z94" s="10">
        <v>3.2938308219643799</v>
      </c>
      <c r="AA94" s="10">
        <v>3.2952435289405</v>
      </c>
      <c r="AB94" s="8">
        <v>93.842897616113007</v>
      </c>
      <c r="AC94" s="8">
        <v>93.874979455144398</v>
      </c>
      <c r="AD94" s="8">
        <v>93.912943981959401</v>
      </c>
      <c r="AE94" s="9">
        <v>-7.1479468595133896E-4</v>
      </c>
      <c r="AF94" s="9">
        <v>-3.7298558556918401E-4</v>
      </c>
      <c r="AG94" s="9">
        <v>3.1348480620222703E-5</v>
      </c>
      <c r="AZ94" s="9"/>
      <c r="BB94">
        <f t="shared" si="22"/>
        <v>0</v>
      </c>
      <c r="BC94">
        <f t="shared" si="23"/>
        <v>1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3.1652646544265599E-3</v>
      </c>
      <c r="BL94" s="9"/>
      <c r="BN94">
        <f t="shared" si="30"/>
        <v>0</v>
      </c>
      <c r="BO94">
        <f t="shared" si="31"/>
        <v>0</v>
      </c>
      <c r="BP94">
        <f t="shared" si="32"/>
        <v>0</v>
      </c>
      <c r="BQ94">
        <f t="shared" si="21"/>
        <v>1</v>
      </c>
      <c r="BR94">
        <f t="shared" si="33"/>
        <v>0</v>
      </c>
      <c r="BS94" s="9">
        <f t="shared" si="34"/>
        <v>0</v>
      </c>
      <c r="BT94" s="9">
        <f t="shared" si="35"/>
        <v>0</v>
      </c>
      <c r="BU94" s="9">
        <f t="shared" si="36"/>
        <v>0</v>
      </c>
      <c r="BV94" s="12">
        <f t="shared" si="37"/>
        <v>0</v>
      </c>
      <c r="BX94" s="12">
        <f t="shared" si="38"/>
        <v>0</v>
      </c>
      <c r="BY94" s="12">
        <f t="shared" si="39"/>
        <v>3.1652646544265599E-3</v>
      </c>
    </row>
    <row r="95" spans="1:77" x14ac:dyDescent="0.3">
      <c r="A95" s="1">
        <v>46160</v>
      </c>
      <c r="B95" s="8">
        <v>28.85</v>
      </c>
      <c r="C95" s="8">
        <v>95.01</v>
      </c>
      <c r="D95" s="9">
        <v>1.2205905679503699E-2</v>
      </c>
      <c r="E95" s="9">
        <v>1.1645272402135899E-2</v>
      </c>
      <c r="F95" s="8">
        <v>0</v>
      </c>
      <c r="G95" s="8">
        <v>0.25</v>
      </c>
      <c r="H95" s="8">
        <v>0</v>
      </c>
      <c r="I95" s="8">
        <v>0.94569999999999999</v>
      </c>
      <c r="J95" s="8">
        <v>0</v>
      </c>
      <c r="K95" s="8">
        <v>0</v>
      </c>
      <c r="L95" s="8">
        <v>28.85</v>
      </c>
      <c r="M95" s="8">
        <v>95.01</v>
      </c>
      <c r="N95" s="10">
        <v>3.2932409012131698</v>
      </c>
      <c r="O95" s="10">
        <v>3.2936632097661298</v>
      </c>
      <c r="P95" s="10">
        <v>3.2935278402624899</v>
      </c>
      <c r="Q95" s="10">
        <v>3.2951687318959002</v>
      </c>
      <c r="R95" s="8">
        <v>95.0221836017529</v>
      </c>
      <c r="S95" s="8">
        <v>95.027019213672403</v>
      </c>
      <c r="T95" s="8">
        <v>95.067775809933593</v>
      </c>
      <c r="U95" s="9">
        <v>1.2822671969215901E-4</v>
      </c>
      <c r="V95" s="9">
        <v>1.79114719735517E-4</v>
      </c>
      <c r="W95" s="9">
        <v>6.07917590226096E-4</v>
      </c>
      <c r="X95" s="10">
        <v>3.2932409012131698</v>
      </c>
      <c r="Y95" s="10">
        <v>3.2927332496881698</v>
      </c>
      <c r="Z95" s="10">
        <v>3.2935278402624899</v>
      </c>
      <c r="AA95" s="10">
        <v>3.2951687318959002</v>
      </c>
      <c r="AB95" s="8">
        <v>94.995354253503905</v>
      </c>
      <c r="AC95" s="8">
        <v>95.027019213672403</v>
      </c>
      <c r="AD95" s="8">
        <v>95.067775809933593</v>
      </c>
      <c r="AE95" s="9">
        <v>-1.5416140858354299E-4</v>
      </c>
      <c r="AF95" s="9">
        <v>1.79114719735517E-4</v>
      </c>
      <c r="AG95" s="9">
        <v>6.07917590226096E-4</v>
      </c>
      <c r="AZ95" s="9"/>
      <c r="BB95">
        <f t="shared" si="22"/>
        <v>0</v>
      </c>
      <c r="BC95">
        <f t="shared" si="23"/>
        <v>1</v>
      </c>
      <c r="BD95">
        <f t="shared" si="24"/>
        <v>0</v>
      </c>
      <c r="BE95">
        <f t="shared" si="20"/>
        <v>1</v>
      </c>
      <c r="BF95">
        <f t="shared" si="25"/>
        <v>0</v>
      </c>
      <c r="BG95" s="9">
        <f t="shared" si="26"/>
        <v>0</v>
      </c>
      <c r="BH95" s="9">
        <f t="shared" si="27"/>
        <v>0</v>
      </c>
      <c r="BI95" s="9">
        <f t="shared" si="28"/>
        <v>0</v>
      </c>
      <c r="BJ95" s="12">
        <f t="shared" si="29"/>
        <v>3.1652646544265599E-3</v>
      </c>
      <c r="BL95" s="9"/>
      <c r="BN95">
        <f t="shared" si="30"/>
        <v>0</v>
      </c>
      <c r="BO95">
        <f t="shared" si="31"/>
        <v>0</v>
      </c>
      <c r="BP95">
        <f t="shared" si="32"/>
        <v>0</v>
      </c>
      <c r="BQ95">
        <f t="shared" si="21"/>
        <v>1</v>
      </c>
      <c r="BR95">
        <f t="shared" si="33"/>
        <v>0</v>
      </c>
      <c r="BS95" s="9">
        <f t="shared" si="34"/>
        <v>0</v>
      </c>
      <c r="BT95" s="9">
        <f t="shared" si="35"/>
        <v>0</v>
      </c>
      <c r="BU95" s="9">
        <f t="shared" si="36"/>
        <v>0</v>
      </c>
      <c r="BV95" s="12">
        <f t="shared" si="37"/>
        <v>0</v>
      </c>
      <c r="BX95" s="12">
        <f t="shared" si="38"/>
        <v>0</v>
      </c>
      <c r="BY95" s="12">
        <f t="shared" si="39"/>
        <v>3.1652646544265599E-3</v>
      </c>
    </row>
    <row r="96" spans="1:77" x14ac:dyDescent="0.3">
      <c r="A96" s="1">
        <v>46161</v>
      </c>
      <c r="B96" s="8">
        <v>28.94</v>
      </c>
      <c r="C96" s="8">
        <v>95.28</v>
      </c>
      <c r="D96" s="9">
        <v>3.1147282492291601E-3</v>
      </c>
      <c r="E96" s="9">
        <v>2.8377758283865298E-3</v>
      </c>
      <c r="F96" s="8">
        <v>0</v>
      </c>
      <c r="G96" s="8">
        <v>0.25</v>
      </c>
      <c r="H96" s="8">
        <v>0</v>
      </c>
      <c r="I96" s="8">
        <v>0.94569999999999999</v>
      </c>
      <c r="J96" s="8">
        <v>0</v>
      </c>
      <c r="K96" s="8">
        <v>0</v>
      </c>
      <c r="L96" s="8">
        <v>28.94</v>
      </c>
      <c r="M96" s="8">
        <v>95.28</v>
      </c>
      <c r="N96" s="10">
        <v>3.29232895646164</v>
      </c>
      <c r="O96" s="10">
        <v>3.2936632097661298</v>
      </c>
      <c r="P96" s="10">
        <v>3.2931221816917899</v>
      </c>
      <c r="Q96" s="10">
        <v>3.2949460237175998</v>
      </c>
      <c r="R96" s="8">
        <v>95.318613290631802</v>
      </c>
      <c r="S96" s="8">
        <v>95.314695697196498</v>
      </c>
      <c r="T96" s="8">
        <v>95.362183101067401</v>
      </c>
      <c r="U96" s="9">
        <v>4.0517914053479699E-4</v>
      </c>
      <c r="V96" s="9">
        <v>3.6407831238877402E-4</v>
      </c>
      <c r="W96" s="9">
        <v>8.6217126578619504E-4</v>
      </c>
      <c r="X96" s="10">
        <v>3.29232895646164</v>
      </c>
      <c r="Y96" s="10">
        <v>3.2927332496881698</v>
      </c>
      <c r="Z96" s="10">
        <v>3.2931221816917899</v>
      </c>
      <c r="AA96" s="10">
        <v>3.2949460237175998</v>
      </c>
      <c r="AB96" s="8">
        <v>95.291700245975804</v>
      </c>
      <c r="AC96" s="8">
        <v>95.314695697196498</v>
      </c>
      <c r="AD96" s="8">
        <v>95.362183101067401</v>
      </c>
      <c r="AE96" s="9">
        <v>1.2279101225938499E-4</v>
      </c>
      <c r="AF96" s="9">
        <v>3.6407831238877402E-4</v>
      </c>
      <c r="AG96" s="9">
        <v>8.6217126578619504E-4</v>
      </c>
      <c r="AZ96" s="9"/>
      <c r="BB96">
        <f t="shared" si="22"/>
        <v>0</v>
      </c>
      <c r="BC96">
        <f t="shared" si="23"/>
        <v>1</v>
      </c>
      <c r="BD96">
        <f t="shared" si="24"/>
        <v>0</v>
      </c>
      <c r="BE96">
        <f t="shared" si="20"/>
        <v>1</v>
      </c>
      <c r="BF96">
        <f t="shared" si="25"/>
        <v>0</v>
      </c>
      <c r="BG96" s="9">
        <f t="shared" si="26"/>
        <v>0</v>
      </c>
      <c r="BH96" s="9">
        <f t="shared" si="27"/>
        <v>0</v>
      </c>
      <c r="BI96" s="9">
        <f t="shared" si="28"/>
        <v>0</v>
      </c>
      <c r="BJ96" s="12">
        <f t="shared" si="29"/>
        <v>3.1652646544265599E-3</v>
      </c>
      <c r="BL96" s="9"/>
      <c r="BN96">
        <f t="shared" si="30"/>
        <v>0</v>
      </c>
      <c r="BO96">
        <f t="shared" si="31"/>
        <v>0</v>
      </c>
      <c r="BP96">
        <f t="shared" si="32"/>
        <v>0</v>
      </c>
      <c r="BQ96">
        <f t="shared" si="21"/>
        <v>1</v>
      </c>
      <c r="BR96">
        <f t="shared" si="33"/>
        <v>0</v>
      </c>
      <c r="BS96" s="9">
        <f t="shared" si="34"/>
        <v>0</v>
      </c>
      <c r="BT96" s="9">
        <f t="shared" si="35"/>
        <v>0</v>
      </c>
      <c r="BU96" s="9">
        <f t="shared" si="36"/>
        <v>0</v>
      </c>
      <c r="BV96" s="12">
        <f t="shared" si="37"/>
        <v>0</v>
      </c>
      <c r="BX96" s="12">
        <f t="shared" si="38"/>
        <v>0</v>
      </c>
      <c r="BY96" s="12">
        <f t="shared" si="39"/>
        <v>3.1652646544265599E-3</v>
      </c>
    </row>
    <row r="97" spans="1:77" x14ac:dyDescent="0.3">
      <c r="A97" s="1">
        <v>46162</v>
      </c>
      <c r="B97" s="8">
        <v>29.3</v>
      </c>
      <c r="C97" s="8">
        <v>96.49</v>
      </c>
      <c r="D97" s="9">
        <v>1.2362794819683699E-2</v>
      </c>
      <c r="E97" s="9">
        <v>1.26194509852477E-2</v>
      </c>
      <c r="F97" s="8">
        <v>0</v>
      </c>
      <c r="G97" s="8">
        <v>0.25</v>
      </c>
      <c r="H97" s="8">
        <v>0</v>
      </c>
      <c r="I97" s="8">
        <v>0.94569999999999999</v>
      </c>
      <c r="J97" s="8">
        <v>0</v>
      </c>
      <c r="K97" s="8">
        <v>0</v>
      </c>
      <c r="L97" s="8">
        <v>29.3</v>
      </c>
      <c r="M97" s="8">
        <v>96.49</v>
      </c>
      <c r="N97" s="10">
        <v>3.2931740614334402</v>
      </c>
      <c r="O97" s="10">
        <v>3.2936632097661298</v>
      </c>
      <c r="P97" s="10">
        <v>3.2929859061249198</v>
      </c>
      <c r="Q97" s="10">
        <v>3.2948783412890901</v>
      </c>
      <c r="R97" s="8">
        <v>96.504332046147596</v>
      </c>
      <c r="S97" s="8">
        <v>96.4884799235694</v>
      </c>
      <c r="T97" s="8">
        <v>96.541918494925696</v>
      </c>
      <c r="U97" s="9">
        <v>1.4852297497109799E-4</v>
      </c>
      <c r="V97" s="9">
        <v>-1.57538439637613E-5</v>
      </c>
      <c r="W97" s="9">
        <v>5.3792654170857501E-4</v>
      </c>
      <c r="X97" s="10">
        <v>3.2931740614334402</v>
      </c>
      <c r="Y97" s="10">
        <v>3.2927332496881698</v>
      </c>
      <c r="Z97" s="10">
        <v>3.2929859061249198</v>
      </c>
      <c r="AA97" s="10">
        <v>3.2948783412890901</v>
      </c>
      <c r="AB97" s="8">
        <v>96.477084215863599</v>
      </c>
      <c r="AC97" s="8">
        <v>96.4884799235695</v>
      </c>
      <c r="AD97" s="8">
        <v>96.541918494925696</v>
      </c>
      <c r="AE97" s="9">
        <v>-1.3386515330466499E-4</v>
      </c>
      <c r="AF97" s="9">
        <v>-1.5753843963650301E-5</v>
      </c>
      <c r="AG97" s="9">
        <v>5.3792654170857501E-4</v>
      </c>
      <c r="AZ97" s="9"/>
      <c r="BB97">
        <f t="shared" si="22"/>
        <v>0</v>
      </c>
      <c r="BC97">
        <f t="shared" si="23"/>
        <v>1</v>
      </c>
      <c r="BD97">
        <f t="shared" si="24"/>
        <v>0</v>
      </c>
      <c r="BE97">
        <f t="shared" si="20"/>
        <v>1</v>
      </c>
      <c r="BF97">
        <f t="shared" si="25"/>
        <v>0</v>
      </c>
      <c r="BG97" s="9">
        <f t="shared" si="26"/>
        <v>0</v>
      </c>
      <c r="BH97" s="9">
        <f t="shared" si="27"/>
        <v>0</v>
      </c>
      <c r="BI97" s="9">
        <f t="shared" si="28"/>
        <v>0</v>
      </c>
      <c r="BJ97" s="12">
        <f t="shared" si="29"/>
        <v>3.1652646544265599E-3</v>
      </c>
      <c r="BL97" s="9"/>
      <c r="BN97">
        <f t="shared" si="30"/>
        <v>0</v>
      </c>
      <c r="BO97">
        <f t="shared" si="31"/>
        <v>0</v>
      </c>
      <c r="BP97">
        <f t="shared" si="32"/>
        <v>0</v>
      </c>
      <c r="BQ97">
        <f t="shared" si="21"/>
        <v>1</v>
      </c>
      <c r="BR97">
        <f t="shared" si="33"/>
        <v>0</v>
      </c>
      <c r="BS97" s="9">
        <f t="shared" si="34"/>
        <v>0</v>
      </c>
      <c r="BT97" s="9">
        <f t="shared" si="35"/>
        <v>0</v>
      </c>
      <c r="BU97" s="9">
        <f t="shared" si="36"/>
        <v>0</v>
      </c>
      <c r="BV97" s="12">
        <f t="shared" si="37"/>
        <v>0</v>
      </c>
      <c r="BX97" s="12">
        <f t="shared" si="38"/>
        <v>0</v>
      </c>
      <c r="BY97" s="12">
        <f t="shared" si="39"/>
        <v>3.1652646544265599E-3</v>
      </c>
    </row>
    <row r="98" spans="1:77" x14ac:dyDescent="0.3">
      <c r="A98" s="1">
        <v>46163</v>
      </c>
      <c r="B98" s="8">
        <v>29.36</v>
      </c>
      <c r="C98" s="8">
        <v>96.67</v>
      </c>
      <c r="D98" s="9">
        <v>2.0456877232930999E-3</v>
      </c>
      <c r="E98" s="9">
        <v>1.86374044422164E-3</v>
      </c>
      <c r="F98" s="8">
        <v>0</v>
      </c>
      <c r="G98" s="8">
        <v>0.25</v>
      </c>
      <c r="H98" s="8">
        <v>0</v>
      </c>
      <c r="I98" s="8">
        <v>0.94569999999999999</v>
      </c>
      <c r="J98" s="8">
        <v>0</v>
      </c>
      <c r="K98" s="8">
        <v>0</v>
      </c>
      <c r="L98" s="8">
        <v>29.36</v>
      </c>
      <c r="M98" s="8">
        <v>96.67</v>
      </c>
      <c r="N98" s="10">
        <v>3.2925749318800999</v>
      </c>
      <c r="O98" s="10">
        <v>3.2936632097661298</v>
      </c>
      <c r="P98" s="10">
        <v>3.29315497322894</v>
      </c>
      <c r="Q98" s="10">
        <v>3.2946417563913899</v>
      </c>
      <c r="R98" s="8">
        <v>96.701951838733606</v>
      </c>
      <c r="S98" s="8">
        <v>96.682066203827702</v>
      </c>
      <c r="T98" s="8">
        <v>96.737628100247903</v>
      </c>
      <c r="U98" s="9">
        <v>3.3047025404263401E-4</v>
      </c>
      <c r="V98" s="9">
        <v>1.24810704951727E-4</v>
      </c>
      <c r="W98" s="9">
        <v>6.9933232384312798E-4</v>
      </c>
      <c r="X98" s="10">
        <v>3.2925749318800999</v>
      </c>
      <c r="Y98" s="10">
        <v>3.2927332496881698</v>
      </c>
      <c r="Z98" s="10">
        <v>3.29315497322894</v>
      </c>
      <c r="AA98" s="10">
        <v>3.2946417563913899</v>
      </c>
      <c r="AB98" s="8">
        <v>96.674648210844893</v>
      </c>
      <c r="AC98" s="8">
        <v>96.682066203827702</v>
      </c>
      <c r="AD98" s="8">
        <v>96.737628100247903</v>
      </c>
      <c r="AE98" s="9">
        <v>4.8082125766734698E-5</v>
      </c>
      <c r="AF98" s="9">
        <v>1.24810704951727E-4</v>
      </c>
      <c r="AG98" s="9">
        <v>6.9933232384312798E-4</v>
      </c>
      <c r="AZ98" s="9"/>
      <c r="BB98">
        <f t="shared" si="22"/>
        <v>0</v>
      </c>
      <c r="BC98">
        <f t="shared" si="23"/>
        <v>1</v>
      </c>
      <c r="BD98">
        <f t="shared" si="24"/>
        <v>0</v>
      </c>
      <c r="BE98">
        <f t="shared" si="20"/>
        <v>1</v>
      </c>
      <c r="BF98">
        <f t="shared" si="25"/>
        <v>0</v>
      </c>
      <c r="BG98" s="9">
        <f t="shared" si="26"/>
        <v>0</v>
      </c>
      <c r="BH98" s="9">
        <f t="shared" si="27"/>
        <v>0</v>
      </c>
      <c r="BI98" s="9">
        <f t="shared" si="28"/>
        <v>0</v>
      </c>
      <c r="BJ98" s="12">
        <f t="shared" si="29"/>
        <v>3.1652646544265599E-3</v>
      </c>
      <c r="BL98" s="9"/>
      <c r="BN98">
        <f t="shared" si="30"/>
        <v>0</v>
      </c>
      <c r="BO98">
        <f t="shared" si="31"/>
        <v>0</v>
      </c>
      <c r="BP98">
        <f t="shared" si="32"/>
        <v>0</v>
      </c>
      <c r="BQ98">
        <f t="shared" si="21"/>
        <v>1</v>
      </c>
      <c r="BR98">
        <f t="shared" si="33"/>
        <v>0</v>
      </c>
      <c r="BS98" s="9">
        <f t="shared" si="34"/>
        <v>0</v>
      </c>
      <c r="BT98" s="9">
        <f t="shared" si="35"/>
        <v>0</v>
      </c>
      <c r="BU98" s="9">
        <f t="shared" si="36"/>
        <v>0</v>
      </c>
      <c r="BV98" s="12">
        <f t="shared" si="37"/>
        <v>0</v>
      </c>
      <c r="BX98" s="12">
        <f t="shared" si="38"/>
        <v>0</v>
      </c>
      <c r="BY98" s="12">
        <f t="shared" si="39"/>
        <v>3.1652646544265599E-3</v>
      </c>
    </row>
    <row r="99" spans="1:77" x14ac:dyDescent="0.3">
      <c r="A99" s="1">
        <v>46164</v>
      </c>
      <c r="B99" s="8">
        <v>29.4</v>
      </c>
      <c r="C99" s="8">
        <v>96.77</v>
      </c>
      <c r="D99" s="9">
        <v>1.36147059832117E-3</v>
      </c>
      <c r="E99" s="9">
        <v>1.0339124163371101E-3</v>
      </c>
      <c r="F99" s="8">
        <v>0</v>
      </c>
      <c r="G99" s="8">
        <v>0.25</v>
      </c>
      <c r="H99" s="8">
        <v>0</v>
      </c>
      <c r="I99" s="8">
        <v>0.94569999999999999</v>
      </c>
      <c r="J99" s="8">
        <v>0</v>
      </c>
      <c r="K99" s="8">
        <v>0</v>
      </c>
      <c r="L99" s="8">
        <v>29.4</v>
      </c>
      <c r="M99" s="8">
        <v>96.77</v>
      </c>
      <c r="N99" s="10">
        <v>3.29149659863945</v>
      </c>
      <c r="O99" s="10">
        <v>3.2936632097661298</v>
      </c>
      <c r="P99" s="10">
        <v>3.2931053145238902</v>
      </c>
      <c r="Q99" s="10">
        <v>3.2942806223219798</v>
      </c>
      <c r="R99" s="8">
        <v>96.8336983671242</v>
      </c>
      <c r="S99" s="8">
        <v>96.818756212930893</v>
      </c>
      <c r="T99" s="8">
        <v>96.862467637906903</v>
      </c>
      <c r="U99" s="9">
        <v>6.5802843602639301E-4</v>
      </c>
      <c r="V99" s="9">
        <v>5.0370915042449596E-4</v>
      </c>
      <c r="W99" s="9">
        <v>9.5508409373573698E-4</v>
      </c>
      <c r="X99" s="10">
        <v>3.29149659863945</v>
      </c>
      <c r="Y99" s="10">
        <v>3.2927332496881698</v>
      </c>
      <c r="Z99" s="10">
        <v>3.2931053145238902</v>
      </c>
      <c r="AA99" s="10">
        <v>3.2942806223219798</v>
      </c>
      <c r="AB99" s="8">
        <v>96.806357540832394</v>
      </c>
      <c r="AC99" s="8">
        <v>96.818756212930893</v>
      </c>
      <c r="AD99" s="8">
        <v>96.862467637906903</v>
      </c>
      <c r="AE99" s="9">
        <v>3.7564030775084797E-4</v>
      </c>
      <c r="AF99" s="9">
        <v>5.0370915042449596E-4</v>
      </c>
      <c r="AG99" s="9">
        <v>9.5508409373573698E-4</v>
      </c>
      <c r="AZ99" s="9"/>
      <c r="BB99">
        <f t="shared" si="22"/>
        <v>0</v>
      </c>
      <c r="BC99">
        <f t="shared" si="23"/>
        <v>1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3.1652646544265599E-3</v>
      </c>
      <c r="BL99" s="9"/>
      <c r="BN99">
        <f t="shared" si="30"/>
        <v>0</v>
      </c>
      <c r="BO99">
        <f t="shared" si="31"/>
        <v>0</v>
      </c>
      <c r="BP99">
        <f t="shared" si="32"/>
        <v>0</v>
      </c>
      <c r="BQ99">
        <f t="shared" si="21"/>
        <v>1</v>
      </c>
      <c r="BR99">
        <f t="shared" si="33"/>
        <v>0</v>
      </c>
      <c r="BS99" s="9">
        <f t="shared" si="34"/>
        <v>0</v>
      </c>
      <c r="BT99" s="9">
        <f t="shared" si="35"/>
        <v>0</v>
      </c>
      <c r="BU99" s="9">
        <f t="shared" si="36"/>
        <v>0</v>
      </c>
      <c r="BV99" s="12">
        <f t="shared" si="37"/>
        <v>0</v>
      </c>
      <c r="BX99" s="12">
        <f t="shared" si="38"/>
        <v>0</v>
      </c>
      <c r="BY99" s="12">
        <f t="shared" si="39"/>
        <v>3.1652646544265599E-3</v>
      </c>
    </row>
    <row r="100" spans="1:77" x14ac:dyDescent="0.3">
      <c r="A100" s="1">
        <v>46168</v>
      </c>
      <c r="B100" s="8">
        <v>29.53</v>
      </c>
      <c r="C100" s="8">
        <v>97.22</v>
      </c>
      <c r="D100" s="9">
        <v>4.4120214111953897E-3</v>
      </c>
      <c r="E100" s="9">
        <v>4.6394227244581998E-3</v>
      </c>
      <c r="F100" s="8">
        <v>0</v>
      </c>
      <c r="G100" s="8">
        <v>0.25</v>
      </c>
      <c r="H100" s="8">
        <v>0</v>
      </c>
      <c r="I100" s="8">
        <v>0.94569999999999999</v>
      </c>
      <c r="J100" s="8">
        <v>0</v>
      </c>
      <c r="K100" s="8">
        <v>0</v>
      </c>
      <c r="L100" s="8">
        <v>29.53</v>
      </c>
      <c r="M100" s="8">
        <v>97.22</v>
      </c>
      <c r="N100" s="10">
        <v>3.2922451743989098</v>
      </c>
      <c r="O100" s="10">
        <v>3.2936632097661298</v>
      </c>
      <c r="P100" s="10">
        <v>3.2928920125430001</v>
      </c>
      <c r="Q100" s="10">
        <v>3.2939433509340201</v>
      </c>
      <c r="R100" s="8">
        <v>97.261874584393794</v>
      </c>
      <c r="S100" s="8">
        <v>97.245399937890596</v>
      </c>
      <c r="T100" s="8">
        <v>97.280106777168001</v>
      </c>
      <c r="U100" s="9">
        <v>4.30627122763589E-4</v>
      </c>
      <c r="V100" s="9">
        <v>2.6122835263475198E-4</v>
      </c>
      <c r="W100" s="9">
        <v>6.1806422708393996E-4</v>
      </c>
      <c r="X100" s="10">
        <v>3.2922451743989098</v>
      </c>
      <c r="Y100" s="10">
        <v>3.2927332496881698</v>
      </c>
      <c r="Z100" s="10">
        <v>3.2928920125430001</v>
      </c>
      <c r="AA100" s="10">
        <v>3.2939433509340201</v>
      </c>
      <c r="AB100" s="8">
        <v>97.234412863291894</v>
      </c>
      <c r="AC100" s="8">
        <v>97.245399937890596</v>
      </c>
      <c r="AD100" s="8">
        <v>97.280106777168001</v>
      </c>
      <c r="AE100" s="9">
        <v>1.48238994487886E-4</v>
      </c>
      <c r="AF100" s="9">
        <v>2.6122835263475198E-4</v>
      </c>
      <c r="AG100" s="9">
        <v>6.1806422708416103E-4</v>
      </c>
      <c r="AZ100" s="9"/>
      <c r="BB100">
        <f t="shared" si="22"/>
        <v>0</v>
      </c>
      <c r="BC100">
        <f t="shared" si="23"/>
        <v>1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3.1652646544265599E-3</v>
      </c>
      <c r="BL100" s="9"/>
      <c r="BN100">
        <f t="shared" si="30"/>
        <v>0</v>
      </c>
      <c r="BO100">
        <f t="shared" si="31"/>
        <v>0</v>
      </c>
      <c r="BP100">
        <f t="shared" si="32"/>
        <v>0</v>
      </c>
      <c r="BQ100">
        <f t="shared" si="21"/>
        <v>1</v>
      </c>
      <c r="BR100">
        <f t="shared" si="33"/>
        <v>0</v>
      </c>
      <c r="BS100" s="9">
        <f t="shared" si="34"/>
        <v>0</v>
      </c>
      <c r="BT100" s="9">
        <f t="shared" si="35"/>
        <v>0</v>
      </c>
      <c r="BU100" s="9">
        <f t="shared" si="36"/>
        <v>0</v>
      </c>
      <c r="BV100" s="12">
        <f t="shared" si="37"/>
        <v>0</v>
      </c>
      <c r="BX100" s="12">
        <f t="shared" si="38"/>
        <v>0</v>
      </c>
      <c r="BY100" s="12">
        <f t="shared" si="39"/>
        <v>3.1652646544265599E-3</v>
      </c>
    </row>
    <row r="101" spans="1:77" x14ac:dyDescent="0.3">
      <c r="A101" s="1">
        <v>46169</v>
      </c>
      <c r="B101" s="8">
        <v>29.46</v>
      </c>
      <c r="C101" s="8">
        <v>96.92</v>
      </c>
      <c r="D101" s="9">
        <v>-2.3732847213471298E-3</v>
      </c>
      <c r="E101" s="9">
        <v>-3.0905556689843901E-3</v>
      </c>
      <c r="F101" s="8">
        <v>0</v>
      </c>
      <c r="G101" s="8">
        <v>0.25</v>
      </c>
      <c r="H101" s="8">
        <v>0</v>
      </c>
      <c r="I101" s="8">
        <v>0.94569999999999999</v>
      </c>
      <c r="J101" s="8">
        <v>0</v>
      </c>
      <c r="K101" s="8">
        <v>0</v>
      </c>
      <c r="L101" s="8">
        <v>29.46</v>
      </c>
      <c r="M101" s="8">
        <v>96.92</v>
      </c>
      <c r="N101" s="10">
        <v>3.2898845892735902</v>
      </c>
      <c r="O101" s="10">
        <v>3.2936632097661298</v>
      </c>
      <c r="P101" s="10">
        <v>3.2926669883242901</v>
      </c>
      <c r="Q101" s="10">
        <v>3.2936374425617201</v>
      </c>
      <c r="R101" s="8">
        <v>97.031318159710196</v>
      </c>
      <c r="S101" s="8">
        <v>97.008598689516901</v>
      </c>
      <c r="T101" s="8">
        <v>97.039571118516307</v>
      </c>
      <c r="U101" s="9">
        <v>1.1478980704009399E-3</v>
      </c>
      <c r="V101" s="9">
        <v>9.1372490988752501E-4</v>
      </c>
      <c r="W101" s="9">
        <v>1.2329490416391E-3</v>
      </c>
      <c r="X101" s="10">
        <v>3.2898845892735902</v>
      </c>
      <c r="Y101" s="10">
        <v>3.2927332496881698</v>
      </c>
      <c r="Z101" s="10">
        <v>3.2926669883242901</v>
      </c>
      <c r="AA101" s="10">
        <v>3.2936374425617201</v>
      </c>
      <c r="AB101" s="8">
        <v>97.003921535813703</v>
      </c>
      <c r="AC101" s="8">
        <v>97.008598689516901</v>
      </c>
      <c r="AD101" s="8">
        <v>97.039571118516307</v>
      </c>
      <c r="AE101" s="9">
        <v>8.6550994212532305E-4</v>
      </c>
      <c r="AF101" s="9">
        <v>9.1372490988752501E-4</v>
      </c>
      <c r="AG101" s="9">
        <v>1.2329490416391E-3</v>
      </c>
      <c r="AZ101" s="9"/>
      <c r="BB101">
        <f t="shared" si="22"/>
        <v>0</v>
      </c>
      <c r="BC101">
        <f t="shared" si="23"/>
        <v>1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3.1652646544265599E-3</v>
      </c>
      <c r="BL101" s="9"/>
      <c r="BN101">
        <f t="shared" si="30"/>
        <v>0</v>
      </c>
      <c r="BO101">
        <f t="shared" si="31"/>
        <v>0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0</v>
      </c>
      <c r="BX101" s="12">
        <f t="shared" si="38"/>
        <v>0</v>
      </c>
      <c r="BY101" s="12">
        <f t="shared" si="39"/>
        <v>3.1652646544265599E-3</v>
      </c>
    </row>
    <row r="102" spans="1:77" x14ac:dyDescent="0.3">
      <c r="A102" s="1">
        <v>46170</v>
      </c>
      <c r="B102" s="8">
        <v>29.34</v>
      </c>
      <c r="C102" s="8">
        <v>96.55</v>
      </c>
      <c r="D102" s="9">
        <v>-4.0816383196486099E-3</v>
      </c>
      <c r="E102" s="9">
        <v>-3.8248870738015199E-3</v>
      </c>
      <c r="F102" s="8">
        <v>0</v>
      </c>
      <c r="G102" s="8">
        <v>0.25</v>
      </c>
      <c r="H102" s="8">
        <v>0</v>
      </c>
      <c r="I102" s="8">
        <v>0.94569999999999999</v>
      </c>
      <c r="J102" s="8">
        <v>0</v>
      </c>
      <c r="K102" s="8">
        <v>0</v>
      </c>
      <c r="L102" s="8">
        <v>29.34</v>
      </c>
      <c r="M102" s="8">
        <v>96.55</v>
      </c>
      <c r="N102" s="10">
        <v>3.2907293796864301</v>
      </c>
      <c r="O102" s="10">
        <v>3.2936632097661298</v>
      </c>
      <c r="P102" s="10">
        <v>3.2924473438753501</v>
      </c>
      <c r="Q102" s="10">
        <v>3.29335973995869</v>
      </c>
      <c r="R102" s="8">
        <v>96.636078574538303</v>
      </c>
      <c r="S102" s="8">
        <v>96.606849437434803</v>
      </c>
      <c r="T102" s="8">
        <v>96.635322564761097</v>
      </c>
      <c r="U102" s="9">
        <v>8.9114682455413102E-4</v>
      </c>
      <c r="V102" s="9">
        <v>5.8863497972671001E-4</v>
      </c>
      <c r="W102" s="9">
        <v>8.8332352764894199E-4</v>
      </c>
      <c r="X102" s="10">
        <v>3.2907293796864301</v>
      </c>
      <c r="Y102" s="10">
        <v>3.2927332496881698</v>
      </c>
      <c r="Z102" s="10">
        <v>3.2924473438753501</v>
      </c>
      <c r="AA102" s="10">
        <v>3.29335973995869</v>
      </c>
      <c r="AB102" s="8">
        <v>96.6087935458511</v>
      </c>
      <c r="AC102" s="8">
        <v>96.606849437434803</v>
      </c>
      <c r="AD102" s="8">
        <v>96.635322564761097</v>
      </c>
      <c r="AE102" s="9">
        <v>6.0875869627847296E-4</v>
      </c>
      <c r="AF102" s="9">
        <v>5.8863497972671001E-4</v>
      </c>
      <c r="AG102" s="9">
        <v>8.8332352764894199E-4</v>
      </c>
      <c r="AZ102" s="9"/>
      <c r="BB102">
        <f t="shared" si="22"/>
        <v>0</v>
      </c>
      <c r="BC102">
        <f t="shared" si="23"/>
        <v>1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3.1652646544265599E-3</v>
      </c>
      <c r="BL102" s="9"/>
      <c r="BN102">
        <f t="shared" si="30"/>
        <v>0</v>
      </c>
      <c r="BO102">
        <f t="shared" si="31"/>
        <v>0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0</v>
      </c>
      <c r="BX102" s="12">
        <f t="shared" si="38"/>
        <v>0</v>
      </c>
      <c r="BY102" s="12">
        <f t="shared" si="39"/>
        <v>3.1652646544265599E-3</v>
      </c>
    </row>
    <row r="103" spans="1:77" x14ac:dyDescent="0.3">
      <c r="A103" s="1">
        <v>46171</v>
      </c>
      <c r="B103" s="8">
        <v>29.07</v>
      </c>
      <c r="C103" s="8">
        <v>95.7</v>
      </c>
      <c r="D103" s="9">
        <v>-9.2450581440510493E-3</v>
      </c>
      <c r="E103" s="9">
        <v>-8.84271041561485E-3</v>
      </c>
      <c r="F103" s="8">
        <v>0</v>
      </c>
      <c r="G103" s="8">
        <v>0.25</v>
      </c>
      <c r="H103" s="8">
        <v>0</v>
      </c>
      <c r="I103" s="8">
        <v>0.94569999999999999</v>
      </c>
      <c r="J103" s="8">
        <v>0</v>
      </c>
      <c r="K103" s="8">
        <v>0</v>
      </c>
      <c r="L103" s="8">
        <v>29.07</v>
      </c>
      <c r="M103" s="8">
        <v>95.7</v>
      </c>
      <c r="N103" s="10">
        <v>3.2920536635706901</v>
      </c>
      <c r="O103" s="10">
        <v>3.2936632097661298</v>
      </c>
      <c r="P103" s="10">
        <v>3.2922815975855699</v>
      </c>
      <c r="Q103" s="10">
        <v>3.2930702629181199</v>
      </c>
      <c r="R103" s="8">
        <v>95.746789507901397</v>
      </c>
      <c r="S103" s="8">
        <v>95.711444286456597</v>
      </c>
      <c r="T103" s="8">
        <v>95.737967640599194</v>
      </c>
      <c r="U103" s="9">
        <v>4.88799096117794E-4</v>
      </c>
      <c r="V103" s="9">
        <v>1.19577870727059E-4</v>
      </c>
      <c r="W103" s="9">
        <v>3.9665737747847401E-4</v>
      </c>
      <c r="X103" s="10">
        <v>3.2920536635706901</v>
      </c>
      <c r="Y103" s="10">
        <v>3.2927332496881698</v>
      </c>
      <c r="Z103" s="10">
        <v>3.2922815975855699</v>
      </c>
      <c r="AA103" s="10">
        <v>3.2930702629181199</v>
      </c>
      <c r="AB103" s="8">
        <v>95.719755568435303</v>
      </c>
      <c r="AC103" s="8">
        <v>95.711444286456597</v>
      </c>
      <c r="AD103" s="8">
        <v>95.737967640599194</v>
      </c>
      <c r="AE103" s="9">
        <v>2.0641096784203199E-4</v>
      </c>
      <c r="AF103" s="9">
        <v>1.19577870727059E-4</v>
      </c>
      <c r="AG103" s="9">
        <v>3.9665737747847401E-4</v>
      </c>
      <c r="AZ103" s="9"/>
      <c r="BB103">
        <f t="shared" si="22"/>
        <v>0</v>
      </c>
      <c r="BC103">
        <f t="shared" si="23"/>
        <v>1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3.1652646544265599E-3</v>
      </c>
      <c r="BL103" s="9"/>
      <c r="BN103">
        <f t="shared" si="30"/>
        <v>0</v>
      </c>
      <c r="BO103">
        <f t="shared" si="31"/>
        <v>0</v>
      </c>
      <c r="BP103">
        <f t="shared" si="32"/>
        <v>0</v>
      </c>
      <c r="BQ103">
        <f t="shared" si="21"/>
        <v>1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0</v>
      </c>
      <c r="BX103" s="12">
        <f t="shared" si="38"/>
        <v>0</v>
      </c>
      <c r="BY103" s="12">
        <f t="shared" si="39"/>
        <v>3.1652646544265599E-3</v>
      </c>
    </row>
    <row r="104" spans="1:77" x14ac:dyDescent="0.3">
      <c r="A104" s="1">
        <v>46174</v>
      </c>
      <c r="B104" s="8">
        <v>28.59</v>
      </c>
      <c r="C104" s="8">
        <v>94.09</v>
      </c>
      <c r="D104" s="9">
        <v>-1.6649708236564101E-2</v>
      </c>
      <c r="E104" s="9">
        <v>-1.6966527440234299E-2</v>
      </c>
      <c r="F104" s="8">
        <v>0</v>
      </c>
      <c r="G104" s="8">
        <v>0.25</v>
      </c>
      <c r="H104" s="8">
        <v>0</v>
      </c>
      <c r="I104" s="8">
        <v>0.94569999999999999</v>
      </c>
      <c r="J104" s="8">
        <v>0</v>
      </c>
      <c r="K104" s="8">
        <v>0</v>
      </c>
      <c r="L104" s="8">
        <v>28.59</v>
      </c>
      <c r="M104" s="8">
        <v>94.09</v>
      </c>
      <c r="N104" s="10">
        <v>3.2910108429520801</v>
      </c>
      <c r="O104" s="10">
        <v>3.2936632097661298</v>
      </c>
      <c r="P104" s="10">
        <v>3.29187390995095</v>
      </c>
      <c r="Q104" s="10">
        <v>3.2928523659576601</v>
      </c>
      <c r="R104" s="8">
        <v>94.165831167213696</v>
      </c>
      <c r="S104" s="8">
        <v>94.126330874971401</v>
      </c>
      <c r="T104" s="8">
        <v>94.148878816829196</v>
      </c>
      <c r="U104" s="9">
        <v>8.0561829978780496E-4</v>
      </c>
      <c r="V104" s="9">
        <v>3.8605444335010401E-4</v>
      </c>
      <c r="W104" s="9">
        <v>6.2557553593009399E-4</v>
      </c>
      <c r="X104" s="10">
        <v>3.2910108429520801</v>
      </c>
      <c r="Y104" s="10">
        <v>3.2927332496881698</v>
      </c>
      <c r="Z104" s="10">
        <v>3.29187390995095</v>
      </c>
      <c r="AA104" s="10">
        <v>3.2928523659576601</v>
      </c>
      <c r="AB104" s="8">
        <v>94.139243608585005</v>
      </c>
      <c r="AC104" s="8">
        <v>94.126330874971401</v>
      </c>
      <c r="AD104" s="8">
        <v>94.148878816829196</v>
      </c>
      <c r="AE104" s="9">
        <v>5.2323017151212695E-4</v>
      </c>
      <c r="AF104" s="9">
        <v>3.8605444335010401E-4</v>
      </c>
      <c r="AG104" s="9">
        <v>6.2557553593009399E-4</v>
      </c>
      <c r="AZ104" s="9"/>
      <c r="BB104">
        <f t="shared" si="22"/>
        <v>0</v>
      </c>
      <c r="BC104">
        <f t="shared" si="23"/>
        <v>1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3.1652646544265599E-3</v>
      </c>
      <c r="BL104" s="9"/>
      <c r="BN104">
        <f t="shared" si="30"/>
        <v>0</v>
      </c>
      <c r="BO104">
        <f t="shared" si="31"/>
        <v>0</v>
      </c>
      <c r="BP104">
        <f t="shared" si="32"/>
        <v>0</v>
      </c>
      <c r="BQ104">
        <f t="shared" si="21"/>
        <v>1</v>
      </c>
      <c r="BR104">
        <f t="shared" si="33"/>
        <v>0</v>
      </c>
      <c r="BS104" s="9">
        <f t="shared" si="34"/>
        <v>0</v>
      </c>
      <c r="BT104" s="9">
        <f t="shared" si="35"/>
        <v>0</v>
      </c>
      <c r="BU104" s="9">
        <f t="shared" si="36"/>
        <v>0</v>
      </c>
      <c r="BV104" s="12">
        <f t="shared" si="37"/>
        <v>0</v>
      </c>
      <c r="BX104" s="12">
        <f t="shared" si="38"/>
        <v>0</v>
      </c>
      <c r="BY104" s="12">
        <f t="shared" si="39"/>
        <v>3.1652646544265599E-3</v>
      </c>
    </row>
    <row r="105" spans="1:77" x14ac:dyDescent="0.3">
      <c r="A105" s="1">
        <v>46175</v>
      </c>
      <c r="B105" s="8">
        <v>28.71</v>
      </c>
      <c r="C105" s="8">
        <v>94.52</v>
      </c>
      <c r="D105" s="9">
        <v>4.1884877987522096E-3</v>
      </c>
      <c r="E105" s="9">
        <v>4.5596813000327602E-3</v>
      </c>
      <c r="F105" s="8">
        <v>0</v>
      </c>
      <c r="G105" s="8">
        <v>0.25</v>
      </c>
      <c r="H105" s="8">
        <v>0</v>
      </c>
      <c r="I105" s="8">
        <v>0.94569999999999999</v>
      </c>
      <c r="J105" s="8">
        <v>0</v>
      </c>
      <c r="K105" s="8">
        <v>0</v>
      </c>
      <c r="L105" s="8">
        <v>28.71</v>
      </c>
      <c r="M105" s="8">
        <v>94.52</v>
      </c>
      <c r="N105" s="10">
        <v>3.2922326715430099</v>
      </c>
      <c r="O105" s="10">
        <v>3.2936632097661298</v>
      </c>
      <c r="P105" s="10">
        <v>3.2917730869839299</v>
      </c>
      <c r="Q105" s="10">
        <v>3.2926504636232101</v>
      </c>
      <c r="R105" s="8">
        <v>94.561070752385604</v>
      </c>
      <c r="S105" s="8">
        <v>94.509699954691897</v>
      </c>
      <c r="T105" s="8">
        <v>94.537791426644603</v>
      </c>
      <c r="U105" s="9">
        <v>4.3442479850749698E-4</v>
      </c>
      <c r="V105" s="9">
        <v>-1.08978063455056E-4</v>
      </c>
      <c r="W105" s="9">
        <v>1.88211515250729E-4</v>
      </c>
      <c r="X105" s="10">
        <v>3.2922326715430099</v>
      </c>
      <c r="Y105" s="10">
        <v>3.2927332496881698</v>
      </c>
      <c r="Z105" s="10">
        <v>3.2917730869839299</v>
      </c>
      <c r="AA105" s="10">
        <v>3.2926504636232101</v>
      </c>
      <c r="AB105" s="8">
        <v>94.534371598547594</v>
      </c>
      <c r="AC105" s="8">
        <v>94.509699954691897</v>
      </c>
      <c r="AD105" s="8">
        <v>94.537791426644603</v>
      </c>
      <c r="AE105" s="9">
        <v>1.5203667023158099E-4</v>
      </c>
      <c r="AF105" s="9">
        <v>-1.08978063455056E-4</v>
      </c>
      <c r="AG105" s="9">
        <v>1.88211515250729E-4</v>
      </c>
      <c r="AZ105" s="9"/>
      <c r="BB105">
        <f t="shared" si="22"/>
        <v>0</v>
      </c>
      <c r="BC105">
        <f t="shared" si="23"/>
        <v>1</v>
      </c>
      <c r="BD105">
        <f t="shared" si="24"/>
        <v>0</v>
      </c>
      <c r="BE105">
        <f t="shared" si="20"/>
        <v>1</v>
      </c>
      <c r="BF105">
        <f t="shared" si="25"/>
        <v>0</v>
      </c>
      <c r="BG105" s="9">
        <f t="shared" si="26"/>
        <v>0</v>
      </c>
      <c r="BH105" s="9">
        <f t="shared" si="27"/>
        <v>0</v>
      </c>
      <c r="BI105" s="9">
        <f t="shared" si="28"/>
        <v>0</v>
      </c>
      <c r="BJ105" s="12">
        <f t="shared" si="29"/>
        <v>3.1652646544265599E-3</v>
      </c>
      <c r="BL105" s="9"/>
      <c r="BN105">
        <f t="shared" si="30"/>
        <v>0</v>
      </c>
      <c r="BO105">
        <f t="shared" si="31"/>
        <v>0</v>
      </c>
      <c r="BP105">
        <f t="shared" si="32"/>
        <v>0</v>
      </c>
      <c r="BQ105">
        <f t="shared" si="21"/>
        <v>1</v>
      </c>
      <c r="BR105">
        <f t="shared" si="33"/>
        <v>0</v>
      </c>
      <c r="BS105" s="9">
        <f t="shared" si="34"/>
        <v>0</v>
      </c>
      <c r="BT105" s="9">
        <f t="shared" si="35"/>
        <v>0</v>
      </c>
      <c r="BU105" s="9">
        <f t="shared" si="36"/>
        <v>0</v>
      </c>
      <c r="BV105" s="12">
        <f t="shared" si="37"/>
        <v>0</v>
      </c>
      <c r="BX105" s="12">
        <f t="shared" si="38"/>
        <v>0</v>
      </c>
      <c r="BY105" s="12">
        <f t="shared" si="39"/>
        <v>3.1652646544265599E-3</v>
      </c>
    </row>
    <row r="106" spans="1:77" x14ac:dyDescent="0.3">
      <c r="A106" s="1">
        <v>46176</v>
      </c>
      <c r="B106" s="8">
        <v>28.67</v>
      </c>
      <c r="C106" s="8">
        <v>94.41</v>
      </c>
      <c r="D106" s="9">
        <v>-1.39421423769403E-3</v>
      </c>
      <c r="E106" s="9">
        <v>-1.16445257428192E-3</v>
      </c>
      <c r="F106" s="8">
        <v>0</v>
      </c>
      <c r="G106" s="8">
        <v>0.25</v>
      </c>
      <c r="H106" s="8">
        <v>0</v>
      </c>
      <c r="I106" s="8">
        <v>0.94569999999999999</v>
      </c>
      <c r="J106" s="8">
        <v>0</v>
      </c>
      <c r="K106" s="8">
        <v>0</v>
      </c>
      <c r="L106" s="8">
        <v>28.67</v>
      </c>
      <c r="M106" s="8">
        <v>94.41</v>
      </c>
      <c r="N106" s="10">
        <v>3.2929891873038</v>
      </c>
      <c r="O106" s="10">
        <v>3.2936632097661298</v>
      </c>
      <c r="P106" s="10">
        <v>3.2918391100681501</v>
      </c>
      <c r="Q106" s="10">
        <v>3.2924806458799698</v>
      </c>
      <c r="R106" s="8">
        <v>94.429324223994996</v>
      </c>
      <c r="S106" s="8">
        <v>94.375134403829506</v>
      </c>
      <c r="T106" s="8">
        <v>94.400288792077603</v>
      </c>
      <c r="U106" s="9">
        <v>2.0466313509509299E-4</v>
      </c>
      <c r="V106" s="9">
        <v>-3.69368029712312E-4</v>
      </c>
      <c r="W106" s="9">
        <v>-1.0286735953908101E-4</v>
      </c>
      <c r="X106" s="10">
        <v>3.2929891873038</v>
      </c>
      <c r="Y106" s="10">
        <v>3.2927332496881698</v>
      </c>
      <c r="Z106" s="10">
        <v>3.2918391100681501</v>
      </c>
      <c r="AA106" s="10">
        <v>3.2924806458799698</v>
      </c>
      <c r="AB106" s="8">
        <v>94.402662268559993</v>
      </c>
      <c r="AC106" s="8">
        <v>94.375134403829506</v>
      </c>
      <c r="AD106" s="8">
        <v>94.400288792077603</v>
      </c>
      <c r="AE106" s="9">
        <v>-7.7724993180554999E-5</v>
      </c>
      <c r="AF106" s="9">
        <v>-3.69368029712312E-4</v>
      </c>
      <c r="AG106" s="9">
        <v>-1.0286735953908101E-4</v>
      </c>
      <c r="AZ106" s="9"/>
      <c r="BB106">
        <f t="shared" si="22"/>
        <v>0</v>
      </c>
      <c r="BC106">
        <f t="shared" si="23"/>
        <v>0</v>
      </c>
      <c r="BD106">
        <f t="shared" si="24"/>
        <v>0</v>
      </c>
      <c r="BE106">
        <f t="shared" si="20"/>
        <v>1</v>
      </c>
      <c r="BF106">
        <f t="shared" si="25"/>
        <v>0</v>
      </c>
      <c r="BG106" s="9">
        <f t="shared" si="26"/>
        <v>0</v>
      </c>
      <c r="BH106" s="9">
        <f t="shared" si="27"/>
        <v>0</v>
      </c>
      <c r="BI106" s="9">
        <f t="shared" si="28"/>
        <v>0</v>
      </c>
      <c r="BJ106" s="12">
        <f t="shared" si="29"/>
        <v>3.1652646544265599E-3</v>
      </c>
      <c r="BL106" s="9"/>
      <c r="BN106">
        <f t="shared" si="30"/>
        <v>0</v>
      </c>
      <c r="BO106">
        <f t="shared" si="31"/>
        <v>1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0</v>
      </c>
      <c r="BX106" s="12">
        <f t="shared" si="38"/>
        <v>0</v>
      </c>
      <c r="BY106" s="12">
        <f t="shared" si="39"/>
        <v>3.1652646544265599E-3</v>
      </c>
    </row>
    <row r="107" spans="1:77" x14ac:dyDescent="0.3">
      <c r="A107" s="1">
        <v>46177</v>
      </c>
      <c r="B107" s="8">
        <v>29.18</v>
      </c>
      <c r="C107" s="8">
        <v>96.1</v>
      </c>
      <c r="D107" s="9">
        <v>1.7632263199360999E-2</v>
      </c>
      <c r="E107" s="9">
        <v>1.7742316231821601E-2</v>
      </c>
      <c r="F107" s="8">
        <v>0</v>
      </c>
      <c r="G107" s="8">
        <v>0.25</v>
      </c>
      <c r="H107" s="8">
        <v>0</v>
      </c>
      <c r="I107" s="8">
        <v>0.94569999999999999</v>
      </c>
      <c r="J107" s="8">
        <v>0</v>
      </c>
      <c r="K107" s="8">
        <v>0</v>
      </c>
      <c r="L107" s="8">
        <v>29.18</v>
      </c>
      <c r="M107" s="8">
        <v>96.1</v>
      </c>
      <c r="N107" s="10">
        <v>3.29335161069225</v>
      </c>
      <c r="O107" s="10">
        <v>3.2936632097661298</v>
      </c>
      <c r="P107" s="10">
        <v>3.2918568649940299</v>
      </c>
      <c r="Q107" s="10">
        <v>3.2924213855594702</v>
      </c>
      <c r="R107" s="8">
        <v>96.109092460975702</v>
      </c>
      <c r="S107" s="8">
        <v>96.055865231788701</v>
      </c>
      <c r="T107" s="8">
        <v>96.074585246777602</v>
      </c>
      <c r="U107" s="9">
        <v>9.4610102634706402E-5</v>
      </c>
      <c r="V107" s="9">
        <v>-4.5936426592139198E-4</v>
      </c>
      <c r="W107" s="9">
        <v>-2.6449650808843398E-4</v>
      </c>
      <c r="X107" s="10">
        <v>3.29335161069225</v>
      </c>
      <c r="Y107" s="10">
        <v>3.2927332496881698</v>
      </c>
      <c r="Z107" s="10">
        <v>3.2918568649940299</v>
      </c>
      <c r="AA107" s="10">
        <v>3.2924213855594702</v>
      </c>
      <c r="AB107" s="8">
        <v>96.081956225900996</v>
      </c>
      <c r="AC107" s="8">
        <v>96.055865231788701</v>
      </c>
      <c r="AD107" s="8">
        <v>96.074585246777602</v>
      </c>
      <c r="AE107" s="9">
        <v>-1.87778025641167E-4</v>
      </c>
      <c r="AF107" s="9">
        <v>-4.5936426592139198E-4</v>
      </c>
      <c r="AG107" s="9">
        <v>-2.6449650808843398E-4</v>
      </c>
      <c r="AZ107" s="9"/>
      <c r="BB107">
        <f t="shared" si="22"/>
        <v>0</v>
      </c>
      <c r="BC107">
        <f t="shared" si="23"/>
        <v>0</v>
      </c>
      <c r="BD107">
        <f t="shared" si="24"/>
        <v>0</v>
      </c>
      <c r="BE107">
        <f t="shared" si="20"/>
        <v>1</v>
      </c>
      <c r="BF107">
        <f t="shared" si="25"/>
        <v>0</v>
      </c>
      <c r="BG107" s="9">
        <f t="shared" si="26"/>
        <v>0</v>
      </c>
      <c r="BH107" s="9">
        <f t="shared" si="27"/>
        <v>0</v>
      </c>
      <c r="BI107" s="9">
        <f t="shared" si="28"/>
        <v>0</v>
      </c>
      <c r="BJ107" s="12">
        <f t="shared" si="29"/>
        <v>3.1652646544265599E-3</v>
      </c>
      <c r="BL107" s="9"/>
      <c r="BN107">
        <f t="shared" si="30"/>
        <v>0</v>
      </c>
      <c r="BO107">
        <f t="shared" si="31"/>
        <v>1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0</v>
      </c>
      <c r="BX107" s="12">
        <f t="shared" si="38"/>
        <v>0</v>
      </c>
      <c r="BY107" s="12">
        <f t="shared" si="39"/>
        <v>3.1652646544265599E-3</v>
      </c>
    </row>
    <row r="108" spans="1:77" x14ac:dyDescent="0.3">
      <c r="A108" s="1">
        <v>46178</v>
      </c>
      <c r="B108" s="8">
        <v>29.41</v>
      </c>
      <c r="C108" s="8">
        <v>96.79</v>
      </c>
      <c r="D108" s="9">
        <v>7.8512094712640205E-3</v>
      </c>
      <c r="E108" s="9">
        <v>7.1543671847504701E-3</v>
      </c>
      <c r="F108" s="8">
        <v>0</v>
      </c>
      <c r="G108" s="8">
        <v>0.25</v>
      </c>
      <c r="H108" s="8">
        <v>0</v>
      </c>
      <c r="I108" s="8">
        <v>0.94569999999999999</v>
      </c>
      <c r="J108" s="8">
        <v>0</v>
      </c>
      <c r="K108" s="8">
        <v>0</v>
      </c>
      <c r="L108" s="8">
        <v>29.41</v>
      </c>
      <c r="M108" s="8">
        <v>96.79</v>
      </c>
      <c r="N108" s="10">
        <v>3.2910574634478</v>
      </c>
      <c r="O108" s="10">
        <v>3.2936632097661298</v>
      </c>
      <c r="P108" s="10">
        <v>3.2917051181508001</v>
      </c>
      <c r="Q108" s="10">
        <v>3.2924300456898701</v>
      </c>
      <c r="R108" s="8">
        <v>96.866634999221901</v>
      </c>
      <c r="S108" s="8">
        <v>96.813510399474595</v>
      </c>
      <c r="T108" s="8">
        <v>96.830112949304194</v>
      </c>
      <c r="U108" s="9">
        <v>7.9145238914815402E-4</v>
      </c>
      <c r="V108" s="9">
        <v>2.42871625020045E-4</v>
      </c>
      <c r="W108" s="9">
        <v>4.1434693190831002E-4</v>
      </c>
      <c r="X108" s="10">
        <v>3.2910574634478</v>
      </c>
      <c r="Y108" s="10">
        <v>3.2927332496881698</v>
      </c>
      <c r="Z108" s="10">
        <v>3.2917051181508001</v>
      </c>
      <c r="AA108" s="10">
        <v>3.2924300456898701</v>
      </c>
      <c r="AB108" s="8">
        <v>96.839284873329305</v>
      </c>
      <c r="AC108" s="8">
        <v>96.813510399474595</v>
      </c>
      <c r="AD108" s="8">
        <v>96.830112949304194</v>
      </c>
      <c r="AE108" s="9">
        <v>5.09064260872387E-4</v>
      </c>
      <c r="AF108" s="9">
        <v>2.42871625020045E-4</v>
      </c>
      <c r="AG108" s="9">
        <v>4.1434693190831002E-4</v>
      </c>
      <c r="AZ108" s="9"/>
      <c r="BB108">
        <f t="shared" si="22"/>
        <v>0</v>
      </c>
      <c r="BC108">
        <f t="shared" si="23"/>
        <v>1</v>
      </c>
      <c r="BD108">
        <f t="shared" si="24"/>
        <v>0</v>
      </c>
      <c r="BE108">
        <f t="shared" si="20"/>
        <v>1</v>
      </c>
      <c r="BF108">
        <f t="shared" si="25"/>
        <v>0</v>
      </c>
      <c r="BG108" s="9">
        <f t="shared" si="26"/>
        <v>0</v>
      </c>
      <c r="BH108" s="9">
        <f t="shared" si="27"/>
        <v>0</v>
      </c>
      <c r="BI108" s="9">
        <f t="shared" si="28"/>
        <v>0</v>
      </c>
      <c r="BJ108" s="12">
        <f t="shared" si="29"/>
        <v>3.1652646544265599E-3</v>
      </c>
      <c r="BL108" s="9"/>
      <c r="BN108">
        <f t="shared" si="30"/>
        <v>0</v>
      </c>
      <c r="BO108">
        <f t="shared" si="31"/>
        <v>0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0</v>
      </c>
      <c r="BX108" s="12">
        <f t="shared" si="38"/>
        <v>0</v>
      </c>
      <c r="BY108" s="12">
        <f t="shared" si="39"/>
        <v>3.1652646544265599E-3</v>
      </c>
    </row>
    <row r="109" spans="1:77" x14ac:dyDescent="0.3">
      <c r="A109" s="1">
        <v>46181</v>
      </c>
      <c r="B109" s="8">
        <v>29.03</v>
      </c>
      <c r="C109" s="8">
        <v>95.47</v>
      </c>
      <c r="D109" s="9">
        <v>-1.3004974529365099E-2</v>
      </c>
      <c r="E109" s="9">
        <v>-1.3731621151055501E-2</v>
      </c>
      <c r="F109" s="8">
        <v>0</v>
      </c>
      <c r="G109" s="8">
        <v>0.25</v>
      </c>
      <c r="H109" s="8">
        <v>0</v>
      </c>
      <c r="I109" s="8">
        <v>0.94569999999999999</v>
      </c>
      <c r="J109" s="8">
        <v>0</v>
      </c>
      <c r="K109" s="8">
        <v>0</v>
      </c>
      <c r="L109" s="8">
        <v>29.03</v>
      </c>
      <c r="M109" s="8">
        <v>95.47</v>
      </c>
      <c r="N109" s="10">
        <v>3.2886668963141501</v>
      </c>
      <c r="O109" s="10">
        <v>3.2936632097661298</v>
      </c>
      <c r="P109" s="10">
        <v>3.2914221479182699</v>
      </c>
      <c r="Q109" s="10">
        <v>3.2922637312210798</v>
      </c>
      <c r="R109" s="8">
        <v>95.615042979510804</v>
      </c>
      <c r="S109" s="8">
        <v>95.558199579917797</v>
      </c>
      <c r="T109" s="8">
        <v>95.579244226377</v>
      </c>
      <c r="U109" s="9">
        <v>1.5180990108385E-3</v>
      </c>
      <c r="V109" s="9">
        <v>9.2341954098052695E-4</v>
      </c>
      <c r="W109" s="9">
        <v>1.14362387274486E-3</v>
      </c>
      <c r="X109" s="10">
        <v>3.2886668963141501</v>
      </c>
      <c r="Y109" s="10">
        <v>3.2927332496881698</v>
      </c>
      <c r="Z109" s="10">
        <v>3.2914221479182699</v>
      </c>
      <c r="AA109" s="10">
        <v>3.2922637312210798</v>
      </c>
      <c r="AB109" s="8">
        <v>95.588046238447802</v>
      </c>
      <c r="AC109" s="8">
        <v>95.558199579917797</v>
      </c>
      <c r="AD109" s="8">
        <v>95.579244226377</v>
      </c>
      <c r="AE109" s="9">
        <v>1.2357108825628599E-3</v>
      </c>
      <c r="AF109" s="9">
        <v>9.2341954098052695E-4</v>
      </c>
      <c r="AG109" s="9">
        <v>1.14362387274486E-3</v>
      </c>
      <c r="AZ109" s="9"/>
      <c r="BB109">
        <f t="shared" si="22"/>
        <v>0</v>
      </c>
      <c r="BC109">
        <f t="shared" si="23"/>
        <v>1</v>
      </c>
      <c r="BD109">
        <f t="shared" si="24"/>
        <v>0</v>
      </c>
      <c r="BE109">
        <f t="shared" si="20"/>
        <v>1</v>
      </c>
      <c r="BF109">
        <f t="shared" si="25"/>
        <v>0</v>
      </c>
      <c r="BG109" s="9">
        <f t="shared" si="26"/>
        <v>0</v>
      </c>
      <c r="BH109" s="9">
        <f t="shared" si="27"/>
        <v>0</v>
      </c>
      <c r="BI109" s="9">
        <f t="shared" si="28"/>
        <v>0</v>
      </c>
      <c r="BJ109" s="12">
        <f t="shared" si="29"/>
        <v>3.1652646544265599E-3</v>
      </c>
      <c r="BL109" s="9"/>
      <c r="BN109">
        <f t="shared" si="30"/>
        <v>0</v>
      </c>
      <c r="BO109">
        <f t="shared" si="31"/>
        <v>0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0</v>
      </c>
      <c r="BX109" s="12">
        <f t="shared" si="38"/>
        <v>0</v>
      </c>
      <c r="BY109" s="12">
        <f t="shared" si="39"/>
        <v>3.1652646544265599E-3</v>
      </c>
    </row>
    <row r="110" spans="1:77" x14ac:dyDescent="0.3">
      <c r="A110" s="1">
        <v>46182</v>
      </c>
      <c r="B110" s="8">
        <v>29.7</v>
      </c>
      <c r="C110" s="8">
        <v>97.67</v>
      </c>
      <c r="D110" s="9">
        <v>2.2817267772115301E-2</v>
      </c>
      <c r="E110" s="9">
        <v>2.2782387449443699E-2</v>
      </c>
      <c r="F110" s="8">
        <v>0</v>
      </c>
      <c r="G110" s="8">
        <v>0.25</v>
      </c>
      <c r="H110" s="8">
        <v>0</v>
      </c>
      <c r="I110" s="8">
        <v>0.94569999999999999</v>
      </c>
      <c r="J110" s="8">
        <v>0</v>
      </c>
      <c r="K110" s="8">
        <v>0</v>
      </c>
      <c r="L110" s="8">
        <v>29.7</v>
      </c>
      <c r="M110" s="8">
        <v>97.67</v>
      </c>
      <c r="N110" s="10">
        <v>3.2885521885521798</v>
      </c>
      <c r="O110" s="10">
        <v>3.2936632097661298</v>
      </c>
      <c r="P110" s="10">
        <v>3.2910528493336</v>
      </c>
      <c r="Q110" s="10">
        <v>3.2919724309383001</v>
      </c>
      <c r="R110" s="8">
        <v>97.821797330054096</v>
      </c>
      <c r="S110" s="8">
        <v>97.755237793172697</v>
      </c>
      <c r="T110" s="8">
        <v>97.780232817266196</v>
      </c>
      <c r="U110" s="9">
        <v>1.55297933351012E-3</v>
      </c>
      <c r="V110" s="9">
        <v>8.72331532411654E-4</v>
      </c>
      <c r="W110" s="9">
        <v>1.12798871984232E-3</v>
      </c>
      <c r="X110" s="10">
        <v>3.2885521885521798</v>
      </c>
      <c r="Y110" s="10">
        <v>3.2927332496881698</v>
      </c>
      <c r="Z110" s="10">
        <v>3.2910528493336</v>
      </c>
      <c r="AA110" s="10">
        <v>3.2919724309383001</v>
      </c>
      <c r="AB110" s="8">
        <v>97.794177515738895</v>
      </c>
      <c r="AC110" s="8">
        <v>97.755237793172697</v>
      </c>
      <c r="AD110" s="8">
        <v>97.780232817266196</v>
      </c>
      <c r="AE110" s="9">
        <v>1.2705912052342601E-3</v>
      </c>
      <c r="AF110" s="9">
        <v>8.7233153241121002E-4</v>
      </c>
      <c r="AG110" s="9">
        <v>1.12798871984232E-3</v>
      </c>
      <c r="AZ110" s="9"/>
      <c r="BB110">
        <f t="shared" si="22"/>
        <v>0</v>
      </c>
      <c r="BC110">
        <f t="shared" si="23"/>
        <v>1</v>
      </c>
      <c r="BD110">
        <f t="shared" si="24"/>
        <v>0</v>
      </c>
      <c r="BE110">
        <f t="shared" si="20"/>
        <v>1</v>
      </c>
      <c r="BF110">
        <f t="shared" si="25"/>
        <v>0</v>
      </c>
      <c r="BG110" s="9">
        <f t="shared" si="26"/>
        <v>0</v>
      </c>
      <c r="BH110" s="9">
        <f t="shared" si="27"/>
        <v>0</v>
      </c>
      <c r="BI110" s="9">
        <f t="shared" si="28"/>
        <v>0</v>
      </c>
      <c r="BJ110" s="12">
        <f t="shared" si="29"/>
        <v>3.1652646544265599E-3</v>
      </c>
      <c r="BL110" s="9"/>
      <c r="BN110">
        <f t="shared" si="30"/>
        <v>0</v>
      </c>
      <c r="BO110">
        <f t="shared" si="31"/>
        <v>0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0</v>
      </c>
      <c r="BX110" s="12">
        <f t="shared" si="38"/>
        <v>0</v>
      </c>
      <c r="BY110" s="12">
        <f t="shared" si="39"/>
        <v>3.1652646544265599E-3</v>
      </c>
    </row>
    <row r="111" spans="1:77" x14ac:dyDescent="0.3">
      <c r="A111" s="1">
        <v>46183</v>
      </c>
      <c r="B111" s="8">
        <v>29.7</v>
      </c>
      <c r="C111" s="8">
        <v>97.68</v>
      </c>
      <c r="D111" s="9">
        <v>0</v>
      </c>
      <c r="E111" s="9">
        <v>1.02380343063617E-4</v>
      </c>
      <c r="F111" s="8">
        <v>0</v>
      </c>
      <c r="G111" s="8">
        <v>0.25</v>
      </c>
      <c r="H111" s="8">
        <v>0</v>
      </c>
      <c r="I111" s="8">
        <v>0.94569999999999999</v>
      </c>
      <c r="J111" s="8">
        <v>0</v>
      </c>
      <c r="K111" s="8">
        <v>0</v>
      </c>
      <c r="L111" s="8">
        <v>29.7</v>
      </c>
      <c r="M111" s="8">
        <v>97.68</v>
      </c>
      <c r="N111" s="10">
        <v>3.2888888888888799</v>
      </c>
      <c r="O111" s="10">
        <v>3.2936632097661298</v>
      </c>
      <c r="P111" s="10">
        <v>3.2909532792951302</v>
      </c>
      <c r="Q111" s="10">
        <v>3.2918101338097099</v>
      </c>
      <c r="R111" s="8">
        <v>97.821797330054096</v>
      </c>
      <c r="S111" s="8">
        <v>97.744269625207906</v>
      </c>
      <c r="T111" s="8">
        <v>97.771581198867594</v>
      </c>
      <c r="U111" s="9">
        <v>1.45059899044649E-3</v>
      </c>
      <c r="V111" s="9">
        <v>6.5774458462399899E-4</v>
      </c>
      <c r="W111" s="9">
        <v>9.3712422286979695E-4</v>
      </c>
      <c r="X111" s="10">
        <v>3.2888888888888799</v>
      </c>
      <c r="Y111" s="10">
        <v>3.2927332496881698</v>
      </c>
      <c r="Z111" s="10">
        <v>3.2909532792951302</v>
      </c>
      <c r="AA111" s="10">
        <v>3.2918101338097099</v>
      </c>
      <c r="AB111" s="8">
        <v>97.794177515738895</v>
      </c>
      <c r="AC111" s="8">
        <v>97.744269625207906</v>
      </c>
      <c r="AD111" s="8">
        <v>97.771581198867594</v>
      </c>
      <c r="AE111" s="9">
        <v>1.1682108621706899E-3</v>
      </c>
      <c r="AF111" s="9">
        <v>6.5774458462399899E-4</v>
      </c>
      <c r="AG111" s="9">
        <v>9.3712422286979695E-4</v>
      </c>
      <c r="AZ111" s="9"/>
      <c r="BB111">
        <f t="shared" si="22"/>
        <v>0</v>
      </c>
      <c r="BC111">
        <f t="shared" si="23"/>
        <v>1</v>
      </c>
      <c r="BD111">
        <f t="shared" si="24"/>
        <v>0</v>
      </c>
      <c r="BE111">
        <f t="shared" si="20"/>
        <v>1</v>
      </c>
      <c r="BF111">
        <f t="shared" si="25"/>
        <v>0</v>
      </c>
      <c r="BG111" s="9">
        <f t="shared" si="26"/>
        <v>0</v>
      </c>
      <c r="BH111" s="9">
        <f t="shared" si="27"/>
        <v>0</v>
      </c>
      <c r="BI111" s="9">
        <f t="shared" si="28"/>
        <v>0</v>
      </c>
      <c r="BJ111" s="12">
        <f t="shared" si="29"/>
        <v>3.1652646544265599E-3</v>
      </c>
      <c r="BL111" s="9"/>
      <c r="BN111">
        <f t="shared" si="30"/>
        <v>0</v>
      </c>
      <c r="BO111">
        <f t="shared" si="31"/>
        <v>0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0</v>
      </c>
      <c r="BX111" s="12">
        <f t="shared" si="38"/>
        <v>0</v>
      </c>
      <c r="BY111" s="12">
        <f t="shared" si="39"/>
        <v>3.1652646544265599E-3</v>
      </c>
    </row>
    <row r="112" spans="1:77" x14ac:dyDescent="0.3">
      <c r="A112" s="1">
        <v>46184</v>
      </c>
      <c r="B112" s="8">
        <v>29.65</v>
      </c>
      <c r="C112" s="8">
        <v>97.61</v>
      </c>
      <c r="D112" s="9">
        <v>-1.6849203649195201E-3</v>
      </c>
      <c r="E112" s="9">
        <v>-7.1688261557557799E-4</v>
      </c>
      <c r="F112" s="8">
        <v>0</v>
      </c>
      <c r="G112" s="8">
        <v>0.25</v>
      </c>
      <c r="H112" s="8">
        <v>0</v>
      </c>
      <c r="I112" s="8">
        <v>0.94569999999999999</v>
      </c>
      <c r="J112" s="8">
        <v>0</v>
      </c>
      <c r="K112" s="8">
        <v>0</v>
      </c>
      <c r="L112" s="8">
        <v>29.65</v>
      </c>
      <c r="M112" s="8">
        <v>97.61</v>
      </c>
      <c r="N112" s="10">
        <v>3.2920741989881899</v>
      </c>
      <c r="O112" s="10">
        <v>3.2936632097661298</v>
      </c>
      <c r="P112" s="10">
        <v>3.2910877612252998</v>
      </c>
      <c r="Q112" s="10">
        <v>3.29176755255033</v>
      </c>
      <c r="R112" s="8">
        <v>97.657114169565801</v>
      </c>
      <c r="S112" s="8">
        <v>97.576764731100596</v>
      </c>
      <c r="T112" s="8">
        <v>97.602170467457995</v>
      </c>
      <c r="U112" s="9">
        <v>4.8256124110249301E-4</v>
      </c>
      <c r="V112" s="9">
        <v>-3.4054838980827602E-4</v>
      </c>
      <c r="W112" s="9">
        <v>-8.0215619010174895E-5</v>
      </c>
      <c r="X112" s="10">
        <v>3.2920741989881899</v>
      </c>
      <c r="Y112" s="10">
        <v>3.2927332496881698</v>
      </c>
      <c r="Z112" s="10">
        <v>3.2910877612252998</v>
      </c>
      <c r="AA112" s="10">
        <v>3.29176755255033</v>
      </c>
      <c r="AB112" s="8">
        <v>97.629540853254397</v>
      </c>
      <c r="AC112" s="8">
        <v>97.576764731100596</v>
      </c>
      <c r="AD112" s="8">
        <v>97.602170467457995</v>
      </c>
      <c r="AE112" s="9">
        <v>2.0017311282673799E-4</v>
      </c>
      <c r="AF112" s="9">
        <v>-3.4054838980827602E-4</v>
      </c>
      <c r="AG112" s="9">
        <v>-8.0215619010174895E-5</v>
      </c>
      <c r="AZ112" s="9"/>
      <c r="BB112">
        <f t="shared" si="22"/>
        <v>0</v>
      </c>
      <c r="BC112">
        <f t="shared" si="23"/>
        <v>0</v>
      </c>
      <c r="BD112">
        <f t="shared" si="24"/>
        <v>0</v>
      </c>
      <c r="BE112">
        <f t="shared" si="20"/>
        <v>1</v>
      </c>
      <c r="BF112">
        <f t="shared" si="25"/>
        <v>0</v>
      </c>
      <c r="BG112" s="9">
        <f t="shared" si="26"/>
        <v>0</v>
      </c>
      <c r="BH112" s="9">
        <f t="shared" si="27"/>
        <v>0</v>
      </c>
      <c r="BI112" s="9">
        <f t="shared" si="28"/>
        <v>0</v>
      </c>
      <c r="BJ112" s="12">
        <f t="shared" si="29"/>
        <v>3.1652646544265599E-3</v>
      </c>
      <c r="BL112" s="9"/>
      <c r="BN112">
        <f t="shared" si="30"/>
        <v>0</v>
      </c>
      <c r="BO112">
        <f t="shared" si="31"/>
        <v>1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0</v>
      </c>
      <c r="BX112" s="12">
        <f t="shared" si="38"/>
        <v>0</v>
      </c>
      <c r="BY112" s="12">
        <f t="shared" si="39"/>
        <v>3.1652646544265599E-3</v>
      </c>
    </row>
    <row r="113" spans="1:77" x14ac:dyDescent="0.3">
      <c r="A113" s="1">
        <v>46185</v>
      </c>
      <c r="B113" s="8">
        <v>29.95</v>
      </c>
      <c r="C113" s="8">
        <v>98.51</v>
      </c>
      <c r="D113" s="9">
        <v>1.0067199117723901E-2</v>
      </c>
      <c r="E113" s="9">
        <v>9.1781186807140605E-3</v>
      </c>
      <c r="F113" s="8">
        <v>0</v>
      </c>
      <c r="G113" s="8">
        <v>0.25</v>
      </c>
      <c r="H113" s="8">
        <v>0</v>
      </c>
      <c r="I113" s="8">
        <v>0.94569999999999999</v>
      </c>
      <c r="J113" s="8">
        <v>0</v>
      </c>
      <c r="K113" s="8">
        <v>0</v>
      </c>
      <c r="L113" s="8">
        <v>29.95</v>
      </c>
      <c r="M113" s="8">
        <v>98.51</v>
      </c>
      <c r="N113" s="10">
        <v>3.2891485809682801</v>
      </c>
      <c r="O113" s="10">
        <v>3.2936632097661298</v>
      </c>
      <c r="P113" s="10">
        <v>3.29079725296506</v>
      </c>
      <c r="Q113" s="10">
        <v>3.2915394252753098</v>
      </c>
      <c r="R113" s="8">
        <v>98.645213132495599</v>
      </c>
      <c r="S113" s="8">
        <v>98.568078448697904</v>
      </c>
      <c r="T113" s="8">
        <v>98.5884381988824</v>
      </c>
      <c r="U113" s="9">
        <v>1.3716416781124E-3</v>
      </c>
      <c r="V113" s="9">
        <v>5.8939533850174697E-4</v>
      </c>
      <c r="W113" s="9">
        <v>7.9592921932946303E-4</v>
      </c>
      <c r="X113" s="10">
        <v>3.2891485809682801</v>
      </c>
      <c r="Y113" s="10">
        <v>3.2927332496881698</v>
      </c>
      <c r="Z113" s="10">
        <v>3.29079725296506</v>
      </c>
      <c r="AA113" s="10">
        <v>3.2915394252753098</v>
      </c>
      <c r="AB113" s="8">
        <v>98.617360828160898</v>
      </c>
      <c r="AC113" s="8">
        <v>98.568078448697904</v>
      </c>
      <c r="AD113" s="8">
        <v>98.5884381988824</v>
      </c>
      <c r="AE113" s="9">
        <v>1.0892535498366301E-3</v>
      </c>
      <c r="AF113" s="9">
        <v>5.8939533850196901E-4</v>
      </c>
      <c r="AG113" s="9">
        <v>7.9592921932946303E-4</v>
      </c>
      <c r="AZ113" s="9"/>
      <c r="BB113">
        <f t="shared" si="22"/>
        <v>0</v>
      </c>
      <c r="BC113">
        <f t="shared" si="23"/>
        <v>1</v>
      </c>
      <c r="BD113">
        <f t="shared" si="24"/>
        <v>0</v>
      </c>
      <c r="BE113">
        <f t="shared" si="20"/>
        <v>1</v>
      </c>
      <c r="BF113">
        <f t="shared" si="25"/>
        <v>0</v>
      </c>
      <c r="BG113" s="9">
        <f t="shared" si="26"/>
        <v>0</v>
      </c>
      <c r="BH113" s="9">
        <f t="shared" si="27"/>
        <v>0</v>
      </c>
      <c r="BI113" s="9">
        <f t="shared" si="28"/>
        <v>0</v>
      </c>
      <c r="BJ113" s="12">
        <f t="shared" si="29"/>
        <v>3.1652646544265599E-3</v>
      </c>
      <c r="BL113" s="9"/>
      <c r="BN113">
        <f t="shared" si="30"/>
        <v>0</v>
      </c>
      <c r="BO113">
        <f t="shared" si="31"/>
        <v>0</v>
      </c>
      <c r="BP113">
        <f t="shared" si="32"/>
        <v>0</v>
      </c>
      <c r="BQ113">
        <f t="shared" si="21"/>
        <v>1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0</v>
      </c>
      <c r="BX113" s="12">
        <f t="shared" si="38"/>
        <v>0</v>
      </c>
      <c r="BY113" s="12">
        <f t="shared" si="39"/>
        <v>3.1652646544265599E-3</v>
      </c>
    </row>
    <row r="114" spans="1:77" x14ac:dyDescent="0.3">
      <c r="A114" s="1">
        <v>46188</v>
      </c>
      <c r="B114" s="8">
        <v>29.73</v>
      </c>
      <c r="C114" s="8">
        <v>97.82</v>
      </c>
      <c r="D114" s="9">
        <v>-7.37268755145205E-3</v>
      </c>
      <c r="E114" s="9">
        <v>-7.0290107563767299E-3</v>
      </c>
      <c r="F114" s="8">
        <v>0</v>
      </c>
      <c r="G114" s="8">
        <v>0.25</v>
      </c>
      <c r="H114" s="8">
        <v>0</v>
      </c>
      <c r="I114" s="8">
        <v>0.94569999999999999</v>
      </c>
      <c r="J114" s="8">
        <v>0</v>
      </c>
      <c r="K114" s="8">
        <v>0</v>
      </c>
      <c r="L114" s="8">
        <v>29.73</v>
      </c>
      <c r="M114" s="8">
        <v>97.82</v>
      </c>
      <c r="N114" s="10">
        <v>3.29027917928018</v>
      </c>
      <c r="O114" s="10">
        <v>3.2936632097661298</v>
      </c>
      <c r="P114" s="10">
        <v>3.2907240865978702</v>
      </c>
      <c r="Q114" s="10">
        <v>3.2912989982744101</v>
      </c>
      <c r="R114" s="8">
        <v>97.920607226347101</v>
      </c>
      <c r="S114" s="8">
        <v>97.835402330651405</v>
      </c>
      <c r="T114" s="8">
        <v>97.857467113435206</v>
      </c>
      <c r="U114" s="9">
        <v>1.0279648830370601E-3</v>
      </c>
      <c r="V114" s="9">
        <v>1.57443449041601E-4</v>
      </c>
      <c r="W114" s="9">
        <v>3.8294765816236003E-4</v>
      </c>
      <c r="X114" s="10">
        <v>3.29027917928018</v>
      </c>
      <c r="Y114" s="10">
        <v>3.2927332496881698</v>
      </c>
      <c r="Z114" s="10">
        <v>3.2907240865978702</v>
      </c>
      <c r="AA114" s="10">
        <v>3.2912989982744101</v>
      </c>
      <c r="AB114" s="8">
        <v>97.892959513229499</v>
      </c>
      <c r="AC114" s="8">
        <v>97.835402330651405</v>
      </c>
      <c r="AD114" s="8">
        <v>97.857467113435206</v>
      </c>
      <c r="AE114" s="9">
        <v>7.4557675476142303E-4</v>
      </c>
      <c r="AF114" s="9">
        <v>1.5744344904182299E-4</v>
      </c>
      <c r="AG114" s="9">
        <v>3.8294765816236003E-4</v>
      </c>
      <c r="AZ114" s="9"/>
      <c r="BB114">
        <f t="shared" si="22"/>
        <v>0</v>
      </c>
      <c r="BC114">
        <f t="shared" si="23"/>
        <v>1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3.1652646544265599E-3</v>
      </c>
      <c r="BL114" s="9"/>
      <c r="BN114">
        <f t="shared" si="30"/>
        <v>0</v>
      </c>
      <c r="BO114">
        <f t="shared" si="31"/>
        <v>0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0</v>
      </c>
      <c r="BX114" s="12">
        <f t="shared" si="38"/>
        <v>0</v>
      </c>
      <c r="BY114" s="12">
        <f t="shared" si="39"/>
        <v>3.1652646544265599E-3</v>
      </c>
    </row>
    <row r="115" spans="1:77" x14ac:dyDescent="0.3">
      <c r="A115" s="1">
        <v>46189</v>
      </c>
      <c r="B115" s="8">
        <v>29.77</v>
      </c>
      <c r="C115" s="8">
        <v>98.06</v>
      </c>
      <c r="D115" s="9">
        <v>1.3445380176787E-3</v>
      </c>
      <c r="E115" s="9">
        <v>2.45048111187626E-3</v>
      </c>
      <c r="F115" s="8">
        <v>0</v>
      </c>
      <c r="G115" s="8">
        <v>0.25</v>
      </c>
      <c r="H115" s="8">
        <v>0</v>
      </c>
      <c r="I115" s="8">
        <v>0.94569999999999999</v>
      </c>
      <c r="J115" s="8">
        <v>0</v>
      </c>
      <c r="K115" s="8">
        <v>0</v>
      </c>
      <c r="L115" s="8">
        <v>29.77</v>
      </c>
      <c r="M115" s="8">
        <v>98.06</v>
      </c>
      <c r="N115" s="10">
        <v>3.2939200537453801</v>
      </c>
      <c r="O115" s="10">
        <v>3.2936632097661298</v>
      </c>
      <c r="P115" s="10">
        <v>3.2908928248181102</v>
      </c>
      <c r="Q115" s="10">
        <v>3.2913329559010198</v>
      </c>
      <c r="R115" s="8">
        <v>98.052353754737695</v>
      </c>
      <c r="S115" s="8">
        <v>97.964856058018796</v>
      </c>
      <c r="T115" s="8">
        <v>97.981971178629294</v>
      </c>
      <c r="U115" s="9">
        <v>-7.79782111604547E-5</v>
      </c>
      <c r="V115" s="9">
        <v>-9.7073352192015498E-4</v>
      </c>
      <c r="W115" s="9">
        <v>-7.9604204162993502E-4</v>
      </c>
      <c r="X115" s="10">
        <v>3.2939200537453801</v>
      </c>
      <c r="Y115" s="10">
        <v>3.2927332496881698</v>
      </c>
      <c r="Z115" s="10">
        <v>3.2908928248181102</v>
      </c>
      <c r="AA115" s="10">
        <v>3.2913329559010198</v>
      </c>
      <c r="AB115" s="8">
        <v>98.024668843217</v>
      </c>
      <c r="AC115" s="8">
        <v>97.964856058018796</v>
      </c>
      <c r="AD115" s="8">
        <v>97.981971178629294</v>
      </c>
      <c r="AE115" s="9">
        <v>-3.6036633943610697E-4</v>
      </c>
      <c r="AF115" s="9">
        <v>-9.7073352192015498E-4</v>
      </c>
      <c r="AG115" s="9">
        <v>-7.9604204162993502E-4</v>
      </c>
      <c r="AZ115" s="9"/>
      <c r="BB115">
        <f t="shared" si="22"/>
        <v>0</v>
      </c>
      <c r="BC115">
        <f t="shared" si="23"/>
        <v>0</v>
      </c>
      <c r="BD115">
        <f t="shared" si="24"/>
        <v>0</v>
      </c>
      <c r="BE115">
        <f t="shared" si="20"/>
        <v>1</v>
      </c>
      <c r="BF115">
        <f t="shared" si="25"/>
        <v>0</v>
      </c>
      <c r="BG115" s="9">
        <f t="shared" si="26"/>
        <v>0</v>
      </c>
      <c r="BH115" s="9">
        <f t="shared" si="27"/>
        <v>0</v>
      </c>
      <c r="BI115" s="9">
        <f t="shared" si="28"/>
        <v>0</v>
      </c>
      <c r="BJ115" s="12">
        <f t="shared" si="29"/>
        <v>3.1652646544265599E-3</v>
      </c>
      <c r="BL115" s="9"/>
      <c r="BN115">
        <f t="shared" si="30"/>
        <v>0</v>
      </c>
      <c r="BO115">
        <f t="shared" si="31"/>
        <v>1</v>
      </c>
      <c r="BP115">
        <f t="shared" si="32"/>
        <v>0</v>
      </c>
      <c r="BQ115">
        <f t="shared" si="21"/>
        <v>1</v>
      </c>
      <c r="BR115">
        <f t="shared" si="33"/>
        <v>0</v>
      </c>
      <c r="BS115" s="9">
        <f t="shared" si="34"/>
        <v>0</v>
      </c>
      <c r="BT115" s="9">
        <f t="shared" si="35"/>
        <v>0</v>
      </c>
      <c r="BU115" s="9">
        <f t="shared" si="36"/>
        <v>0</v>
      </c>
      <c r="BV115" s="12">
        <f t="shared" si="37"/>
        <v>0</v>
      </c>
      <c r="BX115" s="12">
        <f t="shared" si="38"/>
        <v>0</v>
      </c>
      <c r="BY115" s="12">
        <f t="shared" si="39"/>
        <v>3.1652646544265599E-3</v>
      </c>
    </row>
    <row r="116" spans="1:77" x14ac:dyDescent="0.3">
      <c r="A116" s="1">
        <v>46190</v>
      </c>
      <c r="B116" s="8">
        <v>29.05</v>
      </c>
      <c r="C116" s="8">
        <v>95.61</v>
      </c>
      <c r="D116" s="9">
        <v>-2.4482691729764701E-2</v>
      </c>
      <c r="E116" s="9">
        <v>-2.5302119125732499E-2</v>
      </c>
      <c r="F116" s="8">
        <v>0</v>
      </c>
      <c r="G116" s="8">
        <v>0.25</v>
      </c>
      <c r="H116" s="8">
        <v>0</v>
      </c>
      <c r="I116" s="8">
        <v>0.94569999999999999</v>
      </c>
      <c r="J116" s="8">
        <v>0</v>
      </c>
      <c r="K116" s="8">
        <v>0</v>
      </c>
      <c r="L116" s="8">
        <v>29.05</v>
      </c>
      <c r="M116" s="8">
        <v>95.61</v>
      </c>
      <c r="N116" s="10">
        <v>3.2912220309810598</v>
      </c>
      <c r="O116" s="10">
        <v>3.2936632097661298</v>
      </c>
      <c r="P116" s="10">
        <v>3.2907161091858401</v>
      </c>
      <c r="Q116" s="10">
        <v>3.2912776096269898</v>
      </c>
      <c r="R116" s="8">
        <v>95.680916243706093</v>
      </c>
      <c r="S116" s="8">
        <v>95.600436560966202</v>
      </c>
      <c r="T116" s="8">
        <v>95.613222368924795</v>
      </c>
      <c r="U116" s="9">
        <v>7.4144918480722999E-4</v>
      </c>
      <c r="V116" s="9">
        <v>-1.00030513122207E-4</v>
      </c>
      <c r="W116" s="9">
        <v>3.3702694528462699E-5</v>
      </c>
      <c r="X116" s="10">
        <v>3.2912220309810598</v>
      </c>
      <c r="Y116" s="10">
        <v>3.2927332496881698</v>
      </c>
      <c r="Z116" s="10">
        <v>3.2907161091858401</v>
      </c>
      <c r="AA116" s="10">
        <v>3.2912776096269898</v>
      </c>
      <c r="AB116" s="8">
        <v>95.653900903441496</v>
      </c>
      <c r="AC116" s="8">
        <v>95.600436560966202</v>
      </c>
      <c r="AD116" s="8">
        <v>95.613222368924795</v>
      </c>
      <c r="AE116" s="9">
        <v>4.5906105653151902E-4</v>
      </c>
      <c r="AF116" s="9">
        <v>-1.00030513122096E-4</v>
      </c>
      <c r="AG116" s="9">
        <v>3.3702694528462699E-5</v>
      </c>
      <c r="AZ116" s="9"/>
      <c r="BB116">
        <f t="shared" si="22"/>
        <v>0</v>
      </c>
      <c r="BC116">
        <f t="shared" si="23"/>
        <v>1</v>
      </c>
      <c r="BD116">
        <f t="shared" si="24"/>
        <v>0</v>
      </c>
      <c r="BE116">
        <f t="shared" si="20"/>
        <v>0</v>
      </c>
      <c r="BF116">
        <f t="shared" si="25"/>
        <v>0</v>
      </c>
      <c r="BG116" s="9">
        <f t="shared" si="26"/>
        <v>0</v>
      </c>
      <c r="BH116" s="9">
        <f t="shared" si="27"/>
        <v>0</v>
      </c>
      <c r="BI116" s="9">
        <f t="shared" si="28"/>
        <v>0</v>
      </c>
      <c r="BJ116" s="12">
        <f t="shared" si="29"/>
        <v>3.1652646544265599E-3</v>
      </c>
      <c r="BL116" s="9"/>
      <c r="BN116">
        <f t="shared" si="30"/>
        <v>0</v>
      </c>
      <c r="BO116">
        <f t="shared" si="31"/>
        <v>0</v>
      </c>
      <c r="BP116">
        <f t="shared" si="32"/>
        <v>0</v>
      </c>
      <c r="BQ116">
        <f t="shared" si="21"/>
        <v>0</v>
      </c>
      <c r="BR116">
        <f t="shared" si="33"/>
        <v>0</v>
      </c>
      <c r="BS116" s="9">
        <f t="shared" si="34"/>
        <v>0</v>
      </c>
      <c r="BT116" s="9">
        <f t="shared" si="35"/>
        <v>0</v>
      </c>
      <c r="BU116" s="9">
        <f t="shared" si="36"/>
        <v>0</v>
      </c>
      <c r="BV116" s="12">
        <f t="shared" si="37"/>
        <v>0</v>
      </c>
      <c r="BX116" s="12">
        <f t="shared" si="38"/>
        <v>0</v>
      </c>
      <c r="BY116" s="12">
        <f t="shared" si="39"/>
        <v>3.1652646544265599E-3</v>
      </c>
    </row>
    <row r="117" spans="1:77" x14ac:dyDescent="0.3">
      <c r="A117" s="1">
        <v>46191</v>
      </c>
      <c r="B117" s="8">
        <v>28.77</v>
      </c>
      <c r="C117" s="8">
        <v>95.56</v>
      </c>
      <c r="D117" s="9">
        <v>-9.6853057344637606E-3</v>
      </c>
      <c r="E117" s="9">
        <v>-5.2309463974595499E-4</v>
      </c>
      <c r="F117" s="8">
        <v>0.27300000000000002</v>
      </c>
      <c r="G117" s="8">
        <v>0.52300000000000002</v>
      </c>
      <c r="H117" s="8">
        <v>0</v>
      </c>
      <c r="I117" s="8">
        <v>0.94569999999999999</v>
      </c>
      <c r="J117" s="8">
        <v>0.27300000000000002</v>
      </c>
      <c r="K117" s="8">
        <v>0</v>
      </c>
      <c r="L117" s="8">
        <v>29.042999999999999</v>
      </c>
      <c r="M117" s="8">
        <v>95.56</v>
      </c>
      <c r="N117" s="10">
        <v>3.32151546750086</v>
      </c>
      <c r="O117" s="10">
        <v>3.2936632097661298</v>
      </c>
      <c r="P117" s="10">
        <v>3.2935324948667</v>
      </c>
      <c r="Q117" s="10">
        <v>3.29269467993036</v>
      </c>
      <c r="R117" s="8">
        <v>94.7586905449716</v>
      </c>
      <c r="S117" s="8">
        <v>94.673902461276597</v>
      </c>
      <c r="T117" s="8">
        <v>94.690056828968693</v>
      </c>
      <c r="U117" s="9">
        <v>-8.4207619099105104E-3</v>
      </c>
      <c r="V117" s="9">
        <v>-9.3159414353707407E-3</v>
      </c>
      <c r="W117" s="9">
        <v>-9.1453243042988793E-3</v>
      </c>
      <c r="X117" s="10">
        <v>3.2902937024412</v>
      </c>
      <c r="Y117" s="10">
        <v>3.2927332496881698</v>
      </c>
      <c r="Z117" s="10">
        <v>3.2904103183607298</v>
      </c>
      <c r="AA117" s="10">
        <v>3.2911335916773798</v>
      </c>
      <c r="AB117" s="8">
        <v>95.630851770693695</v>
      </c>
      <c r="AC117" s="8">
        <v>95.5722679590843</v>
      </c>
      <c r="AD117" s="8">
        <v>95.588575616396895</v>
      </c>
      <c r="AE117" s="9">
        <v>7.4116280440127504E-4</v>
      </c>
      <c r="AF117" s="9">
        <v>1.2837140721680499E-4</v>
      </c>
      <c r="AG117" s="9">
        <v>2.9898853828874098E-4</v>
      </c>
      <c r="AZ117" s="9"/>
      <c r="BB117">
        <f t="shared" si="22"/>
        <v>0</v>
      </c>
      <c r="BC117">
        <f t="shared" si="23"/>
        <v>1</v>
      </c>
      <c r="BD117">
        <f t="shared" si="24"/>
        <v>0</v>
      </c>
      <c r="BE117">
        <f t="shared" si="20"/>
        <v>1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3.1652646544265599E-3</v>
      </c>
      <c r="BL117" s="9"/>
      <c r="BN117">
        <f t="shared" si="30"/>
        <v>0</v>
      </c>
      <c r="BO117">
        <f t="shared" si="31"/>
        <v>0</v>
      </c>
      <c r="BP117">
        <f t="shared" si="32"/>
        <v>0</v>
      </c>
      <c r="BQ117">
        <f t="shared" si="21"/>
        <v>1</v>
      </c>
      <c r="BR117">
        <f t="shared" si="33"/>
        <v>0</v>
      </c>
      <c r="BS117" s="9">
        <f t="shared" si="34"/>
        <v>0</v>
      </c>
      <c r="BT117" s="9">
        <f t="shared" si="35"/>
        <v>0</v>
      </c>
      <c r="BU117" s="9">
        <f t="shared" si="36"/>
        <v>0</v>
      </c>
      <c r="BV117" s="12">
        <f t="shared" si="37"/>
        <v>0</v>
      </c>
      <c r="BX117" s="12">
        <f t="shared" si="38"/>
        <v>0</v>
      </c>
      <c r="BY117" s="12">
        <f t="shared" si="39"/>
        <v>3.1652646544265599E-3</v>
      </c>
    </row>
    <row r="118" spans="1:77" x14ac:dyDescent="0.3">
      <c r="A118" s="1">
        <v>46195</v>
      </c>
      <c r="B118" s="8">
        <v>29.04</v>
      </c>
      <c r="C118" s="8">
        <v>96.59</v>
      </c>
      <c r="D118" s="9">
        <v>9.3410123931386702E-3</v>
      </c>
      <c r="E118" s="9">
        <v>1.07208937335956E-2</v>
      </c>
      <c r="F118" s="8">
        <v>0</v>
      </c>
      <c r="G118" s="8">
        <v>0.52300000000000002</v>
      </c>
      <c r="H118" s="8">
        <v>0</v>
      </c>
      <c r="I118" s="8">
        <v>0.94569999999999999</v>
      </c>
      <c r="J118" s="8">
        <v>0.27300000000000002</v>
      </c>
      <c r="K118" s="8">
        <v>0</v>
      </c>
      <c r="L118" s="8">
        <v>29.312999999999999</v>
      </c>
      <c r="M118" s="8">
        <v>96.59</v>
      </c>
      <c r="N118" s="10">
        <v>3.32610192837465</v>
      </c>
      <c r="O118" s="10">
        <v>3.2936632097661298</v>
      </c>
      <c r="P118" s="10">
        <v>3.2970369413593801</v>
      </c>
      <c r="Q118" s="10">
        <v>3.2943710297550899</v>
      </c>
      <c r="R118" s="8">
        <v>95.647979611608406</v>
      </c>
      <c r="S118" s="8">
        <v>95.644183650928994</v>
      </c>
      <c r="T118" s="8">
        <v>95.6198535051779</v>
      </c>
      <c r="U118" s="9">
        <v>-9.8006432503674294E-3</v>
      </c>
      <c r="V118" s="9">
        <v>-9.8403308216219194E-3</v>
      </c>
      <c r="W118" s="9">
        <v>-1.00947450465239E-2</v>
      </c>
      <c r="X118" s="10">
        <v>3.2951250298502299</v>
      </c>
      <c r="Y118" s="10">
        <v>3.2927332496881698</v>
      </c>
      <c r="Z118" s="10">
        <v>3.29081707500097</v>
      </c>
      <c r="AA118" s="10">
        <v>3.2912610965758899</v>
      </c>
      <c r="AB118" s="8">
        <v>96.519889748109506</v>
      </c>
      <c r="AC118" s="8">
        <v>96.451797662108206</v>
      </c>
      <c r="AD118" s="8">
        <v>96.472998972839207</v>
      </c>
      <c r="AE118" s="9">
        <v>-7.2611770492278201E-4</v>
      </c>
      <c r="AF118" s="9">
        <v>-1.43183873313377E-3</v>
      </c>
      <c r="AG118" s="9">
        <v>-1.2120503888036901E-3</v>
      </c>
      <c r="AZ118" s="9"/>
      <c r="BB118">
        <f t="shared" si="22"/>
        <v>1</v>
      </c>
      <c r="BC118">
        <f t="shared" si="23"/>
        <v>0</v>
      </c>
      <c r="BD118">
        <f t="shared" si="24"/>
        <v>0</v>
      </c>
      <c r="BE118">
        <f t="shared" si="20"/>
        <v>1</v>
      </c>
      <c r="BF118">
        <f t="shared" si="25"/>
        <v>0</v>
      </c>
      <c r="BG118" s="9">
        <f t="shared" si="26"/>
        <v>0</v>
      </c>
      <c r="BH118" s="9">
        <f t="shared" si="27"/>
        <v>0</v>
      </c>
      <c r="BI118" s="9">
        <f t="shared" si="28"/>
        <v>0</v>
      </c>
      <c r="BJ118" s="12">
        <f t="shared" si="29"/>
        <v>3.1652646544265599E-3</v>
      </c>
      <c r="BL118" s="9"/>
      <c r="BN118">
        <f t="shared" si="30"/>
        <v>0</v>
      </c>
      <c r="BO118">
        <f t="shared" si="31"/>
        <v>1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0</v>
      </c>
      <c r="BX118" s="12">
        <f t="shared" si="38"/>
        <v>0</v>
      </c>
      <c r="BY118" s="12">
        <f t="shared" si="39"/>
        <v>3.1652646544265599E-3</v>
      </c>
    </row>
    <row r="119" spans="1:77" x14ac:dyDescent="0.3">
      <c r="A119" s="1">
        <v>46196</v>
      </c>
      <c r="B119" s="8">
        <v>29.44</v>
      </c>
      <c r="C119" s="8">
        <v>97.86</v>
      </c>
      <c r="D119" s="9">
        <v>1.36801039040801E-2</v>
      </c>
      <c r="E119" s="9">
        <v>1.3062669669772899E-2</v>
      </c>
      <c r="F119" s="8">
        <v>0</v>
      </c>
      <c r="G119" s="8">
        <v>0.52300000000000002</v>
      </c>
      <c r="H119" s="8">
        <v>0</v>
      </c>
      <c r="I119" s="8">
        <v>0.94569999999999999</v>
      </c>
      <c r="J119" s="8">
        <v>0.27300000000000002</v>
      </c>
      <c r="K119" s="8">
        <v>0</v>
      </c>
      <c r="L119" s="8">
        <v>29.713000000000001</v>
      </c>
      <c r="M119" s="8">
        <v>97.86</v>
      </c>
      <c r="N119" s="10">
        <v>3.3240489130434701</v>
      </c>
      <c r="O119" s="10">
        <v>3.2936632097661298</v>
      </c>
      <c r="P119" s="10">
        <v>3.3005751430323098</v>
      </c>
      <c r="Q119" s="10">
        <v>3.2959986454752901</v>
      </c>
      <c r="R119" s="8">
        <v>96.965444895514906</v>
      </c>
      <c r="S119" s="8">
        <v>97.0647675536203</v>
      </c>
      <c r="T119" s="8">
        <v>96.986283115990005</v>
      </c>
      <c r="U119" s="9">
        <v>-9.1832090160601405E-3</v>
      </c>
      <c r="V119" s="9">
        <v>-8.1594234362059297E-3</v>
      </c>
      <c r="W119" s="9">
        <v>-8.9683285324582904E-3</v>
      </c>
      <c r="X119" s="10">
        <v>3.2935078921684098</v>
      </c>
      <c r="Y119" s="10">
        <v>3.2927332496881698</v>
      </c>
      <c r="Z119" s="10">
        <v>3.2913011745863998</v>
      </c>
      <c r="AA119" s="10">
        <v>3.29136166125233</v>
      </c>
      <c r="AB119" s="8">
        <v>97.836983047984802</v>
      </c>
      <c r="AC119" s="8">
        <v>97.780047749504106</v>
      </c>
      <c r="AD119" s="8">
        <v>97.793240962559395</v>
      </c>
      <c r="AE119" s="9">
        <v>-2.3523052591616899E-4</v>
      </c>
      <c r="AF119" s="9">
        <v>-8.1734037449475005E-4</v>
      </c>
      <c r="AG119" s="9">
        <v>-6.8242202074330304E-4</v>
      </c>
      <c r="AZ119" s="9"/>
      <c r="BB119">
        <f t="shared" si="22"/>
        <v>0</v>
      </c>
      <c r="BC119">
        <f t="shared" si="23"/>
        <v>0</v>
      </c>
      <c r="BD119">
        <f t="shared" si="24"/>
        <v>1</v>
      </c>
      <c r="BE119">
        <f t="shared" si="20"/>
        <v>0</v>
      </c>
      <c r="BF119">
        <f t="shared" si="25"/>
        <v>1</v>
      </c>
      <c r="BG119" s="9">
        <f t="shared" si="26"/>
        <v>1.36801039040801E-2</v>
      </c>
      <c r="BH119" s="9">
        <f t="shared" si="27"/>
        <v>-1.3062669669772899E-2</v>
      </c>
      <c r="BI119" s="9">
        <f t="shared" si="28"/>
        <v>6.1743423430720042E-4</v>
      </c>
      <c r="BJ119" s="12">
        <f t="shared" si="29"/>
        <v>3.7826988887337603E-3</v>
      </c>
      <c r="BL119" s="9"/>
      <c r="BN119">
        <f t="shared" si="30"/>
        <v>0</v>
      </c>
      <c r="BO119">
        <f t="shared" si="31"/>
        <v>1</v>
      </c>
      <c r="BP119">
        <f t="shared" si="32"/>
        <v>0</v>
      </c>
      <c r="BQ119">
        <f t="shared" si="21"/>
        <v>0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0</v>
      </c>
      <c r="BX119" s="12">
        <f t="shared" si="38"/>
        <v>6.1743423430720042E-4</v>
      </c>
      <c r="BY119" s="12">
        <f t="shared" si="39"/>
        <v>3.7826988887337603E-3</v>
      </c>
    </row>
    <row r="120" spans="1:77" x14ac:dyDescent="0.3">
      <c r="A120" s="1">
        <v>46197</v>
      </c>
      <c r="B120" s="8">
        <v>29.47</v>
      </c>
      <c r="C120" s="8">
        <v>97.01</v>
      </c>
      <c r="D120" s="9">
        <v>1.0185028889278E-3</v>
      </c>
      <c r="E120" s="9">
        <v>-8.72381988778528E-3</v>
      </c>
      <c r="F120" s="8">
        <v>0</v>
      </c>
      <c r="G120" s="8">
        <v>0.52300000000000002</v>
      </c>
      <c r="H120" s="8">
        <v>0.85540000000000005</v>
      </c>
      <c r="I120" s="8">
        <v>1.8010999999999999</v>
      </c>
      <c r="J120" s="8">
        <v>0</v>
      </c>
      <c r="K120" s="8">
        <v>0</v>
      </c>
      <c r="L120" s="8">
        <v>29.47</v>
      </c>
      <c r="M120" s="8">
        <v>97.01</v>
      </c>
      <c r="N120" s="10">
        <v>3.2918221920597199</v>
      </c>
      <c r="O120" s="10">
        <v>3.2936632097661298</v>
      </c>
      <c r="P120" s="10">
        <v>3.3009021433830701</v>
      </c>
      <c r="Q120" s="10">
        <v>3.2959774963583301</v>
      </c>
      <c r="R120" s="8">
        <v>97.064254791807898</v>
      </c>
      <c r="S120" s="8">
        <v>97.267949465162403</v>
      </c>
      <c r="T120" s="8">
        <v>97.133080082156994</v>
      </c>
      <c r="U120" s="9">
        <v>5.5911376065300399E-4</v>
      </c>
      <c r="V120" s="9">
        <v>2.65546983021526E-3</v>
      </c>
      <c r="W120" s="9">
        <v>1.2679318633872999E-3</v>
      </c>
      <c r="X120" s="10">
        <v>3.2918221920597199</v>
      </c>
      <c r="Y120" s="10">
        <v>3.2927332496881698</v>
      </c>
      <c r="Z120" s="10">
        <v>3.2916281749371499</v>
      </c>
      <c r="AA120" s="10">
        <v>3.2913405121353798</v>
      </c>
      <c r="AB120" s="8">
        <v>97.036848868310599</v>
      </c>
      <c r="AC120" s="8">
        <v>96.994645615061302</v>
      </c>
      <c r="AD120" s="8">
        <v>96.996428157106394</v>
      </c>
      <c r="AE120" s="9">
        <v>2.7672563237711797E-4</v>
      </c>
      <c r="AF120" s="9">
        <v>-1.5828883810527501E-4</v>
      </c>
      <c r="AG120" s="9">
        <v>-1.3991127041114299E-4</v>
      </c>
      <c r="AZ120" s="9"/>
      <c r="BB120">
        <f t="shared" si="22"/>
        <v>0</v>
      </c>
      <c r="BC120">
        <f t="shared" si="23"/>
        <v>0</v>
      </c>
      <c r="BD120">
        <f t="shared" si="24"/>
        <v>0</v>
      </c>
      <c r="BE120">
        <f t="shared" si="20"/>
        <v>1</v>
      </c>
      <c r="BF120">
        <f t="shared" si="25"/>
        <v>0</v>
      </c>
      <c r="BG120" s="9">
        <f t="shared" si="26"/>
        <v>0</v>
      </c>
      <c r="BH120" s="9">
        <f t="shared" si="27"/>
        <v>0</v>
      </c>
      <c r="BI120" s="9">
        <f t="shared" si="28"/>
        <v>0</v>
      </c>
      <c r="BJ120" s="12">
        <f t="shared" si="29"/>
        <v>3.7826988887337603E-3</v>
      </c>
      <c r="BL120" s="9"/>
      <c r="BN120">
        <f t="shared" si="30"/>
        <v>0</v>
      </c>
      <c r="BO120">
        <f t="shared" si="31"/>
        <v>1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0</v>
      </c>
      <c r="BX120" s="12">
        <f t="shared" si="38"/>
        <v>0</v>
      </c>
      <c r="BY120" s="12">
        <f t="shared" si="39"/>
        <v>3.7826988887337603E-3</v>
      </c>
    </row>
    <row r="121" spans="1:77" x14ac:dyDescent="0.3">
      <c r="A121" s="1">
        <v>46198</v>
      </c>
      <c r="B121" s="8">
        <v>29.53</v>
      </c>
      <c r="C121" s="8">
        <v>97.19</v>
      </c>
      <c r="D121" s="9">
        <v>2.0338990062280398E-3</v>
      </c>
      <c r="E121" s="9">
        <v>1.85375954218695E-3</v>
      </c>
      <c r="F121" s="8">
        <v>0</v>
      </c>
      <c r="G121" s="8">
        <v>0.52300000000000002</v>
      </c>
      <c r="H121" s="8">
        <v>0</v>
      </c>
      <c r="I121" s="8">
        <v>1.8010999999999999</v>
      </c>
      <c r="J121" s="8">
        <v>0</v>
      </c>
      <c r="K121" s="8">
        <v>0</v>
      </c>
      <c r="L121" s="8">
        <v>29.53</v>
      </c>
      <c r="M121" s="8">
        <v>97.19</v>
      </c>
      <c r="N121" s="10">
        <v>3.2912292583812999</v>
      </c>
      <c r="O121" s="10">
        <v>3.2936632097661298</v>
      </c>
      <c r="P121" s="10">
        <v>3.30113618033231</v>
      </c>
      <c r="Q121" s="10">
        <v>3.2960447298137199</v>
      </c>
      <c r="R121" s="8">
        <v>97.261874584393794</v>
      </c>
      <c r="S121" s="8">
        <v>97.475640294102107</v>
      </c>
      <c r="T121" s="8">
        <v>97.330215467461699</v>
      </c>
      <c r="U121" s="9">
        <v>7.3925322469391998E-4</v>
      </c>
      <c r="V121" s="9">
        <v>2.9346781350121798E-3</v>
      </c>
      <c r="W121" s="9">
        <v>1.4416547031855999E-3</v>
      </c>
      <c r="X121" s="10">
        <v>3.2912292583812999</v>
      </c>
      <c r="Y121" s="10">
        <v>3.2927332496881698</v>
      </c>
      <c r="Z121" s="10">
        <v>3.2918622118864</v>
      </c>
      <c r="AA121" s="10">
        <v>3.2914077455907602</v>
      </c>
      <c r="AB121" s="8">
        <v>97.234412863291894</v>
      </c>
      <c r="AC121" s="8">
        <v>97.201780005894193</v>
      </c>
      <c r="AD121" s="8">
        <v>97.193285323357699</v>
      </c>
      <c r="AE121" s="9">
        <v>4.5686509641825899E-4</v>
      </c>
      <c r="AF121" s="9">
        <v>1.21198601178859E-4</v>
      </c>
      <c r="AG121" s="9">
        <v>3.38025293957293E-5</v>
      </c>
      <c r="AZ121" s="9"/>
      <c r="BB121">
        <f t="shared" si="22"/>
        <v>0</v>
      </c>
      <c r="BC121">
        <f t="shared" si="23"/>
        <v>1</v>
      </c>
      <c r="BD121">
        <f t="shared" si="24"/>
        <v>0</v>
      </c>
      <c r="BE121">
        <f t="shared" si="20"/>
        <v>1</v>
      </c>
      <c r="BF121">
        <f t="shared" si="25"/>
        <v>0</v>
      </c>
      <c r="BG121" s="9">
        <f t="shared" si="26"/>
        <v>0</v>
      </c>
      <c r="BH121" s="9">
        <f t="shared" si="27"/>
        <v>0</v>
      </c>
      <c r="BI121" s="9">
        <f t="shared" si="28"/>
        <v>0</v>
      </c>
      <c r="BJ121" s="12">
        <f t="shared" si="29"/>
        <v>3.7826988887337603E-3</v>
      </c>
      <c r="BL121" s="9"/>
      <c r="BN121">
        <f t="shared" si="30"/>
        <v>0</v>
      </c>
      <c r="BO121">
        <f t="shared" si="31"/>
        <v>0</v>
      </c>
      <c r="BP121">
        <f t="shared" si="32"/>
        <v>0</v>
      </c>
      <c r="BQ121">
        <f t="shared" si="21"/>
        <v>1</v>
      </c>
      <c r="BR121">
        <f t="shared" si="33"/>
        <v>0</v>
      </c>
      <c r="BS121" s="9">
        <f t="shared" si="34"/>
        <v>0</v>
      </c>
      <c r="BT121" s="9">
        <f t="shared" si="35"/>
        <v>0</v>
      </c>
      <c r="BU121" s="9">
        <f t="shared" si="36"/>
        <v>0</v>
      </c>
      <c r="BV121" s="12">
        <f t="shared" si="37"/>
        <v>0</v>
      </c>
      <c r="BX121" s="12">
        <f t="shared" si="38"/>
        <v>0</v>
      </c>
      <c r="BY121" s="12">
        <f t="shared" si="39"/>
        <v>3.7826988887337603E-3</v>
      </c>
    </row>
    <row r="122" spans="1:77" x14ac:dyDescent="0.3">
      <c r="A122" s="1">
        <v>46199</v>
      </c>
      <c r="B122" s="8">
        <v>29.97</v>
      </c>
      <c r="C122" s="8">
        <v>98.67</v>
      </c>
      <c r="D122" s="9">
        <v>1.4790185572740399E-2</v>
      </c>
      <c r="E122" s="9">
        <v>1.5113123353696099E-2</v>
      </c>
      <c r="F122" s="8">
        <v>0</v>
      </c>
      <c r="G122" s="8">
        <v>0.52300000000000002</v>
      </c>
      <c r="H122" s="8">
        <v>0</v>
      </c>
      <c r="I122" s="8">
        <v>1.8010999999999999</v>
      </c>
      <c r="J122" s="8">
        <v>0</v>
      </c>
      <c r="K122" s="8">
        <v>0</v>
      </c>
      <c r="L122" s="8">
        <v>29.97</v>
      </c>
      <c r="M122" s="8">
        <v>98.67</v>
      </c>
      <c r="N122" s="10">
        <v>3.2922922922922901</v>
      </c>
      <c r="O122" s="10">
        <v>3.2936632097661298</v>
      </c>
      <c r="P122" s="10">
        <v>3.3011579896627201</v>
      </c>
      <c r="Q122" s="10">
        <v>3.2961228754440102</v>
      </c>
      <c r="R122" s="8">
        <v>98.711086396690902</v>
      </c>
      <c r="S122" s="8">
        <v>98.935051324559396</v>
      </c>
      <c r="T122" s="8">
        <v>98.782460552517193</v>
      </c>
      <c r="U122" s="9">
        <v>4.1631544373821799E-4</v>
      </c>
      <c r="V122" s="9">
        <v>2.68263874569392E-3</v>
      </c>
      <c r="W122" s="9">
        <v>1.13911535326712E-3</v>
      </c>
      <c r="X122" s="10">
        <v>3.2922922922922901</v>
      </c>
      <c r="Y122" s="10">
        <v>3.2927332496881698</v>
      </c>
      <c r="Z122" s="10">
        <v>3.2918840212167999</v>
      </c>
      <c r="AA122" s="10">
        <v>3.2914858912210501</v>
      </c>
      <c r="AB122" s="8">
        <v>98.683215493154705</v>
      </c>
      <c r="AC122" s="8">
        <v>98.657110490235397</v>
      </c>
      <c r="AD122" s="8">
        <v>98.643490135355194</v>
      </c>
      <c r="AE122" s="9">
        <v>1.3392731546265401E-4</v>
      </c>
      <c r="AF122" s="9">
        <v>-1.3064104319880101E-4</v>
      </c>
      <c r="AG122" s="9">
        <v>-2.68708082615927E-4</v>
      </c>
      <c r="AZ122" s="9"/>
      <c r="BB122">
        <f t="shared" si="22"/>
        <v>0</v>
      </c>
      <c r="BC122">
        <f t="shared" si="23"/>
        <v>0</v>
      </c>
      <c r="BD122">
        <f t="shared" si="24"/>
        <v>0</v>
      </c>
      <c r="BE122">
        <f t="shared" si="20"/>
        <v>1</v>
      </c>
      <c r="BF122">
        <f t="shared" si="25"/>
        <v>0</v>
      </c>
      <c r="BG122" s="9">
        <f t="shared" si="26"/>
        <v>0</v>
      </c>
      <c r="BH122" s="9">
        <f t="shared" si="27"/>
        <v>0</v>
      </c>
      <c r="BI122" s="9">
        <f t="shared" si="28"/>
        <v>0</v>
      </c>
      <c r="BJ122" s="12">
        <f t="shared" si="29"/>
        <v>3.7826988887337603E-3</v>
      </c>
      <c r="BL122" s="9"/>
      <c r="BN122">
        <f t="shared" si="30"/>
        <v>0</v>
      </c>
      <c r="BO122">
        <f t="shared" si="31"/>
        <v>1</v>
      </c>
      <c r="BP122">
        <f t="shared" si="32"/>
        <v>0</v>
      </c>
      <c r="BQ122">
        <f t="shared" si="21"/>
        <v>1</v>
      </c>
      <c r="BR122">
        <f t="shared" si="33"/>
        <v>0</v>
      </c>
      <c r="BS122" s="9">
        <f t="shared" si="34"/>
        <v>0</v>
      </c>
      <c r="BT122" s="9">
        <f t="shared" si="35"/>
        <v>0</v>
      </c>
      <c r="BU122" s="9">
        <f t="shared" si="36"/>
        <v>0</v>
      </c>
      <c r="BV122" s="12">
        <f t="shared" si="37"/>
        <v>0</v>
      </c>
      <c r="BX122" s="12">
        <f t="shared" si="38"/>
        <v>0</v>
      </c>
      <c r="BY122" s="12">
        <f t="shared" si="39"/>
        <v>3.7826988887337603E-3</v>
      </c>
    </row>
    <row r="123" spans="1:77" x14ac:dyDescent="0.3">
      <c r="A123" s="1">
        <v>46202</v>
      </c>
      <c r="B123" s="8">
        <v>29.83</v>
      </c>
      <c r="C123" s="8">
        <v>98.15</v>
      </c>
      <c r="D123" s="9">
        <v>-4.6822828019146903E-3</v>
      </c>
      <c r="E123" s="9">
        <v>-5.2840281466051504E-3</v>
      </c>
      <c r="F123" s="8">
        <v>0</v>
      </c>
      <c r="G123" s="8">
        <v>0.52300000000000002</v>
      </c>
      <c r="H123" s="8">
        <v>0</v>
      </c>
      <c r="I123" s="8">
        <v>1.8010999999999999</v>
      </c>
      <c r="J123" s="8">
        <v>0</v>
      </c>
      <c r="K123" s="8">
        <v>0</v>
      </c>
      <c r="L123" s="8">
        <v>29.83</v>
      </c>
      <c r="M123" s="8">
        <v>98.15</v>
      </c>
      <c r="N123" s="10">
        <v>3.2903117666778399</v>
      </c>
      <c r="O123" s="10">
        <v>3.2936632097661298</v>
      </c>
      <c r="P123" s="10">
        <v>3.30127430823367</v>
      </c>
      <c r="Q123" s="10">
        <v>3.2960357805993699</v>
      </c>
      <c r="R123" s="8">
        <v>98.249973547323705</v>
      </c>
      <c r="S123" s="8">
        <v>98.473542831638994</v>
      </c>
      <c r="T123" s="8">
        <v>98.323345374495005</v>
      </c>
      <c r="U123" s="9">
        <v>1.0180607884287499E-3</v>
      </c>
      <c r="V123" s="9">
        <v>3.2909906819260301E-3</v>
      </c>
      <c r="W123" s="9">
        <v>1.76456932764552E-3</v>
      </c>
      <c r="X123" s="10">
        <v>3.2903117666778399</v>
      </c>
      <c r="Y123" s="10">
        <v>3.2927332496881698</v>
      </c>
      <c r="Z123" s="10">
        <v>3.29200033978776</v>
      </c>
      <c r="AA123" s="10">
        <v>3.2913987963764102</v>
      </c>
      <c r="AB123" s="8">
        <v>98.222232838198295</v>
      </c>
      <c r="AC123" s="8">
        <v>98.196900352897401</v>
      </c>
      <c r="AD123" s="8">
        <v>98.185024135124095</v>
      </c>
      <c r="AE123" s="9">
        <v>7.3567266015293095E-4</v>
      </c>
      <c r="AF123" s="9">
        <v>4.7772950533072402E-4</v>
      </c>
      <c r="AG123" s="9">
        <v>3.5677929243631002E-4</v>
      </c>
      <c r="AZ123" s="9"/>
      <c r="BB123">
        <f t="shared" si="22"/>
        <v>0</v>
      </c>
      <c r="BC123">
        <f t="shared" si="23"/>
        <v>1</v>
      </c>
      <c r="BD123">
        <f t="shared" si="24"/>
        <v>0</v>
      </c>
      <c r="BE123">
        <f t="shared" si="20"/>
        <v>1</v>
      </c>
      <c r="BF123">
        <f t="shared" si="25"/>
        <v>0</v>
      </c>
      <c r="BG123" s="9">
        <f t="shared" si="26"/>
        <v>0</v>
      </c>
      <c r="BH123" s="9">
        <f t="shared" si="27"/>
        <v>0</v>
      </c>
      <c r="BI123" s="9">
        <f t="shared" si="28"/>
        <v>0</v>
      </c>
      <c r="BJ123" s="12">
        <f t="shared" si="29"/>
        <v>3.7826988887337603E-3</v>
      </c>
      <c r="BL123" s="9"/>
      <c r="BN123">
        <f t="shared" si="30"/>
        <v>0</v>
      </c>
      <c r="BO123">
        <f t="shared" si="31"/>
        <v>0</v>
      </c>
      <c r="BP123">
        <f t="shared" si="32"/>
        <v>0</v>
      </c>
      <c r="BQ123">
        <f t="shared" si="21"/>
        <v>1</v>
      </c>
      <c r="BR123">
        <f t="shared" si="33"/>
        <v>0</v>
      </c>
      <c r="BS123" s="9">
        <f t="shared" si="34"/>
        <v>0</v>
      </c>
      <c r="BT123" s="9">
        <f t="shared" si="35"/>
        <v>0</v>
      </c>
      <c r="BU123" s="9">
        <f t="shared" si="36"/>
        <v>0</v>
      </c>
      <c r="BV123" s="12">
        <f t="shared" si="37"/>
        <v>0</v>
      </c>
      <c r="BX123" s="12">
        <f t="shared" si="38"/>
        <v>0</v>
      </c>
      <c r="BY123" s="12">
        <f t="shared" si="39"/>
        <v>3.7826988887337603E-3</v>
      </c>
    </row>
    <row r="124" spans="1:77" x14ac:dyDescent="0.3">
      <c r="A124" s="1">
        <v>46203</v>
      </c>
      <c r="B124" s="8">
        <v>29.3</v>
      </c>
      <c r="C124" s="8">
        <v>96.43</v>
      </c>
      <c r="D124" s="9">
        <v>-1.7927082503635401E-2</v>
      </c>
      <c r="E124" s="9">
        <v>-1.7679564200176901E-2</v>
      </c>
      <c r="F124" s="8">
        <v>0</v>
      </c>
      <c r="G124" s="8">
        <v>0.52300000000000002</v>
      </c>
      <c r="H124" s="8">
        <v>0</v>
      </c>
      <c r="I124" s="8">
        <v>1.8010999999999999</v>
      </c>
      <c r="J124" s="8">
        <v>0</v>
      </c>
      <c r="K124" s="8">
        <v>0</v>
      </c>
      <c r="L124" s="8">
        <v>29.3</v>
      </c>
      <c r="M124" s="8">
        <v>96.43</v>
      </c>
      <c r="N124" s="10">
        <v>3.2911262798634802</v>
      </c>
      <c r="O124" s="10">
        <v>3.2936632097661298</v>
      </c>
      <c r="P124" s="10">
        <v>3.3013590182920098</v>
      </c>
      <c r="Q124" s="10">
        <v>3.2960415524449398</v>
      </c>
      <c r="R124" s="8">
        <v>96.504332046147596</v>
      </c>
      <c r="S124" s="8">
        <v>96.727337231246807</v>
      </c>
      <c r="T124" s="8">
        <v>96.573848371561596</v>
      </c>
      <c r="U124" s="9">
        <v>7.7054248497025301E-4</v>
      </c>
      <c r="V124" s="9">
        <v>3.07870744509751E-3</v>
      </c>
      <c r="W124" s="9">
        <v>1.4906272534034801E-3</v>
      </c>
      <c r="X124" s="10">
        <v>3.2911262798634802</v>
      </c>
      <c r="Y124" s="10">
        <v>3.2927332496881698</v>
      </c>
      <c r="Z124" s="10">
        <v>3.2920850498460901</v>
      </c>
      <c r="AA124" s="10">
        <v>3.2914045682219801</v>
      </c>
      <c r="AB124" s="8">
        <v>96.477084215863599</v>
      </c>
      <c r="AC124" s="8">
        <v>96.455609955781497</v>
      </c>
      <c r="AD124" s="8">
        <v>96.437984733828998</v>
      </c>
      <c r="AE124" s="9">
        <v>4.8815435669462298E-4</v>
      </c>
      <c r="AF124" s="9">
        <v>2.6554553175732102E-4</v>
      </c>
      <c r="AG124" s="9">
        <v>8.2799992384143399E-5</v>
      </c>
      <c r="AZ124" s="9"/>
      <c r="BB124">
        <f t="shared" si="22"/>
        <v>0</v>
      </c>
      <c r="BC124">
        <f t="shared" si="23"/>
        <v>1</v>
      </c>
      <c r="BD124">
        <f t="shared" si="24"/>
        <v>0</v>
      </c>
      <c r="BE124">
        <f t="shared" si="20"/>
        <v>1</v>
      </c>
      <c r="BF124">
        <f t="shared" si="25"/>
        <v>0</v>
      </c>
      <c r="BG124" s="9">
        <f t="shared" si="26"/>
        <v>0</v>
      </c>
      <c r="BH124" s="9">
        <f t="shared" si="27"/>
        <v>0</v>
      </c>
      <c r="BI124" s="9">
        <f t="shared" si="28"/>
        <v>0</v>
      </c>
      <c r="BJ124" s="12">
        <f t="shared" si="29"/>
        <v>3.7826988887337603E-3</v>
      </c>
      <c r="BL124" s="9"/>
      <c r="BN124">
        <f t="shared" si="30"/>
        <v>0</v>
      </c>
      <c r="BO124">
        <f t="shared" si="31"/>
        <v>0</v>
      </c>
      <c r="BP124">
        <f t="shared" si="32"/>
        <v>0</v>
      </c>
      <c r="BQ124">
        <f t="shared" si="21"/>
        <v>1</v>
      </c>
      <c r="BR124">
        <f t="shared" si="33"/>
        <v>0</v>
      </c>
      <c r="BS124" s="9">
        <f t="shared" si="34"/>
        <v>0</v>
      </c>
      <c r="BT124" s="9">
        <f t="shared" si="35"/>
        <v>0</v>
      </c>
      <c r="BU124" s="9">
        <f t="shared" si="36"/>
        <v>0</v>
      </c>
      <c r="BV124" s="12">
        <f t="shared" si="37"/>
        <v>0</v>
      </c>
      <c r="BX124" s="12">
        <f t="shared" si="38"/>
        <v>0</v>
      </c>
      <c r="BY124" s="12">
        <f t="shared" si="39"/>
        <v>3.7826988887337603E-3</v>
      </c>
    </row>
    <row r="125" spans="1:77" x14ac:dyDescent="0.3">
      <c r="A125" s="1">
        <v>46204</v>
      </c>
      <c r="B125" s="8">
        <v>29.44</v>
      </c>
      <c r="C125" s="8">
        <v>96.82</v>
      </c>
      <c r="D125" s="9">
        <v>4.7667778376538402E-3</v>
      </c>
      <c r="E125" s="9">
        <v>4.0362279892551802E-3</v>
      </c>
      <c r="F125" s="8">
        <v>0</v>
      </c>
      <c r="G125" s="8">
        <v>0.52300000000000002</v>
      </c>
      <c r="H125" s="8">
        <v>0</v>
      </c>
      <c r="I125" s="8">
        <v>1.8010999999999999</v>
      </c>
      <c r="J125" s="8">
        <v>0</v>
      </c>
      <c r="K125" s="8">
        <v>0</v>
      </c>
      <c r="L125" s="8">
        <v>29.44</v>
      </c>
      <c r="M125" s="8">
        <v>96.82</v>
      </c>
      <c r="N125" s="10">
        <v>3.2887228260869499</v>
      </c>
      <c r="O125" s="10">
        <v>3.2936632097661298</v>
      </c>
      <c r="P125" s="10">
        <v>3.3008392955261598</v>
      </c>
      <c r="Q125" s="10">
        <v>3.2958660601721399</v>
      </c>
      <c r="R125" s="8">
        <v>96.965444895514906</v>
      </c>
      <c r="S125" s="8">
        <v>97.192009498516697</v>
      </c>
      <c r="T125" s="8">
        <v>97.0354633039791</v>
      </c>
      <c r="U125" s="9">
        <v>1.5010923333691299E-3</v>
      </c>
      <c r="V125" s="9">
        <v>3.83491677029755E-3</v>
      </c>
      <c r="W125" s="9">
        <v>2.2229282479973899E-3</v>
      </c>
      <c r="X125" s="10">
        <v>3.2887228260869499</v>
      </c>
      <c r="Y125" s="10">
        <v>3.2927332496881698</v>
      </c>
      <c r="Z125" s="10">
        <v>3.2915653270802498</v>
      </c>
      <c r="AA125" s="10">
        <v>3.2912290759491798</v>
      </c>
      <c r="AB125" s="8">
        <v>96.938066870819895</v>
      </c>
      <c r="AC125" s="8">
        <v>96.918983867468995</v>
      </c>
      <c r="AD125" s="8">
        <v>96.898950488455199</v>
      </c>
      <c r="AE125" s="9">
        <v>1.21870420509325E-3</v>
      </c>
      <c r="AF125" s="9">
        <v>1.02182714191819E-3</v>
      </c>
      <c r="AG125" s="9">
        <v>8.15103454023494E-4</v>
      </c>
      <c r="AZ125" s="9"/>
      <c r="BB125">
        <f t="shared" si="22"/>
        <v>0</v>
      </c>
      <c r="BC125">
        <f t="shared" si="23"/>
        <v>1</v>
      </c>
      <c r="BD125">
        <f t="shared" si="24"/>
        <v>0</v>
      </c>
      <c r="BE125">
        <f t="shared" si="20"/>
        <v>1</v>
      </c>
      <c r="BF125">
        <f t="shared" si="25"/>
        <v>0</v>
      </c>
      <c r="BG125" s="9">
        <f t="shared" si="26"/>
        <v>0</v>
      </c>
      <c r="BH125" s="9">
        <f t="shared" si="27"/>
        <v>0</v>
      </c>
      <c r="BI125" s="9">
        <f t="shared" si="28"/>
        <v>0</v>
      </c>
      <c r="BJ125" s="12">
        <f t="shared" si="29"/>
        <v>3.7826988887337603E-3</v>
      </c>
      <c r="BL125" s="9"/>
      <c r="BN125">
        <f t="shared" si="30"/>
        <v>0</v>
      </c>
      <c r="BO125">
        <f t="shared" si="31"/>
        <v>0</v>
      </c>
      <c r="BP125">
        <f t="shared" si="32"/>
        <v>0</v>
      </c>
      <c r="BQ125">
        <f t="shared" si="21"/>
        <v>1</v>
      </c>
      <c r="BR125">
        <f t="shared" si="33"/>
        <v>0</v>
      </c>
      <c r="BS125" s="9">
        <f t="shared" si="34"/>
        <v>0</v>
      </c>
      <c r="BT125" s="9">
        <f t="shared" si="35"/>
        <v>0</v>
      </c>
      <c r="BU125" s="9">
        <f t="shared" si="36"/>
        <v>0</v>
      </c>
      <c r="BV125" s="12">
        <f t="shared" si="37"/>
        <v>0</v>
      </c>
      <c r="BX125" s="12">
        <f t="shared" si="38"/>
        <v>0</v>
      </c>
      <c r="BY125" s="12">
        <f t="shared" si="39"/>
        <v>3.7826988887337603E-3</v>
      </c>
    </row>
    <row r="126" spans="1:77" x14ac:dyDescent="0.3">
      <c r="A126" s="1">
        <v>46205</v>
      </c>
      <c r="B126" s="8">
        <v>29.79</v>
      </c>
      <c r="C126" s="8">
        <v>98.02</v>
      </c>
      <c r="D126" s="9">
        <v>1.18184728645154E-2</v>
      </c>
      <c r="E126" s="9">
        <v>1.23179549698531E-2</v>
      </c>
      <c r="F126" s="8">
        <v>0</v>
      </c>
      <c r="G126" s="8">
        <v>0.52300000000000002</v>
      </c>
      <c r="H126" s="8">
        <v>0</v>
      </c>
      <c r="I126" s="8">
        <v>1.8010999999999999</v>
      </c>
      <c r="J126" s="8">
        <v>0</v>
      </c>
      <c r="K126" s="8">
        <v>0</v>
      </c>
      <c r="L126" s="8">
        <v>29.79</v>
      </c>
      <c r="M126" s="8">
        <v>98.02</v>
      </c>
      <c r="N126" s="10">
        <v>3.2903658945954999</v>
      </c>
      <c r="O126" s="10">
        <v>3.2936632097661298</v>
      </c>
      <c r="P126" s="10">
        <v>3.3007536818876102</v>
      </c>
      <c r="Q126" s="10">
        <v>3.2957348955367198</v>
      </c>
      <c r="R126" s="8">
        <v>98.118227018932998</v>
      </c>
      <c r="S126" s="8">
        <v>98.332002613724498</v>
      </c>
      <c r="T126" s="8">
        <v>98.183849932528005</v>
      </c>
      <c r="U126" s="9">
        <v>1.0016102280312E-3</v>
      </c>
      <c r="V126" s="9">
        <v>3.1779953569558198E-3</v>
      </c>
      <c r="W126" s="9">
        <v>1.67020138161075E-3</v>
      </c>
      <c r="X126" s="10">
        <v>3.2903658945954999</v>
      </c>
      <c r="Y126" s="10">
        <v>3.2927332496881698</v>
      </c>
      <c r="Z126" s="10">
        <v>3.29147971344169</v>
      </c>
      <c r="AA126" s="10">
        <v>3.2910979113137602</v>
      </c>
      <c r="AB126" s="8">
        <v>98.090523508210794</v>
      </c>
      <c r="AC126" s="8">
        <v>98.055731093720695</v>
      </c>
      <c r="AD126" s="8">
        <v>98.045714172526104</v>
      </c>
      <c r="AE126" s="9">
        <v>7.1922209975556703E-4</v>
      </c>
      <c r="AF126" s="9">
        <v>3.6446217914812501E-4</v>
      </c>
      <c r="AG126" s="9">
        <v>2.6230157355284101E-4</v>
      </c>
      <c r="AZ126" s="9"/>
      <c r="BB126">
        <f t="shared" si="22"/>
        <v>0</v>
      </c>
      <c r="BC126">
        <f t="shared" si="23"/>
        <v>1</v>
      </c>
      <c r="BD126">
        <f t="shared" si="24"/>
        <v>0</v>
      </c>
      <c r="BE126">
        <f t="shared" si="20"/>
        <v>1</v>
      </c>
      <c r="BF126">
        <f t="shared" si="25"/>
        <v>0</v>
      </c>
      <c r="BG126" s="9">
        <f t="shared" si="26"/>
        <v>0</v>
      </c>
      <c r="BH126" s="9">
        <f t="shared" si="27"/>
        <v>0</v>
      </c>
      <c r="BI126" s="9">
        <f t="shared" si="28"/>
        <v>0</v>
      </c>
      <c r="BJ126" s="12">
        <f t="shared" si="29"/>
        <v>3.7826988887337603E-3</v>
      </c>
      <c r="BL126" s="9"/>
      <c r="BN126">
        <f t="shared" si="30"/>
        <v>0</v>
      </c>
      <c r="BO126">
        <f t="shared" si="31"/>
        <v>0</v>
      </c>
      <c r="BP126">
        <f t="shared" si="32"/>
        <v>0</v>
      </c>
      <c r="BQ126">
        <f t="shared" si="21"/>
        <v>1</v>
      </c>
      <c r="BR126">
        <f t="shared" si="33"/>
        <v>0</v>
      </c>
      <c r="BS126" s="9">
        <f t="shared" si="34"/>
        <v>0</v>
      </c>
      <c r="BT126" s="9">
        <f t="shared" si="35"/>
        <v>0</v>
      </c>
      <c r="BU126" s="9">
        <f t="shared" si="36"/>
        <v>0</v>
      </c>
      <c r="BV126" s="12">
        <f t="shared" si="37"/>
        <v>0</v>
      </c>
      <c r="BX126" s="12">
        <f t="shared" si="38"/>
        <v>0</v>
      </c>
      <c r="BY126" s="12">
        <f t="shared" si="39"/>
        <v>3.7826988887337603E-3</v>
      </c>
    </row>
    <row r="127" spans="1:77" x14ac:dyDescent="0.3">
      <c r="A127" s="1">
        <v>46209</v>
      </c>
      <c r="B127" s="8">
        <v>29.59</v>
      </c>
      <c r="C127" s="8">
        <v>97.24</v>
      </c>
      <c r="D127" s="9">
        <v>-6.7363003130725997E-3</v>
      </c>
      <c r="E127" s="9">
        <v>-7.9893900334788593E-3</v>
      </c>
      <c r="F127" s="8">
        <v>0</v>
      </c>
      <c r="G127" s="8">
        <v>0.52300000000000002</v>
      </c>
      <c r="H127" s="8">
        <v>0</v>
      </c>
      <c r="I127" s="8">
        <v>1.8010999999999999</v>
      </c>
      <c r="J127" s="8">
        <v>0</v>
      </c>
      <c r="K127" s="8">
        <v>0</v>
      </c>
      <c r="L127" s="8">
        <v>29.59</v>
      </c>
      <c r="M127" s="8">
        <v>97.24</v>
      </c>
      <c r="N127" s="10">
        <v>3.2862453531598499</v>
      </c>
      <c r="O127" s="10">
        <v>3.2936632097661298</v>
      </c>
      <c r="P127" s="10">
        <v>3.2972266704535</v>
      </c>
      <c r="Q127" s="10">
        <v>3.2953795826600998</v>
      </c>
      <c r="R127" s="8">
        <v>97.459494376979805</v>
      </c>
      <c r="S127" s="8">
        <v>97.669301447054394</v>
      </c>
      <c r="T127" s="8">
        <v>97.520795558931695</v>
      </c>
      <c r="U127" s="9">
        <v>2.2546999484374399E-3</v>
      </c>
      <c r="V127" s="9">
        <v>4.4051478107493902E-3</v>
      </c>
      <c r="W127" s="9">
        <v>2.88349359718836E-3</v>
      </c>
      <c r="X127" s="10">
        <v>3.2862453531598499</v>
      </c>
      <c r="Y127" s="10">
        <v>3.2927332496881698</v>
      </c>
      <c r="Z127" s="10">
        <v>3.2910748785135602</v>
      </c>
      <c r="AA127" s="10">
        <v>3.2907425984371401</v>
      </c>
      <c r="AB127" s="8">
        <v>97.431976858273103</v>
      </c>
      <c r="AC127" s="8">
        <v>97.394884720739697</v>
      </c>
      <c r="AD127" s="8">
        <v>97.383587195774396</v>
      </c>
      <c r="AE127" s="9">
        <v>1.9723118201617502E-3</v>
      </c>
      <c r="AF127" s="9">
        <v>1.59154155387554E-3</v>
      </c>
      <c r="AG127" s="9">
        <v>1.47553771765206E-3</v>
      </c>
      <c r="AZ127" s="9"/>
      <c r="BB127">
        <f t="shared" si="22"/>
        <v>0</v>
      </c>
      <c r="BC127">
        <f t="shared" si="23"/>
        <v>1</v>
      </c>
      <c r="BD127">
        <f t="shared" si="24"/>
        <v>0</v>
      </c>
      <c r="BE127">
        <f t="shared" si="20"/>
        <v>1</v>
      </c>
      <c r="BF127">
        <f t="shared" si="25"/>
        <v>0</v>
      </c>
      <c r="BG127" s="9">
        <f t="shared" si="26"/>
        <v>0</v>
      </c>
      <c r="BH127" s="9">
        <f t="shared" si="27"/>
        <v>0</v>
      </c>
      <c r="BI127" s="9">
        <f t="shared" si="28"/>
        <v>0</v>
      </c>
      <c r="BJ127" s="12">
        <f t="shared" si="29"/>
        <v>3.7826988887337603E-3</v>
      </c>
      <c r="BL127" s="9"/>
      <c r="BN127">
        <f t="shared" si="30"/>
        <v>0</v>
      </c>
      <c r="BO127">
        <f t="shared" si="31"/>
        <v>0</v>
      </c>
      <c r="BP127">
        <f t="shared" si="32"/>
        <v>0</v>
      </c>
      <c r="BQ127">
        <f t="shared" si="21"/>
        <v>1</v>
      </c>
      <c r="BR127">
        <f t="shared" si="33"/>
        <v>0</v>
      </c>
      <c r="BS127" s="9">
        <f t="shared" si="34"/>
        <v>0</v>
      </c>
      <c r="BT127" s="9">
        <f t="shared" si="35"/>
        <v>0</v>
      </c>
      <c r="BU127" s="9">
        <f t="shared" si="36"/>
        <v>0</v>
      </c>
      <c r="BV127" s="12">
        <f t="shared" si="37"/>
        <v>0</v>
      </c>
      <c r="BX127" s="12">
        <f t="shared" si="38"/>
        <v>0</v>
      </c>
      <c r="BY127" s="12">
        <f t="shared" si="39"/>
        <v>3.7826988887337603E-3</v>
      </c>
    </row>
    <row r="128" spans="1:77" x14ac:dyDescent="0.3">
      <c r="A128" s="1">
        <v>46210</v>
      </c>
      <c r="B128" s="8">
        <v>29.93</v>
      </c>
      <c r="C128" s="8">
        <v>98.4</v>
      </c>
      <c r="D128" s="9">
        <v>1.1424855452489099E-2</v>
      </c>
      <c r="E128" s="9">
        <v>1.1858654610285201E-2</v>
      </c>
      <c r="F128" s="8">
        <v>0</v>
      </c>
      <c r="G128" s="8">
        <v>0.52300000000000002</v>
      </c>
      <c r="H128" s="8">
        <v>0</v>
      </c>
      <c r="I128" s="8">
        <v>1.8010999999999999</v>
      </c>
      <c r="J128" s="8">
        <v>0</v>
      </c>
      <c r="K128" s="8">
        <v>0</v>
      </c>
      <c r="L128" s="8">
        <v>29.93</v>
      </c>
      <c r="M128" s="8">
        <v>98.4</v>
      </c>
      <c r="N128" s="10">
        <v>3.2876712328767099</v>
      </c>
      <c r="O128" s="10">
        <v>3.2936632097661298</v>
      </c>
      <c r="P128" s="10">
        <v>3.2933836009037099</v>
      </c>
      <c r="Q128" s="10">
        <v>3.2952102711315501</v>
      </c>
      <c r="R128" s="8">
        <v>98.579339868300295</v>
      </c>
      <c r="S128" s="8">
        <v>98.685994246673502</v>
      </c>
      <c r="T128" s="8">
        <v>98.630710909016898</v>
      </c>
      <c r="U128" s="9">
        <v>1.82090079064169E-3</v>
      </c>
      <c r="V128" s="9">
        <v>2.9022300494697798E-3</v>
      </c>
      <c r="W128" s="9">
        <v>2.3418787192616701E-3</v>
      </c>
      <c r="X128" s="10">
        <v>3.2876712328767099</v>
      </c>
      <c r="Y128" s="10">
        <v>3.2927332496881698</v>
      </c>
      <c r="Z128" s="10">
        <v>3.2903294988162002</v>
      </c>
      <c r="AA128" s="10">
        <v>3.29057328690859</v>
      </c>
      <c r="AB128" s="8">
        <v>98.551506163167105</v>
      </c>
      <c r="AC128" s="8">
        <v>98.501871113910795</v>
      </c>
      <c r="AD128" s="8">
        <v>98.491925971223793</v>
      </c>
      <c r="AE128" s="9">
        <v>1.53851266236586E-3</v>
      </c>
      <c r="AF128" s="9">
        <v>1.03474001972533E-3</v>
      </c>
      <c r="AG128" s="9">
        <v>9.3377092483396397E-4</v>
      </c>
      <c r="AZ128" s="9"/>
      <c r="BB128">
        <f t="shared" si="22"/>
        <v>0</v>
      </c>
      <c r="BC128">
        <f t="shared" si="23"/>
        <v>1</v>
      </c>
      <c r="BD128">
        <f t="shared" si="24"/>
        <v>0</v>
      </c>
      <c r="BE128">
        <f t="shared" si="20"/>
        <v>1</v>
      </c>
      <c r="BF128">
        <f t="shared" si="25"/>
        <v>0</v>
      </c>
      <c r="BG128" s="9">
        <f t="shared" si="26"/>
        <v>0</v>
      </c>
      <c r="BH128" s="9">
        <f t="shared" si="27"/>
        <v>0</v>
      </c>
      <c r="BI128" s="9">
        <f t="shared" si="28"/>
        <v>0</v>
      </c>
      <c r="BJ128" s="12">
        <f t="shared" si="29"/>
        <v>3.7826988887337603E-3</v>
      </c>
      <c r="BL128" s="9"/>
      <c r="BN128">
        <f t="shared" si="30"/>
        <v>0</v>
      </c>
      <c r="BO128">
        <f t="shared" si="31"/>
        <v>0</v>
      </c>
      <c r="BP128">
        <f t="shared" si="32"/>
        <v>0</v>
      </c>
      <c r="BQ128">
        <f t="shared" si="21"/>
        <v>1</v>
      </c>
      <c r="BR128">
        <f t="shared" si="33"/>
        <v>0</v>
      </c>
      <c r="BS128" s="9">
        <f t="shared" si="34"/>
        <v>0</v>
      </c>
      <c r="BT128" s="9">
        <f t="shared" si="35"/>
        <v>0</v>
      </c>
      <c r="BU128" s="9">
        <f t="shared" si="36"/>
        <v>0</v>
      </c>
      <c r="BV128" s="12">
        <f t="shared" si="37"/>
        <v>0</v>
      </c>
      <c r="BX128" s="12">
        <f t="shared" si="38"/>
        <v>0</v>
      </c>
      <c r="BY128" s="12">
        <f t="shared" si="39"/>
        <v>3.7826988887337603E-3</v>
      </c>
    </row>
    <row r="129" spans="1:77" x14ac:dyDescent="0.3">
      <c r="A129" s="1">
        <v>46211</v>
      </c>
      <c r="B129" s="8">
        <v>29.41</v>
      </c>
      <c r="C129" s="8">
        <v>96.8</v>
      </c>
      <c r="D129" s="9">
        <v>-1.7526569298703901E-2</v>
      </c>
      <c r="E129" s="9">
        <v>-1.63938097756764E-2</v>
      </c>
      <c r="F129" s="8">
        <v>0</v>
      </c>
      <c r="G129" s="8">
        <v>0.52300000000000002</v>
      </c>
      <c r="H129" s="8">
        <v>0</v>
      </c>
      <c r="I129" s="8">
        <v>1.8010999999999999</v>
      </c>
      <c r="J129" s="8">
        <v>0</v>
      </c>
      <c r="K129" s="8">
        <v>0</v>
      </c>
      <c r="L129" s="8">
        <v>29.41</v>
      </c>
      <c r="M129" s="8">
        <v>96.8</v>
      </c>
      <c r="N129" s="10">
        <v>3.2913974838490301</v>
      </c>
      <c r="O129" s="10">
        <v>3.2936632097661298</v>
      </c>
      <c r="P129" s="10">
        <v>3.2901184579842599</v>
      </c>
      <c r="Q129" s="10">
        <v>3.2953468005082902</v>
      </c>
      <c r="R129" s="8">
        <v>96.866634999221901</v>
      </c>
      <c r="S129" s="8">
        <v>96.858411702578195</v>
      </c>
      <c r="T129" s="8">
        <v>96.912134073978905</v>
      </c>
      <c r="U129" s="9">
        <v>6.8814126761409405E-4</v>
      </c>
      <c r="V129" s="9">
        <v>6.0324469085592397E-4</v>
      </c>
      <c r="W129" s="9">
        <v>1.1577394161699001E-3</v>
      </c>
      <c r="X129" s="10">
        <v>3.2913974838490301</v>
      </c>
      <c r="Y129" s="10">
        <v>3.2927332496881698</v>
      </c>
      <c r="Z129" s="10">
        <v>3.2901184579842599</v>
      </c>
      <c r="AA129" s="10">
        <v>3.2907098162853301</v>
      </c>
      <c r="AB129" s="8">
        <v>96.839284873329305</v>
      </c>
      <c r="AC129" s="8">
        <v>96.768590560184606</v>
      </c>
      <c r="AD129" s="8">
        <v>96.775760367981704</v>
      </c>
      <c r="AE129" s="9">
        <v>4.0575313933836302E-4</v>
      </c>
      <c r="AF129" s="9">
        <v>-3.2453033831687599E-4</v>
      </c>
      <c r="AG129" s="9">
        <v>-2.5044077935026899E-4</v>
      </c>
      <c r="AZ129" s="9"/>
      <c r="BB129">
        <f t="shared" si="22"/>
        <v>0</v>
      </c>
      <c r="BC129">
        <f t="shared" si="23"/>
        <v>0</v>
      </c>
      <c r="BD129">
        <f t="shared" si="24"/>
        <v>0</v>
      </c>
      <c r="BE129">
        <f t="shared" si="20"/>
        <v>1</v>
      </c>
      <c r="BF129">
        <f t="shared" si="25"/>
        <v>0</v>
      </c>
      <c r="BG129" s="9">
        <f t="shared" si="26"/>
        <v>0</v>
      </c>
      <c r="BH129" s="9">
        <f t="shared" si="27"/>
        <v>0</v>
      </c>
      <c r="BI129" s="9">
        <f t="shared" si="28"/>
        <v>0</v>
      </c>
      <c r="BJ129" s="12">
        <f t="shared" si="29"/>
        <v>3.7826988887337603E-3</v>
      </c>
      <c r="BL129" s="9"/>
      <c r="BN129">
        <f t="shared" si="30"/>
        <v>0</v>
      </c>
      <c r="BO129">
        <f t="shared" si="31"/>
        <v>1</v>
      </c>
      <c r="BP129">
        <f t="shared" si="32"/>
        <v>0</v>
      </c>
      <c r="BQ129">
        <f t="shared" si="21"/>
        <v>1</v>
      </c>
      <c r="BR129">
        <f t="shared" si="33"/>
        <v>0</v>
      </c>
      <c r="BS129" s="9">
        <f t="shared" si="34"/>
        <v>0</v>
      </c>
      <c r="BT129" s="9">
        <f t="shared" si="35"/>
        <v>0</v>
      </c>
      <c r="BU129" s="9">
        <f t="shared" si="36"/>
        <v>0</v>
      </c>
      <c r="BV129" s="12">
        <f t="shared" si="37"/>
        <v>0</v>
      </c>
      <c r="BX129" s="12">
        <f t="shared" si="38"/>
        <v>0</v>
      </c>
      <c r="BY129" s="12">
        <f t="shared" si="39"/>
        <v>3.7826988887337603E-3</v>
      </c>
    </row>
    <row r="130" spans="1:77" x14ac:dyDescent="0.3">
      <c r="A130" s="1">
        <v>46212</v>
      </c>
      <c r="B130" s="8">
        <v>29.49</v>
      </c>
      <c r="C130" s="8">
        <v>97.09</v>
      </c>
      <c r="D130" s="9">
        <v>2.71647026128125E-3</v>
      </c>
      <c r="E130" s="9">
        <v>2.99138909952221E-3</v>
      </c>
      <c r="F130" s="8">
        <v>0</v>
      </c>
      <c r="G130" s="8">
        <v>0.52300000000000002</v>
      </c>
      <c r="H130" s="8">
        <v>0</v>
      </c>
      <c r="I130" s="8">
        <v>1.8010999999999999</v>
      </c>
      <c r="J130" s="8">
        <v>0</v>
      </c>
      <c r="K130" s="8">
        <v>0</v>
      </c>
      <c r="L130" s="8">
        <v>29.49</v>
      </c>
      <c r="M130" s="8">
        <v>97.09</v>
      </c>
      <c r="N130" s="10">
        <v>3.29230247541539</v>
      </c>
      <c r="O130" s="10">
        <v>3.2936632097661298</v>
      </c>
      <c r="P130" s="10">
        <v>3.2901664863198299</v>
      </c>
      <c r="Q130" s="10">
        <v>3.2955343148514502</v>
      </c>
      <c r="R130" s="8">
        <v>97.130128056003201</v>
      </c>
      <c r="S130" s="8">
        <v>97.025593325956095</v>
      </c>
      <c r="T130" s="8">
        <v>97.179777146989593</v>
      </c>
      <c r="U130" s="9">
        <v>4.1322242937303797E-4</v>
      </c>
      <c r="V130" s="9">
        <v>-6.6359095942611801E-4</v>
      </c>
      <c r="W130" s="9">
        <v>9.2425239477821899E-4</v>
      </c>
      <c r="X130" s="10">
        <v>3.29230247541539</v>
      </c>
      <c r="Y130" s="10">
        <v>3.2927332496881698</v>
      </c>
      <c r="Z130" s="10">
        <v>3.2901664863198299</v>
      </c>
      <c r="AA130" s="10">
        <v>3.2908973306284901</v>
      </c>
      <c r="AB130" s="8">
        <v>97.102703533304293</v>
      </c>
      <c r="AC130" s="8">
        <v>97.025593325956095</v>
      </c>
      <c r="AD130" s="8">
        <v>97.043032482254503</v>
      </c>
      <c r="AE130" s="9">
        <v>1.3083430109731101E-4</v>
      </c>
      <c r="AF130" s="9">
        <v>-6.6359095942611801E-4</v>
      </c>
      <c r="AG130" s="9">
        <v>-4.83869417391164E-4</v>
      </c>
      <c r="AZ130" s="9"/>
      <c r="BB130">
        <f t="shared" si="22"/>
        <v>0</v>
      </c>
      <c r="BC130">
        <f t="shared" si="23"/>
        <v>0</v>
      </c>
      <c r="BD130">
        <f t="shared" si="24"/>
        <v>0</v>
      </c>
      <c r="BE130">
        <f t="shared" si="20"/>
        <v>1</v>
      </c>
      <c r="BF130">
        <f t="shared" si="25"/>
        <v>0</v>
      </c>
      <c r="BG130" s="9">
        <f t="shared" si="26"/>
        <v>0</v>
      </c>
      <c r="BH130" s="9">
        <f t="shared" si="27"/>
        <v>0</v>
      </c>
      <c r="BI130" s="9">
        <f t="shared" si="28"/>
        <v>0</v>
      </c>
      <c r="BJ130" s="12">
        <f t="shared" si="29"/>
        <v>3.7826988887337603E-3</v>
      </c>
      <c r="BL130" s="9"/>
      <c r="BN130">
        <f t="shared" si="30"/>
        <v>0</v>
      </c>
      <c r="BO130">
        <f t="shared" si="31"/>
        <v>1</v>
      </c>
      <c r="BP130">
        <f t="shared" si="32"/>
        <v>0</v>
      </c>
      <c r="BQ130">
        <f t="shared" si="21"/>
        <v>1</v>
      </c>
      <c r="BR130">
        <f t="shared" si="33"/>
        <v>0</v>
      </c>
      <c r="BS130" s="9">
        <f t="shared" si="34"/>
        <v>0</v>
      </c>
      <c r="BT130" s="9">
        <f t="shared" si="35"/>
        <v>0</v>
      </c>
      <c r="BU130" s="9">
        <f t="shared" si="36"/>
        <v>0</v>
      </c>
      <c r="BV130" s="12">
        <f t="shared" si="37"/>
        <v>0</v>
      </c>
      <c r="BX130" s="12">
        <f t="shared" si="38"/>
        <v>0</v>
      </c>
      <c r="BY130" s="12">
        <f t="shared" si="39"/>
        <v>3.7826988887337603E-3</v>
      </c>
    </row>
    <row r="131" spans="1:77" x14ac:dyDescent="0.3">
      <c r="A131" s="1">
        <v>46213</v>
      </c>
      <c r="B131" s="8">
        <v>29.55</v>
      </c>
      <c r="C131" s="8">
        <v>97.32</v>
      </c>
      <c r="D131" s="9">
        <v>2.0325210249224298E-3</v>
      </c>
      <c r="E131" s="9">
        <v>2.36613453326828E-3</v>
      </c>
      <c r="F131" s="8">
        <v>0</v>
      </c>
      <c r="G131" s="8">
        <v>0.52300000000000002</v>
      </c>
      <c r="H131" s="8">
        <v>0</v>
      </c>
      <c r="I131" s="8">
        <v>1.8010999999999999</v>
      </c>
      <c r="J131" s="8">
        <v>0</v>
      </c>
      <c r="K131" s="8">
        <v>0</v>
      </c>
      <c r="L131" s="8">
        <v>29.55</v>
      </c>
      <c r="M131" s="8">
        <v>97.32</v>
      </c>
      <c r="N131" s="10">
        <v>3.2934010152284201</v>
      </c>
      <c r="O131" s="10">
        <v>3.2936632097661298</v>
      </c>
      <c r="P131" s="10">
        <v>3.2903836620045399</v>
      </c>
      <c r="Q131" s="10">
        <v>3.2957599211684299</v>
      </c>
      <c r="R131" s="8">
        <v>97.327747848589198</v>
      </c>
      <c r="S131" s="8">
        <v>97.224419670751104</v>
      </c>
      <c r="T131" s="8">
        <v>97.383039003860503</v>
      </c>
      <c r="U131" s="9">
        <v>7.9608921027127599E-5</v>
      </c>
      <c r="V131" s="9">
        <v>-9.8260682162901809E-4</v>
      </c>
      <c r="W131" s="9">
        <v>6.4754003209975704E-4</v>
      </c>
      <c r="X131" s="10">
        <v>3.2934010152284201</v>
      </c>
      <c r="Y131" s="10">
        <v>3.2927332496881698</v>
      </c>
      <c r="Z131" s="10">
        <v>3.2903836620045399</v>
      </c>
      <c r="AA131" s="10">
        <v>3.2911229369454702</v>
      </c>
      <c r="AB131" s="8">
        <v>97.300267528285602</v>
      </c>
      <c r="AC131" s="8">
        <v>97.224419670751104</v>
      </c>
      <c r="AD131" s="8">
        <v>97.246016120072099</v>
      </c>
      <c r="AE131" s="9">
        <v>-2.0277920724842E-4</v>
      </c>
      <c r="AF131" s="9">
        <v>-9.8260682162901809E-4</v>
      </c>
      <c r="AG131" s="9">
        <v>-7.6050160217104395E-4</v>
      </c>
      <c r="AZ131" s="9"/>
      <c r="BB131">
        <f t="shared" si="22"/>
        <v>0</v>
      </c>
      <c r="BC131">
        <f t="shared" si="23"/>
        <v>0</v>
      </c>
      <c r="BD131">
        <f t="shared" si="24"/>
        <v>0</v>
      </c>
      <c r="BE131">
        <f t="shared" si="20"/>
        <v>1</v>
      </c>
      <c r="BF131">
        <f t="shared" si="25"/>
        <v>0</v>
      </c>
      <c r="BG131" s="9">
        <f t="shared" si="26"/>
        <v>0</v>
      </c>
      <c r="BH131" s="9">
        <f t="shared" si="27"/>
        <v>0</v>
      </c>
      <c r="BI131" s="9">
        <f t="shared" si="28"/>
        <v>0</v>
      </c>
      <c r="BJ131" s="12">
        <f t="shared" si="29"/>
        <v>3.7826988887337603E-3</v>
      </c>
      <c r="BL131" s="9"/>
      <c r="BN131">
        <f t="shared" si="30"/>
        <v>0</v>
      </c>
      <c r="BO131">
        <f t="shared" si="31"/>
        <v>1</v>
      </c>
      <c r="BP131">
        <f t="shared" si="32"/>
        <v>0</v>
      </c>
      <c r="BQ131">
        <f t="shared" si="21"/>
        <v>1</v>
      </c>
      <c r="BR131">
        <f t="shared" si="33"/>
        <v>0</v>
      </c>
      <c r="BS131" s="9">
        <f t="shared" si="34"/>
        <v>0</v>
      </c>
      <c r="BT131" s="9">
        <f t="shared" si="35"/>
        <v>0</v>
      </c>
      <c r="BU131" s="9">
        <f t="shared" si="36"/>
        <v>0</v>
      </c>
      <c r="BV131" s="12">
        <f t="shared" si="37"/>
        <v>0</v>
      </c>
      <c r="BX131" s="12">
        <f t="shared" si="38"/>
        <v>0</v>
      </c>
      <c r="BY131" s="12">
        <f t="shared" si="39"/>
        <v>3.7826988887337603E-3</v>
      </c>
    </row>
    <row r="132" spans="1:77" x14ac:dyDescent="0.3">
      <c r="A132" s="1">
        <v>46216</v>
      </c>
      <c r="B132" s="8">
        <v>29.71</v>
      </c>
      <c r="C132" s="8">
        <v>97.83</v>
      </c>
      <c r="D132" s="9">
        <v>5.3999456224091396E-3</v>
      </c>
      <c r="E132" s="9">
        <v>5.2267605540156203E-3</v>
      </c>
      <c r="F132" s="8">
        <v>0</v>
      </c>
      <c r="G132" s="8">
        <v>0.52300000000000002</v>
      </c>
      <c r="H132" s="8">
        <v>0</v>
      </c>
      <c r="I132" s="8">
        <v>1.8010999999999999</v>
      </c>
      <c r="J132" s="8">
        <v>0</v>
      </c>
      <c r="K132" s="8">
        <v>0</v>
      </c>
      <c r="L132" s="8">
        <v>29.71</v>
      </c>
      <c r="M132" s="8">
        <v>97.83</v>
      </c>
      <c r="N132" s="10">
        <v>3.2928306967351002</v>
      </c>
      <c r="O132" s="10">
        <v>3.2936632097661298</v>
      </c>
      <c r="P132" s="10">
        <v>3.2904375024488299</v>
      </c>
      <c r="Q132" s="10">
        <v>3.2957977460557699</v>
      </c>
      <c r="R132" s="8">
        <v>97.854733962151698</v>
      </c>
      <c r="S132" s="8">
        <v>97.757298598155103</v>
      </c>
      <c r="T132" s="8">
        <v>97.9170272579141</v>
      </c>
      <c r="U132" s="9">
        <v>2.5279398942064E-4</v>
      </c>
      <c r="V132" s="9">
        <v>-7.4341642544517995E-4</v>
      </c>
      <c r="W132" s="9">
        <v>8.8918094815706799E-4</v>
      </c>
      <c r="X132" s="10">
        <v>3.2928306967351002</v>
      </c>
      <c r="Y132" s="10">
        <v>3.2927332496881698</v>
      </c>
      <c r="Z132" s="10">
        <v>3.2904375024488299</v>
      </c>
      <c r="AA132" s="10">
        <v>3.2911607618328098</v>
      </c>
      <c r="AB132" s="8">
        <v>97.827104848235706</v>
      </c>
      <c r="AC132" s="8">
        <v>97.757298598155103</v>
      </c>
      <c r="AD132" s="8">
        <v>97.779262456650002</v>
      </c>
      <c r="AE132" s="9">
        <v>-2.9594138855108701E-5</v>
      </c>
      <c r="AF132" s="9">
        <v>-7.4341642544517995E-4</v>
      </c>
      <c r="AG132" s="9">
        <v>-5.1876423284447396E-4</v>
      </c>
      <c r="AZ132" s="9"/>
      <c r="BB132">
        <f t="shared" si="22"/>
        <v>0</v>
      </c>
      <c r="BC132">
        <f t="shared" si="23"/>
        <v>0</v>
      </c>
      <c r="BD132">
        <f t="shared" si="24"/>
        <v>0</v>
      </c>
      <c r="BE132">
        <f t="shared" si="20"/>
        <v>1</v>
      </c>
      <c r="BF132">
        <f t="shared" si="25"/>
        <v>0</v>
      </c>
      <c r="BG132" s="9">
        <f t="shared" si="26"/>
        <v>0</v>
      </c>
      <c r="BH132" s="9">
        <f t="shared" si="27"/>
        <v>0</v>
      </c>
      <c r="BI132" s="9">
        <f t="shared" si="28"/>
        <v>0</v>
      </c>
      <c r="BJ132" s="12">
        <f t="shared" si="29"/>
        <v>3.7826988887337603E-3</v>
      </c>
      <c r="BL132" s="9"/>
      <c r="BN132">
        <f t="shared" si="30"/>
        <v>0</v>
      </c>
      <c r="BO132">
        <f t="shared" si="31"/>
        <v>1</v>
      </c>
      <c r="BP132">
        <f t="shared" si="32"/>
        <v>0</v>
      </c>
      <c r="BQ132">
        <f t="shared" si="21"/>
        <v>1</v>
      </c>
      <c r="BR132">
        <f t="shared" si="33"/>
        <v>0</v>
      </c>
      <c r="BS132" s="9">
        <f t="shared" si="34"/>
        <v>0</v>
      </c>
      <c r="BT132" s="9">
        <f t="shared" si="35"/>
        <v>0</v>
      </c>
      <c r="BU132" s="9">
        <f t="shared" si="36"/>
        <v>0</v>
      </c>
      <c r="BV132" s="12">
        <f t="shared" si="37"/>
        <v>0</v>
      </c>
      <c r="BX132" s="12">
        <f t="shared" si="38"/>
        <v>0</v>
      </c>
      <c r="BY132" s="12">
        <f t="shared" si="39"/>
        <v>3.7826988887337603E-3</v>
      </c>
    </row>
    <row r="133" spans="1:77" x14ac:dyDescent="0.3">
      <c r="A133" s="1">
        <v>46217</v>
      </c>
      <c r="B133" s="8">
        <v>29.64</v>
      </c>
      <c r="C133" s="8">
        <v>97.57</v>
      </c>
      <c r="D133" s="9">
        <v>-2.3588890466300998E-3</v>
      </c>
      <c r="E133" s="9">
        <v>-2.6612093494788398E-3</v>
      </c>
      <c r="F133" s="8">
        <v>0</v>
      </c>
      <c r="G133" s="8">
        <v>0.52300000000000002</v>
      </c>
      <c r="H133" s="8">
        <v>0</v>
      </c>
      <c r="I133" s="8">
        <v>1.8010999999999999</v>
      </c>
      <c r="J133" s="8">
        <v>0</v>
      </c>
      <c r="K133" s="8">
        <v>0</v>
      </c>
      <c r="L133" s="8">
        <v>29.64</v>
      </c>
      <c r="M133" s="8">
        <v>97.57</v>
      </c>
      <c r="N133" s="10">
        <v>3.29183535762483</v>
      </c>
      <c r="O133" s="10">
        <v>3.2936632097661298</v>
      </c>
      <c r="P133" s="10">
        <v>3.2905898615435198</v>
      </c>
      <c r="Q133" s="10">
        <v>3.2959320848885998</v>
      </c>
      <c r="R133" s="8">
        <v>97.6241775374681</v>
      </c>
      <c r="S133" s="8">
        <v>97.528567572583299</v>
      </c>
      <c r="T133" s="8">
        <v>97.687445193093197</v>
      </c>
      <c r="U133" s="9">
        <v>5.5511429226942502E-4</v>
      </c>
      <c r="V133" s="9">
        <v>-4.2473328794799699E-4</v>
      </c>
      <c r="W133" s="9">
        <v>1.2029780184879401E-3</v>
      </c>
      <c r="X133" s="10">
        <v>3.29183535762483</v>
      </c>
      <c r="Y133" s="10">
        <v>3.2927332496881698</v>
      </c>
      <c r="Z133" s="10">
        <v>3.2905898615435198</v>
      </c>
      <c r="AA133" s="10">
        <v>3.2912951006656401</v>
      </c>
      <c r="AB133" s="8">
        <v>97.5966135207576</v>
      </c>
      <c r="AC133" s="8">
        <v>97.528567572583299</v>
      </c>
      <c r="AD133" s="8">
        <v>97.550004980724694</v>
      </c>
      <c r="AE133" s="9">
        <v>2.7272616399350101E-4</v>
      </c>
      <c r="AF133" s="9">
        <v>-4.2473328794799699E-4</v>
      </c>
      <c r="AG133" s="9">
        <v>-2.0495099256667899E-4</v>
      </c>
      <c r="AZ133" s="9"/>
      <c r="BB133">
        <f t="shared" si="22"/>
        <v>0</v>
      </c>
      <c r="BC133">
        <f t="shared" si="23"/>
        <v>0</v>
      </c>
      <c r="BD133">
        <f t="shared" si="24"/>
        <v>0</v>
      </c>
      <c r="BE133">
        <f t="shared" si="20"/>
        <v>1</v>
      </c>
      <c r="BF133">
        <f t="shared" si="25"/>
        <v>0</v>
      </c>
      <c r="BG133" s="9">
        <f t="shared" si="26"/>
        <v>0</v>
      </c>
      <c r="BH133" s="9">
        <f t="shared" si="27"/>
        <v>0</v>
      </c>
      <c r="BI133" s="9">
        <f t="shared" si="28"/>
        <v>0</v>
      </c>
      <c r="BJ133" s="12">
        <f t="shared" si="29"/>
        <v>3.7826988887337603E-3</v>
      </c>
      <c r="BL133" s="9"/>
      <c r="BN133">
        <f t="shared" si="30"/>
        <v>0</v>
      </c>
      <c r="BO133">
        <f t="shared" si="31"/>
        <v>1</v>
      </c>
      <c r="BP133">
        <f t="shared" si="32"/>
        <v>0</v>
      </c>
      <c r="BQ133">
        <f t="shared" si="21"/>
        <v>1</v>
      </c>
      <c r="BR133">
        <f t="shared" si="33"/>
        <v>0</v>
      </c>
      <c r="BS133" s="9">
        <f t="shared" si="34"/>
        <v>0</v>
      </c>
      <c r="BT133" s="9">
        <f t="shared" si="35"/>
        <v>0</v>
      </c>
      <c r="BU133" s="9">
        <f t="shared" si="36"/>
        <v>0</v>
      </c>
      <c r="BV133" s="12">
        <f t="shared" si="37"/>
        <v>0</v>
      </c>
      <c r="BX133" s="12">
        <f t="shared" si="38"/>
        <v>0</v>
      </c>
      <c r="BY133" s="12">
        <f t="shared" si="39"/>
        <v>3.7826988887337603E-3</v>
      </c>
    </row>
    <row r="134" spans="1:77" x14ac:dyDescent="0.3">
      <c r="A134" s="1">
        <v>46218</v>
      </c>
      <c r="B134" s="8">
        <v>29.73</v>
      </c>
      <c r="C134" s="8">
        <v>97.86</v>
      </c>
      <c r="D134" s="9">
        <v>3.0318365821201702E-3</v>
      </c>
      <c r="E134" s="9">
        <v>2.9678167411189998E-3</v>
      </c>
      <c r="F134" s="8">
        <v>0</v>
      </c>
      <c r="G134" s="8">
        <v>0.52300000000000002</v>
      </c>
      <c r="H134" s="8">
        <v>0</v>
      </c>
      <c r="I134" s="8">
        <v>1.8010999999999999</v>
      </c>
      <c r="J134" s="8">
        <v>0</v>
      </c>
      <c r="K134" s="8">
        <v>0</v>
      </c>
      <c r="L134" s="8">
        <v>29.73</v>
      </c>
      <c r="M134" s="8">
        <v>97.86</v>
      </c>
      <c r="N134" s="10">
        <v>3.2916246215943401</v>
      </c>
      <c r="O134" s="10">
        <v>3.2936632097661298</v>
      </c>
      <c r="P134" s="10">
        <v>3.2906396957166102</v>
      </c>
      <c r="Q134" s="10">
        <v>3.2959993570043098</v>
      </c>
      <c r="R134" s="8">
        <v>97.920607226347101</v>
      </c>
      <c r="S134" s="8">
        <v>97.829236583689095</v>
      </c>
      <c r="T134" s="8">
        <v>97.9880608837382</v>
      </c>
      <c r="U134" s="9">
        <v>6.1913413327060595E-4</v>
      </c>
      <c r="V134" s="9">
        <v>-3.1441092112543298E-4</v>
      </c>
      <c r="W134" s="9">
        <v>1.30775767103826E-3</v>
      </c>
      <c r="X134" s="10">
        <v>3.2916246215943401</v>
      </c>
      <c r="Y134" s="10">
        <v>3.2927332496881698</v>
      </c>
      <c r="Z134" s="10">
        <v>3.2906396957166102</v>
      </c>
      <c r="AA134" s="10">
        <v>3.2913623727813501</v>
      </c>
      <c r="AB134" s="8">
        <v>97.892959513229499</v>
      </c>
      <c r="AC134" s="8">
        <v>97.829236583689095</v>
      </c>
      <c r="AD134" s="8">
        <v>97.850203342789698</v>
      </c>
      <c r="AE134" s="9">
        <v>3.3674600499482402E-4</v>
      </c>
      <c r="AF134" s="9">
        <v>-3.1441092112543298E-4</v>
      </c>
      <c r="AG134" s="9">
        <v>-1.00113913849663E-4</v>
      </c>
      <c r="AZ134" s="9"/>
      <c r="BB134">
        <f t="shared" si="22"/>
        <v>0</v>
      </c>
      <c r="BC134">
        <f t="shared" si="23"/>
        <v>0</v>
      </c>
      <c r="BD134">
        <f t="shared" si="24"/>
        <v>0</v>
      </c>
      <c r="BE134">
        <f t="shared" si="20"/>
        <v>1</v>
      </c>
      <c r="BF134">
        <f t="shared" si="25"/>
        <v>0</v>
      </c>
      <c r="BG134" s="9">
        <f t="shared" si="26"/>
        <v>0</v>
      </c>
      <c r="BH134" s="9">
        <f t="shared" si="27"/>
        <v>0</v>
      </c>
      <c r="BI134" s="9">
        <f t="shared" si="28"/>
        <v>0</v>
      </c>
      <c r="BJ134" s="12">
        <f t="shared" si="29"/>
        <v>3.7826988887337603E-3</v>
      </c>
      <c r="BL134" s="9"/>
      <c r="BN134">
        <f t="shared" si="30"/>
        <v>0</v>
      </c>
      <c r="BO134">
        <f t="shared" si="31"/>
        <v>1</v>
      </c>
      <c r="BP134">
        <f t="shared" si="32"/>
        <v>0</v>
      </c>
      <c r="BQ134">
        <f t="shared" si="21"/>
        <v>1</v>
      </c>
      <c r="BR134">
        <f t="shared" si="33"/>
        <v>0</v>
      </c>
      <c r="BS134" s="9">
        <f t="shared" si="34"/>
        <v>0</v>
      </c>
      <c r="BT134" s="9">
        <f t="shared" si="35"/>
        <v>0</v>
      </c>
      <c r="BU134" s="9">
        <f t="shared" si="36"/>
        <v>0</v>
      </c>
      <c r="BV134" s="12">
        <f t="shared" si="37"/>
        <v>0</v>
      </c>
      <c r="BX134" s="12">
        <f t="shared" si="38"/>
        <v>0</v>
      </c>
      <c r="BY134" s="12">
        <f t="shared" si="39"/>
        <v>3.7826988887337603E-3</v>
      </c>
    </row>
    <row r="135" spans="1:77" x14ac:dyDescent="0.3">
      <c r="A135" s="1">
        <v>46219</v>
      </c>
      <c r="B135" s="8">
        <v>30.41</v>
      </c>
      <c r="C135" s="8">
        <v>100.07</v>
      </c>
      <c r="D135" s="9">
        <v>2.2614864679266999E-2</v>
      </c>
      <c r="E135" s="9">
        <v>2.2332055241387101E-2</v>
      </c>
      <c r="F135" s="8">
        <v>0</v>
      </c>
      <c r="G135" s="8">
        <v>0.52300000000000002</v>
      </c>
      <c r="H135" s="8">
        <v>0</v>
      </c>
      <c r="I135" s="8">
        <v>1.8010999999999999</v>
      </c>
      <c r="J135" s="8">
        <v>0</v>
      </c>
      <c r="K135" s="8">
        <v>0</v>
      </c>
      <c r="L135" s="8">
        <v>30.41</v>
      </c>
      <c r="M135" s="8">
        <v>100.07</v>
      </c>
      <c r="N135" s="10">
        <v>3.290693850707</v>
      </c>
      <c r="O135" s="10">
        <v>3.2936632097661298</v>
      </c>
      <c r="P135" s="10">
        <v>3.2908367981786202</v>
      </c>
      <c r="Q135" s="10">
        <v>3.2958380468523898</v>
      </c>
      <c r="R135" s="8">
        <v>100.160298208988</v>
      </c>
      <c r="S135" s="8">
        <v>100.068353146742</v>
      </c>
      <c r="T135" s="8">
        <v>100.23134044650099</v>
      </c>
      <c r="U135" s="9">
        <v>9.01943571150569E-4</v>
      </c>
      <c r="V135" s="9">
        <v>-1.64571480861772E-5</v>
      </c>
      <c r="W135" s="9">
        <v>1.6109775504721401E-3</v>
      </c>
      <c r="X135" s="10">
        <v>3.290693850707</v>
      </c>
      <c r="Y135" s="10">
        <v>3.2927332496881698</v>
      </c>
      <c r="Z135" s="10">
        <v>3.2908367981786202</v>
      </c>
      <c r="AA135" s="10">
        <v>3.2912010626294301</v>
      </c>
      <c r="AB135" s="8">
        <v>100.132018123017</v>
      </c>
      <c r="AC135" s="8">
        <v>100.068353146742</v>
      </c>
      <c r="AD135" s="8">
        <v>100.09032975628099</v>
      </c>
      <c r="AE135" s="9">
        <v>6.19555442874734E-4</v>
      </c>
      <c r="AF135" s="9">
        <v>-1.64571480861772E-5</v>
      </c>
      <c r="AG135" s="9">
        <v>2.03134720808193E-4</v>
      </c>
      <c r="AZ135" s="9"/>
      <c r="BB135">
        <f t="shared" si="22"/>
        <v>0</v>
      </c>
      <c r="BC135">
        <f t="shared" si="23"/>
        <v>1</v>
      </c>
      <c r="BD135">
        <f t="shared" si="24"/>
        <v>0</v>
      </c>
      <c r="BE135">
        <f t="shared" si="20"/>
        <v>1</v>
      </c>
      <c r="BF135">
        <f t="shared" si="25"/>
        <v>0</v>
      </c>
      <c r="BG135" s="9">
        <f t="shared" si="26"/>
        <v>0</v>
      </c>
      <c r="BH135" s="9">
        <f t="shared" si="27"/>
        <v>0</v>
      </c>
      <c r="BI135" s="9">
        <f t="shared" si="28"/>
        <v>0</v>
      </c>
      <c r="BJ135" s="12">
        <f t="shared" si="29"/>
        <v>3.7826988887337603E-3</v>
      </c>
      <c r="BL135" s="9"/>
      <c r="BN135">
        <f t="shared" si="30"/>
        <v>0</v>
      </c>
      <c r="BO135">
        <f t="shared" si="31"/>
        <v>0</v>
      </c>
      <c r="BP135">
        <f t="shared" si="32"/>
        <v>0</v>
      </c>
      <c r="BQ135">
        <f t="shared" si="21"/>
        <v>1</v>
      </c>
      <c r="BR135">
        <f t="shared" si="33"/>
        <v>0</v>
      </c>
      <c r="BS135" s="9">
        <f t="shared" si="34"/>
        <v>0</v>
      </c>
      <c r="BT135" s="9">
        <f t="shared" si="35"/>
        <v>0</v>
      </c>
      <c r="BU135" s="9">
        <f t="shared" si="36"/>
        <v>0</v>
      </c>
      <c r="BV135" s="12">
        <f t="shared" si="37"/>
        <v>0</v>
      </c>
      <c r="BX135" s="12">
        <f t="shared" si="38"/>
        <v>0</v>
      </c>
      <c r="BY135" s="12">
        <f t="shared" si="39"/>
        <v>3.7826988887337603E-3</v>
      </c>
    </row>
    <row r="136" spans="1:77" x14ac:dyDescent="0.3">
      <c r="A136" s="1">
        <v>46220</v>
      </c>
      <c r="B136" s="8">
        <v>30.41</v>
      </c>
      <c r="C136" s="8">
        <v>100.02</v>
      </c>
      <c r="D136" s="9">
        <v>0</v>
      </c>
      <c r="E136" s="9">
        <v>-4.9977511160701903E-4</v>
      </c>
      <c r="F136" s="8">
        <v>0</v>
      </c>
      <c r="G136" s="8">
        <v>0.52300000000000002</v>
      </c>
      <c r="H136" s="8">
        <v>0</v>
      </c>
      <c r="I136" s="8">
        <v>1.8010999999999999</v>
      </c>
      <c r="J136" s="8">
        <v>0</v>
      </c>
      <c r="K136" s="8">
        <v>0</v>
      </c>
      <c r="L136" s="8">
        <v>30.41</v>
      </c>
      <c r="M136" s="8">
        <v>100.02</v>
      </c>
      <c r="N136" s="10">
        <v>3.2890496547188399</v>
      </c>
      <c r="O136" s="10">
        <v>3.2936632097661298</v>
      </c>
      <c r="P136" s="10">
        <v>3.2907051741909501</v>
      </c>
      <c r="Q136" s="10">
        <v>3.2957294280392802</v>
      </c>
      <c r="R136" s="8">
        <v>100.160298208988</v>
      </c>
      <c r="S136" s="8">
        <v>100.074347032611</v>
      </c>
      <c r="T136" s="8">
        <v>100.226435004781</v>
      </c>
      <c r="U136" s="9">
        <v>1.4017186827576E-3</v>
      </c>
      <c r="V136" s="9">
        <v>5.4321408629695296E-4</v>
      </c>
      <c r="W136" s="9">
        <v>2.0618102680033698E-3</v>
      </c>
      <c r="X136" s="10">
        <v>3.2890496547188399</v>
      </c>
      <c r="Y136" s="10">
        <v>3.2927332496881698</v>
      </c>
      <c r="Z136" s="10">
        <v>3.2907051741909501</v>
      </c>
      <c r="AA136" s="10">
        <v>3.29109244381632</v>
      </c>
      <c r="AB136" s="8">
        <v>100.132018123017</v>
      </c>
      <c r="AC136" s="8">
        <v>100.074347032611</v>
      </c>
      <c r="AD136" s="8">
        <v>100.085424314561</v>
      </c>
      <c r="AE136" s="9">
        <v>1.1193305544816999E-3</v>
      </c>
      <c r="AF136" s="9">
        <v>5.4321408629695296E-4</v>
      </c>
      <c r="AG136" s="9">
        <v>6.5389848492590898E-4</v>
      </c>
      <c r="AZ136" s="9"/>
      <c r="BB136">
        <f t="shared" si="22"/>
        <v>0</v>
      </c>
      <c r="BC136">
        <f t="shared" si="23"/>
        <v>1</v>
      </c>
      <c r="BD136">
        <f t="shared" si="24"/>
        <v>0</v>
      </c>
      <c r="BE136">
        <f t="shared" si="20"/>
        <v>1</v>
      </c>
      <c r="BF136">
        <f t="shared" si="25"/>
        <v>0</v>
      </c>
      <c r="BG136" s="9">
        <f t="shared" si="26"/>
        <v>0</v>
      </c>
      <c r="BH136" s="9">
        <f t="shared" si="27"/>
        <v>0</v>
      </c>
      <c r="BI136" s="9">
        <f t="shared" si="28"/>
        <v>0</v>
      </c>
      <c r="BJ136" s="12">
        <f t="shared" si="29"/>
        <v>3.7826988887337603E-3</v>
      </c>
      <c r="BL136" s="9"/>
      <c r="BN136">
        <f t="shared" si="30"/>
        <v>0</v>
      </c>
      <c r="BO136">
        <f t="shared" si="31"/>
        <v>0</v>
      </c>
      <c r="BP136">
        <f t="shared" si="32"/>
        <v>0</v>
      </c>
      <c r="BQ136">
        <f t="shared" si="21"/>
        <v>1</v>
      </c>
      <c r="BR136">
        <f t="shared" si="33"/>
        <v>0</v>
      </c>
      <c r="BS136" s="9">
        <f t="shared" si="34"/>
        <v>0</v>
      </c>
      <c r="BT136" s="9">
        <f t="shared" si="35"/>
        <v>0</v>
      </c>
      <c r="BU136" s="9">
        <f t="shared" si="36"/>
        <v>0</v>
      </c>
      <c r="BV136" s="12">
        <f t="shared" si="37"/>
        <v>0</v>
      </c>
      <c r="BX136" s="12">
        <f t="shared" si="38"/>
        <v>0</v>
      </c>
      <c r="BY136" s="12">
        <f t="shared" si="39"/>
        <v>3.7826988887337603E-3</v>
      </c>
    </row>
    <row r="137" spans="1:77" x14ac:dyDescent="0.3">
      <c r="A137" s="1">
        <v>46223</v>
      </c>
      <c r="B137" s="8">
        <v>30.22</v>
      </c>
      <c r="C137" s="8">
        <v>99.48</v>
      </c>
      <c r="D137" s="9">
        <v>-6.2675448446798598E-3</v>
      </c>
      <c r="E137" s="9">
        <v>-5.4135470555536896E-3</v>
      </c>
      <c r="F137" s="8">
        <v>0</v>
      </c>
      <c r="G137" s="8">
        <v>0.52300000000000002</v>
      </c>
      <c r="H137" s="8">
        <v>0</v>
      </c>
      <c r="I137" s="8">
        <v>1.8010999999999999</v>
      </c>
      <c r="J137" s="8">
        <v>0</v>
      </c>
      <c r="K137" s="8">
        <v>0</v>
      </c>
      <c r="L137" s="8">
        <v>30.22</v>
      </c>
      <c r="M137" s="8">
        <v>99.48</v>
      </c>
      <c r="N137" s="10">
        <v>3.2918596955658499</v>
      </c>
      <c r="O137" s="10">
        <v>3.2936632097661298</v>
      </c>
      <c r="P137" s="10">
        <v>3.2912666084315498</v>
      </c>
      <c r="Q137" s="10">
        <v>3.2942466394425298</v>
      </c>
      <c r="R137" s="8">
        <v>99.534502199132504</v>
      </c>
      <c r="S137" s="8">
        <v>99.445110364050606</v>
      </c>
      <c r="T137" s="8">
        <v>99.596943315347104</v>
      </c>
      <c r="U137" s="9">
        <v>5.4772089363137205E-4</v>
      </c>
      <c r="V137" s="9">
        <v>-3.5078162071411697E-4</v>
      </c>
      <c r="W137" s="9">
        <v>1.1748555794643899E-3</v>
      </c>
      <c r="X137" s="10">
        <v>3.2918596955658499</v>
      </c>
      <c r="Y137" s="10">
        <v>3.2927332496881698</v>
      </c>
      <c r="Z137" s="10">
        <v>3.2912666084315498</v>
      </c>
      <c r="AA137" s="10">
        <v>3.2911707434725499</v>
      </c>
      <c r="AB137" s="8">
        <v>99.506398805576694</v>
      </c>
      <c r="AC137" s="8">
        <v>99.445110364050606</v>
      </c>
      <c r="AD137" s="8">
        <v>99.456813652129298</v>
      </c>
      <c r="AE137" s="9">
        <v>2.6533276535559098E-4</v>
      </c>
      <c r="AF137" s="9">
        <v>-3.5078162071411697E-4</v>
      </c>
      <c r="AG137" s="9">
        <v>-2.3310263746527201E-4</v>
      </c>
      <c r="AZ137" s="9"/>
      <c r="BB137">
        <f t="shared" si="22"/>
        <v>0</v>
      </c>
      <c r="BC137">
        <f t="shared" si="23"/>
        <v>0</v>
      </c>
      <c r="BD137">
        <f t="shared" si="24"/>
        <v>0</v>
      </c>
      <c r="BE137">
        <f t="shared" si="20"/>
        <v>1</v>
      </c>
      <c r="BF137">
        <f t="shared" si="25"/>
        <v>0</v>
      </c>
      <c r="BG137" s="9">
        <f t="shared" si="26"/>
        <v>0</v>
      </c>
      <c r="BH137" s="9">
        <f t="shared" si="27"/>
        <v>0</v>
      </c>
      <c r="BI137" s="9">
        <f t="shared" si="28"/>
        <v>0</v>
      </c>
      <c r="BJ137" s="12">
        <f t="shared" si="29"/>
        <v>3.7826988887337603E-3</v>
      </c>
      <c r="BL137" s="9"/>
      <c r="BN137">
        <f t="shared" si="30"/>
        <v>0</v>
      </c>
      <c r="BO137">
        <f t="shared" si="31"/>
        <v>1</v>
      </c>
      <c r="BP137">
        <f t="shared" si="32"/>
        <v>0</v>
      </c>
      <c r="BQ137">
        <f t="shared" si="21"/>
        <v>1</v>
      </c>
      <c r="BR137">
        <f t="shared" si="33"/>
        <v>0</v>
      </c>
      <c r="BS137" s="9">
        <f t="shared" si="34"/>
        <v>0</v>
      </c>
      <c r="BT137" s="9">
        <f t="shared" si="35"/>
        <v>0</v>
      </c>
      <c r="BU137" s="9">
        <f t="shared" si="36"/>
        <v>0</v>
      </c>
      <c r="BV137" s="12">
        <f t="shared" si="37"/>
        <v>0</v>
      </c>
      <c r="BX137" s="12">
        <f t="shared" si="38"/>
        <v>0</v>
      </c>
      <c r="BY137" s="12">
        <f t="shared" si="39"/>
        <v>3.7826988887337603E-3</v>
      </c>
    </row>
    <row r="138" spans="1:77" x14ac:dyDescent="0.3">
      <c r="A138" s="1">
        <v>46224</v>
      </c>
      <c r="B138" s="8">
        <v>30.24</v>
      </c>
      <c r="C138" s="8">
        <v>99.52</v>
      </c>
      <c r="D138" s="9">
        <v>6.6159446673871804E-4</v>
      </c>
      <c r="E138" s="9">
        <v>4.02010055665267E-4</v>
      </c>
      <c r="F138" s="8">
        <v>0</v>
      </c>
      <c r="G138" s="8">
        <v>0.52300000000000002</v>
      </c>
      <c r="H138" s="8">
        <v>0</v>
      </c>
      <c r="I138" s="8">
        <v>1.8010999999999999</v>
      </c>
      <c r="J138" s="8">
        <v>0</v>
      </c>
      <c r="K138" s="8">
        <v>0</v>
      </c>
      <c r="L138" s="8">
        <v>30.24</v>
      </c>
      <c r="M138" s="8">
        <v>99.52</v>
      </c>
      <c r="N138" s="10">
        <v>3.2910052910052898</v>
      </c>
      <c r="O138" s="10">
        <v>3.2936632097661298</v>
      </c>
      <c r="P138" s="10">
        <v>3.29160001424441</v>
      </c>
      <c r="Q138" s="10">
        <v>3.2924918075740601</v>
      </c>
      <c r="R138" s="8">
        <v>99.600375463327794</v>
      </c>
      <c r="S138" s="8">
        <v>99.527902238970199</v>
      </c>
      <c r="T138" s="8">
        <v>99.6180183767421</v>
      </c>
      <c r="U138" s="9">
        <v>8.0730530470462104E-4</v>
      </c>
      <c r="V138" s="9">
        <v>7.9400374336897802E-5</v>
      </c>
      <c r="W138" s="9">
        <v>9.8442663492298403E-4</v>
      </c>
      <c r="X138" s="10">
        <v>3.2910052910052898</v>
      </c>
      <c r="Y138" s="10">
        <v>3.2927332496881698</v>
      </c>
      <c r="Z138" s="10">
        <v>3.29160001424441</v>
      </c>
      <c r="AA138" s="10">
        <v>3.2909647565303102</v>
      </c>
      <c r="AB138" s="8">
        <v>99.572253470570502</v>
      </c>
      <c r="AC138" s="8">
        <v>99.527902238970199</v>
      </c>
      <c r="AD138" s="8">
        <v>99.525003282610101</v>
      </c>
      <c r="AE138" s="9">
        <v>5.2491717642901903E-4</v>
      </c>
      <c r="AF138" s="9">
        <v>7.9400374336897802E-5</v>
      </c>
      <c r="AG138" s="9">
        <v>5.0272878280453799E-5</v>
      </c>
      <c r="AZ138" s="9"/>
      <c r="BB138">
        <f t="shared" si="22"/>
        <v>0</v>
      </c>
      <c r="BC138">
        <f t="shared" si="23"/>
        <v>1</v>
      </c>
      <c r="BD138">
        <f t="shared" si="24"/>
        <v>0</v>
      </c>
      <c r="BE138">
        <f t="shared" si="20"/>
        <v>1</v>
      </c>
      <c r="BF138">
        <f t="shared" si="25"/>
        <v>0</v>
      </c>
      <c r="BG138" s="9">
        <f t="shared" si="26"/>
        <v>0</v>
      </c>
      <c r="BH138" s="9">
        <f t="shared" si="27"/>
        <v>0</v>
      </c>
      <c r="BI138" s="9">
        <f t="shared" si="28"/>
        <v>0</v>
      </c>
      <c r="BJ138" s="12">
        <f t="shared" si="29"/>
        <v>3.7826988887337603E-3</v>
      </c>
      <c r="BL138" s="9"/>
      <c r="BN138">
        <f t="shared" si="30"/>
        <v>0</v>
      </c>
      <c r="BO138">
        <f t="shared" si="31"/>
        <v>0</v>
      </c>
      <c r="BP138">
        <f t="shared" si="32"/>
        <v>0</v>
      </c>
      <c r="BQ138">
        <f t="shared" si="21"/>
        <v>1</v>
      </c>
      <c r="BR138">
        <f t="shared" si="33"/>
        <v>0</v>
      </c>
      <c r="BS138" s="9">
        <f t="shared" si="34"/>
        <v>0</v>
      </c>
      <c r="BT138" s="9">
        <f t="shared" si="35"/>
        <v>0</v>
      </c>
      <c r="BU138" s="9">
        <f t="shared" si="36"/>
        <v>0</v>
      </c>
      <c r="BV138" s="12">
        <f t="shared" si="37"/>
        <v>0</v>
      </c>
      <c r="BX138" s="12">
        <f t="shared" si="38"/>
        <v>0</v>
      </c>
      <c r="BY138" s="12">
        <f t="shared" si="39"/>
        <v>3.7826988887337603E-3</v>
      </c>
    </row>
    <row r="139" spans="1:77" x14ac:dyDescent="0.3">
      <c r="A139" s="1">
        <v>46225</v>
      </c>
      <c r="B139" s="8">
        <v>30.09</v>
      </c>
      <c r="C139" s="8">
        <v>99.02</v>
      </c>
      <c r="D139" s="9">
        <v>-4.9726606693783698E-3</v>
      </c>
      <c r="E139" s="9">
        <v>-5.0367790575923102E-3</v>
      </c>
      <c r="F139" s="8">
        <v>0</v>
      </c>
      <c r="G139" s="8">
        <v>0.52300000000000002</v>
      </c>
      <c r="H139" s="8">
        <v>0</v>
      </c>
      <c r="I139" s="8">
        <v>1.8010999999999999</v>
      </c>
      <c r="J139" s="8">
        <v>0</v>
      </c>
      <c r="K139" s="8">
        <v>0</v>
      </c>
      <c r="L139" s="8">
        <v>30.09</v>
      </c>
      <c r="M139" s="8">
        <v>99.02</v>
      </c>
      <c r="N139" s="10">
        <v>3.2907942838152202</v>
      </c>
      <c r="O139" s="10">
        <v>3.2936632097661298</v>
      </c>
      <c r="P139" s="10">
        <v>3.2915396942410302</v>
      </c>
      <c r="Q139" s="10">
        <v>3.29082907611265</v>
      </c>
      <c r="R139" s="8">
        <v>99.106325981862895</v>
      </c>
      <c r="S139" s="8">
        <v>99.044244428614306</v>
      </c>
      <c r="T139" s="8">
        <v>99.071078489903499</v>
      </c>
      <c r="U139" s="9">
        <v>8.7142369291870101E-4</v>
      </c>
      <c r="V139" s="9">
        <v>2.4481378560187303E-4</v>
      </c>
      <c r="W139" s="9">
        <v>5.15707132547357E-4</v>
      </c>
      <c r="X139" s="10">
        <v>3.2907942838152202</v>
      </c>
      <c r="Y139" s="10">
        <v>3.2927332496881698</v>
      </c>
      <c r="Z139" s="10">
        <v>3.2915396942410302</v>
      </c>
      <c r="AA139" s="10">
        <v>3.29082907611265</v>
      </c>
      <c r="AB139" s="8">
        <v>99.078343483117195</v>
      </c>
      <c r="AC139" s="8">
        <v>99.044244428614306</v>
      </c>
      <c r="AD139" s="8">
        <v>99.025129523996995</v>
      </c>
      <c r="AE139" s="9">
        <v>5.8903556464299904E-4</v>
      </c>
      <c r="AF139" s="9">
        <v>2.4481378560187303E-4</v>
      </c>
      <c r="AG139" s="9">
        <v>5.1801566749181698E-5</v>
      </c>
      <c r="AZ139" s="9"/>
      <c r="BB139">
        <f t="shared" si="22"/>
        <v>0</v>
      </c>
      <c r="BC139">
        <f t="shared" si="23"/>
        <v>1</v>
      </c>
      <c r="BD139">
        <f t="shared" si="24"/>
        <v>0</v>
      </c>
      <c r="BE139">
        <f t="shared" si="20"/>
        <v>1</v>
      </c>
      <c r="BF139">
        <f t="shared" si="25"/>
        <v>0</v>
      </c>
      <c r="BG139" s="9">
        <f t="shared" si="26"/>
        <v>0</v>
      </c>
      <c r="BH139" s="9">
        <f t="shared" si="27"/>
        <v>0</v>
      </c>
      <c r="BI139" s="9">
        <f t="shared" si="28"/>
        <v>0</v>
      </c>
      <c r="BJ139" s="12">
        <f t="shared" si="29"/>
        <v>3.7826988887337603E-3</v>
      </c>
      <c r="BL139" s="9"/>
      <c r="BN139">
        <f t="shared" si="30"/>
        <v>0</v>
      </c>
      <c r="BO139">
        <f t="shared" si="31"/>
        <v>0</v>
      </c>
      <c r="BP139">
        <f t="shared" si="32"/>
        <v>0</v>
      </c>
      <c r="BQ139">
        <f t="shared" si="21"/>
        <v>1</v>
      </c>
      <c r="BR139">
        <f t="shared" si="33"/>
        <v>0</v>
      </c>
      <c r="BS139" s="9">
        <f t="shared" si="34"/>
        <v>0</v>
      </c>
      <c r="BT139" s="9">
        <f t="shared" si="35"/>
        <v>0</v>
      </c>
      <c r="BU139" s="9">
        <f t="shared" si="36"/>
        <v>0</v>
      </c>
      <c r="BV139" s="12">
        <f t="shared" si="37"/>
        <v>0</v>
      </c>
      <c r="BX139" s="12">
        <f t="shared" si="38"/>
        <v>0</v>
      </c>
      <c r="BY139" s="12">
        <f t="shared" si="39"/>
        <v>3.7826988887337603E-3</v>
      </c>
    </row>
    <row r="140" spans="1:77" x14ac:dyDescent="0.3">
      <c r="A140" s="1">
        <v>46226</v>
      </c>
      <c r="B140" s="8">
        <v>29.97</v>
      </c>
      <c r="C140" s="8">
        <v>98.69</v>
      </c>
      <c r="D140" s="9">
        <v>-3.9960093133820799E-3</v>
      </c>
      <c r="E140" s="9">
        <v>-3.3382257493611298E-3</v>
      </c>
      <c r="F140" s="8">
        <v>0</v>
      </c>
      <c r="G140" s="8">
        <v>0.52300000000000002</v>
      </c>
      <c r="H140" s="8">
        <v>0</v>
      </c>
      <c r="I140" s="8">
        <v>1.8010999999999999</v>
      </c>
      <c r="J140" s="8">
        <v>0</v>
      </c>
      <c r="K140" s="8">
        <v>0</v>
      </c>
      <c r="L140" s="8">
        <v>29.97</v>
      </c>
      <c r="M140" s="8">
        <v>98.69</v>
      </c>
      <c r="N140" s="10">
        <v>3.2929596262929501</v>
      </c>
      <c r="O140" s="10">
        <v>3.2936632097661298</v>
      </c>
      <c r="P140" s="10">
        <v>3.2916054093287799</v>
      </c>
      <c r="Q140" s="10">
        <v>3.29088594782431</v>
      </c>
      <c r="R140" s="8">
        <v>98.711086396690902</v>
      </c>
      <c r="S140" s="8">
        <v>98.647444636403705</v>
      </c>
      <c r="T140" s="8">
        <v>98.626147411096099</v>
      </c>
      <c r="U140" s="9">
        <v>2.13640128897844E-4</v>
      </c>
      <c r="V140" s="9">
        <v>-4.3129538171889802E-4</v>
      </c>
      <c r="W140" s="9">
        <v>-6.4721100599758402E-4</v>
      </c>
      <c r="X140" s="10">
        <v>3.2929596262929501</v>
      </c>
      <c r="Y140" s="10">
        <v>3.2927332496881698</v>
      </c>
      <c r="Z140" s="10">
        <v>3.2916054093287799</v>
      </c>
      <c r="AA140" s="10">
        <v>3.29088594782431</v>
      </c>
      <c r="AB140" s="8">
        <v>98.683215493154705</v>
      </c>
      <c r="AC140" s="8">
        <v>98.647444636403705</v>
      </c>
      <c r="AD140" s="8">
        <v>98.626147411096099</v>
      </c>
      <c r="AE140" s="9">
        <v>-6.8747999377892803E-5</v>
      </c>
      <c r="AF140" s="9">
        <v>-4.3129538171889802E-4</v>
      </c>
      <c r="AG140" s="9">
        <v>-6.4721100599758402E-4</v>
      </c>
      <c r="AZ140" s="9"/>
      <c r="BB140">
        <f t="shared" si="22"/>
        <v>0</v>
      </c>
      <c r="BC140">
        <f t="shared" si="23"/>
        <v>0</v>
      </c>
      <c r="BD140">
        <f t="shared" si="24"/>
        <v>0</v>
      </c>
      <c r="BE140">
        <f t="shared" si="20"/>
        <v>1</v>
      </c>
      <c r="BF140">
        <f t="shared" si="25"/>
        <v>0</v>
      </c>
      <c r="BG140" s="9">
        <f t="shared" si="26"/>
        <v>0</v>
      </c>
      <c r="BH140" s="9">
        <f t="shared" si="27"/>
        <v>0</v>
      </c>
      <c r="BI140" s="9">
        <f t="shared" si="28"/>
        <v>0</v>
      </c>
      <c r="BJ140" s="12">
        <f t="shared" si="29"/>
        <v>3.7826988887337603E-3</v>
      </c>
      <c r="BL140" s="9"/>
      <c r="BN140">
        <f t="shared" si="30"/>
        <v>0</v>
      </c>
      <c r="BO140">
        <f t="shared" si="31"/>
        <v>1</v>
      </c>
      <c r="BP140">
        <f t="shared" si="32"/>
        <v>0</v>
      </c>
      <c r="BQ140">
        <f t="shared" si="21"/>
        <v>1</v>
      </c>
      <c r="BR140">
        <f t="shared" si="33"/>
        <v>0</v>
      </c>
      <c r="BS140" s="9">
        <f t="shared" si="34"/>
        <v>0</v>
      </c>
      <c r="BT140" s="9">
        <f t="shared" si="35"/>
        <v>0</v>
      </c>
      <c r="BU140" s="9">
        <f t="shared" si="36"/>
        <v>0</v>
      </c>
      <c r="BV140" s="12">
        <f t="shared" si="37"/>
        <v>0</v>
      </c>
      <c r="BX140" s="12">
        <f t="shared" si="38"/>
        <v>0</v>
      </c>
      <c r="BY140" s="12">
        <f t="shared" si="39"/>
        <v>3.7826988887337603E-3</v>
      </c>
    </row>
    <row r="141" spans="1:77" x14ac:dyDescent="0.3">
      <c r="A141" s="1">
        <v>46227</v>
      </c>
      <c r="B141" s="8">
        <v>30.59</v>
      </c>
      <c r="C141" s="8">
        <v>100.81</v>
      </c>
      <c r="D141" s="9">
        <v>2.0476276834240199E-2</v>
      </c>
      <c r="E141" s="9">
        <v>2.12539328819343E-2</v>
      </c>
      <c r="F141" s="8">
        <v>0</v>
      </c>
      <c r="G141" s="8">
        <v>0.52300000000000002</v>
      </c>
      <c r="H141" s="8">
        <v>0</v>
      </c>
      <c r="I141" s="8">
        <v>1.8010999999999999</v>
      </c>
      <c r="J141" s="8">
        <v>0</v>
      </c>
      <c r="K141" s="8">
        <v>0</v>
      </c>
      <c r="L141" s="8">
        <v>30.59</v>
      </c>
      <c r="M141" s="8">
        <v>100.81</v>
      </c>
      <c r="N141" s="10">
        <v>3.29552141222621</v>
      </c>
      <c r="O141" s="10">
        <v>3.2936632097661298</v>
      </c>
      <c r="P141" s="10">
        <v>3.2918174490285601</v>
      </c>
      <c r="Q141" s="10">
        <v>3.2911005555165498</v>
      </c>
      <c r="R141" s="8">
        <v>100.753157586745</v>
      </c>
      <c r="S141" s="8">
        <v>100.690209471367</v>
      </c>
      <c r="T141" s="8">
        <v>100.668201143945</v>
      </c>
      <c r="U141" s="9">
        <v>-5.6401591879621702E-4</v>
      </c>
      <c r="V141" s="9">
        <v>-1.1889867812927299E-3</v>
      </c>
      <c r="W141" s="9">
        <v>-1.40758532348703E-3</v>
      </c>
      <c r="X141" s="10">
        <v>3.29552141222621</v>
      </c>
      <c r="Y141" s="10">
        <v>3.2927332496881698</v>
      </c>
      <c r="Z141" s="10">
        <v>3.2918174490285601</v>
      </c>
      <c r="AA141" s="10">
        <v>3.2911005555165498</v>
      </c>
      <c r="AB141" s="8">
        <v>100.724710107961</v>
      </c>
      <c r="AC141" s="8">
        <v>100.690209471367</v>
      </c>
      <c r="AD141" s="8">
        <v>100.668201143945</v>
      </c>
      <c r="AE141" s="9">
        <v>-8.4640404707202297E-4</v>
      </c>
      <c r="AF141" s="9">
        <v>-1.1889867812927299E-3</v>
      </c>
      <c r="AG141" s="9">
        <v>-1.40758532348703E-3</v>
      </c>
      <c r="AZ141" s="9"/>
      <c r="BB141">
        <f t="shared" si="22"/>
        <v>1</v>
      </c>
      <c r="BC141">
        <f t="shared" si="23"/>
        <v>0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3.7826988887337603E-3</v>
      </c>
      <c r="BL141" s="9"/>
      <c r="BN141">
        <f t="shared" si="30"/>
        <v>0</v>
      </c>
      <c r="BO141">
        <f t="shared" si="31"/>
        <v>1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0</v>
      </c>
      <c r="BX141" s="12">
        <f t="shared" si="38"/>
        <v>0</v>
      </c>
      <c r="BY141" s="12">
        <f t="shared" si="39"/>
        <v>3.7826988887337603E-3</v>
      </c>
    </row>
    <row r="142" spans="1:77" x14ac:dyDescent="0.3">
      <c r="A142" s="1">
        <v>46230</v>
      </c>
      <c r="B142" s="8">
        <v>30.53</v>
      </c>
      <c r="C142" s="8">
        <v>100.54</v>
      </c>
      <c r="D142" s="9">
        <v>-1.9633514160256201E-3</v>
      </c>
      <c r="E142" s="9">
        <v>-2.6818988014209199E-3</v>
      </c>
      <c r="F142" s="8">
        <v>0</v>
      </c>
      <c r="G142" s="8">
        <v>0.52300000000000002</v>
      </c>
      <c r="H142" s="8">
        <v>0</v>
      </c>
      <c r="I142" s="8">
        <v>1.8010999999999999</v>
      </c>
      <c r="J142" s="8">
        <v>0</v>
      </c>
      <c r="K142" s="8">
        <v>0</v>
      </c>
      <c r="L142" s="8">
        <v>30.53</v>
      </c>
      <c r="M142" s="8">
        <v>100.54</v>
      </c>
      <c r="N142" s="10">
        <v>3.29315427448411</v>
      </c>
      <c r="O142" s="10">
        <v>3.2936632097661298</v>
      </c>
      <c r="P142" s="10">
        <v>3.2918498068034601</v>
      </c>
      <c r="Q142" s="10">
        <v>3.2911436546261399</v>
      </c>
      <c r="R142" s="8">
        <v>100.55553779416</v>
      </c>
      <c r="S142" s="8">
        <v>100.499186718842</v>
      </c>
      <c r="T142" s="8">
        <v>100.47729995992</v>
      </c>
      <c r="U142" s="9">
        <v>1.54531466599081E-4</v>
      </c>
      <c r="V142" s="9">
        <v>-4.0602314787132102E-4</v>
      </c>
      <c r="W142" s="9">
        <v>-6.2382732357205996E-4</v>
      </c>
      <c r="X142" s="10">
        <v>3.29315427448411</v>
      </c>
      <c r="Y142" s="10">
        <v>3.2927332496881698</v>
      </c>
      <c r="Z142" s="10">
        <v>3.2918498068034601</v>
      </c>
      <c r="AA142" s="10">
        <v>3.2911436546261399</v>
      </c>
      <c r="AB142" s="8">
        <v>100.52714611298001</v>
      </c>
      <c r="AC142" s="8">
        <v>100.499186718842</v>
      </c>
      <c r="AD142" s="8">
        <v>100.47729995992</v>
      </c>
      <c r="AE142" s="9">
        <v>-1.2785666167662899E-4</v>
      </c>
      <c r="AF142" s="9">
        <v>-4.0602314787132102E-4</v>
      </c>
      <c r="AG142" s="9">
        <v>-6.2382732357205996E-4</v>
      </c>
      <c r="AZ142" s="9"/>
      <c r="BB142">
        <f t="shared" si="22"/>
        <v>0</v>
      </c>
      <c r="BC142">
        <f t="shared" si="23"/>
        <v>0</v>
      </c>
      <c r="BD142">
        <f t="shared" si="24"/>
        <v>1</v>
      </c>
      <c r="BE142">
        <f t="shared" si="20"/>
        <v>1</v>
      </c>
      <c r="BF142">
        <f t="shared" si="25"/>
        <v>1</v>
      </c>
      <c r="BG142" s="9">
        <f t="shared" si="26"/>
        <v>-1.9633514160256201E-3</v>
      </c>
      <c r="BH142" s="9">
        <f t="shared" si="27"/>
        <v>2.6818988014209199E-3</v>
      </c>
      <c r="BI142" s="9">
        <f t="shared" si="28"/>
        <v>7.1854738539529981E-4</v>
      </c>
      <c r="BJ142" s="12">
        <f t="shared" si="29"/>
        <v>4.5012462741290601E-3</v>
      </c>
      <c r="BL142" s="9"/>
      <c r="BN142">
        <f t="shared" si="30"/>
        <v>0</v>
      </c>
      <c r="BO142">
        <f t="shared" si="31"/>
        <v>1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0</v>
      </c>
      <c r="BX142" s="12">
        <f t="shared" si="38"/>
        <v>7.1854738539529981E-4</v>
      </c>
      <c r="BY142" s="12">
        <f t="shared" si="39"/>
        <v>4.5012462741290601E-3</v>
      </c>
    </row>
    <row r="143" spans="1:77" x14ac:dyDescent="0.3">
      <c r="A143" s="1">
        <v>46231</v>
      </c>
      <c r="B143" s="8">
        <v>30.66</v>
      </c>
      <c r="C143" s="8">
        <v>100.95</v>
      </c>
      <c r="D143" s="9">
        <v>4.2490666968814997E-3</v>
      </c>
      <c r="E143" s="9">
        <v>4.0696864944173702E-3</v>
      </c>
      <c r="F143" s="8">
        <v>0</v>
      </c>
      <c r="G143" s="8">
        <v>0.52300000000000002</v>
      </c>
      <c r="H143" s="8">
        <v>0</v>
      </c>
      <c r="I143" s="8">
        <v>1.8010999999999999</v>
      </c>
      <c r="J143" s="8">
        <v>0</v>
      </c>
      <c r="K143" s="8">
        <v>0</v>
      </c>
      <c r="L143" s="8">
        <v>30.66</v>
      </c>
      <c r="M143" s="8">
        <v>100.95</v>
      </c>
      <c r="N143" s="10">
        <v>3.2925636007827701</v>
      </c>
      <c r="O143" s="10">
        <v>3.2936632097661298</v>
      </c>
      <c r="P143" s="10">
        <v>3.29192263111926</v>
      </c>
      <c r="Q143" s="10">
        <v>3.2912562463313901</v>
      </c>
      <c r="R143" s="8">
        <v>100.983714011429</v>
      </c>
      <c r="S143" s="8">
        <v>100.928115076594</v>
      </c>
      <c r="T143" s="8">
        <v>100.90646445083701</v>
      </c>
      <c r="U143" s="9">
        <v>3.3391166906343101E-4</v>
      </c>
      <c r="V143" s="9">
        <v>-2.16813233897067E-4</v>
      </c>
      <c r="W143" s="9">
        <v>-4.3135155424176599E-4</v>
      </c>
      <c r="X143" s="10">
        <v>3.2925636007827701</v>
      </c>
      <c r="Y143" s="10">
        <v>3.2927332496881698</v>
      </c>
      <c r="Z143" s="10">
        <v>3.29192263111926</v>
      </c>
      <c r="AA143" s="10">
        <v>3.2912562463313901</v>
      </c>
      <c r="AB143" s="8">
        <v>100.95520143543899</v>
      </c>
      <c r="AC143" s="8">
        <v>100.928115076594</v>
      </c>
      <c r="AD143" s="8">
        <v>100.90646445083701</v>
      </c>
      <c r="AE143" s="9">
        <v>5.15235407876541E-5</v>
      </c>
      <c r="AF143" s="9">
        <v>-2.16813233897067E-4</v>
      </c>
      <c r="AG143" s="9">
        <v>-4.3135155424176599E-4</v>
      </c>
      <c r="AZ143" s="9"/>
      <c r="BB143">
        <f t="shared" si="22"/>
        <v>0</v>
      </c>
      <c r="BC143">
        <f t="shared" si="23"/>
        <v>0</v>
      </c>
      <c r="BD143">
        <f t="shared" si="24"/>
        <v>1</v>
      </c>
      <c r="BE143">
        <f t="shared" si="20"/>
        <v>1</v>
      </c>
      <c r="BF143">
        <f t="shared" si="25"/>
        <v>1</v>
      </c>
      <c r="BG143" s="9">
        <f t="shared" si="26"/>
        <v>4.2490666968814997E-3</v>
      </c>
      <c r="BH143" s="9">
        <f t="shared" si="27"/>
        <v>-4.0696864944173702E-3</v>
      </c>
      <c r="BI143" s="9">
        <f t="shared" si="28"/>
        <v>1.7938020246412948E-4</v>
      </c>
      <c r="BJ143" s="12">
        <f t="shared" si="29"/>
        <v>4.6806264765931896E-3</v>
      </c>
      <c r="BL143" s="9"/>
      <c r="BN143">
        <f t="shared" si="30"/>
        <v>0</v>
      </c>
      <c r="BO143">
        <f t="shared" si="31"/>
        <v>1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0</v>
      </c>
      <c r="BX143" s="12">
        <f t="shared" si="38"/>
        <v>1.7938020246412948E-4</v>
      </c>
      <c r="BY143" s="12">
        <f t="shared" si="39"/>
        <v>4.6806264765931896E-3</v>
      </c>
    </row>
    <row r="144" spans="1:77" x14ac:dyDescent="0.3">
      <c r="A144" s="1">
        <v>46232</v>
      </c>
      <c r="B144" s="8">
        <v>30.61</v>
      </c>
      <c r="C144" s="8">
        <v>100.66</v>
      </c>
      <c r="D144" s="9">
        <v>-1.6321204863469501E-3</v>
      </c>
      <c r="E144" s="9">
        <v>-2.8768434106326598E-3</v>
      </c>
      <c r="F144" s="8">
        <v>0</v>
      </c>
      <c r="G144" s="8">
        <v>0.52300000000000002</v>
      </c>
      <c r="H144" s="8">
        <v>0</v>
      </c>
      <c r="I144" s="8">
        <v>1.8010999999999999</v>
      </c>
      <c r="J144" s="8">
        <v>0</v>
      </c>
      <c r="K144" s="8">
        <v>0</v>
      </c>
      <c r="L144" s="8">
        <v>30.61</v>
      </c>
      <c r="M144" s="8">
        <v>100.66</v>
      </c>
      <c r="N144" s="10">
        <v>3.2884678209735299</v>
      </c>
      <c r="O144" s="10">
        <v>3.2936632097661298</v>
      </c>
      <c r="P144" s="10">
        <v>3.2916069510571799</v>
      </c>
      <c r="Q144" s="10">
        <v>3.29112332338689</v>
      </c>
      <c r="R144" s="8">
        <v>100.819030850941</v>
      </c>
      <c r="S144" s="8">
        <v>100.76575173856</v>
      </c>
      <c r="T144" s="8">
        <v>100.74535370020401</v>
      </c>
      <c r="U144" s="9">
        <v>1.57863459334898E-3</v>
      </c>
      <c r="V144" s="9">
        <v>1.05003205761338E-3</v>
      </c>
      <c r="W144" s="9">
        <v>8.4758129558836198E-4</v>
      </c>
      <c r="X144" s="10">
        <v>3.2884678209735299</v>
      </c>
      <c r="Y144" s="10">
        <v>3.2927332496881698</v>
      </c>
      <c r="Z144" s="10">
        <v>3.2916069510571799</v>
      </c>
      <c r="AA144" s="10">
        <v>3.29112332338689</v>
      </c>
      <c r="AB144" s="8">
        <v>100.79056477295499</v>
      </c>
      <c r="AC144" s="8">
        <v>100.76575173856</v>
      </c>
      <c r="AD144" s="8">
        <v>100.74535370020401</v>
      </c>
      <c r="AE144" s="9">
        <v>1.2962464650732601E-3</v>
      </c>
      <c r="AF144" s="9">
        <v>1.05003205761338E-3</v>
      </c>
      <c r="AG144" s="9">
        <v>8.4758129558836198E-4</v>
      </c>
      <c r="AZ144" s="9"/>
      <c r="BB144">
        <f t="shared" si="22"/>
        <v>0</v>
      </c>
      <c r="BC144">
        <f t="shared" si="23"/>
        <v>1</v>
      </c>
      <c r="BD144">
        <f t="shared" si="24"/>
        <v>1</v>
      </c>
      <c r="BE144">
        <f t="shared" si="20"/>
        <v>1</v>
      </c>
      <c r="BF144">
        <f t="shared" si="25"/>
        <v>1</v>
      </c>
      <c r="BG144" s="9">
        <f t="shared" si="26"/>
        <v>-1.6321204863469501E-3</v>
      </c>
      <c r="BH144" s="9">
        <f t="shared" si="27"/>
        <v>2.8768434106326598E-3</v>
      </c>
      <c r="BI144" s="9">
        <f t="shared" si="28"/>
        <v>1.2447229242857098E-3</v>
      </c>
      <c r="BJ144" s="12">
        <f t="shared" si="29"/>
        <v>5.9253494008788994E-3</v>
      </c>
      <c r="BL144" s="9"/>
      <c r="BN144">
        <f t="shared" si="30"/>
        <v>0</v>
      </c>
      <c r="BO144">
        <f t="shared" si="31"/>
        <v>0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0</v>
      </c>
      <c r="BX144" s="12">
        <f t="shared" si="38"/>
        <v>1.2447229242857098E-3</v>
      </c>
      <c r="BY144" s="12">
        <f t="shared" si="39"/>
        <v>5.9253494008788994E-3</v>
      </c>
    </row>
    <row r="145" spans="1:77" x14ac:dyDescent="0.3">
      <c r="A145" s="1">
        <v>46233</v>
      </c>
      <c r="B145" s="8">
        <v>30.24</v>
      </c>
      <c r="C145" s="8">
        <v>99.49</v>
      </c>
      <c r="D145" s="9">
        <v>-1.2161201645988899E-2</v>
      </c>
      <c r="E145" s="9">
        <v>-1.16913647469456E-2</v>
      </c>
      <c r="F145" s="8">
        <v>0</v>
      </c>
      <c r="G145" s="8">
        <v>0.52300000000000002</v>
      </c>
      <c r="H145" s="8">
        <v>0</v>
      </c>
      <c r="I145" s="8">
        <v>1.8010999999999999</v>
      </c>
      <c r="J145" s="8">
        <v>0</v>
      </c>
      <c r="K145" s="8">
        <v>0</v>
      </c>
      <c r="L145" s="8">
        <v>30.24</v>
      </c>
      <c r="M145" s="8">
        <v>99.49</v>
      </c>
      <c r="N145" s="10">
        <v>3.2900132275132199</v>
      </c>
      <c r="O145" s="10">
        <v>3.2936632097661298</v>
      </c>
      <c r="P145" s="10">
        <v>3.2915388887377999</v>
      </c>
      <c r="Q145" s="10">
        <v>3.2911878434582098</v>
      </c>
      <c r="R145" s="8">
        <v>99.600375463327794</v>
      </c>
      <c r="S145" s="8">
        <v>99.538194199969098</v>
      </c>
      <c r="T145" s="8">
        <v>99.523569299219801</v>
      </c>
      <c r="U145" s="9">
        <v>1.1087976943056101E-3</v>
      </c>
      <c r="V145" s="9">
        <v>4.8429521359881998E-4</v>
      </c>
      <c r="W145" s="9">
        <v>3.3735689135586501E-4</v>
      </c>
      <c r="X145" s="10">
        <v>3.2900132275132199</v>
      </c>
      <c r="Y145" s="10">
        <v>3.2927332496881698</v>
      </c>
      <c r="Z145" s="10">
        <v>3.2915388887377999</v>
      </c>
      <c r="AA145" s="10">
        <v>3.2911878434582098</v>
      </c>
      <c r="AB145" s="8">
        <v>99.572253470570502</v>
      </c>
      <c r="AC145" s="8">
        <v>99.538194199969098</v>
      </c>
      <c r="AD145" s="8">
        <v>99.523569299219801</v>
      </c>
      <c r="AE145" s="9">
        <v>8.2640956602991202E-4</v>
      </c>
      <c r="AF145" s="9">
        <v>4.8429521359881998E-4</v>
      </c>
      <c r="AG145" s="9">
        <v>3.3735689135586501E-4</v>
      </c>
      <c r="AZ145" s="9"/>
      <c r="BB145">
        <f t="shared" si="22"/>
        <v>0</v>
      </c>
      <c r="BC145">
        <f t="shared" si="23"/>
        <v>1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5.9253494008788994E-3</v>
      </c>
      <c r="BL145" s="9"/>
      <c r="BN145">
        <f t="shared" si="30"/>
        <v>0</v>
      </c>
      <c r="BO145">
        <f t="shared" si="31"/>
        <v>0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0</v>
      </c>
      <c r="BX145" s="12">
        <f t="shared" si="38"/>
        <v>0</v>
      </c>
      <c r="BY145" s="12">
        <f t="shared" si="39"/>
        <v>5.9253494008788994E-3</v>
      </c>
    </row>
    <row r="146" spans="1:77" x14ac:dyDescent="0.3">
      <c r="A146" s="1">
        <v>46234</v>
      </c>
      <c r="B146" s="8">
        <v>30.05</v>
      </c>
      <c r="C146" s="8">
        <v>98.95</v>
      </c>
      <c r="D146" s="9">
        <v>-6.3028903301156E-3</v>
      </c>
      <c r="E146" s="9">
        <v>-5.4424645526935603E-3</v>
      </c>
      <c r="F146" s="8">
        <v>0</v>
      </c>
      <c r="G146" s="8">
        <v>0.52300000000000002</v>
      </c>
      <c r="H146" s="8">
        <v>0</v>
      </c>
      <c r="I146" s="8">
        <v>1.8010999999999999</v>
      </c>
      <c r="J146" s="8">
        <v>0</v>
      </c>
      <c r="K146" s="8">
        <v>0</v>
      </c>
      <c r="L146" s="8">
        <v>30.05</v>
      </c>
      <c r="M146" s="8">
        <v>98.95</v>
      </c>
      <c r="N146" s="10">
        <v>3.2928452579034899</v>
      </c>
      <c r="O146" s="10">
        <v>3.2936632097661298</v>
      </c>
      <c r="P146" s="10">
        <v>3.2919184490562601</v>
      </c>
      <c r="Q146" s="10">
        <v>3.29131181162361</v>
      </c>
      <c r="R146" s="8">
        <v>98.974579453472202</v>
      </c>
      <c r="S146" s="8">
        <v>98.910743606571003</v>
      </c>
      <c r="T146" s="8">
        <v>98.900194695919296</v>
      </c>
      <c r="U146" s="9">
        <v>2.4837191688361298E-4</v>
      </c>
      <c r="V146" s="9">
        <v>-3.9680831304410102E-4</v>
      </c>
      <c r="W146" s="9">
        <v>-5.0346480789971698E-4</v>
      </c>
      <c r="X146" s="10">
        <v>3.2928452579034899</v>
      </c>
      <c r="Y146" s="10">
        <v>3.2927332496881698</v>
      </c>
      <c r="Z146" s="10">
        <v>3.2919184490562601</v>
      </c>
      <c r="AA146" s="10">
        <v>3.29131181162361</v>
      </c>
      <c r="AB146" s="8">
        <v>98.946634153129693</v>
      </c>
      <c r="AC146" s="8">
        <v>98.910743606571003</v>
      </c>
      <c r="AD146" s="8">
        <v>98.900194695919296</v>
      </c>
      <c r="AE146" s="9">
        <v>-3.4016211392087199E-5</v>
      </c>
      <c r="AF146" s="9">
        <v>-3.9680831304410102E-4</v>
      </c>
      <c r="AG146" s="9">
        <v>-5.0346480789971698E-4</v>
      </c>
      <c r="AZ146" s="9"/>
      <c r="BB146">
        <f t="shared" si="22"/>
        <v>0</v>
      </c>
      <c r="BC146">
        <f t="shared" si="23"/>
        <v>0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5.9253494008788994E-3</v>
      </c>
      <c r="BL146" s="9"/>
      <c r="BN146">
        <f t="shared" si="30"/>
        <v>0</v>
      </c>
      <c r="BO146">
        <f t="shared" si="31"/>
        <v>1</v>
      </c>
      <c r="BP146">
        <f t="shared" si="32"/>
        <v>0</v>
      </c>
      <c r="BQ146">
        <f t="shared" si="21"/>
        <v>1</v>
      </c>
      <c r="BR146">
        <f t="shared" si="33"/>
        <v>0</v>
      </c>
      <c r="BS146" s="9">
        <f t="shared" si="34"/>
        <v>0</v>
      </c>
      <c r="BT146" s="9">
        <f t="shared" si="35"/>
        <v>0</v>
      </c>
      <c r="BU146" s="9">
        <f t="shared" si="36"/>
        <v>0</v>
      </c>
      <c r="BV146" s="12">
        <f t="shared" si="37"/>
        <v>0</v>
      </c>
      <c r="BX146" s="12">
        <f t="shared" si="38"/>
        <v>0</v>
      </c>
      <c r="BY146" s="12">
        <f t="shared" si="39"/>
        <v>5.9253494008788994E-3</v>
      </c>
    </row>
    <row r="147" spans="1:77" x14ac:dyDescent="0.3">
      <c r="A147" s="1">
        <v>46237</v>
      </c>
      <c r="B147" s="8">
        <v>30.09</v>
      </c>
      <c r="C147" s="8">
        <v>99.07</v>
      </c>
      <c r="D147" s="9">
        <v>1.33022966073713E-3</v>
      </c>
      <c r="E147" s="9">
        <v>1.2119989363640301E-3</v>
      </c>
      <c r="F147" s="8">
        <v>0</v>
      </c>
      <c r="G147" s="8">
        <v>0.52300000000000002</v>
      </c>
      <c r="H147" s="8">
        <v>0</v>
      </c>
      <c r="I147" s="8">
        <v>1.8010999999999999</v>
      </c>
      <c r="J147" s="8">
        <v>0</v>
      </c>
      <c r="K147" s="8">
        <v>0</v>
      </c>
      <c r="L147" s="8">
        <v>30.09</v>
      </c>
      <c r="M147" s="8">
        <v>99.07</v>
      </c>
      <c r="N147" s="10">
        <v>3.29245596543702</v>
      </c>
      <c r="O147" s="10">
        <v>3.2936632097661298</v>
      </c>
      <c r="P147" s="10">
        <v>3.2919780760433799</v>
      </c>
      <c r="Q147" s="10">
        <v>3.2916223422374702</v>
      </c>
      <c r="R147" s="8">
        <v>99.106325981862895</v>
      </c>
      <c r="S147" s="8">
        <v>99.053826132103097</v>
      </c>
      <c r="T147" s="8">
        <v>99.035572411754401</v>
      </c>
      <c r="U147" s="9">
        <v>3.6660264125686098E-4</v>
      </c>
      <c r="V147" s="9">
        <v>-1.6327029664769401E-4</v>
      </c>
      <c r="W147" s="9">
        <v>-3.4756809889757099E-4</v>
      </c>
      <c r="X147" s="10">
        <v>3.29245596543702</v>
      </c>
      <c r="Y147" s="10">
        <v>3.2927332496881698</v>
      </c>
      <c r="Z147" s="10">
        <v>3.2919780760433799</v>
      </c>
      <c r="AA147" s="10">
        <v>3.2916223422374702</v>
      </c>
      <c r="AB147" s="8">
        <v>99.078343483117195</v>
      </c>
      <c r="AC147" s="8">
        <v>99.053826132103097</v>
      </c>
      <c r="AD147" s="8">
        <v>99.035572411754401</v>
      </c>
      <c r="AE147" s="9">
        <v>8.4214512981088303E-5</v>
      </c>
      <c r="AF147" s="9">
        <v>-1.6327029664769401E-4</v>
      </c>
      <c r="AG147" s="9">
        <v>-3.4756809889757099E-4</v>
      </c>
      <c r="AZ147" s="9"/>
      <c r="BB147">
        <f t="shared" si="22"/>
        <v>0</v>
      </c>
      <c r="BC147">
        <f t="shared" si="23"/>
        <v>0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5.9253494008788994E-3</v>
      </c>
      <c r="BL147" s="9"/>
      <c r="BN147">
        <f t="shared" si="30"/>
        <v>0</v>
      </c>
      <c r="BO147">
        <f t="shared" si="31"/>
        <v>1</v>
      </c>
      <c r="BP147">
        <f t="shared" si="32"/>
        <v>0</v>
      </c>
      <c r="BQ147">
        <f t="shared" si="21"/>
        <v>1</v>
      </c>
      <c r="BR147">
        <f t="shared" si="33"/>
        <v>0</v>
      </c>
      <c r="BS147" s="9">
        <f t="shared" si="34"/>
        <v>0</v>
      </c>
      <c r="BT147" s="9">
        <f t="shared" si="35"/>
        <v>0</v>
      </c>
      <c r="BU147" s="9">
        <f t="shared" si="36"/>
        <v>0</v>
      </c>
      <c r="BV147" s="12">
        <f t="shared" si="37"/>
        <v>0</v>
      </c>
      <c r="BX147" s="12">
        <f t="shared" si="38"/>
        <v>0</v>
      </c>
      <c r="BY147" s="12">
        <f t="shared" si="39"/>
        <v>5.9253494008788994E-3</v>
      </c>
    </row>
    <row r="148" spans="1:77" x14ac:dyDescent="0.3">
      <c r="A148" s="1">
        <v>46238</v>
      </c>
      <c r="B148" s="8">
        <v>30.07</v>
      </c>
      <c r="C148" s="8">
        <v>98.92</v>
      </c>
      <c r="D148" s="9">
        <v>-6.6489364151614799E-4</v>
      </c>
      <c r="E148" s="9">
        <v>-1.51522833172334E-3</v>
      </c>
      <c r="F148" s="8">
        <v>0</v>
      </c>
      <c r="G148" s="8">
        <v>0.52300000000000002</v>
      </c>
      <c r="H148" s="8">
        <v>0</v>
      </c>
      <c r="I148" s="8">
        <v>1.8010999999999999</v>
      </c>
      <c r="J148" s="8">
        <v>0</v>
      </c>
      <c r="K148" s="8">
        <v>0</v>
      </c>
      <c r="L148" s="8">
        <v>30.07</v>
      </c>
      <c r="M148" s="8">
        <v>98.92</v>
      </c>
      <c r="N148" s="10">
        <v>3.2896574659128701</v>
      </c>
      <c r="O148" s="10">
        <v>3.2936632097661298</v>
      </c>
      <c r="P148" s="10">
        <v>3.2918432935341402</v>
      </c>
      <c r="Q148" s="10">
        <v>3.2917216538892702</v>
      </c>
      <c r="R148" s="8">
        <v>99.040452717667506</v>
      </c>
      <c r="S148" s="8">
        <v>98.989780746624604</v>
      </c>
      <c r="T148" s="8">
        <v>98.9790838310807</v>
      </c>
      <c r="U148" s="9">
        <v>1.21693733146403E-3</v>
      </c>
      <c r="V148" s="9">
        <v>7.0517737176069295E-4</v>
      </c>
      <c r="W148" s="9">
        <v>5.9711072625945999E-4</v>
      </c>
      <c r="X148" s="10">
        <v>3.2896574659128701</v>
      </c>
      <c r="Y148" s="10">
        <v>3.2927332496881698</v>
      </c>
      <c r="Z148" s="10">
        <v>3.2918432935341402</v>
      </c>
      <c r="AA148" s="10">
        <v>3.2917216538892702</v>
      </c>
      <c r="AB148" s="8">
        <v>99.012488818123501</v>
      </c>
      <c r="AC148" s="8">
        <v>98.989780746624604</v>
      </c>
      <c r="AD148" s="8">
        <v>98.9790838310807</v>
      </c>
      <c r="AE148" s="9">
        <v>9.3454920318830604E-4</v>
      </c>
      <c r="AF148" s="9">
        <v>7.0517737176069295E-4</v>
      </c>
      <c r="AG148" s="9">
        <v>5.9711072625945999E-4</v>
      </c>
      <c r="AZ148" s="9"/>
      <c r="BB148">
        <f t="shared" si="22"/>
        <v>0</v>
      </c>
      <c r="BC148">
        <f t="shared" si="23"/>
        <v>1</v>
      </c>
      <c r="BD148">
        <f t="shared" si="24"/>
        <v>0</v>
      </c>
      <c r="BE148">
        <f t="shared" si="20"/>
        <v>1</v>
      </c>
      <c r="BF148">
        <f t="shared" si="25"/>
        <v>0</v>
      </c>
      <c r="BG148" s="9">
        <f t="shared" si="26"/>
        <v>0</v>
      </c>
      <c r="BH148" s="9">
        <f t="shared" si="27"/>
        <v>0</v>
      </c>
      <c r="BI148" s="9">
        <f t="shared" si="28"/>
        <v>0</v>
      </c>
      <c r="BJ148" s="12">
        <f t="shared" si="29"/>
        <v>5.9253494008788994E-3</v>
      </c>
      <c r="BL148" s="9"/>
      <c r="BN148">
        <f t="shared" si="30"/>
        <v>0</v>
      </c>
      <c r="BO148">
        <f t="shared" si="31"/>
        <v>0</v>
      </c>
      <c r="BP148">
        <f t="shared" si="32"/>
        <v>0</v>
      </c>
      <c r="BQ148">
        <f t="shared" si="21"/>
        <v>1</v>
      </c>
      <c r="BR148">
        <f t="shared" si="33"/>
        <v>0</v>
      </c>
      <c r="BS148" s="9">
        <f t="shared" si="34"/>
        <v>0</v>
      </c>
      <c r="BT148" s="9">
        <f t="shared" si="35"/>
        <v>0</v>
      </c>
      <c r="BU148" s="9">
        <f t="shared" si="36"/>
        <v>0</v>
      </c>
      <c r="BV148" s="12">
        <f t="shared" si="37"/>
        <v>0</v>
      </c>
      <c r="BX148" s="12">
        <f t="shared" si="38"/>
        <v>0</v>
      </c>
      <c r="BY148" s="12">
        <f t="shared" si="39"/>
        <v>5.9253494008788994E-3</v>
      </c>
    </row>
    <row r="149" spans="1:77" x14ac:dyDescent="0.3">
      <c r="A149" s="1">
        <v>46239</v>
      </c>
      <c r="B149" s="8">
        <v>30.06</v>
      </c>
      <c r="C149" s="8">
        <v>98.92</v>
      </c>
      <c r="D149" s="9">
        <v>-3.32612675609288E-4</v>
      </c>
      <c r="E149" s="9">
        <v>0</v>
      </c>
      <c r="F149" s="8">
        <v>0</v>
      </c>
      <c r="G149" s="8">
        <v>0.52300000000000002</v>
      </c>
      <c r="H149" s="8">
        <v>0</v>
      </c>
      <c r="I149" s="8">
        <v>1.8010999999999999</v>
      </c>
      <c r="J149" s="8">
        <v>0</v>
      </c>
      <c r="K149" s="8">
        <v>0</v>
      </c>
      <c r="L149" s="8">
        <v>30.06</v>
      </c>
      <c r="M149" s="8">
        <v>98.92</v>
      </c>
      <c r="N149" s="10">
        <v>3.2907518296739799</v>
      </c>
      <c r="O149" s="10">
        <v>3.2936632097661298</v>
      </c>
      <c r="P149" s="10">
        <v>3.2918390481200199</v>
      </c>
      <c r="Q149" s="10">
        <v>3.29168937118052</v>
      </c>
      <c r="R149" s="8">
        <v>99.007516085569904</v>
      </c>
      <c r="S149" s="8">
        <v>98.952809403636294</v>
      </c>
      <c r="T149" s="8">
        <v>98.949152915911696</v>
      </c>
      <c r="U149" s="9">
        <v>8.8432465585460297E-4</v>
      </c>
      <c r="V149" s="9">
        <v>3.3162114629009802E-4</v>
      </c>
      <c r="W149" s="9">
        <v>2.9466863018346497E-4</v>
      </c>
      <c r="X149" s="10">
        <v>3.2907518296739799</v>
      </c>
      <c r="Y149" s="10">
        <v>3.2927332496881698</v>
      </c>
      <c r="Z149" s="10">
        <v>3.2918390481200199</v>
      </c>
      <c r="AA149" s="10">
        <v>3.29168937118052</v>
      </c>
      <c r="AB149" s="8">
        <v>98.979561485626604</v>
      </c>
      <c r="AC149" s="8">
        <v>98.952809403636294</v>
      </c>
      <c r="AD149" s="8">
        <v>98.949152915911696</v>
      </c>
      <c r="AE149" s="9">
        <v>6.0193652757899196E-4</v>
      </c>
      <c r="AF149" s="9">
        <v>3.3162114629009802E-4</v>
      </c>
      <c r="AG149" s="9">
        <v>2.9466863018346497E-4</v>
      </c>
      <c r="AZ149" s="9"/>
      <c r="BB149">
        <f t="shared" si="22"/>
        <v>0</v>
      </c>
      <c r="BC149">
        <f t="shared" si="23"/>
        <v>1</v>
      </c>
      <c r="BD149">
        <f t="shared" si="24"/>
        <v>0</v>
      </c>
      <c r="BE149">
        <f t="shared" si="20"/>
        <v>1</v>
      </c>
      <c r="BF149">
        <f t="shared" si="25"/>
        <v>0</v>
      </c>
      <c r="BG149" s="9">
        <f t="shared" si="26"/>
        <v>0</v>
      </c>
      <c r="BH149" s="9">
        <f t="shared" si="27"/>
        <v>0</v>
      </c>
      <c r="BI149" s="9">
        <f t="shared" si="28"/>
        <v>0</v>
      </c>
      <c r="BJ149" s="12">
        <f t="shared" si="29"/>
        <v>5.9253494008788994E-3</v>
      </c>
      <c r="BL149" s="9"/>
      <c r="BN149">
        <f t="shared" si="30"/>
        <v>0</v>
      </c>
      <c r="BO149">
        <f t="shared" si="31"/>
        <v>0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0</v>
      </c>
      <c r="BX149" s="12">
        <f t="shared" si="38"/>
        <v>0</v>
      </c>
      <c r="BY149" s="12">
        <f t="shared" si="39"/>
        <v>5.9253494008788994E-3</v>
      </c>
    </row>
    <row r="150" spans="1:77" x14ac:dyDescent="0.3">
      <c r="A150" s="1">
        <v>46240</v>
      </c>
      <c r="B150" s="8">
        <v>29.8</v>
      </c>
      <c r="C150" s="8">
        <v>98.04</v>
      </c>
      <c r="D150" s="9">
        <v>-8.6869908134695594E-3</v>
      </c>
      <c r="E150" s="9">
        <v>-8.9358839933036307E-3</v>
      </c>
      <c r="F150" s="8">
        <v>0</v>
      </c>
      <c r="G150" s="8">
        <v>0.52300000000000002</v>
      </c>
      <c r="H150" s="8">
        <v>0</v>
      </c>
      <c r="I150" s="8">
        <v>1.8010999999999999</v>
      </c>
      <c r="J150" s="8">
        <v>0</v>
      </c>
      <c r="K150" s="8">
        <v>0</v>
      </c>
      <c r="L150" s="8">
        <v>29.8</v>
      </c>
      <c r="M150" s="8">
        <v>98.04</v>
      </c>
      <c r="N150" s="10">
        <v>3.2899328859060399</v>
      </c>
      <c r="O150" s="10">
        <v>3.2936632097661298</v>
      </c>
      <c r="P150" s="10">
        <v>3.2915363740813199</v>
      </c>
      <c r="Q150" s="10">
        <v>3.2915708917050499</v>
      </c>
      <c r="R150" s="8">
        <v>98.1511636510307</v>
      </c>
      <c r="S150" s="8">
        <v>98.096803633976606</v>
      </c>
      <c r="T150" s="8">
        <v>98.092343261179593</v>
      </c>
      <c r="U150" s="9">
        <v>1.1332178356888299E-3</v>
      </c>
      <c r="V150" s="9">
        <v>5.7922464843211696E-4</v>
      </c>
      <c r="W150" s="9">
        <v>5.3375452056515804E-4</v>
      </c>
      <c r="X150" s="10">
        <v>3.2899328859060399</v>
      </c>
      <c r="Y150" s="10">
        <v>3.2927332496881698</v>
      </c>
      <c r="Z150" s="10">
        <v>3.2915363740813199</v>
      </c>
      <c r="AA150" s="10">
        <v>3.2915708917050499</v>
      </c>
      <c r="AB150" s="8">
        <v>98.123450840707704</v>
      </c>
      <c r="AC150" s="8">
        <v>98.096803633976606</v>
      </c>
      <c r="AD150" s="8">
        <v>98.092343261179593</v>
      </c>
      <c r="AE150" s="9">
        <v>8.5082970741306096E-4</v>
      </c>
      <c r="AF150" s="9">
        <v>5.7922464843211696E-4</v>
      </c>
      <c r="AG150" s="9">
        <v>5.3375452056515804E-4</v>
      </c>
      <c r="AZ150" s="9"/>
      <c r="BB150">
        <f t="shared" si="22"/>
        <v>0</v>
      </c>
      <c r="BC150">
        <f t="shared" si="23"/>
        <v>1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5.9253494008788994E-3</v>
      </c>
      <c r="BL150" s="9"/>
      <c r="BN150">
        <f t="shared" si="30"/>
        <v>0</v>
      </c>
      <c r="BO150">
        <f t="shared" si="31"/>
        <v>0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0</v>
      </c>
      <c r="BX150" s="12">
        <f t="shared" si="38"/>
        <v>0</v>
      </c>
      <c r="BY150" s="12">
        <f t="shared" si="39"/>
        <v>5.9253494008788994E-3</v>
      </c>
    </row>
    <row r="151" spans="1:77" x14ac:dyDescent="0.3">
      <c r="A151" s="1">
        <v>46241</v>
      </c>
      <c r="B151" s="8">
        <v>29.91</v>
      </c>
      <c r="C151" s="8">
        <v>98.43</v>
      </c>
      <c r="D151" s="9">
        <v>3.6844791304977598E-3</v>
      </c>
      <c r="E151" s="9">
        <v>3.9700769812081602E-3</v>
      </c>
      <c r="F151" s="8">
        <v>0</v>
      </c>
      <c r="G151" s="8">
        <v>0.52300000000000002</v>
      </c>
      <c r="H151" s="8">
        <v>0</v>
      </c>
      <c r="I151" s="8">
        <v>1.8010999999999999</v>
      </c>
      <c r="J151" s="8">
        <v>0</v>
      </c>
      <c r="K151" s="8">
        <v>0</v>
      </c>
      <c r="L151" s="8">
        <v>29.91</v>
      </c>
      <c r="M151" s="8">
        <v>98.43</v>
      </c>
      <c r="N151" s="10">
        <v>3.2908726178535601</v>
      </c>
      <c r="O151" s="10">
        <v>3.2936632097661298</v>
      </c>
      <c r="P151" s="10">
        <v>3.29107149464406</v>
      </c>
      <c r="Q151" s="10">
        <v>3.2914444718363098</v>
      </c>
      <c r="R151" s="8">
        <v>98.513466604105005</v>
      </c>
      <c r="S151" s="8">
        <v>98.449852948772502</v>
      </c>
      <c r="T151" s="8">
        <v>98.450885370898305</v>
      </c>
      <c r="U151" s="9">
        <v>8.4761998497831297E-4</v>
      </c>
      <c r="V151" s="9">
        <v>2.0167577883149299E-4</v>
      </c>
      <c r="W151" s="9">
        <v>2.1216250564185801E-4</v>
      </c>
      <c r="X151" s="10">
        <v>3.2908726178535601</v>
      </c>
      <c r="Y151" s="10">
        <v>3.2927332496881698</v>
      </c>
      <c r="Z151" s="10">
        <v>3.29107149464406</v>
      </c>
      <c r="AA151" s="10">
        <v>3.2914444718363098</v>
      </c>
      <c r="AB151" s="8">
        <v>98.485651498173397</v>
      </c>
      <c r="AC151" s="8">
        <v>98.449852948772502</v>
      </c>
      <c r="AD151" s="8">
        <v>98.450885370898305</v>
      </c>
      <c r="AE151" s="9">
        <v>5.6523185670276799E-4</v>
      </c>
      <c r="AF151" s="9">
        <v>2.0167577883149299E-4</v>
      </c>
      <c r="AG151" s="9">
        <v>2.1216250564185801E-4</v>
      </c>
      <c r="AZ151" s="9"/>
      <c r="BB151">
        <f t="shared" ref="BB151:BB167" si="42">IF($AG151&lt;BA$20,1,0)</f>
        <v>0</v>
      </c>
      <c r="BC151">
        <f t="shared" ref="BC151:BC167" si="43">IF($AG151&gt;BA$21,1,0)</f>
        <v>1</v>
      </c>
      <c r="BD151">
        <f t="shared" ref="BD151:BD167" si="44">BF151</f>
        <v>0</v>
      </c>
      <c r="BE151">
        <f t="shared" si="40"/>
        <v>1</v>
      </c>
      <c r="BF151">
        <f t="shared" ref="BF151:BF167" si="45">IF(BB150,1,IF(BC150,0,BD150))*BE150</f>
        <v>0</v>
      </c>
      <c r="BG151" s="9">
        <f t="shared" ref="BG151:BG167" si="46">BF151*D151</f>
        <v>0</v>
      </c>
      <c r="BH151" s="9">
        <f t="shared" ref="BH151:BH167" si="47">-BF151*$E151</f>
        <v>0</v>
      </c>
      <c r="BI151" s="9">
        <f t="shared" ref="BI151:BI167" si="48">BG151+BH151</f>
        <v>0</v>
      </c>
      <c r="BJ151" s="12">
        <f t="shared" ref="BJ151:BJ167" si="49">BJ150+BI151</f>
        <v>5.9253494008788994E-3</v>
      </c>
      <c r="BL151" s="9"/>
      <c r="BN151">
        <f t="shared" ref="BN151:BN167" si="50">IF($AG151&gt;BM$20,1,0)</f>
        <v>0</v>
      </c>
      <c r="BO151">
        <f t="shared" ref="BO151:BO167" si="51">IF($AG151&lt;BM$21,1,0)</f>
        <v>0</v>
      </c>
      <c r="BP151">
        <f t="shared" ref="BP151:BP167" si="52">BR151</f>
        <v>0</v>
      </c>
      <c r="BQ151">
        <f t="shared" si="41"/>
        <v>1</v>
      </c>
      <c r="BR151">
        <f t="shared" ref="BR151:BR167" si="53">IF(BN150,1,IF(BO150,0,BP150))*BQ150</f>
        <v>0</v>
      </c>
      <c r="BS151" s="9">
        <f t="shared" ref="BS151:BS167" si="54">-BR151*D151</f>
        <v>0</v>
      </c>
      <c r="BT151" s="9">
        <f t="shared" ref="BT151:BT167" si="55">BR151*$E151</f>
        <v>0</v>
      </c>
      <c r="BU151" s="9">
        <f t="shared" ref="BU151:BU167" si="56">BS151+BT151</f>
        <v>0</v>
      </c>
      <c r="BV151" s="12">
        <f t="shared" ref="BV151:BV167" si="57">BV150+BU151</f>
        <v>0</v>
      </c>
      <c r="BX151" s="12">
        <f t="shared" ref="BX151:BX167" si="58">BI151+BU151</f>
        <v>0</v>
      </c>
      <c r="BY151" s="12">
        <f t="shared" ref="BY151:BY167" si="59">BY150+BX151</f>
        <v>5.9253494008788994E-3</v>
      </c>
    </row>
    <row r="152" spans="1:77" x14ac:dyDescent="0.3">
      <c r="A152" s="1">
        <v>46244</v>
      </c>
      <c r="B152" s="8">
        <v>29.48</v>
      </c>
      <c r="C152" s="8">
        <v>97.11</v>
      </c>
      <c r="D152" s="9">
        <v>-1.44808053207208E-2</v>
      </c>
      <c r="E152" s="9">
        <v>-1.3501279034857301E-2</v>
      </c>
      <c r="F152" s="8">
        <v>0</v>
      </c>
      <c r="G152" s="8">
        <v>0.52300000000000002</v>
      </c>
      <c r="H152" s="8">
        <v>0</v>
      </c>
      <c r="I152" s="8">
        <v>1.8010999999999999</v>
      </c>
      <c r="J152" s="8">
        <v>0</v>
      </c>
      <c r="K152" s="8">
        <v>0</v>
      </c>
      <c r="L152" s="8">
        <v>29.48</v>
      </c>
      <c r="M152" s="8">
        <v>97.11</v>
      </c>
      <c r="N152" s="10">
        <v>3.2940976933514201</v>
      </c>
      <c r="O152" s="10">
        <v>3.2936632097661298</v>
      </c>
      <c r="P152" s="10">
        <v>3.2911658365307899</v>
      </c>
      <c r="Q152" s="10">
        <v>3.2915078216671301</v>
      </c>
      <c r="R152" s="8">
        <v>97.0971914239055</v>
      </c>
      <c r="S152" s="8">
        <v>97.020787662106997</v>
      </c>
      <c r="T152" s="8">
        <v>97.031783029734498</v>
      </c>
      <c r="U152" s="9">
        <v>-1.3190630088506501E-4</v>
      </c>
      <c r="V152" s="9">
        <v>-9.19095268168893E-4</v>
      </c>
      <c r="W152" s="9">
        <v>-8.0577167137089903E-4</v>
      </c>
      <c r="X152" s="10">
        <v>3.2940976933514201</v>
      </c>
      <c r="Y152" s="10">
        <v>3.2927332496881698</v>
      </c>
      <c r="Z152" s="10">
        <v>3.2911658365307899</v>
      </c>
      <c r="AA152" s="10">
        <v>3.2915078216671301</v>
      </c>
      <c r="AB152" s="8">
        <v>97.069776200807496</v>
      </c>
      <c r="AC152" s="8">
        <v>97.020787662106997</v>
      </c>
      <c r="AD152" s="8">
        <v>97.031783029734498</v>
      </c>
      <c r="AE152" s="9">
        <v>-4.1429442916077799E-4</v>
      </c>
      <c r="AF152" s="9">
        <v>-9.19095268168893E-4</v>
      </c>
      <c r="AG152" s="9">
        <v>-8.0577167137089903E-4</v>
      </c>
      <c r="AZ152" s="9"/>
      <c r="BB152">
        <f t="shared" si="42"/>
        <v>0</v>
      </c>
      <c r="BC152">
        <f t="shared" si="43"/>
        <v>0</v>
      </c>
      <c r="BD152">
        <f t="shared" si="44"/>
        <v>0</v>
      </c>
      <c r="BE152">
        <f t="shared" si="40"/>
        <v>1</v>
      </c>
      <c r="BF152">
        <f t="shared" si="45"/>
        <v>0</v>
      </c>
      <c r="BG152" s="9">
        <f t="shared" si="46"/>
        <v>0</v>
      </c>
      <c r="BH152" s="9">
        <f t="shared" si="47"/>
        <v>0</v>
      </c>
      <c r="BI152" s="9">
        <f t="shared" si="48"/>
        <v>0</v>
      </c>
      <c r="BJ152" s="12">
        <f t="shared" si="49"/>
        <v>5.9253494008788994E-3</v>
      </c>
      <c r="BL152" s="9"/>
      <c r="BN152">
        <f t="shared" si="50"/>
        <v>0</v>
      </c>
      <c r="BO152">
        <f t="shared" si="51"/>
        <v>1</v>
      </c>
      <c r="BP152">
        <f t="shared" si="52"/>
        <v>0</v>
      </c>
      <c r="BQ152">
        <f t="shared" si="41"/>
        <v>1</v>
      </c>
      <c r="BR152">
        <f t="shared" si="53"/>
        <v>0</v>
      </c>
      <c r="BS152" s="9">
        <f t="shared" si="54"/>
        <v>0</v>
      </c>
      <c r="BT152" s="9">
        <f t="shared" si="55"/>
        <v>0</v>
      </c>
      <c r="BU152" s="9">
        <f t="shared" si="56"/>
        <v>0</v>
      </c>
      <c r="BV152" s="12">
        <f t="shared" si="57"/>
        <v>0</v>
      </c>
      <c r="BX152" s="12">
        <f t="shared" si="58"/>
        <v>0</v>
      </c>
      <c r="BY152" s="12">
        <f t="shared" si="59"/>
        <v>5.9253494008788994E-3</v>
      </c>
    </row>
    <row r="153" spans="1:77" x14ac:dyDescent="0.3">
      <c r="A153" s="1">
        <v>46245</v>
      </c>
      <c r="B153" s="8">
        <v>29.29</v>
      </c>
      <c r="C153" s="8">
        <v>96.38</v>
      </c>
      <c r="D153" s="9">
        <v>-6.4659064814937897E-3</v>
      </c>
      <c r="E153" s="9">
        <v>-7.5456453940759899E-3</v>
      </c>
      <c r="F153" s="8">
        <v>0</v>
      </c>
      <c r="G153" s="8">
        <v>0.52300000000000002</v>
      </c>
      <c r="H153" s="8">
        <v>0</v>
      </c>
      <c r="I153" s="8">
        <v>1.8010999999999999</v>
      </c>
      <c r="J153" s="8">
        <v>0</v>
      </c>
      <c r="K153" s="8">
        <v>0</v>
      </c>
      <c r="L153" s="8">
        <v>29.29</v>
      </c>
      <c r="M153" s="8">
        <v>96.38</v>
      </c>
      <c r="N153" s="10">
        <v>3.2905428473881799</v>
      </c>
      <c r="O153" s="10">
        <v>3.2936632097661298</v>
      </c>
      <c r="P153" s="10">
        <v>3.2909637611913301</v>
      </c>
      <c r="Q153" s="10">
        <v>3.2914431961552899</v>
      </c>
      <c r="R153" s="8">
        <v>96.471395414049994</v>
      </c>
      <c r="S153" s="8">
        <v>96.398247351986896</v>
      </c>
      <c r="T153" s="8">
        <v>96.408264096630205</v>
      </c>
      <c r="U153" s="9">
        <v>9.4783261169725905E-4</v>
      </c>
      <c r="V153" s="9">
        <v>1.8930924305121701E-4</v>
      </c>
      <c r="W153" s="9">
        <v>2.9321387341906202E-4</v>
      </c>
      <c r="X153" s="10">
        <v>3.2905428473881799</v>
      </c>
      <c r="Y153" s="10">
        <v>3.2927332496881698</v>
      </c>
      <c r="Z153" s="10">
        <v>3.2909637611913301</v>
      </c>
      <c r="AA153" s="10">
        <v>3.2914431961552899</v>
      </c>
      <c r="AB153" s="8">
        <v>96.444156883366702</v>
      </c>
      <c r="AC153" s="8">
        <v>96.398247351986896</v>
      </c>
      <c r="AD153" s="8">
        <v>96.408264096630205</v>
      </c>
      <c r="AE153" s="9">
        <v>6.6544448342154602E-4</v>
      </c>
      <c r="AF153" s="9">
        <v>1.8930924305121701E-4</v>
      </c>
      <c r="AG153" s="9">
        <v>2.9321387341906202E-4</v>
      </c>
      <c r="AZ153" s="9"/>
      <c r="BB153">
        <f t="shared" si="42"/>
        <v>0</v>
      </c>
      <c r="BC153">
        <f t="shared" si="43"/>
        <v>1</v>
      </c>
      <c r="BD153">
        <f t="shared" si="44"/>
        <v>0</v>
      </c>
      <c r="BE153">
        <f t="shared" si="40"/>
        <v>1</v>
      </c>
      <c r="BF153">
        <f t="shared" si="45"/>
        <v>0</v>
      </c>
      <c r="BG153" s="9">
        <f t="shared" si="46"/>
        <v>0</v>
      </c>
      <c r="BH153" s="9">
        <f t="shared" si="47"/>
        <v>0</v>
      </c>
      <c r="BI153" s="9">
        <f t="shared" si="48"/>
        <v>0</v>
      </c>
      <c r="BJ153" s="12">
        <f t="shared" si="49"/>
        <v>5.9253494008788994E-3</v>
      </c>
      <c r="BL153" s="9"/>
      <c r="BN153">
        <f t="shared" si="50"/>
        <v>0</v>
      </c>
      <c r="BO153">
        <f t="shared" si="51"/>
        <v>0</v>
      </c>
      <c r="BP153">
        <f t="shared" si="52"/>
        <v>0</v>
      </c>
      <c r="BQ153">
        <f t="shared" si="41"/>
        <v>1</v>
      </c>
      <c r="BR153">
        <f t="shared" si="53"/>
        <v>0</v>
      </c>
      <c r="BS153" s="9">
        <f t="shared" si="54"/>
        <v>0</v>
      </c>
      <c r="BT153" s="9">
        <f t="shared" si="55"/>
        <v>0</v>
      </c>
      <c r="BU153" s="9">
        <f t="shared" si="56"/>
        <v>0</v>
      </c>
      <c r="BV153" s="12">
        <f t="shared" si="57"/>
        <v>0</v>
      </c>
      <c r="BX153" s="12">
        <f t="shared" si="58"/>
        <v>0</v>
      </c>
      <c r="BY153" s="12">
        <f t="shared" si="59"/>
        <v>5.9253494008788994E-3</v>
      </c>
    </row>
    <row r="154" spans="1:77" x14ac:dyDescent="0.3">
      <c r="A154" s="1">
        <v>46246</v>
      </c>
      <c r="B154" s="8">
        <v>29.54</v>
      </c>
      <c r="C154" s="8">
        <v>97.31</v>
      </c>
      <c r="D154" s="9">
        <v>8.4991162635917206E-3</v>
      </c>
      <c r="E154" s="9">
        <v>9.6030476217110507E-3</v>
      </c>
      <c r="F154" s="8">
        <v>0</v>
      </c>
      <c r="G154" s="8">
        <v>0.52300000000000002</v>
      </c>
      <c r="H154" s="8">
        <v>0</v>
      </c>
      <c r="I154" s="8">
        <v>1.8010999999999999</v>
      </c>
      <c r="J154" s="8">
        <v>0</v>
      </c>
      <c r="K154" s="8">
        <v>0</v>
      </c>
      <c r="L154" s="8">
        <v>29.54</v>
      </c>
      <c r="M154" s="8">
        <v>97.31</v>
      </c>
      <c r="N154" s="10">
        <v>3.2941773865944399</v>
      </c>
      <c r="O154" s="10">
        <v>3.2936632097661298</v>
      </c>
      <c r="P154" s="10">
        <v>3.2915347177534202</v>
      </c>
      <c r="Q154" s="10">
        <v>3.2915708344053001</v>
      </c>
      <c r="R154" s="8">
        <v>97.294811216491496</v>
      </c>
      <c r="S154" s="8">
        <v>97.215069505591998</v>
      </c>
      <c r="T154" s="8">
        <v>97.229232014427495</v>
      </c>
      <c r="U154" s="9">
        <v>-1.56098746422143E-4</v>
      </c>
      <c r="V154" s="9">
        <v>-9.7602331859160201E-4</v>
      </c>
      <c r="W154" s="9">
        <v>-8.3035169180876696E-4</v>
      </c>
      <c r="X154" s="10">
        <v>3.2941773865944399</v>
      </c>
      <c r="Y154" s="10">
        <v>3.2927332496881698</v>
      </c>
      <c r="Z154" s="10">
        <v>3.2915347177534202</v>
      </c>
      <c r="AA154" s="10">
        <v>3.2915708344053001</v>
      </c>
      <c r="AB154" s="8">
        <v>97.267340195788705</v>
      </c>
      <c r="AC154" s="8">
        <v>97.215069505591998</v>
      </c>
      <c r="AD154" s="8">
        <v>97.229232014427495</v>
      </c>
      <c r="AE154" s="9">
        <v>-4.3848687469796302E-4</v>
      </c>
      <c r="AF154" s="9">
        <v>-9.7602331859137996E-4</v>
      </c>
      <c r="AG154" s="9">
        <v>-8.3035169180876696E-4</v>
      </c>
      <c r="AZ154" s="9"/>
      <c r="BB154">
        <f t="shared" si="42"/>
        <v>0</v>
      </c>
      <c r="BC154">
        <f t="shared" si="43"/>
        <v>0</v>
      </c>
      <c r="BD154">
        <f t="shared" si="44"/>
        <v>0</v>
      </c>
      <c r="BE154">
        <f t="shared" si="40"/>
        <v>1</v>
      </c>
      <c r="BF154">
        <f t="shared" si="45"/>
        <v>0</v>
      </c>
      <c r="BG154" s="9">
        <f t="shared" si="46"/>
        <v>0</v>
      </c>
      <c r="BH154" s="9">
        <f t="shared" si="47"/>
        <v>0</v>
      </c>
      <c r="BI154" s="9">
        <f t="shared" si="48"/>
        <v>0</v>
      </c>
      <c r="BJ154" s="12">
        <f t="shared" si="49"/>
        <v>5.9253494008788994E-3</v>
      </c>
      <c r="BL154" s="9"/>
      <c r="BN154">
        <f t="shared" si="50"/>
        <v>0</v>
      </c>
      <c r="BO154">
        <f t="shared" si="51"/>
        <v>1</v>
      </c>
      <c r="BP154">
        <f t="shared" si="52"/>
        <v>0</v>
      </c>
      <c r="BQ154">
        <f t="shared" si="41"/>
        <v>1</v>
      </c>
      <c r="BR154">
        <f t="shared" si="53"/>
        <v>0</v>
      </c>
      <c r="BS154" s="9">
        <f t="shared" si="54"/>
        <v>0</v>
      </c>
      <c r="BT154" s="9">
        <f t="shared" si="55"/>
        <v>0</v>
      </c>
      <c r="BU154" s="9">
        <f t="shared" si="56"/>
        <v>0</v>
      </c>
      <c r="BV154" s="12">
        <f t="shared" si="57"/>
        <v>0</v>
      </c>
      <c r="BX154" s="12">
        <f t="shared" si="58"/>
        <v>0</v>
      </c>
      <c r="BY154" s="12">
        <f t="shared" si="59"/>
        <v>5.9253494008788994E-3</v>
      </c>
    </row>
    <row r="155" spans="1:77" x14ac:dyDescent="0.3">
      <c r="A155" s="1">
        <v>46247</v>
      </c>
      <c r="B155" s="8">
        <v>29.93</v>
      </c>
      <c r="C155" s="8">
        <v>98.58</v>
      </c>
      <c r="D155" s="9">
        <v>1.3116044761373799E-2</v>
      </c>
      <c r="E155" s="9">
        <v>1.2966642443334E-2</v>
      </c>
      <c r="F155" s="8">
        <v>0</v>
      </c>
      <c r="G155" s="8">
        <v>0.52300000000000002</v>
      </c>
      <c r="H155" s="8">
        <v>0</v>
      </c>
      <c r="I155" s="8">
        <v>1.8010999999999999</v>
      </c>
      <c r="J155" s="8">
        <v>0</v>
      </c>
      <c r="K155" s="8">
        <v>0</v>
      </c>
      <c r="L155" s="8">
        <v>29.93</v>
      </c>
      <c r="M155" s="8">
        <v>98.58</v>
      </c>
      <c r="N155" s="10">
        <v>3.2936852656197702</v>
      </c>
      <c r="O155" s="10">
        <v>3.2936632097661298</v>
      </c>
      <c r="P155" s="10">
        <v>3.2919019215640799</v>
      </c>
      <c r="Q155" s="10">
        <v>3.2917204051509401</v>
      </c>
      <c r="R155" s="8">
        <v>98.579339868300295</v>
      </c>
      <c r="S155" s="8">
        <v>98.515634102359996</v>
      </c>
      <c r="T155" s="8">
        <v>98.516715073750703</v>
      </c>
      <c r="U155" s="9">
        <v>-6.6964283823193304E-6</v>
      </c>
      <c r="V155" s="9">
        <v>-6.5314384279783295E-4</v>
      </c>
      <c r="W155" s="9">
        <v>-6.4217131574611803E-4</v>
      </c>
      <c r="X155" s="10">
        <v>3.2936852656197702</v>
      </c>
      <c r="Y155" s="10">
        <v>3.2927332496881698</v>
      </c>
      <c r="Z155" s="10">
        <v>3.2919019215640799</v>
      </c>
      <c r="AA155" s="10">
        <v>3.2917204051509401</v>
      </c>
      <c r="AB155" s="8">
        <v>98.551506163167105</v>
      </c>
      <c r="AC155" s="8">
        <v>98.515634102359996</v>
      </c>
      <c r="AD155" s="8">
        <v>98.516715073750703</v>
      </c>
      <c r="AE155" s="9">
        <v>-2.8908455665809901E-4</v>
      </c>
      <c r="AF155" s="9">
        <v>-6.5314384279783295E-4</v>
      </c>
      <c r="AG155" s="9">
        <v>-6.4217131574611803E-4</v>
      </c>
      <c r="AZ155" s="9"/>
      <c r="BB155">
        <f t="shared" si="42"/>
        <v>0</v>
      </c>
      <c r="BC155">
        <f t="shared" si="43"/>
        <v>0</v>
      </c>
      <c r="BD155">
        <f t="shared" si="44"/>
        <v>0</v>
      </c>
      <c r="BE155">
        <f t="shared" si="40"/>
        <v>1</v>
      </c>
      <c r="BF155">
        <f t="shared" si="45"/>
        <v>0</v>
      </c>
      <c r="BG155" s="9">
        <f t="shared" si="46"/>
        <v>0</v>
      </c>
      <c r="BH155" s="9">
        <f t="shared" si="47"/>
        <v>0</v>
      </c>
      <c r="BI155" s="9">
        <f t="shared" si="48"/>
        <v>0</v>
      </c>
      <c r="BJ155" s="12">
        <f t="shared" si="49"/>
        <v>5.9253494008788994E-3</v>
      </c>
      <c r="BL155" s="9"/>
      <c r="BN155">
        <f t="shared" si="50"/>
        <v>0</v>
      </c>
      <c r="BO155">
        <f t="shared" si="51"/>
        <v>1</v>
      </c>
      <c r="BP155">
        <f t="shared" si="52"/>
        <v>0</v>
      </c>
      <c r="BQ155">
        <f t="shared" si="41"/>
        <v>1</v>
      </c>
      <c r="BR155">
        <f t="shared" si="53"/>
        <v>0</v>
      </c>
      <c r="BS155" s="9">
        <f t="shared" si="54"/>
        <v>0</v>
      </c>
      <c r="BT155" s="9">
        <f t="shared" si="55"/>
        <v>0</v>
      </c>
      <c r="BU155" s="9">
        <f t="shared" si="56"/>
        <v>0</v>
      </c>
      <c r="BV155" s="12">
        <f t="shared" si="57"/>
        <v>0</v>
      </c>
      <c r="BX155" s="12">
        <f t="shared" si="58"/>
        <v>0</v>
      </c>
      <c r="BY155" s="12">
        <f t="shared" si="59"/>
        <v>5.9253494008788994E-3</v>
      </c>
    </row>
    <row r="156" spans="1:77" x14ac:dyDescent="0.3">
      <c r="A156" s="1">
        <v>46248</v>
      </c>
      <c r="B156" s="8">
        <v>30.01</v>
      </c>
      <c r="C156" s="8">
        <v>98.83</v>
      </c>
      <c r="D156" s="9">
        <v>2.6693375876682798E-3</v>
      </c>
      <c r="E156" s="9">
        <v>2.5328011108607701E-3</v>
      </c>
      <c r="F156" s="8">
        <v>0</v>
      </c>
      <c r="G156" s="8">
        <v>0.52300000000000002</v>
      </c>
      <c r="H156" s="8">
        <v>0</v>
      </c>
      <c r="I156" s="8">
        <v>1.8010999999999999</v>
      </c>
      <c r="J156" s="8">
        <v>0</v>
      </c>
      <c r="K156" s="8">
        <v>0</v>
      </c>
      <c r="L156" s="8">
        <v>30.01</v>
      </c>
      <c r="M156" s="8">
        <v>98.83</v>
      </c>
      <c r="N156" s="10">
        <v>3.2932355881372799</v>
      </c>
      <c r="O156" s="10">
        <v>3.2936632097661298</v>
      </c>
      <c r="P156" s="10">
        <v>3.2919409545874601</v>
      </c>
      <c r="Q156" s="10">
        <v>3.2919297018218598</v>
      </c>
      <c r="R156" s="8">
        <v>98.842832925081595</v>
      </c>
      <c r="S156" s="8">
        <v>98.789976666138102</v>
      </c>
      <c r="T156" s="8">
        <v>98.784529358579803</v>
      </c>
      <c r="U156" s="9">
        <v>1.29840048425093E-4</v>
      </c>
      <c r="V156" s="9">
        <v>-4.0505352833556302E-4</v>
      </c>
      <c r="W156" s="9">
        <v>-4.60195334525861E-4</v>
      </c>
      <c r="X156" s="10">
        <v>3.2932355881372799</v>
      </c>
      <c r="Y156" s="10">
        <v>3.2927332496881698</v>
      </c>
      <c r="Z156" s="10">
        <v>3.2919409545874601</v>
      </c>
      <c r="AA156" s="10">
        <v>3.2919297018218598</v>
      </c>
      <c r="AB156" s="8">
        <v>98.814924823142206</v>
      </c>
      <c r="AC156" s="8">
        <v>98.789976666138003</v>
      </c>
      <c r="AD156" s="8">
        <v>98.784529358579704</v>
      </c>
      <c r="AE156" s="9">
        <v>-1.52548079850619E-4</v>
      </c>
      <c r="AF156" s="9">
        <v>-4.0505352833589597E-4</v>
      </c>
      <c r="AG156" s="9">
        <v>-4.6019533452608299E-4</v>
      </c>
      <c r="AZ156" s="9"/>
      <c r="BB156">
        <f t="shared" si="42"/>
        <v>0</v>
      </c>
      <c r="BC156">
        <f t="shared" si="43"/>
        <v>0</v>
      </c>
      <c r="BD156">
        <f t="shared" si="44"/>
        <v>0</v>
      </c>
      <c r="BE156">
        <f t="shared" si="40"/>
        <v>1</v>
      </c>
      <c r="BF156">
        <f t="shared" si="45"/>
        <v>0</v>
      </c>
      <c r="BG156" s="9">
        <f t="shared" si="46"/>
        <v>0</v>
      </c>
      <c r="BH156" s="9">
        <f t="shared" si="47"/>
        <v>0</v>
      </c>
      <c r="BI156" s="9">
        <f t="shared" si="48"/>
        <v>0</v>
      </c>
      <c r="BJ156" s="12">
        <f t="shared" si="49"/>
        <v>5.9253494008788994E-3</v>
      </c>
      <c r="BL156" s="9"/>
      <c r="BN156">
        <f t="shared" si="50"/>
        <v>0</v>
      </c>
      <c r="BO156">
        <f t="shared" si="51"/>
        <v>1</v>
      </c>
      <c r="BP156">
        <f t="shared" si="52"/>
        <v>0</v>
      </c>
      <c r="BQ156">
        <f t="shared" si="41"/>
        <v>1</v>
      </c>
      <c r="BR156">
        <f t="shared" si="53"/>
        <v>0</v>
      </c>
      <c r="BS156" s="9">
        <f t="shared" si="54"/>
        <v>0</v>
      </c>
      <c r="BT156" s="9">
        <f t="shared" si="55"/>
        <v>0</v>
      </c>
      <c r="BU156" s="9">
        <f t="shared" si="56"/>
        <v>0</v>
      </c>
      <c r="BV156" s="12">
        <f t="shared" si="57"/>
        <v>0</v>
      </c>
      <c r="BX156" s="12">
        <f t="shared" si="58"/>
        <v>0</v>
      </c>
      <c r="BY156" s="12">
        <f t="shared" si="59"/>
        <v>5.9253494008788994E-3</v>
      </c>
    </row>
    <row r="157" spans="1:77" x14ac:dyDescent="0.3">
      <c r="A157" s="1">
        <v>46251</v>
      </c>
      <c r="B157" s="8">
        <v>29.75</v>
      </c>
      <c r="C157" s="8">
        <v>97.98</v>
      </c>
      <c r="D157" s="9">
        <v>-8.7015274606370204E-3</v>
      </c>
      <c r="E157" s="9">
        <v>-8.6378261776637599E-3</v>
      </c>
      <c r="F157" s="8">
        <v>0</v>
      </c>
      <c r="G157" s="8">
        <v>0.52300000000000002</v>
      </c>
      <c r="H157" s="8">
        <v>0</v>
      </c>
      <c r="I157" s="8">
        <v>1.8010999999999999</v>
      </c>
      <c r="J157" s="8">
        <v>0</v>
      </c>
      <c r="K157" s="8">
        <v>0</v>
      </c>
      <c r="L157" s="8">
        <v>29.75</v>
      </c>
      <c r="M157" s="8">
        <v>97.98</v>
      </c>
      <c r="N157" s="10">
        <v>3.2934453781512598</v>
      </c>
      <c r="O157" s="10">
        <v>3.2936632097661298</v>
      </c>
      <c r="P157" s="10">
        <v>3.2920398958588799</v>
      </c>
      <c r="Q157" s="10">
        <v>3.2920089859511301</v>
      </c>
      <c r="R157" s="8">
        <v>97.986480490542405</v>
      </c>
      <c r="S157" s="8">
        <v>97.935243398976894</v>
      </c>
      <c r="T157" s="8">
        <v>97.934908629200393</v>
      </c>
      <c r="U157" s="9">
        <v>6.61387654517359E-5</v>
      </c>
      <c r="V157" s="9">
        <v>-4.5689759535957701E-4</v>
      </c>
      <c r="W157" s="9">
        <v>-4.6031587806378898E-4</v>
      </c>
      <c r="X157" s="10">
        <v>3.2934453781512598</v>
      </c>
      <c r="Y157" s="10">
        <v>3.2927332496881698</v>
      </c>
      <c r="Z157" s="10">
        <v>3.2920398958588799</v>
      </c>
      <c r="AA157" s="10">
        <v>3.2920089859511301</v>
      </c>
      <c r="AB157" s="8">
        <v>97.958814178223307</v>
      </c>
      <c r="AC157" s="8">
        <v>97.935243398976894</v>
      </c>
      <c r="AD157" s="8">
        <v>97.934908629200393</v>
      </c>
      <c r="AE157" s="9">
        <v>-2.1624936282394801E-4</v>
      </c>
      <c r="AF157" s="9">
        <v>-4.5689759535957701E-4</v>
      </c>
      <c r="AG157" s="9">
        <v>-4.6031587806378898E-4</v>
      </c>
      <c r="BB157">
        <f t="shared" si="42"/>
        <v>0</v>
      </c>
      <c r="BC157">
        <f t="shared" si="43"/>
        <v>0</v>
      </c>
      <c r="BD157">
        <f t="shared" si="44"/>
        <v>0</v>
      </c>
      <c r="BE157">
        <f t="shared" si="40"/>
        <v>1</v>
      </c>
      <c r="BF157">
        <f t="shared" si="45"/>
        <v>0</v>
      </c>
      <c r="BG157" s="9">
        <f t="shared" si="46"/>
        <v>0</v>
      </c>
      <c r="BH157" s="9">
        <f t="shared" si="47"/>
        <v>0</v>
      </c>
      <c r="BI157" s="9">
        <f t="shared" si="48"/>
        <v>0</v>
      </c>
      <c r="BJ157" s="12">
        <f t="shared" si="49"/>
        <v>5.9253494008788994E-3</v>
      </c>
      <c r="BL157" s="9"/>
      <c r="BN157">
        <f t="shared" si="50"/>
        <v>0</v>
      </c>
      <c r="BO157">
        <f t="shared" si="51"/>
        <v>1</v>
      </c>
      <c r="BP157">
        <f t="shared" si="52"/>
        <v>0</v>
      </c>
      <c r="BQ157">
        <f t="shared" si="41"/>
        <v>1</v>
      </c>
      <c r="BR157">
        <f t="shared" si="53"/>
        <v>0</v>
      </c>
      <c r="BS157" s="9">
        <f t="shared" si="54"/>
        <v>0</v>
      </c>
      <c r="BT157" s="9">
        <f t="shared" si="55"/>
        <v>0</v>
      </c>
      <c r="BU157" s="9">
        <f t="shared" si="56"/>
        <v>0</v>
      </c>
      <c r="BV157" s="12">
        <f t="shared" si="57"/>
        <v>0</v>
      </c>
      <c r="BX157" s="12">
        <f t="shared" si="58"/>
        <v>0</v>
      </c>
      <c r="BY157" s="12">
        <f t="shared" si="59"/>
        <v>5.9253494008788994E-3</v>
      </c>
    </row>
    <row r="158" spans="1:77" x14ac:dyDescent="0.3">
      <c r="A158" s="1">
        <v>46252</v>
      </c>
      <c r="B158" s="8">
        <v>29.64</v>
      </c>
      <c r="C158" s="8">
        <v>97.62</v>
      </c>
      <c r="D158" s="9">
        <v>-3.70433156375265E-3</v>
      </c>
      <c r="E158" s="9">
        <v>-3.6809857514272801E-3</v>
      </c>
      <c r="F158" s="8">
        <v>0</v>
      </c>
      <c r="G158" s="8">
        <v>0.52300000000000002</v>
      </c>
      <c r="H158" s="8">
        <v>0</v>
      </c>
      <c r="I158" s="8">
        <v>1.8010999999999999</v>
      </c>
      <c r="J158" s="8">
        <v>0</v>
      </c>
      <c r="K158" s="8">
        <v>0</v>
      </c>
      <c r="L158" s="8">
        <v>29.64</v>
      </c>
      <c r="M158" s="8">
        <v>97.62</v>
      </c>
      <c r="N158" s="10">
        <v>3.2935222672064701</v>
      </c>
      <c r="O158" s="10">
        <v>3.2936632097661298</v>
      </c>
      <c r="P158" s="10">
        <v>3.29242637598824</v>
      </c>
      <c r="Q158" s="10">
        <v>3.2921348347611898</v>
      </c>
      <c r="R158" s="8">
        <v>97.6241775374681</v>
      </c>
      <c r="S158" s="8">
        <v>97.576062513257298</v>
      </c>
      <c r="T158" s="8">
        <v>97.575146343591598</v>
      </c>
      <c r="U158" s="9">
        <v>4.2792953126460399E-5</v>
      </c>
      <c r="V158" s="9">
        <v>-4.5018825604379599E-4</v>
      </c>
      <c r="W158" s="9">
        <v>-4.5957758723004299E-4</v>
      </c>
      <c r="X158" s="10">
        <v>3.2935222672064701</v>
      </c>
      <c r="Y158" s="10">
        <v>3.2927332496881698</v>
      </c>
      <c r="Z158" s="10">
        <v>3.29242637598824</v>
      </c>
      <c r="AA158" s="10">
        <v>3.2921348347611898</v>
      </c>
      <c r="AB158" s="8">
        <v>97.5966135207576</v>
      </c>
      <c r="AC158" s="8">
        <v>97.576062513257298</v>
      </c>
      <c r="AD158" s="8">
        <v>97.575146343591598</v>
      </c>
      <c r="AE158" s="9">
        <v>-2.3959517514937E-4</v>
      </c>
      <c r="AF158" s="9">
        <v>-4.5018825604379599E-4</v>
      </c>
      <c r="AG158" s="9">
        <v>-4.5957758723004299E-4</v>
      </c>
      <c r="BB158">
        <f t="shared" si="42"/>
        <v>0</v>
      </c>
      <c r="BC158">
        <f t="shared" si="43"/>
        <v>0</v>
      </c>
      <c r="BD158">
        <f t="shared" si="44"/>
        <v>0</v>
      </c>
      <c r="BE158">
        <f t="shared" si="40"/>
        <v>1</v>
      </c>
      <c r="BF158">
        <f t="shared" si="45"/>
        <v>0</v>
      </c>
      <c r="BG158" s="9">
        <f t="shared" si="46"/>
        <v>0</v>
      </c>
      <c r="BH158" s="9">
        <f t="shared" si="47"/>
        <v>0</v>
      </c>
      <c r="BI158" s="9">
        <f t="shared" si="48"/>
        <v>0</v>
      </c>
      <c r="BJ158" s="12">
        <f t="shared" si="49"/>
        <v>5.9253494008788994E-3</v>
      </c>
      <c r="BL158" s="9"/>
      <c r="BN158">
        <f t="shared" si="50"/>
        <v>0</v>
      </c>
      <c r="BO158">
        <f t="shared" si="51"/>
        <v>1</v>
      </c>
      <c r="BP158">
        <f t="shared" si="52"/>
        <v>0</v>
      </c>
      <c r="BQ158">
        <f t="shared" si="41"/>
        <v>1</v>
      </c>
      <c r="BR158">
        <f t="shared" si="53"/>
        <v>0</v>
      </c>
      <c r="BS158" s="9">
        <f t="shared" si="54"/>
        <v>0</v>
      </c>
      <c r="BT158" s="9">
        <f t="shared" si="55"/>
        <v>0</v>
      </c>
      <c r="BU158" s="9">
        <f t="shared" si="56"/>
        <v>0</v>
      </c>
      <c r="BV158" s="12">
        <f t="shared" si="57"/>
        <v>0</v>
      </c>
      <c r="BX158" s="12">
        <f t="shared" si="58"/>
        <v>0</v>
      </c>
      <c r="BY158" s="12">
        <f t="shared" si="59"/>
        <v>5.9253494008788994E-3</v>
      </c>
    </row>
    <row r="159" spans="1:77" x14ac:dyDescent="0.3">
      <c r="A159" s="1">
        <v>46253</v>
      </c>
      <c r="B159" s="8">
        <v>29.95</v>
      </c>
      <c r="C159" s="8">
        <v>98.61</v>
      </c>
      <c r="D159" s="9">
        <v>1.04045241335721E-2</v>
      </c>
      <c r="E159" s="9">
        <v>1.00902858852363E-2</v>
      </c>
      <c r="F159" s="8">
        <v>0</v>
      </c>
      <c r="G159" s="8">
        <v>0.52300000000000002</v>
      </c>
      <c r="H159" s="8">
        <v>0</v>
      </c>
      <c r="I159" s="8">
        <v>1.8010999999999999</v>
      </c>
      <c r="J159" s="8">
        <v>0</v>
      </c>
      <c r="K159" s="8">
        <v>0</v>
      </c>
      <c r="L159" s="8">
        <v>29.95</v>
      </c>
      <c r="M159" s="8">
        <v>98.61</v>
      </c>
      <c r="N159" s="10">
        <v>3.2924874791318799</v>
      </c>
      <c r="O159" s="10">
        <v>3.2936632097661298</v>
      </c>
      <c r="P159" s="10">
        <v>3.2925999409340299</v>
      </c>
      <c r="Q159" s="10">
        <v>3.29221949452702</v>
      </c>
      <c r="R159" s="8">
        <v>98.645213132495599</v>
      </c>
      <c r="S159" s="8">
        <v>98.608169960847903</v>
      </c>
      <c r="T159" s="8">
        <v>98.599438301097706</v>
      </c>
      <c r="U159" s="9">
        <v>3.5703120146231802E-4</v>
      </c>
      <c r="V159" s="9">
        <v>-1.8558524830456602E-5</v>
      </c>
      <c r="W159" s="9">
        <v>-1.07111495304761E-4</v>
      </c>
      <c r="X159" s="10">
        <v>3.2924874791318799</v>
      </c>
      <c r="Y159" s="10">
        <v>3.2927332496881698</v>
      </c>
      <c r="Z159" s="10">
        <v>3.2925999409340299</v>
      </c>
      <c r="AA159" s="10">
        <v>3.29221949452702</v>
      </c>
      <c r="AB159" s="8">
        <v>98.617360828160898</v>
      </c>
      <c r="AC159" s="8">
        <v>98.608169960847903</v>
      </c>
      <c r="AD159" s="8">
        <v>98.599438301097706</v>
      </c>
      <c r="AE159" s="9">
        <v>7.4643073186646505E-5</v>
      </c>
      <c r="AF159" s="9">
        <v>-1.8558524830456602E-5</v>
      </c>
      <c r="AG159" s="9">
        <v>-1.07111495304761E-4</v>
      </c>
      <c r="BB159">
        <f t="shared" si="42"/>
        <v>0</v>
      </c>
      <c r="BC159">
        <f t="shared" si="43"/>
        <v>0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5.9253494008788994E-3</v>
      </c>
      <c r="BL159" s="9"/>
      <c r="BN159">
        <f t="shared" si="50"/>
        <v>0</v>
      </c>
      <c r="BO159">
        <f t="shared" si="51"/>
        <v>1</v>
      </c>
      <c r="BP159">
        <f t="shared" si="52"/>
        <v>0</v>
      </c>
      <c r="BQ159">
        <f t="shared" si="41"/>
        <v>1</v>
      </c>
      <c r="BR159">
        <f t="shared" si="53"/>
        <v>0</v>
      </c>
      <c r="BS159" s="9">
        <f t="shared" si="54"/>
        <v>0</v>
      </c>
      <c r="BT159" s="9">
        <f t="shared" si="55"/>
        <v>0</v>
      </c>
      <c r="BU159" s="9">
        <f t="shared" si="56"/>
        <v>0</v>
      </c>
      <c r="BV159" s="12">
        <f t="shared" si="57"/>
        <v>0</v>
      </c>
      <c r="BX159" s="12">
        <f t="shared" si="58"/>
        <v>0</v>
      </c>
      <c r="BY159" s="12">
        <f t="shared" si="59"/>
        <v>5.9253494008788994E-3</v>
      </c>
    </row>
    <row r="160" spans="1:77" x14ac:dyDescent="0.3">
      <c r="A160" s="1">
        <v>46254</v>
      </c>
      <c r="B160" s="8">
        <v>29.94</v>
      </c>
      <c r="C160" s="8">
        <v>98.6</v>
      </c>
      <c r="D160" s="9">
        <v>-3.3394556997596702E-4</v>
      </c>
      <c r="E160" s="9">
        <v>-1.01414735648056E-4</v>
      </c>
      <c r="F160" s="8">
        <v>0</v>
      </c>
      <c r="G160" s="8">
        <v>0.52300000000000002</v>
      </c>
      <c r="H160" s="8">
        <v>0</v>
      </c>
      <c r="I160" s="8">
        <v>1.8010999999999999</v>
      </c>
      <c r="J160" s="8">
        <v>0</v>
      </c>
      <c r="K160" s="8">
        <v>0</v>
      </c>
      <c r="L160" s="8">
        <v>29.94</v>
      </c>
      <c r="M160" s="8">
        <v>98.6</v>
      </c>
      <c r="N160" s="10">
        <v>3.2932531730126899</v>
      </c>
      <c r="O160" s="10">
        <v>3.2936632097661298</v>
      </c>
      <c r="P160" s="10">
        <v>3.2929319696446999</v>
      </c>
      <c r="Q160" s="10">
        <v>3.2922341718630102</v>
      </c>
      <c r="R160" s="8">
        <v>98.612276500397996</v>
      </c>
      <c r="S160" s="8">
        <v>98.580442231565002</v>
      </c>
      <c r="T160" s="8">
        <v>98.569051666139202</v>
      </c>
      <c r="U160" s="9">
        <v>1.24500367134524E-4</v>
      </c>
      <c r="V160" s="9">
        <v>-1.98374324327324E-4</v>
      </c>
      <c r="W160" s="9">
        <v>-3.1392689525465601E-4</v>
      </c>
      <c r="X160" s="10">
        <v>3.2932531730126899</v>
      </c>
      <c r="Y160" s="10">
        <v>3.2927332496881698</v>
      </c>
      <c r="Z160" s="10">
        <v>3.2929319696446999</v>
      </c>
      <c r="AA160" s="10">
        <v>3.2922341718630102</v>
      </c>
      <c r="AB160" s="8">
        <v>98.584433495664001</v>
      </c>
      <c r="AC160" s="8">
        <v>98.580442231565002</v>
      </c>
      <c r="AD160" s="8">
        <v>98.569051666139202</v>
      </c>
      <c r="AE160" s="9">
        <v>-1.57887761141356E-4</v>
      </c>
      <c r="AF160" s="9">
        <v>-1.98374324327324E-4</v>
      </c>
      <c r="AG160" s="9">
        <v>-3.1392689525465601E-4</v>
      </c>
      <c r="BB160">
        <f t="shared" si="42"/>
        <v>0</v>
      </c>
      <c r="BC160">
        <f t="shared" si="43"/>
        <v>0</v>
      </c>
      <c r="BD160">
        <f t="shared" si="44"/>
        <v>0</v>
      </c>
      <c r="BE160">
        <f t="shared" si="40"/>
        <v>1</v>
      </c>
      <c r="BF160">
        <f t="shared" si="45"/>
        <v>0</v>
      </c>
      <c r="BG160" s="9">
        <f t="shared" si="46"/>
        <v>0</v>
      </c>
      <c r="BH160" s="9">
        <f t="shared" si="47"/>
        <v>0</v>
      </c>
      <c r="BI160" s="9">
        <f t="shared" si="48"/>
        <v>0</v>
      </c>
      <c r="BJ160" s="12">
        <f t="shared" si="49"/>
        <v>5.9253494008788994E-3</v>
      </c>
      <c r="BL160" s="9"/>
      <c r="BN160">
        <f t="shared" si="50"/>
        <v>0</v>
      </c>
      <c r="BO160">
        <f t="shared" si="51"/>
        <v>1</v>
      </c>
      <c r="BP160">
        <f t="shared" si="52"/>
        <v>0</v>
      </c>
      <c r="BQ160">
        <f t="shared" si="41"/>
        <v>1</v>
      </c>
      <c r="BR160">
        <f t="shared" si="53"/>
        <v>0</v>
      </c>
      <c r="BS160" s="9">
        <f t="shared" si="54"/>
        <v>0</v>
      </c>
      <c r="BT160" s="9">
        <f t="shared" si="55"/>
        <v>0</v>
      </c>
      <c r="BU160" s="9">
        <f t="shared" si="56"/>
        <v>0</v>
      </c>
      <c r="BV160" s="12">
        <f t="shared" si="57"/>
        <v>0</v>
      </c>
      <c r="BX160" s="12">
        <f t="shared" si="58"/>
        <v>0</v>
      </c>
      <c r="BY160" s="12">
        <f t="shared" si="59"/>
        <v>5.9253494008788994E-3</v>
      </c>
    </row>
    <row r="161" spans="1:77" x14ac:dyDescent="0.3">
      <c r="A161" s="1">
        <v>46255</v>
      </c>
      <c r="B161" s="8">
        <v>29.9</v>
      </c>
      <c r="C161" s="8">
        <v>98.5</v>
      </c>
      <c r="D161" s="9">
        <v>-1.3368985948416299E-3</v>
      </c>
      <c r="E161" s="9">
        <v>-1.01471343054645E-3</v>
      </c>
      <c r="F161" s="8">
        <v>0</v>
      </c>
      <c r="G161" s="8">
        <v>0.52300000000000002</v>
      </c>
      <c r="H161" s="8">
        <v>0</v>
      </c>
      <c r="I161" s="8">
        <v>1.8010999999999999</v>
      </c>
      <c r="J161" s="8">
        <v>0</v>
      </c>
      <c r="K161" s="8">
        <v>0</v>
      </c>
      <c r="L161" s="8">
        <v>29.9</v>
      </c>
      <c r="M161" s="8">
        <v>98.5</v>
      </c>
      <c r="N161" s="10">
        <v>3.2943143812709001</v>
      </c>
      <c r="O161" s="10">
        <v>3.2936632097661298</v>
      </c>
      <c r="P161" s="10">
        <v>3.2932761459864301</v>
      </c>
      <c r="Q161" s="10">
        <v>3.2921738203152402</v>
      </c>
      <c r="R161" s="8">
        <v>98.480529972007304</v>
      </c>
      <c r="S161" s="8">
        <v>98.458665892376501</v>
      </c>
      <c r="T161" s="8">
        <v>98.437801738704096</v>
      </c>
      <c r="U161" s="9">
        <v>-1.9768479716072399E-4</v>
      </c>
      <c r="V161" s="9">
        <v>-4.1972368205288698E-4</v>
      </c>
      <c r="W161" s="9">
        <v>-6.3165388071517096E-4</v>
      </c>
      <c r="X161" s="10">
        <v>3.2943143812709001</v>
      </c>
      <c r="Y161" s="10">
        <v>3.2927332496881698</v>
      </c>
      <c r="Z161" s="10">
        <v>3.2932761459864301</v>
      </c>
      <c r="AA161" s="10">
        <v>3.2921738203152402</v>
      </c>
      <c r="AB161" s="8">
        <v>98.4527241656765</v>
      </c>
      <c r="AC161" s="8">
        <v>98.458665892376501</v>
      </c>
      <c r="AD161" s="8">
        <v>98.437801738704096</v>
      </c>
      <c r="AE161" s="9">
        <v>-4.8007292543645198E-4</v>
      </c>
      <c r="AF161" s="9">
        <v>-4.1972368205288698E-4</v>
      </c>
      <c r="AG161" s="9">
        <v>-6.3165388071517096E-4</v>
      </c>
      <c r="BB161">
        <f t="shared" si="42"/>
        <v>0</v>
      </c>
      <c r="BC161">
        <f t="shared" si="43"/>
        <v>0</v>
      </c>
      <c r="BD161">
        <f t="shared" si="44"/>
        <v>0</v>
      </c>
      <c r="BE161">
        <f t="shared" si="40"/>
        <v>1</v>
      </c>
      <c r="BF161">
        <f t="shared" si="45"/>
        <v>0</v>
      </c>
      <c r="BG161" s="9">
        <f t="shared" si="46"/>
        <v>0</v>
      </c>
      <c r="BH161" s="9">
        <f t="shared" si="47"/>
        <v>0</v>
      </c>
      <c r="BI161" s="9">
        <f t="shared" si="48"/>
        <v>0</v>
      </c>
      <c r="BJ161" s="12">
        <f t="shared" si="49"/>
        <v>5.9253494008788994E-3</v>
      </c>
      <c r="BL161" s="9"/>
      <c r="BN161">
        <f t="shared" si="50"/>
        <v>0</v>
      </c>
      <c r="BO161">
        <f t="shared" si="51"/>
        <v>1</v>
      </c>
      <c r="BP161">
        <f t="shared" si="52"/>
        <v>0</v>
      </c>
      <c r="BQ161">
        <f t="shared" si="41"/>
        <v>1</v>
      </c>
      <c r="BR161">
        <f t="shared" si="53"/>
        <v>0</v>
      </c>
      <c r="BS161" s="9">
        <f t="shared" si="54"/>
        <v>0</v>
      </c>
      <c r="BT161" s="9">
        <f t="shared" si="55"/>
        <v>0</v>
      </c>
      <c r="BU161" s="9">
        <f t="shared" si="56"/>
        <v>0</v>
      </c>
      <c r="BV161" s="12">
        <f t="shared" si="57"/>
        <v>0</v>
      </c>
      <c r="BX161" s="12">
        <f t="shared" si="58"/>
        <v>0</v>
      </c>
      <c r="BY161" s="12">
        <f t="shared" si="59"/>
        <v>5.9253494008788994E-3</v>
      </c>
    </row>
    <row r="162" spans="1:77" x14ac:dyDescent="0.3">
      <c r="A162" s="1">
        <v>46258</v>
      </c>
      <c r="B162" s="8">
        <v>30.08</v>
      </c>
      <c r="C162" s="8">
        <v>99.1</v>
      </c>
      <c r="D162" s="9">
        <v>6.00201868499841E-3</v>
      </c>
      <c r="E162" s="9">
        <v>6.0728931578990803E-3</v>
      </c>
      <c r="F162" s="8">
        <v>0</v>
      </c>
      <c r="G162" s="8">
        <v>0.52300000000000002</v>
      </c>
      <c r="H162" s="8">
        <v>0</v>
      </c>
      <c r="I162" s="8">
        <v>1.8010999999999999</v>
      </c>
      <c r="J162" s="8">
        <v>0</v>
      </c>
      <c r="K162" s="8">
        <v>0</v>
      </c>
      <c r="L162" s="8">
        <v>30.08</v>
      </c>
      <c r="M162" s="8">
        <v>99.1</v>
      </c>
      <c r="N162" s="10">
        <v>3.29454787234042</v>
      </c>
      <c r="O162" s="10">
        <v>3.2936632097661298</v>
      </c>
      <c r="P162" s="10">
        <v>3.2933211638853299</v>
      </c>
      <c r="Q162" s="10">
        <v>3.2922435002080599</v>
      </c>
      <c r="R162" s="8">
        <v>99.073389349765193</v>
      </c>
      <c r="S162" s="8">
        <v>99.061746471271903</v>
      </c>
      <c r="T162" s="8">
        <v>99.028588515082603</v>
      </c>
      <c r="U162" s="9">
        <v>-2.6855927006142502E-4</v>
      </c>
      <c r="V162" s="9">
        <v>-3.8608389242039801E-4</v>
      </c>
      <c r="W162" s="9">
        <v>-7.2086000859222798E-4</v>
      </c>
      <c r="X162" s="10">
        <v>3.29454787234042</v>
      </c>
      <c r="Y162" s="10">
        <v>3.2927332496881698</v>
      </c>
      <c r="Z162" s="10">
        <v>3.2933211638853299</v>
      </c>
      <c r="AA162" s="10">
        <v>3.2922435002080599</v>
      </c>
      <c r="AB162" s="8">
        <v>99.045416150620397</v>
      </c>
      <c r="AC162" s="8">
        <v>99.061746471271903</v>
      </c>
      <c r="AD162" s="8">
        <v>99.028588515082703</v>
      </c>
      <c r="AE162" s="9">
        <v>-5.5094739833718299E-4</v>
      </c>
      <c r="AF162" s="9">
        <v>-3.8608389242039801E-4</v>
      </c>
      <c r="AG162" s="9">
        <v>-7.2086000859189405E-4</v>
      </c>
      <c r="BB162">
        <f t="shared" si="42"/>
        <v>0</v>
      </c>
      <c r="BC162">
        <f t="shared" si="43"/>
        <v>0</v>
      </c>
      <c r="BD162">
        <f t="shared" si="44"/>
        <v>0</v>
      </c>
      <c r="BE162">
        <f t="shared" si="40"/>
        <v>1</v>
      </c>
      <c r="BF162">
        <f t="shared" si="45"/>
        <v>0</v>
      </c>
      <c r="BG162" s="9">
        <f t="shared" si="46"/>
        <v>0</v>
      </c>
      <c r="BH162" s="9">
        <f t="shared" si="47"/>
        <v>0</v>
      </c>
      <c r="BI162" s="9">
        <f t="shared" si="48"/>
        <v>0</v>
      </c>
      <c r="BJ162" s="12">
        <f t="shared" si="49"/>
        <v>5.9253494008788994E-3</v>
      </c>
      <c r="BL162" s="9"/>
      <c r="BN162">
        <f t="shared" si="50"/>
        <v>0</v>
      </c>
      <c r="BO162">
        <f t="shared" si="51"/>
        <v>1</v>
      </c>
      <c r="BP162">
        <f t="shared" si="52"/>
        <v>0</v>
      </c>
      <c r="BQ162">
        <f t="shared" si="41"/>
        <v>1</v>
      </c>
      <c r="BR162">
        <f t="shared" si="53"/>
        <v>0</v>
      </c>
      <c r="BS162" s="9">
        <f t="shared" si="54"/>
        <v>0</v>
      </c>
      <c r="BT162" s="9">
        <f t="shared" si="55"/>
        <v>0</v>
      </c>
      <c r="BU162" s="9">
        <f t="shared" si="56"/>
        <v>0</v>
      </c>
      <c r="BV162" s="12">
        <f t="shared" si="57"/>
        <v>0</v>
      </c>
      <c r="BX162" s="12">
        <f t="shared" si="58"/>
        <v>0</v>
      </c>
      <c r="BY162" s="12">
        <f t="shared" si="59"/>
        <v>5.9253494008788994E-3</v>
      </c>
    </row>
    <row r="163" spans="1:77" x14ac:dyDescent="0.3">
      <c r="A163" s="1">
        <v>46259</v>
      </c>
      <c r="B163" s="8">
        <v>30.13</v>
      </c>
      <c r="C163" s="8">
        <v>99.25</v>
      </c>
      <c r="D163" s="9">
        <v>1.66085406057076E-3</v>
      </c>
      <c r="E163" s="9">
        <v>1.51247823135751E-3</v>
      </c>
      <c r="F163" s="8">
        <v>0</v>
      </c>
      <c r="G163" s="8">
        <v>0.52300000000000002</v>
      </c>
      <c r="H163" s="8">
        <v>0</v>
      </c>
      <c r="I163" s="8">
        <v>1.8010999999999999</v>
      </c>
      <c r="J163" s="8">
        <v>0</v>
      </c>
      <c r="K163" s="8">
        <v>0</v>
      </c>
      <c r="L163" s="8">
        <v>30.13</v>
      </c>
      <c r="M163" s="8">
        <v>99.25</v>
      </c>
      <c r="N163" s="10">
        <v>3.2940590773315601</v>
      </c>
      <c r="O163" s="10">
        <v>3.2936632097661298</v>
      </c>
      <c r="P163" s="10">
        <v>3.2936727868796698</v>
      </c>
      <c r="Q163" s="10">
        <v>3.2923182740354999</v>
      </c>
      <c r="R163" s="8">
        <v>99.238072510253502</v>
      </c>
      <c r="S163" s="8">
        <v>99.227766667865097</v>
      </c>
      <c r="T163" s="8">
        <v>99.195296661268898</v>
      </c>
      <c r="U163" s="9">
        <v>-1.20183440848172E-4</v>
      </c>
      <c r="V163" s="9">
        <v>-2.2403851676801201E-4</v>
      </c>
      <c r="W163" s="9">
        <v>-5.5131908931048098E-4</v>
      </c>
      <c r="X163" s="10">
        <v>3.2940590773315601</v>
      </c>
      <c r="Y163" s="10">
        <v>3.2927332496881698</v>
      </c>
      <c r="Z163" s="10">
        <v>3.2936727868796698</v>
      </c>
      <c r="AA163" s="10">
        <v>3.2923182740354999</v>
      </c>
      <c r="AB163" s="8">
        <v>99.210052813104795</v>
      </c>
      <c r="AC163" s="8">
        <v>99.227766667865097</v>
      </c>
      <c r="AD163" s="8">
        <v>99.195296661268898</v>
      </c>
      <c r="AE163" s="9">
        <v>-4.0257156912391602E-4</v>
      </c>
      <c r="AF163" s="9">
        <v>-2.2403851676801201E-4</v>
      </c>
      <c r="AG163" s="9">
        <v>-5.5131908931048098E-4</v>
      </c>
      <c r="BB163">
        <f t="shared" si="42"/>
        <v>0</v>
      </c>
      <c r="BC163">
        <f t="shared" si="43"/>
        <v>0</v>
      </c>
      <c r="BD163">
        <f t="shared" si="44"/>
        <v>0</v>
      </c>
      <c r="BE163">
        <f t="shared" si="40"/>
        <v>1</v>
      </c>
      <c r="BF163">
        <f t="shared" si="45"/>
        <v>0</v>
      </c>
      <c r="BG163" s="9">
        <f t="shared" si="46"/>
        <v>0</v>
      </c>
      <c r="BH163" s="9">
        <f t="shared" si="47"/>
        <v>0</v>
      </c>
      <c r="BI163" s="9">
        <f t="shared" si="48"/>
        <v>0</v>
      </c>
      <c r="BJ163" s="12">
        <f t="shared" si="49"/>
        <v>5.9253494008788994E-3</v>
      </c>
      <c r="BL163" s="9"/>
      <c r="BN163">
        <f t="shared" si="50"/>
        <v>0</v>
      </c>
      <c r="BO163">
        <f t="shared" si="51"/>
        <v>1</v>
      </c>
      <c r="BP163">
        <f t="shared" si="52"/>
        <v>0</v>
      </c>
      <c r="BQ163">
        <f t="shared" si="41"/>
        <v>1</v>
      </c>
      <c r="BR163">
        <f t="shared" si="53"/>
        <v>0</v>
      </c>
      <c r="BS163" s="9">
        <f t="shared" si="54"/>
        <v>0</v>
      </c>
      <c r="BT163" s="9">
        <f t="shared" si="55"/>
        <v>0</v>
      </c>
      <c r="BU163" s="9">
        <f t="shared" si="56"/>
        <v>0</v>
      </c>
      <c r="BV163" s="12">
        <f t="shared" si="57"/>
        <v>0</v>
      </c>
      <c r="BX163" s="12">
        <f t="shared" si="58"/>
        <v>0</v>
      </c>
      <c r="BY163" s="12">
        <f t="shared" si="59"/>
        <v>5.9253494008788994E-3</v>
      </c>
    </row>
    <row r="164" spans="1:77" x14ac:dyDescent="0.3">
      <c r="A164" s="1">
        <v>46260</v>
      </c>
      <c r="B164" s="8">
        <v>29.94</v>
      </c>
      <c r="C164" s="8">
        <v>98.61</v>
      </c>
      <c r="D164" s="9">
        <v>-6.3259741507275197E-3</v>
      </c>
      <c r="E164" s="9">
        <v>-6.46924322306209E-3</v>
      </c>
      <c r="F164" s="8">
        <v>0</v>
      </c>
      <c r="G164" s="8">
        <v>0.52300000000000002</v>
      </c>
      <c r="H164" s="8">
        <v>0</v>
      </c>
      <c r="I164" s="8">
        <v>1.8010999999999999</v>
      </c>
      <c r="J164" s="8">
        <v>0</v>
      </c>
      <c r="K164" s="8">
        <v>0</v>
      </c>
      <c r="L164" s="8">
        <v>29.94</v>
      </c>
      <c r="M164" s="8">
        <v>98.61</v>
      </c>
      <c r="N164" s="10">
        <v>3.2935871743486902</v>
      </c>
      <c r="O164" s="10">
        <v>3.2936632097661298</v>
      </c>
      <c r="P164" s="10">
        <v>3.2936137656550901</v>
      </c>
      <c r="Q164" s="10">
        <v>3.2925742417042598</v>
      </c>
      <c r="R164" s="8">
        <v>98.612276500397996</v>
      </c>
      <c r="S164" s="8">
        <v>98.612563239177405</v>
      </c>
      <c r="T164" s="8">
        <v>98.572009124622994</v>
      </c>
      <c r="U164" s="9">
        <v>2.3085631486497601E-5</v>
      </c>
      <c r="V164" s="9">
        <v>2.5993366432784299E-5</v>
      </c>
      <c r="W164" s="9">
        <v>-3.8533815550165299E-4</v>
      </c>
      <c r="X164" s="10">
        <v>3.2935871743486902</v>
      </c>
      <c r="Y164" s="10">
        <v>3.2927332496881698</v>
      </c>
      <c r="Z164" s="10">
        <v>3.2936137656550901</v>
      </c>
      <c r="AA164" s="10">
        <v>3.2925742417042598</v>
      </c>
      <c r="AB164" s="8">
        <v>98.584433495664001</v>
      </c>
      <c r="AC164" s="8">
        <v>98.612563239177405</v>
      </c>
      <c r="AD164" s="8">
        <v>98.572009124622994</v>
      </c>
      <c r="AE164" s="9">
        <v>-2.5930249678930901E-4</v>
      </c>
      <c r="AF164" s="9">
        <v>2.5993366432784299E-5</v>
      </c>
      <c r="AG164" s="9">
        <v>-3.8533815550165299E-4</v>
      </c>
      <c r="BB164">
        <f t="shared" si="42"/>
        <v>0</v>
      </c>
      <c r="BC164">
        <f t="shared" si="43"/>
        <v>0</v>
      </c>
      <c r="BD164">
        <f t="shared" si="44"/>
        <v>0</v>
      </c>
      <c r="BE164">
        <f t="shared" si="40"/>
        <v>1</v>
      </c>
      <c r="BF164">
        <f t="shared" si="45"/>
        <v>0</v>
      </c>
      <c r="BG164" s="9">
        <f t="shared" si="46"/>
        <v>0</v>
      </c>
      <c r="BH164" s="9">
        <f t="shared" si="47"/>
        <v>0</v>
      </c>
      <c r="BI164" s="9">
        <f t="shared" si="48"/>
        <v>0</v>
      </c>
      <c r="BJ164" s="12">
        <f t="shared" si="49"/>
        <v>5.9253494008788994E-3</v>
      </c>
      <c r="BL164" s="9"/>
      <c r="BN164">
        <f t="shared" si="50"/>
        <v>0</v>
      </c>
      <c r="BO164">
        <f t="shared" si="51"/>
        <v>1</v>
      </c>
      <c r="BP164">
        <f t="shared" si="52"/>
        <v>0</v>
      </c>
      <c r="BQ164">
        <f t="shared" si="41"/>
        <v>1</v>
      </c>
      <c r="BR164">
        <f t="shared" si="53"/>
        <v>0</v>
      </c>
      <c r="BS164" s="9">
        <f t="shared" si="54"/>
        <v>0</v>
      </c>
      <c r="BT164" s="9">
        <f t="shared" si="55"/>
        <v>0</v>
      </c>
      <c r="BU164" s="9">
        <f t="shared" si="56"/>
        <v>0</v>
      </c>
      <c r="BV164" s="12">
        <f t="shared" si="57"/>
        <v>0</v>
      </c>
      <c r="BX164" s="12">
        <f t="shared" si="58"/>
        <v>0</v>
      </c>
      <c r="BY164" s="12">
        <f t="shared" si="59"/>
        <v>5.9253494008788994E-3</v>
      </c>
    </row>
    <row r="165" spans="1:77" x14ac:dyDescent="0.3">
      <c r="A165" s="1">
        <v>46261</v>
      </c>
      <c r="B165" s="8">
        <v>29.64</v>
      </c>
      <c r="C165" s="8">
        <v>97.65</v>
      </c>
      <c r="D165" s="9">
        <v>-1.0070578563596101E-2</v>
      </c>
      <c r="E165" s="9">
        <v>-9.7830190215497104E-3</v>
      </c>
      <c r="F165" s="8">
        <v>0</v>
      </c>
      <c r="G165" s="8">
        <v>0.52300000000000002</v>
      </c>
      <c r="H165" s="8">
        <v>0</v>
      </c>
      <c r="I165" s="8">
        <v>1.8010999999999999</v>
      </c>
      <c r="J165" s="8">
        <v>0</v>
      </c>
      <c r="K165" s="8">
        <v>0</v>
      </c>
      <c r="L165" s="8">
        <v>29.64</v>
      </c>
      <c r="M165" s="8">
        <v>97.65</v>
      </c>
      <c r="N165" s="10">
        <v>3.2945344129554601</v>
      </c>
      <c r="O165" s="10">
        <v>3.2936632097661298</v>
      </c>
      <c r="P165" s="10">
        <v>3.2936986803886601</v>
      </c>
      <c r="Q165" s="10">
        <v>3.2928003009763702</v>
      </c>
      <c r="R165" s="8">
        <v>97.6241775374681</v>
      </c>
      <c r="S165" s="8">
        <v>97.622712014016997</v>
      </c>
      <c r="T165" s="8">
        <v>97.591900524114294</v>
      </c>
      <c r="U165" s="9">
        <v>-2.6447391055999501E-4</v>
      </c>
      <c r="V165" s="9">
        <v>-2.7948591361406E-4</v>
      </c>
      <c r="W165" s="9">
        <v>-5.9515378046064897E-4</v>
      </c>
      <c r="X165" s="10">
        <v>3.2945344129554601</v>
      </c>
      <c r="Y165" s="10">
        <v>3.2927332496881698</v>
      </c>
      <c r="Z165" s="10">
        <v>3.2936986803886601</v>
      </c>
      <c r="AA165" s="10">
        <v>3.2928003009763702</v>
      </c>
      <c r="AB165" s="8">
        <v>97.5966135207576</v>
      </c>
      <c r="AC165" s="8">
        <v>97.622712014016997</v>
      </c>
      <c r="AD165" s="8">
        <v>97.591900524114294</v>
      </c>
      <c r="AE165" s="9">
        <v>-5.4686203883586796E-4</v>
      </c>
      <c r="AF165" s="9">
        <v>-2.7948591361406E-4</v>
      </c>
      <c r="AG165" s="9">
        <v>-5.9515378046064897E-4</v>
      </c>
      <c r="BB165">
        <f t="shared" si="42"/>
        <v>0</v>
      </c>
      <c r="BC165">
        <f t="shared" si="43"/>
        <v>0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5.9253494008788994E-3</v>
      </c>
      <c r="BL165" s="9"/>
      <c r="BN165">
        <f t="shared" si="50"/>
        <v>0</v>
      </c>
      <c r="BO165">
        <f t="shared" si="51"/>
        <v>1</v>
      </c>
      <c r="BP165">
        <f t="shared" si="52"/>
        <v>0</v>
      </c>
      <c r="BQ165">
        <f t="shared" si="41"/>
        <v>1</v>
      </c>
      <c r="BR165">
        <f t="shared" si="53"/>
        <v>0</v>
      </c>
      <c r="BS165" s="9">
        <f t="shared" si="54"/>
        <v>0</v>
      </c>
      <c r="BT165" s="9">
        <f t="shared" si="55"/>
        <v>0</v>
      </c>
      <c r="BU165" s="9">
        <f t="shared" si="56"/>
        <v>0</v>
      </c>
      <c r="BV165" s="12">
        <f t="shared" si="57"/>
        <v>0</v>
      </c>
      <c r="BX165" s="12">
        <f t="shared" si="58"/>
        <v>0</v>
      </c>
      <c r="BY165" s="12">
        <f t="shared" si="59"/>
        <v>5.9253494008788994E-3</v>
      </c>
    </row>
    <row r="166" spans="1:77" x14ac:dyDescent="0.3">
      <c r="A166" s="1">
        <v>46262</v>
      </c>
      <c r="B166" s="8">
        <v>29.53</v>
      </c>
      <c r="C166" s="8">
        <v>97.24</v>
      </c>
      <c r="D166" s="9">
        <v>-3.7181046720547802E-3</v>
      </c>
      <c r="E166" s="9">
        <v>-4.2075078747654798E-3</v>
      </c>
      <c r="F166" s="8">
        <v>0</v>
      </c>
      <c r="G166" s="8">
        <v>0.52300000000000002</v>
      </c>
      <c r="H166" s="8">
        <v>0</v>
      </c>
      <c r="I166" s="8">
        <v>1.8010999999999999</v>
      </c>
      <c r="J166" s="8">
        <v>0</v>
      </c>
      <c r="K166" s="8">
        <v>0</v>
      </c>
      <c r="L166" s="8">
        <v>29.53</v>
      </c>
      <c r="M166" s="8">
        <v>97.24</v>
      </c>
      <c r="N166" s="10">
        <v>3.2929224517439799</v>
      </c>
      <c r="O166" s="10">
        <v>3.2936632097661298</v>
      </c>
      <c r="P166" s="10">
        <v>3.2936673667493301</v>
      </c>
      <c r="Q166" s="10">
        <v>3.29280416066839</v>
      </c>
      <c r="R166" s="8">
        <v>97.261874584393794</v>
      </c>
      <c r="S166" s="8">
        <v>97.262922031877295</v>
      </c>
      <c r="T166" s="8">
        <v>97.236392887832295</v>
      </c>
      <c r="U166" s="9">
        <v>2.2492929215054699E-4</v>
      </c>
      <c r="V166" s="9">
        <v>2.35698587393771E-4</v>
      </c>
      <c r="W166" s="9">
        <v>-3.7095630112643002E-5</v>
      </c>
      <c r="X166" s="10">
        <v>3.2929224517439799</v>
      </c>
      <c r="Y166" s="10">
        <v>3.2927332496881698</v>
      </c>
      <c r="Z166" s="10">
        <v>3.2936673667493301</v>
      </c>
      <c r="AA166" s="10">
        <v>3.29280416066839</v>
      </c>
      <c r="AB166" s="8">
        <v>97.234412863291894</v>
      </c>
      <c r="AC166" s="8">
        <v>97.262922031877295</v>
      </c>
      <c r="AD166" s="8">
        <v>97.236392887832295</v>
      </c>
      <c r="AE166" s="9">
        <v>-5.74588361251547E-5</v>
      </c>
      <c r="AF166" s="9">
        <v>2.35698587393771E-4</v>
      </c>
      <c r="AG166" s="9">
        <v>-3.7095630112643002E-5</v>
      </c>
      <c r="BB166">
        <f t="shared" si="42"/>
        <v>0</v>
      </c>
      <c r="BC166">
        <f t="shared" si="43"/>
        <v>0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5.9253494008788994E-3</v>
      </c>
      <c r="BL166" s="9"/>
      <c r="BN166">
        <f t="shared" si="50"/>
        <v>0</v>
      </c>
      <c r="BO166">
        <f t="shared" si="51"/>
        <v>1</v>
      </c>
      <c r="BP166">
        <f t="shared" si="52"/>
        <v>0</v>
      </c>
      <c r="BQ166">
        <f t="shared" si="41"/>
        <v>1</v>
      </c>
      <c r="BR166">
        <f t="shared" si="53"/>
        <v>0</v>
      </c>
      <c r="BS166" s="9">
        <f t="shared" si="54"/>
        <v>0</v>
      </c>
      <c r="BT166" s="9">
        <f t="shared" si="55"/>
        <v>0</v>
      </c>
      <c r="BU166" s="9">
        <f t="shared" si="56"/>
        <v>0</v>
      </c>
      <c r="BV166" s="12">
        <f t="shared" si="57"/>
        <v>0</v>
      </c>
      <c r="BX166" s="12">
        <f t="shared" si="58"/>
        <v>0</v>
      </c>
      <c r="BY166" s="12">
        <f t="shared" si="59"/>
        <v>5.9253494008788994E-3</v>
      </c>
    </row>
    <row r="167" spans="1:77" x14ac:dyDescent="0.3">
      <c r="A167" s="1">
        <v>46265</v>
      </c>
      <c r="B167" s="8">
        <v>29.26</v>
      </c>
      <c r="C167" s="8">
        <v>96.44</v>
      </c>
      <c r="D167" s="9">
        <v>-9.1853001638530392E-3</v>
      </c>
      <c r="E167" s="9">
        <v>-8.2610961349522394E-3</v>
      </c>
      <c r="F167" s="8">
        <v>0</v>
      </c>
      <c r="G167" s="8">
        <v>0.52300000000000002</v>
      </c>
      <c r="H167" s="8">
        <v>0</v>
      </c>
      <c r="I167" s="8">
        <v>1.8010999999999999</v>
      </c>
      <c r="J167" s="8">
        <v>0</v>
      </c>
      <c r="K167" s="8">
        <v>0</v>
      </c>
      <c r="L167" s="8">
        <v>29.26</v>
      </c>
      <c r="M167" s="8">
        <v>96.44</v>
      </c>
      <c r="N167" s="10">
        <v>3.29596719070403</v>
      </c>
      <c r="O167" s="10">
        <v>3.2936632097661298</v>
      </c>
      <c r="P167" s="10">
        <v>3.29391954800461</v>
      </c>
      <c r="Q167" s="10">
        <v>3.29297972193174</v>
      </c>
      <c r="R167" s="8">
        <v>96.372585517757003</v>
      </c>
      <c r="S167" s="8">
        <v>96.372707151085507</v>
      </c>
      <c r="T167" s="8">
        <v>96.347449741157305</v>
      </c>
      <c r="U167" s="9">
        <v>-6.9927473675012201E-4</v>
      </c>
      <c r="V167" s="9">
        <v>-6.9801262210276104E-4</v>
      </c>
      <c r="W167" s="9">
        <v>-9.6012749872109303E-4</v>
      </c>
      <c r="X167" s="10">
        <v>3.29596719070403</v>
      </c>
      <c r="Y167" s="10">
        <v>3.2927332496881698</v>
      </c>
      <c r="Z167" s="10">
        <v>3.29391954800461</v>
      </c>
      <c r="AA167" s="10">
        <v>3.29297972193174</v>
      </c>
      <c r="AB167" s="8">
        <v>96.345374885876097</v>
      </c>
      <c r="AC167" s="8">
        <v>96.372707151085507</v>
      </c>
      <c r="AD167" s="8">
        <v>96.347449741157305</v>
      </c>
      <c r="AE167" s="9">
        <v>-9.8166286502590194E-4</v>
      </c>
      <c r="AF167" s="9">
        <v>-6.9801262210276104E-4</v>
      </c>
      <c r="AG167" s="9">
        <v>-9.6012749872109303E-4</v>
      </c>
      <c r="BB167">
        <f t="shared" si="42"/>
        <v>0</v>
      </c>
      <c r="BC167">
        <f t="shared" si="43"/>
        <v>0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5.9253494008788994E-3</v>
      </c>
      <c r="BL167" s="9"/>
      <c r="BN167">
        <f t="shared" si="50"/>
        <v>0</v>
      </c>
      <c r="BO167">
        <f t="shared" si="51"/>
        <v>1</v>
      </c>
      <c r="BP167">
        <f t="shared" si="52"/>
        <v>0</v>
      </c>
      <c r="BQ167">
        <f t="shared" si="41"/>
        <v>1</v>
      </c>
      <c r="BR167">
        <f t="shared" si="53"/>
        <v>0</v>
      </c>
      <c r="BS167" s="9">
        <f t="shared" si="54"/>
        <v>0</v>
      </c>
      <c r="BT167" s="9">
        <f t="shared" si="55"/>
        <v>0</v>
      </c>
      <c r="BU167" s="9">
        <f t="shared" si="56"/>
        <v>0</v>
      </c>
      <c r="BV167" s="12">
        <f t="shared" si="57"/>
        <v>0</v>
      </c>
      <c r="BX167" s="12">
        <f t="shared" si="58"/>
        <v>0</v>
      </c>
      <c r="BY167" s="12">
        <f t="shared" si="59"/>
        <v>5.9253494008788994E-3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2026-09-04T02:21:44Z</dcterms:modified>
</cp:coreProperties>
</file>