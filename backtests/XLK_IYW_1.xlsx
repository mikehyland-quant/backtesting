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90E94B75-8E05-4956-8F14-C3ADECC07F4A}" xr6:coauthVersionLast="47" xr6:coauthVersionMax="47" xr10:uidLastSave="{00000000-0000-0000-0000-000000000000}"/>
  <bookViews>
    <workbookView xWindow="28680" yWindow="-120" windowWidth="29040" windowHeight="15720" xr2:uid="{AC0A26B6-872F-4ECB-83B1-531B4A0696AE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M169" i="1"/>
  <c r="AK169" i="1"/>
  <c r="AJ169" i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N160" i="1" s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M155" i="1"/>
  <c r="AK155" i="1"/>
  <c r="AJ155" i="1"/>
  <c r="AN156" i="1" s="1"/>
  <c r="AX154" i="1"/>
  <c r="AV154" i="1"/>
  <c r="AU154" i="1"/>
  <c r="AM154" i="1"/>
  <c r="AK154" i="1"/>
  <c r="AJ154" i="1"/>
  <c r="AN155" i="1" s="1"/>
  <c r="AX153" i="1"/>
  <c r="AV153" i="1"/>
  <c r="AU153" i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M151" i="1"/>
  <c r="AK151" i="1"/>
  <c r="AJ151" i="1"/>
  <c r="AN152" i="1" s="1"/>
  <c r="AX150" i="1"/>
  <c r="AV150" i="1"/>
  <c r="AU150" i="1"/>
  <c r="AM150" i="1"/>
  <c r="AK150" i="1"/>
  <c r="AJ150" i="1"/>
  <c r="AN151" i="1" s="1"/>
  <c r="AX149" i="1"/>
  <c r="AV149" i="1"/>
  <c r="AU149" i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N146" i="1" s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N139" i="1" s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M122" i="1"/>
  <c r="AK122" i="1"/>
  <c r="AJ122" i="1"/>
  <c r="AN123" i="1" s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N119" i="1" s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X103" i="1"/>
  <c r="AV103" i="1"/>
  <c r="AU103" i="1"/>
  <c r="AY104" i="1" s="1"/>
  <c r="AM103" i="1"/>
  <c r="AK103" i="1"/>
  <c r="AJ103" i="1"/>
  <c r="AN104" i="1" s="1"/>
  <c r="AX102" i="1"/>
  <c r="AV102" i="1"/>
  <c r="AU102" i="1"/>
  <c r="AM102" i="1"/>
  <c r="AK102" i="1"/>
  <c r="AJ102" i="1"/>
  <c r="AX101" i="1"/>
  <c r="AV101" i="1"/>
  <c r="AU101" i="1"/>
  <c r="AY102" i="1" s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N94" i="1" s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Y89" i="1" s="1"/>
  <c r="AM88" i="1"/>
  <c r="AK88" i="1"/>
  <c r="AJ88" i="1"/>
  <c r="AN89" i="1" s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Y84" i="1" s="1"/>
  <c r="AM83" i="1"/>
  <c r="AK83" i="1"/>
  <c r="AJ83" i="1"/>
  <c r="AN84" i="1" s="1"/>
  <c r="AX82" i="1"/>
  <c r="AV82" i="1"/>
  <c r="AU82" i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Y52" i="1" s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N33" i="1" s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88" i="1" l="1"/>
  <c r="AY85" i="1"/>
  <c r="AY76" i="1"/>
  <c r="AY40" i="1"/>
  <c r="AY72" i="1"/>
  <c r="AY46" i="1"/>
  <c r="AN150" i="1"/>
  <c r="AN125" i="1"/>
  <c r="AN120" i="1"/>
  <c r="AN99" i="1"/>
  <c r="AN70" i="1"/>
  <c r="AN93" i="1"/>
  <c r="AN41" i="1"/>
  <c r="AN173" i="1"/>
  <c r="AN168" i="1"/>
  <c r="AN143" i="1"/>
  <c r="AN122" i="1"/>
  <c r="AN121" i="1"/>
  <c r="AN118" i="1"/>
  <c r="AN113" i="1"/>
  <c r="AN95" i="1"/>
  <c r="AN92" i="1"/>
  <c r="AN63" i="1"/>
  <c r="AN24" i="1"/>
  <c r="AN100" i="1"/>
  <c r="AN28" i="1"/>
  <c r="AY50" i="1"/>
  <c r="AY44" i="1"/>
  <c r="AN153" i="1"/>
  <c r="AN101" i="1"/>
  <c r="AY175" i="1"/>
  <c r="AY171" i="1"/>
  <c r="AY128" i="1"/>
  <c r="AY48" i="1"/>
  <c r="AY139" i="1"/>
  <c r="AY75" i="1"/>
  <c r="AY43" i="1"/>
  <c r="AY63" i="1"/>
  <c r="AY51" i="1"/>
  <c r="AY42" i="1"/>
  <c r="AY73" i="1"/>
  <c r="AY64" i="1"/>
  <c r="AY47" i="1"/>
  <c r="AY170" i="1"/>
  <c r="AY140" i="1"/>
  <c r="AY25" i="1"/>
  <c r="AY23" i="1"/>
  <c r="AY86" i="1"/>
  <c r="AN115" i="1"/>
  <c r="AN141" i="1"/>
  <c r="AN112" i="1"/>
  <c r="AN109" i="1"/>
  <c r="AN103" i="1"/>
  <c r="AN97" i="1"/>
  <c r="AN90" i="1"/>
  <c r="AN76" i="1"/>
  <c r="AN66" i="1"/>
  <c r="AN64" i="1"/>
  <c r="AN37" i="1"/>
  <c r="AN81" i="1"/>
  <c r="AN72" i="1"/>
  <c r="AN44" i="1"/>
  <c r="AN32" i="1"/>
  <c r="AN23" i="1"/>
  <c r="AN79" i="1"/>
  <c r="AN67" i="1"/>
  <c r="AN60" i="1"/>
  <c r="AN52" i="1"/>
  <c r="AN38" i="1"/>
  <c r="AN35" i="1"/>
  <c r="AN107" i="1"/>
  <c r="AN65" i="1"/>
  <c r="AN57" i="1"/>
  <c r="AN54" i="1"/>
  <c r="AN40" i="1"/>
  <c r="AN31" i="1"/>
  <c r="AN29" i="1"/>
  <c r="AN27" i="1"/>
  <c r="AN87" i="1"/>
  <c r="AN80" i="1"/>
  <c r="AN74" i="1"/>
  <c r="AN56" i="1"/>
  <c r="AN53" i="1"/>
  <c r="AN51" i="1"/>
  <c r="AN39" i="1"/>
  <c r="AN111" i="1"/>
  <c r="AN110" i="1"/>
  <c r="AN98" i="1"/>
  <c r="AN91" i="1"/>
  <c r="AN83" i="1"/>
  <c r="AN78" i="1"/>
  <c r="AN75" i="1"/>
  <c r="AN61" i="1"/>
  <c r="AN45" i="1"/>
  <c r="AN42" i="1"/>
  <c r="AN36" i="1"/>
  <c r="AN26" i="1"/>
  <c r="AN58" i="1"/>
  <c r="AN69" i="1"/>
  <c r="AN117" i="1"/>
  <c r="AN71" i="1"/>
  <c r="AN158" i="1"/>
  <c r="AN34" i="1"/>
  <c r="AN59" i="1"/>
  <c r="AN55" i="1"/>
  <c r="AN96" i="1"/>
  <c r="AN77" i="1"/>
  <c r="AY69" i="1"/>
  <c r="AY39" i="1"/>
  <c r="AN165" i="1"/>
  <c r="AY163" i="1"/>
  <c r="AN105" i="1"/>
  <c r="AN108" i="1"/>
  <c r="AN62" i="1"/>
  <c r="BA176" i="1"/>
  <c r="AW176" i="1"/>
  <c r="AZ176" i="1"/>
  <c r="BB176" i="1" s="1"/>
  <c r="AL176" i="1"/>
  <c r="AO176" i="1"/>
  <c r="AP176" i="1"/>
  <c r="AW175" i="1"/>
  <c r="BA175" i="1"/>
  <c r="AZ175" i="1"/>
  <c r="BB175" i="1" s="1"/>
  <c r="AL174" i="1"/>
  <c r="AN175" i="1" s="1"/>
  <c r="AO174" i="1"/>
  <c r="AP174" i="1"/>
  <c r="AL173" i="1"/>
  <c r="AO173" i="1"/>
  <c r="AP173" i="1"/>
  <c r="AW172" i="1"/>
  <c r="AY173" i="1" s="1"/>
  <c r="AZ172" i="1"/>
  <c r="BA172" i="1"/>
  <c r="BA171" i="1"/>
  <c r="AZ171" i="1"/>
  <c r="BB171" i="1" s="1"/>
  <c r="AW171" i="1"/>
  <c r="AO171" i="1"/>
  <c r="AL171" i="1"/>
  <c r="AN172" i="1" s="1"/>
  <c r="AP171" i="1"/>
  <c r="AW170" i="1"/>
  <c r="BA170" i="1"/>
  <c r="AZ170" i="1"/>
  <c r="BB170" i="1" s="1"/>
  <c r="AZ169" i="1"/>
  <c r="BA169" i="1"/>
  <c r="AW169" i="1"/>
  <c r="AP169" i="1"/>
  <c r="AO169" i="1"/>
  <c r="AQ169" i="1" s="1"/>
  <c r="AL169" i="1"/>
  <c r="AN170" i="1" s="1"/>
  <c r="AP168" i="1"/>
  <c r="AL168" i="1"/>
  <c r="AO168" i="1"/>
  <c r="AQ168" i="1" s="1"/>
  <c r="BA167" i="1"/>
  <c r="AZ167" i="1"/>
  <c r="BB167" i="1" s="1"/>
  <c r="AW167" i="1"/>
  <c r="AY168" i="1" s="1"/>
  <c r="AP166" i="1"/>
  <c r="AL166" i="1"/>
  <c r="AN167" i="1" s="1"/>
  <c r="AO166" i="1"/>
  <c r="AQ166" i="1" s="1"/>
  <c r="AO165" i="1"/>
  <c r="AL165" i="1"/>
  <c r="AP165" i="1"/>
  <c r="BA164" i="1"/>
  <c r="AW164" i="1"/>
  <c r="AY165" i="1" s="1"/>
  <c r="AZ164" i="1"/>
  <c r="BB164" i="1" s="1"/>
  <c r="AW163" i="1"/>
  <c r="AZ163" i="1"/>
  <c r="BA163" i="1"/>
  <c r="AL162" i="1"/>
  <c r="AN163" i="1" s="1"/>
  <c r="AO162" i="1"/>
  <c r="AP162" i="1"/>
  <c r="AP161" i="1"/>
  <c r="AL161" i="1"/>
  <c r="AO161" i="1"/>
  <c r="AQ161" i="1" s="1"/>
  <c r="AW160" i="1"/>
  <c r="AY161" i="1" s="1"/>
  <c r="BA160" i="1"/>
  <c r="AZ160" i="1"/>
  <c r="BB160" i="1" s="1"/>
  <c r="AO160" i="1"/>
  <c r="AL160" i="1"/>
  <c r="AP160" i="1"/>
  <c r="AO159" i="1"/>
  <c r="AL159" i="1"/>
  <c r="AP159" i="1"/>
  <c r="AP158" i="1"/>
  <c r="AL158" i="1"/>
  <c r="AO158" i="1"/>
  <c r="AQ158" i="1" s="1"/>
  <c r="AL157" i="1"/>
  <c r="AP157" i="1"/>
  <c r="AO157" i="1"/>
  <c r="AQ157" i="1" s="1"/>
  <c r="AL156" i="1"/>
  <c r="AO156" i="1"/>
  <c r="AP156" i="1"/>
  <c r="AO155" i="1"/>
  <c r="AL155" i="1"/>
  <c r="AP155" i="1"/>
  <c r="AL154" i="1"/>
  <c r="AO154" i="1"/>
  <c r="AP154" i="1"/>
  <c r="AZ153" i="1"/>
  <c r="BA153" i="1"/>
  <c r="AW153" i="1"/>
  <c r="AY154" i="1" s="1"/>
  <c r="AP153" i="1"/>
  <c r="AL153" i="1"/>
  <c r="AO153" i="1"/>
  <c r="AQ153" i="1" s="1"/>
  <c r="AL152" i="1"/>
  <c r="AO152" i="1"/>
  <c r="AP152" i="1"/>
  <c r="AO151" i="1"/>
  <c r="AP151" i="1"/>
  <c r="AL151" i="1"/>
  <c r="AL150" i="1"/>
  <c r="AO150" i="1"/>
  <c r="AP150" i="1"/>
  <c r="AZ149" i="1"/>
  <c r="AW149" i="1"/>
  <c r="AY150" i="1" s="1"/>
  <c r="BA149" i="1"/>
  <c r="AW148" i="1"/>
  <c r="BA148" i="1"/>
  <c r="AZ148" i="1"/>
  <c r="BB148" i="1" s="1"/>
  <c r="AO148" i="1"/>
  <c r="AP148" i="1"/>
  <c r="AL148" i="1"/>
  <c r="AN149" i="1" s="1"/>
  <c r="BA147" i="1"/>
  <c r="AW147" i="1"/>
  <c r="AZ147" i="1"/>
  <c r="BB147" i="1" s="1"/>
  <c r="AL146" i="1"/>
  <c r="AN147" i="1" s="1"/>
  <c r="AP146" i="1"/>
  <c r="AO146" i="1"/>
  <c r="AW145" i="1"/>
  <c r="AY146" i="1" s="1"/>
  <c r="BA145" i="1"/>
  <c r="AZ145" i="1"/>
  <c r="BB145" i="1" s="1"/>
  <c r="AO145" i="1"/>
  <c r="AL145" i="1"/>
  <c r="AP145" i="1"/>
  <c r="AW144" i="1"/>
  <c r="BA144" i="1"/>
  <c r="AZ144" i="1"/>
  <c r="AO144" i="1"/>
  <c r="AL144" i="1"/>
  <c r="AP144" i="1"/>
  <c r="AW143" i="1"/>
  <c r="BA143" i="1"/>
  <c r="AZ143" i="1"/>
  <c r="BB143" i="1" s="1"/>
  <c r="AP143" i="1"/>
  <c r="AL143" i="1"/>
  <c r="AO143" i="1"/>
  <c r="AQ143" i="1" s="1"/>
  <c r="BE143" i="1" s="1"/>
  <c r="AO142" i="1"/>
  <c r="AL142" i="1"/>
  <c r="AP142" i="1"/>
  <c r="AL141" i="1"/>
  <c r="AO141" i="1"/>
  <c r="AP141" i="1"/>
  <c r="AW140" i="1"/>
  <c r="AY141" i="1" s="1"/>
  <c r="AZ140" i="1"/>
  <c r="BA140" i="1"/>
  <c r="AZ139" i="1"/>
  <c r="AW139" i="1"/>
  <c r="BA139" i="1"/>
  <c r="AP139" i="1"/>
  <c r="AO139" i="1"/>
  <c r="AQ139" i="1" s="1"/>
  <c r="AL139" i="1"/>
  <c r="AN140" i="1" s="1"/>
  <c r="AW138" i="1"/>
  <c r="AZ138" i="1"/>
  <c r="BA138" i="1"/>
  <c r="AZ137" i="1"/>
  <c r="AW137" i="1"/>
  <c r="BA137" i="1"/>
  <c r="BA136" i="1"/>
  <c r="AW136" i="1"/>
  <c r="AZ136" i="1"/>
  <c r="BB136" i="1" s="1"/>
  <c r="BA135" i="1"/>
  <c r="AZ135" i="1"/>
  <c r="BB135" i="1" s="1"/>
  <c r="AW135" i="1"/>
  <c r="AW134" i="1"/>
  <c r="AZ134" i="1"/>
  <c r="BA134" i="1"/>
  <c r="AL134" i="1"/>
  <c r="AN135" i="1" s="1"/>
  <c r="AO134" i="1"/>
  <c r="AP134" i="1"/>
  <c r="AW133" i="1"/>
  <c r="BA133" i="1"/>
  <c r="AZ133" i="1"/>
  <c r="AP133" i="1"/>
  <c r="AL133" i="1"/>
  <c r="AO133" i="1"/>
  <c r="AW132" i="1"/>
  <c r="AZ132" i="1"/>
  <c r="BA132" i="1"/>
  <c r="AO132" i="1"/>
  <c r="AL132" i="1"/>
  <c r="AP132" i="1"/>
  <c r="AW131" i="1"/>
  <c r="BA131" i="1"/>
  <c r="AZ131" i="1"/>
  <c r="BB131" i="1" s="1"/>
  <c r="AO131" i="1"/>
  <c r="AL131" i="1"/>
  <c r="AP131" i="1"/>
  <c r="AW130" i="1"/>
  <c r="AZ130" i="1"/>
  <c r="BA130" i="1"/>
  <c r="BA129" i="1"/>
  <c r="AZ129" i="1"/>
  <c r="BB129" i="1" s="1"/>
  <c r="AW129" i="1"/>
  <c r="AW128" i="1"/>
  <c r="BA128" i="1"/>
  <c r="AZ128" i="1"/>
  <c r="AO128" i="1"/>
  <c r="AL128" i="1"/>
  <c r="AN129" i="1" s="1"/>
  <c r="AP128" i="1"/>
  <c r="AW127" i="1"/>
  <c r="AZ127" i="1"/>
  <c r="BA127" i="1"/>
  <c r="BA126" i="1"/>
  <c r="AW126" i="1"/>
  <c r="AZ126" i="1"/>
  <c r="BB126" i="1" s="1"/>
  <c r="AO126" i="1"/>
  <c r="AL126" i="1"/>
  <c r="AN127" i="1" s="1"/>
  <c r="AP126" i="1"/>
  <c r="BA125" i="1"/>
  <c r="AW125" i="1"/>
  <c r="AZ125" i="1"/>
  <c r="AP125" i="1"/>
  <c r="AL125" i="1"/>
  <c r="AO125" i="1"/>
  <c r="AQ125" i="1" s="1"/>
  <c r="BA124" i="1"/>
  <c r="AW124" i="1"/>
  <c r="AZ124" i="1"/>
  <c r="BB124" i="1" s="1"/>
  <c r="AP123" i="1"/>
  <c r="AL123" i="1"/>
  <c r="AN124" i="1" s="1"/>
  <c r="AO123" i="1"/>
  <c r="AQ123" i="1" s="1"/>
  <c r="AO122" i="1"/>
  <c r="AL122" i="1"/>
  <c r="AP122" i="1"/>
  <c r="AL121" i="1"/>
  <c r="AP121" i="1"/>
  <c r="AO121" i="1"/>
  <c r="AQ121" i="1" s="1"/>
  <c r="AO120" i="1"/>
  <c r="AP120" i="1"/>
  <c r="AL120" i="1"/>
  <c r="AL119" i="1"/>
  <c r="AP119" i="1"/>
  <c r="AO119" i="1"/>
  <c r="AQ119" i="1" s="1"/>
  <c r="AO118" i="1"/>
  <c r="AL118" i="1"/>
  <c r="AP118" i="1"/>
  <c r="AL117" i="1"/>
  <c r="AO117" i="1"/>
  <c r="AP117" i="1"/>
  <c r="AP116" i="1"/>
  <c r="AL116" i="1"/>
  <c r="AO116" i="1"/>
  <c r="AQ116" i="1" s="1"/>
  <c r="AO115" i="1"/>
  <c r="AL115" i="1"/>
  <c r="AP115" i="1"/>
  <c r="AO114" i="1"/>
  <c r="AL114" i="1"/>
  <c r="AP114" i="1"/>
  <c r="AO113" i="1"/>
  <c r="AP113" i="1"/>
  <c r="AL113" i="1"/>
  <c r="AO112" i="1"/>
  <c r="AP112" i="1"/>
  <c r="AL112" i="1"/>
  <c r="AO111" i="1"/>
  <c r="AL111" i="1"/>
  <c r="AP111" i="1"/>
  <c r="AP110" i="1"/>
  <c r="AO110" i="1"/>
  <c r="AQ110" i="1" s="1"/>
  <c r="AL110" i="1"/>
  <c r="AO109" i="1"/>
  <c r="AL109" i="1"/>
  <c r="AP109" i="1"/>
  <c r="AP108" i="1"/>
  <c r="AL108" i="1"/>
  <c r="AO108" i="1"/>
  <c r="AQ108" i="1" s="1"/>
  <c r="AZ107" i="1"/>
  <c r="AW107" i="1"/>
  <c r="AY108" i="1" s="1"/>
  <c r="BA107" i="1"/>
  <c r="AL107" i="1"/>
  <c r="AP107" i="1"/>
  <c r="AO107" i="1"/>
  <c r="AQ107" i="1" s="1"/>
  <c r="BA106" i="1"/>
  <c r="AW106" i="1"/>
  <c r="AZ106" i="1"/>
  <c r="BB106" i="1" s="1"/>
  <c r="AP106" i="1"/>
  <c r="AL106" i="1"/>
  <c r="AO106" i="1"/>
  <c r="AQ106" i="1" s="1"/>
  <c r="AW105" i="1"/>
  <c r="AZ105" i="1"/>
  <c r="BA105" i="1"/>
  <c r="AL105" i="1"/>
  <c r="AP105" i="1"/>
  <c r="AO105" i="1"/>
  <c r="AQ105" i="1" s="1"/>
  <c r="BA104" i="1"/>
  <c r="AW104" i="1"/>
  <c r="AZ104" i="1"/>
  <c r="BB104" i="1" s="1"/>
  <c r="AP104" i="1"/>
  <c r="AL104" i="1"/>
  <c r="AO104" i="1"/>
  <c r="AQ104" i="1" s="1"/>
  <c r="AP103" i="1"/>
  <c r="AO103" i="1"/>
  <c r="AL103" i="1"/>
  <c r="AW102" i="1"/>
  <c r="AY103" i="1" s="1"/>
  <c r="AZ102" i="1"/>
  <c r="BA102" i="1"/>
  <c r="AP102" i="1"/>
  <c r="AL102" i="1"/>
  <c r="AO102" i="1"/>
  <c r="AQ102" i="1" s="1"/>
  <c r="BA101" i="1"/>
  <c r="AW101" i="1"/>
  <c r="AZ101" i="1"/>
  <c r="AL101" i="1"/>
  <c r="AP101" i="1"/>
  <c r="AO101" i="1"/>
  <c r="AQ101" i="1" s="1"/>
  <c r="AL100" i="1"/>
  <c r="AO100" i="1"/>
  <c r="AP100" i="1"/>
  <c r="AO99" i="1"/>
  <c r="AL99" i="1"/>
  <c r="AP99" i="1"/>
  <c r="AP98" i="1"/>
  <c r="AL98" i="1"/>
  <c r="AO98" i="1"/>
  <c r="AP97" i="1"/>
  <c r="AL97" i="1"/>
  <c r="AO97" i="1"/>
  <c r="AQ97" i="1" s="1"/>
  <c r="AP96" i="1"/>
  <c r="AL96" i="1"/>
  <c r="AO96" i="1"/>
  <c r="AQ96" i="1" s="1"/>
  <c r="AL95" i="1"/>
  <c r="AO95" i="1"/>
  <c r="AP95" i="1"/>
  <c r="AL94" i="1"/>
  <c r="AP94" i="1"/>
  <c r="AO94" i="1"/>
  <c r="BA93" i="1"/>
  <c r="AZ93" i="1"/>
  <c r="BB93" i="1" s="1"/>
  <c r="AW93" i="1"/>
  <c r="AY94" i="1" s="1"/>
  <c r="AO93" i="1"/>
  <c r="AP93" i="1"/>
  <c r="AL93" i="1"/>
  <c r="AL92" i="1"/>
  <c r="AO92" i="1"/>
  <c r="AP92" i="1"/>
  <c r="AP91" i="1"/>
  <c r="AL91" i="1"/>
  <c r="AO91" i="1"/>
  <c r="AO90" i="1"/>
  <c r="AL90" i="1"/>
  <c r="AP90" i="1"/>
  <c r="BA89" i="1"/>
  <c r="AZ89" i="1"/>
  <c r="BB89" i="1" s="1"/>
  <c r="AW89" i="1"/>
  <c r="AY90" i="1" s="1"/>
  <c r="AL89" i="1"/>
  <c r="AO89" i="1"/>
  <c r="AP89" i="1"/>
  <c r="AZ88" i="1"/>
  <c r="AW88" i="1"/>
  <c r="BA88" i="1"/>
  <c r="AP87" i="1"/>
  <c r="AL87" i="1"/>
  <c r="AN88" i="1" s="1"/>
  <c r="AO87" i="1"/>
  <c r="AQ87" i="1" s="1"/>
  <c r="AW86" i="1"/>
  <c r="AY87" i="1" s="1"/>
  <c r="AZ86" i="1"/>
  <c r="BA86" i="1"/>
  <c r="AZ85" i="1"/>
  <c r="BA85" i="1"/>
  <c r="AW85" i="1"/>
  <c r="AZ84" i="1"/>
  <c r="AW84" i="1"/>
  <c r="BA84" i="1"/>
  <c r="AP84" i="1"/>
  <c r="AO84" i="1"/>
  <c r="AL84" i="1"/>
  <c r="AN85" i="1" s="1"/>
  <c r="AL83" i="1"/>
  <c r="AP83" i="1"/>
  <c r="AO83" i="1"/>
  <c r="AQ83" i="1" s="1"/>
  <c r="AW82" i="1"/>
  <c r="AY83" i="1" s="1"/>
  <c r="BA82" i="1"/>
  <c r="AZ82" i="1"/>
  <c r="BB82" i="1" s="1"/>
  <c r="AZ81" i="1"/>
  <c r="AW81" i="1"/>
  <c r="BA81" i="1"/>
  <c r="AL81" i="1"/>
  <c r="AN82" i="1" s="1"/>
  <c r="AO81" i="1"/>
  <c r="AP81" i="1"/>
  <c r="AP80" i="1"/>
  <c r="AL80" i="1"/>
  <c r="AO80" i="1"/>
  <c r="AQ80" i="1" s="1"/>
  <c r="AP79" i="1"/>
  <c r="AL79" i="1"/>
  <c r="AO79" i="1"/>
  <c r="AQ79" i="1" s="1"/>
  <c r="AL78" i="1"/>
  <c r="AO78" i="1"/>
  <c r="AP78" i="1"/>
  <c r="AP77" i="1"/>
  <c r="AL77" i="1"/>
  <c r="AO77" i="1"/>
  <c r="AQ77" i="1" s="1"/>
  <c r="AW76" i="1"/>
  <c r="AY77" i="1" s="1"/>
  <c r="BA76" i="1"/>
  <c r="AZ76" i="1"/>
  <c r="AO76" i="1"/>
  <c r="AP76" i="1"/>
  <c r="AL76" i="1"/>
  <c r="BA75" i="1"/>
  <c r="AZ75" i="1"/>
  <c r="AW75" i="1"/>
  <c r="AL75" i="1"/>
  <c r="AO75" i="1"/>
  <c r="AP75" i="1"/>
  <c r="AL74" i="1"/>
  <c r="AO74" i="1"/>
  <c r="AP74" i="1"/>
  <c r="AW73" i="1"/>
  <c r="AY74" i="1" s="1"/>
  <c r="BA73" i="1"/>
  <c r="AZ73" i="1"/>
  <c r="AW72" i="1"/>
  <c r="BA72" i="1"/>
  <c r="AZ72" i="1"/>
  <c r="BB72" i="1" s="1"/>
  <c r="AL72" i="1"/>
  <c r="AN73" i="1" s="1"/>
  <c r="AO72" i="1"/>
  <c r="AP72" i="1"/>
  <c r="AP71" i="1"/>
  <c r="AO71" i="1"/>
  <c r="AQ71" i="1" s="1"/>
  <c r="AL71" i="1"/>
  <c r="AL70" i="1"/>
  <c r="AO70" i="1"/>
  <c r="AP70" i="1"/>
  <c r="BA69" i="1"/>
  <c r="AZ69" i="1"/>
  <c r="BB69" i="1" s="1"/>
  <c r="AW69" i="1"/>
  <c r="AY70" i="1" s="1"/>
  <c r="AL69" i="1"/>
  <c r="AO69" i="1"/>
  <c r="AP69" i="1"/>
  <c r="AP68" i="1"/>
  <c r="AO68" i="1"/>
  <c r="AQ68" i="1" s="1"/>
  <c r="AL68" i="1"/>
  <c r="AL67" i="1"/>
  <c r="AO67" i="1"/>
  <c r="AP67" i="1"/>
  <c r="AO66" i="1"/>
  <c r="AP66" i="1"/>
  <c r="AL66" i="1"/>
  <c r="AP65" i="1"/>
  <c r="AL65" i="1"/>
  <c r="AO65" i="1"/>
  <c r="AQ65" i="1" s="1"/>
  <c r="AW64" i="1"/>
  <c r="AY65" i="1" s="1"/>
  <c r="BA64" i="1"/>
  <c r="AZ64" i="1"/>
  <c r="BB64" i="1" s="1"/>
  <c r="AL64" i="1"/>
  <c r="AO64" i="1"/>
  <c r="AP64" i="1"/>
  <c r="AZ63" i="1"/>
  <c r="AW63" i="1"/>
  <c r="BA63" i="1"/>
  <c r="AO63" i="1"/>
  <c r="AP63" i="1"/>
  <c r="AL63" i="1"/>
  <c r="AP62" i="1"/>
  <c r="AO62" i="1"/>
  <c r="AL62" i="1"/>
  <c r="AP61" i="1"/>
  <c r="AL61" i="1"/>
  <c r="AO61" i="1"/>
  <c r="AQ61" i="1" s="1"/>
  <c r="AO60" i="1"/>
  <c r="AL60" i="1"/>
  <c r="AP60" i="1"/>
  <c r="AL59" i="1"/>
  <c r="AO59" i="1"/>
  <c r="AP59" i="1"/>
  <c r="AP58" i="1"/>
  <c r="AO58" i="1"/>
  <c r="AQ58" i="1" s="1"/>
  <c r="AL58" i="1"/>
  <c r="AO57" i="1"/>
  <c r="AL57" i="1"/>
  <c r="AP57" i="1"/>
  <c r="AO56" i="1"/>
  <c r="AP56" i="1"/>
  <c r="AL56" i="1"/>
  <c r="AO55" i="1"/>
  <c r="AL55" i="1"/>
  <c r="AP55" i="1"/>
  <c r="AP54" i="1"/>
  <c r="AO54" i="1"/>
  <c r="AQ54" i="1" s="1"/>
  <c r="AL54" i="1"/>
  <c r="AL53" i="1"/>
  <c r="AO53" i="1"/>
  <c r="AP53" i="1"/>
  <c r="AW52" i="1"/>
  <c r="AY53" i="1" s="1"/>
  <c r="BA52" i="1"/>
  <c r="AZ52" i="1"/>
  <c r="BB52" i="1" s="1"/>
  <c r="AP52" i="1"/>
  <c r="AL52" i="1"/>
  <c r="AO52" i="1"/>
  <c r="AQ52" i="1" s="1"/>
  <c r="AZ51" i="1"/>
  <c r="BA51" i="1"/>
  <c r="AW51" i="1"/>
  <c r="AL51" i="1"/>
  <c r="AP51" i="1"/>
  <c r="AO51" i="1"/>
  <c r="AQ51" i="1" s="1"/>
  <c r="AZ50" i="1"/>
  <c r="AW50" i="1"/>
  <c r="BA50" i="1"/>
  <c r="AZ49" i="1"/>
  <c r="AW49" i="1"/>
  <c r="BA49" i="1"/>
  <c r="AZ48" i="1"/>
  <c r="AW48" i="1"/>
  <c r="BA48" i="1"/>
  <c r="AZ47" i="1"/>
  <c r="AW47" i="1"/>
  <c r="BA47" i="1"/>
  <c r="BA46" i="1"/>
  <c r="AW46" i="1"/>
  <c r="AZ46" i="1"/>
  <c r="BB46" i="1" s="1"/>
  <c r="AO45" i="1"/>
  <c r="AL45" i="1"/>
  <c r="AN46" i="1" s="1"/>
  <c r="AP45" i="1"/>
  <c r="BA44" i="1"/>
  <c r="AZ44" i="1"/>
  <c r="AW44" i="1"/>
  <c r="AY45" i="1" s="1"/>
  <c r="AO44" i="1"/>
  <c r="AL44" i="1"/>
  <c r="AP44" i="1"/>
  <c r="BA43" i="1"/>
  <c r="AZ43" i="1"/>
  <c r="AW43" i="1"/>
  <c r="AW42" i="1"/>
  <c r="BA42" i="1"/>
  <c r="AZ42" i="1"/>
  <c r="BB42" i="1" s="1"/>
  <c r="AP42" i="1"/>
  <c r="AL42" i="1"/>
  <c r="AN43" i="1" s="1"/>
  <c r="AO42" i="1"/>
  <c r="AL41" i="1"/>
  <c r="AP41" i="1"/>
  <c r="AO41" i="1"/>
  <c r="BA40" i="1"/>
  <c r="AW40" i="1"/>
  <c r="AY41" i="1" s="1"/>
  <c r="AZ40" i="1"/>
  <c r="BB40" i="1" s="1"/>
  <c r="AL40" i="1"/>
  <c r="AO40" i="1"/>
  <c r="AP40" i="1"/>
  <c r="BA39" i="1"/>
  <c r="AW39" i="1"/>
  <c r="AZ39" i="1"/>
  <c r="AO39" i="1"/>
  <c r="AL39" i="1"/>
  <c r="AP39" i="1"/>
  <c r="AO38" i="1"/>
  <c r="AL38" i="1"/>
  <c r="AP38" i="1"/>
  <c r="AP37" i="1"/>
  <c r="AL37" i="1"/>
  <c r="AO37" i="1"/>
  <c r="AP36" i="1"/>
  <c r="AO36" i="1"/>
  <c r="AQ36" i="1" s="1"/>
  <c r="AL36" i="1"/>
  <c r="AP35" i="1"/>
  <c r="AL35" i="1"/>
  <c r="AO35" i="1"/>
  <c r="AQ35" i="1" s="1"/>
  <c r="AL34" i="1"/>
  <c r="AO34" i="1"/>
  <c r="AP34" i="1"/>
  <c r="AL33" i="1"/>
  <c r="AO33" i="1"/>
  <c r="AP33" i="1"/>
  <c r="AP32" i="1"/>
  <c r="AL32" i="1"/>
  <c r="AO32" i="1"/>
  <c r="AQ32" i="1" s="1"/>
  <c r="AP31" i="1"/>
  <c r="AL31" i="1"/>
  <c r="AO31" i="1"/>
  <c r="AQ31" i="1" s="1"/>
  <c r="AP30" i="1"/>
  <c r="AL30" i="1"/>
  <c r="AO30" i="1"/>
  <c r="AQ30" i="1" s="1"/>
  <c r="AP29" i="1"/>
  <c r="AL29" i="1"/>
  <c r="AO29" i="1"/>
  <c r="AQ29" i="1" s="1"/>
  <c r="AO28" i="1"/>
  <c r="AP28" i="1"/>
  <c r="AL28" i="1"/>
  <c r="AP27" i="1"/>
  <c r="AL27" i="1"/>
  <c r="AO27" i="1"/>
  <c r="AQ27" i="1" s="1"/>
  <c r="AW26" i="1"/>
  <c r="AY27" i="1" s="1"/>
  <c r="BA26" i="1"/>
  <c r="AZ26" i="1"/>
  <c r="AL26" i="1"/>
  <c r="AP26" i="1"/>
  <c r="AO26" i="1"/>
  <c r="AQ26" i="1" s="1"/>
  <c r="AW25" i="1"/>
  <c r="BA25" i="1"/>
  <c r="AZ25" i="1"/>
  <c r="AL24" i="1"/>
  <c r="AN25" i="1" s="1"/>
  <c r="AO24" i="1"/>
  <c r="AP24" i="1"/>
  <c r="AW23" i="1"/>
  <c r="AY24" i="1" s="1"/>
  <c r="BA23" i="1"/>
  <c r="AZ23" i="1"/>
  <c r="AP23" i="1"/>
  <c r="AL23" i="1"/>
  <c r="AO23" i="1"/>
  <c r="AQ23" i="1" s="1"/>
  <c r="BA22" i="1"/>
  <c r="AZ22" i="1"/>
  <c r="BB22" i="1" s="1"/>
  <c r="AP22" i="1"/>
  <c r="AO22" i="1"/>
  <c r="AQ22" i="1" s="1"/>
  <c r="BB125" i="1" l="1"/>
  <c r="BA173" i="1"/>
  <c r="AW173" i="1"/>
  <c r="AY174" i="1" s="1"/>
  <c r="AZ173" i="1"/>
  <c r="BA168" i="1"/>
  <c r="AZ168" i="1"/>
  <c r="AW168" i="1"/>
  <c r="AZ165" i="1"/>
  <c r="BA165" i="1"/>
  <c r="AW165" i="1"/>
  <c r="AY166" i="1" s="1"/>
  <c r="AW161" i="1"/>
  <c r="AY162" i="1" s="1"/>
  <c r="BA161" i="1"/>
  <c r="AZ161" i="1"/>
  <c r="BB161" i="1" s="1"/>
  <c r="BE161" i="1" s="1"/>
  <c r="AZ90" i="1"/>
  <c r="AW90" i="1"/>
  <c r="AY91" i="1" s="1"/>
  <c r="BA90" i="1"/>
  <c r="BA87" i="1"/>
  <c r="AW87" i="1"/>
  <c r="AZ87" i="1"/>
  <c r="BB87" i="1" s="1"/>
  <c r="BA70" i="1"/>
  <c r="AZ70" i="1"/>
  <c r="AW70" i="1"/>
  <c r="AY71" i="1" s="1"/>
  <c r="AZ65" i="1"/>
  <c r="BA65" i="1"/>
  <c r="AW65" i="1"/>
  <c r="AY66" i="1" s="1"/>
  <c r="AZ53" i="1"/>
  <c r="BA53" i="1"/>
  <c r="AW53" i="1"/>
  <c r="AY54" i="1" s="1"/>
  <c r="AW45" i="1"/>
  <c r="AZ45" i="1"/>
  <c r="BA45" i="1"/>
  <c r="BB43" i="1"/>
  <c r="AQ41" i="1"/>
  <c r="AL170" i="1"/>
  <c r="AO170" i="1"/>
  <c r="AP170" i="1"/>
  <c r="AL163" i="1"/>
  <c r="AN164" i="1" s="1"/>
  <c r="AO163" i="1"/>
  <c r="AP163" i="1"/>
  <c r="AP147" i="1"/>
  <c r="AL147" i="1"/>
  <c r="AO147" i="1"/>
  <c r="AL140" i="1"/>
  <c r="AO140" i="1"/>
  <c r="AP140" i="1"/>
  <c r="AL88" i="1"/>
  <c r="AP88" i="1"/>
  <c r="AO88" i="1"/>
  <c r="AP85" i="1"/>
  <c r="AL85" i="1"/>
  <c r="AN86" i="1" s="1"/>
  <c r="AO85" i="1"/>
  <c r="AQ85" i="1" s="1"/>
  <c r="BB25" i="1"/>
  <c r="BB76" i="1"/>
  <c r="BB44" i="1"/>
  <c r="BB39" i="1"/>
  <c r="AQ94" i="1"/>
  <c r="BB144" i="1"/>
  <c r="BB101" i="1"/>
  <c r="BB73" i="1"/>
  <c r="BB26" i="1"/>
  <c r="BE125" i="1"/>
  <c r="AZ166" i="1"/>
  <c r="AW166" i="1"/>
  <c r="BA166" i="1"/>
  <c r="BA154" i="1"/>
  <c r="AW154" i="1"/>
  <c r="AY155" i="1" s="1"/>
  <c r="AZ154" i="1"/>
  <c r="AW150" i="1"/>
  <c r="AY151" i="1" s="1"/>
  <c r="BA150" i="1"/>
  <c r="AZ150" i="1"/>
  <c r="AW146" i="1"/>
  <c r="BA146" i="1"/>
  <c r="AZ146" i="1"/>
  <c r="BA94" i="1"/>
  <c r="AW94" i="1"/>
  <c r="AY95" i="1" s="1"/>
  <c r="AZ94" i="1"/>
  <c r="BB94" i="1" s="1"/>
  <c r="BA83" i="1"/>
  <c r="AZ83" i="1"/>
  <c r="AW83" i="1"/>
  <c r="AZ74" i="1"/>
  <c r="BA74" i="1"/>
  <c r="AW74" i="1"/>
  <c r="BA71" i="1"/>
  <c r="AZ71" i="1"/>
  <c r="BB71" i="1" s="1"/>
  <c r="BE71" i="1" s="1"/>
  <c r="AW71" i="1"/>
  <c r="AW41" i="1"/>
  <c r="AZ41" i="1"/>
  <c r="BA41" i="1"/>
  <c r="AW27" i="1"/>
  <c r="AY28" i="1" s="1"/>
  <c r="AZ27" i="1"/>
  <c r="BA27" i="1"/>
  <c r="AW24" i="1"/>
  <c r="BA24" i="1"/>
  <c r="AZ24" i="1"/>
  <c r="BB24" i="1" s="1"/>
  <c r="BB75" i="1"/>
  <c r="BB90" i="1"/>
  <c r="BB85" i="1"/>
  <c r="BE85" i="1" s="1"/>
  <c r="BB48" i="1"/>
  <c r="BE26" i="1"/>
  <c r="AQ84" i="1"/>
  <c r="AP175" i="1"/>
  <c r="AL175" i="1"/>
  <c r="AO175" i="1"/>
  <c r="AO172" i="1"/>
  <c r="AP172" i="1"/>
  <c r="AL172" i="1"/>
  <c r="AP167" i="1"/>
  <c r="AL167" i="1"/>
  <c r="AO167" i="1"/>
  <c r="AO164" i="1"/>
  <c r="AP164" i="1"/>
  <c r="AL164" i="1"/>
  <c r="AP149" i="1"/>
  <c r="AL149" i="1"/>
  <c r="AO149" i="1"/>
  <c r="AL124" i="1"/>
  <c r="AO124" i="1"/>
  <c r="AP124" i="1"/>
  <c r="AP86" i="1"/>
  <c r="AO86" i="1"/>
  <c r="AL86" i="1"/>
  <c r="AL82" i="1"/>
  <c r="AO82" i="1"/>
  <c r="AP82" i="1"/>
  <c r="AO73" i="1"/>
  <c r="AL73" i="1"/>
  <c r="AP73" i="1"/>
  <c r="AL46" i="1"/>
  <c r="AN47" i="1" s="1"/>
  <c r="AP46" i="1"/>
  <c r="AO46" i="1"/>
  <c r="AO43" i="1"/>
  <c r="AP43" i="1"/>
  <c r="AL43" i="1"/>
  <c r="AP25" i="1"/>
  <c r="AO25" i="1"/>
  <c r="AL25" i="1"/>
  <c r="AQ42" i="1"/>
  <c r="AQ37" i="1"/>
  <c r="AQ146" i="1"/>
  <c r="AQ133" i="1"/>
  <c r="AQ62" i="1"/>
  <c r="AQ103" i="1"/>
  <c r="BE52" i="1"/>
  <c r="BE42" i="1"/>
  <c r="BB133" i="1"/>
  <c r="BE133" i="1" s="1"/>
  <c r="BE106" i="1"/>
  <c r="BE104" i="1"/>
  <c r="BE101" i="1"/>
  <c r="BE94" i="1"/>
  <c r="BE87" i="1"/>
  <c r="BB86" i="1"/>
  <c r="BB49" i="1"/>
  <c r="BB23" i="1"/>
  <c r="BB70" i="1"/>
  <c r="AQ92" i="1"/>
  <c r="AQ89" i="1"/>
  <c r="BE89" i="1" s="1"/>
  <c r="AQ86" i="1"/>
  <c r="AQ76" i="1"/>
  <c r="BE76" i="1" s="1"/>
  <c r="AQ72" i="1"/>
  <c r="BE72" i="1" s="1"/>
  <c r="AQ67" i="1"/>
  <c r="AQ66" i="1"/>
  <c r="AQ64" i="1"/>
  <c r="BE64" i="1" s="1"/>
  <c r="AQ60" i="1"/>
  <c r="AQ59" i="1"/>
  <c r="AQ57" i="1"/>
  <c r="AQ56" i="1"/>
  <c r="AQ39" i="1"/>
  <c r="BE39" i="1" s="1"/>
  <c r="AQ34" i="1"/>
  <c r="AQ33" i="1"/>
  <c r="AQ24" i="1"/>
  <c r="BE24" i="1" s="1"/>
  <c r="BB128" i="1"/>
  <c r="BB51" i="1"/>
  <c r="BE51" i="1" s="1"/>
  <c r="BB88" i="1"/>
  <c r="BB74" i="1"/>
  <c r="BB50" i="1"/>
  <c r="AQ38" i="1"/>
  <c r="AQ46" i="1"/>
  <c r="BE46" i="1" s="1"/>
  <c r="AQ44" i="1"/>
  <c r="BE44" i="1" s="1"/>
  <c r="BB81" i="1"/>
  <c r="AQ74" i="1"/>
  <c r="BE74" i="1" s="1"/>
  <c r="BB63" i="1"/>
  <c r="AQ25" i="1"/>
  <c r="BE25" i="1" s="1"/>
  <c r="AQ63" i="1"/>
  <c r="BE63" i="1" s="1"/>
  <c r="AQ93" i="1"/>
  <c r="BE93" i="1" s="1"/>
  <c r="AQ81" i="1"/>
  <c r="BE81" i="1" s="1"/>
  <c r="AW155" i="1"/>
  <c r="AY156" i="1" s="1"/>
  <c r="BA155" i="1"/>
  <c r="AZ155" i="1"/>
  <c r="BB155" i="1" s="1"/>
  <c r="AZ141" i="1"/>
  <c r="AW141" i="1"/>
  <c r="AY142" i="1" s="1"/>
  <c r="BA141" i="1"/>
  <c r="AL135" i="1"/>
  <c r="AN136" i="1" s="1"/>
  <c r="AO135" i="1"/>
  <c r="AP135" i="1"/>
  <c r="AP129" i="1"/>
  <c r="AL129" i="1"/>
  <c r="AN130" i="1" s="1"/>
  <c r="AO129" i="1"/>
  <c r="AQ129" i="1" s="1"/>
  <c r="BE129" i="1" s="1"/>
  <c r="AP127" i="1"/>
  <c r="AO127" i="1"/>
  <c r="AQ127" i="1" s="1"/>
  <c r="AL127" i="1"/>
  <c r="AZ108" i="1"/>
  <c r="AW108" i="1"/>
  <c r="AY109" i="1" s="1"/>
  <c r="BA108" i="1"/>
  <c r="AW103" i="1"/>
  <c r="AZ103" i="1"/>
  <c r="BA103" i="1"/>
  <c r="BA91" i="1"/>
  <c r="AZ91" i="1"/>
  <c r="BB91" i="1" s="1"/>
  <c r="AW91" i="1"/>
  <c r="AY92" i="1" s="1"/>
  <c r="AZ77" i="1"/>
  <c r="BA77" i="1"/>
  <c r="AW77" i="1"/>
  <c r="AY78" i="1" s="1"/>
  <c r="BC22" i="1"/>
  <c r="BC23" i="1" s="1"/>
  <c r="BC24" i="1" s="1"/>
  <c r="BC25" i="1" s="1"/>
  <c r="BC26" i="1" s="1"/>
  <c r="AR22" i="1"/>
  <c r="AR23" i="1" s="1"/>
  <c r="AR24" i="1" s="1"/>
  <c r="AR25" i="1" s="1"/>
  <c r="AR26" i="1" s="1"/>
  <c r="AR27" i="1" s="1"/>
  <c r="BE22" i="1"/>
  <c r="AQ176" i="1"/>
  <c r="BE176" i="1" s="1"/>
  <c r="AQ175" i="1"/>
  <c r="BE175" i="1" s="1"/>
  <c r="AQ174" i="1"/>
  <c r="BB173" i="1"/>
  <c r="AQ173" i="1"/>
  <c r="BE173" i="1" s="1"/>
  <c r="BB172" i="1"/>
  <c r="AQ171" i="1"/>
  <c r="BE171" i="1" s="1"/>
  <c r="AQ170" i="1"/>
  <c r="BE170" i="1" s="1"/>
  <c r="BB169" i="1"/>
  <c r="BE169" i="1" s="1"/>
  <c r="BB168" i="1"/>
  <c r="BE168" i="1" s="1"/>
  <c r="AQ167" i="1"/>
  <c r="BE167" i="1" s="1"/>
  <c r="BB166" i="1"/>
  <c r="BE166" i="1" s="1"/>
  <c r="AQ165" i="1"/>
  <c r="BB163" i="1"/>
  <c r="AQ162" i="1"/>
  <c r="AQ160" i="1"/>
  <c r="BE160" i="1" s="1"/>
  <c r="AQ159" i="1"/>
  <c r="AQ156" i="1"/>
  <c r="AQ155" i="1"/>
  <c r="BE155" i="1" s="1"/>
  <c r="BB154" i="1"/>
  <c r="AQ154" i="1"/>
  <c r="BE154" i="1" s="1"/>
  <c r="BB153" i="1"/>
  <c r="BE153" i="1" s="1"/>
  <c r="AQ152" i="1"/>
  <c r="AQ151" i="1"/>
  <c r="BB150" i="1"/>
  <c r="AQ150" i="1"/>
  <c r="BB149" i="1"/>
  <c r="AQ149" i="1"/>
  <c r="AQ148" i="1"/>
  <c r="BE148" i="1" s="1"/>
  <c r="AQ147" i="1"/>
  <c r="BE147" i="1" s="1"/>
  <c r="BB146" i="1"/>
  <c r="BE146" i="1" s="1"/>
  <c r="AQ145" i="1"/>
  <c r="BE145" i="1" s="1"/>
  <c r="AQ144" i="1"/>
  <c r="BE144" i="1" s="1"/>
  <c r="AQ142" i="1"/>
  <c r="AQ141" i="1"/>
  <c r="BB140" i="1"/>
  <c r="BB139" i="1"/>
  <c r="BE139" i="1" s="1"/>
  <c r="BB138" i="1"/>
  <c r="BB137" i="1"/>
  <c r="BB134" i="1"/>
  <c r="AQ134" i="1"/>
  <c r="BB132" i="1"/>
  <c r="AQ132" i="1"/>
  <c r="BE132" i="1" s="1"/>
  <c r="AQ131" i="1"/>
  <c r="BE131" i="1" s="1"/>
  <c r="BB130" i="1"/>
  <c r="AQ128" i="1"/>
  <c r="BE128" i="1" s="1"/>
  <c r="BB127" i="1"/>
  <c r="AQ126" i="1"/>
  <c r="BE126" i="1" s="1"/>
  <c r="AQ122" i="1"/>
  <c r="AQ120" i="1"/>
  <c r="AQ118" i="1"/>
  <c r="AQ117" i="1"/>
  <c r="AQ115" i="1"/>
  <c r="AQ114" i="1"/>
  <c r="AQ113" i="1"/>
  <c r="AQ112" i="1"/>
  <c r="AQ111" i="1"/>
  <c r="AQ109" i="1"/>
  <c r="BB107" i="1"/>
  <c r="BE107" i="1" s="1"/>
  <c r="BB105" i="1"/>
  <c r="BE105" i="1" s="1"/>
  <c r="BB102" i="1"/>
  <c r="BE102" i="1" s="1"/>
  <c r="AQ100" i="1"/>
  <c r="AQ91" i="1"/>
  <c r="BE91" i="1" s="1"/>
  <c r="AQ75" i="1"/>
  <c r="BE75" i="1" s="1"/>
  <c r="AQ70" i="1"/>
  <c r="BE70" i="1" s="1"/>
  <c r="AQ53" i="1"/>
  <c r="BB47" i="1"/>
  <c r="BB45" i="1"/>
  <c r="BB27" i="1"/>
  <c r="AQ69" i="1"/>
  <c r="BE69" i="1" s="1"/>
  <c r="AQ28" i="1"/>
  <c r="AQ99" i="1"/>
  <c r="AQ90" i="1"/>
  <c r="BE90" i="1" s="1"/>
  <c r="BB84" i="1"/>
  <c r="BE84" i="1" s="1"/>
  <c r="AQ55" i="1"/>
  <c r="BB53" i="1"/>
  <c r="AQ45" i="1"/>
  <c r="BE45" i="1" s="1"/>
  <c r="AQ98" i="1"/>
  <c r="AQ95" i="1"/>
  <c r="AQ88" i="1"/>
  <c r="BE88" i="1" s="1"/>
  <c r="AQ78" i="1"/>
  <c r="BB65" i="1"/>
  <c r="BE65" i="1" s="1"/>
  <c r="AQ40" i="1"/>
  <c r="BE40" i="1" s="1"/>
  <c r="BE23" i="1"/>
  <c r="BA174" i="1" l="1"/>
  <c r="AZ174" i="1"/>
  <c r="BB174" i="1" s="1"/>
  <c r="AW174" i="1"/>
  <c r="AZ162" i="1"/>
  <c r="AW162" i="1"/>
  <c r="BA162" i="1"/>
  <c r="AZ66" i="1"/>
  <c r="BA66" i="1"/>
  <c r="AW66" i="1"/>
  <c r="AY67" i="1" s="1"/>
  <c r="AW54" i="1"/>
  <c r="AY55" i="1" s="1"/>
  <c r="BA54" i="1"/>
  <c r="AZ54" i="1"/>
  <c r="BB54" i="1" s="1"/>
  <c r="BE54" i="1" s="1"/>
  <c r="BE86" i="1"/>
  <c r="BE174" i="1"/>
  <c r="BB165" i="1"/>
  <c r="BE165" i="1" s="1"/>
  <c r="AZ151" i="1"/>
  <c r="AW151" i="1"/>
  <c r="AY152" i="1" s="1"/>
  <c r="BA151" i="1"/>
  <c r="AQ163" i="1"/>
  <c r="BE163" i="1" s="1"/>
  <c r="AQ140" i="1"/>
  <c r="BE140" i="1" s="1"/>
  <c r="BB83" i="1"/>
  <c r="BE83" i="1" s="1"/>
  <c r="BE149" i="1"/>
  <c r="BE134" i="1"/>
  <c r="BA95" i="1"/>
  <c r="AZ95" i="1"/>
  <c r="BB95" i="1" s="1"/>
  <c r="BE95" i="1" s="1"/>
  <c r="AW95" i="1"/>
  <c r="AY96" i="1" s="1"/>
  <c r="BA28" i="1"/>
  <c r="AW28" i="1"/>
  <c r="AY29" i="1" s="1"/>
  <c r="AZ28" i="1"/>
  <c r="BE150" i="1"/>
  <c r="BB41" i="1"/>
  <c r="BE41" i="1" s="1"/>
  <c r="BA142" i="1"/>
  <c r="AW142" i="1"/>
  <c r="AZ142" i="1"/>
  <c r="BB142" i="1" s="1"/>
  <c r="BE142" i="1" s="1"/>
  <c r="AW109" i="1"/>
  <c r="AY110" i="1" s="1"/>
  <c r="BA109" i="1"/>
  <c r="AZ109" i="1"/>
  <c r="BB109" i="1" s="1"/>
  <c r="BE109" i="1" s="1"/>
  <c r="AQ164" i="1"/>
  <c r="BE164" i="1" s="1"/>
  <c r="AO47" i="1"/>
  <c r="AL47" i="1"/>
  <c r="AN48" i="1" s="1"/>
  <c r="AP47" i="1"/>
  <c r="AQ172" i="1"/>
  <c r="BE172" i="1" s="1"/>
  <c r="AQ124" i="1"/>
  <c r="BE124" i="1" s="1"/>
  <c r="AQ82" i="1"/>
  <c r="BE82" i="1" s="1"/>
  <c r="AQ73" i="1"/>
  <c r="BE73" i="1" s="1"/>
  <c r="AQ43" i="1"/>
  <c r="BE43" i="1" s="1"/>
  <c r="AW156" i="1"/>
  <c r="AY157" i="1" s="1"/>
  <c r="BA156" i="1"/>
  <c r="AZ156" i="1"/>
  <c r="AP136" i="1"/>
  <c r="AL136" i="1"/>
  <c r="AN137" i="1" s="1"/>
  <c r="AO136" i="1"/>
  <c r="AQ136" i="1" s="1"/>
  <c r="BE136" i="1" s="1"/>
  <c r="AP130" i="1"/>
  <c r="AL130" i="1"/>
  <c r="AO130" i="1"/>
  <c r="AQ130" i="1" s="1"/>
  <c r="BE130" i="1" s="1"/>
  <c r="BA92" i="1"/>
  <c r="AW92" i="1"/>
  <c r="AZ92" i="1"/>
  <c r="BB92" i="1" s="1"/>
  <c r="BE92" i="1" s="1"/>
  <c r="BA78" i="1"/>
  <c r="AZ78" i="1"/>
  <c r="BB78" i="1" s="1"/>
  <c r="BE78" i="1" s="1"/>
  <c r="AW78" i="1"/>
  <c r="AY79" i="1" s="1"/>
  <c r="BF22" i="1"/>
  <c r="BF23" i="1" s="1"/>
  <c r="BF24" i="1" s="1"/>
  <c r="BF25" i="1" s="1"/>
  <c r="BF26" i="1" s="1"/>
  <c r="BB141" i="1"/>
  <c r="BE141" i="1" s="1"/>
  <c r="AQ135" i="1"/>
  <c r="BE135" i="1" s="1"/>
  <c r="BE127" i="1"/>
  <c r="BB108" i="1"/>
  <c r="BE108" i="1" s="1"/>
  <c r="BB103" i="1"/>
  <c r="BE103" i="1" s="1"/>
  <c r="BB77" i="1"/>
  <c r="BE77" i="1" s="1"/>
  <c r="BC27" i="1"/>
  <c r="AR28" i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BE53" i="1"/>
  <c r="BE27" i="1"/>
  <c r="BA67" i="1" l="1"/>
  <c r="AW67" i="1"/>
  <c r="AY68" i="1" s="1"/>
  <c r="AZ67" i="1"/>
  <c r="BB67" i="1" s="1"/>
  <c r="BE67" i="1" s="1"/>
  <c r="BA55" i="1"/>
  <c r="AZ55" i="1"/>
  <c r="BB55" i="1" s="1"/>
  <c r="BE55" i="1" s="1"/>
  <c r="AW55" i="1"/>
  <c r="AY56" i="1" s="1"/>
  <c r="BA152" i="1"/>
  <c r="AW152" i="1"/>
  <c r="AZ152" i="1"/>
  <c r="BB152" i="1" s="1"/>
  <c r="BE152" i="1" s="1"/>
  <c r="BB162" i="1"/>
  <c r="BE162" i="1" s="1"/>
  <c r="BB66" i="1"/>
  <c r="BE66" i="1" s="1"/>
  <c r="BB151" i="1"/>
  <c r="BE151" i="1" s="1"/>
  <c r="BB28" i="1"/>
  <c r="BA96" i="1"/>
  <c r="AW96" i="1"/>
  <c r="AY97" i="1" s="1"/>
  <c r="AZ96" i="1"/>
  <c r="BB96" i="1" s="1"/>
  <c r="BE96" i="1" s="1"/>
  <c r="BA29" i="1"/>
  <c r="AW29" i="1"/>
  <c r="AY30" i="1" s="1"/>
  <c r="AZ29" i="1"/>
  <c r="BB29" i="1" s="1"/>
  <c r="AZ110" i="1"/>
  <c r="AW110" i="1"/>
  <c r="AY111" i="1" s="1"/>
  <c r="BA110" i="1"/>
  <c r="BA79" i="1"/>
  <c r="AW79" i="1"/>
  <c r="AY80" i="1" s="1"/>
  <c r="AZ79" i="1"/>
  <c r="BB79" i="1" s="1"/>
  <c r="BE79" i="1" s="1"/>
  <c r="AO48" i="1"/>
  <c r="AL48" i="1"/>
  <c r="AN49" i="1" s="1"/>
  <c r="AP48" i="1"/>
  <c r="AQ47" i="1"/>
  <c r="BB156" i="1"/>
  <c r="BE156" i="1" s="1"/>
  <c r="BF27" i="1"/>
  <c r="BA157" i="1"/>
  <c r="AZ157" i="1"/>
  <c r="BB157" i="1" s="1"/>
  <c r="BE157" i="1" s="1"/>
  <c r="AW157" i="1"/>
  <c r="AY158" i="1" s="1"/>
  <c r="AO137" i="1"/>
  <c r="AL137" i="1"/>
  <c r="AN138" i="1" s="1"/>
  <c r="AP137" i="1"/>
  <c r="BA68" i="1" l="1"/>
  <c r="AW68" i="1"/>
  <c r="AZ68" i="1"/>
  <c r="BB68" i="1" s="1"/>
  <c r="BE68" i="1" s="1"/>
  <c r="AW56" i="1"/>
  <c r="AY57" i="1" s="1"/>
  <c r="AZ56" i="1"/>
  <c r="BA56" i="1"/>
  <c r="BC28" i="1"/>
  <c r="BE28" i="1"/>
  <c r="BF28" i="1" s="1"/>
  <c r="AW97" i="1"/>
  <c r="AY98" i="1" s="1"/>
  <c r="AZ97" i="1"/>
  <c r="BA97" i="1"/>
  <c r="AW30" i="1"/>
  <c r="AY31" i="1" s="1"/>
  <c r="AZ30" i="1"/>
  <c r="BA30" i="1"/>
  <c r="BC29" i="1"/>
  <c r="BE29" i="1"/>
  <c r="AZ111" i="1"/>
  <c r="BA111" i="1"/>
  <c r="AW111" i="1"/>
  <c r="AY112" i="1" s="1"/>
  <c r="BA80" i="1"/>
  <c r="AW80" i="1"/>
  <c r="AZ80" i="1"/>
  <c r="BB110" i="1"/>
  <c r="BE110" i="1" s="1"/>
  <c r="AP49" i="1"/>
  <c r="AO49" i="1"/>
  <c r="AL49" i="1"/>
  <c r="AN50" i="1" s="1"/>
  <c r="AR47" i="1"/>
  <c r="BE47" i="1"/>
  <c r="AQ48" i="1"/>
  <c r="BE48" i="1" s="1"/>
  <c r="BA158" i="1"/>
  <c r="AW158" i="1"/>
  <c r="AY159" i="1" s="1"/>
  <c r="AZ158" i="1"/>
  <c r="BB158" i="1" s="1"/>
  <c r="BE158" i="1" s="1"/>
  <c r="AO138" i="1"/>
  <c r="AL138" i="1"/>
  <c r="AP138" i="1"/>
  <c r="AQ137" i="1"/>
  <c r="AZ57" i="1" l="1"/>
  <c r="BA57" i="1"/>
  <c r="AW57" i="1"/>
  <c r="AY58" i="1" s="1"/>
  <c r="BB56" i="1"/>
  <c r="BE56" i="1" s="1"/>
  <c r="AQ49" i="1"/>
  <c r="BE49" i="1" s="1"/>
  <c r="BF29" i="1"/>
  <c r="BB80" i="1"/>
  <c r="BE80" i="1" s="1"/>
  <c r="AZ98" i="1"/>
  <c r="BA98" i="1"/>
  <c r="AW98" i="1"/>
  <c r="AY99" i="1" s="1"/>
  <c r="AZ31" i="1"/>
  <c r="BA31" i="1"/>
  <c r="AW31" i="1"/>
  <c r="AY32" i="1" s="1"/>
  <c r="AZ112" i="1"/>
  <c r="BA112" i="1"/>
  <c r="AW112" i="1"/>
  <c r="AY113" i="1" s="1"/>
  <c r="BB97" i="1"/>
  <c r="BE97" i="1" s="1"/>
  <c r="BB30" i="1"/>
  <c r="BB111" i="1"/>
  <c r="BE111" i="1" s="1"/>
  <c r="BA159" i="1"/>
  <c r="AW159" i="1"/>
  <c r="AZ159" i="1"/>
  <c r="BB159" i="1" s="1"/>
  <c r="BE159" i="1" s="1"/>
  <c r="AP50" i="1"/>
  <c r="AL50" i="1"/>
  <c r="AO50" i="1"/>
  <c r="AQ50" i="1" s="1"/>
  <c r="BE50" i="1" s="1"/>
  <c r="AR48" i="1"/>
  <c r="AR49" i="1" s="1"/>
  <c r="BE137" i="1"/>
  <c r="AQ138" i="1"/>
  <c r="AQ19" i="1" s="1"/>
  <c r="AW58" i="1" l="1"/>
  <c r="AY59" i="1" s="1"/>
  <c r="BA58" i="1"/>
  <c r="AZ58" i="1"/>
  <c r="BB58" i="1" s="1"/>
  <c r="BE58" i="1" s="1"/>
  <c r="BB57" i="1"/>
  <c r="BE57" i="1" s="1"/>
  <c r="BA99" i="1"/>
  <c r="AW99" i="1"/>
  <c r="AY100" i="1" s="1"/>
  <c r="AZ99" i="1"/>
  <c r="BB99" i="1" s="1"/>
  <c r="BE99" i="1" s="1"/>
  <c r="BA32" i="1"/>
  <c r="AW32" i="1"/>
  <c r="AY33" i="1" s="1"/>
  <c r="AZ32" i="1"/>
  <c r="BB32" i="1" s="1"/>
  <c r="BE32" i="1" s="1"/>
  <c r="AW113" i="1"/>
  <c r="AY114" i="1" s="1"/>
  <c r="BA113" i="1"/>
  <c r="AZ113" i="1"/>
  <c r="BB113" i="1" s="1"/>
  <c r="BE113" i="1" s="1"/>
  <c r="BC30" i="1"/>
  <c r="BE30" i="1"/>
  <c r="BF30" i="1" s="1"/>
  <c r="BB31" i="1"/>
  <c r="BB98" i="1"/>
  <c r="BE98" i="1" s="1"/>
  <c r="BB112" i="1"/>
  <c r="BE112" i="1" s="1"/>
  <c r="AR50" i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38" i="1"/>
  <c r="AQ14" i="1"/>
  <c r="AQ15" i="1"/>
  <c r="BA59" i="1" l="1"/>
  <c r="AW59" i="1"/>
  <c r="AY60" i="1" s="1"/>
  <c r="AZ59" i="1"/>
  <c r="BB59" i="1" s="1"/>
  <c r="BE59" i="1" s="1"/>
  <c r="AW100" i="1"/>
  <c r="AZ100" i="1"/>
  <c r="BA100" i="1"/>
  <c r="BA33" i="1"/>
  <c r="AZ33" i="1"/>
  <c r="BB33" i="1" s="1"/>
  <c r="BE33" i="1" s="1"/>
  <c r="AW33" i="1"/>
  <c r="AY34" i="1" s="1"/>
  <c r="AZ114" i="1"/>
  <c r="AW114" i="1"/>
  <c r="AY115" i="1" s="1"/>
  <c r="BA114" i="1"/>
  <c r="BE31" i="1"/>
  <c r="BF31" i="1" s="1"/>
  <c r="BF32" i="1" s="1"/>
  <c r="BC31" i="1"/>
  <c r="BC32" i="1" s="1"/>
  <c r="BC33" i="1" s="1"/>
  <c r="AQ16" i="1"/>
  <c r="AI1" i="1" s="1"/>
  <c r="AZ60" i="1" l="1"/>
  <c r="BA60" i="1"/>
  <c r="AW60" i="1"/>
  <c r="AY61" i="1" s="1"/>
  <c r="BF33" i="1"/>
  <c r="AZ34" i="1"/>
  <c r="AW34" i="1"/>
  <c r="AY35" i="1" s="1"/>
  <c r="BA34" i="1"/>
  <c r="AZ115" i="1"/>
  <c r="BA115" i="1"/>
  <c r="AW115" i="1"/>
  <c r="AY116" i="1" s="1"/>
  <c r="BB100" i="1"/>
  <c r="BE100" i="1" s="1"/>
  <c r="BB114" i="1"/>
  <c r="BE114" i="1" s="1"/>
  <c r="BA61" i="1" l="1"/>
  <c r="AW61" i="1"/>
  <c r="AY62" i="1" s="1"/>
  <c r="AZ61" i="1"/>
  <c r="BB61" i="1" s="1"/>
  <c r="BE61" i="1" s="1"/>
  <c r="BB60" i="1"/>
  <c r="BE60" i="1" s="1"/>
  <c r="AZ116" i="1"/>
  <c r="BA116" i="1"/>
  <c r="AW116" i="1"/>
  <c r="AY117" i="1" s="1"/>
  <c r="BA35" i="1"/>
  <c r="AW35" i="1"/>
  <c r="AY36" i="1" s="1"/>
  <c r="AZ35" i="1"/>
  <c r="BB35" i="1" s="1"/>
  <c r="BE35" i="1" s="1"/>
  <c r="BB34" i="1"/>
  <c r="BB115" i="1"/>
  <c r="BE115" i="1" s="1"/>
  <c r="AW62" i="1" l="1"/>
  <c r="AZ62" i="1"/>
  <c r="BA62" i="1"/>
  <c r="AZ117" i="1"/>
  <c r="AW117" i="1"/>
  <c r="AY118" i="1" s="1"/>
  <c r="BA117" i="1"/>
  <c r="BB116" i="1"/>
  <c r="BE116" i="1" s="1"/>
  <c r="AZ36" i="1"/>
  <c r="AW36" i="1"/>
  <c r="AY37" i="1" s="1"/>
  <c r="BA36" i="1"/>
  <c r="BE34" i="1"/>
  <c r="BC34" i="1"/>
  <c r="BC35" i="1" s="1"/>
  <c r="BA118" i="1" l="1"/>
  <c r="AW118" i="1"/>
  <c r="AY119" i="1" s="1"/>
  <c r="AZ118" i="1"/>
  <c r="BB118" i="1" s="1"/>
  <c r="BE118" i="1" s="1"/>
  <c r="AW37" i="1"/>
  <c r="AY38" i="1" s="1"/>
  <c r="AZ37" i="1"/>
  <c r="BA37" i="1"/>
  <c r="BB62" i="1"/>
  <c r="BE62" i="1" s="1"/>
  <c r="BB117" i="1"/>
  <c r="BE117" i="1" s="1"/>
  <c r="BB36" i="1"/>
  <c r="BF34" i="1"/>
  <c r="BF35" i="1" s="1"/>
  <c r="AZ119" i="1" l="1"/>
  <c r="BA119" i="1"/>
  <c r="AW119" i="1"/>
  <c r="AY120" i="1" s="1"/>
  <c r="BA38" i="1"/>
  <c r="AZ38" i="1"/>
  <c r="BB38" i="1" s="1"/>
  <c r="BE38" i="1" s="1"/>
  <c r="AW38" i="1"/>
  <c r="BC36" i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E36" i="1"/>
  <c r="BB37" i="1"/>
  <c r="BA120" i="1" l="1"/>
  <c r="AZ120" i="1"/>
  <c r="BB120" i="1" s="1"/>
  <c r="BE120" i="1" s="1"/>
  <c r="AW120" i="1"/>
  <c r="AY121" i="1" s="1"/>
  <c r="BF36" i="1"/>
  <c r="BB119" i="1"/>
  <c r="BE37" i="1"/>
  <c r="BF37" i="1" l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AW121" i="1"/>
  <c r="AY122" i="1" s="1"/>
  <c r="AZ121" i="1"/>
  <c r="BA121" i="1"/>
  <c r="BC119" i="1"/>
  <c r="BC120" i="1" s="1"/>
  <c r="BE119" i="1"/>
  <c r="BA122" i="1" l="1"/>
  <c r="AW122" i="1"/>
  <c r="AY123" i="1" s="1"/>
  <c r="AZ122" i="1"/>
  <c r="BB122" i="1" s="1"/>
  <c r="BE122" i="1" s="1"/>
  <c r="BF119" i="1"/>
  <c r="BF120" i="1" s="1"/>
  <c r="BB121" i="1"/>
  <c r="BA123" i="1" l="1"/>
  <c r="AW123" i="1"/>
  <c r="AZ123" i="1"/>
  <c r="BB123" i="1" s="1"/>
  <c r="BE123" i="1" s="1"/>
  <c r="BE121" i="1"/>
  <c r="BB14" i="1"/>
  <c r="BB19" i="1"/>
  <c r="BB15" i="1"/>
  <c r="BC121" i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F121" i="1" l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8" i="1"/>
  <c r="BE15" i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<sst xmlns="http://schemas.openxmlformats.org/spreadsheetml/2006/main" count="74" uniqueCount="53">
  <si>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</si>
  <si>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XLK</t>
  </si>
  <si>
    <t>IYW</t>
  </si>
  <si>
    <t>XLK log rtn</t>
  </si>
  <si>
    <t>IYW log rtn</t>
  </si>
  <si>
    <t>XLK div</t>
  </si>
  <si>
    <t>XLK div cumsum</t>
  </si>
  <si>
    <t>IYW div</t>
  </si>
  <si>
    <t>IYW div cumsum</t>
  </si>
  <si>
    <t>XLK div adjustment</t>
  </si>
  <si>
    <t>IYW div adjustment</t>
  </si>
  <si>
    <t>XLK*</t>
  </si>
  <si>
    <t>IYW*</t>
  </si>
  <si>
    <t>IYW/XLK</t>
  </si>
  <si>
    <t>IYW/XLK avg</t>
  </si>
  <si>
    <t>IYW/XLK 10 dma</t>
  </si>
  <si>
    <t>IYW/XLK 20 dma</t>
  </si>
  <si>
    <t>XLK x avg</t>
  </si>
  <si>
    <t>XLK x 10 dma</t>
  </si>
  <si>
    <t>XLK x 20 dma</t>
  </si>
  <si>
    <t>log diff XLK x avg / IYW</t>
  </si>
  <si>
    <t>log diff XLK x 10 dma / IYW</t>
  </si>
  <si>
    <t>log diff XLK x 20 dma / IYW</t>
  </si>
  <si>
    <t>IYW*/XLK*</t>
  </si>
  <si>
    <t>IYW*/XLK* avg</t>
  </si>
  <si>
    <t>IYW*/XLK* 10 dma</t>
  </si>
  <si>
    <t>IYW*/XLK* 20 dma</t>
  </si>
  <si>
    <t>XLK* x avg</t>
  </si>
  <si>
    <t>XLK* x 10 dma</t>
  </si>
  <si>
    <t>XLK* x 20 dma</t>
  </si>
  <si>
    <t>log diff XLK* x avg / IYW*</t>
  </si>
  <si>
    <t>log diff XLK* x 10 dma / IYW*</t>
  </si>
  <si>
    <t>log diff XLK* x 20 dma / IYW*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</si>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</sst>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IYW/XLK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1.3563381687199101</c:v>
                </c:pt>
                <c:pt idx="1">
                  <c:v>1.3563381687199101</c:v>
                </c:pt>
                <c:pt idx="2">
                  <c:v>1.3563381687199101</c:v>
                </c:pt>
                <c:pt idx="3">
                  <c:v>1.3563381687199101</c:v>
                </c:pt>
                <c:pt idx="4">
                  <c:v>1.3563381687199101</c:v>
                </c:pt>
                <c:pt idx="5">
                  <c:v>1.3563381687199101</c:v>
                </c:pt>
                <c:pt idx="6">
                  <c:v>1.3563381687199101</c:v>
                </c:pt>
                <c:pt idx="7">
                  <c:v>1.3563381687199101</c:v>
                </c:pt>
                <c:pt idx="8">
                  <c:v>1.3563381687199101</c:v>
                </c:pt>
                <c:pt idx="9">
                  <c:v>1.3563381687199101</c:v>
                </c:pt>
                <c:pt idx="10">
                  <c:v>1.3563381687199101</c:v>
                </c:pt>
                <c:pt idx="11">
                  <c:v>1.3563381687199101</c:v>
                </c:pt>
                <c:pt idx="12">
                  <c:v>1.3563381687199101</c:v>
                </c:pt>
                <c:pt idx="13">
                  <c:v>1.3563381687199101</c:v>
                </c:pt>
                <c:pt idx="14">
                  <c:v>1.3563381687199101</c:v>
                </c:pt>
                <c:pt idx="15">
                  <c:v>1.3563381687199101</c:v>
                </c:pt>
                <c:pt idx="16">
                  <c:v>1.3563381687199101</c:v>
                </c:pt>
                <c:pt idx="17">
                  <c:v>1.3563381687199101</c:v>
                </c:pt>
                <c:pt idx="18">
                  <c:v>1.3563381687199101</c:v>
                </c:pt>
                <c:pt idx="19">
                  <c:v>1.3563381687199101</c:v>
                </c:pt>
                <c:pt idx="20">
                  <c:v>1.3563381687199101</c:v>
                </c:pt>
                <c:pt idx="21">
                  <c:v>1.3563381687199101</c:v>
                </c:pt>
                <c:pt idx="22">
                  <c:v>1.3563381687199101</c:v>
                </c:pt>
                <c:pt idx="23">
                  <c:v>1.3563381687199101</c:v>
                </c:pt>
                <c:pt idx="24">
                  <c:v>1.3563381687199101</c:v>
                </c:pt>
                <c:pt idx="25">
                  <c:v>1.3563381687199101</c:v>
                </c:pt>
                <c:pt idx="26">
                  <c:v>1.3563381687199101</c:v>
                </c:pt>
                <c:pt idx="27">
                  <c:v>1.3563381687199101</c:v>
                </c:pt>
                <c:pt idx="28">
                  <c:v>1.3563381687199101</c:v>
                </c:pt>
                <c:pt idx="29">
                  <c:v>1.3563381687199101</c:v>
                </c:pt>
                <c:pt idx="30">
                  <c:v>1.3563381687199101</c:v>
                </c:pt>
                <c:pt idx="31">
                  <c:v>1.3563381687199101</c:v>
                </c:pt>
                <c:pt idx="32">
                  <c:v>1.3563381687199101</c:v>
                </c:pt>
                <c:pt idx="33">
                  <c:v>1.3563381687199101</c:v>
                </c:pt>
                <c:pt idx="34">
                  <c:v>1.3563381687199101</c:v>
                </c:pt>
                <c:pt idx="35">
                  <c:v>1.3563381687199101</c:v>
                </c:pt>
                <c:pt idx="36">
                  <c:v>1.3563381687199101</c:v>
                </c:pt>
                <c:pt idx="37">
                  <c:v>1.3563381687199101</c:v>
                </c:pt>
                <c:pt idx="38">
                  <c:v>1.3563381687199101</c:v>
                </c:pt>
                <c:pt idx="39">
                  <c:v>1.3563381687199101</c:v>
                </c:pt>
                <c:pt idx="40">
                  <c:v>1.3563381687199101</c:v>
                </c:pt>
                <c:pt idx="41">
                  <c:v>1.3563381687199101</c:v>
                </c:pt>
                <c:pt idx="42">
                  <c:v>1.3563381687199101</c:v>
                </c:pt>
                <c:pt idx="43">
                  <c:v>1.3563381687199101</c:v>
                </c:pt>
                <c:pt idx="44">
                  <c:v>1.3563381687199101</c:v>
                </c:pt>
                <c:pt idx="45">
                  <c:v>1.3563381687199101</c:v>
                </c:pt>
                <c:pt idx="46">
                  <c:v>1.3563381687199101</c:v>
                </c:pt>
                <c:pt idx="47">
                  <c:v>1.3563381687199101</c:v>
                </c:pt>
                <c:pt idx="48">
                  <c:v>1.3563381687199101</c:v>
                </c:pt>
                <c:pt idx="49">
                  <c:v>1.3563381687199101</c:v>
                </c:pt>
                <c:pt idx="50">
                  <c:v>1.3563381687199101</c:v>
                </c:pt>
                <c:pt idx="51">
                  <c:v>1.3563381687199101</c:v>
                </c:pt>
                <c:pt idx="52">
                  <c:v>1.3563381687199101</c:v>
                </c:pt>
                <c:pt idx="53">
                  <c:v>1.3563381687199101</c:v>
                </c:pt>
                <c:pt idx="54">
                  <c:v>1.3563381687199101</c:v>
                </c:pt>
                <c:pt idx="55">
                  <c:v>1.3563381687199101</c:v>
                </c:pt>
                <c:pt idx="56">
                  <c:v>1.3563381687199101</c:v>
                </c:pt>
                <c:pt idx="57">
                  <c:v>1.3563381687199101</c:v>
                </c:pt>
                <c:pt idx="58">
                  <c:v>1.3563381687199101</c:v>
                </c:pt>
                <c:pt idx="59">
                  <c:v>1.3563381687199101</c:v>
                </c:pt>
                <c:pt idx="60">
                  <c:v>1.3563381687199101</c:v>
                </c:pt>
                <c:pt idx="61">
                  <c:v>1.3563381687199101</c:v>
                </c:pt>
                <c:pt idx="62">
                  <c:v>1.3563381687199101</c:v>
                </c:pt>
                <c:pt idx="63">
                  <c:v>1.3563381687199101</c:v>
                </c:pt>
                <c:pt idx="64">
                  <c:v>1.3563381687199101</c:v>
                </c:pt>
                <c:pt idx="65">
                  <c:v>1.3563381687199101</c:v>
                </c:pt>
                <c:pt idx="66">
                  <c:v>1.3563381687199101</c:v>
                </c:pt>
                <c:pt idx="67">
                  <c:v>1.3563381687199101</c:v>
                </c:pt>
                <c:pt idx="68">
                  <c:v>1.3563381687199101</c:v>
                </c:pt>
                <c:pt idx="69">
                  <c:v>1.3563381687199101</c:v>
                </c:pt>
                <c:pt idx="70">
                  <c:v>1.3563381687199101</c:v>
                </c:pt>
                <c:pt idx="71">
                  <c:v>1.3563381687199101</c:v>
                </c:pt>
                <c:pt idx="72">
                  <c:v>1.3563381687199101</c:v>
                </c:pt>
                <c:pt idx="73">
                  <c:v>1.3563381687199101</c:v>
                </c:pt>
                <c:pt idx="74">
                  <c:v>1.3563381687199101</c:v>
                </c:pt>
                <c:pt idx="75">
                  <c:v>1.3563381687199101</c:v>
                </c:pt>
                <c:pt idx="76">
                  <c:v>1.3563381687199101</c:v>
                </c:pt>
                <c:pt idx="77">
                  <c:v>1.3563381687199101</c:v>
                </c:pt>
                <c:pt idx="78">
                  <c:v>1.3563381687199101</c:v>
                </c:pt>
                <c:pt idx="79">
                  <c:v>1.3563381687199101</c:v>
                </c:pt>
                <c:pt idx="80">
                  <c:v>1.3563381687199101</c:v>
                </c:pt>
                <c:pt idx="81">
                  <c:v>1.3563381687199101</c:v>
                </c:pt>
                <c:pt idx="82">
                  <c:v>1.3563381687199101</c:v>
                </c:pt>
                <c:pt idx="83">
                  <c:v>1.3563381687199101</c:v>
                </c:pt>
                <c:pt idx="84">
                  <c:v>1.3563381687199101</c:v>
                </c:pt>
                <c:pt idx="85">
                  <c:v>1.3563381687199101</c:v>
                </c:pt>
                <c:pt idx="86">
                  <c:v>1.3563381687199101</c:v>
                </c:pt>
                <c:pt idx="87">
                  <c:v>1.3563381687199101</c:v>
                </c:pt>
                <c:pt idx="88">
                  <c:v>1.3563381687199101</c:v>
                </c:pt>
                <c:pt idx="89">
                  <c:v>1.3563381687199101</c:v>
                </c:pt>
                <c:pt idx="90">
                  <c:v>1.3563381687199101</c:v>
                </c:pt>
                <c:pt idx="91">
                  <c:v>1.3563381687199101</c:v>
                </c:pt>
                <c:pt idx="92">
                  <c:v>1.3563381687199101</c:v>
                </c:pt>
                <c:pt idx="93">
                  <c:v>1.3563381687199101</c:v>
                </c:pt>
                <c:pt idx="94">
                  <c:v>1.3563381687199101</c:v>
                </c:pt>
                <c:pt idx="95">
                  <c:v>1.3563381687199101</c:v>
                </c:pt>
                <c:pt idx="96">
                  <c:v>1.3563381687199101</c:v>
                </c:pt>
                <c:pt idx="97">
                  <c:v>1.3563381687199101</c:v>
                </c:pt>
                <c:pt idx="98">
                  <c:v>1.3563381687199101</c:v>
                </c:pt>
                <c:pt idx="99">
                  <c:v>1.3563381687199101</c:v>
                </c:pt>
                <c:pt idx="100">
                  <c:v>1.3563381687199101</c:v>
                </c:pt>
                <c:pt idx="101">
                  <c:v>1.3563381687199101</c:v>
                </c:pt>
                <c:pt idx="102">
                  <c:v>1.3563381687199101</c:v>
                </c:pt>
                <c:pt idx="103">
                  <c:v>1.3563381687199101</c:v>
                </c:pt>
                <c:pt idx="104">
                  <c:v>1.3563381687199101</c:v>
                </c:pt>
                <c:pt idx="105">
                  <c:v>1.3563381687199101</c:v>
                </c:pt>
                <c:pt idx="106">
                  <c:v>1.3563381687199101</c:v>
                </c:pt>
                <c:pt idx="107">
                  <c:v>1.3563381687199101</c:v>
                </c:pt>
                <c:pt idx="108">
                  <c:v>1.3563381687199101</c:v>
                </c:pt>
                <c:pt idx="109">
                  <c:v>1.3563381687199101</c:v>
                </c:pt>
                <c:pt idx="110">
                  <c:v>1.3563381687199101</c:v>
                </c:pt>
                <c:pt idx="111">
                  <c:v>1.3563381687199101</c:v>
                </c:pt>
                <c:pt idx="112">
                  <c:v>1.3563381687199101</c:v>
                </c:pt>
                <c:pt idx="113">
                  <c:v>1.3563381687199101</c:v>
                </c:pt>
                <c:pt idx="114">
                  <c:v>1.3563381687199101</c:v>
                </c:pt>
                <c:pt idx="115">
                  <c:v>1.3563381687199101</c:v>
                </c:pt>
                <c:pt idx="116">
                  <c:v>1.3563381687199101</c:v>
                </c:pt>
                <c:pt idx="117">
                  <c:v>1.3563381687199101</c:v>
                </c:pt>
                <c:pt idx="118">
                  <c:v>1.3563381687199101</c:v>
                </c:pt>
                <c:pt idx="119">
                  <c:v>1.3563381687199101</c:v>
                </c:pt>
                <c:pt idx="120">
                  <c:v>1.3563381687199101</c:v>
                </c:pt>
                <c:pt idx="121">
                  <c:v>1.3563381687199101</c:v>
                </c:pt>
                <c:pt idx="122">
                  <c:v>1.3563381687199101</c:v>
                </c:pt>
                <c:pt idx="123">
                  <c:v>1.3563381687199101</c:v>
                </c:pt>
                <c:pt idx="124">
                  <c:v>1.3563381687199101</c:v>
                </c:pt>
                <c:pt idx="125">
                  <c:v>1.3563381687199101</c:v>
                </c:pt>
                <c:pt idx="126">
                  <c:v>1.3563381687199101</c:v>
                </c:pt>
                <c:pt idx="127">
                  <c:v>1.3563381687199101</c:v>
                </c:pt>
                <c:pt idx="128">
                  <c:v>1.3563381687199101</c:v>
                </c:pt>
                <c:pt idx="129">
                  <c:v>1.3563381687199101</c:v>
                </c:pt>
                <c:pt idx="130">
                  <c:v>1.3563381687199101</c:v>
                </c:pt>
                <c:pt idx="131">
                  <c:v>1.3563381687199101</c:v>
                </c:pt>
                <c:pt idx="132">
                  <c:v>1.3563381687199101</c:v>
                </c:pt>
                <c:pt idx="133">
                  <c:v>1.3563381687199101</c:v>
                </c:pt>
                <c:pt idx="134">
                  <c:v>1.3563381687199101</c:v>
                </c:pt>
                <c:pt idx="135">
                  <c:v>1.3563381687199101</c:v>
                </c:pt>
                <c:pt idx="136">
                  <c:v>1.3563381687199101</c:v>
                </c:pt>
                <c:pt idx="137">
                  <c:v>1.3563381687199101</c:v>
                </c:pt>
                <c:pt idx="138">
                  <c:v>1.3563381687199101</c:v>
                </c:pt>
                <c:pt idx="139">
                  <c:v>1.3563381687199101</c:v>
                </c:pt>
                <c:pt idx="140">
                  <c:v>1.3563381687199101</c:v>
                </c:pt>
                <c:pt idx="141">
                  <c:v>1.3563381687199101</c:v>
                </c:pt>
                <c:pt idx="142">
                  <c:v>1.3563381687199101</c:v>
                </c:pt>
                <c:pt idx="143">
                  <c:v>1.3563381687199101</c:v>
                </c:pt>
                <c:pt idx="144">
                  <c:v>1.3563381687199101</c:v>
                </c:pt>
                <c:pt idx="145">
                  <c:v>1.3563381687199101</c:v>
                </c:pt>
                <c:pt idx="146">
                  <c:v>1.3563381687199101</c:v>
                </c:pt>
                <c:pt idx="147">
                  <c:v>1.3563381687199101</c:v>
                </c:pt>
                <c:pt idx="148">
                  <c:v>1.3563381687199101</c:v>
                </c:pt>
                <c:pt idx="149">
                  <c:v>1.3563381687199101</c:v>
                </c:pt>
                <c:pt idx="150">
                  <c:v>1.3563381687199101</c:v>
                </c:pt>
                <c:pt idx="151">
                  <c:v>1.3563381687199101</c:v>
                </c:pt>
                <c:pt idx="152">
                  <c:v>1.3563381687199101</c:v>
                </c:pt>
                <c:pt idx="153">
                  <c:v>1.3563381687199101</c:v>
                </c:pt>
                <c:pt idx="154">
                  <c:v>1.3563381687199101</c:v>
                </c:pt>
                <c:pt idx="155">
                  <c:v>1.3563381687199101</c:v>
                </c:pt>
                <c:pt idx="156">
                  <c:v>1.3563381687199101</c:v>
                </c:pt>
                <c:pt idx="157">
                  <c:v>1.3563381687199101</c:v>
                </c:pt>
                <c:pt idx="158">
                  <c:v>1.3563381687199101</c:v>
                </c:pt>
                <c:pt idx="159">
                  <c:v>1.3563381687199101</c:v>
                </c:pt>
                <c:pt idx="160">
                  <c:v>1.3563381687199101</c:v>
                </c:pt>
                <c:pt idx="161">
                  <c:v>1.3563381687199101</c:v>
                </c:pt>
                <c:pt idx="162">
                  <c:v>1.3563381687199101</c:v>
                </c:pt>
                <c:pt idx="163">
                  <c:v>1.3563381687199101</c:v>
                </c:pt>
                <c:pt idx="164">
                  <c:v>1.3563381687199101</c:v>
                </c:pt>
                <c:pt idx="165">
                  <c:v>1.3563381687199101</c:v>
                </c:pt>
                <c:pt idx="166">
                  <c:v>1.3563381687199101</c:v>
                </c:pt>
                <c:pt idx="167">
                  <c:v>1.3563381687199101</c:v>
                </c:pt>
                <c:pt idx="168">
                  <c:v>1.3563381687199101</c:v>
                </c:pt>
                <c:pt idx="169">
                  <c:v>1.3563381687199101</c:v>
                </c:pt>
                <c:pt idx="170">
                  <c:v>1.3563381687199101</c:v>
                </c:pt>
                <c:pt idx="171">
                  <c:v>1.3563381687199101</c:v>
                </c:pt>
                <c:pt idx="172">
                  <c:v>1.3563381687199101</c:v>
                </c:pt>
                <c:pt idx="173">
                  <c:v>1.3563381687199101</c:v>
                </c:pt>
                <c:pt idx="174">
                  <c:v>1.3563381687199101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C-4F60-90EA-B01B52ED734B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IYW/XLK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1.3807734927492901</c:v>
                </c:pt>
                <c:pt idx="10">
                  <c:v>1.37951781661104</c:v>
                </c:pt>
                <c:pt idx="11">
                  <c:v>1.3782221646572299</c:v>
                </c:pt>
                <c:pt idx="12">
                  <c:v>1.3773587266526801</c:v>
                </c:pt>
                <c:pt idx="13">
                  <c:v>1.37636613889185</c:v>
                </c:pt>
                <c:pt idx="14">
                  <c:v>1.3755133614527</c:v>
                </c:pt>
                <c:pt idx="15">
                  <c:v>1.37523038648999</c:v>
                </c:pt>
                <c:pt idx="16">
                  <c:v>1.3749213620187899</c:v>
                </c:pt>
                <c:pt idx="17">
                  <c:v>1.37427105765098</c:v>
                </c:pt>
                <c:pt idx="18">
                  <c:v>1.3740271606863099</c:v>
                </c:pt>
                <c:pt idx="19">
                  <c:v>1.37447290180741</c:v>
                </c:pt>
                <c:pt idx="20">
                  <c:v>1.3746272220859299</c:v>
                </c:pt>
                <c:pt idx="21">
                  <c:v>1.3745431437182301</c:v>
                </c:pt>
                <c:pt idx="22">
                  <c:v>1.37528253467099</c:v>
                </c:pt>
                <c:pt idx="23">
                  <c:v>1.3756665744382901</c:v>
                </c:pt>
                <c:pt idx="24">
                  <c:v>1.3751146284775799</c:v>
                </c:pt>
                <c:pt idx="25">
                  <c:v>1.37430601430818</c:v>
                </c:pt>
                <c:pt idx="26">
                  <c:v>1.3737289367119201</c:v>
                </c:pt>
                <c:pt idx="27">
                  <c:v>1.37328669826283</c:v>
                </c:pt>
                <c:pt idx="28">
                  <c:v>1.3728769333631199</c:v>
                </c:pt>
                <c:pt idx="29">
                  <c:v>1.37153418715085</c:v>
                </c:pt>
                <c:pt idx="30">
                  <c:v>1.3706760164769101</c:v>
                </c:pt>
                <c:pt idx="31">
                  <c:v>1.3700835295627001</c:v>
                </c:pt>
                <c:pt idx="32">
                  <c:v>1.36892031895682</c:v>
                </c:pt>
                <c:pt idx="33">
                  <c:v>1.3681758798882599</c:v>
                </c:pt>
                <c:pt idx="34">
                  <c:v>1.3680952592125899</c:v>
                </c:pt>
                <c:pt idx="35">
                  <c:v>1.3681306290623201</c:v>
                </c:pt>
                <c:pt idx="36">
                  <c:v>1.3681584220526899</c:v>
                </c:pt>
                <c:pt idx="37">
                  <c:v>1.3684280076758899</c:v>
                </c:pt>
                <c:pt idx="38">
                  <c:v>1.3680004591832799</c:v>
                </c:pt>
                <c:pt idx="39">
                  <c:v>1.3684715110811501</c:v>
                </c:pt>
                <c:pt idx="40">
                  <c:v>1.3692962200000001</c:v>
                </c:pt>
                <c:pt idx="41">
                  <c:v>1.3695977051000301</c:v>
                </c:pt>
                <c:pt idx="42">
                  <c:v>1.36967689200827</c:v>
                </c:pt>
                <c:pt idx="43">
                  <c:v>1.36991461763241</c:v>
                </c:pt>
                <c:pt idx="44">
                  <c:v>1.37009417754296</c:v>
                </c:pt>
                <c:pt idx="45">
                  <c:v>1.37030677525893</c:v>
                </c:pt>
                <c:pt idx="46">
                  <c:v>1.3704674358665001</c:v>
                </c:pt>
                <c:pt idx="47">
                  <c:v>1.37060039178278</c:v>
                </c:pt>
                <c:pt idx="48">
                  <c:v>1.37084734938049</c:v>
                </c:pt>
                <c:pt idx="49">
                  <c:v>1.3706608679633501</c:v>
                </c:pt>
                <c:pt idx="50">
                  <c:v>1.37001392984199</c:v>
                </c:pt>
                <c:pt idx="51">
                  <c:v>1.36985715040869</c:v>
                </c:pt>
                <c:pt idx="52">
                  <c:v>1.36939720523979</c:v>
                </c:pt>
                <c:pt idx="53">
                  <c:v>1.3685720749704799</c:v>
                </c:pt>
                <c:pt idx="54">
                  <c:v>1.36785305746318</c:v>
                </c:pt>
                <c:pt idx="55">
                  <c:v>1.3664449791689499</c:v>
                </c:pt>
                <c:pt idx="56">
                  <c:v>1.3652057579385899</c:v>
                </c:pt>
                <c:pt idx="57">
                  <c:v>1.3639178463320301</c:v>
                </c:pt>
                <c:pt idx="58">
                  <c:v>1.3625837549973701</c:v>
                </c:pt>
                <c:pt idx="59">
                  <c:v>1.3618720538707401</c:v>
                </c:pt>
                <c:pt idx="60">
                  <c:v>1.3616385542056599</c:v>
                </c:pt>
                <c:pt idx="61">
                  <c:v>1.3615945599050701</c:v>
                </c:pt>
                <c:pt idx="62">
                  <c:v>1.3616134718939199</c:v>
                </c:pt>
                <c:pt idx="63">
                  <c:v>1.36164143790015</c:v>
                </c:pt>
                <c:pt idx="64">
                  <c:v>1.36145581158627</c:v>
                </c:pt>
                <c:pt idx="65">
                  <c:v>1.3619478407187899</c:v>
                </c:pt>
                <c:pt idx="66">
                  <c:v>1.3622860409966999</c:v>
                </c:pt>
                <c:pt idx="67">
                  <c:v>1.3626445543174901</c:v>
                </c:pt>
                <c:pt idx="68">
                  <c:v>1.3630457663876201</c:v>
                </c:pt>
                <c:pt idx="69">
                  <c:v>1.36337073543973</c:v>
                </c:pt>
                <c:pt idx="70">
                  <c:v>1.36340898850471</c:v>
                </c:pt>
                <c:pt idx="71">
                  <c:v>1.3625873070455701</c:v>
                </c:pt>
                <c:pt idx="72">
                  <c:v>1.36236823331416</c:v>
                </c:pt>
                <c:pt idx="73">
                  <c:v>1.3621291089718901</c:v>
                </c:pt>
                <c:pt idx="74">
                  <c:v>1.36122763534184</c:v>
                </c:pt>
                <c:pt idx="75">
                  <c:v>1.3603923621115399</c:v>
                </c:pt>
                <c:pt idx="76">
                  <c:v>1.3598479747032399</c:v>
                </c:pt>
                <c:pt idx="77">
                  <c:v>1.35917773340465</c:v>
                </c:pt>
                <c:pt idx="78">
                  <c:v>1.35926716824403</c:v>
                </c:pt>
                <c:pt idx="79">
                  <c:v>1.35924188554096</c:v>
                </c:pt>
                <c:pt idx="80">
                  <c:v>1.35841240754767</c:v>
                </c:pt>
                <c:pt idx="81">
                  <c:v>1.3592816307442599</c:v>
                </c:pt>
                <c:pt idx="82">
                  <c:v>1.35971734894538</c:v>
                </c:pt>
                <c:pt idx="83">
                  <c:v>1.3599657486386201</c:v>
                </c:pt>
                <c:pt idx="84">
                  <c:v>1.3605260128471801</c:v>
                </c:pt>
                <c:pt idx="85">
                  <c:v>1.3615949356283199</c:v>
                </c:pt>
                <c:pt idx="86">
                  <c:v>1.36271343707975</c:v>
                </c:pt>
                <c:pt idx="87">
                  <c:v>1.3631302750487799</c:v>
                </c:pt>
                <c:pt idx="88">
                  <c:v>1.3620472811233399</c:v>
                </c:pt>
                <c:pt idx="89">
                  <c:v>1.36095956093063</c:v>
                </c:pt>
                <c:pt idx="90">
                  <c:v>1.3613235576726801</c:v>
                </c:pt>
                <c:pt idx="91">
                  <c:v>1.3599869469200701</c:v>
                </c:pt>
                <c:pt idx="92">
                  <c:v>1.3589331302749099</c:v>
                </c:pt>
                <c:pt idx="93">
                  <c:v>1.35811277639678</c:v>
                </c:pt>
                <c:pt idx="94">
                  <c:v>1.3575551272603901</c:v>
                </c:pt>
                <c:pt idx="95">
                  <c:v>1.35614586635988</c:v>
                </c:pt>
                <c:pt idx="96">
                  <c:v>1.3536960370584801</c:v>
                </c:pt>
                <c:pt idx="97">
                  <c:v>1.3517605996947999</c:v>
                </c:pt>
                <c:pt idx="98">
                  <c:v>1.3504551010317001</c:v>
                </c:pt>
                <c:pt idx="99">
                  <c:v>1.3487040434724</c:v>
                </c:pt>
                <c:pt idx="100">
                  <c:v>1.3461682433687601</c:v>
                </c:pt>
                <c:pt idx="101">
                  <c:v>1.3431637563880101</c:v>
                </c:pt>
                <c:pt idx="102">
                  <c:v>1.33946079021222</c:v>
                </c:pt>
                <c:pt idx="103">
                  <c:v>1.3350287065111299</c:v>
                </c:pt>
                <c:pt idx="104">
                  <c:v>1.3308868646084</c:v>
                </c:pt>
                <c:pt idx="105">
                  <c:v>1.3285222198714</c:v>
                </c:pt>
                <c:pt idx="106">
                  <c:v>1.3279036974262299</c:v>
                </c:pt>
                <c:pt idx="107">
                  <c:v>1.32697004780325</c:v>
                </c:pt>
                <c:pt idx="108">
                  <c:v>1.3266934765415801</c:v>
                </c:pt>
                <c:pt idx="109">
                  <c:v>1.3264035506013301</c:v>
                </c:pt>
                <c:pt idx="110">
                  <c:v>1.3256836448887199</c:v>
                </c:pt>
                <c:pt idx="111">
                  <c:v>1.3257624273511499</c:v>
                </c:pt>
                <c:pt idx="112">
                  <c:v>1.3264045957292301</c:v>
                </c:pt>
                <c:pt idx="113">
                  <c:v>1.3283170704015801</c:v>
                </c:pt>
                <c:pt idx="114">
                  <c:v>1.32967326354436</c:v>
                </c:pt>
                <c:pt idx="115">
                  <c:v>1.32938411655668</c:v>
                </c:pt>
                <c:pt idx="116">
                  <c:v>1.32739303395214</c:v>
                </c:pt>
                <c:pt idx="117">
                  <c:v>1.3264302730733299</c:v>
                </c:pt>
                <c:pt idx="118">
                  <c:v>1.32537554885701</c:v>
                </c:pt>
                <c:pt idx="119">
                  <c:v>1.3242963530455401</c:v>
                </c:pt>
                <c:pt idx="120">
                  <c:v>1.32379905311816</c:v>
                </c:pt>
                <c:pt idx="121">
                  <c:v>1.32410747716539</c:v>
                </c:pt>
                <c:pt idx="122">
                  <c:v>1.32407690039545</c:v>
                </c:pt>
                <c:pt idx="123">
                  <c:v>1.32503103299492</c:v>
                </c:pt>
                <c:pt idx="124">
                  <c:v>1.3272454404290901</c:v>
                </c:pt>
                <c:pt idx="125">
                  <c:v>1.3295574371416401</c:v>
                </c:pt>
                <c:pt idx="126">
                  <c:v>1.3335178318469001</c:v>
                </c:pt>
                <c:pt idx="127">
                  <c:v>1.33650373220996</c:v>
                </c:pt>
                <c:pt idx="128">
                  <c:v>1.33868712223512</c:v>
                </c:pt>
                <c:pt idx="129">
                  <c:v>1.3411042046194901</c:v>
                </c:pt>
                <c:pt idx="130">
                  <c:v>1.34379895400573</c:v>
                </c:pt>
                <c:pt idx="131">
                  <c:v>1.3461717784290099</c:v>
                </c:pt>
                <c:pt idx="132">
                  <c:v>1.3506082212314401</c:v>
                </c:pt>
                <c:pt idx="133">
                  <c:v>1.3533148671534501</c:v>
                </c:pt>
                <c:pt idx="134">
                  <c:v>1.35473934295293</c:v>
                </c:pt>
                <c:pt idx="135">
                  <c:v>1.3565449373434499</c:v>
                </c:pt>
                <c:pt idx="136">
                  <c:v>1.35599045935315</c:v>
                </c:pt>
                <c:pt idx="137">
                  <c:v>1.3558278189574999</c:v>
                </c:pt>
                <c:pt idx="138">
                  <c:v>1.35500961423732</c:v>
                </c:pt>
                <c:pt idx="139">
                  <c:v>1.35462666687058</c:v>
                </c:pt>
                <c:pt idx="140">
                  <c:v>1.3544571988079399</c:v>
                </c:pt>
                <c:pt idx="141">
                  <c:v>1.35501022723885</c:v>
                </c:pt>
                <c:pt idx="142">
                  <c:v>1.3546666444384099</c:v>
                </c:pt>
                <c:pt idx="143">
                  <c:v>1.35279288020605</c:v>
                </c:pt>
                <c:pt idx="144">
                  <c:v>1.3522950177142401</c:v>
                </c:pt>
                <c:pt idx="145">
                  <c:v>1.3525915135398101</c:v>
                </c:pt>
                <c:pt idx="146">
                  <c:v>1.3530326907677199</c:v>
                </c:pt>
                <c:pt idx="147">
                  <c:v>1.35323636120025</c:v>
                </c:pt>
                <c:pt idx="148">
                  <c:v>1.3547759268984301</c:v>
                </c:pt>
                <c:pt idx="149">
                  <c:v>1.35570259018935</c:v>
                </c:pt>
                <c:pt idx="150">
                  <c:v>1.3563040206304899</c:v>
                </c:pt>
                <c:pt idx="151">
                  <c:v>1.3554776965559701</c:v>
                </c:pt>
                <c:pt idx="152">
                  <c:v>1.3529985604679</c:v>
                </c:pt>
                <c:pt idx="153">
                  <c:v>1.3526576152980401</c:v>
                </c:pt>
                <c:pt idx="154">
                  <c:v>1.3513728678847301</c:v>
                </c:pt>
                <c:pt idx="155">
                  <c:v>1.34837927547326</c:v>
                </c:pt>
                <c:pt idx="156">
                  <c:v>1.34717598811141</c:v>
                </c:pt>
                <c:pt idx="157">
                  <c:v>1.3469571138334699</c:v>
                </c:pt>
                <c:pt idx="158">
                  <c:v>1.34653398267943</c:v>
                </c:pt>
                <c:pt idx="159">
                  <c:v>1.3462602397525401</c:v>
                </c:pt>
                <c:pt idx="160">
                  <c:v>1.3463841146267601</c:v>
                </c:pt>
                <c:pt idx="161">
                  <c:v>1.34687260905789</c:v>
                </c:pt>
                <c:pt idx="162">
                  <c:v>1.3477788890040301</c:v>
                </c:pt>
                <c:pt idx="163">
                  <c:v>1.3478452954793101</c:v>
                </c:pt>
                <c:pt idx="164">
                  <c:v>1.3486579172808599</c:v>
                </c:pt>
                <c:pt idx="165">
                  <c:v>1.34951797461903</c:v>
                </c:pt>
                <c:pt idx="166">
                  <c:v>1.35007463894997</c:v>
                </c:pt>
                <c:pt idx="167">
                  <c:v>1.3504199413294899</c:v>
                </c:pt>
                <c:pt idx="168">
                  <c:v>1.3514263050873601</c:v>
                </c:pt>
                <c:pt idx="169">
                  <c:v>1.3518028707219401</c:v>
                </c:pt>
                <c:pt idx="170">
                  <c:v>1.3509340368176299</c:v>
                </c:pt>
                <c:pt idx="171">
                  <c:v>1.3501575386608999</c:v>
                </c:pt>
                <c:pt idx="172">
                  <c:v>1.3503892278751499</c:v>
                </c:pt>
                <c:pt idx="173">
                  <c:v>1.3507648583195699</c:v>
                </c:pt>
                <c:pt idx="174">
                  <c:v>1.35174566856832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C-4F60-90EA-B01B52ED734B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IYW/XLK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1.3776231972783499</c:v>
                </c:pt>
                <c:pt idx="20">
                  <c:v>1.3770725193484901</c:v>
                </c:pt>
                <c:pt idx="21">
                  <c:v>1.37638265418773</c:v>
                </c:pt>
                <c:pt idx="22">
                  <c:v>1.3763206306618301</c:v>
                </c:pt>
                <c:pt idx="23">
                  <c:v>1.3760163566650701</c:v>
                </c:pt>
                <c:pt idx="24">
                  <c:v>1.3753139949651401</c:v>
                </c:pt>
                <c:pt idx="25">
                  <c:v>1.37476820039909</c:v>
                </c:pt>
                <c:pt idx="26">
                  <c:v>1.3743251493653501</c:v>
                </c:pt>
                <c:pt idx="27">
                  <c:v>1.3737788779569</c:v>
                </c:pt>
                <c:pt idx="28">
                  <c:v>1.37345204702471</c:v>
                </c:pt>
                <c:pt idx="29">
                  <c:v>1.37300354447913</c:v>
                </c:pt>
                <c:pt idx="30">
                  <c:v>1.37265161928142</c:v>
                </c:pt>
                <c:pt idx="31">
                  <c:v>1.3723133366404601</c:v>
                </c:pt>
                <c:pt idx="32">
                  <c:v>1.3721014268139</c:v>
                </c:pt>
                <c:pt idx="33">
                  <c:v>1.3719212271632699</c:v>
                </c:pt>
                <c:pt idx="34">
                  <c:v>1.3716049438450899</c:v>
                </c:pt>
                <c:pt idx="35">
                  <c:v>1.37121832168525</c:v>
                </c:pt>
                <c:pt idx="36">
                  <c:v>1.3709436793823</c:v>
                </c:pt>
                <c:pt idx="37">
                  <c:v>1.37085735296936</c:v>
                </c:pt>
                <c:pt idx="38">
                  <c:v>1.3704386962732</c:v>
                </c:pt>
                <c:pt idx="39">
                  <c:v>1.3700028491159999</c:v>
                </c:pt>
                <c:pt idx="40">
                  <c:v>1.3699861182384501</c:v>
                </c:pt>
                <c:pt idx="41">
                  <c:v>1.36984061733137</c:v>
                </c:pt>
                <c:pt idx="42">
                  <c:v>1.36929860548255</c:v>
                </c:pt>
                <c:pt idx="43">
                  <c:v>1.36904524876033</c:v>
                </c:pt>
                <c:pt idx="44">
                  <c:v>1.36909471837777</c:v>
                </c:pt>
                <c:pt idx="45">
                  <c:v>1.3692187021606299</c:v>
                </c:pt>
                <c:pt idx="46">
                  <c:v>1.36931292895959</c:v>
                </c:pt>
                <c:pt idx="47">
                  <c:v>1.3695141997293401</c:v>
                </c:pt>
                <c:pt idx="48">
                  <c:v>1.3694239042818901</c:v>
                </c:pt>
                <c:pt idx="49">
                  <c:v>1.36956618952225</c:v>
                </c:pt>
                <c:pt idx="50">
                  <c:v>1.3696550749209899</c:v>
                </c:pt>
                <c:pt idx="51">
                  <c:v>1.3697274277543601</c:v>
                </c:pt>
                <c:pt idx="52">
                  <c:v>1.3695370486240299</c:v>
                </c:pt>
                <c:pt idx="53">
                  <c:v>1.36924334630144</c:v>
                </c:pt>
                <c:pt idx="54">
                  <c:v>1.36897361750307</c:v>
                </c:pt>
                <c:pt idx="55">
                  <c:v>1.3683758772139401</c:v>
                </c:pt>
                <c:pt idx="56">
                  <c:v>1.3678365969025501</c:v>
                </c:pt>
                <c:pt idx="57">
                  <c:v>1.3672591190573999</c:v>
                </c:pt>
                <c:pt idx="58">
                  <c:v>1.36671555218893</c:v>
                </c:pt>
                <c:pt idx="59">
                  <c:v>1.3662664609170401</c:v>
                </c:pt>
                <c:pt idx="60">
                  <c:v>1.3658262420238201</c:v>
                </c:pt>
                <c:pt idx="61">
                  <c:v>1.3657258551568801</c:v>
                </c:pt>
                <c:pt idx="62">
                  <c:v>1.3655053385668501</c:v>
                </c:pt>
                <c:pt idx="63">
                  <c:v>1.3651067564353101</c:v>
                </c:pt>
                <c:pt idx="64">
                  <c:v>1.36465443452473</c:v>
                </c:pt>
                <c:pt idx="65">
                  <c:v>1.3641964099438699</c:v>
                </c:pt>
                <c:pt idx="66">
                  <c:v>1.3637458994676499</c:v>
                </c:pt>
                <c:pt idx="67">
                  <c:v>1.3632812003247601</c:v>
                </c:pt>
                <c:pt idx="68">
                  <c:v>1.3628147606925001</c:v>
                </c:pt>
                <c:pt idx="69">
                  <c:v>1.3626213946552399</c:v>
                </c:pt>
                <c:pt idx="70">
                  <c:v>1.3625237713551801</c:v>
                </c:pt>
                <c:pt idx="71">
                  <c:v>1.36209093347532</c:v>
                </c:pt>
                <c:pt idx="72">
                  <c:v>1.3619908526040401</c:v>
                </c:pt>
                <c:pt idx="73">
                  <c:v>1.3618852734360201</c:v>
                </c:pt>
                <c:pt idx="74">
                  <c:v>1.3613417234640599</c:v>
                </c:pt>
                <c:pt idx="75">
                  <c:v>1.36117010141516</c:v>
                </c:pt>
                <c:pt idx="76">
                  <c:v>1.36106700784997</c:v>
                </c:pt>
                <c:pt idx="77">
                  <c:v>1.3609111438610699</c:v>
                </c:pt>
                <c:pt idx="78">
                  <c:v>1.3611564673158301</c:v>
                </c:pt>
                <c:pt idx="79">
                  <c:v>1.36130631049035</c:v>
                </c:pt>
                <c:pt idx="80">
                  <c:v>1.36091069802619</c:v>
                </c:pt>
                <c:pt idx="81">
                  <c:v>1.3609344688949101</c:v>
                </c:pt>
                <c:pt idx="82">
                  <c:v>1.36104279112977</c:v>
                </c:pt>
                <c:pt idx="83">
                  <c:v>1.3610474288052501</c:v>
                </c:pt>
                <c:pt idx="84">
                  <c:v>1.3608768240945099</c:v>
                </c:pt>
                <c:pt idx="85">
                  <c:v>1.3609936488699299</c:v>
                </c:pt>
                <c:pt idx="86">
                  <c:v>1.3612807058915</c:v>
                </c:pt>
                <c:pt idx="87">
                  <c:v>1.3611540042267101</c:v>
                </c:pt>
                <c:pt idx="88">
                  <c:v>1.3606572246836901</c:v>
                </c:pt>
                <c:pt idx="89">
                  <c:v>1.3601007232358</c:v>
                </c:pt>
                <c:pt idx="90">
                  <c:v>1.35986798261018</c:v>
                </c:pt>
                <c:pt idx="91">
                  <c:v>1.35963428883216</c:v>
                </c:pt>
                <c:pt idx="92">
                  <c:v>1.3593252396101401</c:v>
                </c:pt>
                <c:pt idx="93">
                  <c:v>1.3590392625176999</c:v>
                </c:pt>
                <c:pt idx="94">
                  <c:v>1.35904057005378</c:v>
                </c:pt>
                <c:pt idx="95">
                  <c:v>1.3588704009940999</c:v>
                </c:pt>
                <c:pt idx="96">
                  <c:v>1.3582047370691199</c:v>
                </c:pt>
                <c:pt idx="97">
                  <c:v>1.3574454373717899</c:v>
                </c:pt>
                <c:pt idx="98">
                  <c:v>1.3562511910775199</c:v>
                </c:pt>
                <c:pt idx="99">
                  <c:v>1.35483180220151</c:v>
                </c:pt>
                <c:pt idx="100">
                  <c:v>1.35374590052072</c:v>
                </c:pt>
                <c:pt idx="101">
                  <c:v>1.3515753516540401</c:v>
                </c:pt>
                <c:pt idx="102">
                  <c:v>1.3491969602435601</c:v>
                </c:pt>
                <c:pt idx="103">
                  <c:v>1.3465707414539601</c:v>
                </c:pt>
                <c:pt idx="104">
                  <c:v>1.34422099593439</c:v>
                </c:pt>
                <c:pt idx="105">
                  <c:v>1.3423340431156401</c:v>
                </c:pt>
                <c:pt idx="106">
                  <c:v>1.34079986724236</c:v>
                </c:pt>
                <c:pt idx="107">
                  <c:v>1.33936532374902</c:v>
                </c:pt>
                <c:pt idx="108">
                  <c:v>1.3385742887866401</c:v>
                </c:pt>
                <c:pt idx="109">
                  <c:v>1.3375537970368601</c:v>
                </c:pt>
                <c:pt idx="110">
                  <c:v>1.3359259441287401</c:v>
                </c:pt>
                <c:pt idx="111">
                  <c:v>1.3344630918695799</c:v>
                </c:pt>
                <c:pt idx="112">
                  <c:v>1.3329326929707199</c:v>
                </c:pt>
                <c:pt idx="113">
                  <c:v>1.33167288845635</c:v>
                </c:pt>
                <c:pt idx="114">
                  <c:v>1.3302800640763801</c:v>
                </c:pt>
                <c:pt idx="115">
                  <c:v>1.3289531682140401</c:v>
                </c:pt>
                <c:pt idx="116">
                  <c:v>1.32764836568918</c:v>
                </c:pt>
                <c:pt idx="117">
                  <c:v>1.32670016043829</c:v>
                </c:pt>
                <c:pt idx="118">
                  <c:v>1.3260345126992901</c:v>
                </c:pt>
                <c:pt idx="119">
                  <c:v>1.32534995182344</c:v>
                </c:pt>
                <c:pt idx="120">
                  <c:v>1.3247413490034401</c:v>
                </c:pt>
                <c:pt idx="121">
                  <c:v>1.3249349522582701</c:v>
                </c:pt>
                <c:pt idx="122">
                  <c:v>1.32524074806234</c:v>
                </c:pt>
                <c:pt idx="123">
                  <c:v>1.32667405169825</c:v>
                </c:pt>
                <c:pt idx="124">
                  <c:v>1.32845935198673</c:v>
                </c:pt>
                <c:pt idx="125">
                  <c:v>1.32947077684916</c:v>
                </c:pt>
                <c:pt idx="126">
                  <c:v>1.33045543289952</c:v>
                </c:pt>
                <c:pt idx="127">
                  <c:v>1.33146700264165</c:v>
                </c:pt>
                <c:pt idx="128">
                  <c:v>1.33203133554606</c:v>
                </c:pt>
                <c:pt idx="129">
                  <c:v>1.33270027883252</c:v>
                </c:pt>
                <c:pt idx="130">
                  <c:v>1.33379900356194</c:v>
                </c:pt>
                <c:pt idx="131">
                  <c:v>1.3351396277972001</c:v>
                </c:pt>
                <c:pt idx="132">
                  <c:v>1.3373425608134499</c:v>
                </c:pt>
                <c:pt idx="133">
                  <c:v>1.33917295007418</c:v>
                </c:pt>
                <c:pt idx="134">
                  <c:v>1.34099239169101</c:v>
                </c:pt>
                <c:pt idx="135">
                  <c:v>1.3430511872425399</c:v>
                </c:pt>
                <c:pt idx="136">
                  <c:v>1.34475414560003</c:v>
                </c:pt>
                <c:pt idx="137">
                  <c:v>1.34616577558373</c:v>
                </c:pt>
                <c:pt idx="138">
                  <c:v>1.34684836823622</c:v>
                </c:pt>
                <c:pt idx="139">
                  <c:v>1.3478654357450399</c:v>
                </c:pt>
                <c:pt idx="140">
                  <c:v>1.3491280764068301</c:v>
                </c:pt>
                <c:pt idx="141">
                  <c:v>1.3505910028339301</c:v>
                </c:pt>
                <c:pt idx="142">
                  <c:v>1.35263743283493</c:v>
                </c:pt>
                <c:pt idx="143">
                  <c:v>1.3530538736797499</c:v>
                </c:pt>
                <c:pt idx="144">
                  <c:v>1.3535171803335899</c:v>
                </c:pt>
                <c:pt idx="145">
                  <c:v>1.35456822544163</c:v>
                </c:pt>
                <c:pt idx="146">
                  <c:v>1.35451157506044</c:v>
                </c:pt>
                <c:pt idx="147">
                  <c:v>1.35453209007888</c:v>
                </c:pt>
                <c:pt idx="148">
                  <c:v>1.3548927705678699</c:v>
                </c:pt>
                <c:pt idx="149">
                  <c:v>1.3551646285299701</c:v>
                </c:pt>
                <c:pt idx="150">
                  <c:v>1.35538060971921</c:v>
                </c:pt>
                <c:pt idx="151">
                  <c:v>1.3552439618974099</c:v>
                </c:pt>
                <c:pt idx="152">
                  <c:v>1.35383260245316</c:v>
                </c:pt>
                <c:pt idx="153">
                  <c:v>1.3527252477520399</c:v>
                </c:pt>
                <c:pt idx="154">
                  <c:v>1.3518339427994901</c:v>
                </c:pt>
                <c:pt idx="155">
                  <c:v>1.35048539450653</c:v>
                </c:pt>
                <c:pt idx="156">
                  <c:v>1.35010433943956</c:v>
                </c:pt>
                <c:pt idx="157">
                  <c:v>1.35009673751686</c:v>
                </c:pt>
                <c:pt idx="158">
                  <c:v>1.3506549547889299</c:v>
                </c:pt>
                <c:pt idx="159">
                  <c:v>1.35098141497094</c:v>
                </c:pt>
                <c:pt idx="160">
                  <c:v>1.3513440676286299</c:v>
                </c:pt>
                <c:pt idx="161">
                  <c:v>1.35117515280693</c:v>
                </c:pt>
                <c:pt idx="162">
                  <c:v>1.35038872473597</c:v>
                </c:pt>
                <c:pt idx="163">
                  <c:v>1.35025145538868</c:v>
                </c:pt>
                <c:pt idx="164">
                  <c:v>1.3500153925828</c:v>
                </c:pt>
                <c:pt idx="165">
                  <c:v>1.34894862504615</c:v>
                </c:pt>
                <c:pt idx="166">
                  <c:v>1.34862531353069</c:v>
                </c:pt>
                <c:pt idx="167">
                  <c:v>1.3486885275814799</c:v>
                </c:pt>
                <c:pt idx="168">
                  <c:v>1.3489801438833999</c:v>
                </c:pt>
                <c:pt idx="169">
                  <c:v>1.3490315552372401</c:v>
                </c:pt>
                <c:pt idx="170">
                  <c:v>1.3486590757221999</c:v>
                </c:pt>
                <c:pt idx="171">
                  <c:v>1.3485150738594001</c:v>
                </c:pt>
                <c:pt idx="172">
                  <c:v>1.34908405843959</c:v>
                </c:pt>
                <c:pt idx="173">
                  <c:v>1.3493050768994499</c:v>
                </c:pt>
                <c:pt idx="174">
                  <c:v>1.35020179292459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EC-4F60-90EA-B01B52ED7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XLK* x 10 dma / IYW*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5.87711786279611E-3</c:v>
                </c:pt>
                <c:pt idx="11">
                  <c:v>4.9224194973860498E-3</c:v>
                </c:pt>
                <c:pt idx="12">
                  <c:v>5.2210652545250803E-3</c:v>
                </c:pt>
                <c:pt idx="13">
                  <c:v>3.1205085278988398E-3</c:v>
                </c:pt>
                <c:pt idx="14">
                  <c:v>-1.1535267820417501E-4</c:v>
                </c:pt>
                <c:pt idx="15">
                  <c:v>-1.51679355332311E-3</c:v>
                </c:pt>
                <c:pt idx="16">
                  <c:v>-4.76997791291681E-4</c:v>
                </c:pt>
                <c:pt idx="17">
                  <c:v>2.2420863158358799E-3</c:v>
                </c:pt>
                <c:pt idx="18">
                  <c:v>-2.5170220185716599E-4</c:v>
                </c:pt>
                <c:pt idx="19">
                  <c:v>-3.4083937049651102E-3</c:v>
                </c:pt>
                <c:pt idx="20">
                  <c:v>1.79994402904382E-4</c:v>
                </c:pt>
                <c:pt idx="21">
                  <c:v>1.9836444195757202E-3</c:v>
                </c:pt>
                <c:pt idx="22">
                  <c:v>-2.83031065356134E-3</c:v>
                </c:pt>
                <c:pt idx="23">
                  <c:v>-1.18104426712247E-3</c:v>
                </c:pt>
                <c:pt idx="24">
                  <c:v>3.3940149377340899E-3</c:v>
                </c:pt>
                <c:pt idx="25">
                  <c:v>4.08030517606263E-3</c:v>
                </c:pt>
                <c:pt idx="26">
                  <c:v>3.0536623492127498E-3</c:v>
                </c:pt>
                <c:pt idx="27">
                  <c:v>4.6033325400227799E-3</c:v>
                </c:pt>
                <c:pt idx="28">
                  <c:v>2.0171542024055899E-3</c:v>
                </c:pt>
                <c:pt idx="29">
                  <c:v>5.54095942399138E-3</c:v>
                </c:pt>
                <c:pt idx="30">
                  <c:v>4.3039775462520597E-3</c:v>
                </c:pt>
                <c:pt idx="31">
                  <c:v>3.4331973017483401E-3</c:v>
                </c:pt>
                <c:pt idx="32">
                  <c:v>2.3943951832535101E-3</c:v>
                </c:pt>
                <c:pt idx="33">
                  <c:v>-3.9662384445758299E-4</c:v>
                </c:pt>
                <c:pt idx="34">
                  <c:v>-1.47778853551278E-3</c:v>
                </c:pt>
                <c:pt idx="35">
                  <c:v>-1.2955700678996601E-3</c:v>
                </c:pt>
                <c:pt idx="36">
                  <c:v>-1.6527516006130099E-3</c:v>
                </c:pt>
                <c:pt idx="37">
                  <c:v>-1.42949383979511E-3</c:v>
                </c:pt>
                <c:pt idx="38">
                  <c:v>1.59736445116486E-3</c:v>
                </c:pt>
                <c:pt idx="39">
                  <c:v>-1.46163116923458E-3</c:v>
                </c:pt>
                <c:pt idx="40">
                  <c:v>-3.9523624045185203E-3</c:v>
                </c:pt>
                <c:pt idx="41">
                  <c:v>2.2136812476832501E-4</c:v>
                </c:pt>
                <c:pt idx="42">
                  <c:v>1.4605483454697701E-3</c:v>
                </c:pt>
                <c:pt idx="43">
                  <c:v>-1.5784963976657499E-3</c:v>
                </c:pt>
                <c:pt idx="44">
                  <c:v>-1.5173594197343599E-3</c:v>
                </c:pt>
                <c:pt idx="45">
                  <c:v>-1.38629421211652E-3</c:v>
                </c:pt>
                <c:pt idx="46">
                  <c:v>-1.23509859301437E-3</c:v>
                </c:pt>
                <c:pt idx="47">
                  <c:v>-7.1316494926081098E-4</c:v>
                </c:pt>
                <c:pt idx="48">
                  <c:v>1.3776747737741801E-3</c:v>
                </c:pt>
                <c:pt idx="49">
                  <c:v>1.9793698592804501E-3</c:v>
                </c:pt>
                <c:pt idx="50">
                  <c:v>2.0002606336966401E-3</c:v>
                </c:pt>
                <c:pt idx="51">
                  <c:v>1.5577071319949E-3</c:v>
                </c:pt>
                <c:pt idx="52">
                  <c:v>4.7222556170527204E-3</c:v>
                </c:pt>
                <c:pt idx="53">
                  <c:v>3.9821133977876602E-3</c:v>
                </c:pt>
                <c:pt idx="54">
                  <c:v>2.9046979703590899E-3</c:v>
                </c:pt>
                <c:pt idx="55">
                  <c:v>7.4408348909823802E-3</c:v>
                </c:pt>
                <c:pt idx="56">
                  <c:v>5.1643203912176798E-3</c:v>
                </c:pt>
                <c:pt idx="57">
                  <c:v>5.02386598103055E-3</c:v>
                </c:pt>
                <c:pt idx="58">
                  <c:v>6.4335860356437204E-3</c:v>
                </c:pt>
                <c:pt idx="59">
                  <c:v>1.29734216078664E-3</c:v>
                </c:pt>
                <c:pt idx="60">
                  <c:v>-2.2087228688073999E-3</c:v>
                </c:pt>
                <c:pt idx="61">
                  <c:v>-3.8069683041833499E-3</c:v>
                </c:pt>
                <c:pt idx="62">
                  <c:v>-1.0949867374586901E-3</c:v>
                </c:pt>
                <c:pt idx="63">
                  <c:v>-1.6172266650779799E-3</c:v>
                </c:pt>
                <c:pt idx="64">
                  <c:v>-9.5939012673314401E-4</c:v>
                </c:pt>
                <c:pt idx="65">
                  <c:v>-1.0120399373204901E-3</c:v>
                </c:pt>
                <c:pt idx="66">
                  <c:v>-7.6496028836925596E-4</c:v>
                </c:pt>
                <c:pt idx="67">
                  <c:v>9.90076427218256E-5</c:v>
                </c:pt>
                <c:pt idx="68">
                  <c:v>2.3951970937878902E-3</c:v>
                </c:pt>
                <c:pt idx="69">
                  <c:v>-8.9724291444599898E-4</c:v>
                </c:pt>
                <c:pt idx="70">
                  <c:v>-1.5378893639255301E-3</c:v>
                </c:pt>
                <c:pt idx="71">
                  <c:v>3.4093366772374499E-3</c:v>
                </c:pt>
                <c:pt idx="72">
                  <c:v>1.1672665084592399E-3</c:v>
                </c:pt>
                <c:pt idx="73">
                  <c:v>6.5384759808309904E-4</c:v>
                </c:pt>
                <c:pt idx="74">
                  <c:v>6.0348089867875198E-3</c:v>
                </c:pt>
                <c:pt idx="75">
                  <c:v>4.9681495190974203E-3</c:v>
                </c:pt>
                <c:pt idx="76">
                  <c:v>2.09435338844049E-3</c:v>
                </c:pt>
                <c:pt idx="77">
                  <c:v>3.2403240071159798E-3</c:v>
                </c:pt>
                <c:pt idx="78">
                  <c:v>-8.0992109972153703E-4</c:v>
                </c:pt>
                <c:pt idx="79">
                  <c:v>-3.48792746766827E-3</c:v>
                </c:pt>
                <c:pt idx="80">
                  <c:v>1.52230282067864E-3</c:v>
                </c:pt>
                <c:pt idx="81">
                  <c:v>-6.6389299829951497E-3</c:v>
                </c:pt>
                <c:pt idx="82">
                  <c:v>-4.4580579105127699E-3</c:v>
                </c:pt>
                <c:pt idx="83">
                  <c:v>-3.1166628336338101E-3</c:v>
                </c:pt>
                <c:pt idx="84">
                  <c:v>3.1581719535414202E-4</c:v>
                </c:pt>
                <c:pt idx="85">
                  <c:v>-3.4081881305543702E-3</c:v>
                </c:pt>
                <c:pt idx="86">
                  <c:v>-5.2274314297307304E-3</c:v>
                </c:pt>
                <c:pt idx="87">
                  <c:v>2.27474267490058E-3</c:v>
                </c:pt>
                <c:pt idx="88">
                  <c:v>1.00873173077442E-2</c:v>
                </c:pt>
                <c:pt idx="89">
                  <c:v>6.5616439331023096E-3</c:v>
                </c:pt>
                <c:pt idx="90">
                  <c:v>1.06777107159229E-4</c:v>
                </c:pt>
                <c:pt idx="91">
                  <c:v>5.3243121485797903E-3</c:v>
                </c:pt>
                <c:pt idx="92">
                  <c:v>3.8088980020823098E-3</c:v>
                </c:pt>
                <c:pt idx="93">
                  <c:v>2.33907278007879E-3</c:v>
                </c:pt>
                <c:pt idx="94">
                  <c:v>3.0625692840804998E-3</c:v>
                </c:pt>
                <c:pt idx="95">
                  <c:v>4.7824090762513703E-3</c:v>
                </c:pt>
                <c:pt idx="96">
                  <c:v>8.8232221050034004E-3</c:v>
                </c:pt>
                <c:pt idx="97">
                  <c:v>9.9729694316326202E-3</c:v>
                </c:pt>
                <c:pt idx="98">
                  <c:v>1.14328889145383E-2</c:v>
                </c:pt>
                <c:pt idx="99">
                  <c:v>1.1039534822139501E-2</c:v>
                </c:pt>
                <c:pt idx="100">
                  <c:v>9.8711710751993292E-3</c:v>
                </c:pt>
                <c:pt idx="101">
                  <c:v>1.6567119900859999E-2</c:v>
                </c:pt>
                <c:pt idx="102">
                  <c:v>1.9073963426110101E-2</c:v>
                </c:pt>
                <c:pt idx="103">
                  <c:v>2.1143377172527698E-2</c:v>
                </c:pt>
                <c:pt idx="104">
                  <c:v>1.69875325968699E-2</c:v>
                </c:pt>
                <c:pt idx="105">
                  <c:v>2.5994405996775899E-3</c:v>
                </c:pt>
                <c:pt idx="106">
                  <c:v>-7.1443983983498702E-3</c:v>
                </c:pt>
                <c:pt idx="107">
                  <c:v>-2.2736103450661099E-3</c:v>
                </c:pt>
                <c:pt idx="108">
                  <c:v>-5.0051398942739401E-3</c:v>
                </c:pt>
                <c:pt idx="109">
                  <c:v>-4.5393067863456699E-3</c:v>
                </c:pt>
                <c:pt idx="110">
                  <c:v>-1.3965181102679599E-3</c:v>
                </c:pt>
                <c:pt idx="111">
                  <c:v>6.38351842317945E-4</c:v>
                </c:pt>
                <c:pt idx="112">
                  <c:v>8.8983906606208095E-4</c:v>
                </c:pt>
                <c:pt idx="113">
                  <c:v>-3.3907604916773499E-3</c:v>
                </c:pt>
                <c:pt idx="114">
                  <c:v>1.4337072514474501E-3</c:v>
                </c:pt>
                <c:pt idx="115">
                  <c:v>3.6707780651224898E-3</c:v>
                </c:pt>
                <c:pt idx="116">
                  <c:v>8.61092077485201E-3</c:v>
                </c:pt>
                <c:pt idx="117">
                  <c:v>4.7164151175661901E-3</c:v>
                </c:pt>
                <c:pt idx="118">
                  <c:v>2.64281611054309E-3</c:v>
                </c:pt>
                <c:pt idx="119">
                  <c:v>2.7121881086270899E-3</c:v>
                </c:pt>
                <c:pt idx="120">
                  <c:v>8.7946808589807501E-4</c:v>
                </c:pt>
                <c:pt idx="121">
                  <c:v>-2.9946498314467099E-3</c:v>
                </c:pt>
                <c:pt idx="122">
                  <c:v>2.69327766903379E-4</c:v>
                </c:pt>
                <c:pt idx="123">
                  <c:v>-1.19446498490734E-2</c:v>
                </c:pt>
                <c:pt idx="124">
                  <c:v>-1.7312171771774899E-2</c:v>
                </c:pt>
                <c:pt idx="125">
                  <c:v>-1.5236010483833299E-2</c:v>
                </c:pt>
                <c:pt idx="126">
                  <c:v>-2.0976023369760601E-2</c:v>
                </c:pt>
                <c:pt idx="127">
                  <c:v>-1.31413160888531E-2</c:v>
                </c:pt>
                <c:pt idx="128">
                  <c:v>-6.2737839674772101E-3</c:v>
                </c:pt>
                <c:pt idx="129">
                  <c:v>-5.5283145550906196E-3</c:v>
                </c:pt>
                <c:pt idx="130">
                  <c:v>-6.7828888972088098E-3</c:v>
                </c:pt>
                <c:pt idx="131">
                  <c:v>-5.8255340364110897E-3</c:v>
                </c:pt>
                <c:pt idx="132">
                  <c:v>-1.6280445606813802E-2</c:v>
                </c:pt>
                <c:pt idx="133">
                  <c:v>-1.21878088724453E-2</c:v>
                </c:pt>
                <c:pt idx="134">
                  <c:v>-6.7584603131817904E-3</c:v>
                </c:pt>
                <c:pt idx="135">
                  <c:v>-8.0699377566467896E-3</c:v>
                </c:pt>
                <c:pt idx="136">
                  <c:v>3.2110133324505202E-3</c:v>
                </c:pt>
                <c:pt idx="137">
                  <c:v>4.7748372630362001E-3</c:v>
                </c:pt>
                <c:pt idx="138">
                  <c:v>1.4183643071588301E-2</c:v>
                </c:pt>
                <c:pt idx="139">
                  <c:v>9.4397633625155491E-3</c:v>
                </c:pt>
                <c:pt idx="140">
                  <c:v>4.50558881944113E-3</c:v>
                </c:pt>
                <c:pt idx="141">
                  <c:v>-2.0085526393428298E-3</c:v>
                </c:pt>
                <c:pt idx="142">
                  <c:v>-7.2220506886145298E-3</c:v>
                </c:pt>
                <c:pt idx="143">
                  <c:v>4.6127808866887002E-3</c:v>
                </c:pt>
                <c:pt idx="144">
                  <c:v>-3.4834946076589299E-3</c:v>
                </c:pt>
                <c:pt idx="145">
                  <c:v>-1.20444828138813E-2</c:v>
                </c:pt>
                <c:pt idx="146">
                  <c:v>-2.96493582368418E-3</c:v>
                </c:pt>
                <c:pt idx="147">
                  <c:v>1.0831380344751701E-3</c:v>
                </c:pt>
                <c:pt idx="148">
                  <c:v>8.1891046600699401E-4</c:v>
                </c:pt>
                <c:pt idx="149">
                  <c:v>2.3873506430635602E-3</c:v>
                </c:pt>
                <c:pt idx="150">
                  <c:v>8.4957404453903996E-4</c:v>
                </c:pt>
                <c:pt idx="151">
                  <c:v>5.4611788138669596E-3</c:v>
                </c:pt>
                <c:pt idx="152">
                  <c:v>1.14542913427592E-2</c:v>
                </c:pt>
                <c:pt idx="153">
                  <c:v>5.91231891898734E-3</c:v>
                </c:pt>
                <c:pt idx="154">
                  <c:v>5.9255539240826299E-3</c:v>
                </c:pt>
                <c:pt idx="155">
                  <c:v>9.3882044265423004E-3</c:v>
                </c:pt>
                <c:pt idx="156">
                  <c:v>2.82540262994451E-3</c:v>
                </c:pt>
                <c:pt idx="157">
                  <c:v>-1.6341090184425499E-3</c:v>
                </c:pt>
                <c:pt idx="158">
                  <c:v>-6.9778171188925205E-4</c:v>
                </c:pt>
                <c:pt idx="159">
                  <c:v>-1.68739103406323E-3</c:v>
                </c:pt>
                <c:pt idx="160">
                  <c:v>-7.0537976922310404E-3</c:v>
                </c:pt>
                <c:pt idx="161">
                  <c:v>-5.4944646536589101E-3</c:v>
                </c:pt>
                <c:pt idx="162">
                  <c:v>-1.6546383577983801E-3</c:v>
                </c:pt>
                <c:pt idx="163">
                  <c:v>1.5534055629092599E-3</c:v>
                </c:pt>
                <c:pt idx="164">
                  <c:v>-3.6635780424375099E-3</c:v>
                </c:pt>
                <c:pt idx="165">
                  <c:v>9.7334647601945805E-4</c:v>
                </c:pt>
                <c:pt idx="166">
                  <c:v>-4.6198917600478502E-4</c:v>
                </c:pt>
                <c:pt idx="167">
                  <c:v>-2.0404743003987302E-3</c:v>
                </c:pt>
                <c:pt idx="168">
                  <c:v>-5.5686698982892399E-3</c:v>
                </c:pt>
                <c:pt idx="169">
                  <c:v>-8.4865491410144201E-4</c:v>
                </c:pt>
                <c:pt idx="170">
                  <c:v>3.4837513115834801E-3</c:v>
                </c:pt>
                <c:pt idx="171">
                  <c:v>3.6313987083372002E-3</c:v>
                </c:pt>
                <c:pt idx="172">
                  <c:v>-9.3456100873102598E-4</c:v>
                </c:pt>
                <c:pt idx="173">
                  <c:v>7.0082601394119096E-4</c:v>
                </c:pt>
                <c:pt idx="174">
                  <c:v>-8.7239323627732405E-3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6D-4905-A7E2-559B5A5C3EF3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XLK* x 20 dma / IYW*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2.46937437618951E-3</c:v>
                </c:pt>
                <c:pt idx="21">
                  <c:v>3.7609443694330202E-3</c:v>
                </c:pt>
                <c:pt idx="22">
                  <c:v>-1.4929348907730001E-3</c:v>
                </c:pt>
                <c:pt idx="23">
                  <c:v>-4.2650520191434699E-4</c:v>
                </c:pt>
                <c:pt idx="24">
                  <c:v>3.6482464298234298E-3</c:v>
                </c:pt>
                <c:pt idx="25">
                  <c:v>4.2252763897915099E-3</c:v>
                </c:pt>
                <c:pt idx="26">
                  <c:v>3.3899108890196299E-3</c:v>
                </c:pt>
                <c:pt idx="27">
                  <c:v>5.0372487906597697E-3</c:v>
                </c:pt>
                <c:pt idx="28">
                  <c:v>2.3754854367238798E-3</c:v>
                </c:pt>
                <c:pt idx="29">
                  <c:v>5.9597830056597103E-3</c:v>
                </c:pt>
                <c:pt idx="30">
                  <c:v>5.3747279693433002E-3</c:v>
                </c:pt>
                <c:pt idx="31">
                  <c:v>4.8734942026998204E-3</c:v>
                </c:pt>
                <c:pt idx="32">
                  <c:v>4.0205694227494699E-3</c:v>
                </c:pt>
                <c:pt idx="33">
                  <c:v>1.92448819355677E-3</c:v>
                </c:pt>
                <c:pt idx="34">
                  <c:v>1.2559464097813399E-3</c:v>
                </c:pt>
                <c:pt idx="35">
                  <c:v>1.2665252653575199E-3</c:v>
                </c:pt>
                <c:pt idx="36">
                  <c:v>6.0157523841411899E-4</c:v>
                </c:pt>
                <c:pt idx="37">
                  <c:v>6.0420785254213904E-4</c:v>
                </c:pt>
                <c:pt idx="38">
                  <c:v>3.37107226946875E-3</c:v>
                </c:pt>
                <c:pt idx="39">
                  <c:v>3.1911880972770401E-4</c:v>
                </c:pt>
                <c:pt idx="40">
                  <c:v>-2.8339745775451302E-3</c:v>
                </c:pt>
                <c:pt idx="41">
                  <c:v>7.2507542314534997E-4</c:v>
                </c:pt>
                <c:pt idx="42">
                  <c:v>1.6378928981692601E-3</c:v>
                </c:pt>
                <c:pt idx="43">
                  <c:v>-1.8547212331769399E-3</c:v>
                </c:pt>
                <c:pt idx="44">
                  <c:v>-2.1521762434015298E-3</c:v>
                </c:pt>
                <c:pt idx="45">
                  <c:v>-2.1160425044115098E-3</c:v>
                </c:pt>
                <c:pt idx="46">
                  <c:v>-2.0294501436649202E-3</c:v>
                </c:pt>
                <c:pt idx="47">
                  <c:v>-1.5559383263246301E-3</c:v>
                </c:pt>
                <c:pt idx="48">
                  <c:v>5.8486697390845396E-4</c:v>
                </c:pt>
                <c:pt idx="49">
                  <c:v>9.4046159446644999E-4</c:v>
                </c:pt>
                <c:pt idx="50">
                  <c:v>1.20129144146266E-3</c:v>
                </c:pt>
                <c:pt idx="51">
                  <c:v>1.2774802346376701E-3</c:v>
                </c:pt>
                <c:pt idx="52">
                  <c:v>4.5908200625583298E-3</c:v>
                </c:pt>
                <c:pt idx="53">
                  <c:v>4.0290591749770899E-3</c:v>
                </c:pt>
                <c:pt idx="54">
                  <c:v>3.32098216180588E-3</c:v>
                </c:pt>
                <c:pt idx="55">
                  <c:v>8.1855612293439892E-3</c:v>
                </c:pt>
                <c:pt idx="56">
                  <c:v>6.5021349054804004E-3</c:v>
                </c:pt>
                <c:pt idx="57">
                  <c:v>6.8747007380975302E-3</c:v>
                </c:pt>
                <c:pt idx="58">
                  <c:v>8.8058674481511397E-3</c:v>
                </c:pt>
                <c:pt idx="59">
                  <c:v>4.2504794237484796E-3</c:v>
                </c:pt>
                <c:pt idx="60">
                  <c:v>9.3816922006870098E-4</c:v>
                </c:pt>
                <c:pt idx="61">
                  <c:v>-7.7412072189384504E-4</c:v>
                </c:pt>
                <c:pt idx="62">
                  <c:v>1.9338398615682401E-3</c:v>
                </c:pt>
                <c:pt idx="63">
                  <c:v>1.2732888834436401E-3</c:v>
                </c:pt>
                <c:pt idx="64">
                  <c:v>1.65657670140533E-3</c:v>
                </c:pt>
                <c:pt idx="65">
                  <c:v>1.40888583581714E-3</c:v>
                </c:pt>
                <c:pt idx="66">
                  <c:v>9.5896598997017299E-4</c:v>
                </c:pt>
                <c:pt idx="67">
                  <c:v>1.24437500762511E-3</c:v>
                </c:pt>
                <c:pt idx="68">
                  <c:v>2.9366439745515298E-3</c:v>
                </c:pt>
                <c:pt idx="69">
                  <c:v>-9.9236697629287505E-4</c:v>
                </c:pt>
                <c:pt idx="70">
                  <c:v>-2.01328566903953E-3</c:v>
                </c:pt>
                <c:pt idx="71">
                  <c:v>2.8158802362885801E-3</c:v>
                </c:pt>
                <c:pt idx="72">
                  <c:v>8.40373966038648E-4</c:v>
                </c:pt>
                <c:pt idx="73">
                  <c:v>3.9575288698746397E-4</c:v>
                </c:pt>
                <c:pt idx="74">
                  <c:v>5.85578237217293E-3</c:v>
                </c:pt>
                <c:pt idx="75">
                  <c:v>5.0519586767337902E-3</c:v>
                </c:pt>
                <c:pt idx="76">
                  <c:v>2.6658922270437401E-3</c:v>
                </c:pt>
                <c:pt idx="77">
                  <c:v>4.1363705474228097E-3</c:v>
                </c:pt>
                <c:pt idx="78">
                  <c:v>4.6460393919076201E-4</c:v>
                </c:pt>
                <c:pt idx="79">
                  <c:v>-2.0989530808516901E-3</c:v>
                </c:pt>
                <c:pt idx="80">
                  <c:v>3.0399567616306101E-3</c:v>
                </c:pt>
                <c:pt idx="81">
                  <c:v>-4.8014939120219098E-3</c:v>
                </c:pt>
                <c:pt idx="82">
                  <c:v>-3.2428321390869401E-3</c:v>
                </c:pt>
                <c:pt idx="83">
                  <c:v>-2.1423452010555601E-3</c:v>
                </c:pt>
                <c:pt idx="84">
                  <c:v>1.11087414883014E-3</c:v>
                </c:pt>
                <c:pt idx="85">
                  <c:v>-3.15037165111788E-3</c:v>
                </c:pt>
                <c:pt idx="86">
                  <c:v>-5.6691336917534503E-3</c:v>
                </c:pt>
                <c:pt idx="87">
                  <c:v>1.2228084597940699E-3</c:v>
                </c:pt>
                <c:pt idx="88">
                  <c:v>8.6364619885921003E-3</c:v>
                </c:pt>
                <c:pt idx="89">
                  <c:v>5.5405587896608099E-3</c:v>
                </c:pt>
                <c:pt idx="90">
                  <c:v>-5.2447515016713897E-4</c:v>
                </c:pt>
                <c:pt idx="91">
                  <c:v>4.2545049117258702E-3</c:v>
                </c:pt>
                <c:pt idx="92">
                  <c:v>3.54955446905776E-3</c:v>
                </c:pt>
                <c:pt idx="93">
                  <c:v>2.6275731980640198E-3</c:v>
                </c:pt>
                <c:pt idx="94">
                  <c:v>3.74452314132122E-3</c:v>
                </c:pt>
                <c:pt idx="95">
                  <c:v>5.8760152708776997E-3</c:v>
                </c:pt>
                <c:pt idx="96">
                  <c:v>1.08302344249916E-2</c:v>
                </c:pt>
                <c:pt idx="97">
                  <c:v>1.3298094161735099E-2</c:v>
                </c:pt>
                <c:pt idx="98">
                  <c:v>1.5629576757947201E-2</c:v>
                </c:pt>
                <c:pt idx="99">
                  <c:v>1.53223038259978E-2</c:v>
                </c:pt>
                <c:pt idx="100">
                  <c:v>1.4404322897418701E-2</c:v>
                </c:pt>
                <c:pt idx="101">
                  <c:v>2.21803925051208E-2</c:v>
                </c:pt>
                <c:pt idx="102">
                  <c:v>2.53169593147064E-2</c:v>
                </c:pt>
                <c:pt idx="103">
                  <c:v>2.8385810752736301E-2</c:v>
                </c:pt>
                <c:pt idx="104">
                  <c:v>2.5595907145513699E-2</c:v>
                </c:pt>
                <c:pt idx="105">
                  <c:v>1.2568565176036E-2</c:v>
                </c:pt>
                <c:pt idx="106">
                  <c:v>3.1983119587978498E-3</c:v>
                </c:pt>
                <c:pt idx="107">
                  <c:v>7.3912099604194099E-3</c:v>
                </c:pt>
                <c:pt idx="108">
                  <c:v>4.2925391390999301E-3</c:v>
                </c:pt>
                <c:pt idx="109">
                  <c:v>4.3760383008794703E-3</c:v>
                </c:pt>
                <c:pt idx="110">
                  <c:v>6.97472068646864E-3</c:v>
                </c:pt>
                <c:pt idx="111">
                  <c:v>8.3347095950599207E-3</c:v>
                </c:pt>
                <c:pt idx="112">
                  <c:v>7.4311608298427796E-3</c:v>
                </c:pt>
                <c:pt idx="113">
                  <c:v>1.50463163359687E-3</c:v>
                </c:pt>
                <c:pt idx="114">
                  <c:v>3.92822319765354E-3</c:v>
                </c:pt>
                <c:pt idx="115">
                  <c:v>4.0839086949116202E-3</c:v>
                </c:pt>
                <c:pt idx="116">
                  <c:v>8.2294994011268795E-3</c:v>
                </c:pt>
                <c:pt idx="117">
                  <c:v>4.8514396250861902E-3</c:v>
                </c:pt>
                <c:pt idx="118">
                  <c:v>2.7889093378371099E-3</c:v>
                </c:pt>
                <c:pt idx="119">
                  <c:v>3.1518373300049901E-3</c:v>
                </c:pt>
                <c:pt idx="120">
                  <c:v>1.6172617561122299E-3</c:v>
                </c:pt>
                <c:pt idx="121">
                  <c:v>-2.3405893659662501E-3</c:v>
                </c:pt>
                <c:pt idx="122">
                  <c:v>8.36583222943757E-4</c:v>
                </c:pt>
                <c:pt idx="123">
                  <c:v>-1.1095265173789901E-2</c:v>
                </c:pt>
                <c:pt idx="124">
                  <c:v>-1.6073101838144699E-2</c:v>
                </c:pt>
                <c:pt idx="125">
                  <c:v>-1.4292824748424599E-2</c:v>
                </c:pt>
                <c:pt idx="126">
                  <c:v>-2.09839898046357E-2</c:v>
                </c:pt>
                <c:pt idx="127">
                  <c:v>-1.53832653343391E-2</c:v>
                </c:pt>
                <c:pt idx="128">
                  <c:v>-9.99235950101021E-3</c:v>
                </c:pt>
                <c:pt idx="129">
                  <c:v>-1.0455486176644199E-2</c:v>
                </c:pt>
                <c:pt idx="130">
                  <c:v>-1.3011951153954E-2</c:v>
                </c:pt>
                <c:pt idx="131">
                  <c:v>-1.32378831740939E-2</c:v>
                </c:pt>
                <c:pt idx="132">
                  <c:v>-2.4452441042047499E-2</c:v>
                </c:pt>
                <c:pt idx="133">
                  <c:v>-2.2015473776937401E-2</c:v>
                </c:pt>
                <c:pt idx="134">
                  <c:v>-1.7234839781060201E-2</c:v>
                </c:pt>
                <c:pt idx="135">
                  <c:v>-1.8255088351488698E-2</c:v>
                </c:pt>
                <c:pt idx="136">
                  <c:v>-6.7859357349600502E-3</c:v>
                </c:pt>
                <c:pt idx="137">
                  <c:v>-3.5461113851811199E-3</c:v>
                </c:pt>
                <c:pt idx="138">
                  <c:v>7.0318240765172898E-3</c:v>
                </c:pt>
                <c:pt idx="139">
                  <c:v>3.39853478914608E-3</c:v>
                </c:pt>
                <c:pt idx="140">
                  <c:v>-4.9812255186115198E-4</c:v>
                </c:pt>
                <c:pt idx="141">
                  <c:v>-5.95082096860821E-3</c:v>
                </c:pt>
                <c:pt idx="142">
                  <c:v>-1.04887762398725E-2</c:v>
                </c:pt>
                <c:pt idx="143">
                  <c:v>3.1137161894319401E-3</c:v>
                </c:pt>
                <c:pt idx="144">
                  <c:v>-3.2905838494025502E-3</c:v>
                </c:pt>
                <c:pt idx="145">
                  <c:v>-1.1141121742969801E-2</c:v>
                </c:pt>
                <c:pt idx="146">
                  <c:v>-1.50457703904367E-3</c:v>
                </c:pt>
                <c:pt idx="147">
                  <c:v>2.1755555867597198E-3</c:v>
                </c:pt>
                <c:pt idx="148">
                  <c:v>1.7759560929452699E-3</c:v>
                </c:pt>
                <c:pt idx="149">
                  <c:v>2.47359267673202E-3</c:v>
                </c:pt>
                <c:pt idx="150">
                  <c:v>4.5268137290267399E-4</c:v>
                </c:pt>
                <c:pt idx="151">
                  <c:v>4.7801180912201797E-3</c:v>
                </c:pt>
                <c:pt idx="152">
                  <c:v>1.1281839362373799E-2</c:v>
                </c:pt>
                <c:pt idx="153">
                  <c:v>6.5285686674576701E-3</c:v>
                </c:pt>
                <c:pt idx="154">
                  <c:v>5.9755523586441199E-3</c:v>
                </c:pt>
                <c:pt idx="155">
                  <c:v>9.7293362388819402E-3</c:v>
                </c:pt>
                <c:pt idx="156">
                  <c:v>4.3861474010552896E-3</c:v>
                </c:pt>
                <c:pt idx="157">
                  <c:v>5.3722812347071602E-4</c:v>
                </c:pt>
                <c:pt idx="158">
                  <c:v>1.6304069521983599E-3</c:v>
                </c:pt>
                <c:pt idx="159">
                  <c:v>1.3683647262620301E-3</c:v>
                </c:pt>
                <c:pt idx="160">
                  <c:v>-3.5530508965377302E-3</c:v>
                </c:pt>
                <c:pt idx="161">
                  <c:v>-1.8173272583837999E-3</c:v>
                </c:pt>
                <c:pt idx="162">
                  <c:v>1.53473987117124E-3</c:v>
                </c:pt>
                <c:pt idx="163">
                  <c:v>3.4879307069820898E-3</c:v>
                </c:pt>
                <c:pt idx="164">
                  <c:v>-1.8799796251725901E-3</c:v>
                </c:pt>
                <c:pt idx="165">
                  <c:v>1.9793781520018299E-3</c:v>
                </c:pt>
                <c:pt idx="166">
                  <c:v>-8.8396926010582996E-4</c:v>
                </c:pt>
                <c:pt idx="167">
                  <c:v>-3.1145659624119901E-3</c:v>
                </c:pt>
                <c:pt idx="168">
                  <c:v>-6.8516224031202298E-3</c:v>
                </c:pt>
                <c:pt idx="169">
                  <c:v>-2.6603539447957901E-3</c:v>
                </c:pt>
                <c:pt idx="170">
                  <c:v>1.43155852947138E-3</c:v>
                </c:pt>
                <c:pt idx="171">
                  <c:v>1.94598795262897E-3</c:v>
                </c:pt>
                <c:pt idx="172">
                  <c:v>-2.1518001778552602E-3</c:v>
                </c:pt>
                <c:pt idx="173">
                  <c:v>-2.6615487368127999E-4</c:v>
                </c:pt>
                <c:pt idx="174">
                  <c:v>-9.8052240310512202E-3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6D-4905-A7E2-559B5A5C3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IYW*/XLK*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1.3563584455100699</c:v>
                </c:pt>
                <c:pt idx="1">
                  <c:v>1.3563584455100699</c:v>
                </c:pt>
                <c:pt idx="2">
                  <c:v>1.3563584455100699</c:v>
                </c:pt>
                <c:pt idx="3">
                  <c:v>1.3563584455100699</c:v>
                </c:pt>
                <c:pt idx="4">
                  <c:v>1.3563584455100699</c:v>
                </c:pt>
                <c:pt idx="5">
                  <c:v>1.3563584455100699</c:v>
                </c:pt>
                <c:pt idx="6">
                  <c:v>1.3563584455100699</c:v>
                </c:pt>
                <c:pt idx="7">
                  <c:v>1.3563584455100699</c:v>
                </c:pt>
                <c:pt idx="8">
                  <c:v>1.3563584455100699</c:v>
                </c:pt>
                <c:pt idx="9">
                  <c:v>1.3563584455100699</c:v>
                </c:pt>
                <c:pt idx="10">
                  <c:v>1.3563584455100699</c:v>
                </c:pt>
                <c:pt idx="11">
                  <c:v>1.3563584455100699</c:v>
                </c:pt>
                <c:pt idx="12">
                  <c:v>1.3563584455100699</c:v>
                </c:pt>
                <c:pt idx="13">
                  <c:v>1.3563584455100699</c:v>
                </c:pt>
                <c:pt idx="14">
                  <c:v>1.3563584455100699</c:v>
                </c:pt>
                <c:pt idx="15">
                  <c:v>1.3563584455100699</c:v>
                </c:pt>
                <c:pt idx="16">
                  <c:v>1.3563584455100699</c:v>
                </c:pt>
                <c:pt idx="17">
                  <c:v>1.3563584455100699</c:v>
                </c:pt>
                <c:pt idx="18">
                  <c:v>1.3563584455100699</c:v>
                </c:pt>
                <c:pt idx="19">
                  <c:v>1.3563584455100699</c:v>
                </c:pt>
                <c:pt idx="20">
                  <c:v>1.3563584455100699</c:v>
                </c:pt>
                <c:pt idx="21">
                  <c:v>1.3563584455100699</c:v>
                </c:pt>
                <c:pt idx="22">
                  <c:v>1.3563584455100699</c:v>
                </c:pt>
                <c:pt idx="23">
                  <c:v>1.3563584455100699</c:v>
                </c:pt>
                <c:pt idx="24">
                  <c:v>1.3563584455100699</c:v>
                </c:pt>
                <c:pt idx="25">
                  <c:v>1.3563584455100699</c:v>
                </c:pt>
                <c:pt idx="26">
                  <c:v>1.3563584455100699</c:v>
                </c:pt>
                <c:pt idx="27">
                  <c:v>1.3563584455100699</c:v>
                </c:pt>
                <c:pt idx="28">
                  <c:v>1.3563584455100699</c:v>
                </c:pt>
                <c:pt idx="29">
                  <c:v>1.3563584455100699</c:v>
                </c:pt>
                <c:pt idx="30">
                  <c:v>1.3563584455100699</c:v>
                </c:pt>
                <c:pt idx="31">
                  <c:v>1.3563584455100699</c:v>
                </c:pt>
                <c:pt idx="32">
                  <c:v>1.3563584455100699</c:v>
                </c:pt>
                <c:pt idx="33">
                  <c:v>1.3563584455100699</c:v>
                </c:pt>
                <c:pt idx="34">
                  <c:v>1.3563584455100699</c:v>
                </c:pt>
                <c:pt idx="35">
                  <c:v>1.3563584455100699</c:v>
                </c:pt>
                <c:pt idx="36">
                  <c:v>1.3563584455100699</c:v>
                </c:pt>
                <c:pt idx="37">
                  <c:v>1.3563584455100699</c:v>
                </c:pt>
                <c:pt idx="38">
                  <c:v>1.3563584455100699</c:v>
                </c:pt>
                <c:pt idx="39">
                  <c:v>1.3563584455100699</c:v>
                </c:pt>
                <c:pt idx="40">
                  <c:v>1.3563584455100699</c:v>
                </c:pt>
                <c:pt idx="41">
                  <c:v>1.3563584455100699</c:v>
                </c:pt>
                <c:pt idx="42">
                  <c:v>1.3563584455100699</c:v>
                </c:pt>
                <c:pt idx="43">
                  <c:v>1.3563584455100699</c:v>
                </c:pt>
                <c:pt idx="44">
                  <c:v>1.3563584455100699</c:v>
                </c:pt>
                <c:pt idx="45">
                  <c:v>1.3563584455100699</c:v>
                </c:pt>
                <c:pt idx="46">
                  <c:v>1.3563584455100699</c:v>
                </c:pt>
                <c:pt idx="47">
                  <c:v>1.3563584455100699</c:v>
                </c:pt>
                <c:pt idx="48">
                  <c:v>1.3563584455100699</c:v>
                </c:pt>
                <c:pt idx="49">
                  <c:v>1.3563584455100699</c:v>
                </c:pt>
                <c:pt idx="50">
                  <c:v>1.3563584455100699</c:v>
                </c:pt>
                <c:pt idx="51">
                  <c:v>1.3563584455100699</c:v>
                </c:pt>
                <c:pt idx="52">
                  <c:v>1.3563584455100699</c:v>
                </c:pt>
                <c:pt idx="53">
                  <c:v>1.3563584455100699</c:v>
                </c:pt>
                <c:pt idx="54">
                  <c:v>1.3563584455100699</c:v>
                </c:pt>
                <c:pt idx="55">
                  <c:v>1.3563584455100699</c:v>
                </c:pt>
                <c:pt idx="56">
                  <c:v>1.3563584455100699</c:v>
                </c:pt>
                <c:pt idx="57">
                  <c:v>1.3563584455100699</c:v>
                </c:pt>
                <c:pt idx="58">
                  <c:v>1.3563584455100699</c:v>
                </c:pt>
                <c:pt idx="59">
                  <c:v>1.3563584455100699</c:v>
                </c:pt>
                <c:pt idx="60">
                  <c:v>1.3563584455100699</c:v>
                </c:pt>
                <c:pt idx="61">
                  <c:v>1.3563584455100699</c:v>
                </c:pt>
                <c:pt idx="62">
                  <c:v>1.3563584455100699</c:v>
                </c:pt>
                <c:pt idx="63">
                  <c:v>1.3563584455100699</c:v>
                </c:pt>
                <c:pt idx="64">
                  <c:v>1.3563584455100699</c:v>
                </c:pt>
                <c:pt idx="65">
                  <c:v>1.3563584455100699</c:v>
                </c:pt>
                <c:pt idx="66">
                  <c:v>1.3563584455100699</c:v>
                </c:pt>
                <c:pt idx="67">
                  <c:v>1.3563584455100699</c:v>
                </c:pt>
                <c:pt idx="68">
                  <c:v>1.3563584455100699</c:v>
                </c:pt>
                <c:pt idx="69">
                  <c:v>1.3563584455100699</c:v>
                </c:pt>
                <c:pt idx="70">
                  <c:v>1.3563584455100699</c:v>
                </c:pt>
                <c:pt idx="71">
                  <c:v>1.3563584455100699</c:v>
                </c:pt>
                <c:pt idx="72">
                  <c:v>1.3563584455100699</c:v>
                </c:pt>
                <c:pt idx="73">
                  <c:v>1.3563584455100699</c:v>
                </c:pt>
                <c:pt idx="74">
                  <c:v>1.3563584455100699</c:v>
                </c:pt>
                <c:pt idx="75">
                  <c:v>1.3563584455100699</c:v>
                </c:pt>
                <c:pt idx="76">
                  <c:v>1.3563584455100699</c:v>
                </c:pt>
                <c:pt idx="77">
                  <c:v>1.3563584455100699</c:v>
                </c:pt>
                <c:pt idx="78">
                  <c:v>1.3563584455100699</c:v>
                </c:pt>
                <c:pt idx="79">
                  <c:v>1.3563584455100699</c:v>
                </c:pt>
                <c:pt idx="80">
                  <c:v>1.3563584455100699</c:v>
                </c:pt>
                <c:pt idx="81">
                  <c:v>1.3563584455100699</c:v>
                </c:pt>
                <c:pt idx="82">
                  <c:v>1.3563584455100699</c:v>
                </c:pt>
                <c:pt idx="83">
                  <c:v>1.3563584455100699</c:v>
                </c:pt>
                <c:pt idx="84">
                  <c:v>1.3563584455100699</c:v>
                </c:pt>
                <c:pt idx="85">
                  <c:v>1.3563584455100699</c:v>
                </c:pt>
                <c:pt idx="86">
                  <c:v>1.3563584455100699</c:v>
                </c:pt>
                <c:pt idx="87">
                  <c:v>1.3563584455100699</c:v>
                </c:pt>
                <c:pt idx="88">
                  <c:v>1.3563584455100699</c:v>
                </c:pt>
                <c:pt idx="89">
                  <c:v>1.3563584455100699</c:v>
                </c:pt>
                <c:pt idx="90">
                  <c:v>1.3563584455100699</c:v>
                </c:pt>
                <c:pt idx="91">
                  <c:v>1.3563584455100699</c:v>
                </c:pt>
                <c:pt idx="92">
                  <c:v>1.3563584455100699</c:v>
                </c:pt>
                <c:pt idx="93">
                  <c:v>1.3563584455100699</c:v>
                </c:pt>
                <c:pt idx="94">
                  <c:v>1.3563584455100699</c:v>
                </c:pt>
                <c:pt idx="95">
                  <c:v>1.3563584455100699</c:v>
                </c:pt>
                <c:pt idx="96">
                  <c:v>1.3563584455100699</c:v>
                </c:pt>
                <c:pt idx="97">
                  <c:v>1.3563584455100699</c:v>
                </c:pt>
                <c:pt idx="98">
                  <c:v>1.3563584455100699</c:v>
                </c:pt>
                <c:pt idx="99">
                  <c:v>1.3563584455100699</c:v>
                </c:pt>
                <c:pt idx="100">
                  <c:v>1.3563584455100699</c:v>
                </c:pt>
                <c:pt idx="101">
                  <c:v>1.3563584455100699</c:v>
                </c:pt>
                <c:pt idx="102">
                  <c:v>1.3563584455100699</c:v>
                </c:pt>
                <c:pt idx="103">
                  <c:v>1.3563584455100699</c:v>
                </c:pt>
                <c:pt idx="104">
                  <c:v>1.3563584455100699</c:v>
                </c:pt>
                <c:pt idx="105">
                  <c:v>1.3563584455100699</c:v>
                </c:pt>
                <c:pt idx="106">
                  <c:v>1.3563584455100699</c:v>
                </c:pt>
                <c:pt idx="107">
                  <c:v>1.3563584455100699</c:v>
                </c:pt>
                <c:pt idx="108">
                  <c:v>1.3563584455100699</c:v>
                </c:pt>
                <c:pt idx="109">
                  <c:v>1.3563584455100699</c:v>
                </c:pt>
                <c:pt idx="110">
                  <c:v>1.3563584455100699</c:v>
                </c:pt>
                <c:pt idx="111">
                  <c:v>1.3563584455100699</c:v>
                </c:pt>
                <c:pt idx="112">
                  <c:v>1.3563584455100699</c:v>
                </c:pt>
                <c:pt idx="113">
                  <c:v>1.3563584455100699</c:v>
                </c:pt>
                <c:pt idx="114">
                  <c:v>1.3563584455100699</c:v>
                </c:pt>
                <c:pt idx="115">
                  <c:v>1.3563584455100699</c:v>
                </c:pt>
                <c:pt idx="116">
                  <c:v>1.3563584455100699</c:v>
                </c:pt>
                <c:pt idx="117">
                  <c:v>1.3563584455100699</c:v>
                </c:pt>
                <c:pt idx="118">
                  <c:v>1.3563584455100699</c:v>
                </c:pt>
                <c:pt idx="119">
                  <c:v>1.3563584455100699</c:v>
                </c:pt>
                <c:pt idx="120">
                  <c:v>1.3563584455100699</c:v>
                </c:pt>
                <c:pt idx="121">
                  <c:v>1.3563584455100699</c:v>
                </c:pt>
                <c:pt idx="122">
                  <c:v>1.3563584455100699</c:v>
                </c:pt>
                <c:pt idx="123">
                  <c:v>1.3563584455100699</c:v>
                </c:pt>
                <c:pt idx="124">
                  <c:v>1.3563584455100699</c:v>
                </c:pt>
                <c:pt idx="125">
                  <c:v>1.3563584455100699</c:v>
                </c:pt>
                <c:pt idx="126">
                  <c:v>1.3563584455100699</c:v>
                </c:pt>
                <c:pt idx="127">
                  <c:v>1.3563584455100699</c:v>
                </c:pt>
                <c:pt idx="128">
                  <c:v>1.3563584455100699</c:v>
                </c:pt>
                <c:pt idx="129">
                  <c:v>1.3563584455100699</c:v>
                </c:pt>
                <c:pt idx="130">
                  <c:v>1.3563584455100699</c:v>
                </c:pt>
                <c:pt idx="131">
                  <c:v>1.3563584455100699</c:v>
                </c:pt>
                <c:pt idx="132">
                  <c:v>1.3563584455100699</c:v>
                </c:pt>
                <c:pt idx="133">
                  <c:v>1.3563584455100699</c:v>
                </c:pt>
                <c:pt idx="134">
                  <c:v>1.3563584455100699</c:v>
                </c:pt>
                <c:pt idx="135">
                  <c:v>1.3563584455100699</c:v>
                </c:pt>
                <c:pt idx="136">
                  <c:v>1.3563584455100699</c:v>
                </c:pt>
                <c:pt idx="137">
                  <c:v>1.3563584455100699</c:v>
                </c:pt>
                <c:pt idx="138">
                  <c:v>1.3563584455100699</c:v>
                </c:pt>
                <c:pt idx="139">
                  <c:v>1.3563584455100699</c:v>
                </c:pt>
                <c:pt idx="140">
                  <c:v>1.3563584455100699</c:v>
                </c:pt>
                <c:pt idx="141">
                  <c:v>1.3563584455100699</c:v>
                </c:pt>
                <c:pt idx="142">
                  <c:v>1.3563584455100699</c:v>
                </c:pt>
                <c:pt idx="143">
                  <c:v>1.3563584455100699</c:v>
                </c:pt>
                <c:pt idx="144">
                  <c:v>1.3563584455100699</c:v>
                </c:pt>
                <c:pt idx="145">
                  <c:v>1.3563584455100699</c:v>
                </c:pt>
                <c:pt idx="146">
                  <c:v>1.3563584455100699</c:v>
                </c:pt>
                <c:pt idx="147">
                  <c:v>1.3563584455100699</c:v>
                </c:pt>
                <c:pt idx="148">
                  <c:v>1.3563584455100699</c:v>
                </c:pt>
                <c:pt idx="149">
                  <c:v>1.3563584455100699</c:v>
                </c:pt>
                <c:pt idx="150">
                  <c:v>1.3563584455100699</c:v>
                </c:pt>
                <c:pt idx="151">
                  <c:v>1.3563584455100699</c:v>
                </c:pt>
                <c:pt idx="152">
                  <c:v>1.3563584455100699</c:v>
                </c:pt>
                <c:pt idx="153">
                  <c:v>1.3563584455100699</c:v>
                </c:pt>
                <c:pt idx="154">
                  <c:v>1.3563584455100699</c:v>
                </c:pt>
                <c:pt idx="155">
                  <c:v>1.3563584455100699</c:v>
                </c:pt>
                <c:pt idx="156">
                  <c:v>1.3563584455100699</c:v>
                </c:pt>
                <c:pt idx="157">
                  <c:v>1.3563584455100699</c:v>
                </c:pt>
                <c:pt idx="158">
                  <c:v>1.3563584455100699</c:v>
                </c:pt>
                <c:pt idx="159">
                  <c:v>1.3563584455100699</c:v>
                </c:pt>
                <c:pt idx="160">
                  <c:v>1.3563584455100699</c:v>
                </c:pt>
                <c:pt idx="161">
                  <c:v>1.3563584455100699</c:v>
                </c:pt>
                <c:pt idx="162">
                  <c:v>1.3563584455100699</c:v>
                </c:pt>
                <c:pt idx="163">
                  <c:v>1.3563584455100699</c:v>
                </c:pt>
                <c:pt idx="164">
                  <c:v>1.3563584455100699</c:v>
                </c:pt>
                <c:pt idx="165">
                  <c:v>1.3563584455100699</c:v>
                </c:pt>
                <c:pt idx="166">
                  <c:v>1.3563584455100699</c:v>
                </c:pt>
                <c:pt idx="167">
                  <c:v>1.3563584455100699</c:v>
                </c:pt>
                <c:pt idx="168">
                  <c:v>1.3563584455100699</c:v>
                </c:pt>
                <c:pt idx="169">
                  <c:v>1.3563584455100699</c:v>
                </c:pt>
                <c:pt idx="170">
                  <c:v>1.3563584455100699</c:v>
                </c:pt>
                <c:pt idx="171">
                  <c:v>1.3563584455100699</c:v>
                </c:pt>
                <c:pt idx="172">
                  <c:v>1.3563584455100699</c:v>
                </c:pt>
                <c:pt idx="173">
                  <c:v>1.3563584455100699</c:v>
                </c:pt>
                <c:pt idx="174">
                  <c:v>1.3563584455100699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C-4828-B360-F36AC4A074F7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IYW*/XLK*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1.3807734927492901</c:v>
                </c:pt>
                <c:pt idx="10">
                  <c:v>1.37951781661104</c:v>
                </c:pt>
                <c:pt idx="11">
                  <c:v>1.3782221646572299</c:v>
                </c:pt>
                <c:pt idx="12">
                  <c:v>1.3773587266526801</c:v>
                </c:pt>
                <c:pt idx="13">
                  <c:v>1.37636613889185</c:v>
                </c:pt>
                <c:pt idx="14">
                  <c:v>1.3755133614527</c:v>
                </c:pt>
                <c:pt idx="15">
                  <c:v>1.37523038648999</c:v>
                </c:pt>
                <c:pt idx="16">
                  <c:v>1.3749213620187899</c:v>
                </c:pt>
                <c:pt idx="17">
                  <c:v>1.37427105765098</c:v>
                </c:pt>
                <c:pt idx="18">
                  <c:v>1.3740271606863099</c:v>
                </c:pt>
                <c:pt idx="19">
                  <c:v>1.37447290180741</c:v>
                </c:pt>
                <c:pt idx="20">
                  <c:v>1.3746272220859299</c:v>
                </c:pt>
                <c:pt idx="21">
                  <c:v>1.3745431437182301</c:v>
                </c:pt>
                <c:pt idx="22">
                  <c:v>1.37528253467099</c:v>
                </c:pt>
                <c:pt idx="23">
                  <c:v>1.3756665744382901</c:v>
                </c:pt>
                <c:pt idx="24">
                  <c:v>1.3751146284775799</c:v>
                </c:pt>
                <c:pt idx="25">
                  <c:v>1.37430601430818</c:v>
                </c:pt>
                <c:pt idx="26">
                  <c:v>1.3737289367119201</c:v>
                </c:pt>
                <c:pt idx="27">
                  <c:v>1.37328669826283</c:v>
                </c:pt>
                <c:pt idx="28">
                  <c:v>1.3728769333631199</c:v>
                </c:pt>
                <c:pt idx="29">
                  <c:v>1.37153418715085</c:v>
                </c:pt>
                <c:pt idx="30">
                  <c:v>1.3706760164769101</c:v>
                </c:pt>
                <c:pt idx="31">
                  <c:v>1.3700835295627001</c:v>
                </c:pt>
                <c:pt idx="32">
                  <c:v>1.36892031895682</c:v>
                </c:pt>
                <c:pt idx="33">
                  <c:v>1.3681758798882599</c:v>
                </c:pt>
                <c:pt idx="34">
                  <c:v>1.3680952592125899</c:v>
                </c:pt>
                <c:pt idx="35">
                  <c:v>1.3681306290623201</c:v>
                </c:pt>
                <c:pt idx="36">
                  <c:v>1.3681584220526899</c:v>
                </c:pt>
                <c:pt idx="37">
                  <c:v>1.3684280076758899</c:v>
                </c:pt>
                <c:pt idx="38">
                  <c:v>1.3680004591832799</c:v>
                </c:pt>
                <c:pt idx="39">
                  <c:v>1.3684715110811501</c:v>
                </c:pt>
                <c:pt idx="40">
                  <c:v>1.3692962200000001</c:v>
                </c:pt>
                <c:pt idx="41">
                  <c:v>1.3695977051000301</c:v>
                </c:pt>
                <c:pt idx="42">
                  <c:v>1.36967689200827</c:v>
                </c:pt>
                <c:pt idx="43">
                  <c:v>1.36991461763241</c:v>
                </c:pt>
                <c:pt idx="44">
                  <c:v>1.37009417754296</c:v>
                </c:pt>
                <c:pt idx="45">
                  <c:v>1.37030677525893</c:v>
                </c:pt>
                <c:pt idx="46">
                  <c:v>1.3704674358665001</c:v>
                </c:pt>
                <c:pt idx="47">
                  <c:v>1.37060039178278</c:v>
                </c:pt>
                <c:pt idx="48">
                  <c:v>1.37084734938049</c:v>
                </c:pt>
                <c:pt idx="49">
                  <c:v>1.3706608679633501</c:v>
                </c:pt>
                <c:pt idx="50">
                  <c:v>1.3700639699738499</c:v>
                </c:pt>
                <c:pt idx="51">
                  <c:v>1.3699578037617699</c:v>
                </c:pt>
                <c:pt idx="52">
                  <c:v>1.3695482999711901</c:v>
                </c:pt>
                <c:pt idx="53">
                  <c:v>1.36877478179442</c:v>
                </c:pt>
                <c:pt idx="54">
                  <c:v>1.3680557642871201</c:v>
                </c:pt>
                <c:pt idx="55">
                  <c:v>1.36664768599289</c:v>
                </c:pt>
                <c:pt idx="56">
                  <c:v>1.36540846476253</c:v>
                </c:pt>
                <c:pt idx="57">
                  <c:v>1.3641205531559699</c:v>
                </c:pt>
                <c:pt idx="58">
                  <c:v>1.3627864618213099</c:v>
                </c:pt>
                <c:pt idx="59">
                  <c:v>1.3620747606946799</c:v>
                </c:pt>
                <c:pt idx="60">
                  <c:v>1.3617912208977401</c:v>
                </c:pt>
                <c:pt idx="61">
                  <c:v>1.3616966133759201</c:v>
                </c:pt>
                <c:pt idx="62">
                  <c:v>1.3616650839864599</c:v>
                </c:pt>
                <c:pt idx="63">
                  <c:v>1.36164143790015</c:v>
                </c:pt>
                <c:pt idx="64">
                  <c:v>1.36145581158627</c:v>
                </c:pt>
                <c:pt idx="65">
                  <c:v>1.3619478407187899</c:v>
                </c:pt>
                <c:pt idx="66">
                  <c:v>1.3622860409966999</c:v>
                </c:pt>
                <c:pt idx="67">
                  <c:v>1.3626445543174901</c:v>
                </c:pt>
                <c:pt idx="68">
                  <c:v>1.3630457663876201</c:v>
                </c:pt>
                <c:pt idx="69">
                  <c:v>1.36337073543973</c:v>
                </c:pt>
                <c:pt idx="70">
                  <c:v>1.36340898850471</c:v>
                </c:pt>
                <c:pt idx="71">
                  <c:v>1.3625873070455701</c:v>
                </c:pt>
                <c:pt idx="72">
                  <c:v>1.36236823331416</c:v>
                </c:pt>
                <c:pt idx="73">
                  <c:v>1.3621291089718901</c:v>
                </c:pt>
                <c:pt idx="74">
                  <c:v>1.36122763534184</c:v>
                </c:pt>
                <c:pt idx="75">
                  <c:v>1.3603923621115399</c:v>
                </c:pt>
                <c:pt idx="76">
                  <c:v>1.3598479747032399</c:v>
                </c:pt>
                <c:pt idx="77">
                  <c:v>1.35917773340465</c:v>
                </c:pt>
                <c:pt idx="78">
                  <c:v>1.35926716824403</c:v>
                </c:pt>
                <c:pt idx="79">
                  <c:v>1.35924188554096</c:v>
                </c:pt>
                <c:pt idx="80">
                  <c:v>1.35841240754767</c:v>
                </c:pt>
                <c:pt idx="81">
                  <c:v>1.3592816307442599</c:v>
                </c:pt>
                <c:pt idx="82">
                  <c:v>1.35971734894538</c:v>
                </c:pt>
                <c:pt idx="83">
                  <c:v>1.3599657486386201</c:v>
                </c:pt>
                <c:pt idx="84">
                  <c:v>1.3605260128471801</c:v>
                </c:pt>
                <c:pt idx="85">
                  <c:v>1.3615949356283199</c:v>
                </c:pt>
                <c:pt idx="86">
                  <c:v>1.36271343707975</c:v>
                </c:pt>
                <c:pt idx="87">
                  <c:v>1.3631302750487799</c:v>
                </c:pt>
                <c:pt idx="88">
                  <c:v>1.3620472811233399</c:v>
                </c:pt>
                <c:pt idx="89">
                  <c:v>1.36095956093063</c:v>
                </c:pt>
                <c:pt idx="90">
                  <c:v>1.3613235576726801</c:v>
                </c:pt>
                <c:pt idx="91">
                  <c:v>1.3599869469200701</c:v>
                </c:pt>
                <c:pt idx="92">
                  <c:v>1.3589331302749099</c:v>
                </c:pt>
                <c:pt idx="93">
                  <c:v>1.35811277639678</c:v>
                </c:pt>
                <c:pt idx="94">
                  <c:v>1.3575551272603901</c:v>
                </c:pt>
                <c:pt idx="95">
                  <c:v>1.35614586635988</c:v>
                </c:pt>
                <c:pt idx="96">
                  <c:v>1.3536960370584801</c:v>
                </c:pt>
                <c:pt idx="97">
                  <c:v>1.3517605996947999</c:v>
                </c:pt>
                <c:pt idx="98">
                  <c:v>1.3504551010317001</c:v>
                </c:pt>
                <c:pt idx="99">
                  <c:v>1.3487040434724</c:v>
                </c:pt>
                <c:pt idx="100">
                  <c:v>1.3461682433687601</c:v>
                </c:pt>
                <c:pt idx="101">
                  <c:v>1.3431637563880101</c:v>
                </c:pt>
                <c:pt idx="102">
                  <c:v>1.33946079021222</c:v>
                </c:pt>
                <c:pt idx="103">
                  <c:v>1.3350287065111299</c:v>
                </c:pt>
                <c:pt idx="104">
                  <c:v>1.3308868646084</c:v>
                </c:pt>
                <c:pt idx="105">
                  <c:v>1.3285222198714</c:v>
                </c:pt>
                <c:pt idx="106">
                  <c:v>1.3279036974262299</c:v>
                </c:pt>
                <c:pt idx="107">
                  <c:v>1.32697004780325</c:v>
                </c:pt>
                <c:pt idx="108">
                  <c:v>1.3266934765415801</c:v>
                </c:pt>
                <c:pt idx="109">
                  <c:v>1.3264035506013301</c:v>
                </c:pt>
                <c:pt idx="110">
                  <c:v>1.3256836448887199</c:v>
                </c:pt>
                <c:pt idx="111">
                  <c:v>1.3257624273511499</c:v>
                </c:pt>
                <c:pt idx="112">
                  <c:v>1.32644204241571</c:v>
                </c:pt>
                <c:pt idx="113">
                  <c:v>1.3283930383281399</c:v>
                </c:pt>
                <c:pt idx="114">
                  <c:v>1.3297878853998799</c:v>
                </c:pt>
                <c:pt idx="115">
                  <c:v>1.3295362535605499</c:v>
                </c:pt>
                <c:pt idx="116">
                  <c:v>1.327545170956</c:v>
                </c:pt>
                <c:pt idx="117">
                  <c:v>1.3265824100771999</c:v>
                </c:pt>
                <c:pt idx="118">
                  <c:v>1.32552768586087</c:v>
                </c:pt>
                <c:pt idx="119">
                  <c:v>1.3244484900494</c:v>
                </c:pt>
                <c:pt idx="120">
                  <c:v>1.32395119012202</c:v>
                </c:pt>
                <c:pt idx="121">
                  <c:v>1.32425961416925</c:v>
                </c:pt>
                <c:pt idx="122">
                  <c:v>1.3241915907128401</c:v>
                </c:pt>
                <c:pt idx="123">
                  <c:v>1.3251072020722201</c:v>
                </c:pt>
                <c:pt idx="124">
                  <c:v>1.3272829555774399</c:v>
                </c:pt>
                <c:pt idx="125">
                  <c:v>1.3295574371416401</c:v>
                </c:pt>
                <c:pt idx="126">
                  <c:v>1.3335178318469001</c:v>
                </c:pt>
                <c:pt idx="127">
                  <c:v>1.33650373220996</c:v>
                </c:pt>
                <c:pt idx="128">
                  <c:v>1.33868712223512</c:v>
                </c:pt>
                <c:pt idx="129">
                  <c:v>1.3411042046194901</c:v>
                </c:pt>
                <c:pt idx="130">
                  <c:v>1.34379895400573</c:v>
                </c:pt>
                <c:pt idx="131">
                  <c:v>1.3461717784290099</c:v>
                </c:pt>
                <c:pt idx="132">
                  <c:v>1.3506082212314401</c:v>
                </c:pt>
                <c:pt idx="133">
                  <c:v>1.3533148671534501</c:v>
                </c:pt>
                <c:pt idx="134">
                  <c:v>1.35473934295293</c:v>
                </c:pt>
                <c:pt idx="135">
                  <c:v>1.3565449373434499</c:v>
                </c:pt>
                <c:pt idx="136">
                  <c:v>1.35599045935315</c:v>
                </c:pt>
                <c:pt idx="137">
                  <c:v>1.3558278189574999</c:v>
                </c:pt>
                <c:pt idx="138">
                  <c:v>1.35500961423732</c:v>
                </c:pt>
                <c:pt idx="139">
                  <c:v>1.35462666687058</c:v>
                </c:pt>
                <c:pt idx="140">
                  <c:v>1.3544571988079399</c:v>
                </c:pt>
                <c:pt idx="141">
                  <c:v>1.35501022723885</c:v>
                </c:pt>
                <c:pt idx="142">
                  <c:v>1.3546666444384099</c:v>
                </c:pt>
                <c:pt idx="143">
                  <c:v>1.35279288020605</c:v>
                </c:pt>
                <c:pt idx="144">
                  <c:v>1.3522950177142401</c:v>
                </c:pt>
                <c:pt idx="145">
                  <c:v>1.3525915135398101</c:v>
                </c:pt>
                <c:pt idx="146">
                  <c:v>1.3530326907677199</c:v>
                </c:pt>
                <c:pt idx="147">
                  <c:v>1.35323636120025</c:v>
                </c:pt>
                <c:pt idx="148">
                  <c:v>1.3547759268984301</c:v>
                </c:pt>
                <c:pt idx="149">
                  <c:v>1.35570259018935</c:v>
                </c:pt>
                <c:pt idx="150">
                  <c:v>1.3563040206304899</c:v>
                </c:pt>
                <c:pt idx="151">
                  <c:v>1.3554776965559701</c:v>
                </c:pt>
                <c:pt idx="152">
                  <c:v>1.3529985604679</c:v>
                </c:pt>
                <c:pt idx="153">
                  <c:v>1.3526576152980401</c:v>
                </c:pt>
                <c:pt idx="154">
                  <c:v>1.3513728678847301</c:v>
                </c:pt>
                <c:pt idx="155">
                  <c:v>1.34837927547326</c:v>
                </c:pt>
                <c:pt idx="156">
                  <c:v>1.34717598811141</c:v>
                </c:pt>
                <c:pt idx="157">
                  <c:v>1.3469571138334699</c:v>
                </c:pt>
                <c:pt idx="158">
                  <c:v>1.34653398267943</c:v>
                </c:pt>
                <c:pt idx="159">
                  <c:v>1.3462602397525401</c:v>
                </c:pt>
                <c:pt idx="160">
                  <c:v>1.3463841146267601</c:v>
                </c:pt>
                <c:pt idx="161">
                  <c:v>1.34687260905789</c:v>
                </c:pt>
                <c:pt idx="162">
                  <c:v>1.3477788890040301</c:v>
                </c:pt>
                <c:pt idx="163">
                  <c:v>1.3478452954793101</c:v>
                </c:pt>
                <c:pt idx="164">
                  <c:v>1.3486579172808599</c:v>
                </c:pt>
                <c:pt idx="165">
                  <c:v>1.34951797461903</c:v>
                </c:pt>
                <c:pt idx="166">
                  <c:v>1.35007463894997</c:v>
                </c:pt>
                <c:pt idx="167">
                  <c:v>1.3504199413294899</c:v>
                </c:pt>
                <c:pt idx="168">
                  <c:v>1.3514263050873601</c:v>
                </c:pt>
                <c:pt idx="169">
                  <c:v>1.3518028707219401</c:v>
                </c:pt>
                <c:pt idx="170">
                  <c:v>1.3509340368176299</c:v>
                </c:pt>
                <c:pt idx="171">
                  <c:v>1.3501575386608999</c:v>
                </c:pt>
                <c:pt idx="172">
                  <c:v>1.3503892278751499</c:v>
                </c:pt>
                <c:pt idx="173">
                  <c:v>1.3507648583195699</c:v>
                </c:pt>
                <c:pt idx="174">
                  <c:v>1.35174566856832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C-4828-B360-F36AC4A074F7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IYW*/XLK*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1.3776231972783499</c:v>
                </c:pt>
                <c:pt idx="20">
                  <c:v>1.3770725193484901</c:v>
                </c:pt>
                <c:pt idx="21">
                  <c:v>1.37638265418773</c:v>
                </c:pt>
                <c:pt idx="22">
                  <c:v>1.3763206306618301</c:v>
                </c:pt>
                <c:pt idx="23">
                  <c:v>1.3760163566650701</c:v>
                </c:pt>
                <c:pt idx="24">
                  <c:v>1.3753139949651401</c:v>
                </c:pt>
                <c:pt idx="25">
                  <c:v>1.37476820039909</c:v>
                </c:pt>
                <c:pt idx="26">
                  <c:v>1.3743251493653501</c:v>
                </c:pt>
                <c:pt idx="27">
                  <c:v>1.3737788779569</c:v>
                </c:pt>
                <c:pt idx="28">
                  <c:v>1.37345204702471</c:v>
                </c:pt>
                <c:pt idx="29">
                  <c:v>1.37300354447913</c:v>
                </c:pt>
                <c:pt idx="30">
                  <c:v>1.37265161928142</c:v>
                </c:pt>
                <c:pt idx="31">
                  <c:v>1.3723133366404601</c:v>
                </c:pt>
                <c:pt idx="32">
                  <c:v>1.3721014268139</c:v>
                </c:pt>
                <c:pt idx="33">
                  <c:v>1.3719212271632699</c:v>
                </c:pt>
                <c:pt idx="34">
                  <c:v>1.3716049438450899</c:v>
                </c:pt>
                <c:pt idx="35">
                  <c:v>1.37121832168525</c:v>
                </c:pt>
                <c:pt idx="36">
                  <c:v>1.3709436793823</c:v>
                </c:pt>
                <c:pt idx="37">
                  <c:v>1.37085735296936</c:v>
                </c:pt>
                <c:pt idx="38">
                  <c:v>1.3704386962732</c:v>
                </c:pt>
                <c:pt idx="39">
                  <c:v>1.3700028491159999</c:v>
                </c:pt>
                <c:pt idx="40">
                  <c:v>1.3699861182384501</c:v>
                </c:pt>
                <c:pt idx="41">
                  <c:v>1.36984061733137</c:v>
                </c:pt>
                <c:pt idx="42">
                  <c:v>1.36929860548255</c:v>
                </c:pt>
                <c:pt idx="43">
                  <c:v>1.36904524876033</c:v>
                </c:pt>
                <c:pt idx="44">
                  <c:v>1.36909471837777</c:v>
                </c:pt>
                <c:pt idx="45">
                  <c:v>1.3692187021606299</c:v>
                </c:pt>
                <c:pt idx="46">
                  <c:v>1.36931292895959</c:v>
                </c:pt>
                <c:pt idx="47">
                  <c:v>1.3695141997293401</c:v>
                </c:pt>
                <c:pt idx="48">
                  <c:v>1.3694239042818901</c:v>
                </c:pt>
                <c:pt idx="49">
                  <c:v>1.36956618952225</c:v>
                </c:pt>
                <c:pt idx="50">
                  <c:v>1.3696800949869199</c:v>
                </c:pt>
                <c:pt idx="51">
                  <c:v>1.3697777544309</c:v>
                </c:pt>
                <c:pt idx="52">
                  <c:v>1.3696125959897301</c:v>
                </c:pt>
                <c:pt idx="53">
                  <c:v>1.36934469971341</c:v>
                </c:pt>
                <c:pt idx="54">
                  <c:v>1.36907497091504</c:v>
                </c:pt>
                <c:pt idx="55">
                  <c:v>1.3684772306259101</c:v>
                </c:pt>
                <c:pt idx="56">
                  <c:v>1.3679379503145199</c:v>
                </c:pt>
                <c:pt idx="57">
                  <c:v>1.36736047246937</c:v>
                </c:pt>
                <c:pt idx="58">
                  <c:v>1.3668169056009001</c:v>
                </c:pt>
                <c:pt idx="59">
                  <c:v>1.3663678143290101</c:v>
                </c:pt>
                <c:pt idx="60">
                  <c:v>1.3659275954357899</c:v>
                </c:pt>
                <c:pt idx="61">
                  <c:v>1.3658272085688501</c:v>
                </c:pt>
                <c:pt idx="62">
                  <c:v>1.3656066919788299</c:v>
                </c:pt>
                <c:pt idx="63">
                  <c:v>1.3652081098472799</c:v>
                </c:pt>
                <c:pt idx="64">
                  <c:v>1.3647557879367</c:v>
                </c:pt>
                <c:pt idx="65">
                  <c:v>1.36429776335584</c:v>
                </c:pt>
                <c:pt idx="66">
                  <c:v>1.3638472528796199</c:v>
                </c:pt>
                <c:pt idx="67">
                  <c:v>1.3633825537367299</c:v>
                </c:pt>
                <c:pt idx="68">
                  <c:v>1.3629161141044699</c:v>
                </c:pt>
                <c:pt idx="69">
                  <c:v>1.3627227480672099</c:v>
                </c:pt>
                <c:pt idx="70">
                  <c:v>1.3626001047012199</c:v>
                </c:pt>
                <c:pt idx="71">
                  <c:v>1.3621419602107501</c:v>
                </c:pt>
                <c:pt idx="72">
                  <c:v>1.36201665865031</c:v>
                </c:pt>
                <c:pt idx="73">
                  <c:v>1.3618852734360201</c:v>
                </c:pt>
                <c:pt idx="74">
                  <c:v>1.3613417234640599</c:v>
                </c:pt>
                <c:pt idx="75">
                  <c:v>1.36117010141516</c:v>
                </c:pt>
                <c:pt idx="76">
                  <c:v>1.36106700784997</c:v>
                </c:pt>
                <c:pt idx="77">
                  <c:v>1.3609111438610699</c:v>
                </c:pt>
                <c:pt idx="78">
                  <c:v>1.3611564673158301</c:v>
                </c:pt>
                <c:pt idx="79">
                  <c:v>1.36130631049035</c:v>
                </c:pt>
                <c:pt idx="80">
                  <c:v>1.36091069802619</c:v>
                </c:pt>
                <c:pt idx="81">
                  <c:v>1.3609344688949101</c:v>
                </c:pt>
                <c:pt idx="82">
                  <c:v>1.36104279112977</c:v>
                </c:pt>
                <c:pt idx="83">
                  <c:v>1.3610474288052501</c:v>
                </c:pt>
                <c:pt idx="84">
                  <c:v>1.3608768240945099</c:v>
                </c:pt>
                <c:pt idx="85">
                  <c:v>1.3609936488699299</c:v>
                </c:pt>
                <c:pt idx="86">
                  <c:v>1.3612807058915</c:v>
                </c:pt>
                <c:pt idx="87">
                  <c:v>1.3611540042267101</c:v>
                </c:pt>
                <c:pt idx="88">
                  <c:v>1.3606572246836901</c:v>
                </c:pt>
                <c:pt idx="89">
                  <c:v>1.3601007232358</c:v>
                </c:pt>
                <c:pt idx="90">
                  <c:v>1.35986798261018</c:v>
                </c:pt>
                <c:pt idx="91">
                  <c:v>1.35963428883216</c:v>
                </c:pt>
                <c:pt idx="92">
                  <c:v>1.3593252396101401</c:v>
                </c:pt>
                <c:pt idx="93">
                  <c:v>1.3590392625176999</c:v>
                </c:pt>
                <c:pt idx="94">
                  <c:v>1.35904057005378</c:v>
                </c:pt>
                <c:pt idx="95">
                  <c:v>1.3588704009940999</c:v>
                </c:pt>
                <c:pt idx="96">
                  <c:v>1.3582047370691199</c:v>
                </c:pt>
                <c:pt idx="97">
                  <c:v>1.3574454373717899</c:v>
                </c:pt>
                <c:pt idx="98">
                  <c:v>1.3562511910775199</c:v>
                </c:pt>
                <c:pt idx="99">
                  <c:v>1.35483180220151</c:v>
                </c:pt>
                <c:pt idx="100">
                  <c:v>1.35374590052072</c:v>
                </c:pt>
                <c:pt idx="101">
                  <c:v>1.3515753516540401</c:v>
                </c:pt>
                <c:pt idx="102">
                  <c:v>1.3491969602435601</c:v>
                </c:pt>
                <c:pt idx="103">
                  <c:v>1.3465707414539601</c:v>
                </c:pt>
                <c:pt idx="104">
                  <c:v>1.34422099593439</c:v>
                </c:pt>
                <c:pt idx="105">
                  <c:v>1.3423340431156401</c:v>
                </c:pt>
                <c:pt idx="106">
                  <c:v>1.34079986724236</c:v>
                </c:pt>
                <c:pt idx="107">
                  <c:v>1.33936532374902</c:v>
                </c:pt>
                <c:pt idx="108">
                  <c:v>1.3385742887866401</c:v>
                </c:pt>
                <c:pt idx="109">
                  <c:v>1.3375537970368601</c:v>
                </c:pt>
                <c:pt idx="110">
                  <c:v>1.3359259441287401</c:v>
                </c:pt>
                <c:pt idx="111">
                  <c:v>1.3344630918695799</c:v>
                </c:pt>
                <c:pt idx="112">
                  <c:v>1.33295141631396</c:v>
                </c:pt>
                <c:pt idx="113">
                  <c:v>1.33171087241963</c:v>
                </c:pt>
                <c:pt idx="114">
                  <c:v>1.3303373750041401</c:v>
                </c:pt>
                <c:pt idx="115">
                  <c:v>1.32902923671597</c:v>
                </c:pt>
                <c:pt idx="116">
                  <c:v>1.3277244341911201</c:v>
                </c:pt>
                <c:pt idx="117">
                  <c:v>1.3267762289402201</c:v>
                </c:pt>
                <c:pt idx="118">
                  <c:v>1.3261105812012199</c:v>
                </c:pt>
                <c:pt idx="119">
                  <c:v>1.32542602032537</c:v>
                </c:pt>
                <c:pt idx="120">
                  <c:v>1.32481741750537</c:v>
                </c:pt>
                <c:pt idx="121">
                  <c:v>1.3250110207601999</c:v>
                </c:pt>
                <c:pt idx="122">
                  <c:v>1.3253168165642699</c:v>
                </c:pt>
                <c:pt idx="123">
                  <c:v>1.3267501202001799</c:v>
                </c:pt>
                <c:pt idx="124">
                  <c:v>1.3285354204886599</c:v>
                </c:pt>
                <c:pt idx="125">
                  <c:v>1.3295468453510899</c:v>
                </c:pt>
                <c:pt idx="126">
                  <c:v>1.33053150140145</c:v>
                </c:pt>
                <c:pt idx="127">
                  <c:v>1.3315430711435801</c:v>
                </c:pt>
                <c:pt idx="128">
                  <c:v>1.3321074040480001</c:v>
                </c:pt>
                <c:pt idx="129">
                  <c:v>1.3327763473344501</c:v>
                </c:pt>
                <c:pt idx="130">
                  <c:v>1.3338750720638799</c:v>
                </c:pt>
                <c:pt idx="131">
                  <c:v>1.33521569629913</c:v>
                </c:pt>
                <c:pt idx="132">
                  <c:v>1.33739990597214</c:v>
                </c:pt>
                <c:pt idx="133">
                  <c:v>1.3392110346128401</c:v>
                </c:pt>
                <c:pt idx="134">
                  <c:v>1.3410111492651799</c:v>
                </c:pt>
                <c:pt idx="135">
                  <c:v>1.3430511872425399</c:v>
                </c:pt>
                <c:pt idx="136">
                  <c:v>1.34475414560003</c:v>
                </c:pt>
                <c:pt idx="137">
                  <c:v>1.34616577558373</c:v>
                </c:pt>
                <c:pt idx="138">
                  <c:v>1.34684836823622</c:v>
                </c:pt>
                <c:pt idx="139">
                  <c:v>1.3478654357450399</c:v>
                </c:pt>
                <c:pt idx="140">
                  <c:v>1.3491280764068301</c:v>
                </c:pt>
                <c:pt idx="141">
                  <c:v>1.3505910028339301</c:v>
                </c:pt>
                <c:pt idx="142">
                  <c:v>1.35263743283493</c:v>
                </c:pt>
                <c:pt idx="143">
                  <c:v>1.3530538736797499</c:v>
                </c:pt>
                <c:pt idx="144">
                  <c:v>1.3535171803335899</c:v>
                </c:pt>
                <c:pt idx="145">
                  <c:v>1.35456822544163</c:v>
                </c:pt>
                <c:pt idx="146">
                  <c:v>1.35451157506044</c:v>
                </c:pt>
                <c:pt idx="147">
                  <c:v>1.35453209007888</c:v>
                </c:pt>
                <c:pt idx="148">
                  <c:v>1.3548927705678699</c:v>
                </c:pt>
                <c:pt idx="149">
                  <c:v>1.3551646285299701</c:v>
                </c:pt>
                <c:pt idx="150">
                  <c:v>1.35538060971921</c:v>
                </c:pt>
                <c:pt idx="151">
                  <c:v>1.3552439618974099</c:v>
                </c:pt>
                <c:pt idx="152">
                  <c:v>1.35383260245316</c:v>
                </c:pt>
                <c:pt idx="153">
                  <c:v>1.3527252477520399</c:v>
                </c:pt>
                <c:pt idx="154">
                  <c:v>1.3518339427994901</c:v>
                </c:pt>
                <c:pt idx="155">
                  <c:v>1.35048539450653</c:v>
                </c:pt>
                <c:pt idx="156">
                  <c:v>1.35010433943956</c:v>
                </c:pt>
                <c:pt idx="157">
                  <c:v>1.35009673751686</c:v>
                </c:pt>
                <c:pt idx="158">
                  <c:v>1.3506549547889299</c:v>
                </c:pt>
                <c:pt idx="159">
                  <c:v>1.35098141497094</c:v>
                </c:pt>
                <c:pt idx="160">
                  <c:v>1.3513440676286299</c:v>
                </c:pt>
                <c:pt idx="161">
                  <c:v>1.35117515280693</c:v>
                </c:pt>
                <c:pt idx="162">
                  <c:v>1.35038872473597</c:v>
                </c:pt>
                <c:pt idx="163">
                  <c:v>1.35025145538868</c:v>
                </c:pt>
                <c:pt idx="164">
                  <c:v>1.3500153925828</c:v>
                </c:pt>
                <c:pt idx="165">
                  <c:v>1.34894862504615</c:v>
                </c:pt>
                <c:pt idx="166">
                  <c:v>1.34862531353069</c:v>
                </c:pt>
                <c:pt idx="167">
                  <c:v>1.3486885275814799</c:v>
                </c:pt>
                <c:pt idx="168">
                  <c:v>1.3489801438833999</c:v>
                </c:pt>
                <c:pt idx="169">
                  <c:v>1.3490315552372401</c:v>
                </c:pt>
                <c:pt idx="170">
                  <c:v>1.3486590757221999</c:v>
                </c:pt>
                <c:pt idx="171">
                  <c:v>1.3485150738594001</c:v>
                </c:pt>
                <c:pt idx="172">
                  <c:v>1.34908405843959</c:v>
                </c:pt>
                <c:pt idx="173">
                  <c:v>1.3493050768994499</c:v>
                </c:pt>
                <c:pt idx="174">
                  <c:v>1.35020179292459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CC-4828-B360-F36AC4A07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XLK x avg / IYW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-2.14172110758695E-2</c:v>
                </c:pt>
                <c:pt idx="2">
                  <c:v>-1.70626869796087E-2</c:v>
                </c:pt>
                <c:pt idx="3">
                  <c:v>-1.9461622036349401E-2</c:v>
                </c:pt>
                <c:pt idx="4">
                  <c:v>-2.0949636820907301E-2</c:v>
                </c:pt>
                <c:pt idx="5">
                  <c:v>-1.76072702047688E-2</c:v>
                </c:pt>
                <c:pt idx="6">
                  <c:v>-1.6553207403578799E-2</c:v>
                </c:pt>
                <c:pt idx="7">
                  <c:v>-1.60950795645022E-2</c:v>
                </c:pt>
                <c:pt idx="8">
                  <c:v>-1.51593255912376E-2</c:v>
                </c:pt>
                <c:pt idx="9">
                  <c:v>-1.3127561391925301E-2</c:v>
                </c:pt>
                <c:pt idx="10">
                  <c:v>-1.1978180887956E-2</c:v>
                </c:pt>
                <c:pt idx="11">
                  <c:v>-1.2023064973542901E-2</c:v>
                </c:pt>
                <c:pt idx="12">
                  <c:v>-1.07847714918536E-2</c:v>
                </c:pt>
                <c:pt idx="13">
                  <c:v>-1.2258645085693701E-2</c:v>
                </c:pt>
                <c:pt idx="14">
                  <c:v>-1.47736007167803E-2</c:v>
                </c:pt>
                <c:pt idx="15">
                  <c:v>-1.55552633884249E-2</c:v>
                </c:pt>
                <c:pt idx="16">
                  <c:v>-1.43097232971253E-2</c:v>
                </c:pt>
                <c:pt idx="17">
                  <c:v>-1.1365906520122499E-2</c:v>
                </c:pt>
                <c:pt idx="18">
                  <c:v>-1.33866074683269E-2</c:v>
                </c:pt>
                <c:pt idx="19">
                  <c:v>-1.6365809524559599E-2</c:v>
                </c:pt>
                <c:pt idx="20">
                  <c:v>-1.3101773692384E-2</c:v>
                </c:pt>
                <c:pt idx="21">
                  <c:v>-1.14103933434109E-2</c:v>
                </c:pt>
                <c:pt idx="22">
                  <c:v>-1.6163182059759099E-2</c:v>
                </c:pt>
                <c:pt idx="23">
                  <c:v>-1.5051688650268799E-2</c:v>
                </c:pt>
                <c:pt idx="24">
                  <c:v>-1.0755834733887399E-2</c:v>
                </c:pt>
                <c:pt idx="25">
                  <c:v>-9.66824324518804E-3</c:v>
                </c:pt>
                <c:pt idx="26">
                  <c:v>-1.01066791020844E-2</c:v>
                </c:pt>
                <c:pt idx="27">
                  <c:v>-8.1370159963133192E-3</c:v>
                </c:pt>
                <c:pt idx="28">
                  <c:v>-1.04012169507089E-2</c:v>
                </c:pt>
                <c:pt idx="29">
                  <c:v>-6.5789845720254101E-3</c:v>
                </c:pt>
                <c:pt idx="30">
                  <c:v>-6.8374349831225598E-3</c:v>
                </c:pt>
                <c:pt idx="31">
                  <c:v>-7.0823181313208802E-3</c:v>
                </c:pt>
                <c:pt idx="32">
                  <c:v>-7.6887678938467102E-3</c:v>
                </c:pt>
                <c:pt idx="33">
                  <c:v>-9.6304192388964507E-3</c:v>
                </c:pt>
                <c:pt idx="34">
                  <c:v>-1.01676212535719E-2</c:v>
                </c:pt>
                <c:pt idx="35">
                  <c:v>-9.9264753832310794E-3</c:v>
                </c:pt>
                <c:pt idx="36">
                  <c:v>-1.0309509934794001E-2</c:v>
                </c:pt>
                <c:pt idx="37">
                  <c:v>-1.01065665412445E-2</c:v>
                </c:pt>
                <c:pt idx="38">
                  <c:v>-7.2767315353123004E-3</c:v>
                </c:pt>
                <c:pt idx="39">
                  <c:v>-1.0023240641802E-2</c:v>
                </c:pt>
                <c:pt idx="40">
                  <c:v>-1.2858248674100599E-2</c:v>
                </c:pt>
                <c:pt idx="41">
                  <c:v>-9.2869863048580994E-3</c:v>
                </c:pt>
                <c:pt idx="42">
                  <c:v>-8.2679570717450294E-3</c:v>
                </c:pt>
                <c:pt idx="43">
                  <c:v>-1.13648177843693E-2</c:v>
                </c:pt>
                <c:pt idx="44">
                  <c:v>-1.1477229033530101E-2</c:v>
                </c:pt>
                <c:pt idx="45">
                  <c:v>-1.1477229033530101E-2</c:v>
                </c:pt>
                <c:pt idx="46">
                  <c:v>-1.14811915245453E-2</c:v>
                </c:pt>
                <c:pt idx="47">
                  <c:v>-1.1076495270943801E-2</c:v>
                </c:pt>
                <c:pt idx="48">
                  <c:v>-9.0826658553852593E-3</c:v>
                </c:pt>
                <c:pt idx="49">
                  <c:v>-8.6611365958865205E-3</c:v>
                </c:pt>
                <c:pt idx="50">
                  <c:v>-8.1383246431254806E-3</c:v>
                </c:pt>
                <c:pt idx="51">
                  <c:v>-8.1411129536450005E-3</c:v>
                </c:pt>
                <c:pt idx="52">
                  <c:v>-4.89913032838295E-3</c:v>
                </c:pt>
                <c:pt idx="53">
                  <c:v>-5.3318885174456201E-3</c:v>
                </c:pt>
                <c:pt idx="54">
                  <c:v>-6.2227764809649703E-3</c:v>
                </c:pt>
                <c:pt idx="55">
                  <c:v>-1.1612014583223E-3</c:v>
                </c:pt>
                <c:pt idx="56">
                  <c:v>-2.4079308685769599E-3</c:v>
                </c:pt>
                <c:pt idx="57">
                  <c:v>-1.6412140883019101E-3</c:v>
                </c:pt>
                <c:pt idx="58">
                  <c:v>7.1219382871544096E-4</c:v>
                </c:pt>
                <c:pt idx="59">
                  <c:v>-3.4455851158971501E-3</c:v>
                </c:pt>
                <c:pt idx="60">
                  <c:v>-6.42927407956398E-3</c:v>
                </c:pt>
                <c:pt idx="61">
                  <c:v>-7.8193302722350897E-3</c:v>
                </c:pt>
                <c:pt idx="62">
                  <c:v>-5.0378734387845799E-3</c:v>
                </c:pt>
                <c:pt idx="63">
                  <c:v>-5.5369586091824699E-3</c:v>
                </c:pt>
                <c:pt idx="64">
                  <c:v>-4.8617563530060602E-3</c:v>
                </c:pt>
                <c:pt idx="65">
                  <c:v>-4.7780714702989604E-3</c:v>
                </c:pt>
                <c:pt idx="66">
                  <c:v>-4.8923257994734001E-3</c:v>
                </c:pt>
                <c:pt idx="67">
                  <c:v>-4.2766480624974101E-3</c:v>
                </c:pt>
                <c:pt idx="68">
                  <c:v>-2.2435943576975298E-3</c:v>
                </c:pt>
                <c:pt idx="69">
                  <c:v>-5.8304273642718098E-3</c:v>
                </c:pt>
                <c:pt idx="70">
                  <c:v>-6.7094592940529496E-3</c:v>
                </c:pt>
                <c:pt idx="71">
                  <c:v>-1.79029057240359E-3</c:v>
                </c:pt>
                <c:pt idx="72">
                  <c:v>-3.42951217138635E-3</c:v>
                </c:pt>
                <c:pt idx="73">
                  <c:v>-3.7821403982897998E-3</c:v>
                </c:pt>
                <c:pt idx="74">
                  <c:v>1.7743574750180801E-3</c:v>
                </c:pt>
                <c:pt idx="75">
                  <c:v>1.36972927800541E-3</c:v>
                </c:pt>
                <c:pt idx="76">
                  <c:v>-8.90260915519781E-4</c:v>
                </c:pt>
                <c:pt idx="77">
                  <c:v>6.55959201845409E-4</c:v>
                </c:pt>
                <c:pt idx="78">
                  <c:v>-2.90128481995458E-3</c:v>
                </c:pt>
                <c:pt idx="79">
                  <c:v>-5.6450897180551698E-3</c:v>
                </c:pt>
                <c:pt idx="80">
                  <c:v>-6.1625901119472404E-4</c:v>
                </c:pt>
                <c:pt idx="81">
                  <c:v>-8.1670550708275898E-3</c:v>
                </c:pt>
                <c:pt idx="82">
                  <c:v>-6.6258600289283301E-3</c:v>
                </c:pt>
                <c:pt idx="83">
                  <c:v>-5.60496393576E-3</c:v>
                </c:pt>
                <c:pt idx="84">
                  <c:v>-2.3551520228872799E-3</c:v>
                </c:pt>
                <c:pt idx="85">
                  <c:v>-6.49104186497876E-3</c:v>
                </c:pt>
                <c:pt idx="86">
                  <c:v>-9.0956454448425997E-3</c:v>
                </c:pt>
                <c:pt idx="87">
                  <c:v>-2.41459829153849E-3</c:v>
                </c:pt>
                <c:pt idx="88">
                  <c:v>5.0921349092179604E-3</c:v>
                </c:pt>
                <c:pt idx="89">
                  <c:v>2.3612677151843898E-3</c:v>
                </c:pt>
                <c:pt idx="90">
                  <c:v>-3.29468797049245E-3</c:v>
                </c:pt>
                <c:pt idx="91">
                  <c:v>1.65542687371375E-3</c:v>
                </c:pt>
                <c:pt idx="92">
                  <c:v>1.1223415411016099E-3</c:v>
                </c:pt>
                <c:pt idx="93">
                  <c:v>4.2768930543682799E-4</c:v>
                </c:pt>
                <c:pt idx="94">
                  <c:v>1.7550430361737599E-3</c:v>
                </c:pt>
                <c:pt idx="95">
                  <c:v>3.8855730629478698E-3</c:v>
                </c:pt>
                <c:pt idx="96">
                  <c:v>8.9650126983213795E-3</c:v>
                </c:pt>
                <c:pt idx="97">
                  <c:v>1.1922858103091599E-2</c:v>
                </c:pt>
                <c:pt idx="98">
                  <c:v>1.4813543592413899E-2</c:v>
                </c:pt>
                <c:pt idx="99">
                  <c:v>1.53864326939418E-2</c:v>
                </c:pt>
                <c:pt idx="100">
                  <c:v>1.55155528752992E-2</c:v>
                </c:pt>
                <c:pt idx="101">
                  <c:v>2.4093446804213398E-2</c:v>
                </c:pt>
                <c:pt idx="102">
                  <c:v>2.8834665431535501E-2</c:v>
                </c:pt>
                <c:pt idx="103">
                  <c:v>3.3664784944495998E-2</c:v>
                </c:pt>
                <c:pt idx="104">
                  <c:v>3.2823283359282598E-2</c:v>
                </c:pt>
                <c:pt idx="105">
                  <c:v>2.1542450481681401E-2</c:v>
                </c:pt>
                <c:pt idx="106">
                  <c:v>1.35769353782108E-2</c:v>
                </c:pt>
                <c:pt idx="107">
                  <c:v>1.89134036165296E-2</c:v>
                </c:pt>
                <c:pt idx="108">
                  <c:v>1.6885221759953901E-2</c:v>
                </c:pt>
                <c:pt idx="109">
                  <c:v>1.7559499729210001E-2</c:v>
                </c:pt>
                <c:pt idx="110">
                  <c:v>2.0920845011724101E-2</c:v>
                </c:pt>
                <c:pt idx="111">
                  <c:v>2.3498612446356999E-2</c:v>
                </c:pt>
                <c:pt idx="112">
                  <c:v>2.39734190280264E-2</c:v>
                </c:pt>
                <c:pt idx="113">
                  <c:v>1.91870524903896E-2</c:v>
                </c:pt>
                <c:pt idx="114">
                  <c:v>2.2543725347562001E-2</c:v>
                </c:pt>
                <c:pt idx="115">
                  <c:v>2.3723069952636101E-2</c:v>
                </c:pt>
                <c:pt idx="116">
                  <c:v>2.8569266266185299E-2</c:v>
                </c:pt>
                <c:pt idx="117">
                  <c:v>2.6173459865045798E-2</c:v>
                </c:pt>
                <c:pt idx="118">
                  <c:v>2.4825342879245899E-2</c:v>
                </c:pt>
                <c:pt idx="119">
                  <c:v>2.5690099860440602E-2</c:v>
                </c:pt>
                <c:pt idx="120">
                  <c:v>2.46718746101082E-2</c:v>
                </c:pt>
                <c:pt idx="121">
                  <c:v>2.1173304188066299E-2</c:v>
                </c:pt>
                <c:pt idx="122">
                  <c:v>2.4204351652510399E-2</c:v>
                </c:pt>
                <c:pt idx="123">
                  <c:v>1.2041742516578901E-2</c:v>
                </c:pt>
                <c:pt idx="124">
                  <c:v>5.98301022656254E-3</c:v>
                </c:pt>
                <c:pt idx="125">
                  <c:v>6.4185727609983997E-3</c:v>
                </c:pt>
                <c:pt idx="126">
                  <c:v>-1.0336108116424799E-3</c:v>
                </c:pt>
                <c:pt idx="127">
                  <c:v>3.82679253500372E-3</c:v>
                </c:pt>
                <c:pt idx="128">
                  <c:v>8.4577123023922701E-3</c:v>
                </c:pt>
                <c:pt idx="129">
                  <c:v>7.5708566742425897E-3</c:v>
                </c:pt>
                <c:pt idx="130">
                  <c:v>4.5123485589118398E-3</c:v>
                </c:pt>
                <c:pt idx="131">
                  <c:v>3.46236823338725E-3</c:v>
                </c:pt>
                <c:pt idx="132">
                  <c:v>-8.7567447166839608E-3</c:v>
                </c:pt>
                <c:pt idx="133">
                  <c:v>-7.9542887201827697E-3</c:v>
                </c:pt>
                <c:pt idx="134">
                  <c:v>-4.5269548170826504E-3</c:v>
                </c:pt>
                <c:pt idx="135">
                  <c:v>-6.8904613710052201E-3</c:v>
                </c:pt>
                <c:pt idx="136">
                  <c:v>3.05857873364462E-3</c:v>
                </c:pt>
                <c:pt idx="137">
                  <c:v>5.0312290328715101E-3</c:v>
                </c:pt>
                <c:pt idx="138">
                  <c:v>1.45599841736808E-2</c:v>
                </c:pt>
                <c:pt idx="139">
                  <c:v>1.04197590659597E-2</c:v>
                </c:pt>
                <c:pt idx="140">
                  <c:v>5.7682404438701802E-3</c:v>
                </c:pt>
                <c:pt idx="141">
                  <c:v>-6.2079003919958799E-4</c:v>
                </c:pt>
                <c:pt idx="142">
                  <c:v>-6.2425073815137403E-3</c:v>
                </c:pt>
                <c:pt idx="143">
                  <c:v>5.8459210753003697E-3</c:v>
                </c:pt>
                <c:pt idx="144">
                  <c:v>-8.6620480242985702E-4</c:v>
                </c:pt>
                <c:pt idx="145">
                  <c:v>-9.0590996111638497E-3</c:v>
                </c:pt>
                <c:pt idx="146">
                  <c:v>-1.9878239147646799E-4</c:v>
                </c:pt>
                <c:pt idx="147">
                  <c:v>3.5231728348950999E-3</c:v>
                </c:pt>
                <c:pt idx="148">
                  <c:v>3.1084277613286598E-3</c:v>
                </c:pt>
                <c:pt idx="149">
                  <c:v>3.5398229767974699E-3</c:v>
                </c:pt>
                <c:pt idx="150">
                  <c:v>1.31828273935545E-3</c:v>
                </c:pt>
                <c:pt idx="151">
                  <c:v>5.4863558088700604E-3</c:v>
                </c:pt>
                <c:pt idx="152">
                  <c:v>1.20889009442739E-2</c:v>
                </c:pt>
                <c:pt idx="153">
                  <c:v>8.37757907466051E-3</c:v>
                </c:pt>
                <c:pt idx="154">
                  <c:v>8.6428380987157404E-3</c:v>
                </c:pt>
                <c:pt idx="155">
                  <c:v>1.30557349227089E-2</c:v>
                </c:pt>
                <c:pt idx="156">
                  <c:v>8.7106134755728804E-3</c:v>
                </c:pt>
                <c:pt idx="157">
                  <c:v>5.1438955740134998E-3</c:v>
                </c:pt>
                <c:pt idx="158">
                  <c:v>6.2427050372665998E-3</c:v>
                </c:pt>
                <c:pt idx="159">
                  <c:v>5.5672836164862996E-3</c:v>
                </c:pt>
                <c:pt idx="160">
                  <c:v>4.0419210624305802E-4</c:v>
                </c:pt>
                <c:pt idx="161">
                  <c:v>1.87151531506781E-3</c:v>
                </c:pt>
                <c:pt idx="162">
                  <c:v>5.3485878992654001E-3</c:v>
                </c:pt>
                <c:pt idx="163">
                  <c:v>7.8839808437986304E-3</c:v>
                </c:pt>
                <c:pt idx="164">
                  <c:v>2.6177274064949599E-3</c:v>
                </c:pt>
                <c:pt idx="165">
                  <c:v>6.6519292415135002E-3</c:v>
                </c:pt>
                <c:pt idx="166">
                  <c:v>4.5790833590546899E-3</c:v>
                </c:pt>
                <c:pt idx="167">
                  <c:v>2.5881920545379601E-3</c:v>
                </c:pt>
                <c:pt idx="168">
                  <c:v>-1.1957362405621301E-3</c:v>
                </c:pt>
                <c:pt idx="169">
                  <c:v>2.77933346353075E-3</c:v>
                </c:pt>
                <c:pt idx="170">
                  <c:v>6.83313538855843E-3</c:v>
                </c:pt>
                <c:pt idx="171">
                  <c:v>7.6237117598796002E-3</c:v>
                </c:pt>
                <c:pt idx="172">
                  <c:v>3.6327034329599198E-3</c:v>
                </c:pt>
                <c:pt idx="173">
                  <c:v>5.0965035624228197E-3</c:v>
                </c:pt>
                <c:pt idx="174">
                  <c:v>-4.6063807077886803E-3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5-46AB-A175-94AD245A6C5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XLK x 10 dma / IYW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5.87711786279611E-3</c:v>
                </c:pt>
                <c:pt idx="11">
                  <c:v>4.9224194973860498E-3</c:v>
                </c:pt>
                <c:pt idx="12">
                  <c:v>5.2210652545250803E-3</c:v>
                </c:pt>
                <c:pt idx="13">
                  <c:v>3.1205085278988398E-3</c:v>
                </c:pt>
                <c:pt idx="14">
                  <c:v>-1.1535267820417501E-4</c:v>
                </c:pt>
                <c:pt idx="15">
                  <c:v>-1.51679355332311E-3</c:v>
                </c:pt>
                <c:pt idx="16">
                  <c:v>-4.76997791291681E-4</c:v>
                </c:pt>
                <c:pt idx="17">
                  <c:v>2.2420863158358799E-3</c:v>
                </c:pt>
                <c:pt idx="18">
                  <c:v>-2.5170220185716599E-4</c:v>
                </c:pt>
                <c:pt idx="19">
                  <c:v>-3.4083937049651102E-3</c:v>
                </c:pt>
                <c:pt idx="20">
                  <c:v>1.79994402904382E-4</c:v>
                </c:pt>
                <c:pt idx="21">
                  <c:v>1.9836444195757202E-3</c:v>
                </c:pt>
                <c:pt idx="22">
                  <c:v>-2.83031065356134E-3</c:v>
                </c:pt>
                <c:pt idx="23">
                  <c:v>-1.18104426712247E-3</c:v>
                </c:pt>
                <c:pt idx="24">
                  <c:v>3.3940149377340899E-3</c:v>
                </c:pt>
                <c:pt idx="25">
                  <c:v>4.08030517606263E-3</c:v>
                </c:pt>
                <c:pt idx="26">
                  <c:v>3.0536623492127498E-3</c:v>
                </c:pt>
                <c:pt idx="27">
                  <c:v>4.6033325400227799E-3</c:v>
                </c:pt>
                <c:pt idx="28">
                  <c:v>2.0171542024055899E-3</c:v>
                </c:pt>
                <c:pt idx="29">
                  <c:v>5.54095942399138E-3</c:v>
                </c:pt>
                <c:pt idx="30">
                  <c:v>4.3039775462520597E-3</c:v>
                </c:pt>
                <c:pt idx="31">
                  <c:v>3.4331973017483401E-3</c:v>
                </c:pt>
                <c:pt idx="32">
                  <c:v>2.3943951832535101E-3</c:v>
                </c:pt>
                <c:pt idx="33">
                  <c:v>-3.9662384445758299E-4</c:v>
                </c:pt>
                <c:pt idx="34">
                  <c:v>-1.47778853551278E-3</c:v>
                </c:pt>
                <c:pt idx="35">
                  <c:v>-1.2955700678996601E-3</c:v>
                </c:pt>
                <c:pt idx="36">
                  <c:v>-1.6527516006130099E-3</c:v>
                </c:pt>
                <c:pt idx="37">
                  <c:v>-1.42949383979511E-3</c:v>
                </c:pt>
                <c:pt idx="38">
                  <c:v>1.59736445116486E-3</c:v>
                </c:pt>
                <c:pt idx="39">
                  <c:v>-1.46163116923458E-3</c:v>
                </c:pt>
                <c:pt idx="40">
                  <c:v>-3.9523624045185203E-3</c:v>
                </c:pt>
                <c:pt idx="41">
                  <c:v>2.2136812476832501E-4</c:v>
                </c:pt>
                <c:pt idx="42">
                  <c:v>1.4605483454697701E-3</c:v>
                </c:pt>
                <c:pt idx="43">
                  <c:v>-1.5784963976657499E-3</c:v>
                </c:pt>
                <c:pt idx="44">
                  <c:v>-1.5173594197343599E-3</c:v>
                </c:pt>
                <c:pt idx="45">
                  <c:v>-1.38629421211652E-3</c:v>
                </c:pt>
                <c:pt idx="46">
                  <c:v>-1.23509859301437E-3</c:v>
                </c:pt>
                <c:pt idx="47">
                  <c:v>-7.1316494926081098E-4</c:v>
                </c:pt>
                <c:pt idx="48">
                  <c:v>1.3776747737741801E-3</c:v>
                </c:pt>
                <c:pt idx="49">
                  <c:v>1.9793698592804501E-3</c:v>
                </c:pt>
                <c:pt idx="50">
                  <c:v>2.3661388731600098E-3</c:v>
                </c:pt>
                <c:pt idx="51">
                  <c:v>1.89124921453919E-3</c:v>
                </c:pt>
                <c:pt idx="52">
                  <c:v>5.0187889124681901E-3</c:v>
                </c:pt>
                <c:pt idx="53">
                  <c:v>4.2502129325015497E-3</c:v>
                </c:pt>
                <c:pt idx="54">
                  <c:v>2.75659337498345E-3</c:v>
                </c:pt>
                <c:pt idx="55">
                  <c:v>7.2926524495934997E-3</c:v>
                </c:pt>
                <c:pt idx="56">
                  <c:v>5.0159852638382704E-3</c:v>
                </c:pt>
                <c:pt idx="57">
                  <c:v>4.8753962172474003E-3</c:v>
                </c:pt>
                <c:pt idx="58">
                  <c:v>6.2849760861999199E-3</c:v>
                </c:pt>
                <c:pt idx="59">
                  <c:v>1.1485867197357699E-3</c:v>
                </c:pt>
                <c:pt idx="60">
                  <c:v>-2.3575560422245899E-3</c:v>
                </c:pt>
                <c:pt idx="61">
                  <c:v>-3.9190818557312997E-3</c:v>
                </c:pt>
                <c:pt idx="62">
                  <c:v>-1.16993536719367E-3</c:v>
                </c:pt>
                <c:pt idx="63">
                  <c:v>-1.6551310450295599E-3</c:v>
                </c:pt>
                <c:pt idx="64">
                  <c:v>-9.5939012673303299E-4</c:v>
                </c:pt>
                <c:pt idx="65">
                  <c:v>-1.0120399373203799E-3</c:v>
                </c:pt>
                <c:pt idx="66">
                  <c:v>-7.6496028836925596E-4</c:v>
                </c:pt>
                <c:pt idx="67">
                  <c:v>9.90076427218256E-5</c:v>
                </c:pt>
                <c:pt idx="68">
                  <c:v>2.3951970937876699E-3</c:v>
                </c:pt>
                <c:pt idx="69">
                  <c:v>-8.9724291444599898E-4</c:v>
                </c:pt>
                <c:pt idx="70">
                  <c:v>-1.53788936392531E-3</c:v>
                </c:pt>
                <c:pt idx="71">
                  <c:v>3.4093366772374499E-3</c:v>
                </c:pt>
                <c:pt idx="72">
                  <c:v>1.1672665084592399E-3</c:v>
                </c:pt>
                <c:pt idx="73">
                  <c:v>6.5384759808309904E-4</c:v>
                </c:pt>
                <c:pt idx="74">
                  <c:v>6.0348089867875198E-3</c:v>
                </c:pt>
                <c:pt idx="75">
                  <c:v>4.9681495190974203E-3</c:v>
                </c:pt>
                <c:pt idx="76">
                  <c:v>2.09435338844049E-3</c:v>
                </c:pt>
                <c:pt idx="77">
                  <c:v>3.2403240071159798E-3</c:v>
                </c:pt>
                <c:pt idx="78">
                  <c:v>-8.0992109972131499E-4</c:v>
                </c:pt>
                <c:pt idx="79">
                  <c:v>-3.4879274676684899E-3</c:v>
                </c:pt>
                <c:pt idx="80">
                  <c:v>1.52230282067864E-3</c:v>
                </c:pt>
                <c:pt idx="81">
                  <c:v>-6.63892998299537E-3</c:v>
                </c:pt>
                <c:pt idx="82">
                  <c:v>-4.4580579105127699E-3</c:v>
                </c:pt>
                <c:pt idx="83">
                  <c:v>-3.1166628336338101E-3</c:v>
                </c:pt>
                <c:pt idx="84">
                  <c:v>3.1581719535391997E-4</c:v>
                </c:pt>
                <c:pt idx="85">
                  <c:v>-3.4081881305543702E-3</c:v>
                </c:pt>
                <c:pt idx="86">
                  <c:v>-5.2274314297307304E-3</c:v>
                </c:pt>
                <c:pt idx="87">
                  <c:v>2.27474267490058E-3</c:v>
                </c:pt>
                <c:pt idx="88">
                  <c:v>1.00873173077442E-2</c:v>
                </c:pt>
                <c:pt idx="89">
                  <c:v>6.56164393310253E-3</c:v>
                </c:pt>
                <c:pt idx="90">
                  <c:v>1.06777107159229E-4</c:v>
                </c:pt>
                <c:pt idx="91">
                  <c:v>5.3243121485797903E-3</c:v>
                </c:pt>
                <c:pt idx="92">
                  <c:v>3.8088980020823098E-3</c:v>
                </c:pt>
                <c:pt idx="93">
                  <c:v>2.3390727800790098E-3</c:v>
                </c:pt>
                <c:pt idx="94">
                  <c:v>3.0625692840804998E-3</c:v>
                </c:pt>
                <c:pt idx="95">
                  <c:v>4.78240907625115E-3</c:v>
                </c:pt>
                <c:pt idx="96">
                  <c:v>8.8232221050036207E-3</c:v>
                </c:pt>
                <c:pt idx="97">
                  <c:v>9.9729694316326202E-3</c:v>
                </c:pt>
                <c:pt idx="98">
                  <c:v>1.14328889145383E-2</c:v>
                </c:pt>
                <c:pt idx="99">
                  <c:v>1.1039534822139299E-2</c:v>
                </c:pt>
                <c:pt idx="100">
                  <c:v>9.8711710751991106E-3</c:v>
                </c:pt>
                <c:pt idx="101">
                  <c:v>1.6567119900859999E-2</c:v>
                </c:pt>
                <c:pt idx="102">
                  <c:v>1.90739634261099E-2</c:v>
                </c:pt>
                <c:pt idx="103">
                  <c:v>2.1143377172527698E-2</c:v>
                </c:pt>
                <c:pt idx="104">
                  <c:v>1.69875325968699E-2</c:v>
                </c:pt>
                <c:pt idx="105">
                  <c:v>2.5994405996778102E-3</c:v>
                </c:pt>
                <c:pt idx="106">
                  <c:v>-7.1443983983498702E-3</c:v>
                </c:pt>
                <c:pt idx="107">
                  <c:v>-2.2736103450661099E-3</c:v>
                </c:pt>
                <c:pt idx="108">
                  <c:v>-5.0051398942739401E-3</c:v>
                </c:pt>
                <c:pt idx="109">
                  <c:v>-4.5393067863455597E-3</c:v>
                </c:pt>
                <c:pt idx="110">
                  <c:v>-1.3965181102679599E-3</c:v>
                </c:pt>
                <c:pt idx="111">
                  <c:v>6.38351842317945E-4</c:v>
                </c:pt>
                <c:pt idx="112">
                  <c:v>1.1725844581666599E-3</c:v>
                </c:pt>
                <c:pt idx="113">
                  <c:v>-3.1295226907939698E-3</c:v>
                </c:pt>
                <c:pt idx="114">
                  <c:v>1.6679603481718299E-3</c:v>
                </c:pt>
                <c:pt idx="115">
                  <c:v>3.8677701093117801E-3</c:v>
                </c:pt>
                <c:pt idx="116">
                  <c:v>8.4964856035410607E-3</c:v>
                </c:pt>
                <c:pt idx="117">
                  <c:v>4.6018083039328604E-3</c:v>
                </c:pt>
                <c:pt idx="118">
                  <c:v>2.5281261167895402E-3</c:v>
                </c:pt>
                <c:pt idx="119">
                  <c:v>2.59740685064918E-3</c:v>
                </c:pt>
                <c:pt idx="120">
                  <c:v>7.64593295729879E-4</c:v>
                </c:pt>
                <c:pt idx="121">
                  <c:v>-3.1095677731357001E-3</c:v>
                </c:pt>
                <c:pt idx="122">
                  <c:v>1.5443659148619499E-4</c:v>
                </c:pt>
                <c:pt idx="123">
                  <c:v>-1.20312651736444E-2</c:v>
                </c:pt>
                <c:pt idx="124">
                  <c:v>-1.73696548693115E-2</c:v>
                </c:pt>
                <c:pt idx="125">
                  <c:v>-1.52642755032684E-2</c:v>
                </c:pt>
                <c:pt idx="126">
                  <c:v>-2.0976023369760601E-2</c:v>
                </c:pt>
                <c:pt idx="127">
                  <c:v>-1.31413160888531E-2</c:v>
                </c:pt>
                <c:pt idx="128">
                  <c:v>-6.2737839674772101E-3</c:v>
                </c:pt>
                <c:pt idx="129">
                  <c:v>-5.5283145550906196E-3</c:v>
                </c:pt>
                <c:pt idx="130">
                  <c:v>-6.7828888972088098E-3</c:v>
                </c:pt>
                <c:pt idx="131">
                  <c:v>-5.8255340364110897E-3</c:v>
                </c:pt>
                <c:pt idx="132">
                  <c:v>-1.6280445606813802E-2</c:v>
                </c:pt>
                <c:pt idx="133">
                  <c:v>-1.21878088724454E-2</c:v>
                </c:pt>
                <c:pt idx="134">
                  <c:v>-6.7584603131816802E-3</c:v>
                </c:pt>
                <c:pt idx="135">
                  <c:v>-8.0699377566465693E-3</c:v>
                </c:pt>
                <c:pt idx="136">
                  <c:v>3.2110133324505202E-3</c:v>
                </c:pt>
                <c:pt idx="137">
                  <c:v>4.7748372630364204E-3</c:v>
                </c:pt>
                <c:pt idx="138">
                  <c:v>1.41836430715885E-2</c:v>
                </c:pt>
                <c:pt idx="139">
                  <c:v>9.4397633625155491E-3</c:v>
                </c:pt>
                <c:pt idx="140">
                  <c:v>4.50558881944113E-3</c:v>
                </c:pt>
                <c:pt idx="141">
                  <c:v>-2.0085526393428298E-3</c:v>
                </c:pt>
                <c:pt idx="142">
                  <c:v>-7.2220506886147501E-3</c:v>
                </c:pt>
                <c:pt idx="143">
                  <c:v>4.6127808866887002E-3</c:v>
                </c:pt>
                <c:pt idx="144">
                  <c:v>-3.48349460765904E-3</c:v>
                </c:pt>
                <c:pt idx="145">
                  <c:v>-1.20444828138816E-2</c:v>
                </c:pt>
                <c:pt idx="146">
                  <c:v>-2.9649358236844099E-3</c:v>
                </c:pt>
                <c:pt idx="147">
                  <c:v>1.0831380344751701E-3</c:v>
                </c:pt>
                <c:pt idx="148">
                  <c:v>8.1891046600699401E-4</c:v>
                </c:pt>
                <c:pt idx="149">
                  <c:v>2.3873506430635602E-3</c:v>
                </c:pt>
                <c:pt idx="150">
                  <c:v>8.4957404453903996E-4</c:v>
                </c:pt>
                <c:pt idx="151">
                  <c:v>5.4611788138669596E-3</c:v>
                </c:pt>
                <c:pt idx="152">
                  <c:v>1.14542913427592E-2</c:v>
                </c:pt>
                <c:pt idx="153">
                  <c:v>5.91231891898734E-3</c:v>
                </c:pt>
                <c:pt idx="154">
                  <c:v>5.9255539240826299E-3</c:v>
                </c:pt>
                <c:pt idx="155">
                  <c:v>9.3882044265423004E-3</c:v>
                </c:pt>
                <c:pt idx="156">
                  <c:v>2.8254026299447299E-3</c:v>
                </c:pt>
                <c:pt idx="157">
                  <c:v>-1.6341090184425499E-3</c:v>
                </c:pt>
                <c:pt idx="158">
                  <c:v>-6.9778171188925205E-4</c:v>
                </c:pt>
                <c:pt idx="159">
                  <c:v>-1.68739103406323E-3</c:v>
                </c:pt>
                <c:pt idx="160">
                  <c:v>-7.0537976922310404E-3</c:v>
                </c:pt>
                <c:pt idx="161">
                  <c:v>-5.4944646536589101E-3</c:v>
                </c:pt>
                <c:pt idx="162">
                  <c:v>-1.6546383577985999E-3</c:v>
                </c:pt>
                <c:pt idx="163">
                  <c:v>1.55340556290904E-3</c:v>
                </c:pt>
                <c:pt idx="164">
                  <c:v>-3.6635780424375099E-3</c:v>
                </c:pt>
                <c:pt idx="165">
                  <c:v>9.7334647601923601E-4</c:v>
                </c:pt>
                <c:pt idx="166">
                  <c:v>-4.6198917600478502E-4</c:v>
                </c:pt>
                <c:pt idx="167">
                  <c:v>-2.0404743003985099E-3</c:v>
                </c:pt>
                <c:pt idx="168">
                  <c:v>-5.5686698982891298E-3</c:v>
                </c:pt>
                <c:pt idx="169">
                  <c:v>-8.4865491410144201E-4</c:v>
                </c:pt>
                <c:pt idx="170">
                  <c:v>3.4837513115834801E-3</c:v>
                </c:pt>
                <c:pt idx="171">
                  <c:v>3.6313987083372002E-3</c:v>
                </c:pt>
                <c:pt idx="172">
                  <c:v>-9.3456100873102598E-4</c:v>
                </c:pt>
                <c:pt idx="173">
                  <c:v>7.0082601394119096E-4</c:v>
                </c:pt>
                <c:pt idx="174">
                  <c:v>-8.7239323627732405E-3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5-46AB-A175-94AD245A6C5E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XLK x 20 dma / IYW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2.46937437618951E-3</c:v>
                </c:pt>
                <c:pt idx="21">
                  <c:v>3.7609443694330202E-3</c:v>
                </c:pt>
                <c:pt idx="22">
                  <c:v>-1.4929348907730001E-3</c:v>
                </c:pt>
                <c:pt idx="23">
                  <c:v>-4.2650520191434699E-4</c:v>
                </c:pt>
                <c:pt idx="24">
                  <c:v>3.6482464298234298E-3</c:v>
                </c:pt>
                <c:pt idx="25">
                  <c:v>4.2252763897915099E-3</c:v>
                </c:pt>
                <c:pt idx="26">
                  <c:v>3.3899108890196299E-3</c:v>
                </c:pt>
                <c:pt idx="27">
                  <c:v>5.0372487906597697E-3</c:v>
                </c:pt>
                <c:pt idx="28">
                  <c:v>2.3754854367238798E-3</c:v>
                </c:pt>
                <c:pt idx="29">
                  <c:v>5.9597830056597103E-3</c:v>
                </c:pt>
                <c:pt idx="30">
                  <c:v>5.3747279693433002E-3</c:v>
                </c:pt>
                <c:pt idx="31">
                  <c:v>4.8734942026998204E-3</c:v>
                </c:pt>
                <c:pt idx="32">
                  <c:v>4.0205694227494699E-3</c:v>
                </c:pt>
                <c:pt idx="33">
                  <c:v>1.92448819355677E-3</c:v>
                </c:pt>
                <c:pt idx="34">
                  <c:v>1.2559464097813399E-3</c:v>
                </c:pt>
                <c:pt idx="35">
                  <c:v>1.2665252653575199E-3</c:v>
                </c:pt>
                <c:pt idx="36">
                  <c:v>6.0157523841411899E-4</c:v>
                </c:pt>
                <c:pt idx="37">
                  <c:v>6.0420785254213904E-4</c:v>
                </c:pt>
                <c:pt idx="38">
                  <c:v>3.37107226946875E-3</c:v>
                </c:pt>
                <c:pt idx="39">
                  <c:v>3.1911880972770401E-4</c:v>
                </c:pt>
                <c:pt idx="40">
                  <c:v>-2.8339745775451302E-3</c:v>
                </c:pt>
                <c:pt idx="41">
                  <c:v>7.2507542314534997E-4</c:v>
                </c:pt>
                <c:pt idx="42">
                  <c:v>1.6378928981692601E-3</c:v>
                </c:pt>
                <c:pt idx="43">
                  <c:v>-1.8547212331769399E-3</c:v>
                </c:pt>
                <c:pt idx="44">
                  <c:v>-2.1521762434015298E-3</c:v>
                </c:pt>
                <c:pt idx="45">
                  <c:v>-2.1160425044115098E-3</c:v>
                </c:pt>
                <c:pt idx="46">
                  <c:v>-2.0294501436649202E-3</c:v>
                </c:pt>
                <c:pt idx="47">
                  <c:v>-1.5559383263246301E-3</c:v>
                </c:pt>
                <c:pt idx="48">
                  <c:v>5.8486697390845396E-4</c:v>
                </c:pt>
                <c:pt idx="49">
                  <c:v>9.4046159446644999E-4</c:v>
                </c:pt>
                <c:pt idx="50">
                  <c:v>1.5671696809260399E-3</c:v>
                </c:pt>
                <c:pt idx="51">
                  <c:v>1.6292796682739301E-3</c:v>
                </c:pt>
                <c:pt idx="52">
                  <c:v>4.9240864853495802E-3</c:v>
                </c:pt>
                <c:pt idx="53">
                  <c:v>4.3523281141025797E-3</c:v>
                </c:pt>
                <c:pt idx="54">
                  <c:v>3.2469634263741099E-3</c:v>
                </c:pt>
                <c:pt idx="55">
                  <c:v>8.1115279105446504E-3</c:v>
                </c:pt>
                <c:pt idx="56">
                  <c:v>6.4280692483014001E-3</c:v>
                </c:pt>
                <c:pt idx="57">
                  <c:v>6.8006058810343396E-3</c:v>
                </c:pt>
                <c:pt idx="58">
                  <c:v>8.7317412974196994E-3</c:v>
                </c:pt>
                <c:pt idx="59">
                  <c:v>4.1763237928332704E-3</c:v>
                </c:pt>
                <c:pt idx="60">
                  <c:v>8.63989215129941E-4</c:v>
                </c:pt>
                <c:pt idx="61">
                  <c:v>-8.4832463487260004E-4</c:v>
                </c:pt>
                <c:pt idx="62">
                  <c:v>1.85963049447752E-3</c:v>
                </c:pt>
                <c:pt idx="63">
                  <c:v>1.19906753266527E-3</c:v>
                </c:pt>
                <c:pt idx="64">
                  <c:v>1.5823336803761001E-3</c:v>
                </c:pt>
                <c:pt idx="65">
                  <c:v>1.33461820746034E-3</c:v>
                </c:pt>
                <c:pt idx="66">
                  <c:v>8.8467342742099301E-4</c:v>
                </c:pt>
                <c:pt idx="67">
                  <c:v>1.1700579036022999E-3</c:v>
                </c:pt>
                <c:pt idx="68">
                  <c:v>2.8623015391366999E-3</c:v>
                </c:pt>
                <c:pt idx="69">
                  <c:v>-1.06673485534844E-3</c:v>
                </c:pt>
                <c:pt idx="70">
                  <c:v>-2.0876641010538601E-3</c:v>
                </c:pt>
                <c:pt idx="71">
                  <c:v>2.75985830882272E-3</c:v>
                </c:pt>
                <c:pt idx="72">
                  <c:v>8.0291260540937403E-4</c:v>
                </c:pt>
                <c:pt idx="73">
                  <c:v>3.7680576869581899E-4</c:v>
                </c:pt>
                <c:pt idx="74">
                  <c:v>5.85578237217293E-3</c:v>
                </c:pt>
                <c:pt idx="75">
                  <c:v>5.0519586767337902E-3</c:v>
                </c:pt>
                <c:pt idx="76">
                  <c:v>2.6658922270437401E-3</c:v>
                </c:pt>
                <c:pt idx="77">
                  <c:v>4.1363705474228097E-3</c:v>
                </c:pt>
                <c:pt idx="78">
                  <c:v>4.64603939190984E-4</c:v>
                </c:pt>
                <c:pt idx="79">
                  <c:v>-2.09895308085158E-3</c:v>
                </c:pt>
                <c:pt idx="80">
                  <c:v>3.0399567616306101E-3</c:v>
                </c:pt>
                <c:pt idx="81">
                  <c:v>-4.8014939120217997E-3</c:v>
                </c:pt>
                <c:pt idx="82">
                  <c:v>-3.2428321390869401E-3</c:v>
                </c:pt>
                <c:pt idx="83">
                  <c:v>-2.1423452010555601E-3</c:v>
                </c:pt>
                <c:pt idx="84">
                  <c:v>1.11087414883014E-3</c:v>
                </c:pt>
                <c:pt idx="85">
                  <c:v>-3.15037165111788E-3</c:v>
                </c:pt>
                <c:pt idx="86">
                  <c:v>-5.6691336917534503E-3</c:v>
                </c:pt>
                <c:pt idx="87">
                  <c:v>1.2228084597940699E-3</c:v>
                </c:pt>
                <c:pt idx="88">
                  <c:v>8.63646198859188E-3</c:v>
                </c:pt>
                <c:pt idx="89">
                  <c:v>5.5405587896608099E-3</c:v>
                </c:pt>
                <c:pt idx="90">
                  <c:v>-5.2447515016713897E-4</c:v>
                </c:pt>
                <c:pt idx="91">
                  <c:v>4.2545049117258702E-3</c:v>
                </c:pt>
                <c:pt idx="92">
                  <c:v>3.54955446905776E-3</c:v>
                </c:pt>
                <c:pt idx="93">
                  <c:v>2.6275731980640198E-3</c:v>
                </c:pt>
                <c:pt idx="94">
                  <c:v>3.74452314132122E-3</c:v>
                </c:pt>
                <c:pt idx="95">
                  <c:v>5.8760152708776997E-3</c:v>
                </c:pt>
                <c:pt idx="96">
                  <c:v>1.08302344249916E-2</c:v>
                </c:pt>
                <c:pt idx="97">
                  <c:v>1.3298094161735099E-2</c:v>
                </c:pt>
                <c:pt idx="98">
                  <c:v>1.5629576757946999E-2</c:v>
                </c:pt>
                <c:pt idx="99">
                  <c:v>1.5322303825997601E-2</c:v>
                </c:pt>
                <c:pt idx="100">
                  <c:v>1.4404322897418701E-2</c:v>
                </c:pt>
                <c:pt idx="101">
                  <c:v>2.21803925051208E-2</c:v>
                </c:pt>
                <c:pt idx="102">
                  <c:v>2.53169593147064E-2</c:v>
                </c:pt>
                <c:pt idx="103">
                  <c:v>2.8385810752736301E-2</c:v>
                </c:pt>
                <c:pt idx="104">
                  <c:v>2.5595907145513401E-2</c:v>
                </c:pt>
                <c:pt idx="105">
                  <c:v>1.2568565176036E-2</c:v>
                </c:pt>
                <c:pt idx="106">
                  <c:v>3.19831195879763E-3</c:v>
                </c:pt>
                <c:pt idx="107">
                  <c:v>7.3912099604191896E-3</c:v>
                </c:pt>
                <c:pt idx="108">
                  <c:v>4.2925391390999301E-3</c:v>
                </c:pt>
                <c:pt idx="109">
                  <c:v>4.3760383008796897E-3</c:v>
                </c:pt>
                <c:pt idx="110">
                  <c:v>6.97472068646864E-3</c:v>
                </c:pt>
                <c:pt idx="111">
                  <c:v>8.3347095950599207E-3</c:v>
                </c:pt>
                <c:pt idx="112">
                  <c:v>7.7139062219473697E-3</c:v>
                </c:pt>
                <c:pt idx="113">
                  <c:v>1.7800541289404899E-3</c:v>
                </c:pt>
                <c:pt idx="114">
                  <c:v>4.1911426812385596E-3</c:v>
                </c:pt>
                <c:pt idx="115">
                  <c:v>4.3240191240902798E-3</c:v>
                </c:pt>
                <c:pt idx="116">
                  <c:v>8.1722616242246304E-3</c:v>
                </c:pt>
                <c:pt idx="117">
                  <c:v>4.7941455969515304E-3</c:v>
                </c:pt>
                <c:pt idx="118">
                  <c:v>2.7315743622884602E-3</c:v>
                </c:pt>
                <c:pt idx="119">
                  <c:v>3.0944735740573298E-3</c:v>
                </c:pt>
                <c:pt idx="120">
                  <c:v>1.55986837187212E-3</c:v>
                </c:pt>
                <c:pt idx="121">
                  <c:v>-2.3980091166914299E-3</c:v>
                </c:pt>
                <c:pt idx="122">
                  <c:v>7.7917186231489803E-4</c:v>
                </c:pt>
                <c:pt idx="123">
                  <c:v>-1.1152663287279201E-2</c:v>
                </c:pt>
                <c:pt idx="124">
                  <c:v>-1.61304379420046E-2</c:v>
                </c:pt>
                <c:pt idx="125">
                  <c:v>-1.4350083801201299E-2</c:v>
                </c:pt>
                <c:pt idx="126">
                  <c:v>-2.1041205297543299E-2</c:v>
                </c:pt>
                <c:pt idx="127">
                  <c:v>-1.54404384838734E-2</c:v>
                </c:pt>
                <c:pt idx="128">
                  <c:v>-1.0049489215013601E-2</c:v>
                </c:pt>
                <c:pt idx="129">
                  <c:v>-1.0512591687570899E-2</c:v>
                </c:pt>
                <c:pt idx="130">
                  <c:v>-1.30690280018283E-2</c:v>
                </c:pt>
                <c:pt idx="131">
                  <c:v>-1.32949130059216E-2</c:v>
                </c:pt>
                <c:pt idx="132">
                  <c:v>-2.4509413611402301E-2</c:v>
                </c:pt>
                <c:pt idx="133">
                  <c:v>-2.2058352790084799E-2</c:v>
                </c:pt>
                <c:pt idx="134">
                  <c:v>-1.72632782266849E-2</c:v>
                </c:pt>
                <c:pt idx="135">
                  <c:v>-1.82690760840837E-2</c:v>
                </c:pt>
                <c:pt idx="136">
                  <c:v>-6.7859357349600502E-3</c:v>
                </c:pt>
                <c:pt idx="137">
                  <c:v>-3.5461113851811199E-3</c:v>
                </c:pt>
                <c:pt idx="138">
                  <c:v>7.0318240765172898E-3</c:v>
                </c:pt>
                <c:pt idx="139">
                  <c:v>3.39853478914608E-3</c:v>
                </c:pt>
                <c:pt idx="140">
                  <c:v>-4.9812255186115198E-4</c:v>
                </c:pt>
                <c:pt idx="141">
                  <c:v>-5.95082096860821E-3</c:v>
                </c:pt>
                <c:pt idx="142">
                  <c:v>-1.04887762398725E-2</c:v>
                </c:pt>
                <c:pt idx="143">
                  <c:v>3.1137161894319401E-3</c:v>
                </c:pt>
                <c:pt idx="144">
                  <c:v>-3.2905838494025502E-3</c:v>
                </c:pt>
                <c:pt idx="145">
                  <c:v>-1.1141121742969801E-2</c:v>
                </c:pt>
                <c:pt idx="146">
                  <c:v>-1.5045770390434499E-3</c:v>
                </c:pt>
                <c:pt idx="147">
                  <c:v>2.1755555867597198E-3</c:v>
                </c:pt>
                <c:pt idx="148">
                  <c:v>1.7759560929452699E-3</c:v>
                </c:pt>
                <c:pt idx="149">
                  <c:v>2.47359267673202E-3</c:v>
                </c:pt>
                <c:pt idx="150">
                  <c:v>4.5268137290267399E-4</c:v>
                </c:pt>
                <c:pt idx="151">
                  <c:v>4.7801180912204E-3</c:v>
                </c:pt>
                <c:pt idx="152">
                  <c:v>1.1281839362373799E-2</c:v>
                </c:pt>
                <c:pt idx="153">
                  <c:v>6.5285686674576701E-3</c:v>
                </c:pt>
                <c:pt idx="154">
                  <c:v>5.9755523586441199E-3</c:v>
                </c:pt>
                <c:pt idx="155">
                  <c:v>9.7293362388819402E-3</c:v>
                </c:pt>
                <c:pt idx="156">
                  <c:v>4.3861474010552896E-3</c:v>
                </c:pt>
                <c:pt idx="157">
                  <c:v>5.3722812347071602E-4</c:v>
                </c:pt>
                <c:pt idx="158">
                  <c:v>1.6304069521983599E-3</c:v>
                </c:pt>
                <c:pt idx="159">
                  <c:v>1.3683647262620301E-3</c:v>
                </c:pt>
                <c:pt idx="160">
                  <c:v>-3.5530508965377302E-3</c:v>
                </c:pt>
                <c:pt idx="161">
                  <c:v>-1.8173272583837999E-3</c:v>
                </c:pt>
                <c:pt idx="162">
                  <c:v>1.5347398711714701E-3</c:v>
                </c:pt>
                <c:pt idx="163">
                  <c:v>3.4879307069820898E-3</c:v>
                </c:pt>
                <c:pt idx="164">
                  <c:v>-1.8799796251725901E-3</c:v>
                </c:pt>
                <c:pt idx="165">
                  <c:v>1.9793781520018299E-3</c:v>
                </c:pt>
                <c:pt idx="166">
                  <c:v>-8.8396926010582996E-4</c:v>
                </c:pt>
                <c:pt idx="167">
                  <c:v>-3.1145659624119901E-3</c:v>
                </c:pt>
                <c:pt idx="168">
                  <c:v>-6.8516224031202298E-3</c:v>
                </c:pt>
                <c:pt idx="169">
                  <c:v>-2.6603539447957901E-3</c:v>
                </c:pt>
                <c:pt idx="170">
                  <c:v>1.43155852947138E-3</c:v>
                </c:pt>
                <c:pt idx="171">
                  <c:v>1.94598795262897E-3</c:v>
                </c:pt>
                <c:pt idx="172">
                  <c:v>-2.1518001778550399E-3</c:v>
                </c:pt>
                <c:pt idx="173">
                  <c:v>-2.6615487368127999E-4</c:v>
                </c:pt>
                <c:pt idx="174">
                  <c:v>-9.8052240310512202E-3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E5-46AB-A175-94AD245A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1.5411950418991998E-3</c:v>
                </c:pt>
                <c:pt idx="63">
                  <c:v>2.5620911350675976E-3</c:v>
                </c:pt>
                <c:pt idx="64">
                  <c:v>5.8119030479403975E-3</c:v>
                </c:pt>
                <c:pt idx="65">
                  <c:v>5.8119030479403975E-3</c:v>
                </c:pt>
                <c:pt idx="66">
                  <c:v>5.8119030479403975E-3</c:v>
                </c:pt>
                <c:pt idx="67">
                  <c:v>1.2492950201244503E-2</c:v>
                </c:pt>
                <c:pt idx="68">
                  <c:v>1.2492950201244503E-2</c:v>
                </c:pt>
                <c:pt idx="69">
                  <c:v>1.2492950201244503E-2</c:v>
                </c:pt>
                <c:pt idx="70">
                  <c:v>1.2492950201244503E-2</c:v>
                </c:pt>
                <c:pt idx="71">
                  <c:v>1.2492950201244503E-2</c:v>
                </c:pt>
                <c:pt idx="72">
                  <c:v>1.2492950201244503E-2</c:v>
                </c:pt>
                <c:pt idx="73">
                  <c:v>1.2492950201244503E-2</c:v>
                </c:pt>
                <c:pt idx="74">
                  <c:v>1.2492950201244503E-2</c:v>
                </c:pt>
                <c:pt idx="75">
                  <c:v>1.2492950201244503E-2</c:v>
                </c:pt>
                <c:pt idx="76">
                  <c:v>1.2492950201244503E-2</c:v>
                </c:pt>
                <c:pt idx="77">
                  <c:v>1.2492950201244503E-2</c:v>
                </c:pt>
                <c:pt idx="78">
                  <c:v>1.2492950201244503E-2</c:v>
                </c:pt>
                <c:pt idx="79">
                  <c:v>1.2492950201244503E-2</c:v>
                </c:pt>
                <c:pt idx="80">
                  <c:v>1.2492950201244503E-2</c:v>
                </c:pt>
                <c:pt idx="81">
                  <c:v>1.2492950201244503E-2</c:v>
                </c:pt>
                <c:pt idx="82">
                  <c:v>1.2492950201244503E-2</c:v>
                </c:pt>
                <c:pt idx="83">
                  <c:v>1.2492950201244503E-2</c:v>
                </c:pt>
                <c:pt idx="84">
                  <c:v>1.2492950201244503E-2</c:v>
                </c:pt>
                <c:pt idx="85">
                  <c:v>1.2492950201244503E-2</c:v>
                </c:pt>
                <c:pt idx="86">
                  <c:v>1.2492950201244503E-2</c:v>
                </c:pt>
                <c:pt idx="87">
                  <c:v>1.2492950201244503E-2</c:v>
                </c:pt>
                <c:pt idx="88">
                  <c:v>1.2492950201244503E-2</c:v>
                </c:pt>
                <c:pt idx="89">
                  <c:v>1.2492950201244503E-2</c:v>
                </c:pt>
                <c:pt idx="90">
                  <c:v>1.2492950201244503E-2</c:v>
                </c:pt>
                <c:pt idx="91">
                  <c:v>1.2492950201244503E-2</c:v>
                </c:pt>
                <c:pt idx="92">
                  <c:v>1.2492950201244503E-2</c:v>
                </c:pt>
                <c:pt idx="93">
                  <c:v>1.2492950201244503E-2</c:v>
                </c:pt>
                <c:pt idx="94">
                  <c:v>1.2492950201244503E-2</c:v>
                </c:pt>
                <c:pt idx="95">
                  <c:v>1.2492950201244503E-2</c:v>
                </c:pt>
                <c:pt idx="96">
                  <c:v>1.2492950201244503E-2</c:v>
                </c:pt>
                <c:pt idx="97">
                  <c:v>1.2492950201244503E-2</c:v>
                </c:pt>
                <c:pt idx="98">
                  <c:v>1.2492950201244503E-2</c:v>
                </c:pt>
                <c:pt idx="99">
                  <c:v>1.2492950201244503E-2</c:v>
                </c:pt>
                <c:pt idx="100">
                  <c:v>1.2492950201244503E-2</c:v>
                </c:pt>
                <c:pt idx="101">
                  <c:v>1.2492950201244503E-2</c:v>
                </c:pt>
                <c:pt idx="102">
                  <c:v>1.2492950201244503E-2</c:v>
                </c:pt>
                <c:pt idx="103">
                  <c:v>1.2492950201244503E-2</c:v>
                </c:pt>
                <c:pt idx="104">
                  <c:v>6.434217911228203E-3</c:v>
                </c:pt>
                <c:pt idx="105">
                  <c:v>6.8697804456639006E-3</c:v>
                </c:pt>
                <c:pt idx="106">
                  <c:v>-5.824031269767993E-4</c:v>
                </c:pt>
                <c:pt idx="107">
                  <c:v>4.2780002196693709E-3</c:v>
                </c:pt>
                <c:pt idx="108">
                  <c:v>8.9089199870578707E-3</c:v>
                </c:pt>
                <c:pt idx="109">
                  <c:v>8.0220643589084296E-3</c:v>
                </c:pt>
                <c:pt idx="110">
                  <c:v>4.9635562435778324E-3</c:v>
                </c:pt>
                <c:pt idx="111">
                  <c:v>3.9135759180530336E-3</c:v>
                </c:pt>
                <c:pt idx="112">
                  <c:v>-8.3055370320180358E-3</c:v>
                </c:pt>
                <c:pt idx="113">
                  <c:v>-7.5030810355167371E-3</c:v>
                </c:pt>
                <c:pt idx="114">
                  <c:v>-4.0757471324166378E-3</c:v>
                </c:pt>
                <c:pt idx="115">
                  <c:v>-6.4392536863390618E-3</c:v>
                </c:pt>
                <c:pt idx="116">
                  <c:v>3.509786418310938E-3</c:v>
                </c:pt>
                <c:pt idx="117">
                  <c:v>5.4824367175377673E-3</c:v>
                </c:pt>
                <c:pt idx="118">
                  <c:v>1.5011191858346968E-2</c:v>
                </c:pt>
                <c:pt idx="119">
                  <c:v>1.5011191858346968E-2</c:v>
                </c:pt>
                <c:pt idx="120">
                  <c:v>1.5011191858346968E-2</c:v>
                </c:pt>
                <c:pt idx="121">
                  <c:v>1.5011191858346968E-2</c:v>
                </c:pt>
                <c:pt idx="122">
                  <c:v>9.3894745160328693E-3</c:v>
                </c:pt>
                <c:pt idx="123">
                  <c:v>2.1477902972847067E-2</c:v>
                </c:pt>
                <c:pt idx="124">
                  <c:v>2.1477902972847067E-2</c:v>
                </c:pt>
                <c:pt idx="125">
                  <c:v>2.1477902972847067E-2</c:v>
                </c:pt>
                <c:pt idx="126">
                  <c:v>3.0338220192534161E-2</c:v>
                </c:pt>
                <c:pt idx="127">
                  <c:v>3.0338220192534161E-2</c:v>
                </c:pt>
                <c:pt idx="128">
                  <c:v>3.0338220192534161E-2</c:v>
                </c:pt>
                <c:pt idx="129">
                  <c:v>3.0338220192534161E-2</c:v>
                </c:pt>
                <c:pt idx="130">
                  <c:v>3.0338220192534161E-2</c:v>
                </c:pt>
                <c:pt idx="131">
                  <c:v>3.0338220192534161E-2</c:v>
                </c:pt>
                <c:pt idx="132">
                  <c:v>3.0338220192534161E-2</c:v>
                </c:pt>
                <c:pt idx="133">
                  <c:v>3.0338220192534161E-2</c:v>
                </c:pt>
                <c:pt idx="134">
                  <c:v>3.0338220192534161E-2</c:v>
                </c:pt>
                <c:pt idx="135">
                  <c:v>3.0338220192534161E-2</c:v>
                </c:pt>
                <c:pt idx="136">
                  <c:v>3.0338220192534161E-2</c:v>
                </c:pt>
                <c:pt idx="137">
                  <c:v>3.0338220192534161E-2</c:v>
                </c:pt>
                <c:pt idx="138">
                  <c:v>3.0338220192534161E-2</c:v>
                </c:pt>
                <c:pt idx="139">
                  <c:v>3.0338220192534161E-2</c:v>
                </c:pt>
                <c:pt idx="140">
                  <c:v>3.0338220192534161E-2</c:v>
                </c:pt>
                <c:pt idx="141">
                  <c:v>3.0338220192534161E-2</c:v>
                </c:pt>
                <c:pt idx="142">
                  <c:v>3.0338220192534161E-2</c:v>
                </c:pt>
                <c:pt idx="143">
                  <c:v>3.0338220192534161E-2</c:v>
                </c:pt>
                <c:pt idx="144">
                  <c:v>3.0338220192534161E-2</c:v>
                </c:pt>
                <c:pt idx="145">
                  <c:v>3.0338220192534161E-2</c:v>
                </c:pt>
                <c:pt idx="146">
                  <c:v>3.0338220192534161E-2</c:v>
                </c:pt>
                <c:pt idx="147">
                  <c:v>3.0338220192534161E-2</c:v>
                </c:pt>
                <c:pt idx="148">
                  <c:v>3.0338220192534161E-2</c:v>
                </c:pt>
                <c:pt idx="149">
                  <c:v>3.4313289896626999E-2</c:v>
                </c:pt>
                <c:pt idx="150">
                  <c:v>3.8367091821654639E-2</c:v>
                </c:pt>
                <c:pt idx="151">
                  <c:v>3.8367091821654639E-2</c:v>
                </c:pt>
                <c:pt idx="152">
                  <c:v>3.8367091821654639E-2</c:v>
                </c:pt>
                <c:pt idx="153">
                  <c:v>3.8367091821654639E-2</c:v>
                </c:pt>
                <c:pt idx="154">
                  <c:v>3.8367091821654639E-2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02-4316-A461-689788A30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4.7527887163480997E-3</c:v>
                </c:pt>
                <c:pt idx="3">
                  <c:v>4.7527887163480997E-3</c:v>
                </c:pt>
                <c:pt idx="4">
                  <c:v>4.7527887163480997E-3</c:v>
                </c:pt>
                <c:pt idx="5">
                  <c:v>3.6651972276487994E-3</c:v>
                </c:pt>
                <c:pt idx="6">
                  <c:v>4.1036330845452195E-3</c:v>
                </c:pt>
                <c:pt idx="7">
                  <c:v>2.1339699787741866E-3</c:v>
                </c:pt>
                <c:pt idx="8">
                  <c:v>4.3981709331697878E-3</c:v>
                </c:pt>
                <c:pt idx="9">
                  <c:v>5.7593855448638803E-4</c:v>
                </c:pt>
                <c:pt idx="10">
                  <c:v>8.3438896558349113E-4</c:v>
                </c:pt>
                <c:pt idx="11">
                  <c:v>1.0792721137816909E-3</c:v>
                </c:pt>
                <c:pt idx="12">
                  <c:v>1.6857218763074203E-3</c:v>
                </c:pt>
                <c:pt idx="13">
                  <c:v>3.62737322135706E-3</c:v>
                </c:pt>
                <c:pt idx="14">
                  <c:v>4.1645752360324603E-3</c:v>
                </c:pt>
                <c:pt idx="15">
                  <c:v>3.923429365691661E-3</c:v>
                </c:pt>
                <c:pt idx="16">
                  <c:v>4.3064639172546619E-3</c:v>
                </c:pt>
                <c:pt idx="17">
                  <c:v>4.3064639172546619E-3</c:v>
                </c:pt>
                <c:pt idx="18">
                  <c:v>4.3064639172546619E-3</c:v>
                </c:pt>
                <c:pt idx="19">
                  <c:v>7.0529730237442927E-3</c:v>
                </c:pt>
                <c:pt idx="20">
                  <c:v>7.0529730237442927E-3</c:v>
                </c:pt>
                <c:pt idx="21">
                  <c:v>7.0529730237442927E-3</c:v>
                </c:pt>
                <c:pt idx="22">
                  <c:v>7.0529730237442927E-3</c:v>
                </c:pt>
                <c:pt idx="23">
                  <c:v>7.0529730237442927E-3</c:v>
                </c:pt>
                <c:pt idx="24">
                  <c:v>7.0529730237442927E-3</c:v>
                </c:pt>
                <c:pt idx="25">
                  <c:v>7.0529730237442927E-3</c:v>
                </c:pt>
                <c:pt idx="26">
                  <c:v>7.0529730237442927E-3</c:v>
                </c:pt>
                <c:pt idx="27">
                  <c:v>7.0529730237442927E-3</c:v>
                </c:pt>
                <c:pt idx="28">
                  <c:v>7.0529730237442927E-3</c:v>
                </c:pt>
                <c:pt idx="29">
                  <c:v>7.0529730237442927E-3</c:v>
                </c:pt>
                <c:pt idx="30">
                  <c:v>7.0529730237442927E-3</c:v>
                </c:pt>
                <c:pt idx="31">
                  <c:v>7.0529730237442927E-3</c:v>
                </c:pt>
                <c:pt idx="32">
                  <c:v>7.0529730237442927E-3</c:v>
                </c:pt>
                <c:pt idx="33">
                  <c:v>7.4857312128069941E-3</c:v>
                </c:pt>
                <c:pt idx="34">
                  <c:v>7.4857312128069941E-3</c:v>
                </c:pt>
                <c:pt idx="35">
                  <c:v>2.4241561901642743E-3</c:v>
                </c:pt>
                <c:pt idx="36">
                  <c:v>3.6708856004191246E-3</c:v>
                </c:pt>
                <c:pt idx="37">
                  <c:v>2.9041688201440225E-3</c:v>
                </c:pt>
                <c:pt idx="38">
                  <c:v>5.507609031266212E-4</c:v>
                </c:pt>
                <c:pt idx="39">
                  <c:v>4.7085398477394198E-3</c:v>
                </c:pt>
                <c:pt idx="40">
                  <c:v>7.6922288114060228E-3</c:v>
                </c:pt>
                <c:pt idx="41">
                  <c:v>7.6922288114060228E-3</c:v>
                </c:pt>
                <c:pt idx="42">
                  <c:v>7.6922288114060228E-3</c:v>
                </c:pt>
                <c:pt idx="43">
                  <c:v>7.6922288114060228E-3</c:v>
                </c:pt>
                <c:pt idx="44">
                  <c:v>7.6922288114060228E-3</c:v>
                </c:pt>
                <c:pt idx="45">
                  <c:v>7.6922288114060228E-3</c:v>
                </c:pt>
                <c:pt idx="46">
                  <c:v>7.6922288114060228E-3</c:v>
                </c:pt>
                <c:pt idx="47">
                  <c:v>7.6922288114060228E-3</c:v>
                </c:pt>
                <c:pt idx="48">
                  <c:v>7.6922288114060228E-3</c:v>
                </c:pt>
                <c:pt idx="49">
                  <c:v>7.6922288114060228E-3</c:v>
                </c:pt>
                <c:pt idx="50">
                  <c:v>7.6922288114060228E-3</c:v>
                </c:pt>
                <c:pt idx="51">
                  <c:v>7.6922288114060228E-3</c:v>
                </c:pt>
                <c:pt idx="52">
                  <c:v>7.6922288114060228E-3</c:v>
                </c:pt>
                <c:pt idx="53">
                  <c:v>7.6922288114060228E-3</c:v>
                </c:pt>
                <c:pt idx="54">
                  <c:v>7.6922288114060228E-3</c:v>
                </c:pt>
                <c:pt idx="55">
                  <c:v>8.0968570084188219E-3</c:v>
                </c:pt>
                <c:pt idx="56">
                  <c:v>1.0356847201944021E-2</c:v>
                </c:pt>
                <c:pt idx="57">
                  <c:v>8.8106270845786216E-3</c:v>
                </c:pt>
                <c:pt idx="58">
                  <c:v>1.2367871106378853E-2</c:v>
                </c:pt>
                <c:pt idx="59">
                  <c:v>1.2367871106378853E-2</c:v>
                </c:pt>
                <c:pt idx="60">
                  <c:v>1.2367871106378853E-2</c:v>
                </c:pt>
                <c:pt idx="61">
                  <c:v>1.9918667166011653E-2</c:v>
                </c:pt>
                <c:pt idx="62">
                  <c:v>1.9918667166011653E-2</c:v>
                </c:pt>
                <c:pt idx="63">
                  <c:v>1.9918667166011653E-2</c:v>
                </c:pt>
                <c:pt idx="64">
                  <c:v>1.9918667166011653E-2</c:v>
                </c:pt>
                <c:pt idx="65">
                  <c:v>1.9918667166011653E-2</c:v>
                </c:pt>
                <c:pt idx="66">
                  <c:v>1.9918667166011653E-2</c:v>
                </c:pt>
                <c:pt idx="67">
                  <c:v>1.9918667166011653E-2</c:v>
                </c:pt>
                <c:pt idx="68">
                  <c:v>1.9918667166011653E-2</c:v>
                </c:pt>
                <c:pt idx="69">
                  <c:v>2.2649534360045152E-2</c:v>
                </c:pt>
                <c:pt idx="70">
                  <c:v>2.8305490045722144E-2</c:v>
                </c:pt>
                <c:pt idx="71">
                  <c:v>2.8305490045722144E-2</c:v>
                </c:pt>
                <c:pt idx="72">
                  <c:v>2.8838575378334144E-2</c:v>
                </c:pt>
                <c:pt idx="73">
                  <c:v>2.9533227613999145E-2</c:v>
                </c:pt>
                <c:pt idx="74">
                  <c:v>2.8205873883262227E-2</c:v>
                </c:pt>
                <c:pt idx="75">
                  <c:v>2.6075343856488128E-2</c:v>
                </c:pt>
                <c:pt idx="76">
                  <c:v>2.099590422111472E-2</c:v>
                </c:pt>
                <c:pt idx="77">
                  <c:v>1.803805881634429E-2</c:v>
                </c:pt>
                <c:pt idx="78">
                  <c:v>1.5147373327021787E-2</c:v>
                </c:pt>
                <c:pt idx="79">
                  <c:v>1.4574484225493877E-2</c:v>
                </c:pt>
                <c:pt idx="80">
                  <c:v>1.4445364044136476E-2</c:v>
                </c:pt>
                <c:pt idx="81">
                  <c:v>5.8674701152220746E-3</c:v>
                </c:pt>
                <c:pt idx="82">
                  <c:v>1.1262514879000728E-3</c:v>
                </c:pt>
                <c:pt idx="83">
                  <c:v>-3.7038680250603678E-3</c:v>
                </c:pt>
                <c:pt idx="84">
                  <c:v>-2.8623664398470892E-3</c:v>
                </c:pt>
                <c:pt idx="85">
                  <c:v>8.4184664377539801E-3</c:v>
                </c:pt>
                <c:pt idx="86">
                  <c:v>1.6383981541224682E-2</c:v>
                </c:pt>
                <c:pt idx="87">
                  <c:v>1.1047513302905782E-2</c:v>
                </c:pt>
                <c:pt idx="88">
                  <c:v>1.3075695159481281E-2</c:v>
                </c:pt>
                <c:pt idx="89">
                  <c:v>1.2401417190225177E-2</c:v>
                </c:pt>
                <c:pt idx="90">
                  <c:v>9.0400719077110801E-3</c:v>
                </c:pt>
                <c:pt idx="91">
                  <c:v>6.4623044730781412E-3</c:v>
                </c:pt>
                <c:pt idx="92">
                  <c:v>6.4623044730781412E-3</c:v>
                </c:pt>
                <c:pt idx="93">
                  <c:v>1.1248671010715239E-2</c:v>
                </c:pt>
                <c:pt idx="94">
                  <c:v>7.8919981535428008E-3</c:v>
                </c:pt>
                <c:pt idx="95">
                  <c:v>6.7126535484684988E-3</c:v>
                </c:pt>
                <c:pt idx="96">
                  <c:v>6.7126535484684988E-3</c:v>
                </c:pt>
                <c:pt idx="97">
                  <c:v>9.1084599496079957E-3</c:v>
                </c:pt>
                <c:pt idx="98">
                  <c:v>1.0456576935408007E-2</c:v>
                </c:pt>
                <c:pt idx="99">
                  <c:v>9.5918199542132654E-3</c:v>
                </c:pt>
                <c:pt idx="100">
                  <c:v>1.0610045204545664E-2</c:v>
                </c:pt>
                <c:pt idx="101">
                  <c:v>1.4108615626587561E-2</c:v>
                </c:pt>
                <c:pt idx="102">
                  <c:v>1.4108615626587561E-2</c:v>
                </c:pt>
                <c:pt idx="103">
                  <c:v>1.4108615626587561E-2</c:v>
                </c:pt>
                <c:pt idx="104">
                  <c:v>1.4108615626587561E-2</c:v>
                </c:pt>
                <c:pt idx="105">
                  <c:v>1.4108615626587561E-2</c:v>
                </c:pt>
                <c:pt idx="106">
                  <c:v>1.4108615626587561E-2</c:v>
                </c:pt>
                <c:pt idx="107">
                  <c:v>1.4108615626587561E-2</c:v>
                </c:pt>
                <c:pt idx="108">
                  <c:v>1.4108615626587561E-2</c:v>
                </c:pt>
                <c:pt idx="109">
                  <c:v>1.4108615626587561E-2</c:v>
                </c:pt>
                <c:pt idx="110">
                  <c:v>1.4108615626587561E-2</c:v>
                </c:pt>
                <c:pt idx="111">
                  <c:v>1.4108615626587561E-2</c:v>
                </c:pt>
                <c:pt idx="112">
                  <c:v>1.4108615626587561E-2</c:v>
                </c:pt>
                <c:pt idx="113">
                  <c:v>1.4108615626587561E-2</c:v>
                </c:pt>
                <c:pt idx="114">
                  <c:v>1.4108615626587561E-2</c:v>
                </c:pt>
                <c:pt idx="115">
                  <c:v>1.4108615626587561E-2</c:v>
                </c:pt>
                <c:pt idx="116">
                  <c:v>1.4108615626587561E-2</c:v>
                </c:pt>
                <c:pt idx="117">
                  <c:v>1.4108615626587561E-2</c:v>
                </c:pt>
                <c:pt idx="118">
                  <c:v>1.4108615626587561E-2</c:v>
                </c:pt>
                <c:pt idx="119">
                  <c:v>1.8248840734308561E-2</c:v>
                </c:pt>
                <c:pt idx="120">
                  <c:v>2.2900359356398201E-2</c:v>
                </c:pt>
                <c:pt idx="121">
                  <c:v>2.2900359356398201E-2</c:v>
                </c:pt>
                <c:pt idx="122">
                  <c:v>2.2900359356398201E-2</c:v>
                </c:pt>
                <c:pt idx="123">
                  <c:v>2.2900359356398201E-2</c:v>
                </c:pt>
                <c:pt idx="124">
                  <c:v>2.961248523412844E-2</c:v>
                </c:pt>
                <c:pt idx="125">
                  <c:v>2.961248523412844E-2</c:v>
                </c:pt>
                <c:pt idx="126">
                  <c:v>2.961248523412844E-2</c:v>
                </c:pt>
                <c:pt idx="127">
                  <c:v>2.961248523412844E-2</c:v>
                </c:pt>
                <c:pt idx="128">
                  <c:v>2.961248523412844E-2</c:v>
                </c:pt>
                <c:pt idx="129">
                  <c:v>2.961248523412844E-2</c:v>
                </c:pt>
                <c:pt idx="130">
                  <c:v>2.961248523412844E-2</c:v>
                </c:pt>
                <c:pt idx="131">
                  <c:v>2.961248523412844E-2</c:v>
                </c:pt>
                <c:pt idx="132">
                  <c:v>2.3009940098724629E-2</c:v>
                </c:pt>
                <c:pt idx="133">
                  <c:v>2.6721261968338031E-2</c:v>
                </c:pt>
                <c:pt idx="134">
                  <c:v>2.6456002944282853E-2</c:v>
                </c:pt>
                <c:pt idx="135">
                  <c:v>2.2043106120289702E-2</c:v>
                </c:pt>
                <c:pt idx="136">
                  <c:v>2.6388227567425902E-2</c:v>
                </c:pt>
                <c:pt idx="137">
                  <c:v>2.9954945468985153E-2</c:v>
                </c:pt>
                <c:pt idx="138">
                  <c:v>2.9954945468985153E-2</c:v>
                </c:pt>
                <c:pt idx="139">
                  <c:v>2.9954945468985153E-2</c:v>
                </c:pt>
                <c:pt idx="140">
                  <c:v>2.9954945468985153E-2</c:v>
                </c:pt>
                <c:pt idx="141">
                  <c:v>2.9954945468985153E-2</c:v>
                </c:pt>
                <c:pt idx="142">
                  <c:v>2.9954945468985153E-2</c:v>
                </c:pt>
                <c:pt idx="143">
                  <c:v>2.9954945468985153E-2</c:v>
                </c:pt>
                <c:pt idx="144">
                  <c:v>3.5221198906288852E-2</c:v>
                </c:pt>
                <c:pt idx="145">
                  <c:v>3.5221198906288852E-2</c:v>
                </c:pt>
                <c:pt idx="146">
                  <c:v>3.5221198906288852E-2</c:v>
                </c:pt>
                <c:pt idx="147">
                  <c:v>3.5221198906288852E-2</c:v>
                </c:pt>
                <c:pt idx="148">
                  <c:v>3.5221198906288852E-2</c:v>
                </c:pt>
                <c:pt idx="149">
                  <c:v>3.5221198906288852E-2</c:v>
                </c:pt>
                <c:pt idx="150">
                  <c:v>3.5221198906288852E-2</c:v>
                </c:pt>
                <c:pt idx="151">
                  <c:v>3.5221198906288852E-2</c:v>
                </c:pt>
                <c:pt idx="152">
                  <c:v>3.5221198906288852E-2</c:v>
                </c:pt>
                <c:pt idx="153">
                  <c:v>3.5221198906288852E-2</c:v>
                </c:pt>
                <c:pt idx="154">
                  <c:v>3.5221198906288852E-2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C-46F4-A8BB-BF7174473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4.7527887163480997E-3</c:v>
                </c:pt>
                <c:pt idx="3">
                  <c:v>4.7527887163480997E-3</c:v>
                </c:pt>
                <c:pt idx="4">
                  <c:v>4.7527887163480997E-3</c:v>
                </c:pt>
                <c:pt idx="5">
                  <c:v>3.6651972276487994E-3</c:v>
                </c:pt>
                <c:pt idx="6">
                  <c:v>4.1036330845452195E-3</c:v>
                </c:pt>
                <c:pt idx="7">
                  <c:v>2.1339699787741866E-3</c:v>
                </c:pt>
                <c:pt idx="8">
                  <c:v>4.3981709331697878E-3</c:v>
                </c:pt>
                <c:pt idx="9">
                  <c:v>5.7593855448638803E-4</c:v>
                </c:pt>
                <c:pt idx="10">
                  <c:v>8.3438896558349113E-4</c:v>
                </c:pt>
                <c:pt idx="11">
                  <c:v>1.0792721137816909E-3</c:v>
                </c:pt>
                <c:pt idx="12">
                  <c:v>1.6857218763074203E-3</c:v>
                </c:pt>
                <c:pt idx="13">
                  <c:v>3.62737322135706E-3</c:v>
                </c:pt>
                <c:pt idx="14">
                  <c:v>4.1645752360324603E-3</c:v>
                </c:pt>
                <c:pt idx="15">
                  <c:v>3.923429365691661E-3</c:v>
                </c:pt>
                <c:pt idx="16">
                  <c:v>4.3064639172546619E-3</c:v>
                </c:pt>
                <c:pt idx="17">
                  <c:v>4.3064639172546619E-3</c:v>
                </c:pt>
                <c:pt idx="18">
                  <c:v>4.3064639172546619E-3</c:v>
                </c:pt>
                <c:pt idx="19">
                  <c:v>7.0529730237442927E-3</c:v>
                </c:pt>
                <c:pt idx="20">
                  <c:v>7.0529730237442927E-3</c:v>
                </c:pt>
                <c:pt idx="21">
                  <c:v>7.0529730237442927E-3</c:v>
                </c:pt>
                <c:pt idx="22">
                  <c:v>7.0529730237442927E-3</c:v>
                </c:pt>
                <c:pt idx="23">
                  <c:v>7.0529730237442927E-3</c:v>
                </c:pt>
                <c:pt idx="24">
                  <c:v>7.0529730237442927E-3</c:v>
                </c:pt>
                <c:pt idx="25">
                  <c:v>7.0529730237442927E-3</c:v>
                </c:pt>
                <c:pt idx="26">
                  <c:v>7.0529730237442927E-3</c:v>
                </c:pt>
                <c:pt idx="27">
                  <c:v>7.0529730237442927E-3</c:v>
                </c:pt>
                <c:pt idx="28">
                  <c:v>7.0529730237442927E-3</c:v>
                </c:pt>
                <c:pt idx="29">
                  <c:v>7.0529730237442927E-3</c:v>
                </c:pt>
                <c:pt idx="30">
                  <c:v>7.0529730237442927E-3</c:v>
                </c:pt>
                <c:pt idx="31">
                  <c:v>7.0529730237442927E-3</c:v>
                </c:pt>
                <c:pt idx="32">
                  <c:v>7.0529730237442927E-3</c:v>
                </c:pt>
                <c:pt idx="33">
                  <c:v>7.4857312128069941E-3</c:v>
                </c:pt>
                <c:pt idx="34">
                  <c:v>7.4857312128069941E-3</c:v>
                </c:pt>
                <c:pt idx="35">
                  <c:v>2.4241561901642743E-3</c:v>
                </c:pt>
                <c:pt idx="36">
                  <c:v>3.6708856004191246E-3</c:v>
                </c:pt>
                <c:pt idx="37">
                  <c:v>2.9041688201440225E-3</c:v>
                </c:pt>
                <c:pt idx="38">
                  <c:v>5.507609031266212E-4</c:v>
                </c:pt>
                <c:pt idx="39">
                  <c:v>4.7085398477394198E-3</c:v>
                </c:pt>
                <c:pt idx="40">
                  <c:v>7.6922288114060228E-3</c:v>
                </c:pt>
                <c:pt idx="41">
                  <c:v>7.6922288114060228E-3</c:v>
                </c:pt>
                <c:pt idx="42">
                  <c:v>7.6922288114060228E-3</c:v>
                </c:pt>
                <c:pt idx="43">
                  <c:v>7.6922288114060228E-3</c:v>
                </c:pt>
                <c:pt idx="44">
                  <c:v>7.6922288114060228E-3</c:v>
                </c:pt>
                <c:pt idx="45">
                  <c:v>7.6922288114060228E-3</c:v>
                </c:pt>
                <c:pt idx="46">
                  <c:v>7.6922288114060228E-3</c:v>
                </c:pt>
                <c:pt idx="47">
                  <c:v>7.6922288114060228E-3</c:v>
                </c:pt>
                <c:pt idx="48">
                  <c:v>7.6922288114060228E-3</c:v>
                </c:pt>
                <c:pt idx="49">
                  <c:v>7.6922288114060228E-3</c:v>
                </c:pt>
                <c:pt idx="50">
                  <c:v>7.6922288114060228E-3</c:v>
                </c:pt>
                <c:pt idx="51">
                  <c:v>7.6922288114060228E-3</c:v>
                </c:pt>
                <c:pt idx="52">
                  <c:v>7.6922288114060228E-3</c:v>
                </c:pt>
                <c:pt idx="53">
                  <c:v>7.6922288114060228E-3</c:v>
                </c:pt>
                <c:pt idx="54">
                  <c:v>7.6922288114060228E-3</c:v>
                </c:pt>
                <c:pt idx="55">
                  <c:v>8.0968570084188219E-3</c:v>
                </c:pt>
                <c:pt idx="56">
                  <c:v>1.0356847201944021E-2</c:v>
                </c:pt>
                <c:pt idx="57">
                  <c:v>8.8106270845786216E-3</c:v>
                </c:pt>
                <c:pt idx="58">
                  <c:v>1.2367871106378853E-2</c:v>
                </c:pt>
                <c:pt idx="59">
                  <c:v>1.2367871106378853E-2</c:v>
                </c:pt>
                <c:pt idx="60">
                  <c:v>1.2367871106378853E-2</c:v>
                </c:pt>
                <c:pt idx="61">
                  <c:v>1.9918667166011653E-2</c:v>
                </c:pt>
                <c:pt idx="62">
                  <c:v>2.1459862207910851E-2</c:v>
                </c:pt>
                <c:pt idx="63">
                  <c:v>2.2480758301079248E-2</c:v>
                </c:pt>
                <c:pt idx="64">
                  <c:v>2.5730570213952048E-2</c:v>
                </c:pt>
                <c:pt idx="65">
                  <c:v>2.5730570213952048E-2</c:v>
                </c:pt>
                <c:pt idx="66">
                  <c:v>2.5730570213952048E-2</c:v>
                </c:pt>
                <c:pt idx="67">
                  <c:v>3.2411617367256153E-2</c:v>
                </c:pt>
                <c:pt idx="68">
                  <c:v>3.2411617367256153E-2</c:v>
                </c:pt>
                <c:pt idx="69">
                  <c:v>3.5142484561289655E-2</c:v>
                </c:pt>
                <c:pt idx="70">
                  <c:v>4.0798440246966647E-2</c:v>
                </c:pt>
                <c:pt idx="71">
                  <c:v>4.0798440246966647E-2</c:v>
                </c:pt>
                <c:pt idx="72">
                  <c:v>4.1331525579578643E-2</c:v>
                </c:pt>
                <c:pt idx="73">
                  <c:v>4.2026177815243641E-2</c:v>
                </c:pt>
                <c:pt idx="74">
                  <c:v>4.0698824084506723E-2</c:v>
                </c:pt>
                <c:pt idx="75">
                  <c:v>3.8568294057732627E-2</c:v>
                </c:pt>
                <c:pt idx="76">
                  <c:v>3.3488854422359216E-2</c:v>
                </c:pt>
                <c:pt idx="77">
                  <c:v>3.0531009017588786E-2</c:v>
                </c:pt>
                <c:pt idx="78">
                  <c:v>2.7640323528266283E-2</c:v>
                </c:pt>
                <c:pt idx="79">
                  <c:v>2.7067434426738372E-2</c:v>
                </c:pt>
                <c:pt idx="80">
                  <c:v>2.693831424538097E-2</c:v>
                </c:pt>
                <c:pt idx="81">
                  <c:v>1.8360420316466571E-2</c:v>
                </c:pt>
                <c:pt idx="82">
                  <c:v>1.3619201689144569E-2</c:v>
                </c:pt>
                <c:pt idx="83">
                  <c:v>8.7890821761841282E-3</c:v>
                </c:pt>
                <c:pt idx="84">
                  <c:v>9.6305837613974068E-3</c:v>
                </c:pt>
                <c:pt idx="85">
                  <c:v>2.0911416638998474E-2</c:v>
                </c:pt>
                <c:pt idx="86">
                  <c:v>2.8876931742469178E-2</c:v>
                </c:pt>
                <c:pt idx="87">
                  <c:v>2.3540463504150278E-2</c:v>
                </c:pt>
                <c:pt idx="88">
                  <c:v>2.5568645360725777E-2</c:v>
                </c:pt>
                <c:pt idx="89">
                  <c:v>2.4894367391469673E-2</c:v>
                </c:pt>
                <c:pt idx="90">
                  <c:v>2.1533022108955576E-2</c:v>
                </c:pt>
                <c:pt idx="91">
                  <c:v>1.8955254674322637E-2</c:v>
                </c:pt>
                <c:pt idx="92">
                  <c:v>1.8955254674322637E-2</c:v>
                </c:pt>
                <c:pt idx="93">
                  <c:v>2.3741621211959735E-2</c:v>
                </c:pt>
                <c:pt idx="94">
                  <c:v>2.0384948354787297E-2</c:v>
                </c:pt>
                <c:pt idx="95">
                  <c:v>1.9205603749712995E-2</c:v>
                </c:pt>
                <c:pt idx="96">
                  <c:v>1.9205603749712995E-2</c:v>
                </c:pt>
                <c:pt idx="97">
                  <c:v>2.1601410150852492E-2</c:v>
                </c:pt>
                <c:pt idx="98">
                  <c:v>2.2949527136652503E-2</c:v>
                </c:pt>
                <c:pt idx="99">
                  <c:v>2.2084770155457761E-2</c:v>
                </c:pt>
                <c:pt idx="100">
                  <c:v>2.310299540579016E-2</c:v>
                </c:pt>
                <c:pt idx="101">
                  <c:v>2.6601565827832057E-2</c:v>
                </c:pt>
                <c:pt idx="102">
                  <c:v>2.6601565827832057E-2</c:v>
                </c:pt>
                <c:pt idx="103">
                  <c:v>2.6601565827832057E-2</c:v>
                </c:pt>
                <c:pt idx="104">
                  <c:v>2.0542833537815757E-2</c:v>
                </c:pt>
                <c:pt idx="105">
                  <c:v>2.0978396072251455E-2</c:v>
                </c:pt>
                <c:pt idx="106">
                  <c:v>1.3526212499610755E-2</c:v>
                </c:pt>
                <c:pt idx="107">
                  <c:v>1.8386615846256924E-2</c:v>
                </c:pt>
                <c:pt idx="108">
                  <c:v>2.3017535613645425E-2</c:v>
                </c:pt>
                <c:pt idx="109">
                  <c:v>2.2130679985495984E-2</c:v>
                </c:pt>
                <c:pt idx="110">
                  <c:v>1.9072171870165387E-2</c:v>
                </c:pt>
                <c:pt idx="111">
                  <c:v>1.8022191544640589E-2</c:v>
                </c:pt>
                <c:pt idx="112">
                  <c:v>5.8030785945695201E-3</c:v>
                </c:pt>
                <c:pt idx="113">
                  <c:v>6.6055345910708187E-3</c:v>
                </c:pt>
                <c:pt idx="114">
                  <c:v>1.0032868494170918E-2</c:v>
                </c:pt>
                <c:pt idx="115">
                  <c:v>7.6693619402484941E-3</c:v>
                </c:pt>
                <c:pt idx="116">
                  <c:v>1.7618402044898493E-2</c:v>
                </c:pt>
                <c:pt idx="117">
                  <c:v>1.9591052344125323E-2</c:v>
                </c:pt>
                <c:pt idx="118">
                  <c:v>2.9119807484934524E-2</c:v>
                </c:pt>
                <c:pt idx="119">
                  <c:v>3.3260032592655524E-2</c:v>
                </c:pt>
                <c:pt idx="120">
                  <c:v>3.7911551214745161E-2</c:v>
                </c:pt>
                <c:pt idx="121">
                  <c:v>3.7911551214745161E-2</c:v>
                </c:pt>
                <c:pt idx="122">
                  <c:v>3.2289833872431062E-2</c:v>
                </c:pt>
                <c:pt idx="123">
                  <c:v>4.4378262329245258E-2</c:v>
                </c:pt>
                <c:pt idx="124">
                  <c:v>5.10903882069755E-2</c:v>
                </c:pt>
                <c:pt idx="125">
                  <c:v>5.10903882069755E-2</c:v>
                </c:pt>
                <c:pt idx="126">
                  <c:v>5.9950705426662594E-2</c:v>
                </c:pt>
                <c:pt idx="127">
                  <c:v>5.9950705426662594E-2</c:v>
                </c:pt>
                <c:pt idx="128">
                  <c:v>5.9950705426662594E-2</c:v>
                </c:pt>
                <c:pt idx="129">
                  <c:v>5.9950705426662594E-2</c:v>
                </c:pt>
                <c:pt idx="130">
                  <c:v>5.9950705426662594E-2</c:v>
                </c:pt>
                <c:pt idx="131">
                  <c:v>5.9950705426662594E-2</c:v>
                </c:pt>
                <c:pt idx="132">
                  <c:v>5.3348160291258787E-2</c:v>
                </c:pt>
                <c:pt idx="133">
                  <c:v>5.7059482160872185E-2</c:v>
                </c:pt>
                <c:pt idx="134">
                  <c:v>5.6794223136817007E-2</c:v>
                </c:pt>
                <c:pt idx="135">
                  <c:v>5.2381326312823856E-2</c:v>
                </c:pt>
                <c:pt idx="136">
                  <c:v>5.6726447759960053E-2</c:v>
                </c:pt>
                <c:pt idx="137">
                  <c:v>6.02931656615193E-2</c:v>
                </c:pt>
                <c:pt idx="138">
                  <c:v>6.02931656615193E-2</c:v>
                </c:pt>
                <c:pt idx="139">
                  <c:v>6.02931656615193E-2</c:v>
                </c:pt>
                <c:pt idx="140">
                  <c:v>6.02931656615193E-2</c:v>
                </c:pt>
                <c:pt idx="141">
                  <c:v>6.02931656615193E-2</c:v>
                </c:pt>
                <c:pt idx="142">
                  <c:v>6.02931656615193E-2</c:v>
                </c:pt>
                <c:pt idx="143">
                  <c:v>6.02931656615193E-2</c:v>
                </c:pt>
                <c:pt idx="144">
                  <c:v>6.5559419098822999E-2</c:v>
                </c:pt>
                <c:pt idx="145">
                  <c:v>6.5559419098822999E-2</c:v>
                </c:pt>
                <c:pt idx="146">
                  <c:v>6.5559419098822999E-2</c:v>
                </c:pt>
                <c:pt idx="147">
                  <c:v>6.5559419098822999E-2</c:v>
                </c:pt>
                <c:pt idx="148">
                  <c:v>6.5559419098822999E-2</c:v>
                </c:pt>
                <c:pt idx="149">
                  <c:v>6.9534488802915836E-2</c:v>
                </c:pt>
                <c:pt idx="150">
                  <c:v>7.358829072794347E-2</c:v>
                </c:pt>
                <c:pt idx="151">
                  <c:v>7.358829072794347E-2</c:v>
                </c:pt>
                <c:pt idx="152">
                  <c:v>7.358829072794347E-2</c:v>
                </c:pt>
                <c:pt idx="153">
                  <c:v>7.358829072794347E-2</c:v>
                </c:pt>
                <c:pt idx="154">
                  <c:v>7.358829072794347E-2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4-43FC-BA66-ECE2308DF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C750D-0FEC-44CB-8D21-49095A139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3D611-FB63-4356-A2D8-16B45775C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9D7EC0-A880-4658-A2B6-C1AC853C1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196E36-343E-4958-8B52-0902747E2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F83DDB-76EF-47D6-9D73-4FB891514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9B4CD0-F618-4CA2-A13B-248558B23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969D27-F85D-4A65-A3EC-0950B7B85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TEMPLATE.xlsx" TargetMode="External"/><Relationship Id="rId1" Type="http://schemas.openxmlformats.org/officeDocument/2006/relationships/externalLinkPath" Target="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HEI/HEI A avg</v>
          </cell>
          <cell r="P1" t="str">
            <v>HEI/HEI A 10 dma</v>
          </cell>
          <cell r="Q1" t="str">
            <v>HEI/HEI A 20 dma</v>
          </cell>
          <cell r="U1" t="str">
            <v>log diff HEI A x avg / HEI</v>
          </cell>
          <cell r="V1" t="str">
            <v>log diff HEI A x 10 dma / HEI</v>
          </cell>
          <cell r="W1" t="str">
            <v>log diff HEI A x 20 dma / HEI</v>
          </cell>
          <cell r="Y1" t="str">
            <v>HEI*/HEI A* avg</v>
          </cell>
          <cell r="Z1" t="str">
            <v>HEI*/HEI A* 10 dma</v>
          </cell>
          <cell r="AA1" t="str">
            <v>HEI*/HEI A* 20 dma</v>
          </cell>
          <cell r="AE1" t="str">
            <v>log diff HEI A* x avg / HEI*</v>
          </cell>
          <cell r="AF1" t="str">
            <v>log diff HEI A* x 10 dma / HEI*</v>
          </cell>
          <cell r="AG1" t="str">
            <v>log diff HEI A* x 20 dma / HEI*</v>
          </cell>
        </row>
        <row r="2">
          <cell r="O2">
            <v>1.3338063878300499</v>
          </cell>
          <cell r="Y2">
            <v>1.3338063878300499</v>
          </cell>
        </row>
        <row r="3">
          <cell r="O3">
            <v>1.3338063878300499</v>
          </cell>
          <cell r="U3">
            <v>3.79092861161619E-2</v>
          </cell>
          <cell r="Y3">
            <v>1.3338063878300499</v>
          </cell>
          <cell r="AE3">
            <v>3.79092861161619E-2</v>
          </cell>
        </row>
        <row r="4">
          <cell r="O4">
            <v>1.3338063878300499</v>
          </cell>
          <cell r="U4">
            <v>3.3895750640528598E-2</v>
          </cell>
          <cell r="Y4">
            <v>1.3338063878300499</v>
          </cell>
          <cell r="AE4">
            <v>3.3895750640528598E-2</v>
          </cell>
        </row>
        <row r="5">
          <cell r="O5">
            <v>1.3338063878300499</v>
          </cell>
          <cell r="U5">
            <v>2.9884110178559201E-2</v>
          </cell>
          <cell r="Y5">
            <v>1.3338063878300499</v>
          </cell>
          <cell r="AE5">
            <v>2.9884110178559201E-2</v>
          </cell>
        </row>
        <row r="6">
          <cell r="O6">
            <v>1.3338063878300499</v>
          </cell>
          <cell r="U6">
            <v>3.0718923557298099E-2</v>
          </cell>
          <cell r="Y6">
            <v>1.3338063878300499</v>
          </cell>
          <cell r="AE6">
            <v>3.0718923557298099E-2</v>
          </cell>
        </row>
        <row r="7">
          <cell r="O7">
            <v>1.3338063878300499</v>
          </cell>
          <cell r="U7">
            <v>3.0041302301067999E-2</v>
          </cell>
          <cell r="Y7">
            <v>1.3338063878300499</v>
          </cell>
          <cell r="AE7">
            <v>3.0041302301067999E-2</v>
          </cell>
        </row>
        <row r="8">
          <cell r="O8">
            <v>1.3338063878300499</v>
          </cell>
          <cell r="U8">
            <v>2.6381484547543799E-2</v>
          </cell>
          <cell r="Y8">
            <v>1.3338063878300499</v>
          </cell>
          <cell r="AE8">
            <v>2.6381484547543799E-2</v>
          </cell>
        </row>
        <row r="9">
          <cell r="O9">
            <v>1.3338063878300499</v>
          </cell>
          <cell r="U9">
            <v>2.58939136416045E-2</v>
          </cell>
          <cell r="Y9">
            <v>1.3338063878300499</v>
          </cell>
          <cell r="AE9">
            <v>2.58939136416045E-2</v>
          </cell>
          <cell r="AF9" t="str">
            <v>row</v>
          </cell>
        </row>
        <row r="10">
          <cell r="O10">
            <v>1.3338063878300499</v>
          </cell>
          <cell r="U10">
            <v>2.7212693061586999E-2</v>
          </cell>
          <cell r="Y10">
            <v>1.3338063878300499</v>
          </cell>
          <cell r="AE10">
            <v>2.7212693061586999E-2</v>
          </cell>
          <cell r="AF10" t="str">
            <v>col</v>
          </cell>
        </row>
        <row r="11">
          <cell r="O11">
            <v>1.3338063878300499</v>
          </cell>
          <cell r="P11">
            <v>1.29294110243798</v>
          </cell>
          <cell r="U11">
            <v>2.8263857715585601E-2</v>
          </cell>
          <cell r="Y11">
            <v>1.3338063878300499</v>
          </cell>
          <cell r="Z11">
            <v>1.29294110243798</v>
          </cell>
          <cell r="AE11">
            <v>2.8263857715585601E-2</v>
          </cell>
        </row>
        <row r="12">
          <cell r="O12">
            <v>1.3338063878300499</v>
          </cell>
          <cell r="P12">
            <v>1.2943625855015399</v>
          </cell>
          <cell r="U12">
            <v>3.00424943766881E-2</v>
          </cell>
          <cell r="V12">
            <v>-1.0747583640456199E-3</v>
          </cell>
          <cell r="Y12">
            <v>1.3338063878300499</v>
          </cell>
          <cell r="Z12">
            <v>1.2943625855015399</v>
          </cell>
          <cell r="AE12">
            <v>3.00424943766881E-2</v>
          </cell>
          <cell r="AF12">
            <v>-1.0747583640456199E-3</v>
          </cell>
        </row>
        <row r="13">
          <cell r="O13">
            <v>1.3338063878300499</v>
          </cell>
          <cell r="P13">
            <v>1.2949387272911801</v>
          </cell>
          <cell r="U13">
            <v>3.3432895469621603E-2</v>
          </cell>
          <cell r="V13">
            <v>3.4144570761993199E-3</v>
          </cell>
          <cell r="Y13">
            <v>1.3338063878300499</v>
          </cell>
          <cell r="Z13">
            <v>1.2949387272911801</v>
          </cell>
          <cell r="AE13">
            <v>3.3432895469621603E-2</v>
          </cell>
          <cell r="AF13">
            <v>3.4144570761993199E-3</v>
          </cell>
        </row>
        <row r="14">
          <cell r="O14">
            <v>1.3338063878300499</v>
          </cell>
          <cell r="P14">
            <v>1.29518241087869</v>
          </cell>
          <cell r="U14">
            <v>3.2007567367947E-2</v>
          </cell>
          <cell r="V14">
            <v>2.4341461660740298E-3</v>
          </cell>
          <cell r="Y14">
            <v>1.3338063878300499</v>
          </cell>
          <cell r="Z14">
            <v>1.29518241087869</v>
          </cell>
          <cell r="AE14">
            <v>3.2007567367947E-2</v>
          </cell>
          <cell r="AF14">
            <v>2.4341461660740298E-3</v>
          </cell>
        </row>
        <row r="15">
          <cell r="O15">
            <v>1.3338063878300499</v>
          </cell>
          <cell r="P15">
            <v>1.2952365856613599</v>
          </cell>
          <cell r="U15">
            <v>2.94657098362178E-2</v>
          </cell>
          <cell r="V15">
            <v>8.0452488649974699E-5</v>
          </cell>
          <cell r="Y15">
            <v>1.3338063878300499</v>
          </cell>
          <cell r="Z15">
            <v>1.2952365856613599</v>
          </cell>
          <cell r="AE15">
            <v>2.94657098362178E-2</v>
          </cell>
          <cell r="AF15">
            <v>8.0452488649974699E-5</v>
          </cell>
        </row>
        <row r="16">
          <cell r="O16">
            <v>1.3338063878300499</v>
          </cell>
          <cell r="P16">
            <v>1.29551729116384</v>
          </cell>
          <cell r="U16">
            <v>2.85510778682748E-2</v>
          </cell>
          <cell r="V16">
            <v>-7.9235243683922795E-4</v>
          </cell>
          <cell r="Y16">
            <v>1.3338063878300499</v>
          </cell>
          <cell r="Z16">
            <v>1.29551729116384</v>
          </cell>
          <cell r="AE16">
            <v>2.85510778682748E-2</v>
          </cell>
          <cell r="AF16">
            <v>-7.9235243683922795E-4</v>
          </cell>
        </row>
        <row r="17">
          <cell r="O17">
            <v>1.3338063878300499</v>
          </cell>
          <cell r="P17">
            <v>1.2958966971539501</v>
          </cell>
          <cell r="U17">
            <v>2.71143043557815E-2</v>
          </cell>
          <cell r="V17">
            <v>-2.0124280174370702E-3</v>
          </cell>
          <cell r="Y17">
            <v>1.3338063878300499</v>
          </cell>
          <cell r="Z17">
            <v>1.2958966971539501</v>
          </cell>
          <cell r="AE17">
            <v>2.71143043557815E-2</v>
          </cell>
          <cell r="AF17">
            <v>-2.0124280174370702E-3</v>
          </cell>
        </row>
        <row r="18">
          <cell r="O18">
            <v>1.3338063878300499</v>
          </cell>
          <cell r="P18">
            <v>1.2955315865646</v>
          </cell>
          <cell r="U18">
            <v>2.9195976329977499E-2</v>
          </cell>
          <cell r="V18">
            <v>3.62061696056911E-4</v>
          </cell>
          <cell r="Y18">
            <v>1.3338063878300499</v>
          </cell>
          <cell r="Z18">
            <v>1.2955315865646</v>
          </cell>
          <cell r="AE18">
            <v>2.9195976329977499E-2</v>
          </cell>
          <cell r="AF18">
            <v>3.62061696056911E-4</v>
          </cell>
        </row>
        <row r="19">
          <cell r="O19">
            <v>1.3338063878300499</v>
          </cell>
          <cell r="P19">
            <v>1.2953565208506399</v>
          </cell>
          <cell r="U19">
            <v>2.72417790957898E-2</v>
          </cell>
          <cell r="V19">
            <v>-1.87391882656297E-3</v>
          </cell>
          <cell r="Y19">
            <v>1.3338063878300499</v>
          </cell>
          <cell r="Z19">
            <v>1.2953565208506399</v>
          </cell>
          <cell r="AE19">
            <v>2.72417790957898E-2</v>
          </cell>
          <cell r="AF19">
            <v>-1.87391882656297E-3</v>
          </cell>
        </row>
        <row r="20">
          <cell r="O20">
            <v>1.3338063878300499</v>
          </cell>
          <cell r="P20">
            <v>1.2958903131230699</v>
          </cell>
          <cell r="U20">
            <v>2.31087026560906E-2</v>
          </cell>
          <cell r="V20">
            <v>-6.1421348068135496E-3</v>
          </cell>
          <cell r="Y20">
            <v>1.3338063878300499</v>
          </cell>
          <cell r="Z20">
            <v>1.2958903131230699</v>
          </cell>
          <cell r="AE20">
            <v>2.31087026560906E-2</v>
          </cell>
          <cell r="AF20">
            <v>-6.1421348068135496E-3</v>
          </cell>
        </row>
        <row r="21">
          <cell r="O21">
            <v>1.3338063878300499</v>
          </cell>
          <cell r="P21">
            <v>1.29620435992078</v>
          </cell>
          <cell r="Q21">
            <v>1.29457273117938</v>
          </cell>
          <cell r="U21">
            <v>2.5844773373747999E-2</v>
          </cell>
          <cell r="V21">
            <v>-2.9940676147334599E-3</v>
          </cell>
          <cell r="Y21">
            <v>1.3338063878300499</v>
          </cell>
          <cell r="Z21">
            <v>1.29620435992078</v>
          </cell>
          <cell r="AA21">
            <v>1.29457273117938</v>
          </cell>
          <cell r="AE21">
            <v>2.5844773373747999E-2</v>
          </cell>
          <cell r="AF21">
            <v>-2.9940676147334599E-3</v>
          </cell>
        </row>
        <row r="22">
          <cell r="O22">
            <v>1.3338063878300499</v>
          </cell>
          <cell r="P22">
            <v>1.29604017198074</v>
          </cell>
          <cell r="Q22">
            <v>1.2952013787411401</v>
          </cell>
          <cell r="U22">
            <v>3.1311815042729702E-2</v>
          </cell>
          <cell r="V22">
            <v>2.7152852649574501E-3</v>
          </cell>
          <cell r="W22">
            <v>1.4557180387985401E-3</v>
          </cell>
          <cell r="Y22">
            <v>1.3338063878300499</v>
          </cell>
          <cell r="Z22">
            <v>1.29604017198074</v>
          </cell>
          <cell r="AA22">
            <v>1.2952013787411401</v>
          </cell>
          <cell r="AE22">
            <v>3.1311815042729702E-2</v>
          </cell>
          <cell r="AF22">
            <v>2.7152852649574501E-3</v>
          </cell>
          <cell r="AG22">
            <v>1.4557180387985401E-3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1.3338063878300499</v>
          </cell>
          <cell r="P23">
            <v>1.2970144025057899</v>
          </cell>
          <cell r="Q23">
            <v>1.29597656489848</v>
          </cell>
          <cell r="U23">
            <v>2.5908808569228801E-2</v>
          </cell>
          <cell r="V23">
            <v>-2.8143974832833701E-3</v>
          </cell>
          <cell r="W23">
            <v>-3.4618039504011999E-3</v>
          </cell>
          <cell r="Y23">
            <v>1.3338063878300499</v>
          </cell>
          <cell r="Z23">
            <v>1.2970144025057899</v>
          </cell>
          <cell r="AA23">
            <v>1.29597656489848</v>
          </cell>
          <cell r="AE23">
            <v>2.5908808569228801E-2</v>
          </cell>
          <cell r="AF23">
            <v>-2.8143974832833701E-3</v>
          </cell>
          <cell r="AG23">
            <v>-3.4618039504011999E-3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1.3338063878300499</v>
          </cell>
          <cell r="P24">
            <v>1.2979656923527001</v>
          </cell>
          <cell r="Q24">
            <v>1.2965740516157001</v>
          </cell>
          <cell r="U24">
            <v>2.46704314302943E-2</v>
          </cell>
          <cell r="V24">
            <v>-3.3013592216557001E-3</v>
          </cell>
          <cell r="W24">
            <v>-4.1018538440990198E-3</v>
          </cell>
          <cell r="Y24">
            <v>1.3338063878300499</v>
          </cell>
          <cell r="Z24">
            <v>1.2979656923527001</v>
          </cell>
          <cell r="AA24">
            <v>1.2965740516157001</v>
          </cell>
          <cell r="AE24">
            <v>2.46704314302943E-2</v>
          </cell>
          <cell r="AF24">
            <v>-3.3013592216557001E-3</v>
          </cell>
          <cell r="AG24">
            <v>-4.1018538440990198E-3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1.3338063878300499</v>
          </cell>
          <cell r="P25">
            <v>1.29816649937155</v>
          </cell>
          <cell r="Q25">
            <v>1.2967015425164501</v>
          </cell>
          <cell r="U25">
            <v>2.79163709799111E-2</v>
          </cell>
          <cell r="V25">
            <v>6.7775735033146097E-4</v>
          </cell>
          <cell r="W25">
            <v>-3.9498849886684099E-4</v>
          </cell>
          <cell r="Y25">
            <v>1.3338063878300499</v>
          </cell>
          <cell r="Z25">
            <v>1.29816649937155</v>
          </cell>
          <cell r="AA25">
            <v>1.2967015425164501</v>
          </cell>
          <cell r="AE25">
            <v>2.79163709799111E-2</v>
          </cell>
          <cell r="AF25">
            <v>6.7775735033146097E-4</v>
          </cell>
          <cell r="AG25">
            <v>-3.9498849886684099E-4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1.3338063878300499</v>
          </cell>
          <cell r="P26">
            <v>1.2986098512236699</v>
          </cell>
          <cell r="Q26">
            <v>1.2970635711937499</v>
          </cell>
          <cell r="U26">
            <v>2.5136683570901E-2</v>
          </cell>
          <cell r="V26">
            <v>-1.94723299056628E-3</v>
          </cell>
          <cell r="W26">
            <v>-3.0763516872308301E-3</v>
          </cell>
          <cell r="Y26">
            <v>1.3338063878300499</v>
          </cell>
          <cell r="Z26">
            <v>1.2986098512236699</v>
          </cell>
          <cell r="AA26">
            <v>1.2970635711937499</v>
          </cell>
          <cell r="AE26">
            <v>2.5136683570901E-2</v>
          </cell>
          <cell r="AF26">
            <v>-1.94723299056628E-3</v>
          </cell>
          <cell r="AG26">
            <v>-3.0763516872308301E-3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1.3338063878300499</v>
          </cell>
          <cell r="P27">
            <v>1.2987600702239499</v>
          </cell>
          <cell r="Q27">
            <v>1.29732838368895</v>
          </cell>
          <cell r="U27">
            <v>2.5957775412513099E-2</v>
          </cell>
          <cell r="V27">
            <v>-7.8467789099796704E-4</v>
          </cell>
          <cell r="W27">
            <v>-1.9761068276847298E-3</v>
          </cell>
          <cell r="Y27">
            <v>1.3338063878300499</v>
          </cell>
          <cell r="Z27">
            <v>1.2987600702239499</v>
          </cell>
          <cell r="AA27">
            <v>1.29732838368895</v>
          </cell>
          <cell r="AE27">
            <v>2.5957775412513099E-2</v>
          </cell>
          <cell r="AF27">
            <v>-7.8467789099796704E-4</v>
          </cell>
          <cell r="AG27">
            <v>-1.9761068276847298E-3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1.3338063878300499</v>
          </cell>
          <cell r="P28">
            <v>1.2996727921668501</v>
          </cell>
          <cell r="Q28">
            <v>1.2976021893657299</v>
          </cell>
          <cell r="U28">
            <v>2.2174961924741301E-2</v>
          </cell>
          <cell r="V28">
            <v>-4.4518212932650597E-3</v>
          </cell>
          <cell r="W28">
            <v>-5.5547780727097E-3</v>
          </cell>
          <cell r="Y28">
            <v>1.3338063878300499</v>
          </cell>
          <cell r="Z28">
            <v>1.2996727921668501</v>
          </cell>
          <cell r="AA28">
            <v>1.2976021893657299</v>
          </cell>
          <cell r="AE28">
            <v>2.2174961924741301E-2</v>
          </cell>
          <cell r="AF28">
            <v>-4.4518212932650597E-3</v>
          </cell>
          <cell r="AG28">
            <v>-5.5547780727097E-3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1.3338063878300499</v>
          </cell>
          <cell r="P29">
            <v>1.3004082342672401</v>
          </cell>
          <cell r="Q29">
            <v>1.2978823775589401</v>
          </cell>
          <cell r="U29">
            <v>2.15916397468978E-2</v>
          </cell>
          <cell r="V29">
            <v>-4.3326262010693097E-3</v>
          </cell>
          <cell r="W29">
            <v>-5.9270690340465504E-3</v>
          </cell>
          <cell r="Y29">
            <v>1.3338063878300499</v>
          </cell>
          <cell r="Z29">
            <v>1.3004082342672401</v>
          </cell>
          <cell r="AA29">
            <v>1.2978823775589401</v>
          </cell>
          <cell r="AE29">
            <v>2.15916397468978E-2</v>
          </cell>
          <cell r="AF29">
            <v>-4.3326262010693097E-3</v>
          </cell>
          <cell r="AG29">
            <v>-5.9270690340465504E-3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1.3338063878300499</v>
          </cell>
          <cell r="P30">
            <v>1.30127607418555</v>
          </cell>
          <cell r="Q30">
            <v>1.29858319365431</v>
          </cell>
          <cell r="U30">
            <v>1.6472174962321999E-2</v>
          </cell>
          <cell r="V30">
            <v>-8.8863839076547494E-3</v>
          </cell>
          <cell r="W30">
            <v>-1.0830629476233301E-2</v>
          </cell>
          <cell r="Y30">
            <v>1.3338063878300499</v>
          </cell>
          <cell r="Z30">
            <v>1.30127607418555</v>
          </cell>
          <cell r="AA30">
            <v>1.29858319365431</v>
          </cell>
          <cell r="AE30">
            <v>1.6472174962321999E-2</v>
          </cell>
          <cell r="AF30">
            <v>-8.8863839076547494E-3</v>
          </cell>
          <cell r="AG30">
            <v>-1.0830629476233301E-2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1.3338063878300499</v>
          </cell>
          <cell r="P31">
            <v>1.3027760638521599</v>
          </cell>
          <cell r="Q31">
            <v>1.29949021188647</v>
          </cell>
          <cell r="U31">
            <v>1.4370485952901401E-2</v>
          </cell>
          <cell r="V31">
            <v>-1.0320935903038999E-2</v>
          </cell>
          <cell r="W31">
            <v>-1.2392495335167999E-2</v>
          </cell>
          <cell r="Y31">
            <v>1.3338063878300499</v>
          </cell>
          <cell r="Z31">
            <v>1.3027760638521599</v>
          </cell>
          <cell r="AA31">
            <v>1.29949021188647</v>
          </cell>
          <cell r="AE31">
            <v>1.4370485952901401E-2</v>
          </cell>
          <cell r="AF31">
            <v>-1.0320935903038999E-2</v>
          </cell>
          <cell r="AG31">
            <v>-1.2392495335167999E-2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1.3338063878300499</v>
          </cell>
          <cell r="P32">
            <v>1.3061364087892999</v>
          </cell>
          <cell r="Q32">
            <v>1.3010882903850201</v>
          </cell>
          <cell r="U32">
            <v>5.64895365111567E-3</v>
          </cell>
          <cell r="V32">
            <v>-1.7890425347772399E-2</v>
          </cell>
          <cell r="W32">
            <v>-2.0415803893871199E-2</v>
          </cell>
          <cell r="Y32">
            <v>1.3338063878300499</v>
          </cell>
          <cell r="Z32">
            <v>1.3061364087892999</v>
          </cell>
          <cell r="AA32">
            <v>1.3010882903850201</v>
          </cell>
          <cell r="AE32">
            <v>5.64895365111567E-3</v>
          </cell>
          <cell r="AF32">
            <v>-1.7890425347772399E-2</v>
          </cell>
          <cell r="AG32">
            <v>-2.0415803893871199E-2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1.3338063878300499</v>
          </cell>
          <cell r="P33">
            <v>1.3088208146884499</v>
          </cell>
          <cell r="Q33">
            <v>1.3029176085971199</v>
          </cell>
          <cell r="U33">
            <v>5.4650578340921198E-3</v>
          </cell>
          <cell r="V33">
            <v>-1.54982693955905E-2</v>
          </cell>
          <cell r="W33">
            <v>-1.9370681860972301E-2</v>
          </cell>
          <cell r="Y33">
            <v>1.3338063878300499</v>
          </cell>
          <cell r="Z33">
            <v>1.3088208146884499</v>
          </cell>
          <cell r="AA33">
            <v>1.3029176085971199</v>
          </cell>
          <cell r="AE33">
            <v>5.4650578340921198E-3</v>
          </cell>
          <cell r="AF33">
            <v>-1.54982693955905E-2</v>
          </cell>
          <cell r="AG33">
            <v>-1.9370681860972301E-2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1.3338063878300499</v>
          </cell>
          <cell r="P34">
            <v>1.3116612675060499</v>
          </cell>
          <cell r="Q34">
            <v>1.30481347992938</v>
          </cell>
          <cell r="U34">
            <v>3.0774935733743E-3</v>
          </cell>
          <cell r="V34">
            <v>-1.58327164442916E-2</v>
          </cell>
          <cell r="W34">
            <v>-2.03532427661011E-2</v>
          </cell>
          <cell r="Y34">
            <v>1.3338063878300499</v>
          </cell>
          <cell r="Z34">
            <v>1.3116612675060499</v>
          </cell>
          <cell r="AA34">
            <v>1.30481347992938</v>
          </cell>
          <cell r="AE34">
            <v>3.0774935733743E-3</v>
          </cell>
          <cell r="AF34">
            <v>-1.58327164442916E-2</v>
          </cell>
          <cell r="AG34">
            <v>-2.03532427661011E-2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1.3338063878300499</v>
          </cell>
          <cell r="P35">
            <v>1.3163741061143099</v>
          </cell>
          <cell r="Q35">
            <v>1.30727030274293</v>
          </cell>
          <cell r="U35">
            <v>-7.7731541633349202E-3</v>
          </cell>
          <cell r="V35">
            <v>-2.45154776311561E-2</v>
          </cell>
          <cell r="W35">
            <v>-2.9749851261858098E-2</v>
          </cell>
          <cell r="Y35">
            <v>1.3338063878300499</v>
          </cell>
          <cell r="Z35">
            <v>1.3163741061143099</v>
          </cell>
          <cell r="AA35">
            <v>1.30727030274293</v>
          </cell>
          <cell r="AE35">
            <v>-7.7731541633349202E-3</v>
          </cell>
          <cell r="AF35">
            <v>-2.45154776311561E-2</v>
          </cell>
          <cell r="AG35">
            <v>-2.9749851261858098E-2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1.3338063878300499</v>
          </cell>
          <cell r="P36">
            <v>1.32007171397667</v>
          </cell>
          <cell r="Q36">
            <v>1.30934078260017</v>
          </cell>
          <cell r="U36">
            <v>-2.89464215103681E-3</v>
          </cell>
          <cell r="V36">
            <v>-1.60503748845147E-2</v>
          </cell>
          <cell r="W36">
            <v>-2.2990217706423E-2</v>
          </cell>
          <cell r="Y36">
            <v>1.3338063878300499</v>
          </cell>
          <cell r="Z36">
            <v>1.32007171397667</v>
          </cell>
          <cell r="AA36">
            <v>1.30934078260017</v>
          </cell>
          <cell r="AE36">
            <v>-2.89464215103681E-3</v>
          </cell>
          <cell r="AF36">
            <v>-1.60503748845147E-2</v>
          </cell>
          <cell r="AG36">
            <v>-2.2990217706423E-2</v>
          </cell>
          <cell r="AR36">
            <v>4.8785120122979992E-3</v>
          </cell>
          <cell r="BC36">
            <v>0</v>
          </cell>
          <cell r="BF36">
            <v>4.8785120122979992E-3</v>
          </cell>
        </row>
        <row r="37">
          <cell r="O37">
            <v>1.3338063878300499</v>
          </cell>
          <cell r="P37">
            <v>1.3252874782823501</v>
          </cell>
          <cell r="Q37">
            <v>1.31202377425315</v>
          </cell>
          <cell r="U37">
            <v>-1.33905350715298E-2</v>
          </cell>
          <cell r="V37">
            <v>-2.3741271579719999E-2</v>
          </cell>
          <cell r="W37">
            <v>-3.1903544305943797E-2</v>
          </cell>
          <cell r="Y37">
            <v>1.3338063878300499</v>
          </cell>
          <cell r="Z37">
            <v>1.3252874782823501</v>
          </cell>
          <cell r="AA37">
            <v>1.31202377425315</v>
          </cell>
          <cell r="AE37">
            <v>-1.33905350715298E-2</v>
          </cell>
          <cell r="AF37">
            <v>-2.3741271579719999E-2</v>
          </cell>
          <cell r="AG37">
            <v>-3.1903544305943797E-2</v>
          </cell>
          <cell r="AR37">
            <v>-5.6173809081950105E-3</v>
          </cell>
          <cell r="BC37">
            <v>0</v>
          </cell>
          <cell r="BF37">
            <v>-5.6173809081950105E-3</v>
          </cell>
        </row>
        <row r="38">
          <cell r="O38">
            <v>1.3338063878300499</v>
          </cell>
          <cell r="P38">
            <v>1.33109573385056</v>
          </cell>
          <cell r="Q38">
            <v>1.3153842630087</v>
          </cell>
          <cell r="U38">
            <v>-2.1385258687260499E-2</v>
          </cell>
          <cell r="V38">
            <v>-2.7792658442050401E-2</v>
          </cell>
          <cell r="W38">
            <v>-3.7851248110683897E-2</v>
          </cell>
          <cell r="Y38">
            <v>1.3338063878300499</v>
          </cell>
          <cell r="Z38">
            <v>1.33109573385056</v>
          </cell>
          <cell r="AA38">
            <v>1.3153842630087</v>
          </cell>
          <cell r="AE38">
            <v>-2.1385258687260499E-2</v>
          </cell>
          <cell r="AF38">
            <v>-2.7792658442050401E-2</v>
          </cell>
          <cell r="AG38">
            <v>-3.7851248110683897E-2</v>
          </cell>
          <cell r="AR38">
            <v>-1.361210452392551E-2</v>
          </cell>
          <cell r="BC38">
            <v>0</v>
          </cell>
          <cell r="BF38">
            <v>-1.361210452392551E-2</v>
          </cell>
        </row>
        <row r="39">
          <cell r="O39">
            <v>1.3338063878300499</v>
          </cell>
          <cell r="P39">
            <v>1.33214020434403</v>
          </cell>
          <cell r="Q39">
            <v>1.31627421930563</v>
          </cell>
          <cell r="U39">
            <v>1.36218156183177E-2</v>
          </cell>
          <cell r="V39">
            <v>1.158747830267E-2</v>
          </cell>
          <cell r="W39">
            <v>-2.8614662368466E-4</v>
          </cell>
          <cell r="Y39">
            <v>1.3338063878300499</v>
          </cell>
          <cell r="Z39">
            <v>1.33214020434403</v>
          </cell>
          <cell r="AA39">
            <v>1.31627421930563</v>
          </cell>
          <cell r="AE39">
            <v>1.36218156183177E-2</v>
          </cell>
          <cell r="AF39">
            <v>1.158747830267E-2</v>
          </cell>
          <cell r="AG39">
            <v>-2.8614662368466E-4</v>
          </cell>
          <cell r="AR39">
            <v>2.1394969781652787E-2</v>
          </cell>
          <cell r="BC39">
            <v>0</v>
          </cell>
          <cell r="BF39">
            <v>2.1394969781652787E-2</v>
          </cell>
        </row>
        <row r="40">
          <cell r="O40">
            <v>1.3338063878300499</v>
          </cell>
          <cell r="P40">
            <v>1.3339859917700201</v>
          </cell>
          <cell r="Q40">
            <v>1.3176310329777901</v>
          </cell>
          <cell r="U40">
            <v>2.5018817118014798E-3</v>
          </cell>
          <cell r="V40">
            <v>1.2519064063279499E-3</v>
          </cell>
          <cell r="W40">
            <v>-1.07297341601548E-2</v>
          </cell>
          <cell r="Y40">
            <v>1.3338063878300499</v>
          </cell>
          <cell r="Z40">
            <v>1.3339859917700201</v>
          </cell>
          <cell r="AA40">
            <v>1.3176310329777901</v>
          </cell>
          <cell r="AE40">
            <v>2.5018817118014798E-3</v>
          </cell>
          <cell r="AF40">
            <v>1.2519064063279499E-3</v>
          </cell>
          <cell r="AG40">
            <v>-1.07297341601548E-2</v>
          </cell>
          <cell r="AR40">
            <v>2.1394969781652787E-2</v>
          </cell>
          <cell r="BC40">
            <v>0</v>
          </cell>
          <cell r="BF40">
            <v>2.1394969781652787E-2</v>
          </cell>
        </row>
        <row r="41">
          <cell r="O41">
            <v>1.3338063878300499</v>
          </cell>
          <cell r="P41">
            <v>1.3361380026338701</v>
          </cell>
          <cell r="Q41">
            <v>1.31945703324302</v>
          </cell>
          <cell r="U41">
            <v>-1.8648938022533901E-3</v>
          </cell>
          <cell r="V41">
            <v>-1.7302476869017001E-3</v>
          </cell>
          <cell r="W41">
            <v>-1.4066241944577E-2</v>
          </cell>
          <cell r="Y41">
            <v>1.3338063878300499</v>
          </cell>
          <cell r="Z41">
            <v>1.3361380026338701</v>
          </cell>
          <cell r="AA41">
            <v>1.31945703324302</v>
          </cell>
          <cell r="AE41">
            <v>-1.8648938022533901E-3</v>
          </cell>
          <cell r="AF41">
            <v>-1.7302476869017001E-3</v>
          </cell>
          <cell r="AG41">
            <v>-1.4066241944577E-2</v>
          </cell>
          <cell r="AR41">
            <v>2.1394969781652787E-2</v>
          </cell>
          <cell r="BC41">
            <v>0</v>
          </cell>
          <cell r="BF41">
            <v>2.1394969781652787E-2</v>
          </cell>
        </row>
        <row r="42">
          <cell r="O42">
            <v>1.3338063878300499</v>
          </cell>
          <cell r="P42">
            <v>1.3371269576876399</v>
          </cell>
          <cell r="Q42">
            <v>1.32163168323847</v>
          </cell>
          <cell r="U42">
            <v>-1.7799189851126101E-3</v>
          </cell>
          <cell r="V42">
            <v>-3.3354221549078297E-5</v>
          </cell>
          <cell r="W42">
            <v>-1.25964058628845E-2</v>
          </cell>
          <cell r="Y42">
            <v>1.3338063878300499</v>
          </cell>
          <cell r="Z42">
            <v>1.3371269576876399</v>
          </cell>
          <cell r="AA42">
            <v>1.32163168323847</v>
          </cell>
          <cell r="AE42">
            <v>-1.7799189851126101E-3</v>
          </cell>
          <cell r="AF42">
            <v>-3.3354221549078297E-5</v>
          </cell>
          <cell r="AG42">
            <v>-1.25964058628845E-2</v>
          </cell>
          <cell r="AR42">
            <v>2.1394969781652787E-2</v>
          </cell>
          <cell r="BC42">
            <v>0</v>
          </cell>
          <cell r="BF42">
            <v>2.1394969781652787E-2</v>
          </cell>
        </row>
        <row r="43">
          <cell r="O43">
            <v>1.3338063878300499</v>
          </cell>
          <cell r="P43">
            <v>1.33580276709072</v>
          </cell>
          <cell r="Q43">
            <v>1.3223117908895801</v>
          </cell>
          <cell r="U43">
            <v>1.5497527444074601E-2</v>
          </cell>
          <cell r="V43">
            <v>1.7983977788425299E-2</v>
          </cell>
          <cell r="W43">
            <v>6.3278239350976701E-3</v>
          </cell>
          <cell r="Y43">
            <v>1.3338063878300499</v>
          </cell>
          <cell r="Z43">
            <v>1.33580276709072</v>
          </cell>
          <cell r="AA43">
            <v>1.3223117908895801</v>
          </cell>
          <cell r="AE43">
            <v>1.5497527444074601E-2</v>
          </cell>
          <cell r="AF43">
            <v>1.7983977788425299E-2</v>
          </cell>
          <cell r="AG43">
            <v>6.3278239350976701E-3</v>
          </cell>
          <cell r="AR43">
            <v>2.1394969781652787E-2</v>
          </cell>
          <cell r="BC43">
            <v>0</v>
          </cell>
          <cell r="BF43">
            <v>2.1394969781652787E-2</v>
          </cell>
        </row>
        <row r="44">
          <cell r="O44">
            <v>1.3338063878300499</v>
          </cell>
          <cell r="P44">
            <v>1.3337571755964901</v>
          </cell>
          <cell r="Q44">
            <v>1.3227092215512699</v>
          </cell>
          <cell r="U44">
            <v>1.8580817070813601E-2</v>
          </cell>
          <cell r="V44">
            <v>2.0076451462934901E-2</v>
          </cell>
          <cell r="W44">
            <v>9.9255781657647205E-3</v>
          </cell>
          <cell r="Y44">
            <v>1.3338063878300499</v>
          </cell>
          <cell r="Z44">
            <v>1.3337571755964901</v>
          </cell>
          <cell r="AA44">
            <v>1.3227092215512699</v>
          </cell>
          <cell r="AE44">
            <v>1.8580817070813601E-2</v>
          </cell>
          <cell r="AF44">
            <v>2.0076451462934901E-2</v>
          </cell>
          <cell r="AG44">
            <v>9.9255781657647205E-3</v>
          </cell>
          <cell r="AR44">
            <v>2.1394969781652787E-2</v>
          </cell>
          <cell r="BC44">
            <v>0</v>
          </cell>
          <cell r="BF44">
            <v>2.1394969781652787E-2</v>
          </cell>
        </row>
        <row r="45">
          <cell r="O45">
            <v>1.3338063878300499</v>
          </cell>
          <cell r="P45">
            <v>1.32977030442172</v>
          </cell>
          <cell r="Q45">
            <v>1.3230722052680099</v>
          </cell>
          <cell r="U45">
            <v>2.23350661442238E-2</v>
          </cell>
          <cell r="V45">
            <v>2.22981693787676E-2</v>
          </cell>
          <cell r="W45">
            <v>1.3980339532127E-2</v>
          </cell>
          <cell r="Y45">
            <v>1.3338063878300499</v>
          </cell>
          <cell r="Z45">
            <v>1.32977030442172</v>
          </cell>
          <cell r="AA45">
            <v>1.3230722052680099</v>
          </cell>
          <cell r="AE45">
            <v>2.23350661442238E-2</v>
          </cell>
          <cell r="AF45">
            <v>2.22981693787676E-2</v>
          </cell>
          <cell r="AG45">
            <v>1.3980339532127E-2</v>
          </cell>
          <cell r="AR45">
            <v>2.1394969781652787E-2</v>
          </cell>
          <cell r="BC45">
            <v>0</v>
          </cell>
          <cell r="BF45">
            <v>2.1394969781652787E-2</v>
          </cell>
        </row>
        <row r="46">
          <cell r="O46">
            <v>1.3338063878300499</v>
          </cell>
          <cell r="P46">
            <v>1.3285545998095301</v>
          </cell>
          <cell r="Q46">
            <v>1.3243131568930999</v>
          </cell>
          <cell r="U46">
            <v>6.2351131398841898E-3</v>
          </cell>
          <cell r="V46">
            <v>3.2045366153492499E-3</v>
          </cell>
          <cell r="W46">
            <v>-1.8452266953298999E-3</v>
          </cell>
          <cell r="Y46">
            <v>1.3338063878300499</v>
          </cell>
          <cell r="Z46">
            <v>1.3285545998095301</v>
          </cell>
          <cell r="AA46">
            <v>1.3243131568930999</v>
          </cell>
          <cell r="AE46">
            <v>6.2351131398841898E-3</v>
          </cell>
          <cell r="AF46">
            <v>3.2045366153492499E-3</v>
          </cell>
          <cell r="AG46">
            <v>-1.8452266953298999E-3</v>
          </cell>
          <cell r="AR46">
            <v>2.1394969781652787E-2</v>
          </cell>
          <cell r="BC46">
            <v>0</v>
          </cell>
          <cell r="BF46">
            <v>2.1394969781652787E-2</v>
          </cell>
        </row>
        <row r="47">
          <cell r="O47">
            <v>1.3338063878300499</v>
          </cell>
          <cell r="P47">
            <v>1.3255588276553001</v>
          </cell>
          <cell r="Q47">
            <v>1.3254231529688201</v>
          </cell>
          <cell r="U47">
            <v>9.0202934401419198E-3</v>
          </cell>
          <cell r="V47">
            <v>5.0750772528573504E-3</v>
          </cell>
          <cell r="W47">
            <v>1.87744591995901E-3</v>
          </cell>
          <cell r="Y47">
            <v>1.3338063878300499</v>
          </cell>
          <cell r="Z47">
            <v>1.3255588276553001</v>
          </cell>
          <cell r="AA47">
            <v>1.3254231529688201</v>
          </cell>
          <cell r="AE47">
            <v>9.0202934401419198E-3</v>
          </cell>
          <cell r="AF47">
            <v>5.0750772528573504E-3</v>
          </cell>
          <cell r="AG47">
            <v>1.87744591995901E-3</v>
          </cell>
          <cell r="AR47">
            <v>2.1394969781652787E-2</v>
          </cell>
          <cell r="BC47">
            <v>0</v>
          </cell>
          <cell r="BF47">
            <v>2.1394969781652787E-2</v>
          </cell>
        </row>
        <row r="48">
          <cell r="O48">
            <v>1.3338063878300499</v>
          </cell>
          <cell r="P48">
            <v>1.32101999909312</v>
          </cell>
          <cell r="Q48">
            <v>1.3260578664718401</v>
          </cell>
          <cell r="U48">
            <v>1.2491270984336601E-2</v>
          </cell>
          <cell r="V48">
            <v>6.2885978282120197E-3</v>
          </cell>
          <cell r="W48">
            <v>6.1862397680020401E-3</v>
          </cell>
          <cell r="Y48">
            <v>1.3338063878300499</v>
          </cell>
          <cell r="Z48">
            <v>1.32101999909312</v>
          </cell>
          <cell r="AA48">
            <v>1.3260578664718401</v>
          </cell>
          <cell r="AE48">
            <v>1.2491270984336601E-2</v>
          </cell>
          <cell r="AF48">
            <v>6.2885978282120197E-3</v>
          </cell>
          <cell r="AG48">
            <v>6.1862397680020401E-3</v>
          </cell>
          <cell r="AR48">
            <v>2.1394969781652787E-2</v>
          </cell>
          <cell r="BC48">
            <v>0</v>
          </cell>
          <cell r="BF48">
            <v>2.1394969781652787E-2</v>
          </cell>
        </row>
        <row r="49">
          <cell r="O49">
            <v>1.3338063878300499</v>
          </cell>
          <cell r="P49">
            <v>1.3194479627379501</v>
          </cell>
          <cell r="Q49">
            <v>1.32579408354099</v>
          </cell>
          <cell r="U49">
            <v>2.5641500969097199E-2</v>
          </cell>
          <cell r="V49">
            <v>1.6008865352670199E-2</v>
          </cell>
          <cell r="W49">
            <v>1.9815231252832698E-2</v>
          </cell>
          <cell r="Y49">
            <v>1.3338063878300499</v>
          </cell>
          <cell r="Z49">
            <v>1.3194479627379501</v>
          </cell>
          <cell r="AA49">
            <v>1.32579408354099</v>
          </cell>
          <cell r="AE49">
            <v>2.5641500969097199E-2</v>
          </cell>
          <cell r="AF49">
            <v>1.6008865352670199E-2</v>
          </cell>
          <cell r="AG49">
            <v>1.9815231252832698E-2</v>
          </cell>
          <cell r="AR49">
            <v>2.1394969781652787E-2</v>
          </cell>
          <cell r="BC49">
            <v>0</v>
          </cell>
          <cell r="BF49">
            <v>2.1394969781652787E-2</v>
          </cell>
        </row>
        <row r="50">
          <cell r="O50">
            <v>1.3338063878300499</v>
          </cell>
          <cell r="P50">
            <v>1.3166969325059601</v>
          </cell>
          <cell r="Q50">
            <v>1.32534146213799</v>
          </cell>
          <cell r="U50">
            <v>2.3395721655505901E-2</v>
          </cell>
          <cell r="V50">
            <v>1.2572360331647599E-2</v>
          </cell>
          <cell r="W50">
            <v>1.73705095120745E-2</v>
          </cell>
          <cell r="Y50">
            <v>1.3338063878300499</v>
          </cell>
          <cell r="Z50">
            <v>1.3166969325059601</v>
          </cell>
          <cell r="AA50">
            <v>1.32534146213799</v>
          </cell>
          <cell r="AE50">
            <v>2.3395721655505901E-2</v>
          </cell>
          <cell r="AF50">
            <v>1.2572360331647599E-2</v>
          </cell>
          <cell r="AG50">
            <v>1.73705095120745E-2</v>
          </cell>
          <cell r="AR50">
            <v>2.1394969781652787E-2</v>
          </cell>
          <cell r="BC50">
            <v>2.2457793135913394E-3</v>
          </cell>
          <cell r="BF50">
            <v>2.3640749095244128E-2</v>
          </cell>
        </row>
        <row r="51">
          <cell r="O51">
            <v>1.3338063878300499</v>
          </cell>
          <cell r="P51">
            <v>1.31322853200734</v>
          </cell>
          <cell r="Q51">
            <v>1.3246832673205999</v>
          </cell>
          <cell r="U51">
            <v>2.4433218875301799E-2</v>
          </cell>
          <cell r="V51">
            <v>1.15226951684992E-2</v>
          </cell>
          <cell r="W51">
            <v>1.80665519857055E-2</v>
          </cell>
          <cell r="Y51">
            <v>1.3338063878300499</v>
          </cell>
          <cell r="Z51">
            <v>1.31322853200734</v>
          </cell>
          <cell r="AA51">
            <v>1.3246832673205999</v>
          </cell>
          <cell r="AE51">
            <v>2.4433218875301799E-2</v>
          </cell>
          <cell r="AF51">
            <v>1.15226951684992E-2</v>
          </cell>
          <cell r="AG51">
            <v>1.80665519857055E-2</v>
          </cell>
          <cell r="AR51">
            <v>2.1394969781652787E-2</v>
          </cell>
          <cell r="BC51">
            <v>1.2082820937955379E-3</v>
          </cell>
          <cell r="BF51">
            <v>2.2603251875448326E-2</v>
          </cell>
        </row>
        <row r="52">
          <cell r="O52">
            <v>1.3338063878300499</v>
          </cell>
          <cell r="P52">
            <v>1.30938333543973</v>
          </cell>
          <cell r="Q52">
            <v>1.3232551465636799</v>
          </cell>
          <cell r="U52">
            <v>2.7419751006654999E-2</v>
          </cell>
          <cell r="V52">
            <v>1.1871584099480401E-2</v>
          </cell>
          <cell r="W52">
            <v>2.05563379368385E-2</v>
          </cell>
          <cell r="Y52">
            <v>1.3338063878300499</v>
          </cell>
          <cell r="Z52">
            <v>1.30938333543973</v>
          </cell>
          <cell r="AA52">
            <v>1.3232551465636799</v>
          </cell>
          <cell r="AE52">
            <v>2.7419751006654999E-2</v>
          </cell>
          <cell r="AF52">
            <v>1.1871584099480401E-2</v>
          </cell>
          <cell r="AG52">
            <v>2.05563379368385E-2</v>
          </cell>
          <cell r="AR52">
            <v>2.1394969781652787E-2</v>
          </cell>
          <cell r="BC52">
            <v>-1.7782500375577719E-3</v>
          </cell>
          <cell r="BF52">
            <v>1.9616719744095016E-2</v>
          </cell>
        </row>
        <row r="53">
          <cell r="O53">
            <v>1.3338063878300499</v>
          </cell>
          <cell r="P53">
            <v>1.3085198953002499</v>
          </cell>
          <cell r="Q53">
            <v>1.3221613311954801</v>
          </cell>
          <cell r="U53">
            <v>2.2093844415376599E-2</v>
          </cell>
          <cell r="V53">
            <v>3.6133340908448401E-3</v>
          </cell>
          <cell r="W53">
            <v>1.41517650987148E-2</v>
          </cell>
          <cell r="Y53">
            <v>1.3338063878300499</v>
          </cell>
          <cell r="Z53">
            <v>1.3085198953002499</v>
          </cell>
          <cell r="AA53">
            <v>1.3221613311954801</v>
          </cell>
          <cell r="AE53">
            <v>2.2093844415376599E-2</v>
          </cell>
          <cell r="AF53">
            <v>3.6133340908448401E-3</v>
          </cell>
          <cell r="AG53">
            <v>1.41517650987148E-2</v>
          </cell>
          <cell r="AR53">
            <v>2.1394969781652787E-2</v>
          </cell>
          <cell r="BC53">
            <v>3.5476565537206277E-3</v>
          </cell>
          <cell r="BF53">
            <v>2.4942626335373416E-2</v>
          </cell>
        </row>
        <row r="54">
          <cell r="O54">
            <v>1.3338063878300499</v>
          </cell>
          <cell r="P54">
            <v>1.30741202530656</v>
          </cell>
          <cell r="Q54">
            <v>1.32058460045152</v>
          </cell>
          <cell r="U54">
            <v>2.7078676310425199E-2</v>
          </cell>
          <cell r="V54">
            <v>7.9385234439925002E-3</v>
          </cell>
          <cell r="W54">
            <v>1.8309645593310098E-2</v>
          </cell>
          <cell r="Y54">
            <v>1.3338063878300499</v>
          </cell>
          <cell r="Z54">
            <v>1.30741202530656</v>
          </cell>
          <cell r="AA54">
            <v>1.32058460045152</v>
          </cell>
          <cell r="AE54">
            <v>2.7078676310425199E-2</v>
          </cell>
          <cell r="AF54">
            <v>7.9385234439925002E-3</v>
          </cell>
          <cell r="AG54">
            <v>1.8309645593310098E-2</v>
          </cell>
          <cell r="AR54">
            <v>2.1394969781652787E-2</v>
          </cell>
          <cell r="BC54">
            <v>-1.437175341327875E-3</v>
          </cell>
          <cell r="BF54">
            <v>1.9957794440324913E-2</v>
          </cell>
        </row>
        <row r="55">
          <cell r="O55">
            <v>1.3338063878300499</v>
          </cell>
          <cell r="P55">
            <v>1.30836889154554</v>
          </cell>
          <cell r="Q55">
            <v>1.31906959798363</v>
          </cell>
          <cell r="U55">
            <v>1.5025858602429099E-2</v>
          </cell>
          <cell r="V55">
            <v>-4.961311765644E-3</v>
          </cell>
          <cell r="W55">
            <v>5.0635758877121502E-3</v>
          </cell>
          <cell r="Y55">
            <v>1.3338063878300499</v>
          </cell>
          <cell r="Z55">
            <v>1.30836889154554</v>
          </cell>
          <cell r="AA55">
            <v>1.31906959798363</v>
          </cell>
          <cell r="AE55">
            <v>1.5025858602429099E-2</v>
          </cell>
          <cell r="AF55">
            <v>-4.961311765644E-3</v>
          </cell>
          <cell r="AG55">
            <v>5.0635758877121502E-3</v>
          </cell>
          <cell r="AR55">
            <v>2.1394969781652787E-2</v>
          </cell>
          <cell r="BC55">
            <v>1.0615642366668177E-2</v>
          </cell>
          <cell r="BF55">
            <v>3.201061214832096E-2</v>
          </cell>
        </row>
        <row r="56">
          <cell r="O56">
            <v>1.3338063878300499</v>
          </cell>
          <cell r="P56">
            <v>1.30708520536134</v>
          </cell>
          <cell r="Q56">
            <v>1.31781990258543</v>
          </cell>
          <cell r="U56">
            <v>1.5966739619254201E-2</v>
          </cell>
          <cell r="V56">
            <v>-3.2888203333602799E-3</v>
          </cell>
          <cell r="W56">
            <v>4.8565772806502799E-3</v>
          </cell>
          <cell r="Y56">
            <v>1.3338063878300499</v>
          </cell>
          <cell r="Z56">
            <v>1.30708520536134</v>
          </cell>
          <cell r="AA56">
            <v>1.31781990258543</v>
          </cell>
          <cell r="AE56">
            <v>1.5966739619254201E-2</v>
          </cell>
          <cell r="AF56">
            <v>-3.2888203333602799E-3</v>
          </cell>
          <cell r="AG56">
            <v>4.8565772806502799E-3</v>
          </cell>
          <cell r="AR56">
            <v>2.1394969781652787E-2</v>
          </cell>
          <cell r="BC56">
            <v>9.6747613498430786E-3</v>
          </cell>
          <cell r="BF56">
            <v>3.1069731131495863E-2</v>
          </cell>
        </row>
        <row r="57">
          <cell r="O57">
            <v>1.3338063878300499</v>
          </cell>
          <cell r="P57">
            <v>1.3067992863757301</v>
          </cell>
          <cell r="Q57">
            <v>1.3161790570155201</v>
          </cell>
          <cell r="U57">
            <v>1.11856917349209E-2</v>
          </cell>
          <cell r="V57">
            <v>-9.0514845945931094E-3</v>
          </cell>
          <cell r="W57">
            <v>-8.7232639475000502E-4</v>
          </cell>
          <cell r="Y57">
            <v>1.3338063878300499</v>
          </cell>
          <cell r="Z57">
            <v>1.3067992863757301</v>
          </cell>
          <cell r="AA57">
            <v>1.3161790570155201</v>
          </cell>
          <cell r="AE57">
            <v>1.11856917349209E-2</v>
          </cell>
          <cell r="AF57">
            <v>-9.0514845945931094E-3</v>
          </cell>
          <cell r="AG57">
            <v>-8.7232639475000502E-4</v>
          </cell>
          <cell r="AR57">
            <v>2.1394969781652787E-2</v>
          </cell>
          <cell r="BC57">
            <v>9.6747613498430786E-3</v>
          </cell>
          <cell r="BF57">
            <v>3.1069731131495863E-2</v>
          </cell>
        </row>
        <row r="58">
          <cell r="O58">
            <v>1.3338063878300499</v>
          </cell>
          <cell r="P58">
            <v>1.30607179712055</v>
          </cell>
          <cell r="Q58">
            <v>1.31354589810683</v>
          </cell>
          <cell r="U58">
            <v>1.8029369898270801E-2</v>
          </cell>
          <cell r="V58">
            <v>-2.4265758433202E-3</v>
          </cell>
          <cell r="W58">
            <v>4.72545470688065E-3</v>
          </cell>
          <cell r="Y58">
            <v>1.3338063878300499</v>
          </cell>
          <cell r="Z58">
            <v>1.30607179712055</v>
          </cell>
          <cell r="AA58">
            <v>1.31354589810683</v>
          </cell>
          <cell r="AE58">
            <v>1.8029369898270801E-2</v>
          </cell>
          <cell r="AF58">
            <v>-2.4265758433202E-3</v>
          </cell>
          <cell r="AG58">
            <v>4.72545470688065E-3</v>
          </cell>
          <cell r="AR58">
            <v>2.1394969781652787E-2</v>
          </cell>
          <cell r="BC58">
            <v>9.6747613498430786E-3</v>
          </cell>
          <cell r="BF58">
            <v>3.1069731131495863E-2</v>
          </cell>
        </row>
        <row r="59">
          <cell r="O59">
            <v>1.3338063878300499</v>
          </cell>
          <cell r="P59">
            <v>1.3069370564212901</v>
          </cell>
          <cell r="Q59">
            <v>1.31319250957962</v>
          </cell>
          <cell r="U59">
            <v>1.9007917700266198E-2</v>
          </cell>
          <cell r="V59">
            <v>-2.0048785331639798E-3</v>
          </cell>
          <cell r="W59">
            <v>3.70139019494106E-3</v>
          </cell>
          <cell r="Y59">
            <v>1.3338063878300499</v>
          </cell>
          <cell r="Z59">
            <v>1.3069370564212901</v>
          </cell>
          <cell r="AA59">
            <v>1.31319250957962</v>
          </cell>
          <cell r="AE59">
            <v>1.9007917700266198E-2</v>
          </cell>
          <cell r="AF59">
            <v>-2.0048785331639798E-3</v>
          </cell>
          <cell r="AG59">
            <v>3.70139019494106E-3</v>
          </cell>
          <cell r="AR59">
            <v>2.1394969781652787E-2</v>
          </cell>
          <cell r="BC59">
            <v>9.6747613498430786E-3</v>
          </cell>
          <cell r="BF59">
            <v>3.1069731131495863E-2</v>
          </cell>
        </row>
        <row r="60">
          <cell r="O60">
            <v>1.3338063878300499</v>
          </cell>
          <cell r="P60">
            <v>1.3082174009860901</v>
          </cell>
          <cell r="Q60">
            <v>1.3124571667460301</v>
          </cell>
          <cell r="U60">
            <v>1.3617280867167E-2</v>
          </cell>
          <cell r="V60">
            <v>-6.7332448720897999E-3</v>
          </cell>
          <cell r="W60">
            <v>-1.9583168495747802E-3</v>
          </cell>
          <cell r="Y60">
            <v>1.3338063878300499</v>
          </cell>
          <cell r="Z60">
            <v>1.3082174009860901</v>
          </cell>
          <cell r="AA60">
            <v>1.3124571667460301</v>
          </cell>
          <cell r="AE60">
            <v>1.3617280867167E-2</v>
          </cell>
          <cell r="AF60">
            <v>-6.7332448720897999E-3</v>
          </cell>
          <cell r="AG60">
            <v>-1.9583168495747802E-3</v>
          </cell>
          <cell r="AR60">
            <v>2.1394969781652787E-2</v>
          </cell>
          <cell r="BC60">
            <v>9.6747613498430786E-3</v>
          </cell>
          <cell r="BF60">
            <v>3.1069731131495863E-2</v>
          </cell>
        </row>
        <row r="61">
          <cell r="O61">
            <v>1.3338063878300499</v>
          </cell>
          <cell r="P61">
            <v>1.3074099579526901</v>
          </cell>
          <cell r="Q61">
            <v>1.3103192449800101</v>
          </cell>
          <cell r="U61">
            <v>3.0655947455706101E-2</v>
          </cell>
          <cell r="V61">
            <v>1.12845949836194E-2</v>
          </cell>
          <cell r="W61">
            <v>1.4520227145727999E-2</v>
          </cell>
          <cell r="Y61">
            <v>1.3338063878300499</v>
          </cell>
          <cell r="Z61">
            <v>1.3074099579526901</v>
          </cell>
          <cell r="AA61">
            <v>1.3103192449800101</v>
          </cell>
          <cell r="AE61">
            <v>3.0655947455706101E-2</v>
          </cell>
          <cell r="AF61">
            <v>1.12845949836194E-2</v>
          </cell>
          <cell r="AG61">
            <v>1.4520227145727999E-2</v>
          </cell>
          <cell r="AR61">
            <v>2.1394969781652787E-2</v>
          </cell>
          <cell r="BC61">
            <v>9.6747613498430786E-3</v>
          </cell>
          <cell r="BF61">
            <v>3.1069731131495863E-2</v>
          </cell>
        </row>
        <row r="62">
          <cell r="O62">
            <v>1.3338063878300499</v>
          </cell>
          <cell r="P62">
            <v>1.3075340978446399</v>
          </cell>
          <cell r="Q62">
            <v>1.3084587166421799</v>
          </cell>
          <cell r="U62">
            <v>2.6463616090691599E-2</v>
          </cell>
          <cell r="V62">
            <v>6.4748644647921998E-3</v>
          </cell>
          <cell r="W62">
            <v>8.6976216712098698E-3</v>
          </cell>
          <cell r="Y62">
            <v>1.3338063878300499</v>
          </cell>
          <cell r="Z62">
            <v>1.3075340978446399</v>
          </cell>
          <cell r="AA62">
            <v>1.3084587166421799</v>
          </cell>
          <cell r="AE62">
            <v>2.6463616090691599E-2</v>
          </cell>
          <cell r="AF62">
            <v>6.4748644647921998E-3</v>
          </cell>
          <cell r="AG62">
            <v>8.6976216712098698E-3</v>
          </cell>
          <cell r="AR62">
            <v>2.1394969781652787E-2</v>
          </cell>
          <cell r="BC62">
            <v>9.6747613498430786E-3</v>
          </cell>
          <cell r="BF62">
            <v>3.1069731131495863E-2</v>
          </cell>
        </row>
        <row r="63">
          <cell r="O63">
            <v>1.3338063878300499</v>
          </cell>
          <cell r="P63">
            <v>1.3067789300607699</v>
          </cell>
          <cell r="Q63">
            <v>1.30764941268051</v>
          </cell>
          <cell r="U63">
            <v>2.7898892700128498E-2</v>
          </cell>
          <cell r="V63">
            <v>8.0050875735694308E-3</v>
          </cell>
          <cell r="W63">
            <v>8.7119846498370408E-3</v>
          </cell>
          <cell r="Y63">
            <v>1.3338063878300499</v>
          </cell>
          <cell r="Z63">
            <v>1.3067789300607699</v>
          </cell>
          <cell r="AA63">
            <v>1.30764941268051</v>
          </cell>
          <cell r="AE63">
            <v>2.7898892700128498E-2</v>
          </cell>
          <cell r="AF63">
            <v>8.0050875735694308E-3</v>
          </cell>
          <cell r="AG63">
            <v>8.7119846498370408E-3</v>
          </cell>
          <cell r="AR63">
            <v>2.1394969781652787E-2</v>
          </cell>
          <cell r="BC63">
            <v>9.6747613498430786E-3</v>
          </cell>
          <cell r="BF63">
            <v>3.1069731131495863E-2</v>
          </cell>
        </row>
        <row r="64">
          <cell r="O64">
            <v>1.3338063878300499</v>
          </cell>
          <cell r="P64">
            <v>1.3057381351039801</v>
          </cell>
          <cell r="Q64">
            <v>1.30657508020527</v>
          </cell>
          <cell r="U64">
            <v>3.51283690206248E-2</v>
          </cell>
          <cell r="V64">
            <v>1.46568459262441E-2</v>
          </cell>
          <cell r="W64">
            <v>1.53227526085375E-2</v>
          </cell>
          <cell r="Y64">
            <v>1.3338063878300499</v>
          </cell>
          <cell r="Z64">
            <v>1.3057381351039801</v>
          </cell>
          <cell r="AA64">
            <v>1.30657508020527</v>
          </cell>
          <cell r="AE64">
            <v>3.51283690206248E-2</v>
          </cell>
          <cell r="AF64">
            <v>1.46568459262441E-2</v>
          </cell>
          <cell r="AG64">
            <v>1.53227526085375E-2</v>
          </cell>
          <cell r="AR64">
            <v>2.1394969781652787E-2</v>
          </cell>
          <cell r="BC64">
            <v>9.6747613498430786E-3</v>
          </cell>
          <cell r="BF64">
            <v>3.1069731131495863E-2</v>
          </cell>
        </row>
        <row r="65">
          <cell r="O65">
            <v>1.3338063878300499</v>
          </cell>
          <cell r="P65">
            <v>1.3039874055574801</v>
          </cell>
          <cell r="Q65">
            <v>1.30617814855151</v>
          </cell>
          <cell r="U65">
            <v>2.8439957198234399E-2</v>
          </cell>
          <cell r="V65">
            <v>7.1716584381687903E-3</v>
          </cell>
          <cell r="W65">
            <v>7.8124277953956498E-3</v>
          </cell>
          <cell r="Y65">
            <v>1.3338063878300499</v>
          </cell>
          <cell r="Z65">
            <v>1.3039874055574801</v>
          </cell>
          <cell r="AA65">
            <v>1.30617814855151</v>
          </cell>
          <cell r="AE65">
            <v>2.8439957198234399E-2</v>
          </cell>
          <cell r="AF65">
            <v>7.1716584381687903E-3</v>
          </cell>
          <cell r="AG65">
            <v>7.8124277953956498E-3</v>
          </cell>
          <cell r="AR65">
            <v>2.1394969781652787E-2</v>
          </cell>
          <cell r="BC65">
            <v>1.6363173172233576E-2</v>
          </cell>
          <cell r="BF65">
            <v>3.775814295388636E-2</v>
          </cell>
        </row>
        <row r="66">
          <cell r="O66">
            <v>1.3338063878300499</v>
          </cell>
          <cell r="P66">
            <v>1.30235279998352</v>
          </cell>
          <cell r="Q66">
            <v>1.30471900267243</v>
          </cell>
          <cell r="U66">
            <v>2.84973607164925E-2</v>
          </cell>
          <cell r="V66">
            <v>5.8873654585700399E-3</v>
          </cell>
          <cell r="W66">
            <v>7.5659896400918098E-3</v>
          </cell>
          <cell r="Y66">
            <v>1.3338063878300499</v>
          </cell>
          <cell r="Z66">
            <v>1.30235279998352</v>
          </cell>
          <cell r="AA66">
            <v>1.30471900267243</v>
          </cell>
          <cell r="AE66">
            <v>2.84973607164925E-2</v>
          </cell>
          <cell r="AF66">
            <v>5.8873654585700399E-3</v>
          </cell>
          <cell r="AG66">
            <v>7.5659896400918098E-3</v>
          </cell>
          <cell r="AR66">
            <v>2.1394969781652787E-2</v>
          </cell>
          <cell r="BC66">
            <v>1.6305769653975455E-2</v>
          </cell>
          <cell r="BF66">
            <v>3.7700739435628239E-2</v>
          </cell>
        </row>
        <row r="67">
          <cell r="O67">
            <v>1.3338063878300499</v>
          </cell>
          <cell r="P67">
            <v>1.30128850414718</v>
          </cell>
          <cell r="Q67">
            <v>1.3040438952614599</v>
          </cell>
          <cell r="U67">
            <v>1.92875672586976E-2</v>
          </cell>
          <cell r="V67">
            <v>-4.5767583316956304E-3</v>
          </cell>
          <cell r="W67">
            <v>-2.7615391756875898E-3</v>
          </cell>
          <cell r="Y67">
            <v>1.3338063878300499</v>
          </cell>
          <cell r="Z67">
            <v>1.30128850414718</v>
          </cell>
          <cell r="AA67">
            <v>1.3040438952614599</v>
          </cell>
          <cell r="AE67">
            <v>1.92875672586976E-2</v>
          </cell>
          <cell r="AF67">
            <v>-4.5767583316956304E-3</v>
          </cell>
          <cell r="AG67">
            <v>-2.7615391756875898E-3</v>
          </cell>
          <cell r="AR67">
            <v>2.1394969781652787E-2</v>
          </cell>
          <cell r="BC67">
            <v>2.5515563111770251E-2</v>
          </cell>
          <cell r="BF67">
            <v>4.6910532893423035E-2</v>
          </cell>
        </row>
        <row r="68">
          <cell r="O68">
            <v>1.3338063878300499</v>
          </cell>
          <cell r="P68">
            <v>1.30150332895493</v>
          </cell>
          <cell r="Q68">
            <v>1.30378756303774</v>
          </cell>
          <cell r="U68">
            <v>1.6390796747102501E-2</v>
          </cell>
          <cell r="V68">
            <v>-8.2910730218458996E-3</v>
          </cell>
          <cell r="W68">
            <v>-6.1758787055926096E-3</v>
          </cell>
          <cell r="Y68">
            <v>1.3338063878300499</v>
          </cell>
          <cell r="Z68">
            <v>1.30150332895493</v>
          </cell>
          <cell r="AA68">
            <v>1.30378756303774</v>
          </cell>
          <cell r="AE68">
            <v>1.6390796747102501E-2</v>
          </cell>
          <cell r="AF68">
            <v>-8.2910730218458996E-3</v>
          </cell>
          <cell r="AG68">
            <v>-6.1758787055926096E-3</v>
          </cell>
          <cell r="AR68">
            <v>2.1394969781652787E-2</v>
          </cell>
          <cell r="BC68">
            <v>2.5515563111770251E-2</v>
          </cell>
          <cell r="BF68">
            <v>4.6910532893423035E-2</v>
          </cell>
        </row>
        <row r="69">
          <cell r="O69">
            <v>1.3338063878300499</v>
          </cell>
          <cell r="P69">
            <v>1.30220053033719</v>
          </cell>
          <cell r="Q69">
            <v>1.30456879337924</v>
          </cell>
          <cell r="U69">
            <v>1.3694594966122299E-2</v>
          </cell>
          <cell r="V69">
            <v>-1.08222022023132E-2</v>
          </cell>
          <cell r="W69">
            <v>-9.0686669827765801E-3</v>
          </cell>
          <cell r="Y69">
            <v>1.3338063878300499</v>
          </cell>
          <cell r="Z69">
            <v>1.30220053033719</v>
          </cell>
          <cell r="AA69">
            <v>1.30456879337924</v>
          </cell>
          <cell r="AE69">
            <v>1.3694594966122299E-2</v>
          </cell>
          <cell r="AF69">
            <v>-1.08222022023132E-2</v>
          </cell>
          <cell r="AG69">
            <v>-9.0686669827765801E-3</v>
          </cell>
          <cell r="AR69">
            <v>2.1394969781652787E-2</v>
          </cell>
          <cell r="BC69">
            <v>2.5515563111770251E-2</v>
          </cell>
          <cell r="BF69">
            <v>4.6910532893423035E-2</v>
          </cell>
        </row>
        <row r="70">
          <cell r="O70">
            <v>1.3338063878300499</v>
          </cell>
          <cell r="P70">
            <v>1.3021559185818901</v>
          </cell>
          <cell r="Q70">
            <v>1.3051866597839901</v>
          </cell>
          <cell r="U70">
            <v>1.3956393574121199E-2</v>
          </cell>
          <cell r="V70">
            <v>-1.00248577437886E-2</v>
          </cell>
          <cell r="W70">
            <v>-8.2078471843385608E-3</v>
          </cell>
          <cell r="Y70">
            <v>1.3338063878300499</v>
          </cell>
          <cell r="Z70">
            <v>1.3021559185818901</v>
          </cell>
          <cell r="AA70">
            <v>1.3051866597839901</v>
          </cell>
          <cell r="AE70">
            <v>1.3956393574121199E-2</v>
          </cell>
          <cell r="AF70">
            <v>-1.00248577437886E-2</v>
          </cell>
          <cell r="AG70">
            <v>-8.2078471843385608E-3</v>
          </cell>
          <cell r="AR70">
            <v>2.1394969781652787E-2</v>
          </cell>
          <cell r="BC70">
            <v>2.5515563111770251E-2</v>
          </cell>
          <cell r="BF70">
            <v>4.6910532893423035E-2</v>
          </cell>
        </row>
        <row r="71">
          <cell r="O71">
            <v>1.3338063878300499</v>
          </cell>
          <cell r="P71">
            <v>1.3056116068710399</v>
          </cell>
          <cell r="Q71">
            <v>1.30651078241187</v>
          </cell>
          <cell r="U71">
            <v>4.2915444382626696E-3</v>
          </cell>
          <cell r="V71">
            <v>-1.9723966211023101E-2</v>
          </cell>
          <cell r="W71">
            <v>-1.73991910991999E-2</v>
          </cell>
          <cell r="Y71">
            <v>1.3338063878300499</v>
          </cell>
          <cell r="Z71">
            <v>1.3056116068710399</v>
          </cell>
          <cell r="AA71">
            <v>1.30651078241187</v>
          </cell>
          <cell r="AE71">
            <v>4.2915444382626696E-3</v>
          </cell>
          <cell r="AF71">
            <v>-1.9723966211023101E-2</v>
          </cell>
          <cell r="AG71">
            <v>-1.73991910991999E-2</v>
          </cell>
          <cell r="AR71">
            <v>2.1394969781652787E-2</v>
          </cell>
          <cell r="BC71">
            <v>2.5515563111770251E-2</v>
          </cell>
          <cell r="BF71">
            <v>4.6910532893423035E-2</v>
          </cell>
        </row>
        <row r="72">
          <cell r="O72">
            <v>1.3338063878300499</v>
          </cell>
          <cell r="P72">
            <v>1.30741403273399</v>
          </cell>
          <cell r="Q72">
            <v>1.30747406528931</v>
          </cell>
          <cell r="U72">
            <v>1.26832166014114E-2</v>
          </cell>
          <cell r="V72">
            <v>-8.6819885446525E-3</v>
          </cell>
          <cell r="W72">
            <v>-7.99352495655253E-3</v>
          </cell>
          <cell r="Y72">
            <v>1.3338063878300499</v>
          </cell>
          <cell r="Z72">
            <v>1.30741403273399</v>
          </cell>
          <cell r="AA72">
            <v>1.30747406528931</v>
          </cell>
          <cell r="AE72">
            <v>1.26832166014114E-2</v>
          </cell>
          <cell r="AF72">
            <v>-8.6819885446525E-3</v>
          </cell>
          <cell r="AG72">
            <v>-7.99352495655253E-3</v>
          </cell>
          <cell r="AR72">
            <v>2.1394969781652787E-2</v>
          </cell>
          <cell r="BC72">
            <v>2.5515563111770251E-2</v>
          </cell>
          <cell r="BF72">
            <v>4.6910532893423035E-2</v>
          </cell>
        </row>
        <row r="73">
          <cell r="O73">
            <v>1.3338063878300499</v>
          </cell>
          <cell r="P73">
            <v>1.30944747928079</v>
          </cell>
          <cell r="Q73">
            <v>1.30811320467078</v>
          </cell>
          <cell r="U73">
            <v>1.23437440160259E-2</v>
          </cell>
          <cell r="V73">
            <v>-7.6418909325692503E-3</v>
          </cell>
          <cell r="W73">
            <v>-7.5959749674616803E-3</v>
          </cell>
          <cell r="Y73">
            <v>1.3338063878300499</v>
          </cell>
          <cell r="Z73">
            <v>1.30944747928079</v>
          </cell>
          <cell r="AA73">
            <v>1.30811320467078</v>
          </cell>
          <cell r="AE73">
            <v>1.23437440160259E-2</v>
          </cell>
          <cell r="AF73">
            <v>-7.6418909325692503E-3</v>
          </cell>
          <cell r="AG73">
            <v>-7.5959749674616803E-3</v>
          </cell>
          <cell r="AR73">
            <v>2.1394969781652787E-2</v>
          </cell>
          <cell r="BC73">
            <v>2.5515563111770251E-2</v>
          </cell>
          <cell r="BF73">
            <v>4.6910532893423035E-2</v>
          </cell>
        </row>
        <row r="74">
          <cell r="O74">
            <v>1.3338063878300499</v>
          </cell>
          <cell r="P74">
            <v>1.3123052555392201</v>
          </cell>
          <cell r="Q74">
            <v>1.3090216953216001</v>
          </cell>
          <cell r="U74">
            <v>1.31792757026278E-2</v>
          </cell>
          <cell r="V74">
            <v>-5.2522479972533596E-3</v>
          </cell>
          <cell r="W74">
            <v>-6.2717274949022203E-3</v>
          </cell>
          <cell r="Y74">
            <v>1.3338063878300499</v>
          </cell>
          <cell r="Z74">
            <v>1.3123052555392201</v>
          </cell>
          <cell r="AA74">
            <v>1.3090216953216001</v>
          </cell>
          <cell r="AE74">
            <v>1.31792757026278E-2</v>
          </cell>
          <cell r="AF74">
            <v>-5.2522479972533596E-3</v>
          </cell>
          <cell r="AG74">
            <v>-6.2717274949022203E-3</v>
          </cell>
          <cell r="AR74">
            <v>2.1394969781652787E-2</v>
          </cell>
          <cell r="BC74">
            <v>2.5515563111770251E-2</v>
          </cell>
          <cell r="BF74">
            <v>4.6910532893423035E-2</v>
          </cell>
        </row>
        <row r="75">
          <cell r="O75">
            <v>1.3338063878300499</v>
          </cell>
          <cell r="P75">
            <v>1.31468006535496</v>
          </cell>
          <cell r="Q75">
            <v>1.30933373545622</v>
          </cell>
          <cell r="U75">
            <v>1.0287325258744999E-2</v>
          </cell>
          <cell r="V75">
            <v>-5.9641473994737999E-3</v>
          </cell>
          <cell r="W75">
            <v>-8.4694143856795696E-3</v>
          </cell>
          <cell r="Y75">
            <v>1.3338063878300499</v>
          </cell>
          <cell r="Z75">
            <v>1.31468006535496</v>
          </cell>
          <cell r="AA75">
            <v>1.30933373545622</v>
          </cell>
          <cell r="AE75">
            <v>1.0287325258744999E-2</v>
          </cell>
          <cell r="AF75">
            <v>-5.9641473994737999E-3</v>
          </cell>
          <cell r="AG75">
            <v>-8.4694143856795696E-3</v>
          </cell>
          <cell r="AR75">
            <v>2.1394969781652787E-2</v>
          </cell>
          <cell r="BC75">
            <v>2.5515563111770251E-2</v>
          </cell>
          <cell r="BF75">
            <v>4.6910532893423035E-2</v>
          </cell>
        </row>
        <row r="76">
          <cell r="O76">
            <v>1.3338063878300499</v>
          </cell>
          <cell r="P76">
            <v>1.31555885533798</v>
          </cell>
          <cell r="Q76">
            <v>1.30895582766075</v>
          </cell>
          <cell r="U76">
            <v>2.1741189585691101E-2</v>
          </cell>
          <cell r="V76">
            <v>7.2977289051345401E-3</v>
          </cell>
          <cell r="W76">
            <v>3.22279812916145E-3</v>
          </cell>
          <cell r="Y76">
            <v>1.3338063878300499</v>
          </cell>
          <cell r="Z76">
            <v>1.31555885533798</v>
          </cell>
          <cell r="AA76">
            <v>1.30895582766075</v>
          </cell>
          <cell r="AE76">
            <v>2.1741189585691101E-2</v>
          </cell>
          <cell r="AF76">
            <v>7.2977289051345401E-3</v>
          </cell>
          <cell r="AG76">
            <v>3.22279812916145E-3</v>
          </cell>
          <cell r="AR76">
            <v>2.1394969781652787E-2</v>
          </cell>
          <cell r="BC76">
            <v>2.5515563111770251E-2</v>
          </cell>
          <cell r="BF76">
            <v>4.6910532893423035E-2</v>
          </cell>
        </row>
        <row r="77">
          <cell r="O77">
            <v>1.3338063878300499</v>
          </cell>
          <cell r="P77">
            <v>1.3142261297436</v>
          </cell>
          <cell r="Q77">
            <v>1.30775731694539</v>
          </cell>
          <cell r="U77">
            <v>2.9526291420611198E-2</v>
          </cell>
          <cell r="V77">
            <v>1.5751051416741799E-2</v>
          </cell>
          <cell r="W77">
            <v>1.0719232275512299E-2</v>
          </cell>
          <cell r="Y77">
            <v>1.3338063878300499</v>
          </cell>
          <cell r="Z77">
            <v>1.3142261297436</v>
          </cell>
          <cell r="AA77">
            <v>1.30775731694539</v>
          </cell>
          <cell r="AE77">
            <v>2.9526291420611198E-2</v>
          </cell>
          <cell r="AF77">
            <v>1.5751051416741799E-2</v>
          </cell>
          <cell r="AG77">
            <v>1.0719232275512299E-2</v>
          </cell>
          <cell r="AR77">
            <v>2.1394969781652787E-2</v>
          </cell>
          <cell r="BC77">
            <v>2.5515563111770251E-2</v>
          </cell>
          <cell r="BF77">
            <v>4.6910532893423035E-2</v>
          </cell>
        </row>
        <row r="78">
          <cell r="O78">
            <v>1.3338063878300499</v>
          </cell>
          <cell r="P78">
            <v>1.3124211191181601</v>
          </cell>
          <cell r="Q78">
            <v>1.3069622240365499</v>
          </cell>
          <cell r="U78">
            <v>3.0242712308550301E-2</v>
          </cell>
          <cell r="V78">
            <v>1.5453909814945E-2</v>
          </cell>
          <cell r="W78">
            <v>1.05196102248969E-2</v>
          </cell>
          <cell r="Y78">
            <v>1.3338063878300499</v>
          </cell>
          <cell r="Z78">
            <v>1.3124211191181601</v>
          </cell>
          <cell r="AA78">
            <v>1.3069622240365499</v>
          </cell>
          <cell r="AE78">
            <v>3.0242712308550301E-2</v>
          </cell>
          <cell r="AF78">
            <v>1.5453909814945E-2</v>
          </cell>
          <cell r="AG78">
            <v>1.05196102248969E-2</v>
          </cell>
          <cell r="AR78">
            <v>2.1394969781652787E-2</v>
          </cell>
          <cell r="BC78">
            <v>2.5515563111770251E-2</v>
          </cell>
          <cell r="BF78">
            <v>4.6910532893423035E-2</v>
          </cell>
        </row>
        <row r="79">
          <cell r="O79">
            <v>1.3338063878300499</v>
          </cell>
          <cell r="P79">
            <v>1.31038123653262</v>
          </cell>
          <cell r="Q79">
            <v>1.3062908834349101</v>
          </cell>
          <cell r="U79">
            <v>2.9320622845618701E-2</v>
          </cell>
          <cell r="V79">
            <v>1.31574364027805E-2</v>
          </cell>
          <cell r="W79">
            <v>8.9893538661384997E-3</v>
          </cell>
          <cell r="Y79">
            <v>1.3338063878300499</v>
          </cell>
          <cell r="Z79">
            <v>1.31038123653262</v>
          </cell>
          <cell r="AA79">
            <v>1.3062908834349101</v>
          </cell>
          <cell r="AE79">
            <v>2.9320622845618701E-2</v>
          </cell>
          <cell r="AF79">
            <v>1.31574364027805E-2</v>
          </cell>
          <cell r="AG79">
            <v>8.9893538661384997E-3</v>
          </cell>
          <cell r="AR79">
            <v>2.1394969781652787E-2</v>
          </cell>
          <cell r="BC79">
            <v>2.5515563111770251E-2</v>
          </cell>
          <cell r="BF79">
            <v>4.6910532893423035E-2</v>
          </cell>
        </row>
        <row r="80">
          <cell r="O80">
            <v>1.3338063878300499</v>
          </cell>
          <cell r="P80">
            <v>1.30833536205223</v>
          </cell>
          <cell r="Q80">
            <v>1.30524564031706</v>
          </cell>
          <cell r="U80">
            <v>2.96328183288679E-2</v>
          </cell>
          <cell r="V80">
            <v>1.19141330567349E-2</v>
          </cell>
          <cell r="W80">
            <v>8.7877524925196494E-3</v>
          </cell>
          <cell r="Y80">
            <v>1.3338063878300499</v>
          </cell>
          <cell r="Z80">
            <v>1.30833536205223</v>
          </cell>
          <cell r="AA80">
            <v>1.30524564031706</v>
          </cell>
          <cell r="AE80">
            <v>2.96328183288679E-2</v>
          </cell>
          <cell r="AF80">
            <v>1.19141330567349E-2</v>
          </cell>
          <cell r="AG80">
            <v>8.7877524925196494E-3</v>
          </cell>
          <cell r="AR80">
            <v>2.1394969781652787E-2</v>
          </cell>
          <cell r="BC80">
            <v>2.5515563111770251E-2</v>
          </cell>
          <cell r="BF80">
            <v>4.6910532893423035E-2</v>
          </cell>
        </row>
        <row r="81">
          <cell r="O81">
            <v>1.3338063878300499</v>
          </cell>
          <cell r="P81">
            <v>1.30392216884114</v>
          </cell>
          <cell r="Q81">
            <v>1.3047668878560901</v>
          </cell>
          <cell r="U81">
            <v>3.80856988478845E-2</v>
          </cell>
          <cell r="V81">
            <v>1.8804511625194399E-2</v>
          </cell>
          <cell r="W81">
            <v>1.6440151636568701E-2</v>
          </cell>
          <cell r="Y81">
            <v>1.3338063878300499</v>
          </cell>
          <cell r="Z81">
            <v>1.30392216884114</v>
          </cell>
          <cell r="AA81">
            <v>1.3047668878560901</v>
          </cell>
          <cell r="AE81">
            <v>3.80856988478845E-2</v>
          </cell>
          <cell r="AF81">
            <v>1.8804511625194399E-2</v>
          </cell>
          <cell r="AG81">
            <v>1.6440151636568701E-2</v>
          </cell>
          <cell r="AR81">
            <v>2.1394969781652787E-2</v>
          </cell>
          <cell r="BC81">
            <v>2.5515563111770251E-2</v>
          </cell>
          <cell r="BF81">
            <v>4.6910532893423035E-2</v>
          </cell>
        </row>
        <row r="82">
          <cell r="O82">
            <v>1.3338063878300499</v>
          </cell>
          <cell r="P82">
            <v>1.3018876858161099</v>
          </cell>
          <cell r="Q82">
            <v>1.3046508592750501</v>
          </cell>
          <cell r="U82">
            <v>2.8251681500560899E-2</v>
          </cell>
          <cell r="V82">
            <v>5.5916563512710899E-3</v>
          </cell>
          <cell r="W82">
            <v>6.23927592272431E-3</v>
          </cell>
          <cell r="Y82">
            <v>1.3338063878300499</v>
          </cell>
          <cell r="Z82">
            <v>1.3018876858161099</v>
          </cell>
          <cell r="AA82">
            <v>1.3046508592750501</v>
          </cell>
          <cell r="AE82">
            <v>2.8251681500560899E-2</v>
          </cell>
          <cell r="AF82">
            <v>5.5916563512710899E-3</v>
          </cell>
          <cell r="AG82">
            <v>6.23927592272431E-3</v>
          </cell>
          <cell r="AR82">
            <v>2.1394969781652787E-2</v>
          </cell>
          <cell r="BC82">
            <v>3.5349580459094053E-2</v>
          </cell>
          <cell r="BF82">
            <v>5.6744550240746837E-2</v>
          </cell>
        </row>
        <row r="83">
          <cell r="O83">
            <v>1.3338063878300499</v>
          </cell>
          <cell r="P83">
            <v>1.2992793115547301</v>
          </cell>
          <cell r="Q83">
            <v>1.30436339541776</v>
          </cell>
          <cell r="U83">
            <v>3.2341122769625801E-2</v>
          </cell>
          <cell r="V83">
            <v>8.1195996201861003E-3</v>
          </cell>
          <cell r="W83">
            <v>1.02397865625378E-2</v>
          </cell>
          <cell r="Y83">
            <v>1.3338063878300499</v>
          </cell>
          <cell r="Z83">
            <v>1.2992793115547301</v>
          </cell>
          <cell r="AA83">
            <v>1.30436339541776</v>
          </cell>
          <cell r="AE83">
            <v>3.2341122769625801E-2</v>
          </cell>
          <cell r="AF83">
            <v>8.1195996201861003E-3</v>
          </cell>
          <cell r="AG83">
            <v>1.02397865625378E-2</v>
          </cell>
          <cell r="AR83">
            <v>2.1394969781652787E-2</v>
          </cell>
          <cell r="BC83">
            <v>3.1260139190029054E-2</v>
          </cell>
          <cell r="BF83">
            <v>5.2655108971681838E-2</v>
          </cell>
        </row>
        <row r="84">
          <cell r="O84">
            <v>1.3338063878300499</v>
          </cell>
          <cell r="P84">
            <v>1.2958655657915501</v>
          </cell>
          <cell r="Q84">
            <v>1.3040854106653801</v>
          </cell>
          <cell r="U84">
            <v>3.9455035507435003E-2</v>
          </cell>
          <cell r="V84">
            <v>1.32279701238317E-2</v>
          </cell>
          <cell r="W84">
            <v>1.7133337255225999E-2</v>
          </cell>
          <cell r="Y84">
            <v>1.3338063878300499</v>
          </cell>
          <cell r="Z84">
            <v>1.2958655657915501</v>
          </cell>
          <cell r="AA84">
            <v>1.3040854106653801</v>
          </cell>
          <cell r="AE84">
            <v>3.9455035507435003E-2</v>
          </cell>
          <cell r="AF84">
            <v>1.32279701238317E-2</v>
          </cell>
          <cell r="AG84">
            <v>1.7133337255225999E-2</v>
          </cell>
          <cell r="AR84">
            <v>2.1394969781652787E-2</v>
          </cell>
          <cell r="BC84">
            <v>2.4146226452220046E-2</v>
          </cell>
          <cell r="BF84">
            <v>4.554119623387283E-2</v>
          </cell>
        </row>
        <row r="85">
          <cell r="O85">
            <v>1.3338063878300499</v>
          </cell>
          <cell r="P85">
            <v>1.29243167502756</v>
          </cell>
          <cell r="Q85">
            <v>1.30355587019126</v>
          </cell>
          <cell r="U85">
            <v>3.6642862535098103E-2</v>
          </cell>
          <cell r="V85">
            <v>7.7849245848060399E-3</v>
          </cell>
          <cell r="W85">
            <v>1.4108022470194499E-2</v>
          </cell>
          <cell r="Y85">
            <v>1.3338063878300499</v>
          </cell>
          <cell r="Z85">
            <v>1.29243167502756</v>
          </cell>
          <cell r="AA85">
            <v>1.30355587019126</v>
          </cell>
          <cell r="AE85">
            <v>3.6642862535098103E-2</v>
          </cell>
          <cell r="AF85">
            <v>7.7849245848060399E-3</v>
          </cell>
          <cell r="AG85">
            <v>1.4108022470194499E-2</v>
          </cell>
          <cell r="AR85">
            <v>2.1394969781652787E-2</v>
          </cell>
          <cell r="BC85">
            <v>2.6958399424556564E-2</v>
          </cell>
          <cell r="BF85">
            <v>4.8353369206209348E-2</v>
          </cell>
        </row>
        <row r="86">
          <cell r="O86">
            <v>1.3338063878300499</v>
          </cell>
          <cell r="P86">
            <v>1.2913014461891399</v>
          </cell>
          <cell r="Q86">
            <v>1.3034301507635599</v>
          </cell>
          <cell r="U86">
            <v>3.0438860594814598E-2</v>
          </cell>
          <cell r="V86">
            <v>-1.07247645086305E-3</v>
          </cell>
          <cell r="W86">
            <v>7.4978753401632502E-3</v>
          </cell>
          <cell r="Y86">
            <v>1.3338063878300499</v>
          </cell>
          <cell r="Z86">
            <v>1.2913014461891399</v>
          </cell>
          <cell r="AA86">
            <v>1.3034301507635599</v>
          </cell>
          <cell r="AE86">
            <v>3.0438860594814598E-2</v>
          </cell>
          <cell r="AF86">
            <v>-1.07247645086305E-3</v>
          </cell>
          <cell r="AG86">
            <v>7.4978753401632502E-3</v>
          </cell>
          <cell r="AR86">
            <v>2.1394969781652787E-2</v>
          </cell>
          <cell r="BC86">
            <v>3.3162401364840263E-2</v>
          </cell>
          <cell r="BF86">
            <v>5.4557371146493047E-2</v>
          </cell>
        </row>
        <row r="87">
          <cell r="O87">
            <v>1.3338063878300499</v>
          </cell>
          <cell r="P87">
            <v>1.2934147746191</v>
          </cell>
          <cell r="Q87">
            <v>1.3038204521813499</v>
          </cell>
          <cell r="U87">
            <v>1.33388759451423E-2</v>
          </cell>
          <cell r="V87">
            <v>-1.9047341637716798E-2</v>
          </cell>
          <cell r="W87">
            <v>-9.6985574122511794E-3</v>
          </cell>
          <cell r="Y87">
            <v>1.3338063878300499</v>
          </cell>
          <cell r="Z87">
            <v>1.2934147746191</v>
          </cell>
          <cell r="AA87">
            <v>1.3038204521813499</v>
          </cell>
          <cell r="AE87">
            <v>1.33388759451423E-2</v>
          </cell>
          <cell r="AF87">
            <v>-1.9047341637716798E-2</v>
          </cell>
          <cell r="AG87">
            <v>-9.6985574122511794E-3</v>
          </cell>
          <cell r="AR87">
            <v>2.1394969781652787E-2</v>
          </cell>
          <cell r="BC87">
            <v>5.026238601451237E-2</v>
          </cell>
          <cell r="BF87">
            <v>7.1657355796165154E-2</v>
          </cell>
        </row>
        <row r="88">
          <cell r="O88">
            <v>1.3338063878300499</v>
          </cell>
          <cell r="P88">
            <v>1.2952085568048901</v>
          </cell>
          <cell r="Q88">
            <v>1.30381483796153</v>
          </cell>
          <cell r="U88">
            <v>1.64763750424856E-2</v>
          </cell>
          <cell r="V88">
            <v>-1.4274592307581199E-2</v>
          </cell>
          <cell r="W88">
            <v>-6.2616613790973897E-3</v>
          </cell>
          <cell r="Y88">
            <v>1.3338063878300499</v>
          </cell>
          <cell r="Z88">
            <v>1.2952085568048901</v>
          </cell>
          <cell r="AA88">
            <v>1.30381483796153</v>
          </cell>
          <cell r="AE88">
            <v>1.64763750424856E-2</v>
          </cell>
          <cell r="AF88">
            <v>-1.4274592307581199E-2</v>
          </cell>
          <cell r="AG88">
            <v>-6.2616613790973897E-3</v>
          </cell>
          <cell r="AR88">
            <v>2.1394969781652787E-2</v>
          </cell>
          <cell r="BC88">
            <v>5.026238601451237E-2</v>
          </cell>
          <cell r="BF88">
            <v>7.1657355796165154E-2</v>
          </cell>
        </row>
        <row r="89">
          <cell r="O89">
            <v>1.3338063878300499</v>
          </cell>
          <cell r="P89">
            <v>1.2976617311415199</v>
          </cell>
          <cell r="Q89">
            <v>1.3040214838370701</v>
          </cell>
          <cell r="U89">
            <v>1.05582039973249E-2</v>
          </cell>
          <cell r="V89">
            <v>-1.8806866493105302E-2</v>
          </cell>
          <cell r="W89">
            <v>-1.2184138409719899E-2</v>
          </cell>
          <cell r="Y89">
            <v>1.3338063878300499</v>
          </cell>
          <cell r="Z89">
            <v>1.2976617311415199</v>
          </cell>
          <cell r="AA89">
            <v>1.3040214838370701</v>
          </cell>
          <cell r="AE89">
            <v>1.05582039973249E-2</v>
          </cell>
          <cell r="AF89">
            <v>-1.8806866493105302E-2</v>
          </cell>
          <cell r="AG89">
            <v>-1.2184138409719899E-2</v>
          </cell>
          <cell r="AR89">
            <v>2.1394969781652787E-2</v>
          </cell>
          <cell r="BC89">
            <v>5.026238601451237E-2</v>
          </cell>
          <cell r="BF89">
            <v>7.1657355796165154E-2</v>
          </cell>
        </row>
        <row r="90">
          <cell r="O90">
            <v>1.3338063878300499</v>
          </cell>
          <cell r="P90">
            <v>1.30138476227039</v>
          </cell>
          <cell r="Q90">
            <v>1.30486006216131</v>
          </cell>
          <cell r="U90">
            <v>1.28606759322331E-3</v>
          </cell>
          <cell r="V90">
            <v>-2.6186756239115799E-2</v>
          </cell>
          <cell r="W90">
            <v>-2.1297794103777998E-2</v>
          </cell>
          <cell r="Y90">
            <v>1.3338063878300499</v>
          </cell>
          <cell r="Z90">
            <v>1.30138476227039</v>
          </cell>
          <cell r="AA90">
            <v>1.30486006216131</v>
          </cell>
          <cell r="AE90">
            <v>1.28606759322331E-3</v>
          </cell>
          <cell r="AF90">
            <v>-2.6186756239115799E-2</v>
          </cell>
          <cell r="AG90">
            <v>-2.1297794103777998E-2</v>
          </cell>
          <cell r="AR90">
            <v>2.1394969781652787E-2</v>
          </cell>
          <cell r="BC90">
            <v>5.026238601451237E-2</v>
          </cell>
          <cell r="BF90">
            <v>7.1657355796165154E-2</v>
          </cell>
        </row>
        <row r="91">
          <cell r="O91">
            <v>1.3338063878300499</v>
          </cell>
          <cell r="P91">
            <v>1.3054515465152201</v>
          </cell>
          <cell r="Q91">
            <v>1.30468685767818</v>
          </cell>
          <cell r="U91">
            <v>6.9032675403866697E-3</v>
          </cell>
          <cell r="V91">
            <v>-1.7704633571412599E-2</v>
          </cell>
          <cell r="W91">
            <v>-1.50377298959441E-2</v>
          </cell>
          <cell r="Y91">
            <v>1.3338063878300499</v>
          </cell>
          <cell r="Z91">
            <v>1.3054515465152201</v>
          </cell>
          <cell r="AA91">
            <v>1.30468685767818</v>
          </cell>
          <cell r="AE91">
            <v>6.9032675403866697E-3</v>
          </cell>
          <cell r="AF91">
            <v>-1.7704633571412599E-2</v>
          </cell>
          <cell r="AG91">
            <v>-1.50377298959441E-2</v>
          </cell>
          <cell r="AR91">
            <v>2.1394969781652787E-2</v>
          </cell>
          <cell r="BC91">
            <v>5.026238601451237E-2</v>
          </cell>
          <cell r="BF91">
            <v>7.1657355796165154E-2</v>
          </cell>
        </row>
        <row r="92">
          <cell r="O92">
            <v>1.3338063878300499</v>
          </cell>
          <cell r="P92">
            <v>1.3092111862384599</v>
          </cell>
          <cell r="Q92">
            <v>1.3055494360272899</v>
          </cell>
          <cell r="U92">
            <v>-3.3090800503665603E-4</v>
          </cell>
          <cell r="V92">
            <v>-2.1818714824535498E-2</v>
          </cell>
          <cell r="W92">
            <v>-2.2404652227464E-2</v>
          </cell>
          <cell r="Y92">
            <v>1.3338063878300499</v>
          </cell>
          <cell r="Z92">
            <v>1.3092111862384599</v>
          </cell>
          <cell r="AA92">
            <v>1.3055494360272899</v>
          </cell>
          <cell r="AE92">
            <v>-3.3090800503665603E-4</v>
          </cell>
          <cell r="AF92">
            <v>-2.1818714824535498E-2</v>
          </cell>
          <cell r="AG92">
            <v>-2.2404652227464E-2</v>
          </cell>
          <cell r="AR92">
            <v>2.1394969781652787E-2</v>
          </cell>
          <cell r="BC92">
            <v>5.026238601451237E-2</v>
          </cell>
          <cell r="BF92">
            <v>7.1657355796165154E-2</v>
          </cell>
        </row>
        <row r="93">
          <cell r="O93">
            <v>1.3338063878300499</v>
          </cell>
          <cell r="P93">
            <v>1.3136257801862401</v>
          </cell>
          <cell r="Q93">
            <v>1.3064525458704901</v>
          </cell>
          <cell r="U93">
            <v>-1.27315980544819E-3</v>
          </cell>
          <cell r="V93">
            <v>-1.9885152266746201E-2</v>
          </cell>
          <cell r="W93">
            <v>-2.2685984261656401E-2</v>
          </cell>
          <cell r="Y93">
            <v>1.3338063878300499</v>
          </cell>
          <cell r="Z93">
            <v>1.3136257801862401</v>
          </cell>
          <cell r="AA93">
            <v>1.3064525458704901</v>
          </cell>
          <cell r="AE93">
            <v>-1.27315980544819E-3</v>
          </cell>
          <cell r="AF93">
            <v>-1.9885152266746201E-2</v>
          </cell>
          <cell r="AG93">
            <v>-2.2685984261656401E-2</v>
          </cell>
          <cell r="AR93">
            <v>2.1394969781652787E-2</v>
          </cell>
          <cell r="BC93">
            <v>5.026238601451237E-2</v>
          </cell>
          <cell r="BF93">
            <v>7.1657355796165154E-2</v>
          </cell>
        </row>
        <row r="94">
          <cell r="O94">
            <v>1.3338063878300499</v>
          </cell>
          <cell r="P94">
            <v>1.31891110766557</v>
          </cell>
          <cell r="Q94">
            <v>1.3073883367285599</v>
          </cell>
          <cell r="U94">
            <v>-9.3863451116052898E-4</v>
          </cell>
          <cell r="V94">
            <v>-1.61843497900944E-2</v>
          </cell>
          <cell r="W94">
            <v>-2.1659951161902599E-2</v>
          </cell>
          <cell r="Y94">
            <v>1.3338063878300499</v>
          </cell>
          <cell r="Z94">
            <v>1.31891110766557</v>
          </cell>
          <cell r="AA94">
            <v>1.3073883367285599</v>
          </cell>
          <cell r="AE94">
            <v>-9.3863451116052898E-4</v>
          </cell>
          <cell r="AF94">
            <v>-1.61843497900944E-2</v>
          </cell>
          <cell r="AG94">
            <v>-2.1659951161902599E-2</v>
          </cell>
          <cell r="AR94">
            <v>2.1394969781652787E-2</v>
          </cell>
          <cell r="BC94">
            <v>5.026238601451237E-2</v>
          </cell>
          <cell r="BF94">
            <v>7.1657355796165154E-2</v>
          </cell>
        </row>
        <row r="95">
          <cell r="O95">
            <v>1.3338063878300499</v>
          </cell>
          <cell r="P95">
            <v>1.32479720978277</v>
          </cell>
          <cell r="Q95">
            <v>1.30861444240516</v>
          </cell>
          <cell r="U95">
            <v>-8.1174348821235198E-3</v>
          </cell>
          <cell r="V95">
            <v>-1.9347757552383001E-2</v>
          </cell>
          <cell r="W95">
            <v>-2.81227240927212E-2</v>
          </cell>
          <cell r="Y95">
            <v>1.3338063878300499</v>
          </cell>
          <cell r="Z95">
            <v>1.32479720978277</v>
          </cell>
          <cell r="AA95">
            <v>1.30861444240516</v>
          </cell>
          <cell r="AE95">
            <v>-8.1174348821235198E-3</v>
          </cell>
          <cell r="AF95">
            <v>-1.9347757552383001E-2</v>
          </cell>
          <cell r="AG95">
            <v>-2.81227240927212E-2</v>
          </cell>
          <cell r="AR95">
            <v>2.1394969781652787E-2</v>
          </cell>
          <cell r="BC95">
            <v>5.026238601451237E-2</v>
          </cell>
          <cell r="BF95">
            <v>7.1657355796165154E-2</v>
          </cell>
        </row>
        <row r="96">
          <cell r="O96">
            <v>1.3338063878300499</v>
          </cell>
          <cell r="P96">
            <v>1.32955464928488</v>
          </cell>
          <cell r="Q96">
            <v>1.31042804773701</v>
          </cell>
          <cell r="U96">
            <v>-5.6717633169368403E-3</v>
          </cell>
          <cell r="V96">
            <v>-1.24491652134519E-2</v>
          </cell>
          <cell r="W96">
            <v>-2.4739663793726802E-2</v>
          </cell>
          <cell r="Y96">
            <v>1.3338063878300499</v>
          </cell>
          <cell r="Z96">
            <v>1.32955464928488</v>
          </cell>
          <cell r="AA96">
            <v>1.31042804773701</v>
          </cell>
          <cell r="AE96">
            <v>-5.6717633169368403E-3</v>
          </cell>
          <cell r="AF96">
            <v>-1.24491652134519E-2</v>
          </cell>
          <cell r="AG96">
            <v>-2.4739663793726802E-2</v>
          </cell>
          <cell r="AR96">
            <v>2.3840641346839466E-2</v>
          </cell>
          <cell r="BC96">
            <v>5.026238601451237E-2</v>
          </cell>
          <cell r="BF96">
            <v>7.4103027361351839E-2</v>
          </cell>
        </row>
        <row r="97">
          <cell r="O97">
            <v>1.3338063878300499</v>
          </cell>
          <cell r="P97">
            <v>1.33266741521165</v>
          </cell>
          <cell r="Q97">
            <v>1.3130410949153699</v>
          </cell>
          <cell r="U97">
            <v>-1.00366213408307E-2</v>
          </cell>
          <cell r="V97">
            <v>-1.32293857446713E-2</v>
          </cell>
          <cell r="W97">
            <v>-2.7719583903438899E-2</v>
          </cell>
          <cell r="Y97">
            <v>1.3338063878300499</v>
          </cell>
          <cell r="Z97">
            <v>1.33266741521165</v>
          </cell>
          <cell r="AA97">
            <v>1.3130410949153699</v>
          </cell>
          <cell r="AE97">
            <v>-1.00366213408307E-2</v>
          </cell>
          <cell r="AF97">
            <v>-1.32293857446713E-2</v>
          </cell>
          <cell r="AG97">
            <v>-2.7719583903438899E-2</v>
          </cell>
          <cell r="AR97">
            <v>1.9475783322945566E-2</v>
          </cell>
          <cell r="BC97">
            <v>5.026238601451237E-2</v>
          </cell>
          <cell r="BF97">
            <v>6.9738169337457939E-2</v>
          </cell>
        </row>
        <row r="98">
          <cell r="O98">
            <v>1.3338063878300499</v>
          </cell>
          <cell r="P98">
            <v>1.33602078949701</v>
          </cell>
          <cell r="Q98">
            <v>1.3156146731509499</v>
          </cell>
          <cell r="U98">
            <v>-8.7615108378374194E-3</v>
          </cell>
          <cell r="V98">
            <v>-9.6158021392399907E-3</v>
          </cell>
          <cell r="W98">
            <v>-2.4452417919409102E-2</v>
          </cell>
          <cell r="Y98">
            <v>1.3338063878300499</v>
          </cell>
          <cell r="Z98">
            <v>1.33602078949701</v>
          </cell>
          <cell r="AA98">
            <v>1.3156146731509499</v>
          </cell>
          <cell r="AE98">
            <v>-8.7615108378374194E-3</v>
          </cell>
          <cell r="AF98">
            <v>-9.6158021392399907E-3</v>
          </cell>
          <cell r="AG98">
            <v>-2.4452417919409102E-2</v>
          </cell>
          <cell r="AR98">
            <v>2.0750893825938987E-2</v>
          </cell>
          <cell r="BC98">
            <v>5.026238601451237E-2</v>
          </cell>
          <cell r="BF98">
            <v>7.101327984045136E-2</v>
          </cell>
        </row>
        <row r="99">
          <cell r="O99">
            <v>1.3338063878300499</v>
          </cell>
          <cell r="P99">
            <v>1.33840986515805</v>
          </cell>
          <cell r="Q99">
            <v>1.3180357981497799</v>
          </cell>
          <cell r="U99">
            <v>-7.3817385426237997E-3</v>
          </cell>
          <cell r="V99">
            <v>-5.7229029494075302E-3</v>
          </cell>
          <cell r="W99">
            <v>-2.1114550472195098E-2</v>
          </cell>
          <cell r="Y99">
            <v>1.3338063878300499</v>
          </cell>
          <cell r="Z99">
            <v>1.33840986515805</v>
          </cell>
          <cell r="AA99">
            <v>1.3180357981497799</v>
          </cell>
          <cell r="AE99">
            <v>-7.3817385426237997E-3</v>
          </cell>
          <cell r="AF99">
            <v>-5.7229029494075302E-3</v>
          </cell>
          <cell r="AG99">
            <v>-2.1114550472195098E-2</v>
          </cell>
          <cell r="AR99">
            <v>2.2130666121152612E-2</v>
          </cell>
          <cell r="BC99">
            <v>5.026238601451237E-2</v>
          </cell>
          <cell r="BF99">
            <v>7.2393052135664993E-2</v>
          </cell>
        </row>
        <row r="100">
          <cell r="O100">
            <v>1.3338063878300499</v>
          </cell>
          <cell r="P100">
            <v>1.34013883254739</v>
          </cell>
          <cell r="Q100">
            <v>1.3207617974088901</v>
          </cell>
          <cell r="U100">
            <v>-1.1609760589371401E-2</v>
          </cell>
          <cell r="V100">
            <v>-8.1643194677104101E-3</v>
          </cell>
          <cell r="W100">
            <v>-2.3503964315413399E-2</v>
          </cell>
          <cell r="Y100">
            <v>1.3338063878300499</v>
          </cell>
          <cell r="Z100">
            <v>1.34013883254739</v>
          </cell>
          <cell r="AA100">
            <v>1.3207617974088901</v>
          </cell>
          <cell r="AE100">
            <v>-1.1609760589371401E-2</v>
          </cell>
          <cell r="AF100">
            <v>-8.1643194677104101E-3</v>
          </cell>
          <cell r="AG100">
            <v>-2.3503964315413399E-2</v>
          </cell>
          <cell r="AR100">
            <v>1.7902644074405012E-2</v>
          </cell>
          <cell r="BC100">
            <v>5.026238601451237E-2</v>
          </cell>
          <cell r="BF100">
            <v>6.8165030088917389E-2</v>
          </cell>
        </row>
        <row r="101">
          <cell r="O101">
            <v>1.3338063878300499</v>
          </cell>
          <cell r="P101">
            <v>1.3423204607385</v>
          </cell>
          <cell r="Q101">
            <v>1.32388600362686</v>
          </cell>
          <cell r="U101">
            <v>-9.43228937119415E-3</v>
          </cell>
          <cell r="V101">
            <v>-4.6958747974208603E-3</v>
          </cell>
          <cell r="W101">
            <v>-1.9260400393947601E-2</v>
          </cell>
          <cell r="Y101">
            <v>1.3338063878300499</v>
          </cell>
          <cell r="Z101">
            <v>1.3423204607385</v>
          </cell>
          <cell r="AA101">
            <v>1.32388600362686</v>
          </cell>
          <cell r="AE101">
            <v>-9.43228937119415E-3</v>
          </cell>
          <cell r="AF101">
            <v>-4.6958747974208603E-3</v>
          </cell>
          <cell r="AG101">
            <v>-1.9260400393947601E-2</v>
          </cell>
          <cell r="AR101">
            <v>2.0080115292582364E-2</v>
          </cell>
          <cell r="BC101">
            <v>5.026238601451237E-2</v>
          </cell>
          <cell r="BF101">
            <v>7.034250130709474E-2</v>
          </cell>
        </row>
        <row r="102">
          <cell r="O102">
            <v>1.3338063878300499</v>
          </cell>
          <cell r="P102">
            <v>1.3429763431470401</v>
          </cell>
          <cell r="Q102">
            <v>1.32609376469275</v>
          </cell>
          <cell r="U102">
            <v>-5.2346116692598803E-3</v>
          </cell>
          <cell r="V102">
            <v>1.1283913694984499E-3</v>
          </cell>
          <cell r="W102">
            <v>-1.27000582418949E-2</v>
          </cell>
          <cell r="Y102">
            <v>1.3338063878300499</v>
          </cell>
          <cell r="Z102">
            <v>1.3429763431470401</v>
          </cell>
          <cell r="AA102">
            <v>1.32609376469275</v>
          </cell>
          <cell r="AE102">
            <v>-5.2346116692598803E-3</v>
          </cell>
          <cell r="AF102">
            <v>1.1283913694984499E-3</v>
          </cell>
          <cell r="AG102">
            <v>-1.27000582418949E-2</v>
          </cell>
          <cell r="AR102">
            <v>2.4277792994517357E-2</v>
          </cell>
          <cell r="BC102">
            <v>5.026238601451237E-2</v>
          </cell>
          <cell r="BF102">
            <v>7.4540179009029733E-2</v>
          </cell>
        </row>
        <row r="103">
          <cell r="O103">
            <v>1.3338063878300499</v>
          </cell>
          <cell r="P103">
            <v>1.34343909877356</v>
          </cell>
          <cell r="Q103">
            <v>1.3285324394799001</v>
          </cell>
          <cell r="U103">
            <v>-4.7321923868751696E-3</v>
          </cell>
          <cell r="V103">
            <v>2.1193096666920199E-3</v>
          </cell>
          <cell r="W103">
            <v>-1.05313910861625E-2</v>
          </cell>
          <cell r="Y103">
            <v>1.3338063878300499</v>
          </cell>
          <cell r="Z103">
            <v>1.34343909877356</v>
          </cell>
          <cell r="AA103">
            <v>1.3285324394799001</v>
          </cell>
          <cell r="AE103">
            <v>-4.7321923868751696E-3</v>
          </cell>
          <cell r="AF103">
            <v>2.1193096666920199E-3</v>
          </cell>
          <cell r="AG103">
            <v>-1.05313910861625E-2</v>
          </cell>
          <cell r="AR103">
            <v>2.4277792994517357E-2</v>
          </cell>
          <cell r="BC103">
            <v>5.026238601451237E-2</v>
          </cell>
          <cell r="BF103">
            <v>7.4540179009029733E-2</v>
          </cell>
        </row>
        <row r="104">
          <cell r="O104">
            <v>1.3338063878300499</v>
          </cell>
          <cell r="P104">
            <v>1.34543924384858</v>
          </cell>
          <cell r="Q104">
            <v>1.3321751757570801</v>
          </cell>
          <cell r="U104">
            <v>-1.5809216063899699E-2</v>
          </cell>
          <cell r="V104">
            <v>-8.6131986953334495E-3</v>
          </cell>
          <cell r="W104">
            <v>-1.9771112419576999E-2</v>
          </cell>
          <cell r="Y104">
            <v>1.3338063878300499</v>
          </cell>
          <cell r="Z104">
            <v>1.34543924384858</v>
          </cell>
          <cell r="AA104">
            <v>1.3321751757570801</v>
          </cell>
          <cell r="AE104">
            <v>-1.5809216063899699E-2</v>
          </cell>
          <cell r="AF104">
            <v>-8.6131986953334495E-3</v>
          </cell>
          <cell r="AG104">
            <v>-1.9771112419576999E-2</v>
          </cell>
          <cell r="AR104">
            <v>2.4277792994517357E-2</v>
          </cell>
          <cell r="BC104">
            <v>5.026238601451237E-2</v>
          </cell>
          <cell r="BF104">
            <v>7.4540179009029733E-2</v>
          </cell>
        </row>
        <row r="105">
          <cell r="O105">
            <v>1.3338063878300499</v>
          </cell>
          <cell r="P105">
            <v>1.3466662239243801</v>
          </cell>
          <cell r="Q105">
            <v>1.3357317168535801</v>
          </cell>
          <cell r="U105">
            <v>-1.7200772268861901E-2</v>
          </cell>
          <cell r="V105">
            <v>-8.5170375780029492E-3</v>
          </cell>
          <cell r="W105">
            <v>-1.8424495867569401E-2</v>
          </cell>
          <cell r="Y105">
            <v>1.3338063878300499</v>
          </cell>
          <cell r="Z105">
            <v>1.3466662239243801</v>
          </cell>
          <cell r="AA105">
            <v>1.3357317168535801</v>
          </cell>
          <cell r="AE105">
            <v>-1.7200772268861901E-2</v>
          </cell>
          <cell r="AF105">
            <v>-8.5170375780029492E-3</v>
          </cell>
          <cell r="AG105">
            <v>-1.8424495867569401E-2</v>
          </cell>
          <cell r="AR105">
            <v>2.4277792994517357E-2</v>
          </cell>
          <cell r="BC105">
            <v>5.026238601451237E-2</v>
          </cell>
          <cell r="BF105">
            <v>7.4540179009029733E-2</v>
          </cell>
        </row>
        <row r="106">
          <cell r="O106">
            <v>1.3338063878300499</v>
          </cell>
          <cell r="P106">
            <v>1.34837684562752</v>
          </cell>
          <cell r="Q106">
            <v>1.3389657474562</v>
          </cell>
          <cell r="U106">
            <v>-1.8343711399011399E-2</v>
          </cell>
          <cell r="V106">
            <v>-8.7484372640613105E-3</v>
          </cell>
          <cell r="W106">
            <v>-1.6901267588996498E-2</v>
          </cell>
          <cell r="Y106">
            <v>1.3338063878300499</v>
          </cell>
          <cell r="Z106">
            <v>1.34837684562752</v>
          </cell>
          <cell r="AA106">
            <v>1.3389657474562</v>
          </cell>
          <cell r="AE106">
            <v>-1.8343711399011399E-2</v>
          </cell>
          <cell r="AF106">
            <v>-8.7484372640613105E-3</v>
          </cell>
          <cell r="AG106">
            <v>-1.6901267588996498E-2</v>
          </cell>
          <cell r="AR106">
            <v>2.4277792994517357E-2</v>
          </cell>
          <cell r="BC106">
            <v>5.026238601451237E-2</v>
          </cell>
          <cell r="BF106">
            <v>7.4540179009029733E-2</v>
          </cell>
        </row>
        <row r="107">
          <cell r="O107">
            <v>1.3338063878300499</v>
          </cell>
          <cell r="P107">
            <v>1.3488395695334201</v>
          </cell>
          <cell r="Q107">
            <v>1.3407534923725299</v>
          </cell>
          <cell r="U107">
            <v>-1.3465290304579099E-2</v>
          </cell>
          <cell r="V107">
            <v>-2.6005582138851498E-3</v>
          </cell>
          <cell r="W107">
            <v>-9.6046050135785103E-3</v>
          </cell>
          <cell r="Y107">
            <v>1.3338063878300499</v>
          </cell>
          <cell r="Z107">
            <v>1.3488395695334201</v>
          </cell>
          <cell r="AA107">
            <v>1.3407534923725299</v>
          </cell>
          <cell r="AE107">
            <v>-1.3465290304579099E-2</v>
          </cell>
          <cell r="AF107">
            <v>-2.6005582138851498E-3</v>
          </cell>
          <cell r="AG107">
            <v>-9.6046050135785103E-3</v>
          </cell>
          <cell r="AR107">
            <v>2.4277792994517357E-2</v>
          </cell>
          <cell r="BC107">
            <v>5.026238601451237E-2</v>
          </cell>
          <cell r="BF107">
            <v>7.4540179009029733E-2</v>
          </cell>
        </row>
        <row r="108">
          <cell r="O108">
            <v>1.3338063878300499</v>
          </cell>
          <cell r="P108">
            <v>1.3503960633904599</v>
          </cell>
          <cell r="Q108">
            <v>1.3432084264437301</v>
          </cell>
          <cell r="U108">
            <v>-2.0262883017009299E-2</v>
          </cell>
          <cell r="V108">
            <v>-9.0550387401037002E-3</v>
          </cell>
          <cell r="W108">
            <v>-1.50679197501723E-2</v>
          </cell>
          <cell r="Y108">
            <v>1.3338063878300499</v>
          </cell>
          <cell r="Z108">
            <v>1.3503960633904599</v>
          </cell>
          <cell r="AA108">
            <v>1.3432084264437301</v>
          </cell>
          <cell r="AE108">
            <v>-2.0262883017009299E-2</v>
          </cell>
          <cell r="AF108">
            <v>-9.0550387401037002E-3</v>
          </cell>
          <cell r="AG108">
            <v>-1.50679197501723E-2</v>
          </cell>
          <cell r="AR108">
            <v>2.4277792994517357E-2</v>
          </cell>
          <cell r="BC108">
            <v>5.026238601451237E-2</v>
          </cell>
          <cell r="BF108">
            <v>7.4540179009029733E-2</v>
          </cell>
        </row>
        <row r="109">
          <cell r="O109">
            <v>1.3338063878300499</v>
          </cell>
          <cell r="P109">
            <v>1.3511002695809</v>
          </cell>
          <cell r="Q109">
            <v>1.3447550673694699</v>
          </cell>
          <cell r="U109">
            <v>-1.2608896689058799E-2</v>
          </cell>
          <cell r="V109">
            <v>-2.4776737799731501E-4</v>
          </cell>
          <cell r="W109">
            <v>-5.5845969188956903E-3</v>
          </cell>
          <cell r="Y109">
            <v>1.3338063878300499</v>
          </cell>
          <cell r="Z109">
            <v>1.3511002695809</v>
          </cell>
          <cell r="AA109">
            <v>1.3447550673694699</v>
          </cell>
          <cell r="AE109">
            <v>-1.2608896689058799E-2</v>
          </cell>
          <cell r="AF109">
            <v>-2.4776737799731501E-4</v>
          </cell>
          <cell r="AG109">
            <v>-5.5845969188956903E-3</v>
          </cell>
          <cell r="AR109">
            <v>2.4277792994517357E-2</v>
          </cell>
          <cell r="BC109">
            <v>5.026238601451237E-2</v>
          </cell>
          <cell r="BF109">
            <v>7.4540179009029733E-2</v>
          </cell>
        </row>
        <row r="110">
          <cell r="O110">
            <v>1.3338063878300499</v>
          </cell>
          <cell r="P110">
            <v>1.35114120723107</v>
          </cell>
          <cell r="Q110">
            <v>1.34564001988923</v>
          </cell>
          <cell r="U110">
            <v>-1.1913095358003899E-2</v>
          </cell>
          <cell r="V110">
            <v>9.6937925180534397E-4</v>
          </cell>
          <cell r="W110">
            <v>-3.7380053334452302E-3</v>
          </cell>
          <cell r="Y110">
            <v>1.3338063878300499</v>
          </cell>
          <cell r="Z110">
            <v>1.35114120723107</v>
          </cell>
          <cell r="AA110">
            <v>1.34564001988923</v>
          </cell>
          <cell r="AE110">
            <v>-1.1913095358003899E-2</v>
          </cell>
          <cell r="AF110">
            <v>9.6937925180534397E-4</v>
          </cell>
          <cell r="AG110">
            <v>-3.7380053334452302E-3</v>
          </cell>
          <cell r="AR110">
            <v>2.4277792994517357E-2</v>
          </cell>
          <cell r="BC110">
            <v>5.026238601451237E-2</v>
          </cell>
          <cell r="BF110">
            <v>7.4540179009029733E-2</v>
          </cell>
        </row>
        <row r="111">
          <cell r="O111">
            <v>1.3338063878300499</v>
          </cell>
          <cell r="P111">
            <v>1.35163234972468</v>
          </cell>
          <cell r="Q111">
            <v>1.34697640523159</v>
          </cell>
          <cell r="U111">
            <v>-1.307334606574E-2</v>
          </cell>
          <cell r="V111">
            <v>-1.6057242416027699E-4</v>
          </cell>
          <cell r="W111">
            <v>-4.2403953753901297E-3</v>
          </cell>
          <cell r="Y111">
            <v>1.3338063878300499</v>
          </cell>
          <cell r="Z111">
            <v>1.35163234972468</v>
          </cell>
          <cell r="AA111">
            <v>1.34697640523159</v>
          </cell>
          <cell r="AE111">
            <v>-1.307334606574E-2</v>
          </cell>
          <cell r="AF111">
            <v>-1.6057242416027699E-4</v>
          </cell>
          <cell r="AG111">
            <v>-4.2403953753901297E-3</v>
          </cell>
          <cell r="AR111">
            <v>2.4277792994517357E-2</v>
          </cell>
          <cell r="BC111">
            <v>5.026238601451237E-2</v>
          </cell>
          <cell r="BF111">
            <v>7.4540179009029733E-2</v>
          </cell>
        </row>
        <row r="112">
          <cell r="O112">
            <v>1.3338063878300499</v>
          </cell>
          <cell r="P112">
            <v>1.35267217843416</v>
          </cell>
          <cell r="Q112">
            <v>1.3478242607905999</v>
          </cell>
          <cell r="U112">
            <v>-1.29599415620518E-2</v>
          </cell>
          <cell r="V112">
            <v>3.1626800093829E-4</v>
          </cell>
          <cell r="W112">
            <v>-3.1343612200181699E-3</v>
          </cell>
          <cell r="Y112">
            <v>1.3338063878300499</v>
          </cell>
          <cell r="Z112">
            <v>1.35267217843416</v>
          </cell>
          <cell r="AA112">
            <v>1.3478242607905999</v>
          </cell>
          <cell r="AE112">
            <v>-1.29599415620518E-2</v>
          </cell>
          <cell r="AF112">
            <v>3.1626800093829E-4</v>
          </cell>
          <cell r="AG112">
            <v>-3.1343612200181699E-3</v>
          </cell>
          <cell r="AR112">
            <v>2.4277792994517357E-2</v>
          </cell>
          <cell r="BC112">
            <v>5.026238601451237E-2</v>
          </cell>
          <cell r="BF112">
            <v>7.4540179009029733E-2</v>
          </cell>
        </row>
        <row r="113">
          <cell r="O113">
            <v>1.3338063878300499</v>
          </cell>
          <cell r="P113">
            <v>1.35286502070878</v>
          </cell>
          <cell r="Q113">
            <v>1.34815205974117</v>
          </cell>
          <cell r="U113">
            <v>-6.1701364908604396E-3</v>
          </cell>
          <cell r="V113">
            <v>7.8750905772893998E-3</v>
          </cell>
          <cell r="W113">
            <v>4.2846967659984098E-3</v>
          </cell>
          <cell r="Y113">
            <v>1.3338063878300499</v>
          </cell>
          <cell r="Z113">
            <v>1.35286502070878</v>
          </cell>
          <cell r="AA113">
            <v>1.34815205974117</v>
          </cell>
          <cell r="AE113">
            <v>-6.1701364908604396E-3</v>
          </cell>
          <cell r="AF113">
            <v>7.8750905772893998E-3</v>
          </cell>
          <cell r="AG113">
            <v>4.2846967659984098E-3</v>
          </cell>
          <cell r="AR113">
            <v>2.4277792994517357E-2</v>
          </cell>
          <cell r="BC113">
            <v>5.026238601451237E-2</v>
          </cell>
          <cell r="BF113">
            <v>7.4540179009029733E-2</v>
          </cell>
        </row>
        <row r="114">
          <cell r="O114">
            <v>1.3338063878300499</v>
          </cell>
          <cell r="P114">
            <v>1.35251758812224</v>
          </cell>
          <cell r="Q114">
            <v>1.3489784159854099</v>
          </cell>
          <cell r="U114">
            <v>-1.32419596080845E-2</v>
          </cell>
          <cell r="V114">
            <v>9.45821238302761E-4</v>
          </cell>
          <cell r="W114">
            <v>-2.5439499184877999E-3</v>
          </cell>
          <cell r="Y114">
            <v>1.3338063878300499</v>
          </cell>
          <cell r="Z114">
            <v>1.35251758812224</v>
          </cell>
          <cell r="AA114">
            <v>1.3489784159854099</v>
          </cell>
          <cell r="AE114">
            <v>-1.32419596080845E-2</v>
          </cell>
          <cell r="AF114">
            <v>9.45821238302761E-4</v>
          </cell>
          <cell r="AG114">
            <v>-2.5439499184877999E-3</v>
          </cell>
          <cell r="AR114">
            <v>2.4277792994517357E-2</v>
          </cell>
          <cell r="BC114">
            <v>5.026238601451237E-2</v>
          </cell>
          <cell r="BF114">
            <v>7.4540179009029733E-2</v>
          </cell>
        </row>
        <row r="115">
          <cell r="O115">
            <v>1.3338063878300499</v>
          </cell>
          <cell r="P115">
            <v>1.3520572261416799</v>
          </cell>
          <cell r="Q115">
            <v>1.3493617250330301</v>
          </cell>
          <cell r="U115">
            <v>-1.38023745775619E-2</v>
          </cell>
          <cell r="V115">
            <v>1.28560832386386E-4</v>
          </cell>
          <cell r="W115">
            <v>-2.4915978916832198E-3</v>
          </cell>
          <cell r="Y115">
            <v>1.3338063878300499</v>
          </cell>
          <cell r="Z115">
            <v>1.3520572261416799</v>
          </cell>
          <cell r="AA115">
            <v>1.3493617250330301</v>
          </cell>
          <cell r="AE115">
            <v>-1.38023745775619E-2</v>
          </cell>
          <cell r="AF115">
            <v>1.28560832386386E-4</v>
          </cell>
          <cell r="AG115">
            <v>-2.4915978916832198E-3</v>
          </cell>
          <cell r="AR115">
            <v>2.4277792994517357E-2</v>
          </cell>
          <cell r="BC115">
            <v>5.026238601451237E-2</v>
          </cell>
          <cell r="BF115">
            <v>7.4540179009029733E-2</v>
          </cell>
        </row>
        <row r="116">
          <cell r="O116">
            <v>1.3338063878300499</v>
          </cell>
          <cell r="P116">
            <v>1.3521507318630399</v>
          </cell>
          <cell r="Q116">
            <v>1.35026378874528</v>
          </cell>
          <cell r="U116">
            <v>-1.90317762919026E-2</v>
          </cell>
          <cell r="V116">
            <v>-5.4412729399497496E-3</v>
          </cell>
          <cell r="W116">
            <v>-7.4368923177159096E-3</v>
          </cell>
          <cell r="Y116">
            <v>1.3338063878300499</v>
          </cell>
          <cell r="Z116">
            <v>1.3521507318630399</v>
          </cell>
          <cell r="AA116">
            <v>1.35026378874528</v>
          </cell>
          <cell r="AE116">
            <v>-1.90317762919026E-2</v>
          </cell>
          <cell r="AF116">
            <v>-5.4412729399497496E-3</v>
          </cell>
          <cell r="AG116">
            <v>-7.4368923177159096E-3</v>
          </cell>
          <cell r="AR116">
            <v>2.4277792994517357E-2</v>
          </cell>
          <cell r="BC116">
            <v>5.026238601451237E-2</v>
          </cell>
          <cell r="BF116">
            <v>7.4540179009029733E-2</v>
          </cell>
        </row>
        <row r="117">
          <cell r="O117">
            <v>1.3338063878300499</v>
          </cell>
          <cell r="P117">
            <v>1.35311994724185</v>
          </cell>
          <cell r="Q117">
            <v>1.35097975838763</v>
          </cell>
          <cell r="U117">
            <v>-2.06090597354242E-2</v>
          </cell>
          <cell r="V117">
            <v>-6.94940066552542E-3</v>
          </cell>
          <cell r="W117">
            <v>-8.3458877033433104E-3</v>
          </cell>
          <cell r="Y117">
            <v>1.3338063878300499</v>
          </cell>
          <cell r="Z117">
            <v>1.35311994724185</v>
          </cell>
          <cell r="AA117">
            <v>1.35097975838763</v>
          </cell>
          <cell r="AE117">
            <v>-2.06090597354242E-2</v>
          </cell>
          <cell r="AF117">
            <v>-6.94940066552542E-3</v>
          </cell>
          <cell r="AG117">
            <v>-8.3458877033433104E-3</v>
          </cell>
          <cell r="AR117">
            <v>2.4277792994517357E-2</v>
          </cell>
          <cell r="BC117">
            <v>5.026238601451237E-2</v>
          </cell>
          <cell r="BF117">
            <v>7.4540179009029733E-2</v>
          </cell>
        </row>
        <row r="118">
          <cell r="O118">
            <v>1.3338063878300499</v>
          </cell>
          <cell r="P118">
            <v>1.35378008691837</v>
          </cell>
          <cell r="Q118">
            <v>1.35208807515441</v>
          </cell>
          <cell r="U118">
            <v>-2.51011735065753E-2</v>
          </cell>
          <cell r="V118">
            <v>-1.07249758457282E-2</v>
          </cell>
          <cell r="W118">
            <v>-1.2307897730327999E-2</v>
          </cell>
          <cell r="Y118">
            <v>1.3338063878300499</v>
          </cell>
          <cell r="Z118">
            <v>1.35378008691837</v>
          </cell>
          <cell r="AA118">
            <v>1.35208807515441</v>
          </cell>
          <cell r="AE118">
            <v>-2.51011735065753E-2</v>
          </cell>
          <cell r="AF118">
            <v>-1.07249758457282E-2</v>
          </cell>
          <cell r="AG118">
            <v>-1.2307897730327999E-2</v>
          </cell>
          <cell r="AR118">
            <v>2.4277792994517357E-2</v>
          </cell>
          <cell r="BC118">
            <v>5.026238601451237E-2</v>
          </cell>
          <cell r="BF118">
            <v>7.4540179009029733E-2</v>
          </cell>
        </row>
        <row r="119">
          <cell r="O119">
            <v>1.3338063878300499</v>
          </cell>
          <cell r="P119">
            <v>1.3544160823523299</v>
          </cell>
          <cell r="Q119">
            <v>1.3527581759666101</v>
          </cell>
          <cell r="U119">
            <v>-1.73063750337124E-2</v>
          </cell>
          <cell r="V119">
            <v>-2.4424314780911302E-3</v>
          </cell>
          <cell r="W119">
            <v>-3.6930555906826801E-3</v>
          </cell>
          <cell r="Y119">
            <v>1.3338063878300499</v>
          </cell>
          <cell r="Z119">
            <v>1.3544160823523299</v>
          </cell>
          <cell r="AA119">
            <v>1.3527581759666101</v>
          </cell>
          <cell r="AE119">
            <v>-1.73063750337124E-2</v>
          </cell>
          <cell r="AF119">
            <v>-2.4424314780911302E-3</v>
          </cell>
          <cell r="AG119">
            <v>-3.6930555906826801E-3</v>
          </cell>
          <cell r="AR119">
            <v>2.4277792994517357E-2</v>
          </cell>
          <cell r="BC119">
            <v>5.026238601451237E-2</v>
          </cell>
          <cell r="BF119">
            <v>7.4540179009029733E-2</v>
          </cell>
        </row>
        <row r="120">
          <cell r="O120">
            <v>1.3338063878300499</v>
          </cell>
          <cell r="P120">
            <v>1.35575440187623</v>
          </cell>
          <cell r="Q120">
            <v>1.35344780455365</v>
          </cell>
          <cell r="U120">
            <v>-2.1779275795060199E-2</v>
          </cell>
          <cell r="V120">
            <v>-6.4456502770571401E-3</v>
          </cell>
          <cell r="W120">
            <v>-7.6704747137452999E-3</v>
          </cell>
          <cell r="Y120">
            <v>1.3338063878300499</v>
          </cell>
          <cell r="Z120">
            <v>1.35575440187623</v>
          </cell>
          <cell r="AA120">
            <v>1.35344780455365</v>
          </cell>
          <cell r="AE120">
            <v>-2.1779275795060199E-2</v>
          </cell>
          <cell r="AF120">
            <v>-6.4456502770571401E-3</v>
          </cell>
          <cell r="AG120">
            <v>-7.6704747137452999E-3</v>
          </cell>
          <cell r="AR120">
            <v>2.4277792994517357E-2</v>
          </cell>
          <cell r="BC120">
            <v>5.026238601451237E-2</v>
          </cell>
          <cell r="BF120">
            <v>7.4540179009029733E-2</v>
          </cell>
        </row>
        <row r="121">
          <cell r="O121">
            <v>1.3338063878300499</v>
          </cell>
          <cell r="P121">
            <v>1.3536243708912601</v>
          </cell>
          <cell r="Q121">
            <v>1.3526283603079701</v>
          </cell>
          <cell r="U121">
            <v>2.8143472192167702E-3</v>
          </cell>
          <cell r="V121">
            <v>1.91356003720656E-2</v>
          </cell>
          <cell r="W121">
            <v>1.7432812832300301E-2</v>
          </cell>
          <cell r="Y121">
            <v>1.3338063878300499</v>
          </cell>
          <cell r="Z121">
            <v>1.3536243708912601</v>
          </cell>
          <cell r="AA121">
            <v>1.3526283603079701</v>
          </cell>
          <cell r="AE121">
            <v>2.8143472192167702E-3</v>
          </cell>
          <cell r="AF121">
            <v>1.91356003720656E-2</v>
          </cell>
          <cell r="AG121">
            <v>1.7432812832300301E-2</v>
          </cell>
          <cell r="AR121">
            <v>2.4277792994517357E-2</v>
          </cell>
          <cell r="BC121">
            <v>5.026238601451237E-2</v>
          </cell>
          <cell r="BF121">
            <v>7.4540179009029733E-2</v>
          </cell>
        </row>
        <row r="122">
          <cell r="O122">
            <v>1.3338063878300499</v>
          </cell>
          <cell r="P122">
            <v>1.35401851934621</v>
          </cell>
          <cell r="Q122">
            <v>1.3533453488901801</v>
          </cell>
          <cell r="U122">
            <v>-1.5872709940936799E-2</v>
          </cell>
          <cell r="V122">
            <v>-1.12379613407487E-3</v>
          </cell>
          <cell r="W122">
            <v>-1.8598771488116199E-3</v>
          </cell>
          <cell r="Y122">
            <v>1.3338063878300499</v>
          </cell>
          <cell r="Z122">
            <v>1.35401851934621</v>
          </cell>
          <cell r="AA122">
            <v>1.3533453488901801</v>
          </cell>
          <cell r="AE122">
            <v>-1.5872709940936799E-2</v>
          </cell>
          <cell r="AF122">
            <v>-1.12379613407487E-3</v>
          </cell>
          <cell r="AG122">
            <v>-1.8598771488116199E-3</v>
          </cell>
          <cell r="AR122">
            <v>2.4277792994517357E-2</v>
          </cell>
          <cell r="BC122">
            <v>6.8949443174665684E-2</v>
          </cell>
          <cell r="BF122">
            <v>9.3227236169183048E-2</v>
          </cell>
        </row>
        <row r="123">
          <cell r="O123">
            <v>1.3338063878300499</v>
          </cell>
          <cell r="P123">
            <v>1.3575206274876199</v>
          </cell>
          <cell r="Q123">
            <v>1.3551928240982001</v>
          </cell>
          <cell r="U123">
            <v>-3.1930459956347801E-2</v>
          </cell>
          <cell r="V123">
            <v>-1.68904084524443E-2</v>
          </cell>
          <cell r="W123">
            <v>-1.7387696960869E-2</v>
          </cell>
          <cell r="Y123">
            <v>1.3338063878300499</v>
          </cell>
          <cell r="Z123">
            <v>1.3575206274876199</v>
          </cell>
          <cell r="AA123">
            <v>1.3551928240982001</v>
          </cell>
          <cell r="AE123">
            <v>-3.1930459956347801E-2</v>
          </cell>
          <cell r="AF123">
            <v>-1.68904084524443E-2</v>
          </cell>
          <cell r="AG123">
            <v>-1.7387696960869E-2</v>
          </cell>
          <cell r="AR123">
            <v>2.4277792994517357E-2</v>
          </cell>
          <cell r="BC123">
            <v>6.8949443174665684E-2</v>
          </cell>
          <cell r="BF123">
            <v>9.3227236169183048E-2</v>
          </cell>
        </row>
        <row r="124">
          <cell r="O124">
            <v>1.3338063878300499</v>
          </cell>
          <cell r="P124">
            <v>1.3604683379273701</v>
          </cell>
          <cell r="Q124">
            <v>1.3564929630248099</v>
          </cell>
          <cell r="U124">
            <v>-3.4816809090421501E-2</v>
          </cell>
          <cell r="V124">
            <v>-1.7193641578172301E-2</v>
          </cell>
          <cell r="W124">
            <v>-1.8909859676635599E-2</v>
          </cell>
          <cell r="Y124">
            <v>1.3338063878300499</v>
          </cell>
          <cell r="Z124">
            <v>1.3604683379273701</v>
          </cell>
          <cell r="AA124">
            <v>1.3564929630248099</v>
          </cell>
          <cell r="AE124">
            <v>-3.4816809090421501E-2</v>
          </cell>
          <cell r="AF124">
            <v>-1.7193641578172301E-2</v>
          </cell>
          <cell r="AG124">
            <v>-1.8909859676635599E-2</v>
          </cell>
          <cell r="AR124">
            <v>2.4277792994517357E-2</v>
          </cell>
          <cell r="BC124">
            <v>6.8949443174665684E-2</v>
          </cell>
          <cell r="BF124">
            <v>9.3227236169183048E-2</v>
          </cell>
        </row>
        <row r="125">
          <cell r="O125">
            <v>1.3338063878300499</v>
          </cell>
          <cell r="P125">
            <v>1.36270769051723</v>
          </cell>
          <cell r="Q125">
            <v>1.35738245832945</v>
          </cell>
          <cell r="U125">
            <v>-3.0225817482434799E-2</v>
          </cell>
          <cell r="V125">
            <v>-1.0433611292732899E-2</v>
          </cell>
          <cell r="W125">
            <v>-1.3359952376862201E-2</v>
          </cell>
          <cell r="Y125">
            <v>1.3338063878300499</v>
          </cell>
          <cell r="Z125">
            <v>1.36270769051723</v>
          </cell>
          <cell r="AA125">
            <v>1.35738245832945</v>
          </cell>
          <cell r="AE125">
            <v>-3.0225817482434799E-2</v>
          </cell>
          <cell r="AF125">
            <v>-1.0433611292732899E-2</v>
          </cell>
          <cell r="AG125">
            <v>-1.3359952376862201E-2</v>
          </cell>
          <cell r="AR125">
            <v>2.4277792994517357E-2</v>
          </cell>
          <cell r="BC125">
            <v>6.8949443174665684E-2</v>
          </cell>
          <cell r="BF125">
            <v>9.3227236169183048E-2</v>
          </cell>
        </row>
        <row r="126">
          <cell r="O126">
            <v>1.3338063878300499</v>
          </cell>
          <cell r="P126">
            <v>1.36512498985941</v>
          </cell>
          <cell r="Q126">
            <v>1.35863786086123</v>
          </cell>
          <cell r="U126">
            <v>-3.66571897727462E-2</v>
          </cell>
          <cell r="V126">
            <v>-1.5220320828060199E-2</v>
          </cell>
          <cell r="W126">
            <v>-1.9135807962540999E-2</v>
          </cell>
          <cell r="Y126">
            <v>1.3338063878300499</v>
          </cell>
          <cell r="Z126">
            <v>1.36512498985941</v>
          </cell>
          <cell r="AA126">
            <v>1.35863786086123</v>
          </cell>
          <cell r="AE126">
            <v>-3.66571897727462E-2</v>
          </cell>
          <cell r="AF126">
            <v>-1.5220320828060199E-2</v>
          </cell>
          <cell r="AG126">
            <v>-1.9135807962540999E-2</v>
          </cell>
          <cell r="AR126">
            <v>2.4277792994517357E-2</v>
          </cell>
          <cell r="BC126">
            <v>6.8949443174665684E-2</v>
          </cell>
          <cell r="BF126">
            <v>9.3227236169183048E-2</v>
          </cell>
        </row>
        <row r="127">
          <cell r="O127">
            <v>1.3338063878300499</v>
          </cell>
          <cell r="P127">
            <v>1.36806380856458</v>
          </cell>
          <cell r="Q127">
            <v>1.36059187790321</v>
          </cell>
          <cell r="U127">
            <v>-4.1963310249095699E-2</v>
          </cell>
          <cell r="V127">
            <v>-1.8754118542586799E-2</v>
          </cell>
          <cell r="W127">
            <v>-2.3517485707508199E-2</v>
          </cell>
          <cell r="Y127">
            <v>1.3338063878300499</v>
          </cell>
          <cell r="Z127">
            <v>1.36806380856458</v>
          </cell>
          <cell r="AA127">
            <v>1.36059187790321</v>
          </cell>
          <cell r="AE127">
            <v>-4.1963310249095699E-2</v>
          </cell>
          <cell r="AF127">
            <v>-1.8754118542586799E-2</v>
          </cell>
          <cell r="AG127">
            <v>-2.3517485707508199E-2</v>
          </cell>
          <cell r="AR127">
            <v>2.4277792994517357E-2</v>
          </cell>
          <cell r="BC127">
            <v>6.8949443174665684E-2</v>
          </cell>
          <cell r="BF127">
            <v>9.3227236169183048E-2</v>
          </cell>
        </row>
        <row r="128">
          <cell r="O128">
            <v>1.3338063878300499</v>
          </cell>
          <cell r="P128">
            <v>1.3702918929700401</v>
          </cell>
          <cell r="Q128">
            <v>1.36203598994421</v>
          </cell>
          <cell r="U128">
            <v>-4.1260522540198401E-2</v>
          </cell>
          <cell r="V128">
            <v>-1.5900861140985899E-2</v>
          </cell>
          <cell r="W128">
            <v>-2.1377513526504299E-2</v>
          </cell>
          <cell r="Y128">
            <v>1.3338063878300499</v>
          </cell>
          <cell r="Z128">
            <v>1.3702918929700401</v>
          </cell>
          <cell r="AA128">
            <v>1.36203598994421</v>
          </cell>
          <cell r="AE128">
            <v>-4.1260522540198401E-2</v>
          </cell>
          <cell r="AF128">
            <v>-1.5900861140985899E-2</v>
          </cell>
          <cell r="AG128">
            <v>-2.1377513526504299E-2</v>
          </cell>
          <cell r="AR128">
            <v>2.4277792994517357E-2</v>
          </cell>
          <cell r="BC128">
            <v>6.8949443174665684E-2</v>
          </cell>
          <cell r="BF128">
            <v>9.3227236169183048E-2</v>
          </cell>
        </row>
        <row r="129">
          <cell r="O129">
            <v>1.3338063878300499</v>
          </cell>
          <cell r="P129">
            <v>1.3731240388564701</v>
          </cell>
          <cell r="Q129">
            <v>1.3637700606044001</v>
          </cell>
          <cell r="U129">
            <v>-3.7960841651036303E-2</v>
          </cell>
          <cell r="V129">
            <v>-1.09738643440307E-2</v>
          </cell>
          <cell r="W129">
            <v>-1.7017010338802398E-2</v>
          </cell>
          <cell r="Y129">
            <v>1.3338063878300499</v>
          </cell>
          <cell r="Z129">
            <v>1.3731240388564701</v>
          </cell>
          <cell r="AA129">
            <v>1.3637700606044001</v>
          </cell>
          <cell r="AE129">
            <v>-3.7960841651036303E-2</v>
          </cell>
          <cell r="AF129">
            <v>-1.09738643440307E-2</v>
          </cell>
          <cell r="AG129">
            <v>-1.7017010338802398E-2</v>
          </cell>
          <cell r="AR129">
            <v>2.4277792994517357E-2</v>
          </cell>
          <cell r="BC129">
            <v>6.8949443174665684E-2</v>
          </cell>
          <cell r="BF129">
            <v>9.3227236169183048E-2</v>
          </cell>
        </row>
        <row r="130">
          <cell r="O130">
            <v>1.3338063878300499</v>
          </cell>
          <cell r="P130">
            <v>1.3758400443418199</v>
          </cell>
          <cell r="Q130">
            <v>1.3657972231090201</v>
          </cell>
          <cell r="U130">
            <v>-4.1507511840757599E-2</v>
          </cell>
          <cell r="V130">
            <v>-1.2455848053163699E-2</v>
          </cell>
          <cell r="W130">
            <v>-1.9291344300655999E-2</v>
          </cell>
          <cell r="Y130">
            <v>1.3338063878300499</v>
          </cell>
          <cell r="Z130">
            <v>1.3758400443418199</v>
          </cell>
          <cell r="AA130">
            <v>1.3657972231090201</v>
          </cell>
          <cell r="AE130">
            <v>-4.1507511840757599E-2</v>
          </cell>
          <cell r="AF130">
            <v>-1.2455848053163699E-2</v>
          </cell>
          <cell r="AG130">
            <v>-1.9291344300655999E-2</v>
          </cell>
          <cell r="AR130">
            <v>2.4277792994517357E-2</v>
          </cell>
          <cell r="BC130">
            <v>6.8949443174665684E-2</v>
          </cell>
          <cell r="BF130">
            <v>9.3227236169183048E-2</v>
          </cell>
        </row>
        <row r="131">
          <cell r="O131">
            <v>1.3338063878300499</v>
          </cell>
          <cell r="P131">
            <v>1.3809536731688301</v>
          </cell>
          <cell r="Q131">
            <v>1.36728902203004</v>
          </cell>
          <cell r="U131">
            <v>-3.49116572576392E-2</v>
          </cell>
          <cell r="V131">
            <v>-3.8839717492067899E-3</v>
          </cell>
          <cell r="W131">
            <v>-1.12101532765448E-2</v>
          </cell>
          <cell r="Y131">
            <v>1.3338063878300499</v>
          </cell>
          <cell r="Z131">
            <v>1.3809536731688301</v>
          </cell>
          <cell r="AA131">
            <v>1.36728902203004</v>
          </cell>
          <cell r="AE131">
            <v>-3.49116572576392E-2</v>
          </cell>
          <cell r="AF131">
            <v>-3.8839717492067899E-3</v>
          </cell>
          <cell r="AG131">
            <v>-1.12101532765448E-2</v>
          </cell>
          <cell r="AR131">
            <v>2.4277792994517357E-2</v>
          </cell>
          <cell r="BC131">
            <v>6.8949443174665684E-2</v>
          </cell>
          <cell r="BF131">
            <v>9.3227236169183048E-2</v>
          </cell>
        </row>
        <row r="132">
          <cell r="O132">
            <v>1.3338063878300499</v>
          </cell>
          <cell r="P132">
            <v>1.38346951614737</v>
          </cell>
          <cell r="Q132">
            <v>1.36874401774679</v>
          </cell>
          <cell r="U132">
            <v>-3.4267582770107802E-2</v>
          </cell>
          <cell r="V132">
            <v>4.6994483452830201E-4</v>
          </cell>
          <cell r="W132">
            <v>-9.4744198105792092E-3</v>
          </cell>
          <cell r="Y132">
            <v>1.3338063878300499</v>
          </cell>
          <cell r="Z132">
            <v>1.38346951614737</v>
          </cell>
          <cell r="AA132">
            <v>1.36874401774679</v>
          </cell>
          <cell r="AE132">
            <v>-3.4267582770107802E-2</v>
          </cell>
          <cell r="AF132">
            <v>4.6994483452830201E-4</v>
          </cell>
          <cell r="AG132">
            <v>-9.4744198105792092E-3</v>
          </cell>
          <cell r="AR132">
            <v>2.4277792994517357E-2</v>
          </cell>
          <cell r="BC132">
            <v>6.8949443174665684E-2</v>
          </cell>
          <cell r="BF132">
            <v>9.3227236169183048E-2</v>
          </cell>
        </row>
        <row r="133">
          <cell r="O133">
            <v>1.3338063878300499</v>
          </cell>
          <cell r="P133">
            <v>1.3841713404175999</v>
          </cell>
          <cell r="Q133">
            <v>1.3708459839526099</v>
          </cell>
          <cell r="U133">
            <v>-3.7013974009817298E-2</v>
          </cell>
          <cell r="V133">
            <v>-4.5628827393763501E-4</v>
          </cell>
          <cell r="W133">
            <v>-1.1157230433570101E-2</v>
          </cell>
          <cell r="Y133">
            <v>1.3338063878300499</v>
          </cell>
          <cell r="Z133">
            <v>1.3841713404175999</v>
          </cell>
          <cell r="AA133">
            <v>1.3708459839526099</v>
          </cell>
          <cell r="AE133">
            <v>-3.7013974009817298E-2</v>
          </cell>
          <cell r="AF133">
            <v>-4.5628827393763501E-4</v>
          </cell>
          <cell r="AG133">
            <v>-1.1157230433570101E-2</v>
          </cell>
          <cell r="AR133">
            <v>2.4277792994517357E-2</v>
          </cell>
          <cell r="BC133">
            <v>6.8949443174665684E-2</v>
          </cell>
          <cell r="BF133">
            <v>9.3227236169183048E-2</v>
          </cell>
        </row>
        <row r="134">
          <cell r="O134">
            <v>1.3338063878300499</v>
          </cell>
          <cell r="P134">
            <v>1.3849236340554301</v>
          </cell>
          <cell r="Q134">
            <v>1.3726959859914001</v>
          </cell>
          <cell r="U134">
            <v>-4.0249233324915798E-2</v>
          </cell>
          <cell r="V134">
            <v>-3.1843833132884801E-3</v>
          </cell>
          <cell r="W134">
            <v>-1.2857977929762799E-2</v>
          </cell>
          <cell r="Y134">
            <v>1.3338063878300499</v>
          </cell>
          <cell r="Z134">
            <v>1.3849236340554301</v>
          </cell>
          <cell r="AA134">
            <v>1.3726959859914001</v>
          </cell>
          <cell r="AE134">
            <v>-4.0249233324915798E-2</v>
          </cell>
          <cell r="AF134">
            <v>-3.1843833132884801E-3</v>
          </cell>
          <cell r="AG134">
            <v>-1.2857977929762799E-2</v>
          </cell>
          <cell r="AR134">
            <v>2.4277792994517357E-2</v>
          </cell>
          <cell r="BC134">
            <v>6.8949443174665684E-2</v>
          </cell>
          <cell r="BF134">
            <v>9.3227236169183048E-2</v>
          </cell>
        </row>
        <row r="135">
          <cell r="O135">
            <v>1.3338063878300499</v>
          </cell>
          <cell r="P135">
            <v>1.38492992879597</v>
          </cell>
          <cell r="Q135">
            <v>1.3738188096566</v>
          </cell>
          <cell r="U135">
            <v>-3.0271605115340799E-2</v>
          </cell>
          <cell r="V135">
            <v>7.3365947367744098E-3</v>
          </cell>
          <cell r="W135">
            <v>-1.53172641538244E-3</v>
          </cell>
          <cell r="Y135">
            <v>1.3338063878300499</v>
          </cell>
          <cell r="Z135">
            <v>1.38492992879597</v>
          </cell>
          <cell r="AA135">
            <v>1.3738188096566</v>
          </cell>
          <cell r="AE135">
            <v>-3.0271605115340799E-2</v>
          </cell>
          <cell r="AF135">
            <v>7.3365947367744098E-3</v>
          </cell>
          <cell r="AG135">
            <v>-1.53172641538244E-3</v>
          </cell>
          <cell r="AR135">
            <v>2.4277792994517357E-2</v>
          </cell>
          <cell r="BC135">
            <v>6.8949443174665684E-2</v>
          </cell>
          <cell r="BF135">
            <v>9.3227236169183048E-2</v>
          </cell>
        </row>
        <row r="136">
          <cell r="O136">
            <v>1.3338063878300499</v>
          </cell>
          <cell r="P136">
            <v>1.38359484323895</v>
          </cell>
          <cell r="Q136">
            <v>1.37435991654918</v>
          </cell>
          <cell r="U136">
            <v>-2.6961022834337801E-2</v>
          </cell>
          <cell r="V136">
            <v>1.0651722197076999E-2</v>
          </cell>
          <cell r="W136">
            <v>2.5964911680245099E-3</v>
          </cell>
          <cell r="Y136">
            <v>1.3338063878300499</v>
          </cell>
          <cell r="Z136">
            <v>1.38359484323895</v>
          </cell>
          <cell r="AA136">
            <v>1.37435991654918</v>
          </cell>
          <cell r="AE136">
            <v>-2.6961022834337801E-2</v>
          </cell>
          <cell r="AF136">
            <v>1.0651722197076999E-2</v>
          </cell>
          <cell r="AG136">
            <v>2.5964911680245099E-3</v>
          </cell>
          <cell r="AR136">
            <v>2.4277792994517357E-2</v>
          </cell>
          <cell r="BC136">
            <v>6.8949443174665684E-2</v>
          </cell>
          <cell r="BF136">
            <v>9.3227236169183048E-2</v>
          </cell>
        </row>
        <row r="137">
          <cell r="O137">
            <v>1.3338063878300499</v>
          </cell>
          <cell r="P137">
            <v>1.38167264631749</v>
          </cell>
          <cell r="Q137">
            <v>1.37486822744104</v>
          </cell>
          <cell r="U137">
            <v>-2.8047808861360098E-2</v>
          </cell>
          <cell r="V137">
            <v>8.6004617510478804E-3</v>
          </cell>
          <cell r="W137">
            <v>1.9034982334364E-3</v>
          </cell>
          <cell r="Y137">
            <v>1.3338063878300499</v>
          </cell>
          <cell r="Z137">
            <v>1.38167264631749</v>
          </cell>
          <cell r="AA137">
            <v>1.37486822744104</v>
          </cell>
          <cell r="AE137">
            <v>-2.8047808861360098E-2</v>
          </cell>
          <cell r="AF137">
            <v>8.6004617510478804E-3</v>
          </cell>
          <cell r="AG137">
            <v>1.9034982334364E-3</v>
          </cell>
          <cell r="AR137">
            <v>2.4277792994517357E-2</v>
          </cell>
          <cell r="BC137">
            <v>6.8949443174665684E-2</v>
          </cell>
          <cell r="BF137">
            <v>9.3227236169183048E-2</v>
          </cell>
        </row>
        <row r="138">
          <cell r="O138">
            <v>1.3338063878300499</v>
          </cell>
          <cell r="P138">
            <v>1.38013113902019</v>
          </cell>
          <cell r="Q138">
            <v>1.3752115159951099</v>
          </cell>
          <cell r="U138">
            <v>-3.01085176472611E-2</v>
          </cell>
          <cell r="V138">
            <v>5.1495097150300101E-3</v>
          </cell>
          <cell r="W138">
            <v>2.1257388958517701E-4</v>
          </cell>
          <cell r="Y138">
            <v>1.3338063878300499</v>
          </cell>
          <cell r="Z138">
            <v>1.38013113902019</v>
          </cell>
          <cell r="AA138">
            <v>1.3752115159951099</v>
          </cell>
          <cell r="AE138">
            <v>-3.01085176472611E-2</v>
          </cell>
          <cell r="AF138">
            <v>5.1495097150300101E-3</v>
          </cell>
          <cell r="AG138">
            <v>2.1257388958517701E-4</v>
          </cell>
          <cell r="AR138">
            <v>2.4277792994517357E-2</v>
          </cell>
          <cell r="BC138">
            <v>6.8949443174665684E-2</v>
          </cell>
          <cell r="BF138">
            <v>9.3227236169183048E-2</v>
          </cell>
        </row>
        <row r="139">
          <cell r="O139">
            <v>1.3338063878300499</v>
          </cell>
          <cell r="P139">
            <v>1.3788427435452699</v>
          </cell>
          <cell r="Q139">
            <v>1.3759833912008701</v>
          </cell>
          <cell r="U139">
            <v>-2.8617601906886701E-2</v>
          </cell>
          <cell r="V139">
            <v>5.5241206219006399E-3</v>
          </cell>
          <cell r="W139">
            <v>1.9531467947599399E-3</v>
          </cell>
          <cell r="Y139">
            <v>1.3338063878300499</v>
          </cell>
          <cell r="Z139">
            <v>1.3788427435452699</v>
          </cell>
          <cell r="AA139">
            <v>1.3759833912008701</v>
          </cell>
          <cell r="AE139">
            <v>-2.8617601906886701E-2</v>
          </cell>
          <cell r="AF139">
            <v>5.5241206219006399E-3</v>
          </cell>
          <cell r="AG139">
            <v>1.9531467947599399E-3</v>
          </cell>
          <cell r="AR139">
            <v>2.4277792994517357E-2</v>
          </cell>
          <cell r="BC139">
            <v>6.8949443174665684E-2</v>
          </cell>
          <cell r="BF139">
            <v>9.3227236169183048E-2</v>
          </cell>
        </row>
        <row r="140">
          <cell r="O140">
            <v>1.3338063878300499</v>
          </cell>
          <cell r="P140">
            <v>1.3766437928774999</v>
          </cell>
          <cell r="Q140">
            <v>1.3762419186096599</v>
          </cell>
          <cell r="U140">
            <v>-2.5565120815856698E-2</v>
          </cell>
          <cell r="V140">
            <v>7.6426345038037996E-3</v>
          </cell>
          <cell r="W140">
            <v>5.5667478733193903E-3</v>
          </cell>
          <cell r="Y140">
            <v>1.3338063878300499</v>
          </cell>
          <cell r="Z140">
            <v>1.3766437928774999</v>
          </cell>
          <cell r="AA140">
            <v>1.3762419186096599</v>
          </cell>
          <cell r="AE140">
            <v>-2.5565120815856698E-2</v>
          </cell>
          <cell r="AF140">
            <v>7.6426345038037996E-3</v>
          </cell>
          <cell r="AG140">
            <v>5.5667478733193903E-3</v>
          </cell>
          <cell r="AR140">
            <v>2.4277792994517357E-2</v>
          </cell>
          <cell r="BC140">
            <v>6.8949443174665684E-2</v>
          </cell>
          <cell r="BF140">
            <v>9.3227236169183048E-2</v>
          </cell>
        </row>
        <row r="141">
          <cell r="O141">
            <v>1.3338063878300499</v>
          </cell>
          <cell r="P141">
            <v>1.37649201706321</v>
          </cell>
          <cell r="Q141">
            <v>1.3787228451160201</v>
          </cell>
          <cell r="U141">
            <v>-3.3812179203318297E-2</v>
          </cell>
          <cell r="V141">
            <v>-2.2004767806668201E-3</v>
          </cell>
          <cell r="W141">
            <v>-2.4924426033072601E-3</v>
          </cell>
          <cell r="Y141">
            <v>1.3338063878300499</v>
          </cell>
          <cell r="Z141">
            <v>1.37649201706321</v>
          </cell>
          <cell r="AA141">
            <v>1.3787228451160201</v>
          </cell>
          <cell r="AE141">
            <v>-3.3812179203318297E-2</v>
          </cell>
          <cell r="AF141">
            <v>-2.2004767806668201E-3</v>
          </cell>
          <cell r="AG141">
            <v>-2.4924426033072601E-3</v>
          </cell>
          <cell r="AR141">
            <v>2.4277792994517357E-2</v>
          </cell>
          <cell r="BC141">
            <v>6.8949443174665684E-2</v>
          </cell>
          <cell r="BF141">
            <v>9.3227236169183048E-2</v>
          </cell>
        </row>
        <row r="142">
          <cell r="O142">
            <v>1.3338063878300499</v>
          </cell>
          <cell r="P142">
            <v>1.3761340318969399</v>
          </cell>
          <cell r="Q142">
            <v>1.37980177402216</v>
          </cell>
          <cell r="U142">
            <v>-3.1670691287527697E-2</v>
          </cell>
          <cell r="V142">
            <v>-1.6924555028595799E-4</v>
          </cell>
          <cell r="W142">
            <v>1.45010441107193E-3</v>
          </cell>
          <cell r="Y142">
            <v>1.3338063878300499</v>
          </cell>
          <cell r="Z142">
            <v>1.3761340318969399</v>
          </cell>
          <cell r="AA142">
            <v>1.37980177402216</v>
          </cell>
          <cell r="AE142">
            <v>-3.1670691287527697E-2</v>
          </cell>
          <cell r="AF142">
            <v>-1.6924555028595799E-4</v>
          </cell>
          <cell r="AG142">
            <v>1.45010441107193E-3</v>
          </cell>
          <cell r="AR142">
            <v>2.4277792994517357E-2</v>
          </cell>
          <cell r="BC142">
            <v>6.8949443174665684E-2</v>
          </cell>
          <cell r="BF142">
            <v>9.3227236169183048E-2</v>
          </cell>
        </row>
        <row r="143">
          <cell r="O143">
            <v>1.3338063878300499</v>
          </cell>
          <cell r="P143">
            <v>1.3757828191786201</v>
          </cell>
          <cell r="Q143">
            <v>1.3799770797981099</v>
          </cell>
          <cell r="U143">
            <v>-3.44732700361364E-2</v>
          </cell>
          <cell r="V143">
            <v>-3.2319287678040298E-3</v>
          </cell>
          <cell r="W143">
            <v>-5.7022359837866001E-4</v>
          </cell>
          <cell r="Y143">
            <v>1.3338063878300499</v>
          </cell>
          <cell r="Z143">
            <v>1.3757828191786201</v>
          </cell>
          <cell r="AA143">
            <v>1.3799770797981099</v>
          </cell>
          <cell r="AE143">
            <v>-3.44732700361364E-2</v>
          </cell>
          <cell r="AF143">
            <v>-3.2319287678040298E-3</v>
          </cell>
          <cell r="AG143">
            <v>-5.7022359837866001E-4</v>
          </cell>
          <cell r="AR143">
            <v>2.4277792994517357E-2</v>
          </cell>
          <cell r="BC143">
            <v>6.8949443174665684E-2</v>
          </cell>
          <cell r="BF143">
            <v>9.3227236169183048E-2</v>
          </cell>
        </row>
        <row r="144">
          <cell r="O144">
            <v>1.3338063878300499</v>
          </cell>
          <cell r="P144">
            <v>1.37495265203242</v>
          </cell>
          <cell r="Q144">
            <v>1.3799381430439299</v>
          </cell>
          <cell r="U144">
            <v>-3.4252783679277699E-2</v>
          </cell>
          <cell r="V144">
            <v>-3.2666919255443499E-3</v>
          </cell>
          <cell r="W144">
            <v>-2.22693890964001E-4</v>
          </cell>
          <cell r="Y144">
            <v>1.3338063878300499</v>
          </cell>
          <cell r="Z144">
            <v>1.37495265203242</v>
          </cell>
          <cell r="AA144">
            <v>1.3799381430439299</v>
          </cell>
          <cell r="AE144">
            <v>-3.4252783679277699E-2</v>
          </cell>
          <cell r="AF144">
            <v>-3.2666919255443499E-3</v>
          </cell>
          <cell r="AG144">
            <v>-2.22693890964001E-4</v>
          </cell>
          <cell r="AR144">
            <v>2.4277792994517357E-2</v>
          </cell>
          <cell r="BC144">
            <v>6.8949443174665684E-2</v>
          </cell>
          <cell r="BF144">
            <v>9.3227236169183048E-2</v>
          </cell>
        </row>
        <row r="145">
          <cell r="O145">
            <v>1.3338063878300499</v>
          </cell>
          <cell r="P145">
            <v>1.37573927349109</v>
          </cell>
          <cell r="Q145">
            <v>1.38033460114353</v>
          </cell>
          <cell r="U145">
            <v>-3.5977013064739903E-2</v>
          </cell>
          <cell r="V145">
            <v>-5.5945178255325098E-3</v>
          </cell>
          <cell r="W145">
            <v>-1.9751391823822099E-3</v>
          </cell>
          <cell r="Y145">
            <v>1.3338063878300499</v>
          </cell>
          <cell r="Z145">
            <v>1.37573927349109</v>
          </cell>
          <cell r="AA145">
            <v>1.38033460114353</v>
          </cell>
          <cell r="AE145">
            <v>-3.5977013064739903E-2</v>
          </cell>
          <cell r="AF145">
            <v>-5.5945178255325098E-3</v>
          </cell>
          <cell r="AG145">
            <v>-1.9751391823822099E-3</v>
          </cell>
          <cell r="AR145">
            <v>2.4277792994517357E-2</v>
          </cell>
          <cell r="BC145">
            <v>6.8949443174665684E-2</v>
          </cell>
          <cell r="BF145">
            <v>9.3227236169183048E-2</v>
          </cell>
        </row>
        <row r="146">
          <cell r="O146">
            <v>1.3338063878300499</v>
          </cell>
          <cell r="P146">
            <v>1.37722421280758</v>
          </cell>
          <cell r="Q146">
            <v>1.38040952802327</v>
          </cell>
          <cell r="U146">
            <v>-3.7739669460914997E-2</v>
          </cell>
          <cell r="V146">
            <v>-6.7852297790685998E-3</v>
          </cell>
          <cell r="W146">
            <v>-3.4505354857550601E-3</v>
          </cell>
          <cell r="Y146">
            <v>1.3338063878300499</v>
          </cell>
          <cell r="Z146">
            <v>1.37722421280758</v>
          </cell>
          <cell r="AA146">
            <v>1.38040952802327</v>
          </cell>
          <cell r="AE146">
            <v>-3.7739669460914997E-2</v>
          </cell>
          <cell r="AF146">
            <v>-6.7852297790685998E-3</v>
          </cell>
          <cell r="AG146">
            <v>-3.4505354857550601E-3</v>
          </cell>
          <cell r="AR146">
            <v>2.4277792994517357E-2</v>
          </cell>
          <cell r="BC146">
            <v>6.8949443174665684E-2</v>
          </cell>
          <cell r="BF146">
            <v>9.3227236169183048E-2</v>
          </cell>
        </row>
        <row r="147">
          <cell r="O147">
            <v>1.3338063878300499</v>
          </cell>
          <cell r="P147">
            <v>1.3777166810256301</v>
          </cell>
          <cell r="Q147">
            <v>1.3796946636715599</v>
          </cell>
          <cell r="U147">
            <v>-3.1631462213956997E-2</v>
          </cell>
          <cell r="V147">
            <v>4.0177089751380598E-4</v>
          </cell>
          <cell r="W147">
            <v>2.7119519670118701E-3</v>
          </cell>
          <cell r="Y147">
            <v>1.3338063878300499</v>
          </cell>
          <cell r="Z147">
            <v>1.3777166810256301</v>
          </cell>
          <cell r="AA147">
            <v>1.3796946636715599</v>
          </cell>
          <cell r="AE147">
            <v>-3.1631462213956997E-2</v>
          </cell>
          <cell r="AF147">
            <v>4.0177089751380598E-4</v>
          </cell>
          <cell r="AG147">
            <v>2.7119519670118701E-3</v>
          </cell>
          <cell r="AR147">
            <v>2.4277792994517357E-2</v>
          </cell>
          <cell r="BC147">
            <v>6.8949443174665684E-2</v>
          </cell>
          <cell r="BF147">
            <v>9.3227236169183048E-2</v>
          </cell>
        </row>
        <row r="148">
          <cell r="O148">
            <v>1.3338063878300499</v>
          </cell>
          <cell r="P148">
            <v>1.3784979141912801</v>
          </cell>
          <cell r="Q148">
            <v>1.3793145266057301</v>
          </cell>
          <cell r="U148">
            <v>-3.5775876119544997E-2</v>
          </cell>
          <cell r="V148">
            <v>-3.38512664581843E-3</v>
          </cell>
          <cell r="W148">
            <v>-1.95046004157719E-3</v>
          </cell>
          <cell r="Y148">
            <v>1.3338063878300499</v>
          </cell>
          <cell r="Z148">
            <v>1.3784979141912801</v>
          </cell>
          <cell r="AA148">
            <v>1.3793145266057301</v>
          </cell>
          <cell r="AE148">
            <v>-3.5775876119544997E-2</v>
          </cell>
          <cell r="AF148">
            <v>-3.38512664581843E-3</v>
          </cell>
          <cell r="AG148">
            <v>-1.95046004157719E-3</v>
          </cell>
          <cell r="AR148">
            <v>2.4277792994517357E-2</v>
          </cell>
          <cell r="BC148">
            <v>6.8949443174665684E-2</v>
          </cell>
          <cell r="BF148">
            <v>9.3227236169183048E-2</v>
          </cell>
        </row>
        <row r="149">
          <cell r="O149">
            <v>1.3338063878300499</v>
          </cell>
          <cell r="P149">
            <v>1.37890178338233</v>
          </cell>
          <cell r="Q149">
            <v>1.3788722634638</v>
          </cell>
          <cell r="U149">
            <v>-3.1555801449317397E-2</v>
          </cell>
          <cell r="V149">
            <v>1.4018365300581799E-3</v>
          </cell>
          <cell r="W149">
            <v>1.99405406178147E-3</v>
          </cell>
          <cell r="Y149">
            <v>1.3338063878300499</v>
          </cell>
          <cell r="Z149">
            <v>1.37890178338233</v>
          </cell>
          <cell r="AA149">
            <v>1.3788722634638</v>
          </cell>
          <cell r="AE149">
            <v>-3.1555801449317397E-2</v>
          </cell>
          <cell r="AF149">
            <v>1.4018365300581799E-3</v>
          </cell>
          <cell r="AG149">
            <v>1.99405406178147E-3</v>
          </cell>
          <cell r="AR149">
            <v>2.4277792994517357E-2</v>
          </cell>
          <cell r="BC149">
            <v>6.8949443174665684E-2</v>
          </cell>
          <cell r="BF149">
            <v>9.3227236169183048E-2</v>
          </cell>
        </row>
        <row r="150">
          <cell r="O150">
            <v>1.3338063878300499</v>
          </cell>
          <cell r="P150">
            <v>1.37971363710087</v>
          </cell>
          <cell r="Q150">
            <v>1.37817871498918</v>
          </cell>
          <cell r="U150">
            <v>-3.14806965140592E-2</v>
          </cell>
          <cell r="V150">
            <v>1.7698762866933701E-3</v>
          </cell>
          <cell r="W150">
            <v>1.7484677753147101E-3</v>
          </cell>
          <cell r="Y150">
            <v>1.3338063878300499</v>
          </cell>
          <cell r="Z150">
            <v>1.37971363710087</v>
          </cell>
          <cell r="AA150">
            <v>1.37817871498918</v>
          </cell>
          <cell r="AE150">
            <v>-3.14806965140592E-2</v>
          </cell>
          <cell r="AF150">
            <v>1.7698762866933701E-3</v>
          </cell>
          <cell r="AG150">
            <v>1.7484677753147101E-3</v>
          </cell>
          <cell r="AR150">
            <v>2.4277792994517357E-2</v>
          </cell>
          <cell r="BC150">
            <v>6.8949443174665684E-2</v>
          </cell>
          <cell r="BF150">
            <v>9.3227236169183048E-2</v>
          </cell>
        </row>
        <row r="151">
          <cell r="O151">
            <v>1.3338063878300499</v>
          </cell>
          <cell r="P151">
            <v>1.37977310826747</v>
          </cell>
          <cell r="Q151">
            <v>1.37813256266534</v>
          </cell>
          <cell r="U151">
            <v>-3.4243137888063699E-2</v>
          </cell>
          <cell r="V151">
            <v>-4.0397000011472E-4</v>
          </cell>
          <cell r="W151">
            <v>-1.51708253259179E-3</v>
          </cell>
          <cell r="Y151">
            <v>1.3338063878300499</v>
          </cell>
          <cell r="Z151">
            <v>1.37977310826747</v>
          </cell>
          <cell r="AA151">
            <v>1.37813256266534</v>
          </cell>
          <cell r="AE151">
            <v>-3.4243137888063699E-2</v>
          </cell>
          <cell r="AF151">
            <v>-4.0397000011472E-4</v>
          </cell>
          <cell r="AG151">
            <v>-1.51708253259179E-3</v>
          </cell>
          <cell r="AR151">
            <v>2.4277792994517357E-2</v>
          </cell>
          <cell r="BC151">
            <v>6.8949443174665684E-2</v>
          </cell>
          <cell r="BF151">
            <v>9.3227236169183048E-2</v>
          </cell>
        </row>
        <row r="152">
          <cell r="O152">
            <v>1.3338063878300499</v>
          </cell>
          <cell r="P152">
            <v>1.37939500976479</v>
          </cell>
          <cell r="Q152">
            <v>1.37776452083086</v>
          </cell>
          <cell r="U152">
            <v>-2.89205512641439E-2</v>
          </cell>
          <cell r="V152">
            <v>4.9617196875968803E-3</v>
          </cell>
          <cell r="W152">
            <v>3.7720156212676399E-3</v>
          </cell>
          <cell r="Y152">
            <v>1.3338063878300499</v>
          </cell>
          <cell r="Z152">
            <v>1.37939500976479</v>
          </cell>
          <cell r="AA152">
            <v>1.37776452083086</v>
          </cell>
          <cell r="AE152">
            <v>-2.89205512641439E-2</v>
          </cell>
          <cell r="AF152">
            <v>4.9617196875968803E-3</v>
          </cell>
          <cell r="AG152">
            <v>3.7720156212676399E-3</v>
          </cell>
          <cell r="AR152">
            <v>2.4277792994517357E-2</v>
          </cell>
          <cell r="BC152">
            <v>6.8949443174665684E-2</v>
          </cell>
          <cell r="BF152">
            <v>9.3227236169183048E-2</v>
          </cell>
        </row>
        <row r="153">
          <cell r="O153">
            <v>1.3338063878300499</v>
          </cell>
          <cell r="P153">
            <v>1.37994296023054</v>
          </cell>
          <cell r="Q153">
            <v>1.3778628897045799</v>
          </cell>
          <cell r="U153">
            <v>-3.8434376627171397E-2</v>
          </cell>
          <cell r="V153">
            <v>-4.82617270496556E-3</v>
          </cell>
          <cell r="W153">
            <v>-6.0089037772130703E-3</v>
          </cell>
          <cell r="Y153">
            <v>1.3338063878300499</v>
          </cell>
          <cell r="Z153">
            <v>1.37994296023054</v>
          </cell>
          <cell r="AA153">
            <v>1.3778628897045799</v>
          </cell>
          <cell r="AE153">
            <v>-3.8434376627171397E-2</v>
          </cell>
          <cell r="AF153">
            <v>-4.82617270496556E-3</v>
          </cell>
          <cell r="AG153">
            <v>-6.0089037772130703E-3</v>
          </cell>
          <cell r="AR153">
            <v>2.4277792994517357E-2</v>
          </cell>
          <cell r="BC153">
            <v>6.8949443174665684E-2</v>
          </cell>
          <cell r="BF153">
            <v>9.3227236169183048E-2</v>
          </cell>
        </row>
        <row r="154">
          <cell r="O154">
            <v>1.3338063878300499</v>
          </cell>
          <cell r="P154">
            <v>1.3789778143015501</v>
          </cell>
          <cell r="Q154">
            <v>1.3769652331669899</v>
          </cell>
          <cell r="U154">
            <v>-2.7235852590759699E-2</v>
          </cell>
          <cell r="V154">
            <v>6.7695121569134398E-3</v>
          </cell>
          <cell r="W154">
            <v>5.2610151606872196E-3</v>
          </cell>
          <cell r="Y154">
            <v>1.3338063878300499</v>
          </cell>
          <cell r="Z154">
            <v>1.3789778143015501</v>
          </cell>
          <cell r="AA154">
            <v>1.3769652331669899</v>
          </cell>
          <cell r="AE154">
            <v>-2.7235852590759699E-2</v>
          </cell>
          <cell r="AF154">
            <v>6.7695121569134398E-3</v>
          </cell>
          <cell r="AG154">
            <v>5.2610151606872196E-3</v>
          </cell>
          <cell r="AR154">
            <v>2.4277792994517357E-2</v>
          </cell>
          <cell r="BC154">
            <v>6.8949443174665684E-2</v>
          </cell>
          <cell r="BF154">
            <v>9.3227236169183048E-2</v>
          </cell>
        </row>
        <row r="155">
          <cell r="O155">
            <v>1.3338063878300499</v>
          </cell>
          <cell r="P155">
            <v>1.37706847117681</v>
          </cell>
          <cell r="Q155">
            <v>1.37640387233395</v>
          </cell>
          <cell r="U155">
            <v>-2.20716419361617E-2</v>
          </cell>
          <cell r="V155">
            <v>1.123406809343E-2</v>
          </cell>
          <cell r="W155">
            <v>9.7735288459467901E-3</v>
          </cell>
          <cell r="Y155">
            <v>1.3338063878300499</v>
          </cell>
          <cell r="Z155">
            <v>1.37706847117681</v>
          </cell>
          <cell r="AA155">
            <v>1.37640387233395</v>
          </cell>
          <cell r="AE155">
            <v>-2.20716419361617E-2</v>
          </cell>
          <cell r="AF155">
            <v>1.123406809343E-2</v>
          </cell>
          <cell r="AG155">
            <v>9.7735288459467901E-3</v>
          </cell>
          <cell r="AR155">
            <v>2.4277792994517357E-2</v>
          </cell>
          <cell r="BC155">
            <v>6.8949443174665684E-2</v>
          </cell>
          <cell r="BF155">
            <v>9.3227236169183048E-2</v>
          </cell>
        </row>
        <row r="156">
          <cell r="O156">
            <v>1.3338063878300499</v>
          </cell>
          <cell r="P156">
            <v>1.37480648989535</v>
          </cell>
          <cell r="Q156">
            <v>1.3760153513514699</v>
          </cell>
          <cell r="U156">
            <v>-2.1274104773142202E-2</v>
          </cell>
          <cell r="V156">
            <v>1.06460382285896E-2</v>
          </cell>
          <cell r="W156">
            <v>1.01633031415052E-2</v>
          </cell>
          <cell r="Y156">
            <v>1.3338063878300499</v>
          </cell>
          <cell r="Z156">
            <v>1.37480648989535</v>
          </cell>
          <cell r="AA156">
            <v>1.3760153513514699</v>
          </cell>
          <cell r="AE156">
            <v>-2.1274104773142202E-2</v>
          </cell>
          <cell r="AF156">
            <v>1.06460382285896E-2</v>
          </cell>
          <cell r="AG156">
            <v>1.01633031415052E-2</v>
          </cell>
          <cell r="AR156">
            <v>2.4277792994517357E-2</v>
          </cell>
          <cell r="BC156">
            <v>6.8949443174665684E-2</v>
          </cell>
          <cell r="BF156">
            <v>9.3227236169183048E-2</v>
          </cell>
        </row>
        <row r="157">
          <cell r="O157">
            <v>1.3338063878300499</v>
          </cell>
          <cell r="P157">
            <v>1.3743455987870401</v>
          </cell>
          <cell r="Q157">
            <v>1.3760311399063401</v>
          </cell>
          <cell r="U157">
            <v>-2.82779787953059E-2</v>
          </cell>
          <cell r="V157">
            <v>1.99820739669685E-3</v>
          </cell>
          <cell r="W157">
            <v>2.8771167581160099E-3</v>
          </cell>
          <cell r="Y157">
            <v>1.3338063878300499</v>
          </cell>
          <cell r="Z157">
            <v>1.3743455987870401</v>
          </cell>
          <cell r="AA157">
            <v>1.3760311399063401</v>
          </cell>
          <cell r="AE157">
            <v>-2.82779787953059E-2</v>
          </cell>
          <cell r="AF157">
            <v>1.99820739669685E-3</v>
          </cell>
          <cell r="AG157">
            <v>2.8771167581160099E-3</v>
          </cell>
          <cell r="AR157">
            <v>2.4277792994517357E-2</v>
          </cell>
          <cell r="BC157">
            <v>6.8949443174665684E-2</v>
          </cell>
          <cell r="BF157">
            <v>9.3227236169183048E-2</v>
          </cell>
        </row>
        <row r="158">
          <cell r="O158">
            <v>1.3338063878300499</v>
          </cell>
          <cell r="P158">
            <v>1.3730254354236999</v>
          </cell>
          <cell r="Q158">
            <v>1.3757616748074899</v>
          </cell>
          <cell r="U158">
            <v>-2.6180110192925599E-2</v>
          </cell>
          <cell r="V158">
            <v>3.7607790800557E-3</v>
          </cell>
          <cell r="W158">
            <v>4.98645940711587E-3</v>
          </cell>
          <cell r="Y158">
            <v>1.3338063878300499</v>
          </cell>
          <cell r="Z158">
            <v>1.3730254354236999</v>
          </cell>
          <cell r="AA158">
            <v>1.3757616748074899</v>
          </cell>
          <cell r="AE158">
            <v>-2.6180110192925599E-2</v>
          </cell>
          <cell r="AF158">
            <v>3.7607790800557E-3</v>
          </cell>
          <cell r="AG158">
            <v>4.98645940711587E-3</v>
          </cell>
          <cell r="AR158">
            <v>2.4277792994517357E-2</v>
          </cell>
          <cell r="BC158">
            <v>6.8949443174665684E-2</v>
          </cell>
          <cell r="BF158">
            <v>9.3227236169183048E-2</v>
          </cell>
        </row>
        <row r="159">
          <cell r="O159">
            <v>1.3338063878300499</v>
          </cell>
          <cell r="P159">
            <v>1.37282478235715</v>
          </cell>
          <cell r="Q159">
            <v>1.3758632828697399</v>
          </cell>
          <cell r="U159">
            <v>-3.0097104040305599E-2</v>
          </cell>
          <cell r="V159">
            <v>-1.1172523909347401E-3</v>
          </cell>
          <cell r="W159">
            <v>8.7361862077461503E-4</v>
          </cell>
          <cell r="Y159">
            <v>1.3338063878300499</v>
          </cell>
          <cell r="Z159">
            <v>1.37282478235715</v>
          </cell>
          <cell r="AA159">
            <v>1.3758632828697399</v>
          </cell>
          <cell r="AE159">
            <v>-3.0097104040305599E-2</v>
          </cell>
          <cell r="AF159">
            <v>-1.1172523909347401E-3</v>
          </cell>
          <cell r="AG159">
            <v>8.7361862077461503E-4</v>
          </cell>
          <cell r="AR159">
            <v>2.4277792994517357E-2</v>
          </cell>
          <cell r="BC159">
            <v>6.8949443174665684E-2</v>
          </cell>
          <cell r="BF159">
            <v>9.3227236169183048E-2</v>
          </cell>
        </row>
        <row r="160">
          <cell r="O160">
            <v>1.3338063878300499</v>
          </cell>
          <cell r="P160">
            <v>1.3711043052215599</v>
          </cell>
          <cell r="Q160">
            <v>1.3754089711612101</v>
          </cell>
          <cell r="U160">
            <v>-1.89026660752105E-2</v>
          </cell>
          <cell r="V160">
            <v>9.9310355288252106E-3</v>
          </cell>
          <cell r="W160">
            <v>1.21419097190976E-2</v>
          </cell>
          <cell r="Y160">
            <v>1.3338063878300499</v>
          </cell>
          <cell r="Z160">
            <v>1.3711043052215599</v>
          </cell>
          <cell r="AA160">
            <v>1.3754089711612101</v>
          </cell>
          <cell r="AE160">
            <v>-1.89026660752105E-2</v>
          </cell>
          <cell r="AF160">
            <v>9.9310355288252106E-3</v>
          </cell>
          <cell r="AG160">
            <v>1.21419097190976E-2</v>
          </cell>
          <cell r="AR160">
            <v>2.4277792994517357E-2</v>
          </cell>
          <cell r="BC160">
            <v>6.8949443174665684E-2</v>
          </cell>
          <cell r="BF160">
            <v>9.3227236169183048E-2</v>
          </cell>
        </row>
        <row r="161">
          <cell r="O161">
            <v>1.3338063878300499</v>
          </cell>
          <cell r="P161">
            <v>1.36910784530124</v>
          </cell>
          <cell r="Q161">
            <v>1.3744404767843601</v>
          </cell>
          <cell r="U161">
            <v>-1.9673251460663899E-2</v>
          </cell>
          <cell r="V161">
            <v>7.9064254902959097E-3</v>
          </cell>
          <cell r="W161">
            <v>1.10410686041438E-2</v>
          </cell>
          <cell r="Y161">
            <v>1.3338063878300499</v>
          </cell>
          <cell r="Z161">
            <v>1.36910784530124</v>
          </cell>
          <cell r="AA161">
            <v>1.3744404767843601</v>
          </cell>
          <cell r="AE161">
            <v>-1.9673251460663899E-2</v>
          </cell>
          <cell r="AF161">
            <v>7.9064254902959097E-3</v>
          </cell>
          <cell r="AG161">
            <v>1.10410686041438E-2</v>
          </cell>
          <cell r="AR161">
            <v>2.4277792994517357E-2</v>
          </cell>
          <cell r="BC161">
            <v>6.8949443174665684E-2</v>
          </cell>
          <cell r="BF161">
            <v>9.3227236169183048E-2</v>
          </cell>
        </row>
        <row r="162">
          <cell r="O162">
            <v>1.3338063878300499</v>
          </cell>
          <cell r="P162">
            <v>1.3678586544278399</v>
          </cell>
          <cell r="Q162">
            <v>1.3736268320963101</v>
          </cell>
          <cell r="U162">
            <v>-1.9780276578963901E-2</v>
          </cell>
          <cell r="V162">
            <v>6.3422429229324298E-3</v>
          </cell>
          <cell r="W162">
            <v>1.0229645346791501E-2</v>
          </cell>
          <cell r="Y162">
            <v>1.3338063878300499</v>
          </cell>
          <cell r="Z162">
            <v>1.3678586544278399</v>
          </cell>
          <cell r="AA162">
            <v>1.3736268320963101</v>
          </cell>
          <cell r="AE162">
            <v>-1.9780276578963901E-2</v>
          </cell>
          <cell r="AF162">
            <v>6.3422429229324298E-3</v>
          </cell>
          <cell r="AG162">
            <v>1.0229645346791501E-2</v>
          </cell>
          <cell r="AR162">
            <v>2.4277792994517357E-2</v>
          </cell>
          <cell r="BC162">
            <v>6.8949443174665684E-2</v>
          </cell>
          <cell r="BF162">
            <v>9.3227236169183048E-2</v>
          </cell>
        </row>
        <row r="163">
          <cell r="O163">
            <v>1.3338063878300499</v>
          </cell>
          <cell r="P163">
            <v>1.3657940260479</v>
          </cell>
          <cell r="Q163">
            <v>1.3728684931392201</v>
          </cell>
          <cell r="U163">
            <v>-2.3426748790487398E-2</v>
          </cell>
          <cell r="V163">
            <v>1.7829418841130899E-3</v>
          </cell>
          <cell r="W163">
            <v>5.9910153600998004E-3</v>
          </cell>
          <cell r="Y163">
            <v>1.3338063878300499</v>
          </cell>
          <cell r="Z163">
            <v>1.3657940260479</v>
          </cell>
          <cell r="AA163">
            <v>1.3728684931392201</v>
          </cell>
          <cell r="AE163">
            <v>-2.3426748790487398E-2</v>
          </cell>
          <cell r="AF163">
            <v>1.7829418841130899E-3</v>
          </cell>
          <cell r="AG163">
            <v>5.9910153600998004E-3</v>
          </cell>
          <cell r="AR163">
            <v>2.4277792994517357E-2</v>
          </cell>
          <cell r="BC163">
            <v>6.8949443174665684E-2</v>
          </cell>
          <cell r="BF163">
            <v>9.3227236169183048E-2</v>
          </cell>
        </row>
        <row r="164">
          <cell r="O164">
            <v>1.3338063878300499</v>
          </cell>
          <cell r="P164">
            <v>1.36403013520713</v>
          </cell>
          <cell r="Q164">
            <v>1.37150397475434</v>
          </cell>
          <cell r="U164">
            <v>-1.4283157637463699E-2</v>
          </cell>
          <cell r="V164">
            <v>9.4160055387055401E-3</v>
          </cell>
          <cell r="W164">
            <v>1.45823834895503E-2</v>
          </cell>
          <cell r="Y164">
            <v>1.3338063878300499</v>
          </cell>
          <cell r="Z164">
            <v>1.36403013520713</v>
          </cell>
          <cell r="AA164">
            <v>1.37150397475434</v>
          </cell>
          <cell r="AE164">
            <v>-1.4283157637463699E-2</v>
          </cell>
          <cell r="AF164">
            <v>9.4160055387055401E-3</v>
          </cell>
          <cell r="AG164">
            <v>1.45823834895503E-2</v>
          </cell>
          <cell r="AR164">
            <v>2.4277792994517357E-2</v>
          </cell>
          <cell r="BC164">
            <v>6.8949443174665684E-2</v>
          </cell>
          <cell r="BF164">
            <v>9.3227236169183048E-2</v>
          </cell>
        </row>
        <row r="165">
          <cell r="O165">
            <v>1.3338063878300499</v>
          </cell>
          <cell r="P165">
            <v>1.36193442089548</v>
          </cell>
          <cell r="Q165">
            <v>1.3695014460361401</v>
          </cell>
          <cell r="U165">
            <v>-6.5830241260703198E-3</v>
          </cell>
          <cell r="V165">
            <v>1.58238279105824E-2</v>
          </cell>
          <cell r="W165">
            <v>2.1288104971757201E-2</v>
          </cell>
          <cell r="Y165">
            <v>1.3338063878300499</v>
          </cell>
          <cell r="Z165">
            <v>1.36193442089548</v>
          </cell>
          <cell r="AA165">
            <v>1.3695014460361401</v>
          </cell>
          <cell r="AE165">
            <v>-6.5830241260703198E-3</v>
          </cell>
          <cell r="AF165">
            <v>1.58238279105824E-2</v>
          </cell>
          <cell r="AG165">
            <v>2.1288104971757201E-2</v>
          </cell>
          <cell r="AR165">
            <v>2.4277792994517357E-2</v>
          </cell>
          <cell r="BC165">
            <v>6.8949443174665684E-2</v>
          </cell>
          <cell r="BF165">
            <v>9.3227236169183048E-2</v>
          </cell>
        </row>
        <row r="166">
          <cell r="O166">
            <v>1.3338063878300499</v>
          </cell>
          <cell r="P166">
            <v>1.36026553090942</v>
          </cell>
          <cell r="Q166">
            <v>1.3675360104023899</v>
          </cell>
          <cell r="U166">
            <v>-8.9496086891679705E-3</v>
          </cell>
          <cell r="V166">
            <v>1.1919648355761901E-2</v>
          </cell>
          <cell r="W166">
            <v>1.7460356516541101E-2</v>
          </cell>
          <cell r="Y166">
            <v>1.3338063878300499</v>
          </cell>
          <cell r="Z166">
            <v>1.36026553090942</v>
          </cell>
          <cell r="AA166">
            <v>1.3675360104023899</v>
          </cell>
          <cell r="AE166">
            <v>-8.9496086891679705E-3</v>
          </cell>
          <cell r="AF166">
            <v>1.1919648355761901E-2</v>
          </cell>
          <cell r="AG166">
            <v>1.7460356516541101E-2</v>
          </cell>
          <cell r="AR166">
            <v>2.4277792994517357E-2</v>
          </cell>
          <cell r="BC166">
            <v>7.1316027737763327E-2</v>
          </cell>
          <cell r="BF166">
            <v>9.5593820732280704E-2</v>
          </cell>
        </row>
        <row r="167">
          <cell r="O167">
            <v>1.3338063878300499</v>
          </cell>
          <cell r="P167">
            <v>1.3586820443578</v>
          </cell>
          <cell r="Q167">
            <v>1.36651382157242</v>
          </cell>
          <cell r="U167">
            <v>-1.6669940523002202E-2</v>
          </cell>
          <cell r="V167">
            <v>2.9731830822908299E-3</v>
          </cell>
          <cell r="W167">
            <v>8.3038470615646696E-3</v>
          </cell>
          <cell r="Y167">
            <v>1.3338063878300499</v>
          </cell>
          <cell r="Z167">
            <v>1.3586820443578</v>
          </cell>
          <cell r="AA167">
            <v>1.36651382157242</v>
          </cell>
          <cell r="AE167">
            <v>-1.6669940523002202E-2</v>
          </cell>
          <cell r="AF167">
            <v>2.9731830822908299E-3</v>
          </cell>
          <cell r="AG167">
            <v>8.3038470615646696E-3</v>
          </cell>
          <cell r="AR167">
            <v>2.4277792994517357E-2</v>
          </cell>
          <cell r="BC167">
            <v>7.9036359571597326E-2</v>
          </cell>
          <cell r="BF167">
            <v>0.1033141525661147</v>
          </cell>
        </row>
        <row r="168">
          <cell r="O168">
            <v>1.3338063878300499</v>
          </cell>
          <cell r="P168">
            <v>1.3561228789461699</v>
          </cell>
          <cell r="Q168">
            <v>1.3645741571849399</v>
          </cell>
          <cell r="U168">
            <v>-7.3120877575476896E-3</v>
          </cell>
          <cell r="V168">
            <v>1.1166256691980099E-2</v>
          </cell>
          <cell r="W168">
            <v>1.6913952755523199E-2</v>
          </cell>
          <cell r="Y168">
            <v>1.3338063878300499</v>
          </cell>
          <cell r="Z168">
            <v>1.3561228789461699</v>
          </cell>
          <cell r="AA168">
            <v>1.3645741571849399</v>
          </cell>
          <cell r="AE168">
            <v>-7.3120877575476896E-3</v>
          </cell>
          <cell r="AF168">
            <v>1.1166256691980099E-2</v>
          </cell>
          <cell r="AG168">
            <v>1.6913952755523199E-2</v>
          </cell>
          <cell r="AR168">
            <v>2.4277792994517357E-2</v>
          </cell>
          <cell r="BC168">
            <v>6.9678506806143001E-2</v>
          </cell>
          <cell r="BF168">
            <v>9.3956299800660378E-2</v>
          </cell>
        </row>
        <row r="169">
          <cell r="O169">
            <v>1.3338063878300499</v>
          </cell>
          <cell r="P169">
            <v>1.3533038826488299</v>
          </cell>
          <cell r="Q169">
            <v>1.3630643325029901</v>
          </cell>
          <cell r="U169">
            <v>-9.3755383412288396E-3</v>
          </cell>
          <cell r="V169">
            <v>7.2174653622929701E-3</v>
          </cell>
          <cell r="W169">
            <v>1.34300684628583E-2</v>
          </cell>
          <cell r="Y169">
            <v>1.3338063878300499</v>
          </cell>
          <cell r="Z169">
            <v>1.3533038826488299</v>
          </cell>
          <cell r="AA169">
            <v>1.3630643325029901</v>
          </cell>
          <cell r="AE169">
            <v>-9.3755383412288396E-3</v>
          </cell>
          <cell r="AF169">
            <v>7.2174653622929701E-3</v>
          </cell>
          <cell r="AG169">
            <v>1.34300684628583E-2</v>
          </cell>
          <cell r="AR169">
            <v>2.4277792994517357E-2</v>
          </cell>
          <cell r="BC169">
            <v>7.1741957389824071E-2</v>
          </cell>
          <cell r="BF169">
            <v>9.6019750384341448E-2</v>
          </cell>
        </row>
        <row r="170">
          <cell r="O170">
            <v>1.3338063878300499</v>
          </cell>
          <cell r="P170">
            <v>1.3535060756855</v>
          </cell>
          <cell r="Q170">
            <v>1.3623051904535299</v>
          </cell>
          <cell r="U170">
            <v>-2.0389085138503099E-2</v>
          </cell>
          <cell r="V170">
            <v>-5.8769624202194897E-3</v>
          </cell>
          <cell r="W170">
            <v>1.3094652562720499E-3</v>
          </cell>
          <cell r="Y170">
            <v>1.3338063878300499</v>
          </cell>
          <cell r="Z170">
            <v>1.3535060756855</v>
          </cell>
          <cell r="AA170">
            <v>1.3623051904535299</v>
          </cell>
          <cell r="AE170">
            <v>-2.0389085138503099E-2</v>
          </cell>
          <cell r="AF170">
            <v>-5.8769624202194897E-3</v>
          </cell>
          <cell r="AG170">
            <v>1.3094652562720499E-3</v>
          </cell>
          <cell r="AR170">
            <v>2.4277792994517357E-2</v>
          </cell>
          <cell r="BC170">
            <v>8.2755504187098178E-2</v>
          </cell>
          <cell r="BF170">
            <v>0.10703329718161556</v>
          </cell>
        </row>
        <row r="171">
          <cell r="O171">
            <v>1.3338063878300499</v>
          </cell>
          <cell r="P171">
            <v>1.35299045473838</v>
          </cell>
          <cell r="Q171">
            <v>1.3610491500198101</v>
          </cell>
          <cell r="U171">
            <v>-1.5875573194992599E-2</v>
          </cell>
          <cell r="V171">
            <v>-1.21405466380378E-3</v>
          </cell>
          <cell r="W171">
            <v>5.2658842531585603E-3</v>
          </cell>
          <cell r="Y171">
            <v>1.3338063878300499</v>
          </cell>
          <cell r="Z171">
            <v>1.35299045473838</v>
          </cell>
          <cell r="AA171">
            <v>1.3610491500198101</v>
          </cell>
          <cell r="AE171">
            <v>-1.5875573194992599E-2</v>
          </cell>
          <cell r="AF171">
            <v>-1.21405466380378E-3</v>
          </cell>
          <cell r="AG171">
            <v>5.2658842531585603E-3</v>
          </cell>
          <cell r="AR171">
            <v>2.4277792994517357E-2</v>
          </cell>
          <cell r="BC171">
            <v>8.2755504187098178E-2</v>
          </cell>
          <cell r="BF171">
            <v>0.10703329718161556</v>
          </cell>
        </row>
        <row r="172">
          <cell r="O172">
            <v>1.3338063878300499</v>
          </cell>
          <cell r="P172">
            <v>1.3514329906882401</v>
          </cell>
          <cell r="Q172">
            <v>1.3596458225580399</v>
          </cell>
          <cell r="U172">
            <v>-8.2661063950783195E-3</v>
          </cell>
          <cell r="V172">
            <v>6.0143874811244896E-3</v>
          </cell>
          <cell r="W172">
            <v>1.1952929387912901E-2</v>
          </cell>
          <cell r="Y172">
            <v>1.3338063878300499</v>
          </cell>
          <cell r="Z172">
            <v>1.3514329906882401</v>
          </cell>
          <cell r="AA172">
            <v>1.3596458225580399</v>
          </cell>
          <cell r="AE172">
            <v>-8.2661063950783195E-3</v>
          </cell>
          <cell r="AF172">
            <v>6.0143874811244896E-3</v>
          </cell>
          <cell r="AG172">
            <v>1.1952929387912901E-2</v>
          </cell>
          <cell r="AR172">
            <v>2.4277792994517357E-2</v>
          </cell>
          <cell r="BC172">
            <v>8.2755504187098178E-2</v>
          </cell>
          <cell r="BF172">
            <v>0.10703329718161556</v>
          </cell>
        </row>
        <row r="173">
          <cell r="O173">
            <v>1.3338063878300499</v>
          </cell>
          <cell r="P173">
            <v>1.3492335283705701</v>
          </cell>
          <cell r="Q173">
            <v>1.3575137772092301</v>
          </cell>
          <cell r="U173">
            <v>-7.1873030018283499E-3</v>
          </cell>
          <cell r="V173">
            <v>5.9414006656661501E-3</v>
          </cell>
          <cell r="W173">
            <v>1.20001378391584E-2</v>
          </cell>
          <cell r="Y173">
            <v>1.3338063878300499</v>
          </cell>
          <cell r="Z173">
            <v>1.3492335283705701</v>
          </cell>
          <cell r="AA173">
            <v>1.3575137772092301</v>
          </cell>
          <cell r="AE173">
            <v>-7.1873030018283499E-3</v>
          </cell>
          <cell r="AF173">
            <v>5.9414006656661501E-3</v>
          </cell>
          <cell r="AG173">
            <v>1.20001378391584E-2</v>
          </cell>
          <cell r="AR173">
            <v>2.4277792994517357E-2</v>
          </cell>
          <cell r="BC173">
            <v>8.2755504187098178E-2</v>
          </cell>
          <cell r="BF173">
            <v>0.10703329718161556</v>
          </cell>
        </row>
        <row r="174">
          <cell r="O174">
            <v>1.3338063878300499</v>
          </cell>
          <cell r="P174">
            <v>1.3484309805447501</v>
          </cell>
          <cell r="Q174">
            <v>1.3562305578759399</v>
          </cell>
          <cell r="U174">
            <v>-8.33385217819008E-3</v>
          </cell>
          <cell r="V174">
            <v>3.16602187378221E-3</v>
          </cell>
          <cell r="W174">
            <v>9.2842691524184194E-3</v>
          </cell>
          <cell r="Y174">
            <v>1.3338063878300499</v>
          </cell>
          <cell r="Z174">
            <v>1.3484309805447501</v>
          </cell>
          <cell r="AA174">
            <v>1.3562305578759399</v>
          </cell>
          <cell r="AE174">
            <v>-8.33385217819008E-3</v>
          </cell>
          <cell r="AF174">
            <v>3.16602187378221E-3</v>
          </cell>
          <cell r="AG174">
            <v>9.2842691524184194E-3</v>
          </cell>
          <cell r="AR174">
            <v>2.4277792994517357E-2</v>
          </cell>
          <cell r="BC174">
            <v>8.2755504187098178E-2</v>
          </cell>
          <cell r="BF174">
            <v>0.10703329718161556</v>
          </cell>
        </row>
        <row r="175">
          <cell r="O175">
            <v>1.3338063878300499</v>
          </cell>
          <cell r="P175">
            <v>1.34849458331326</v>
          </cell>
          <cell r="Q175">
            <v>1.35521450210437</v>
          </cell>
          <cell r="U175">
            <v>-7.0566347204965201E-3</v>
          </cell>
          <cell r="V175">
            <v>3.8482447746324101E-3</v>
          </cell>
          <cell r="W175">
            <v>9.6157678757816702E-3</v>
          </cell>
          <cell r="Y175">
            <v>1.3338063878300499</v>
          </cell>
          <cell r="Z175">
            <v>1.34849458331326</v>
          </cell>
          <cell r="AA175">
            <v>1.35521450210437</v>
          </cell>
          <cell r="AE175">
            <v>-7.0566347204965201E-3</v>
          </cell>
          <cell r="AF175">
            <v>3.8482447746324101E-3</v>
          </cell>
          <cell r="AG175">
            <v>9.6157678757816702E-3</v>
          </cell>
          <cell r="AR175">
            <v>2.4277792994517357E-2</v>
          </cell>
          <cell r="BC175">
            <v>8.2755504187098178E-2</v>
          </cell>
          <cell r="BF175">
            <v>0.10703329718161556</v>
          </cell>
        </row>
        <row r="176">
          <cell r="O176">
            <v>1.3338063878300499</v>
          </cell>
          <cell r="P176">
            <v>1.34729651858954</v>
          </cell>
          <cell r="Q176">
            <v>1.3537810247494799</v>
          </cell>
          <cell r="U176">
            <v>-7.4775570452221803E-6</v>
          </cell>
          <cell r="V176">
            <v>1.0944568807928099E-2</v>
          </cell>
          <cell r="W176">
            <v>1.59154679809855E-2</v>
          </cell>
          <cell r="Y176">
            <v>1.3338063878300499</v>
          </cell>
          <cell r="Z176">
            <v>1.34729651858954</v>
          </cell>
          <cell r="AA176">
            <v>1.3537810247494799</v>
          </cell>
          <cell r="AE176">
            <v>-7.4775570452221803E-6</v>
          </cell>
          <cell r="AF176">
            <v>1.0944568807928099E-2</v>
          </cell>
          <cell r="AG176">
            <v>1.59154679809855E-2</v>
          </cell>
          <cell r="AR176">
            <v>2.4277792994517357E-2</v>
          </cell>
          <cell r="BC176">
            <v>8.2755504187098178E-2</v>
          </cell>
          <cell r="BF176">
            <v>0.10703329718161556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5C20-C97B-48A9-81F4-BF40178756BE}">
  <dimension ref="A1:DZ179"/>
  <sheetViews>
    <sheetView tabSelected="1" topLeftCell="AG1" workbookViewId="0">
      <selection activeCell="AO14" sqref="AO14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8.4257812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1.6752172955353692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>
        <f>BB16</f>
        <v>1.4777109439902496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144.30000000000001</v>
      </c>
      <c r="C2" s="33">
        <v>199.89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144.30000000000001</v>
      </c>
      <c r="M2" s="33">
        <v>199.89</v>
      </c>
      <c r="N2" s="34">
        <v>1.3852390852390799</v>
      </c>
      <c r="O2" s="34">
        <v>1.3563381687199101</v>
      </c>
      <c r="X2" s="34">
        <v>1.3852390852390799</v>
      </c>
      <c r="Y2" s="34">
        <v>1.3563584455100699</v>
      </c>
      <c r="AI2" s="4">
        <v>0</v>
      </c>
      <c r="AJ2" s="10">
        <f t="dataTable" ref="AJ2:AQ9" dt2D="1" dtr="1" r1="AI21" r2="AI22"/>
        <v>1.8377910132825945</v>
      </c>
      <c r="AK2" s="10">
        <v>1.9559528820333765</v>
      </c>
      <c r="AL2" s="10">
        <v>1.6296066147915267</v>
      </c>
      <c r="AM2" s="10">
        <v>1.3268165685637665</v>
      </c>
      <c r="AN2" s="10">
        <v>1.8249354068689463</v>
      </c>
      <c r="AO2" s="10">
        <v>1.583141675398227</v>
      </c>
      <c r="AP2" s="10">
        <v>1.6105125962603217</v>
      </c>
      <c r="AQ2" s="10">
        <v>1.2673722949957913</v>
      </c>
      <c r="AR2"/>
      <c r="AT2" s="4">
        <v>0</v>
      </c>
      <c r="AU2" s="10">
        <f t="dataTable" ref="AU2:BB9" dt2D="1" dtr="1" r1="AT21" r2="AT22"/>
        <v>1.6635723131962141</v>
      </c>
      <c r="AV2" s="11">
        <v>1.3640420044899302</v>
      </c>
      <c r="AW2" s="11">
        <v>1.5859641803428792</v>
      </c>
      <c r="AX2" s="11">
        <v>1.7940127555206011</v>
      </c>
      <c r="AY2" s="11">
        <v>1.160567241894509</v>
      </c>
      <c r="AZ2" s="11">
        <v>1.6708789227385172</v>
      </c>
      <c r="BA2" s="11">
        <v>1.4403759732231141</v>
      </c>
      <c r="BB2" s="11">
        <v>1.4403759732231141</v>
      </c>
      <c r="BC2"/>
    </row>
    <row r="3" spans="1:130" x14ac:dyDescent="0.25">
      <c r="A3" s="1">
        <v>46027</v>
      </c>
      <c r="B3" s="33">
        <v>144.62</v>
      </c>
      <c r="C3" s="33">
        <v>200.4</v>
      </c>
      <c r="D3" s="15">
        <v>2.2151469669805298E-3</v>
      </c>
      <c r="E3" s="15">
        <v>2.5481539681542599E-3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144.62</v>
      </c>
      <c r="M3" s="33">
        <v>200.4</v>
      </c>
      <c r="N3" s="34">
        <v>1.3857004563684101</v>
      </c>
      <c r="O3" s="34">
        <v>1.3563381687199101</v>
      </c>
      <c r="R3" s="33">
        <v>196.15362596027401</v>
      </c>
      <c r="U3" s="15">
        <v>-2.14172110758695E-2</v>
      </c>
      <c r="X3" s="34">
        <v>1.3857004563684101</v>
      </c>
      <c r="Y3" s="34">
        <v>1.3563584455100699</v>
      </c>
      <c r="AB3" s="33">
        <v>196.156558389667</v>
      </c>
      <c r="AE3" s="15">
        <v>-2.1402261530790199E-2</v>
      </c>
      <c r="AI3" s="4">
        <f t="shared" ref="AI3:AI9" si="2">AI2-AK$12</f>
        <v>-1E-3</v>
      </c>
      <c r="AJ3" s="10">
        <v>1.8377910132825945</v>
      </c>
      <c r="AK3" s="10">
        <v>2.2742958339042523</v>
      </c>
      <c r="AL3" s="10">
        <v>2.0905227415155543</v>
      </c>
      <c r="AM3" s="10">
        <v>1.3268165685637665</v>
      </c>
      <c r="AN3" s="10">
        <v>1.8249354068689463</v>
      </c>
      <c r="AO3" s="11">
        <v>1.583141675398227</v>
      </c>
      <c r="AP3" s="10">
        <v>1.6105125962603217</v>
      </c>
      <c r="AQ3" s="10">
        <v>1.2673722949957913</v>
      </c>
      <c r="AR3"/>
      <c r="AT3" s="4">
        <f>AT2+AV$12</f>
        <v>1E-3</v>
      </c>
      <c r="AU3" s="10">
        <v>1.6635723131962141</v>
      </c>
      <c r="AV3" s="11">
        <v>1.6880375979501276</v>
      </c>
      <c r="AW3" s="11">
        <v>1.6992867636547782</v>
      </c>
      <c r="AX3" s="11">
        <v>1.4777109439902496</v>
      </c>
      <c r="AY3" s="11">
        <v>0.67115259516373771</v>
      </c>
      <c r="AZ3" s="11">
        <v>1.1828490161785472</v>
      </c>
      <c r="BA3" s="11">
        <v>1.1579251586249937</v>
      </c>
      <c r="BB3" s="11">
        <v>1.1579251586249937</v>
      </c>
      <c r="BC3"/>
    </row>
    <row r="4" spans="1:130" x14ac:dyDescent="0.25">
      <c r="A4" s="1">
        <v>46028</v>
      </c>
      <c r="B4" s="33">
        <v>146.65</v>
      </c>
      <c r="C4" s="33">
        <v>202.33</v>
      </c>
      <c r="D4" s="15">
        <v>1.39391826766543E-2</v>
      </c>
      <c r="E4" s="15">
        <v>9.5846585803935104E-3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146.65</v>
      </c>
      <c r="M4" s="33">
        <v>202.33</v>
      </c>
      <c r="N4" s="34">
        <v>1.3796795090351099</v>
      </c>
      <c r="O4" s="34">
        <v>1.3563381687199101</v>
      </c>
      <c r="R4" s="33">
        <v>198.90699244277499</v>
      </c>
      <c r="U4" s="15">
        <v>-1.70626869796087E-2</v>
      </c>
      <c r="X4" s="34">
        <v>1.3796795090351099</v>
      </c>
      <c r="Y4" s="34">
        <v>1.3563584455100699</v>
      </c>
      <c r="AB4" s="33">
        <v>198.90996603405199</v>
      </c>
      <c r="AE4" s="15">
        <v>-1.7047737434529201E-2</v>
      </c>
      <c r="AG4"/>
      <c r="AI4" s="4">
        <f t="shared" si="2"/>
        <v>-2E-3</v>
      </c>
      <c r="AJ4" s="10">
        <v>1.8377910132825945</v>
      </c>
      <c r="AK4" s="11">
        <v>2.2742958339042523</v>
      </c>
      <c r="AL4" s="11">
        <v>1.7475553378190747</v>
      </c>
      <c r="AM4" s="11">
        <v>1.0451376160625254</v>
      </c>
      <c r="AN4" s="10">
        <v>1.6752172955353692</v>
      </c>
      <c r="AO4" s="11">
        <v>1.4310441554090745</v>
      </c>
      <c r="AP4" s="11">
        <v>1.4518670536824845</v>
      </c>
      <c r="AQ4" s="11">
        <v>1.1032959059033554</v>
      </c>
      <c r="AR4"/>
      <c r="AT4" s="4">
        <f t="shared" ref="AT4:AT9" si="3">AT3+AV$12</f>
        <v>2E-3</v>
      </c>
      <c r="AU4" s="10">
        <v>1.6635723131962141</v>
      </c>
      <c r="AV4" s="11">
        <v>1.6880375979501276</v>
      </c>
      <c r="AW4" s="11">
        <v>1.7050487563367558</v>
      </c>
      <c r="AX4" s="11">
        <v>1.4622166036492299</v>
      </c>
      <c r="AY4" s="11">
        <v>0.70011073036020166</v>
      </c>
      <c r="AZ4" s="11">
        <v>1.2234680265429507</v>
      </c>
      <c r="BA4" s="11">
        <v>1.237129140595745</v>
      </c>
      <c r="BB4" s="11">
        <v>1.237129140595745</v>
      </c>
      <c r="BC4"/>
      <c r="BE4" s="8"/>
      <c r="BF4" s="8"/>
    </row>
    <row r="5" spans="1:130" x14ac:dyDescent="0.25">
      <c r="A5" s="1">
        <v>46029</v>
      </c>
      <c r="B5" s="33">
        <v>146.53</v>
      </c>
      <c r="C5" s="33">
        <v>202.65</v>
      </c>
      <c r="D5" s="15">
        <v>-8.1860977352632099E-4</v>
      </c>
      <c r="E5" s="15">
        <v>1.5803252832143099E-3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146.53</v>
      </c>
      <c r="M5" s="33">
        <v>202.65</v>
      </c>
      <c r="N5" s="34">
        <v>1.3829932437043599</v>
      </c>
      <c r="O5" s="34">
        <v>1.3563381687199101</v>
      </c>
      <c r="R5" s="33">
        <v>198.74423186252901</v>
      </c>
      <c r="U5" s="15">
        <v>-1.9461622036349401E-2</v>
      </c>
      <c r="X5" s="34">
        <v>1.3829932437043599</v>
      </c>
      <c r="Y5" s="34">
        <v>1.3563584455100699</v>
      </c>
      <c r="AB5" s="33">
        <v>198.747203020591</v>
      </c>
      <c r="AE5" s="15">
        <v>-1.9446672491269901E-2</v>
      </c>
      <c r="AG5" s="29"/>
      <c r="AI5" s="4">
        <f t="shared" si="2"/>
        <v>-3.0000000000000001E-3</v>
      </c>
      <c r="AJ5" s="10">
        <v>1.8377910132825945</v>
      </c>
      <c r="AK5" s="11">
        <v>2.2742958339042523</v>
      </c>
      <c r="AL5" s="11">
        <v>1.7475553378190747</v>
      </c>
      <c r="AM5" s="11">
        <v>0.75289508886569201</v>
      </c>
      <c r="AN5" s="11">
        <v>1.3757163655002229</v>
      </c>
      <c r="AO5" s="11">
        <v>1.2641169262234329</v>
      </c>
      <c r="AP5" s="10">
        <v>1.2775744796374016</v>
      </c>
      <c r="AQ5" s="11">
        <v>1.1032959059033554</v>
      </c>
      <c r="AR5"/>
      <c r="AT5" s="4">
        <f t="shared" si="3"/>
        <v>3.0000000000000001E-3</v>
      </c>
      <c r="AU5" s="10">
        <v>1.6635723131962141</v>
      </c>
      <c r="AV5" s="11">
        <v>1.6880375979501276</v>
      </c>
      <c r="AW5" s="11">
        <v>1.7050487563367558</v>
      </c>
      <c r="AX5" s="11">
        <v>1.807224199904075</v>
      </c>
      <c r="AY5" s="11">
        <v>1.1350633055174191</v>
      </c>
      <c r="AZ5" s="11">
        <v>1.3389230975579895</v>
      </c>
      <c r="BA5" s="11">
        <v>1.2308944843749487</v>
      </c>
      <c r="BB5" s="11">
        <v>1.2308944843749487</v>
      </c>
      <c r="BC5"/>
    </row>
    <row r="6" spans="1:130" x14ac:dyDescent="0.25">
      <c r="A6" s="1">
        <v>46030</v>
      </c>
      <c r="B6" s="33">
        <v>144.24</v>
      </c>
      <c r="C6" s="33">
        <v>199.78</v>
      </c>
      <c r="D6" s="15">
        <v>-1.5751606754871899E-2</v>
      </c>
      <c r="E6" s="15">
        <v>-1.4263591970313801E-2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144.24</v>
      </c>
      <c r="M6" s="33">
        <v>199.78</v>
      </c>
      <c r="N6" s="34">
        <v>1.3850526899611699</v>
      </c>
      <c r="O6" s="34">
        <v>1.3563381687199101</v>
      </c>
      <c r="R6" s="33">
        <v>195.63821745615999</v>
      </c>
      <c r="U6" s="15">
        <v>-2.0949636820907301E-2</v>
      </c>
      <c r="X6" s="34">
        <v>1.3850526899611699</v>
      </c>
      <c r="Y6" s="34">
        <v>1.3563584455100699</v>
      </c>
      <c r="AB6" s="33">
        <v>195.64114218037301</v>
      </c>
      <c r="AE6" s="15">
        <v>-2.0934687275827899E-2</v>
      </c>
      <c r="AG6" s="29"/>
      <c r="AI6" s="4">
        <f t="shared" si="2"/>
        <v>-4.0000000000000001E-3</v>
      </c>
      <c r="AJ6" s="10">
        <v>1.8377910132825945</v>
      </c>
      <c r="AK6" s="11">
        <v>2.2742958339042523</v>
      </c>
      <c r="AL6" s="11">
        <v>1.7475553378190747</v>
      </c>
      <c r="AM6" s="11">
        <v>0.75289508886569201</v>
      </c>
      <c r="AN6" s="11">
        <v>0.96152572330140629</v>
      </c>
      <c r="AO6" s="11">
        <v>0.89048816885216575</v>
      </c>
      <c r="AP6" s="11">
        <v>0.88804041202833417</v>
      </c>
      <c r="AQ6" s="11">
        <v>0.6989925847066466</v>
      </c>
      <c r="AR6"/>
      <c r="AT6" s="4">
        <f t="shared" si="3"/>
        <v>4.0000000000000001E-3</v>
      </c>
      <c r="AU6" s="10">
        <v>1.6635723131962141</v>
      </c>
      <c r="AV6" s="11">
        <v>1.6880375979501276</v>
      </c>
      <c r="AW6" s="11">
        <v>1.7050487563367558</v>
      </c>
      <c r="AX6" s="11">
        <v>1.807224199904075</v>
      </c>
      <c r="AY6" s="11">
        <v>1.2829213672754798</v>
      </c>
      <c r="AZ6" s="11">
        <v>1.4329587204762495</v>
      </c>
      <c r="BA6" s="11">
        <v>1.3254177375910596</v>
      </c>
      <c r="BB6" s="11">
        <v>1.3254177375910596</v>
      </c>
      <c r="BC6"/>
    </row>
    <row r="7" spans="1:130" x14ac:dyDescent="0.25">
      <c r="A7" s="1">
        <v>46031</v>
      </c>
      <c r="B7" s="33">
        <v>146.15</v>
      </c>
      <c r="C7" s="33">
        <v>201.75</v>
      </c>
      <c r="D7" s="15">
        <v>1.3154912662192901E-2</v>
      </c>
      <c r="E7" s="15">
        <v>9.8125460460545301E-3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146.15</v>
      </c>
      <c r="M7" s="33">
        <v>201.75</v>
      </c>
      <c r="N7" s="34">
        <v>1.3804310639753601</v>
      </c>
      <c r="O7" s="34">
        <v>1.3563381687199101</v>
      </c>
      <c r="R7" s="33">
        <v>198.22882335841501</v>
      </c>
      <c r="U7" s="15">
        <v>-1.76072702047688E-2</v>
      </c>
      <c r="X7" s="34">
        <v>1.3804310639753601</v>
      </c>
      <c r="Y7" s="34">
        <v>1.3563584455100699</v>
      </c>
      <c r="AB7" s="33">
        <v>198.23178681129701</v>
      </c>
      <c r="AE7" s="15">
        <v>-1.7592320659689301E-2</v>
      </c>
      <c r="AG7"/>
      <c r="AI7" s="4">
        <f t="shared" si="2"/>
        <v>-5.0000000000000001E-3</v>
      </c>
      <c r="AJ7" s="10">
        <v>1.8377910132825945</v>
      </c>
      <c r="AK7" s="11">
        <v>2.2742958339042523</v>
      </c>
      <c r="AL7" s="11">
        <v>1.7475553378190747</v>
      </c>
      <c r="AM7" s="11">
        <v>0.75289508886569201</v>
      </c>
      <c r="AN7" s="11">
        <v>0.96152572330140629</v>
      </c>
      <c r="AO7" s="11">
        <v>0.89048816885216575</v>
      </c>
      <c r="AP7" s="11">
        <v>0.88804041202833417</v>
      </c>
      <c r="AQ7" s="11">
        <v>0.6989925847066466</v>
      </c>
      <c r="AR7"/>
      <c r="AT7" s="4">
        <f t="shared" si="3"/>
        <v>5.0000000000000001E-3</v>
      </c>
      <c r="AU7" s="10">
        <v>1.6635723131962141</v>
      </c>
      <c r="AV7" s="11">
        <v>1.6880375979501276</v>
      </c>
      <c r="AW7" s="11">
        <v>1.7050487563367558</v>
      </c>
      <c r="AX7" s="11">
        <v>1.807224199904075</v>
      </c>
      <c r="AY7" s="11">
        <v>1.2829213672754798</v>
      </c>
      <c r="AZ7" s="11">
        <v>1.1298869396829483</v>
      </c>
      <c r="BA7" s="11">
        <v>1.1501340700974467</v>
      </c>
      <c r="BB7" s="11">
        <v>1.3065050335819623</v>
      </c>
      <c r="BC7"/>
    </row>
    <row r="8" spans="1:130" x14ac:dyDescent="0.25">
      <c r="A8" s="1">
        <v>46034</v>
      </c>
      <c r="B8" s="33">
        <v>146.79</v>
      </c>
      <c r="C8" s="33">
        <v>202.42</v>
      </c>
      <c r="D8" s="15">
        <v>4.3695024118869099E-3</v>
      </c>
      <c r="E8" s="15">
        <v>3.3154396106968801E-3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146.79</v>
      </c>
      <c r="M8" s="33">
        <v>202.42</v>
      </c>
      <c r="N8" s="34">
        <v>1.3789767695346999</v>
      </c>
      <c r="O8" s="34">
        <v>1.3563381687199101</v>
      </c>
      <c r="R8" s="33">
        <v>199.09687978639599</v>
      </c>
      <c r="U8" s="15">
        <v>-1.6553207403578799E-2</v>
      </c>
      <c r="X8" s="34">
        <v>1.3789767695346999</v>
      </c>
      <c r="Y8" s="34">
        <v>1.3563584455100699</v>
      </c>
      <c r="AB8" s="33">
        <v>199.099856216424</v>
      </c>
      <c r="AE8" s="15">
        <v>-1.6538257858499401E-2</v>
      </c>
      <c r="AG8"/>
      <c r="AI8" s="4">
        <f t="shared" si="2"/>
        <v>-6.0000000000000001E-3</v>
      </c>
      <c r="AJ8" s="10">
        <v>1.8377910132825945</v>
      </c>
      <c r="AK8" s="11">
        <v>2.2742958339042523</v>
      </c>
      <c r="AL8" s="11">
        <v>1.7475553378190747</v>
      </c>
      <c r="AM8" s="11">
        <v>0.75289508886569201</v>
      </c>
      <c r="AN8" s="11">
        <v>0.96152572330140629</v>
      </c>
      <c r="AO8" s="11">
        <v>0.89048816885216575</v>
      </c>
      <c r="AP8" s="11">
        <v>0.88804041202833417</v>
      </c>
      <c r="AQ8" s="11">
        <v>0.6989925847066466</v>
      </c>
      <c r="AR8"/>
      <c r="AT8" s="4">
        <f t="shared" si="3"/>
        <v>6.0000000000000001E-3</v>
      </c>
      <c r="AU8" s="10">
        <v>1.6635723131962141</v>
      </c>
      <c r="AV8" s="11">
        <v>1.6880375979501276</v>
      </c>
      <c r="AW8" s="11">
        <v>1.7050487563367558</v>
      </c>
      <c r="AX8" s="11">
        <v>1.807224199904075</v>
      </c>
      <c r="AY8" s="11">
        <v>1.2829213672754798</v>
      </c>
      <c r="AZ8" s="11">
        <v>1.1298869396829483</v>
      </c>
      <c r="BA8" s="11">
        <v>1.1393955430811586</v>
      </c>
      <c r="BB8" s="11">
        <v>1.304957666754047</v>
      </c>
      <c r="BC8"/>
    </row>
    <row r="9" spans="1:130" x14ac:dyDescent="0.25">
      <c r="A9" s="1">
        <v>46035</v>
      </c>
      <c r="B9" s="33">
        <v>146.47999999999999</v>
      </c>
      <c r="C9" s="33">
        <v>201.9</v>
      </c>
      <c r="D9" s="15">
        <v>-2.1140936028866499E-3</v>
      </c>
      <c r="E9" s="15">
        <v>-2.5722214419632299E-3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146.47999999999999</v>
      </c>
      <c r="M9" s="33">
        <v>201.9</v>
      </c>
      <c r="N9" s="34">
        <v>1.3783451665756401</v>
      </c>
      <c r="O9" s="34">
        <v>1.3563381687199101</v>
      </c>
      <c r="R9" s="33">
        <v>198.67641495409299</v>
      </c>
      <c r="U9" s="15">
        <v>-1.60950795645022E-2</v>
      </c>
      <c r="X9" s="34">
        <v>1.3783451665756401</v>
      </c>
      <c r="Y9" s="34">
        <v>1.3563584455100699</v>
      </c>
      <c r="AB9" s="33">
        <v>198.67938509831501</v>
      </c>
      <c r="AE9" s="15">
        <v>-1.6080130019422899E-2</v>
      </c>
      <c r="AF9"/>
      <c r="AI9" s="4">
        <f t="shared" si="2"/>
        <v>-7.0000000000000001E-3</v>
      </c>
      <c r="AJ9" s="10">
        <v>1.8377910132825945</v>
      </c>
      <c r="AK9" s="11">
        <v>2.2742958339042523</v>
      </c>
      <c r="AL9" s="11">
        <v>1.7475553378190747</v>
      </c>
      <c r="AM9" s="11">
        <v>0.75289508886569201</v>
      </c>
      <c r="AN9" s="11">
        <v>0.96152572330140629</v>
      </c>
      <c r="AO9" s="11">
        <v>0.89048816885216575</v>
      </c>
      <c r="AP9" s="11">
        <v>0.88804041202833417</v>
      </c>
      <c r="AQ9" s="11">
        <v>0.60173628231094789</v>
      </c>
      <c r="AR9"/>
      <c r="AT9" s="4">
        <f t="shared" si="3"/>
        <v>7.0000000000000001E-3</v>
      </c>
      <c r="AU9" s="10">
        <v>1.6635723131962141</v>
      </c>
      <c r="AV9" s="10">
        <v>1.6880375979501276</v>
      </c>
      <c r="AW9" s="10">
        <v>1.7050487563367558</v>
      </c>
      <c r="AX9" s="10">
        <v>1.807224199904075</v>
      </c>
      <c r="AY9" s="10">
        <v>1.2829213672754798</v>
      </c>
      <c r="AZ9" s="10">
        <v>1.1298869396829483</v>
      </c>
      <c r="BA9" s="10">
        <v>1.1393955430811586</v>
      </c>
      <c r="BB9" s="10">
        <v>1.5225259633220869</v>
      </c>
      <c r="BC9"/>
    </row>
    <row r="10" spans="1:130" x14ac:dyDescent="0.25">
      <c r="A10" s="1">
        <v>46036</v>
      </c>
      <c r="B10" s="33">
        <v>144.69999999999999</v>
      </c>
      <c r="C10" s="33">
        <v>199.26</v>
      </c>
      <c r="D10" s="15">
        <v>-1.22262667288171E-2</v>
      </c>
      <c r="E10" s="15">
        <v>-1.3162020702081599E-2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144.69999999999999</v>
      </c>
      <c r="M10" s="33">
        <v>199.26</v>
      </c>
      <c r="N10" s="34">
        <v>1.37705597788528</v>
      </c>
      <c r="O10" s="34">
        <v>1.3563381687199101</v>
      </c>
      <c r="R10" s="33">
        <v>196.26213301377101</v>
      </c>
      <c r="U10" s="15">
        <v>-1.51593255912376E-2</v>
      </c>
      <c r="X10" s="34">
        <v>1.37705597788528</v>
      </c>
      <c r="Y10" s="34">
        <v>1.3563584455100699</v>
      </c>
      <c r="AB10" s="33">
        <v>196.26506706530699</v>
      </c>
      <c r="AE10" s="15">
        <v>-1.51443760461583E-2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145.46</v>
      </c>
      <c r="C11" s="33">
        <v>199.9</v>
      </c>
      <c r="D11" s="15">
        <v>5.2385010889566203E-3</v>
      </c>
      <c r="E11" s="15">
        <v>3.2067368896442198E-3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145.46</v>
      </c>
      <c r="M11" s="33">
        <v>199.9</v>
      </c>
      <c r="N11" s="34">
        <v>1.3742609652138</v>
      </c>
      <c r="O11" s="34">
        <v>1.3563381687199101</v>
      </c>
      <c r="P11" s="34">
        <v>1.3807734927492901</v>
      </c>
      <c r="R11" s="33">
        <v>197.292950021998</v>
      </c>
      <c r="U11" s="15">
        <v>-1.3127561391925301E-2</v>
      </c>
      <c r="X11" s="34">
        <v>1.3742609652138</v>
      </c>
      <c r="Y11" s="34">
        <v>1.3563584455100699</v>
      </c>
      <c r="Z11" s="34">
        <v>1.3807734927492901</v>
      </c>
      <c r="AB11" s="33">
        <v>197.295899483895</v>
      </c>
      <c r="AE11" s="15">
        <v>-1.31126118468458E-2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145.62</v>
      </c>
      <c r="C12" s="33">
        <v>199.89</v>
      </c>
      <c r="D12" s="15">
        <v>1.0993542401703301E-3</v>
      </c>
      <c r="E12" s="15">
        <v>-5.0026263799062799E-5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145.62</v>
      </c>
      <c r="M12" s="33">
        <v>199.89</v>
      </c>
      <c r="N12" s="34">
        <v>1.3726823238566099</v>
      </c>
      <c r="O12" s="34">
        <v>1.3563381687199101</v>
      </c>
      <c r="P12" s="34">
        <v>1.37951781661104</v>
      </c>
      <c r="R12" s="33">
        <v>197.509964128994</v>
      </c>
      <c r="S12" s="33">
        <v>201.06823601415201</v>
      </c>
      <c r="U12" s="15">
        <v>-1.1978180887956E-2</v>
      </c>
      <c r="V12" s="15">
        <v>5.87711786279611E-3</v>
      </c>
      <c r="X12" s="34">
        <v>1.3726823238566099</v>
      </c>
      <c r="Y12" s="34">
        <v>1.3563584455100699</v>
      </c>
      <c r="Z12" s="34">
        <v>1.37951781661104</v>
      </c>
      <c r="AB12" s="33">
        <v>197.51291683517701</v>
      </c>
      <c r="AC12" s="33">
        <v>201.06823601415201</v>
      </c>
      <c r="AE12" s="15">
        <v>-1.19632313428764E-2</v>
      </c>
      <c r="AF12" s="15">
        <v>5.87711786279611E-3</v>
      </c>
      <c r="AK12" s="17">
        <v>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141.84</v>
      </c>
      <c r="C13" s="33">
        <v>194.71</v>
      </c>
      <c r="D13" s="15">
        <v>-2.6300827200612501E-2</v>
      </c>
      <c r="E13" s="15">
        <v>-2.62559431150256E-2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141.84</v>
      </c>
      <c r="M13" s="33">
        <v>194.71</v>
      </c>
      <c r="N13" s="34">
        <v>1.3727439368302301</v>
      </c>
      <c r="O13" s="34">
        <v>1.3563381687199101</v>
      </c>
      <c r="P13" s="34">
        <v>1.3782221646572299</v>
      </c>
      <c r="R13" s="33">
        <v>192.38300585123201</v>
      </c>
      <c r="S13" s="33">
        <v>195.67080710811101</v>
      </c>
      <c r="U13" s="15">
        <v>-1.2023064973542901E-2</v>
      </c>
      <c r="V13" s="15">
        <v>4.9224194973860498E-3</v>
      </c>
      <c r="X13" s="34">
        <v>1.3727439368302301</v>
      </c>
      <c r="Y13" s="34">
        <v>1.3563584455100699</v>
      </c>
      <c r="Z13" s="34">
        <v>1.3782221646572299</v>
      </c>
      <c r="AB13" s="33">
        <v>192.385881911149</v>
      </c>
      <c r="AC13" s="33">
        <v>195.67080710811101</v>
      </c>
      <c r="AE13" s="15">
        <v>-1.2008115428463501E-2</v>
      </c>
      <c r="AF13" s="15">
        <v>4.9224194973860498E-3</v>
      </c>
    </row>
    <row r="14" spans="1:130" x14ac:dyDescent="0.25">
      <c r="A14" s="1">
        <v>46043</v>
      </c>
      <c r="B14" s="33">
        <v>143.81</v>
      </c>
      <c r="C14" s="33">
        <v>197.17</v>
      </c>
      <c r="D14" s="15">
        <v>1.37933221323357E-2</v>
      </c>
      <c r="E14" s="15">
        <v>1.25550286506466E-2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143.81</v>
      </c>
      <c r="M14" s="33">
        <v>197.17</v>
      </c>
      <c r="N14" s="34">
        <v>1.3710451289896299</v>
      </c>
      <c r="O14" s="34">
        <v>1.3563381687199101</v>
      </c>
      <c r="P14" s="34">
        <v>1.3773587266526801</v>
      </c>
      <c r="R14" s="33">
        <v>195.05499204361101</v>
      </c>
      <c r="S14" s="33">
        <v>198.202129499356</v>
      </c>
      <c r="U14" s="15">
        <v>-1.07847714918536E-2</v>
      </c>
      <c r="V14" s="15">
        <v>5.2210652545250803E-3</v>
      </c>
      <c r="X14" s="34">
        <v>1.3710451289896299</v>
      </c>
      <c r="Y14" s="34">
        <v>1.3563584455100699</v>
      </c>
      <c r="Z14" s="34">
        <v>1.3773587266526801</v>
      </c>
      <c r="AB14" s="33">
        <v>195.05790804880399</v>
      </c>
      <c r="AC14" s="33">
        <v>198.202129499356</v>
      </c>
      <c r="AE14" s="15">
        <v>-1.07698219467742E-2</v>
      </c>
      <c r="AF14" s="15">
        <v>5.2210652545250803E-3</v>
      </c>
      <c r="AQ14" s="20">
        <f>AVERAGE(AQ22:AQ176)</f>
        <v>2.4752962465583636E-4</v>
      </c>
      <c r="AR14" s="21" t="s">
        <v>41</v>
      </c>
      <c r="BB14" s="20">
        <f>AVERAGE(BB22:BB176)</f>
        <v>2.2723354133089582E-4</v>
      </c>
      <c r="BC14" s="21" t="s">
        <v>41</v>
      </c>
      <c r="BD14" s="22"/>
      <c r="BE14" s="20">
        <f>AVERAGE(BE22:BE176)</f>
        <v>4.7476316598673207E-4</v>
      </c>
      <c r="BF14" s="21" t="s">
        <v>41</v>
      </c>
    </row>
    <row r="15" spans="1:130" x14ac:dyDescent="0.25">
      <c r="A15" s="1">
        <v>46044</v>
      </c>
      <c r="B15" s="33">
        <v>144.88</v>
      </c>
      <c r="C15" s="33">
        <v>198.93</v>
      </c>
      <c r="D15" s="15">
        <v>7.41282967686959E-3</v>
      </c>
      <c r="E15" s="15">
        <v>8.8867032707096102E-3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144.88</v>
      </c>
      <c r="M15" s="33">
        <v>198.93</v>
      </c>
      <c r="N15" s="34">
        <v>1.3730673660960699</v>
      </c>
      <c r="O15" s="34">
        <v>1.3563381687199101</v>
      </c>
      <c r="P15" s="34">
        <v>1.37636613889185</v>
      </c>
      <c r="R15" s="33">
        <v>196.506273884141</v>
      </c>
      <c r="S15" s="33">
        <v>199.55173231744001</v>
      </c>
      <c r="U15" s="15">
        <v>-1.2258645085693701E-2</v>
      </c>
      <c r="V15" s="15">
        <v>3.1205085278988398E-3</v>
      </c>
      <c r="X15" s="34">
        <v>1.3730673660960699</v>
      </c>
      <c r="Y15" s="34">
        <v>1.3563584455100699</v>
      </c>
      <c r="Z15" s="34">
        <v>1.37636613889185</v>
      </c>
      <c r="AB15" s="33">
        <v>196.509211585499</v>
      </c>
      <c r="AC15" s="33">
        <v>199.55173231744001</v>
      </c>
      <c r="AE15" s="15">
        <v>-1.2243695540614099E-2</v>
      </c>
      <c r="AF15" s="15">
        <v>3.1205085278988398E-3</v>
      </c>
      <c r="AQ15" s="20">
        <f>STDEV(AQ22:AQ176)</f>
        <v>2.3456127060264512E-3</v>
      </c>
      <c r="AR15" s="21" t="s">
        <v>42</v>
      </c>
      <c r="BB15" s="20">
        <f>STDEV(BB22:BB176)</f>
        <v>2.4410867727783486E-3</v>
      </c>
      <c r="BC15" s="21" t="s">
        <v>42</v>
      </c>
      <c r="BD15" s="22"/>
      <c r="BE15" s="20">
        <f>STDEV(BE22:BE176)</f>
        <v>3.368616786095719E-3</v>
      </c>
      <c r="BF15" s="21" t="s">
        <v>42</v>
      </c>
    </row>
    <row r="16" spans="1:130" x14ac:dyDescent="0.25">
      <c r="A16" s="1">
        <v>46045</v>
      </c>
      <c r="B16" s="33">
        <v>145.09</v>
      </c>
      <c r="C16" s="33">
        <v>199.72</v>
      </c>
      <c r="D16" s="15">
        <v>1.44842595243585E-3</v>
      </c>
      <c r="E16" s="15">
        <v>3.9633815835225699E-3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145.09</v>
      </c>
      <c r="M16" s="33">
        <v>199.72</v>
      </c>
      <c r="N16" s="34">
        <v>1.37652491556964</v>
      </c>
      <c r="O16" s="34">
        <v>1.3563381687199101</v>
      </c>
      <c r="P16" s="34">
        <v>1.3755133614527</v>
      </c>
      <c r="R16" s="33">
        <v>196.79110489957199</v>
      </c>
      <c r="S16" s="33">
        <v>199.69696309181899</v>
      </c>
      <c r="U16" s="15">
        <v>-1.47736007167803E-2</v>
      </c>
      <c r="V16" s="15">
        <v>-1.1535267820417501E-4</v>
      </c>
      <c r="X16" s="34">
        <v>1.37652491556964</v>
      </c>
      <c r="Y16" s="34">
        <v>1.3563584455100699</v>
      </c>
      <c r="Z16" s="34">
        <v>1.3755133614527</v>
      </c>
      <c r="AB16" s="33">
        <v>196.79404685905601</v>
      </c>
      <c r="AC16" s="33">
        <v>199.69696309181899</v>
      </c>
      <c r="AE16" s="15">
        <v>-1.4758651171700899E-2</v>
      </c>
      <c r="AF16" s="15">
        <v>-1.1535267820417501E-4</v>
      </c>
      <c r="AQ16" s="23">
        <f>SQRT(252)*AQ14/AQ15</f>
        <v>1.6752172955353692</v>
      </c>
      <c r="AR16" s="21" t="s">
        <v>43</v>
      </c>
      <c r="BB16" s="23">
        <f>SQRT(252)*BB14/BB15</f>
        <v>1.4777109439902496</v>
      </c>
      <c r="BC16" s="21" t="s">
        <v>43</v>
      </c>
      <c r="BD16" s="22"/>
      <c r="BE16" s="23">
        <f>SQRT(252)*BE14/BE15</f>
        <v>2.237307503850122</v>
      </c>
      <c r="BF16" s="21" t="s">
        <v>43</v>
      </c>
    </row>
    <row r="17" spans="1:124" x14ac:dyDescent="0.25">
      <c r="A17" s="1">
        <v>46048</v>
      </c>
      <c r="B17" s="33">
        <v>146.08000000000001</v>
      </c>
      <c r="C17" s="33">
        <v>201.24</v>
      </c>
      <c r="D17" s="15">
        <v>6.8001773190646403E-3</v>
      </c>
      <c r="E17" s="15">
        <v>7.5818399907093496E-3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146.08000000000001</v>
      </c>
      <c r="M17" s="33">
        <v>201.24</v>
      </c>
      <c r="N17" s="34">
        <v>1.3776013143482999</v>
      </c>
      <c r="O17" s="34">
        <v>1.3563381687199101</v>
      </c>
      <c r="P17" s="34">
        <v>1.37523038648999</v>
      </c>
      <c r="R17" s="33">
        <v>198.13387968660501</v>
      </c>
      <c r="S17" s="33">
        <v>200.93499184101</v>
      </c>
      <c r="U17" s="15">
        <v>-1.55552633884249E-2</v>
      </c>
      <c r="V17" s="15">
        <v>-1.51679355332311E-3</v>
      </c>
      <c r="X17" s="34">
        <v>1.3776013143482999</v>
      </c>
      <c r="Y17" s="34">
        <v>1.3563584455100699</v>
      </c>
      <c r="Z17" s="34">
        <v>1.37523038648999</v>
      </c>
      <c r="AB17" s="33">
        <v>198.13684172011099</v>
      </c>
      <c r="AC17" s="33">
        <v>200.93499184101</v>
      </c>
      <c r="AE17" s="15">
        <v>-1.55403138433456E-2</v>
      </c>
      <c r="AF17" s="15">
        <v>-1.51679355332311E-3</v>
      </c>
    </row>
    <row r="18" spans="1:124" x14ac:dyDescent="0.25">
      <c r="A18" s="1">
        <v>46049</v>
      </c>
      <c r="B18" s="33">
        <v>148.05000000000001</v>
      </c>
      <c r="C18" s="33">
        <v>203.7</v>
      </c>
      <c r="D18" s="15">
        <v>1.3395637700942001E-2</v>
      </c>
      <c r="E18" s="15">
        <v>1.2150097609642301E-2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148.05000000000001</v>
      </c>
      <c r="M18" s="33">
        <v>203.7</v>
      </c>
      <c r="N18" s="34">
        <v>1.3758865248226899</v>
      </c>
      <c r="O18" s="34">
        <v>1.3563381687199101</v>
      </c>
      <c r="P18" s="34">
        <v>1.3749213620187899</v>
      </c>
      <c r="R18" s="33">
        <v>200.80586587898301</v>
      </c>
      <c r="S18" s="33">
        <v>203.602858719843</v>
      </c>
      <c r="U18" s="15">
        <v>-1.43097232971253E-2</v>
      </c>
      <c r="V18" s="15">
        <v>-4.76997791291681E-4</v>
      </c>
      <c r="X18" s="34">
        <v>1.3758865248226899</v>
      </c>
      <c r="Y18" s="34">
        <v>1.3563584455100699</v>
      </c>
      <c r="Z18" s="34">
        <v>1.3749213620187899</v>
      </c>
      <c r="AB18" s="33">
        <v>200.80886785776599</v>
      </c>
      <c r="AC18" s="33">
        <v>203.602858719843</v>
      </c>
      <c r="AE18" s="15">
        <v>-1.4294773752045801E-2</v>
      </c>
      <c r="AF18" s="15">
        <v>-4.76997791291681E-4</v>
      </c>
      <c r="BE18" s="24">
        <f>SUM(BE22:BE176)</f>
        <v>7.358829072794347E-2</v>
      </c>
      <c r="BF18" s="20">
        <f>BF176</f>
        <v>7.358829072794347E-2</v>
      </c>
    </row>
    <row r="19" spans="1:124" x14ac:dyDescent="0.25">
      <c r="A19" s="1">
        <v>46050</v>
      </c>
      <c r="B19" s="33">
        <v>149.22999999999999</v>
      </c>
      <c r="C19" s="33">
        <v>204.72</v>
      </c>
      <c r="D19" s="15">
        <v>7.9386853957762894E-3</v>
      </c>
      <c r="E19" s="15">
        <v>4.9948686187732102E-3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149.22999999999999</v>
      </c>
      <c r="M19" s="33">
        <v>204.72</v>
      </c>
      <c r="N19" s="34">
        <v>1.3718421228975399</v>
      </c>
      <c r="O19" s="34">
        <v>1.3563381687199101</v>
      </c>
      <c r="P19" s="34">
        <v>1.37427105765098</v>
      </c>
      <c r="R19" s="33">
        <v>202.40634491807299</v>
      </c>
      <c r="S19" s="33">
        <v>205.179514854064</v>
      </c>
      <c r="U19" s="15">
        <v>-1.1365906520122499E-2</v>
      </c>
      <c r="V19" s="15">
        <v>2.2420863158358799E-3</v>
      </c>
      <c r="X19" s="34">
        <v>1.3718421228975399</v>
      </c>
      <c r="Y19" s="34">
        <v>1.3563584455100699</v>
      </c>
      <c r="Z19" s="34">
        <v>1.37427105765098</v>
      </c>
      <c r="AB19" s="33">
        <v>202.40937082346801</v>
      </c>
      <c r="AC19" s="33">
        <v>205.179514854064</v>
      </c>
      <c r="AE19" s="15">
        <v>-1.1350956975043E-2</v>
      </c>
      <c r="AF19" s="15">
        <v>2.2420863158358799E-3</v>
      </c>
      <c r="AI19" s="12"/>
      <c r="AJ19"/>
      <c r="AK19"/>
      <c r="AL19"/>
      <c r="AM19"/>
      <c r="AN19"/>
      <c r="AO19"/>
      <c r="AP19"/>
      <c r="AQ19" s="24">
        <f>SUM(AQ22:AQ176)</f>
        <v>3.8367091821654639E-2</v>
      </c>
      <c r="AR19" s="24">
        <f>AR176</f>
        <v>3.8367091821654639E-2</v>
      </c>
      <c r="AU19"/>
      <c r="AV19"/>
      <c r="AW19"/>
      <c r="AX19"/>
      <c r="AY19"/>
      <c r="AZ19"/>
      <c r="BA19"/>
      <c r="BB19" s="24">
        <f>SUM(BB22:BB176)</f>
        <v>3.5221198906288852E-2</v>
      </c>
      <c r="BC19" s="24">
        <f>BC176</f>
        <v>3.5221198906288852E-2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146.87</v>
      </c>
      <c r="C20" s="33">
        <v>201.89</v>
      </c>
      <c r="D20" s="15">
        <v>-1.5940898177605502E-2</v>
      </c>
      <c r="E20" s="15">
        <v>-1.3920197229401E-2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146.87</v>
      </c>
      <c r="M20" s="33">
        <v>201.89</v>
      </c>
      <c r="N20" s="34">
        <v>1.37461700823857</v>
      </c>
      <c r="O20" s="34">
        <v>1.3563381687199101</v>
      </c>
      <c r="P20" s="34">
        <v>1.3740271606863099</v>
      </c>
      <c r="R20" s="33">
        <v>199.205386839894</v>
      </c>
      <c r="S20" s="33">
        <v>201.83919023719901</v>
      </c>
      <c r="U20" s="15">
        <v>-1.33866074683269E-2</v>
      </c>
      <c r="V20" s="15">
        <v>-2.5170220185716599E-4</v>
      </c>
      <c r="X20" s="34">
        <v>1.37461700823857</v>
      </c>
      <c r="Y20" s="34">
        <v>1.3563584455100699</v>
      </c>
      <c r="Z20" s="34">
        <v>1.3740271606863099</v>
      </c>
      <c r="AB20" s="33">
        <v>199.208364892064</v>
      </c>
      <c r="AC20" s="33">
        <v>201.83919023719901</v>
      </c>
      <c r="AE20" s="15">
        <v>-1.33716579232475E-2</v>
      </c>
      <c r="AF20" s="15">
        <v>-2.5170220185716599E-4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XLK log rtn</v>
      </c>
      <c r="AP20" s="7" t="str">
        <f>E1</f>
        <v>IYW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XLK log rtn</v>
      </c>
      <c r="BA20" s="24" t="str">
        <f>E1</f>
        <v>IYW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143.88</v>
      </c>
      <c r="C21" s="33">
        <v>198.37</v>
      </c>
      <c r="D21" s="15">
        <v>-2.0568222938347799E-2</v>
      </c>
      <c r="E21" s="15">
        <v>-1.75890208821151E-2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143.88</v>
      </c>
      <c r="M21" s="33">
        <v>198.37</v>
      </c>
      <c r="N21" s="34">
        <v>1.3787183764247899</v>
      </c>
      <c r="O21" s="34">
        <v>1.3563381687199101</v>
      </c>
      <c r="P21" s="34">
        <v>1.37447290180741</v>
      </c>
      <c r="Q21" s="34">
        <v>1.3776231972783499</v>
      </c>
      <c r="R21" s="33">
        <v>195.14993571542101</v>
      </c>
      <c r="S21" s="33">
        <v>197.69502787954599</v>
      </c>
      <c r="U21" s="15">
        <v>-1.6365809524559599E-2</v>
      </c>
      <c r="V21" s="15">
        <v>-3.4083937049651102E-3</v>
      </c>
      <c r="X21" s="34">
        <v>1.3787183764247899</v>
      </c>
      <c r="Y21" s="34">
        <v>1.3563584455100699</v>
      </c>
      <c r="Z21" s="34">
        <v>1.37447290180741</v>
      </c>
      <c r="AA21" s="34">
        <v>1.3776231972783499</v>
      </c>
      <c r="AB21" s="33">
        <v>195.15285313998899</v>
      </c>
      <c r="AC21" s="33">
        <v>197.69502787954599</v>
      </c>
      <c r="AE21" s="15">
        <v>-1.6350859979480301E-2</v>
      </c>
      <c r="AF21" s="15">
        <v>-3.4083937049651102E-3</v>
      </c>
      <c r="AI21" s="26">
        <v>-4.0000000000000001E-3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3.0000000000000001E-3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145.26</v>
      </c>
      <c r="C22" s="33">
        <v>199.62</v>
      </c>
      <c r="D22" s="15">
        <v>9.5456213505988596E-3</v>
      </c>
      <c r="E22" s="15">
        <v>6.2815855184231396E-3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145.26</v>
      </c>
      <c r="M22" s="33">
        <v>199.62</v>
      </c>
      <c r="N22" s="34">
        <v>1.3742255266418799</v>
      </c>
      <c r="O22" s="34">
        <v>1.3563381687199101</v>
      </c>
      <c r="P22" s="34">
        <v>1.3746272220859299</v>
      </c>
      <c r="Q22" s="34">
        <v>1.3770725193484901</v>
      </c>
      <c r="R22" s="33">
        <v>197.02168238825399</v>
      </c>
      <c r="S22" s="33">
        <v>199.65593371654401</v>
      </c>
      <c r="T22" s="33">
        <v>200.11354563665299</v>
      </c>
      <c r="U22" s="15">
        <v>-1.3101773692384E-2</v>
      </c>
      <c r="V22" s="15">
        <v>1.79994402904382E-4</v>
      </c>
      <c r="W22" s="15">
        <v>2.46937437618951E-3</v>
      </c>
      <c r="X22" s="34">
        <v>1.3742255266418799</v>
      </c>
      <c r="Y22" s="34">
        <v>1.3563584455100699</v>
      </c>
      <c r="Z22" s="34">
        <v>1.3746272220859299</v>
      </c>
      <c r="AA22" s="34">
        <v>1.3770725193484901</v>
      </c>
      <c r="AB22" s="33">
        <v>197.02462779479299</v>
      </c>
      <c r="AC22" s="33">
        <v>199.65593371654401</v>
      </c>
      <c r="AD22" s="33">
        <v>200.11354563665299</v>
      </c>
      <c r="AE22" s="15">
        <v>-1.30868241473044E-2</v>
      </c>
      <c r="AF22" s="15">
        <v>1.79994402904382E-4</v>
      </c>
      <c r="AG22" s="15">
        <v>2.46937437618951E-3</v>
      </c>
      <c r="AI22" s="26">
        <v>-2E-3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1E-3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142.08000000000001</v>
      </c>
      <c r="C23" s="33">
        <v>194.92</v>
      </c>
      <c r="D23" s="15">
        <v>-2.2134960934162E-2</v>
      </c>
      <c r="E23" s="15">
        <v>-2.3826341283134999E-2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142.08000000000001</v>
      </c>
      <c r="M23" s="33">
        <v>194.92</v>
      </c>
      <c r="N23" s="34">
        <v>1.37190315315315</v>
      </c>
      <c r="O23" s="34">
        <v>1.3563381687199101</v>
      </c>
      <c r="P23" s="34">
        <v>1.3745431437182301</v>
      </c>
      <c r="Q23" s="34">
        <v>1.37638265418773</v>
      </c>
      <c r="R23" s="33">
        <v>192.70852701172501</v>
      </c>
      <c r="S23" s="33">
        <v>195.30703571397001</v>
      </c>
      <c r="T23" s="33">
        <v>195.65446354903401</v>
      </c>
      <c r="U23" s="15">
        <v>-1.14103933434109E-2</v>
      </c>
      <c r="V23" s="15">
        <v>1.9836444195757202E-3</v>
      </c>
      <c r="W23" s="15">
        <v>3.7609443694330202E-3</v>
      </c>
      <c r="X23" s="34">
        <v>1.37190315315315</v>
      </c>
      <c r="Y23" s="34">
        <v>1.3563584455100699</v>
      </c>
      <c r="Z23" s="34">
        <v>1.3745431437182301</v>
      </c>
      <c r="AA23" s="34">
        <v>1.37638265418773</v>
      </c>
      <c r="AB23" s="33">
        <v>192.71140793807101</v>
      </c>
      <c r="AC23" s="33">
        <v>195.30703571397001</v>
      </c>
      <c r="AD23" s="33">
        <v>195.65446354903401</v>
      </c>
      <c r="AE23" s="15">
        <v>-1.1395443798331399E-2</v>
      </c>
      <c r="AF23" s="15">
        <v>1.9836444195757202E-3</v>
      </c>
      <c r="AG23" s="15">
        <v>3.7609443694330202E-3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1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138.12</v>
      </c>
      <c r="C24" s="33">
        <v>190.39</v>
      </c>
      <c r="D24" s="15">
        <v>-2.82674067220684E-2</v>
      </c>
      <c r="E24" s="15">
        <v>-2.35146180057203E-2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138.12</v>
      </c>
      <c r="M24" s="33">
        <v>190.39</v>
      </c>
      <c r="N24" s="34">
        <v>1.37843903851723</v>
      </c>
      <c r="O24" s="34">
        <v>1.3563381687199101</v>
      </c>
      <c r="P24" s="34">
        <v>1.37528253467099</v>
      </c>
      <c r="Q24" s="34">
        <v>1.3763206306618301</v>
      </c>
      <c r="R24" s="33">
        <v>187.337427863594</v>
      </c>
      <c r="S24" s="33">
        <v>189.85189901036199</v>
      </c>
      <c r="T24" s="33">
        <v>190.105972196409</v>
      </c>
      <c r="U24" s="15">
        <v>-1.6163182059759099E-2</v>
      </c>
      <c r="V24" s="15">
        <v>-2.83031065356134E-3</v>
      </c>
      <c r="W24" s="15">
        <v>-1.4929348907730001E-3</v>
      </c>
      <c r="X24" s="34">
        <v>1.37843903851723</v>
      </c>
      <c r="Y24" s="34">
        <v>1.3563584455100699</v>
      </c>
      <c r="Z24" s="34">
        <v>1.37528253467099</v>
      </c>
      <c r="AA24" s="34">
        <v>1.3763206306618301</v>
      </c>
      <c r="AB24" s="33">
        <v>187.34022849385099</v>
      </c>
      <c r="AC24" s="33">
        <v>189.85189901036199</v>
      </c>
      <c r="AD24" s="33">
        <v>190.105972196409</v>
      </c>
      <c r="AE24" s="15">
        <v>-1.6148232514679599E-2</v>
      </c>
      <c r="AF24" s="15">
        <v>-2.83031065356134E-3</v>
      </c>
      <c r="AG24" s="15">
        <v>-1.4929348907730001E-3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1</v>
      </c>
      <c r="AX24">
        <f t="shared" si="5"/>
        <v>1</v>
      </c>
      <c r="AY24">
        <f t="shared" si="19"/>
        <v>1</v>
      </c>
      <c r="AZ24" s="28">
        <f t="shared" si="12"/>
        <v>2.82674067220684E-2</v>
      </c>
      <c r="BA24" s="28">
        <f t="shared" si="13"/>
        <v>-2.35146180057203E-2</v>
      </c>
      <c r="BB24" s="28">
        <f t="shared" si="20"/>
        <v>4.7527887163480997E-3</v>
      </c>
      <c r="BC24" s="29">
        <f t="shared" si="21"/>
        <v>4.7527887163480997E-3</v>
      </c>
      <c r="BE24" s="29">
        <f t="shared" si="22"/>
        <v>4.7527887163480997E-3</v>
      </c>
      <c r="BF24" s="29">
        <f t="shared" si="23"/>
        <v>4.7527887163480997E-3</v>
      </c>
      <c r="BH24" s="29"/>
    </row>
    <row r="25" spans="1:124" x14ac:dyDescent="0.25">
      <c r="A25" s="1">
        <v>46058</v>
      </c>
      <c r="B25" s="33">
        <v>135.63</v>
      </c>
      <c r="C25" s="33">
        <v>186.75</v>
      </c>
      <c r="D25" s="15">
        <v>-1.81922825471681E-2</v>
      </c>
      <c r="E25" s="15">
        <v>-1.93037759566583E-2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135.63</v>
      </c>
      <c r="M25" s="33">
        <v>186.75</v>
      </c>
      <c r="N25" s="34">
        <v>1.3769077637690701</v>
      </c>
      <c r="O25" s="34">
        <v>1.3563381687199101</v>
      </c>
      <c r="P25" s="34">
        <v>1.3756665744382901</v>
      </c>
      <c r="Q25" s="34">
        <v>1.3760163566650701</v>
      </c>
      <c r="R25" s="33">
        <v>183.96014582348201</v>
      </c>
      <c r="S25" s="33">
        <v>186.529570177426</v>
      </c>
      <c r="T25" s="33">
        <v>186.670367136664</v>
      </c>
      <c r="U25" s="15">
        <v>-1.5051688650268799E-2</v>
      </c>
      <c r="V25" s="15">
        <v>-1.18104426712247E-3</v>
      </c>
      <c r="W25" s="15">
        <v>-4.2650520191434699E-4</v>
      </c>
      <c r="X25" s="34">
        <v>1.3769077637690701</v>
      </c>
      <c r="Y25" s="34">
        <v>1.3563584455100699</v>
      </c>
      <c r="Z25" s="34">
        <v>1.3756665744382901</v>
      </c>
      <c r="AA25" s="34">
        <v>1.3760163566650701</v>
      </c>
      <c r="AB25" s="33">
        <v>183.96289596453099</v>
      </c>
      <c r="AC25" s="33">
        <v>186.529570177426</v>
      </c>
      <c r="AD25" s="33">
        <v>186.670367136664</v>
      </c>
      <c r="AE25" s="15">
        <v>-1.5036739105189399E-2</v>
      </c>
      <c r="AF25" s="15">
        <v>-1.18104426712247E-3</v>
      </c>
      <c r="AG25" s="15">
        <v>-4.2650520191434699E-4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4.7527887163480997E-3</v>
      </c>
      <c r="BE25" s="29">
        <f t="shared" si="22"/>
        <v>0</v>
      </c>
      <c r="BF25" s="29">
        <f t="shared" si="23"/>
        <v>4.7527887163480997E-3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141.13</v>
      </c>
      <c r="C26" s="33">
        <v>193.49</v>
      </c>
      <c r="D26" s="15">
        <v>3.9750861451292099E-2</v>
      </c>
      <c r="E26" s="15">
        <v>3.54550075349108E-2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141.13</v>
      </c>
      <c r="M26" s="33">
        <v>193.49</v>
      </c>
      <c r="N26" s="34">
        <v>1.3710054559625799</v>
      </c>
      <c r="O26" s="34">
        <v>1.3563381687199101</v>
      </c>
      <c r="P26" s="34">
        <v>1.3751146284775799</v>
      </c>
      <c r="Q26" s="34">
        <v>1.3753139949651401</v>
      </c>
      <c r="R26" s="33">
        <v>191.42000575144101</v>
      </c>
      <c r="S26" s="33">
        <v>194.147823650475</v>
      </c>
      <c r="T26" s="33">
        <v>194.19718841614099</v>
      </c>
      <c r="U26" s="15">
        <v>-1.0755834733887399E-2</v>
      </c>
      <c r="V26" s="15">
        <v>3.3940149377340899E-3</v>
      </c>
      <c r="W26" s="15">
        <v>3.6482464298234298E-3</v>
      </c>
      <c r="X26" s="34">
        <v>1.3710054559625799</v>
      </c>
      <c r="Y26" s="34">
        <v>1.3563584455100699</v>
      </c>
      <c r="Z26" s="34">
        <v>1.3751146284775799</v>
      </c>
      <c r="AA26" s="34">
        <v>1.3753139949651401</v>
      </c>
      <c r="AB26" s="33">
        <v>191.42286741483699</v>
      </c>
      <c r="AC26" s="33">
        <v>194.147823650475</v>
      </c>
      <c r="AD26" s="33">
        <v>194.19718841614099</v>
      </c>
      <c r="AE26" s="15">
        <v>-1.07408851888079E-2</v>
      </c>
      <c r="AF26" s="15">
        <v>3.3940149377340899E-3</v>
      </c>
      <c r="AG26" s="15">
        <v>3.6482464298234298E-3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1</v>
      </c>
      <c r="AV26">
        <f t="shared" si="11"/>
        <v>0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4.7527887163480997E-3</v>
      </c>
      <c r="BE26" s="29">
        <f t="shared" si="22"/>
        <v>0</v>
      </c>
      <c r="BF26" s="29">
        <f t="shared" si="23"/>
        <v>4.7527887163480997E-3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143.35</v>
      </c>
      <c r="C27" s="33">
        <v>196.32</v>
      </c>
      <c r="D27" s="15">
        <v>1.56077409034632E-2</v>
      </c>
      <c r="E27" s="15">
        <v>1.45201494147639E-2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143.35</v>
      </c>
      <c r="M27" s="33">
        <v>196.32</v>
      </c>
      <c r="N27" s="34">
        <v>1.36951517265434</v>
      </c>
      <c r="O27" s="34">
        <v>1.3563381687199101</v>
      </c>
      <c r="P27" s="34">
        <v>1.37430601430818</v>
      </c>
      <c r="Q27" s="34">
        <v>1.37476820039909</v>
      </c>
      <c r="R27" s="33">
        <v>194.431076485999</v>
      </c>
      <c r="S27" s="33">
        <v>197.12268199226099</v>
      </c>
      <c r="T27" s="33">
        <v>197.15126117825301</v>
      </c>
      <c r="U27" s="15">
        <v>-9.66824324518804E-3</v>
      </c>
      <c r="V27" s="15">
        <v>4.08030517606263E-3</v>
      </c>
      <c r="W27" s="15">
        <v>4.2252763897915099E-3</v>
      </c>
      <c r="X27" s="34">
        <v>1.36951517265434</v>
      </c>
      <c r="Y27" s="34">
        <v>1.3563584455100699</v>
      </c>
      <c r="Z27" s="34">
        <v>1.37430601430818</v>
      </c>
      <c r="AA27" s="34">
        <v>1.37476820039909</v>
      </c>
      <c r="AB27" s="33">
        <v>194.43398316386899</v>
      </c>
      <c r="AC27" s="33">
        <v>197.12268199226099</v>
      </c>
      <c r="AD27" s="33">
        <v>197.15126117825301</v>
      </c>
      <c r="AE27" s="15">
        <v>-9.65329370010856E-3</v>
      </c>
      <c r="AF27" s="15">
        <v>4.08030517606263E-3</v>
      </c>
      <c r="AG27" s="15">
        <v>4.2252763897915099E-3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1</v>
      </c>
      <c r="AV27">
        <f t="shared" si="11"/>
        <v>0</v>
      </c>
      <c r="AW27">
        <f t="shared" si="18"/>
        <v>1</v>
      </c>
      <c r="AX27">
        <f t="shared" si="5"/>
        <v>1</v>
      </c>
      <c r="AY27">
        <f t="shared" si="19"/>
        <v>1</v>
      </c>
      <c r="AZ27" s="28">
        <f t="shared" si="12"/>
        <v>-1.56077409034632E-2</v>
      </c>
      <c r="BA27" s="28">
        <f t="shared" si="13"/>
        <v>1.45201494147639E-2</v>
      </c>
      <c r="BB27" s="28">
        <f t="shared" si="20"/>
        <v>-1.0875914886993004E-3</v>
      </c>
      <c r="BC27" s="29">
        <f t="shared" si="21"/>
        <v>3.6651972276487994E-3</v>
      </c>
      <c r="BE27" s="29">
        <f t="shared" si="22"/>
        <v>-1.0875914886993004E-3</v>
      </c>
      <c r="BF27" s="29">
        <f t="shared" si="23"/>
        <v>3.6651972276487994E-3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142.55000000000001</v>
      </c>
      <c r="C28" s="33">
        <v>195.31</v>
      </c>
      <c r="D28" s="15">
        <v>-5.5963769706977098E-3</v>
      </c>
      <c r="E28" s="15">
        <v>-5.1579411138012897E-3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142.55000000000001</v>
      </c>
      <c r="M28" s="33">
        <v>195.31</v>
      </c>
      <c r="N28" s="34">
        <v>1.37011574886004</v>
      </c>
      <c r="O28" s="34">
        <v>1.3563381687199101</v>
      </c>
      <c r="P28" s="34">
        <v>1.3737289367119201</v>
      </c>
      <c r="Q28" s="34">
        <v>1.3743251493653501</v>
      </c>
      <c r="R28" s="33">
        <v>193.34600595102299</v>
      </c>
      <c r="S28" s="33">
        <v>195.907322339632</v>
      </c>
      <c r="T28" s="33">
        <v>195.97320696688999</v>
      </c>
      <c r="U28" s="15">
        <v>-1.01066791020844E-2</v>
      </c>
      <c r="V28" s="15">
        <v>3.0536623492127498E-3</v>
      </c>
      <c r="W28" s="15">
        <v>3.3899108890196299E-3</v>
      </c>
      <c r="X28" s="34">
        <v>1.37011574886004</v>
      </c>
      <c r="Y28" s="34">
        <v>1.3563584455100699</v>
      </c>
      <c r="Z28" s="34">
        <v>1.3737289367119201</v>
      </c>
      <c r="AA28" s="34">
        <v>1.3743251493653501</v>
      </c>
      <c r="AB28" s="33">
        <v>193.34889640746101</v>
      </c>
      <c r="AC28" s="33">
        <v>195.907322339632</v>
      </c>
      <c r="AD28" s="33">
        <v>195.97320696688999</v>
      </c>
      <c r="AE28" s="15">
        <v>-1.0091729557005101E-2</v>
      </c>
      <c r="AF28" s="15">
        <v>3.0536623492127498E-3</v>
      </c>
      <c r="AG28" s="15">
        <v>3.3899108890196299E-3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1</v>
      </c>
      <c r="AV28">
        <f t="shared" si="11"/>
        <v>0</v>
      </c>
      <c r="AW28">
        <f t="shared" si="18"/>
        <v>1</v>
      </c>
      <c r="AX28">
        <f t="shared" si="5"/>
        <v>1</v>
      </c>
      <c r="AY28">
        <f t="shared" si="19"/>
        <v>1</v>
      </c>
      <c r="AZ28" s="28">
        <f t="shared" si="12"/>
        <v>5.5963769706977098E-3</v>
      </c>
      <c r="BA28" s="28">
        <f t="shared" si="13"/>
        <v>-5.1579411138012897E-3</v>
      </c>
      <c r="BB28" s="28">
        <f t="shared" si="20"/>
        <v>4.3843585689642018E-4</v>
      </c>
      <c r="BC28" s="29">
        <f t="shared" si="21"/>
        <v>4.1036330845452195E-3</v>
      </c>
      <c r="BE28" s="29">
        <f t="shared" si="22"/>
        <v>4.3843585689642018E-4</v>
      </c>
      <c r="BF28" s="29">
        <f t="shared" si="23"/>
        <v>4.1036330845452195E-3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142.97</v>
      </c>
      <c r="C29" s="33">
        <v>195.5</v>
      </c>
      <c r="D29" s="15">
        <v>2.9420026823915998E-3</v>
      </c>
      <c r="E29" s="15">
        <v>9.7233957662056696E-4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142.97</v>
      </c>
      <c r="M29" s="33">
        <v>195.5</v>
      </c>
      <c r="N29" s="34">
        <v>1.36741973840665</v>
      </c>
      <c r="O29" s="34">
        <v>1.3563381687199101</v>
      </c>
      <c r="P29" s="34">
        <v>1.37328669826283</v>
      </c>
      <c r="Q29" s="34">
        <v>1.3737788779569</v>
      </c>
      <c r="R29" s="33">
        <v>193.915667981886</v>
      </c>
      <c r="S29" s="33">
        <v>196.40202608170301</v>
      </c>
      <c r="T29" s="33">
        <v>196.48726660476501</v>
      </c>
      <c r="U29" s="15">
        <v>-8.1370159963133192E-3</v>
      </c>
      <c r="V29" s="15">
        <v>4.6033325400227799E-3</v>
      </c>
      <c r="W29" s="15">
        <v>5.0372487906597697E-3</v>
      </c>
      <c r="X29" s="34">
        <v>1.36741973840665</v>
      </c>
      <c r="Y29" s="34">
        <v>1.3563584455100699</v>
      </c>
      <c r="Z29" s="34">
        <v>1.37328669826283</v>
      </c>
      <c r="AA29" s="34">
        <v>1.3737788779569</v>
      </c>
      <c r="AB29" s="33">
        <v>193.918566954575</v>
      </c>
      <c r="AC29" s="33">
        <v>196.40202608170301</v>
      </c>
      <c r="AD29" s="33">
        <v>196.48726660476501</v>
      </c>
      <c r="AE29" s="15">
        <v>-8.1220664512339797E-3</v>
      </c>
      <c r="AF29" s="15">
        <v>4.6033325400227799E-3</v>
      </c>
      <c r="AG29" s="15">
        <v>5.0372487906597697E-3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1</v>
      </c>
      <c r="AV29">
        <f t="shared" si="11"/>
        <v>0</v>
      </c>
      <c r="AW29">
        <f t="shared" si="18"/>
        <v>1</v>
      </c>
      <c r="AX29">
        <f t="shared" si="5"/>
        <v>1</v>
      </c>
      <c r="AY29">
        <f t="shared" si="19"/>
        <v>1</v>
      </c>
      <c r="AZ29" s="28">
        <f t="shared" si="12"/>
        <v>-2.9420026823915998E-3</v>
      </c>
      <c r="BA29" s="28">
        <f t="shared" si="13"/>
        <v>9.7233957662056696E-4</v>
      </c>
      <c r="BB29" s="28">
        <f t="shared" si="20"/>
        <v>-1.969663105771033E-3</v>
      </c>
      <c r="BC29" s="29">
        <f t="shared" si="21"/>
        <v>2.1339699787741866E-3</v>
      </c>
      <c r="BE29" s="29">
        <f t="shared" si="22"/>
        <v>-1.969663105771033E-3</v>
      </c>
      <c r="BF29" s="29">
        <f t="shared" si="23"/>
        <v>2.1339699787741866E-3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139.21</v>
      </c>
      <c r="C30" s="33">
        <v>190.79</v>
      </c>
      <c r="D30" s="15">
        <v>-2.6651233640596701E-2</v>
      </c>
      <c r="E30" s="15">
        <v>-2.4387032686201099E-2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139.21</v>
      </c>
      <c r="M30" s="33">
        <v>190.79</v>
      </c>
      <c r="N30" s="34">
        <v>1.37051935924143</v>
      </c>
      <c r="O30" s="34">
        <v>1.3563381687199101</v>
      </c>
      <c r="P30" s="34">
        <v>1.3728769333631199</v>
      </c>
      <c r="Q30" s="34">
        <v>1.37345204702471</v>
      </c>
      <c r="R30" s="33">
        <v>188.815836467499</v>
      </c>
      <c r="S30" s="33">
        <v>191.17524126516901</v>
      </c>
      <c r="T30" s="33">
        <v>191.243757600381</v>
      </c>
      <c r="U30" s="15">
        <v>-1.04012169507089E-2</v>
      </c>
      <c r="V30" s="15">
        <v>2.0171542024055899E-3</v>
      </c>
      <c r="W30" s="15">
        <v>2.3754854367238798E-3</v>
      </c>
      <c r="X30" s="34">
        <v>1.37051935924143</v>
      </c>
      <c r="Y30" s="34">
        <v>1.3563584455100699</v>
      </c>
      <c r="Z30" s="34">
        <v>1.3728769333631199</v>
      </c>
      <c r="AA30" s="34">
        <v>1.37345204702471</v>
      </c>
      <c r="AB30" s="33">
        <v>188.81865919945699</v>
      </c>
      <c r="AC30" s="33">
        <v>191.17524126516901</v>
      </c>
      <c r="AD30" s="33">
        <v>191.243757600381</v>
      </c>
      <c r="AE30" s="15">
        <v>-1.03862674056295E-2</v>
      </c>
      <c r="AF30" s="15">
        <v>2.0171542024055899E-3</v>
      </c>
      <c r="AG30" s="15">
        <v>2.3754854367238798E-3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1</v>
      </c>
      <c r="AX30">
        <f t="shared" si="5"/>
        <v>1</v>
      </c>
      <c r="AY30">
        <f t="shared" si="19"/>
        <v>1</v>
      </c>
      <c r="AZ30" s="28">
        <f t="shared" si="12"/>
        <v>2.6651233640596701E-2</v>
      </c>
      <c r="BA30" s="28">
        <f t="shared" si="13"/>
        <v>-2.4387032686201099E-2</v>
      </c>
      <c r="BB30" s="28">
        <f t="shared" si="20"/>
        <v>2.2642009543956017E-3</v>
      </c>
      <c r="BC30" s="29">
        <f t="shared" si="21"/>
        <v>4.3981709331697878E-3</v>
      </c>
      <c r="BE30" s="29">
        <f t="shared" si="22"/>
        <v>2.2642009543956017E-3</v>
      </c>
      <c r="BF30" s="29">
        <f t="shared" si="23"/>
        <v>4.3981709331697878E-3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139.56</v>
      </c>
      <c r="C31" s="33">
        <v>190.54</v>
      </c>
      <c r="D31" s="15">
        <v>2.5110319180974101E-3</v>
      </c>
      <c r="E31" s="15">
        <v>-1.3112004605859899E-3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139.56</v>
      </c>
      <c r="M31" s="33">
        <v>190.54</v>
      </c>
      <c r="N31" s="34">
        <v>1.3652909143020899</v>
      </c>
      <c r="O31" s="34">
        <v>1.3563381687199101</v>
      </c>
      <c r="P31" s="34">
        <v>1.37153418715085</v>
      </c>
      <c r="Q31" s="34">
        <v>1.37300354447913</v>
      </c>
      <c r="R31" s="33">
        <v>189.29055482655099</v>
      </c>
      <c r="S31" s="33">
        <v>191.598704820157</v>
      </c>
      <c r="T31" s="33">
        <v>191.67896768276901</v>
      </c>
      <c r="U31" s="15">
        <v>-6.5789845720254101E-3</v>
      </c>
      <c r="V31" s="15">
        <v>5.54095942399138E-3</v>
      </c>
      <c r="W31" s="15">
        <v>5.9597830056597103E-3</v>
      </c>
      <c r="X31" s="34">
        <v>1.3652909143020899</v>
      </c>
      <c r="Y31" s="34">
        <v>1.3563584455100699</v>
      </c>
      <c r="Z31" s="34">
        <v>1.37153418715085</v>
      </c>
      <c r="AA31" s="34">
        <v>1.37300354447913</v>
      </c>
      <c r="AB31" s="33">
        <v>189.29338465538601</v>
      </c>
      <c r="AC31" s="33">
        <v>191.598704820157</v>
      </c>
      <c r="AD31" s="33">
        <v>191.67896768276901</v>
      </c>
      <c r="AE31" s="15">
        <v>-6.5640350269460298E-3</v>
      </c>
      <c r="AF31" s="15">
        <v>5.54095942399138E-3</v>
      </c>
      <c r="AG31" s="15">
        <v>5.9597830056597103E-3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1</v>
      </c>
      <c r="AV31">
        <f t="shared" si="11"/>
        <v>0</v>
      </c>
      <c r="AW31">
        <f t="shared" si="18"/>
        <v>1</v>
      </c>
      <c r="AX31">
        <f t="shared" si="5"/>
        <v>1</v>
      </c>
      <c r="AY31">
        <f t="shared" si="19"/>
        <v>1</v>
      </c>
      <c r="AZ31" s="28">
        <f t="shared" si="12"/>
        <v>-2.5110319180974101E-3</v>
      </c>
      <c r="BA31" s="28">
        <f t="shared" si="13"/>
        <v>-1.3112004605859899E-3</v>
      </c>
      <c r="BB31" s="28">
        <f t="shared" si="20"/>
        <v>-3.8222323786833998E-3</v>
      </c>
      <c r="BC31" s="29">
        <f t="shared" si="21"/>
        <v>5.7593855448638803E-4</v>
      </c>
      <c r="BE31" s="29">
        <f t="shared" si="22"/>
        <v>-3.8222323786833998E-3</v>
      </c>
      <c r="BF31" s="29">
        <f t="shared" si="23"/>
        <v>5.7593855448638803E-4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139.47999999999999</v>
      </c>
      <c r="C32" s="33">
        <v>190.48</v>
      </c>
      <c r="D32" s="15">
        <v>-5.7339451112310203E-4</v>
      </c>
      <c r="E32" s="15">
        <v>-3.1494410002599898E-4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139.47999999999999</v>
      </c>
      <c r="M32" s="33">
        <v>190.48</v>
      </c>
      <c r="N32" s="34">
        <v>1.3656438199024901</v>
      </c>
      <c r="O32" s="34">
        <v>1.3563381687199101</v>
      </c>
      <c r="P32" s="34">
        <v>1.3706760164769101</v>
      </c>
      <c r="Q32" s="34">
        <v>1.37265161928142</v>
      </c>
      <c r="R32" s="33">
        <v>189.182047773053</v>
      </c>
      <c r="S32" s="33">
        <v>191.30158842380001</v>
      </c>
      <c r="T32" s="33">
        <v>191.506534383949</v>
      </c>
      <c r="U32" s="15">
        <v>-6.8374349831225598E-3</v>
      </c>
      <c r="V32" s="15">
        <v>4.3039775462520597E-3</v>
      </c>
      <c r="W32" s="15">
        <v>5.3747279693433002E-3</v>
      </c>
      <c r="X32" s="34">
        <v>1.3656438199024901</v>
      </c>
      <c r="Y32" s="34">
        <v>1.3563584455100699</v>
      </c>
      <c r="Z32" s="34">
        <v>1.3706760164769101</v>
      </c>
      <c r="AA32" s="34">
        <v>1.37265161928142</v>
      </c>
      <c r="AB32" s="33">
        <v>189.18487597974499</v>
      </c>
      <c r="AC32" s="33">
        <v>191.30158842380001</v>
      </c>
      <c r="AD32" s="33">
        <v>191.506534383949</v>
      </c>
      <c r="AE32" s="15">
        <v>-6.8224854380430503E-3</v>
      </c>
      <c r="AF32" s="15">
        <v>4.3039775462520597E-3</v>
      </c>
      <c r="AG32" s="15">
        <v>5.3747279693433002E-3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1</v>
      </c>
      <c r="AV32">
        <f t="shared" si="11"/>
        <v>0</v>
      </c>
      <c r="AW32">
        <f t="shared" si="18"/>
        <v>1</v>
      </c>
      <c r="AX32">
        <f t="shared" si="5"/>
        <v>1</v>
      </c>
      <c r="AY32">
        <f t="shared" si="19"/>
        <v>1</v>
      </c>
      <c r="AZ32" s="28">
        <f t="shared" si="12"/>
        <v>5.7339451112310203E-4</v>
      </c>
      <c r="BA32" s="28">
        <f t="shared" si="13"/>
        <v>-3.1494410002599898E-4</v>
      </c>
      <c r="BB32" s="28">
        <f t="shared" si="20"/>
        <v>2.5845041109710305E-4</v>
      </c>
      <c r="BC32" s="29">
        <f t="shared" si="21"/>
        <v>8.3438896558349113E-4</v>
      </c>
      <c r="BE32" s="29">
        <f t="shared" si="22"/>
        <v>2.5845041109710305E-4</v>
      </c>
      <c r="BF32" s="29">
        <f t="shared" si="23"/>
        <v>8.3438896558349113E-4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140.91</v>
      </c>
      <c r="C33" s="33">
        <v>192.48</v>
      </c>
      <c r="D33" s="15">
        <v>1.0200166899563099E-2</v>
      </c>
      <c r="E33" s="15">
        <v>1.0445050047761299E-2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140.91</v>
      </c>
      <c r="M33" s="33">
        <v>192.48</v>
      </c>
      <c r="N33" s="34">
        <v>1.3659782840110699</v>
      </c>
      <c r="O33" s="34">
        <v>1.3563381687199101</v>
      </c>
      <c r="P33" s="34">
        <v>1.3700835295627001</v>
      </c>
      <c r="Q33" s="34">
        <v>1.3723133366404601</v>
      </c>
      <c r="R33" s="33">
        <v>191.12161135432299</v>
      </c>
      <c r="S33" s="33">
        <v>193.14195748176101</v>
      </c>
      <c r="T33" s="33">
        <v>193.420339672945</v>
      </c>
      <c r="U33" s="15">
        <v>-7.0823181313208802E-3</v>
      </c>
      <c r="V33" s="15">
        <v>3.4331973017483401E-3</v>
      </c>
      <c r="W33" s="15">
        <v>4.8734942026998204E-3</v>
      </c>
      <c r="X33" s="34">
        <v>1.3659782840110699</v>
      </c>
      <c r="Y33" s="34">
        <v>1.3563584455100699</v>
      </c>
      <c r="Z33" s="34">
        <v>1.3700835295627001</v>
      </c>
      <c r="AA33" s="34">
        <v>1.3723133366404601</v>
      </c>
      <c r="AB33" s="33">
        <v>191.12446855682401</v>
      </c>
      <c r="AC33" s="33">
        <v>193.14195748176101</v>
      </c>
      <c r="AD33" s="33">
        <v>193.420339672945</v>
      </c>
      <c r="AE33" s="15">
        <v>-7.0673685862415198E-3</v>
      </c>
      <c r="AF33" s="15">
        <v>3.4331973017483401E-3</v>
      </c>
      <c r="AG33" s="15">
        <v>4.8734942026998204E-3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1</v>
      </c>
      <c r="AV33">
        <f t="shared" si="11"/>
        <v>0</v>
      </c>
      <c r="AW33">
        <f t="shared" si="18"/>
        <v>1</v>
      </c>
      <c r="AX33">
        <f t="shared" si="5"/>
        <v>1</v>
      </c>
      <c r="AY33">
        <f t="shared" si="19"/>
        <v>1</v>
      </c>
      <c r="AZ33" s="28">
        <f t="shared" si="12"/>
        <v>-1.0200166899563099E-2</v>
      </c>
      <c r="BA33" s="28">
        <f t="shared" si="13"/>
        <v>1.0445050047761299E-2</v>
      </c>
      <c r="BB33" s="28">
        <f t="shared" si="20"/>
        <v>2.448831481981998E-4</v>
      </c>
      <c r="BC33" s="29">
        <f t="shared" si="21"/>
        <v>1.0792721137816909E-3</v>
      </c>
      <c r="BE33" s="29">
        <f t="shared" si="22"/>
        <v>2.448831481981998E-4</v>
      </c>
      <c r="BF33" s="29">
        <f t="shared" si="23"/>
        <v>1.0792721137816909E-3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140.21</v>
      </c>
      <c r="C34" s="33">
        <v>191.64</v>
      </c>
      <c r="D34" s="15">
        <v>-4.9800899739731296E-3</v>
      </c>
      <c r="E34" s="15">
        <v>-4.3736402114474002E-3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140.21</v>
      </c>
      <c r="M34" s="33">
        <v>191.64</v>
      </c>
      <c r="N34" s="34">
        <v>1.36680693245845</v>
      </c>
      <c r="O34" s="34">
        <v>1.3563381687199101</v>
      </c>
      <c r="P34" s="34">
        <v>1.36892031895682</v>
      </c>
      <c r="Q34" s="34">
        <v>1.3721014268139</v>
      </c>
      <c r="R34" s="33">
        <v>190.17217463621901</v>
      </c>
      <c r="S34" s="33">
        <v>192.09941167998599</v>
      </c>
      <c r="T34" s="33">
        <v>192.41205293036001</v>
      </c>
      <c r="U34" s="15">
        <v>-7.6887678938467102E-3</v>
      </c>
      <c r="V34" s="15">
        <v>2.3943951832535101E-3</v>
      </c>
      <c r="W34" s="15">
        <v>4.0205694227494699E-3</v>
      </c>
      <c r="X34" s="34">
        <v>1.36680693245845</v>
      </c>
      <c r="Y34" s="34">
        <v>1.3563584455100699</v>
      </c>
      <c r="Z34" s="34">
        <v>1.36892031895682</v>
      </c>
      <c r="AA34" s="34">
        <v>1.3721014268139</v>
      </c>
      <c r="AB34" s="33">
        <v>190.175017644967</v>
      </c>
      <c r="AC34" s="33">
        <v>192.09941167998599</v>
      </c>
      <c r="AD34" s="33">
        <v>192.41205293036001</v>
      </c>
      <c r="AE34" s="15">
        <v>-7.6738183487673499E-3</v>
      </c>
      <c r="AF34" s="15">
        <v>2.3943951832535101E-3</v>
      </c>
      <c r="AG34" s="15">
        <v>4.0205694227494699E-3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1</v>
      </c>
      <c r="AV34">
        <f t="shared" si="11"/>
        <v>0</v>
      </c>
      <c r="AW34">
        <f t="shared" si="18"/>
        <v>1</v>
      </c>
      <c r="AX34">
        <f t="shared" si="5"/>
        <v>1</v>
      </c>
      <c r="AY34">
        <f t="shared" si="19"/>
        <v>1</v>
      </c>
      <c r="AZ34" s="28">
        <f t="shared" si="12"/>
        <v>4.9800899739731296E-3</v>
      </c>
      <c r="BA34" s="28">
        <f t="shared" si="13"/>
        <v>-4.3736402114474002E-3</v>
      </c>
      <c r="BB34" s="28">
        <f t="shared" si="20"/>
        <v>6.0644976252572941E-4</v>
      </c>
      <c r="BC34" s="29">
        <f t="shared" si="21"/>
        <v>1.6857218763074203E-3</v>
      </c>
      <c r="BE34" s="29">
        <f t="shared" si="22"/>
        <v>6.0644976252572941E-4</v>
      </c>
      <c r="BF34" s="29">
        <f t="shared" si="23"/>
        <v>1.6857218763074203E-3</v>
      </c>
      <c r="BH34" s="29"/>
    </row>
    <row r="35" spans="1:124" x14ac:dyDescent="0.25">
      <c r="A35" s="1">
        <v>46073</v>
      </c>
      <c r="B35" s="33">
        <v>140.88</v>
      </c>
      <c r="C35" s="33">
        <v>192.93</v>
      </c>
      <c r="D35" s="15">
        <v>4.7671654549105201E-3</v>
      </c>
      <c r="E35" s="15">
        <v>6.70881679996016E-3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140.88</v>
      </c>
      <c r="M35" s="33">
        <v>192.93</v>
      </c>
      <c r="N35" s="34">
        <v>1.36946337308347</v>
      </c>
      <c r="O35" s="34">
        <v>1.3563381687199101</v>
      </c>
      <c r="P35" s="34">
        <v>1.3681758798882599</v>
      </c>
      <c r="Q35" s="34">
        <v>1.3719212271632699</v>
      </c>
      <c r="R35" s="33">
        <v>191.08092120926099</v>
      </c>
      <c r="S35" s="33">
        <v>192.85349453463701</v>
      </c>
      <c r="T35" s="33">
        <v>193.30164900954301</v>
      </c>
      <c r="U35" s="15">
        <v>-9.6304192388964507E-3</v>
      </c>
      <c r="V35" s="15">
        <v>-3.9662384445758299E-4</v>
      </c>
      <c r="W35" s="15">
        <v>1.92448819355677E-3</v>
      </c>
      <c r="X35" s="34">
        <v>1.36946337308347</v>
      </c>
      <c r="Y35" s="34">
        <v>1.3563584455100699</v>
      </c>
      <c r="Z35" s="34">
        <v>1.3681758798882599</v>
      </c>
      <c r="AA35" s="34">
        <v>1.3719212271632699</v>
      </c>
      <c r="AB35" s="33">
        <v>191.08377780345899</v>
      </c>
      <c r="AC35" s="33">
        <v>192.85349453463701</v>
      </c>
      <c r="AD35" s="33">
        <v>193.30164900954301</v>
      </c>
      <c r="AE35" s="15">
        <v>-9.6154696938169394E-3</v>
      </c>
      <c r="AF35" s="15">
        <v>-3.9662384445758299E-4</v>
      </c>
      <c r="AG35" s="15">
        <v>1.92448819355677E-3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0</v>
      </c>
      <c r="AW35">
        <f t="shared" si="18"/>
        <v>1</v>
      </c>
      <c r="AX35">
        <f t="shared" si="5"/>
        <v>1</v>
      </c>
      <c r="AY35">
        <f t="shared" si="19"/>
        <v>1</v>
      </c>
      <c r="AZ35" s="28">
        <f t="shared" si="12"/>
        <v>-4.7671654549105201E-3</v>
      </c>
      <c r="BA35" s="28">
        <f t="shared" si="13"/>
        <v>6.70881679996016E-3</v>
      </c>
      <c r="BB35" s="28">
        <f t="shared" si="20"/>
        <v>1.9416513450496399E-3</v>
      </c>
      <c r="BC35" s="29">
        <f t="shared" si="21"/>
        <v>3.62737322135706E-3</v>
      </c>
      <c r="BE35" s="29">
        <f t="shared" si="22"/>
        <v>1.9416513450496399E-3</v>
      </c>
      <c r="BF35" s="29">
        <f t="shared" si="23"/>
        <v>3.62737322135706E-3</v>
      </c>
      <c r="BH35" s="29"/>
    </row>
    <row r="36" spans="1:124" x14ac:dyDescent="0.25">
      <c r="A36" s="1">
        <v>46076</v>
      </c>
      <c r="B36" s="33">
        <v>138.52000000000001</v>
      </c>
      <c r="C36" s="33">
        <v>189.8</v>
      </c>
      <c r="D36" s="15">
        <v>-1.6893744653729299E-2</v>
      </c>
      <c r="E36" s="15">
        <v>-1.6356542639053898E-2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138.52000000000001</v>
      </c>
      <c r="M36" s="33">
        <v>189.8</v>
      </c>
      <c r="N36" s="34">
        <v>1.3701992492058901</v>
      </c>
      <c r="O36" s="34">
        <v>1.3563381687199101</v>
      </c>
      <c r="P36" s="34">
        <v>1.3680952592125899</v>
      </c>
      <c r="Q36" s="34">
        <v>1.3716049438450899</v>
      </c>
      <c r="R36" s="33">
        <v>187.87996313108201</v>
      </c>
      <c r="S36" s="33">
        <v>189.51972288212201</v>
      </c>
      <c r="T36" s="33">
        <v>190.03852838665699</v>
      </c>
      <c r="U36" s="15">
        <v>-1.01676212535719E-2</v>
      </c>
      <c r="V36" s="15">
        <v>-1.47778853551278E-3</v>
      </c>
      <c r="W36" s="15">
        <v>1.2559464097813399E-3</v>
      </c>
      <c r="X36" s="34">
        <v>1.3701992492058901</v>
      </c>
      <c r="Y36" s="34">
        <v>1.3563584455100699</v>
      </c>
      <c r="Z36" s="34">
        <v>1.3680952592125899</v>
      </c>
      <c r="AA36" s="34">
        <v>1.3716049438450899</v>
      </c>
      <c r="AB36" s="33">
        <v>187.882771872055</v>
      </c>
      <c r="AC36" s="33">
        <v>189.51972288212201</v>
      </c>
      <c r="AD36" s="33">
        <v>190.03852838665699</v>
      </c>
      <c r="AE36" s="15">
        <v>-1.0152671708492499E-2</v>
      </c>
      <c r="AF36" s="15">
        <v>-1.47778853551278E-3</v>
      </c>
      <c r="AG36" s="15">
        <v>1.2559464097813399E-3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0</v>
      </c>
      <c r="AW36">
        <f t="shared" si="18"/>
        <v>1</v>
      </c>
      <c r="AX36">
        <f t="shared" si="5"/>
        <v>1</v>
      </c>
      <c r="AY36">
        <f t="shared" si="19"/>
        <v>1</v>
      </c>
      <c r="AZ36" s="28">
        <f t="shared" si="12"/>
        <v>1.6893744653729299E-2</v>
      </c>
      <c r="BA36" s="28">
        <f t="shared" si="13"/>
        <v>-1.6356542639053898E-2</v>
      </c>
      <c r="BB36" s="28">
        <f t="shared" si="20"/>
        <v>5.372020146754003E-4</v>
      </c>
      <c r="BC36" s="29">
        <f t="shared" si="21"/>
        <v>4.1645752360324603E-3</v>
      </c>
      <c r="BE36" s="29">
        <f t="shared" si="22"/>
        <v>5.372020146754003E-4</v>
      </c>
      <c r="BF36" s="29">
        <f t="shared" si="23"/>
        <v>4.1645752360324603E-3</v>
      </c>
      <c r="BH36" s="29"/>
    </row>
    <row r="37" spans="1:124" x14ac:dyDescent="0.25">
      <c r="A37" s="1">
        <v>46077</v>
      </c>
      <c r="B37" s="33">
        <v>140.32</v>
      </c>
      <c r="C37" s="33">
        <v>192.22</v>
      </c>
      <c r="D37" s="15">
        <v>1.29108090896514E-2</v>
      </c>
      <c r="E37" s="15">
        <v>1.26696632193106E-2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140.32</v>
      </c>
      <c r="M37" s="33">
        <v>192.22</v>
      </c>
      <c r="N37" s="34">
        <v>1.36986887115165</v>
      </c>
      <c r="O37" s="34">
        <v>1.3563381687199101</v>
      </c>
      <c r="P37" s="34">
        <v>1.3681306290623201</v>
      </c>
      <c r="Q37" s="34">
        <v>1.37121832168525</v>
      </c>
      <c r="R37" s="33">
        <v>190.32137183477801</v>
      </c>
      <c r="S37" s="33">
        <v>191.97112677271099</v>
      </c>
      <c r="T37" s="33">
        <v>192.463605720343</v>
      </c>
      <c r="U37" s="15">
        <v>-9.9264753832310794E-3</v>
      </c>
      <c r="V37" s="15">
        <v>-1.2955700678996601E-3</v>
      </c>
      <c r="W37" s="15">
        <v>1.2665252653575199E-3</v>
      </c>
      <c r="X37" s="34">
        <v>1.36986887115165</v>
      </c>
      <c r="Y37" s="34">
        <v>1.3563584455100699</v>
      </c>
      <c r="Z37" s="34">
        <v>1.3681306290623201</v>
      </c>
      <c r="AA37" s="34">
        <v>1.37121832168525</v>
      </c>
      <c r="AB37" s="33">
        <v>190.32421707397299</v>
      </c>
      <c r="AC37" s="33">
        <v>191.97112677271099</v>
      </c>
      <c r="AD37" s="33">
        <v>192.463605720343</v>
      </c>
      <c r="AE37" s="15">
        <v>-9.9115258381516306E-3</v>
      </c>
      <c r="AF37" s="15">
        <v>-1.2955700678996601E-3</v>
      </c>
      <c r="AG37" s="15">
        <v>1.2665252653575199E-3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0</v>
      </c>
      <c r="AW37">
        <f t="shared" si="18"/>
        <v>1</v>
      </c>
      <c r="AX37">
        <f t="shared" si="5"/>
        <v>1</v>
      </c>
      <c r="AY37">
        <f t="shared" si="19"/>
        <v>1</v>
      </c>
      <c r="AZ37" s="28">
        <f t="shared" si="12"/>
        <v>-1.29108090896514E-2</v>
      </c>
      <c r="BA37" s="28">
        <f t="shared" si="13"/>
        <v>1.26696632193106E-2</v>
      </c>
      <c r="BB37" s="28">
        <f t="shared" si="20"/>
        <v>-2.4114587034079933E-4</v>
      </c>
      <c r="BC37" s="29">
        <f t="shared" si="21"/>
        <v>3.923429365691661E-3</v>
      </c>
      <c r="BE37" s="29">
        <f t="shared" si="22"/>
        <v>-2.4114587034079933E-4</v>
      </c>
      <c r="BF37" s="29">
        <f t="shared" si="23"/>
        <v>3.923429365691661E-3</v>
      </c>
      <c r="BH37" s="29"/>
    </row>
    <row r="38" spans="1:124" x14ac:dyDescent="0.25">
      <c r="A38" s="1">
        <v>46078</v>
      </c>
      <c r="B38" s="33">
        <v>143.01</v>
      </c>
      <c r="C38" s="33">
        <v>195.98</v>
      </c>
      <c r="D38" s="15">
        <v>1.8989029260970999E-2</v>
      </c>
      <c r="E38" s="15">
        <v>1.9372063812534E-2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143.01</v>
      </c>
      <c r="M38" s="33">
        <v>195.98</v>
      </c>
      <c r="N38" s="34">
        <v>1.3703936787637201</v>
      </c>
      <c r="O38" s="34">
        <v>1.3563381687199101</v>
      </c>
      <c r="P38" s="34">
        <v>1.3681584220526899</v>
      </c>
      <c r="Q38" s="34">
        <v>1.3709436793823</v>
      </c>
      <c r="R38" s="33">
        <v>193.969921508635</v>
      </c>
      <c r="S38" s="33">
        <v>195.65636126220301</v>
      </c>
      <c r="T38" s="33">
        <v>196.09793218420799</v>
      </c>
      <c r="U38" s="15">
        <v>-1.0309509934794001E-2</v>
      </c>
      <c r="V38" s="15">
        <v>-1.6527516006130099E-3</v>
      </c>
      <c r="W38" s="15">
        <v>6.0157523841411899E-4</v>
      </c>
      <c r="X38" s="34">
        <v>1.3703936787637201</v>
      </c>
      <c r="Y38" s="34">
        <v>1.3563584455100699</v>
      </c>
      <c r="Z38" s="34">
        <v>1.3681584220526899</v>
      </c>
      <c r="AA38" s="34">
        <v>1.3709436793823</v>
      </c>
      <c r="AB38" s="33">
        <v>193.972821292395</v>
      </c>
      <c r="AC38" s="33">
        <v>195.65636126220301</v>
      </c>
      <c r="AD38" s="33">
        <v>196.09793218420799</v>
      </c>
      <c r="AE38" s="15">
        <v>-1.02945603897146E-2</v>
      </c>
      <c r="AF38" s="15">
        <v>-1.6527516006130099E-3</v>
      </c>
      <c r="AG38" s="15">
        <v>6.0157523841411899E-4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1</v>
      </c>
      <c r="AX38">
        <f t="shared" si="5"/>
        <v>1</v>
      </c>
      <c r="AY38">
        <f t="shared" si="19"/>
        <v>1</v>
      </c>
      <c r="AZ38" s="28">
        <f t="shared" si="12"/>
        <v>-1.8989029260970999E-2</v>
      </c>
      <c r="BA38" s="28">
        <f t="shared" si="13"/>
        <v>1.9372063812534E-2</v>
      </c>
      <c r="BB38" s="28">
        <f t="shared" si="20"/>
        <v>3.8303455156300098E-4</v>
      </c>
      <c r="BC38" s="29">
        <f t="shared" si="21"/>
        <v>4.3064639172546619E-3</v>
      </c>
      <c r="BE38" s="29">
        <f t="shared" si="22"/>
        <v>3.8303455156300098E-4</v>
      </c>
      <c r="BF38" s="29">
        <f t="shared" si="23"/>
        <v>4.3064639172546619E-3</v>
      </c>
      <c r="BH38" s="29"/>
    </row>
    <row r="39" spans="1:124" x14ac:dyDescent="0.25">
      <c r="A39" s="1">
        <v>46079</v>
      </c>
      <c r="B39" s="33">
        <v>141.01</v>
      </c>
      <c r="C39" s="33">
        <v>193.2</v>
      </c>
      <c r="D39" s="15">
        <v>-1.4083748035705199E-2</v>
      </c>
      <c r="E39" s="15">
        <v>-1.4286691429254801E-2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141.01</v>
      </c>
      <c r="M39" s="33">
        <v>193.2</v>
      </c>
      <c r="N39" s="34">
        <v>1.3701155946386701</v>
      </c>
      <c r="O39" s="34">
        <v>1.3563381687199101</v>
      </c>
      <c r="P39" s="34">
        <v>1.3684280076758899</v>
      </c>
      <c r="Q39" s="34">
        <v>1.37085735296936</v>
      </c>
      <c r="R39" s="33">
        <v>191.257245171195</v>
      </c>
      <c r="S39" s="33">
        <v>192.92401909365</v>
      </c>
      <c r="T39" s="33">
        <v>193.31676822969899</v>
      </c>
      <c r="U39" s="15">
        <v>-1.01065665412445E-2</v>
      </c>
      <c r="V39" s="15">
        <v>-1.42949383979511E-3</v>
      </c>
      <c r="W39" s="15">
        <v>6.0420785254213904E-4</v>
      </c>
      <c r="X39" s="34">
        <v>1.3701155946386701</v>
      </c>
      <c r="Y39" s="34">
        <v>1.3563584455100699</v>
      </c>
      <c r="Z39" s="34">
        <v>1.3684280076758899</v>
      </c>
      <c r="AA39" s="34">
        <v>1.37085735296936</v>
      </c>
      <c r="AB39" s="33">
        <v>191.260104401375</v>
      </c>
      <c r="AC39" s="33">
        <v>192.92401909365</v>
      </c>
      <c r="AD39" s="33">
        <v>193.31676822969899</v>
      </c>
      <c r="AE39" s="15">
        <v>-1.0091616996165001E-2</v>
      </c>
      <c r="AF39" s="15">
        <v>-1.42949383979511E-3</v>
      </c>
      <c r="AG39" s="15">
        <v>6.0420785254213904E-4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4.3064639172546619E-3</v>
      </c>
      <c r="BE39" s="29">
        <f t="shared" si="22"/>
        <v>0</v>
      </c>
      <c r="BF39" s="29">
        <f t="shared" si="23"/>
        <v>4.3064639172546619E-3</v>
      </c>
      <c r="BH39" s="29"/>
    </row>
    <row r="40" spans="1:124" x14ac:dyDescent="0.25">
      <c r="A40" s="1">
        <v>46080</v>
      </c>
      <c r="B40" s="33">
        <v>138.76</v>
      </c>
      <c r="C40" s="33">
        <v>189.58</v>
      </c>
      <c r="D40" s="15">
        <v>-1.60849877475897E-2</v>
      </c>
      <c r="E40" s="15">
        <v>-1.8914822753521899E-2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138.76</v>
      </c>
      <c r="M40" s="33">
        <v>189.58</v>
      </c>
      <c r="N40" s="34">
        <v>1.36624387431536</v>
      </c>
      <c r="O40" s="34">
        <v>1.3563381687199101</v>
      </c>
      <c r="P40" s="34">
        <v>1.3680004591832799</v>
      </c>
      <c r="Q40" s="34">
        <v>1.3704386962732</v>
      </c>
      <c r="R40" s="33">
        <v>188.205484291575</v>
      </c>
      <c r="S40" s="33">
        <v>189.883070345107</v>
      </c>
      <c r="T40" s="33">
        <v>190.220166298029</v>
      </c>
      <c r="U40" s="15">
        <v>-7.2767315353123004E-3</v>
      </c>
      <c r="V40" s="15">
        <v>1.59736445116486E-3</v>
      </c>
      <c r="W40" s="15">
        <v>3.37107226946875E-3</v>
      </c>
      <c r="X40" s="34">
        <v>1.36624387431536</v>
      </c>
      <c r="Y40" s="34">
        <v>1.3563584455100699</v>
      </c>
      <c r="Z40" s="34">
        <v>1.3680004591832799</v>
      </c>
      <c r="AA40" s="34">
        <v>1.3704386962732</v>
      </c>
      <c r="AB40" s="33">
        <v>188.208297898978</v>
      </c>
      <c r="AC40" s="33">
        <v>189.883070345107</v>
      </c>
      <c r="AD40" s="33">
        <v>190.220166298029</v>
      </c>
      <c r="AE40" s="15">
        <v>-7.2617819902329496E-3</v>
      </c>
      <c r="AF40" s="15">
        <v>1.59736445116486E-3</v>
      </c>
      <c r="AG40" s="15">
        <v>3.37107226946875E-3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1</v>
      </c>
      <c r="AV40">
        <f t="shared" si="11"/>
        <v>0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4.3064639172546619E-3</v>
      </c>
      <c r="BE40" s="29">
        <f t="shared" si="22"/>
        <v>0</v>
      </c>
      <c r="BF40" s="29">
        <f t="shared" si="23"/>
        <v>4.3064639172546619E-3</v>
      </c>
      <c r="BH40" s="29"/>
    </row>
    <row r="41" spans="1:124" x14ac:dyDescent="0.25">
      <c r="A41" s="1">
        <v>46083</v>
      </c>
      <c r="B41" s="33">
        <v>139.54</v>
      </c>
      <c r="C41" s="33">
        <v>191.17</v>
      </c>
      <c r="D41" s="15">
        <v>5.6054764095416296E-3</v>
      </c>
      <c r="E41" s="15">
        <v>8.3519855160312604E-3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139.54</v>
      </c>
      <c r="M41" s="33">
        <v>191.17</v>
      </c>
      <c r="N41" s="34">
        <v>1.37000143328077</v>
      </c>
      <c r="O41" s="34">
        <v>1.3563381687199101</v>
      </c>
      <c r="P41" s="34">
        <v>1.3684715110811501</v>
      </c>
      <c r="Q41" s="34">
        <v>1.3700028491159999</v>
      </c>
      <c r="R41" s="33">
        <v>189.263428063177</v>
      </c>
      <c r="S41" s="33">
        <v>190.890784074436</v>
      </c>
      <c r="T41" s="33">
        <v>191.231015677963</v>
      </c>
      <c r="U41" s="15">
        <v>-1.0023240641802E-2</v>
      </c>
      <c r="V41" s="15">
        <v>-1.46163116923458E-3</v>
      </c>
      <c r="W41" s="15">
        <v>3.1911880972770401E-4</v>
      </c>
      <c r="X41" s="34">
        <v>1.37000143328077</v>
      </c>
      <c r="Y41" s="34">
        <v>1.3563584455100699</v>
      </c>
      <c r="Z41" s="34">
        <v>1.3684715110811501</v>
      </c>
      <c r="AA41" s="34">
        <v>1.3700028491159999</v>
      </c>
      <c r="AB41" s="33">
        <v>189.26625748647501</v>
      </c>
      <c r="AC41" s="33">
        <v>190.890784074436</v>
      </c>
      <c r="AD41" s="33">
        <v>191.231015677963</v>
      </c>
      <c r="AE41" s="15">
        <v>-1.0008291096722501E-2</v>
      </c>
      <c r="AF41" s="15">
        <v>-1.46163116923458E-3</v>
      </c>
      <c r="AG41" s="15">
        <v>3.1911880972770401E-4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1</v>
      </c>
      <c r="AX41">
        <f t="shared" si="5"/>
        <v>1</v>
      </c>
      <c r="AY41">
        <f t="shared" si="19"/>
        <v>1</v>
      </c>
      <c r="AZ41" s="28">
        <f t="shared" si="12"/>
        <v>-5.6054764095416296E-3</v>
      </c>
      <c r="BA41" s="28">
        <f t="shared" si="13"/>
        <v>8.3519855160312604E-3</v>
      </c>
      <c r="BB41" s="28">
        <f t="shared" si="20"/>
        <v>2.7465091064896308E-3</v>
      </c>
      <c r="BC41" s="29">
        <f t="shared" si="21"/>
        <v>7.0529730237442927E-3</v>
      </c>
      <c r="BE41" s="29">
        <f t="shared" si="22"/>
        <v>2.7465091064896308E-3</v>
      </c>
      <c r="BF41" s="29">
        <f t="shared" si="23"/>
        <v>7.0529730237442927E-3</v>
      </c>
      <c r="BH41" s="29"/>
    </row>
    <row r="42" spans="1:124" x14ac:dyDescent="0.25">
      <c r="A42" s="1">
        <v>46084</v>
      </c>
      <c r="B42" s="33">
        <v>137.5</v>
      </c>
      <c r="C42" s="33">
        <v>188.91</v>
      </c>
      <c r="D42" s="15">
        <v>-1.4727381404464401E-2</v>
      </c>
      <c r="E42" s="15">
        <v>-1.1892373372165799E-2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137.5</v>
      </c>
      <c r="M42" s="33">
        <v>188.91</v>
      </c>
      <c r="N42" s="34">
        <v>1.3738909090908999</v>
      </c>
      <c r="O42" s="34">
        <v>1.3563381687199101</v>
      </c>
      <c r="P42" s="34">
        <v>1.3692962200000001</v>
      </c>
      <c r="Q42" s="34">
        <v>1.3699861182384501</v>
      </c>
      <c r="R42" s="33">
        <v>186.49649819898801</v>
      </c>
      <c r="S42" s="33">
        <v>188.16483277365899</v>
      </c>
      <c r="T42" s="33">
        <v>188.37539175345</v>
      </c>
      <c r="U42" s="15">
        <v>-1.2858248674100599E-2</v>
      </c>
      <c r="V42" s="15">
        <v>-3.9523624045185203E-3</v>
      </c>
      <c r="W42" s="15">
        <v>-2.8339745775451302E-3</v>
      </c>
      <c r="X42" s="34">
        <v>1.3738909090908999</v>
      </c>
      <c r="Y42" s="34">
        <v>1.3563584455100699</v>
      </c>
      <c r="Z42" s="34">
        <v>1.3692962200000001</v>
      </c>
      <c r="AA42" s="34">
        <v>1.3699861182384501</v>
      </c>
      <c r="AB42" s="33">
        <v>186.49928625763499</v>
      </c>
      <c r="AC42" s="33">
        <v>188.16483277365899</v>
      </c>
      <c r="AD42" s="33">
        <v>188.37539175345</v>
      </c>
      <c r="AE42" s="15">
        <v>-1.28432991290211E-2</v>
      </c>
      <c r="AF42" s="15">
        <v>-3.9523624045185203E-3</v>
      </c>
      <c r="AG42" s="15">
        <v>-2.8339745775451302E-3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7.0529730237442927E-3</v>
      </c>
      <c r="BE42" s="29">
        <f t="shared" si="22"/>
        <v>0</v>
      </c>
      <c r="BF42" s="29">
        <f t="shared" si="23"/>
        <v>7.0529730237442927E-3</v>
      </c>
      <c r="BH42" s="29"/>
    </row>
    <row r="43" spans="1:124" x14ac:dyDescent="0.25">
      <c r="A43" s="1">
        <v>46085</v>
      </c>
      <c r="B43" s="33">
        <v>139.84</v>
      </c>
      <c r="C43" s="33">
        <v>191.44</v>
      </c>
      <c r="D43" s="15">
        <v>1.6874994800599299E-2</v>
      </c>
      <c r="E43" s="15">
        <v>1.3303732431356701E-2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139.84</v>
      </c>
      <c r="M43" s="33">
        <v>191.44</v>
      </c>
      <c r="N43" s="34">
        <v>1.3689931350114399</v>
      </c>
      <c r="O43" s="34">
        <v>1.3563381687199101</v>
      </c>
      <c r="P43" s="34">
        <v>1.3695977051000301</v>
      </c>
      <c r="Q43" s="34">
        <v>1.36984061733137</v>
      </c>
      <c r="R43" s="33">
        <v>189.67032951379301</v>
      </c>
      <c r="S43" s="33">
        <v>191.4823834048</v>
      </c>
      <c r="T43" s="33">
        <v>191.578858774465</v>
      </c>
      <c r="U43" s="15">
        <v>-9.2869863048580994E-3</v>
      </c>
      <c r="V43" s="15">
        <v>2.2136812476832501E-4</v>
      </c>
      <c r="W43" s="15">
        <v>7.2507542314534997E-4</v>
      </c>
      <c r="X43" s="34">
        <v>1.3689931350114399</v>
      </c>
      <c r="Y43" s="34">
        <v>1.3563584455100699</v>
      </c>
      <c r="Z43" s="34">
        <v>1.3695977051000301</v>
      </c>
      <c r="AA43" s="34">
        <v>1.36984061733137</v>
      </c>
      <c r="AB43" s="33">
        <v>189.67316502012901</v>
      </c>
      <c r="AC43" s="33">
        <v>191.4823834048</v>
      </c>
      <c r="AD43" s="33">
        <v>191.578858774465</v>
      </c>
      <c r="AE43" s="15">
        <v>-9.2720367597787599E-3</v>
      </c>
      <c r="AF43" s="15">
        <v>2.2136812476832501E-4</v>
      </c>
      <c r="AG43" s="15">
        <v>7.2507542314534997E-4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7.0529730237442927E-3</v>
      </c>
      <c r="BE43" s="29">
        <f t="shared" si="22"/>
        <v>0</v>
      </c>
      <c r="BF43" s="29">
        <f t="shared" si="23"/>
        <v>7.0529730237442927E-3</v>
      </c>
      <c r="BH43" s="29"/>
    </row>
    <row r="44" spans="1:124" x14ac:dyDescent="0.25">
      <c r="A44" s="1">
        <v>46086</v>
      </c>
      <c r="B44" s="33">
        <v>140.18</v>
      </c>
      <c r="C44" s="33">
        <v>191.71</v>
      </c>
      <c r="D44" s="15">
        <v>2.42839916495331E-3</v>
      </c>
      <c r="E44" s="15">
        <v>1.4093699318403E-3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140.18</v>
      </c>
      <c r="M44" s="33">
        <v>191.71</v>
      </c>
      <c r="N44" s="34">
        <v>1.36759880154087</v>
      </c>
      <c r="O44" s="34">
        <v>1.3563381687199101</v>
      </c>
      <c r="P44" s="34">
        <v>1.36967689200827</v>
      </c>
      <c r="Q44" s="34">
        <v>1.36929860548255</v>
      </c>
      <c r="R44" s="33">
        <v>190.13148449115701</v>
      </c>
      <c r="S44" s="33">
        <v>191.99020630092301</v>
      </c>
      <c r="T44" s="33">
        <v>192.02425773751099</v>
      </c>
      <c r="U44" s="15">
        <v>-8.2679570717450294E-3</v>
      </c>
      <c r="V44" s="15">
        <v>1.4605483454697701E-3</v>
      </c>
      <c r="W44" s="15">
        <v>1.6378928981692601E-3</v>
      </c>
      <c r="X44" s="34">
        <v>1.36759880154087</v>
      </c>
      <c r="Y44" s="34">
        <v>1.3563584455100699</v>
      </c>
      <c r="Z44" s="34">
        <v>1.36967689200827</v>
      </c>
      <c r="AA44" s="34">
        <v>1.36929860548255</v>
      </c>
      <c r="AB44" s="33">
        <v>190.134326891602</v>
      </c>
      <c r="AC44" s="33">
        <v>191.99020630092301</v>
      </c>
      <c r="AD44" s="33">
        <v>192.02425773751099</v>
      </c>
      <c r="AE44" s="15">
        <v>-8.25300752666548E-3</v>
      </c>
      <c r="AF44" s="15">
        <v>1.4605483454697701E-3</v>
      </c>
      <c r="AG44" s="15">
        <v>1.6378928981692601E-3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7.0529730237442927E-3</v>
      </c>
      <c r="BE44" s="29">
        <f t="shared" si="22"/>
        <v>0</v>
      </c>
      <c r="BF44" s="29">
        <f t="shared" si="23"/>
        <v>7.0529730237442927E-3</v>
      </c>
      <c r="BH44" s="29"/>
    </row>
    <row r="45" spans="1:124" x14ac:dyDescent="0.25">
      <c r="A45" s="1">
        <v>46087</v>
      </c>
      <c r="B45" s="33">
        <v>137.29</v>
      </c>
      <c r="C45" s="33">
        <v>188.34</v>
      </c>
      <c r="D45" s="15">
        <v>-2.0831834162665201E-2</v>
      </c>
      <c r="E45" s="15">
        <v>-1.7734973450040801E-2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137.29</v>
      </c>
      <c r="M45" s="33">
        <v>188.34</v>
      </c>
      <c r="N45" s="34">
        <v>1.37184062932478</v>
      </c>
      <c r="O45" s="34">
        <v>1.3563381687199101</v>
      </c>
      <c r="P45" s="34">
        <v>1.36991461763241</v>
      </c>
      <c r="Q45" s="34">
        <v>1.36904524876033</v>
      </c>
      <c r="R45" s="33">
        <v>186.21166718355701</v>
      </c>
      <c r="S45" s="33">
        <v>188.042940503816</v>
      </c>
      <c r="T45" s="33">
        <v>187.991005546699</v>
      </c>
      <c r="U45" s="15">
        <v>-1.13648177843693E-2</v>
      </c>
      <c r="V45" s="15">
        <v>-1.5784963976657499E-3</v>
      </c>
      <c r="W45" s="15">
        <v>-1.8547212331769399E-3</v>
      </c>
      <c r="X45" s="34">
        <v>1.37184062932478</v>
      </c>
      <c r="Y45" s="34">
        <v>1.3563584455100699</v>
      </c>
      <c r="Z45" s="34">
        <v>1.36991461763241</v>
      </c>
      <c r="AA45" s="34">
        <v>1.36904524876033</v>
      </c>
      <c r="AB45" s="33">
        <v>186.21445098407801</v>
      </c>
      <c r="AC45" s="33">
        <v>188.042940503816</v>
      </c>
      <c r="AD45" s="33">
        <v>187.991005546699</v>
      </c>
      <c r="AE45" s="15">
        <v>-1.1349868239289899E-2</v>
      </c>
      <c r="AF45" s="15">
        <v>-1.5784963976657499E-3</v>
      </c>
      <c r="AG45" s="15">
        <v>-1.8547212331769399E-3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7.0529730237442927E-3</v>
      </c>
      <c r="BE45" s="29">
        <f t="shared" si="22"/>
        <v>0</v>
      </c>
      <c r="BF45" s="29">
        <f t="shared" si="23"/>
        <v>7.0529730237442927E-3</v>
      </c>
      <c r="BH45" s="29"/>
    </row>
    <row r="46" spans="1:124" x14ac:dyDescent="0.25">
      <c r="A46" s="1">
        <v>46090</v>
      </c>
      <c r="B46" s="33">
        <v>139.76</v>
      </c>
      <c r="C46" s="33">
        <v>191.75</v>
      </c>
      <c r="D46" s="15">
        <v>1.7831188916287499E-2</v>
      </c>
      <c r="E46" s="15">
        <v>1.7943600165448301E-2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139.76</v>
      </c>
      <c r="M46" s="33">
        <v>191.75</v>
      </c>
      <c r="N46" s="34">
        <v>1.37199484831139</v>
      </c>
      <c r="O46" s="34">
        <v>1.3563381687199101</v>
      </c>
      <c r="P46" s="34">
        <v>1.37009417754296</v>
      </c>
      <c r="Q46" s="34">
        <v>1.36909471837777</v>
      </c>
      <c r="R46" s="33">
        <v>189.56182246029499</v>
      </c>
      <c r="S46" s="33">
        <v>191.459266960305</v>
      </c>
      <c r="T46" s="33">
        <v>191.33776396674401</v>
      </c>
      <c r="U46" s="15">
        <v>-1.1477229033530101E-2</v>
      </c>
      <c r="V46" s="15">
        <v>-1.5173594197343599E-3</v>
      </c>
      <c r="W46" s="15">
        <v>-2.1521762434015298E-3</v>
      </c>
      <c r="X46" s="34">
        <v>1.37199484831139</v>
      </c>
      <c r="Y46" s="34">
        <v>1.3563584455100699</v>
      </c>
      <c r="Z46" s="34">
        <v>1.37009417754296</v>
      </c>
      <c r="AA46" s="34">
        <v>1.36909471837777</v>
      </c>
      <c r="AB46" s="33">
        <v>189.56465634448799</v>
      </c>
      <c r="AC46" s="33">
        <v>191.459266960305</v>
      </c>
      <c r="AD46" s="33">
        <v>191.33776396674401</v>
      </c>
      <c r="AE46" s="15">
        <v>-1.1462279488450701E-2</v>
      </c>
      <c r="AF46" s="15">
        <v>-1.5173594197343599E-3</v>
      </c>
      <c r="AG46" s="15">
        <v>-2.1521762434015298E-3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7.0529730237442927E-3</v>
      </c>
      <c r="BE46" s="29">
        <f t="shared" si="22"/>
        <v>0</v>
      </c>
      <c r="BF46" s="29">
        <f t="shared" si="23"/>
        <v>7.0529730237442927E-3</v>
      </c>
      <c r="BH46" s="29"/>
    </row>
    <row r="47" spans="1:124" x14ac:dyDescent="0.25">
      <c r="A47" s="1">
        <v>46091</v>
      </c>
      <c r="B47" s="33">
        <v>139.76</v>
      </c>
      <c r="C47" s="33">
        <v>191.75</v>
      </c>
      <c r="D47" s="15">
        <v>0</v>
      </c>
      <c r="E47" s="15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139.76</v>
      </c>
      <c r="M47" s="33">
        <v>191.75</v>
      </c>
      <c r="N47" s="34">
        <v>1.37199484831139</v>
      </c>
      <c r="O47" s="34">
        <v>1.3563381687199101</v>
      </c>
      <c r="P47" s="34">
        <v>1.37030677525893</v>
      </c>
      <c r="Q47" s="34">
        <v>1.3692187021606299</v>
      </c>
      <c r="R47" s="33">
        <v>189.56182246029499</v>
      </c>
      <c r="S47" s="33">
        <v>191.48436225340399</v>
      </c>
      <c r="T47" s="33">
        <v>191.344677840478</v>
      </c>
      <c r="U47" s="15">
        <v>-1.1477229033530101E-2</v>
      </c>
      <c r="V47" s="15">
        <v>-1.38629421211652E-3</v>
      </c>
      <c r="W47" s="15">
        <v>-2.1160425044115098E-3</v>
      </c>
      <c r="X47" s="34">
        <v>1.37199484831139</v>
      </c>
      <c r="Y47" s="34">
        <v>1.3563584455100699</v>
      </c>
      <c r="Z47" s="34">
        <v>1.37030677525893</v>
      </c>
      <c r="AA47" s="34">
        <v>1.3692187021606299</v>
      </c>
      <c r="AB47" s="33">
        <v>189.56465634448799</v>
      </c>
      <c r="AC47" s="33">
        <v>191.48436225340399</v>
      </c>
      <c r="AD47" s="33">
        <v>191.344677840478</v>
      </c>
      <c r="AE47" s="15">
        <v>-1.1462279488450701E-2</v>
      </c>
      <c r="AF47" s="15">
        <v>-1.38629421211652E-3</v>
      </c>
      <c r="AG47" s="15">
        <v>-2.1160425044115098E-3</v>
      </c>
      <c r="AI47" s="12"/>
      <c r="AJ47">
        <f t="shared" si="6"/>
        <v>0</v>
      </c>
      <c r="AK47">
        <f t="shared" si="7"/>
        <v>0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7.0529730237442927E-3</v>
      </c>
      <c r="BE47" s="29">
        <f t="shared" si="22"/>
        <v>0</v>
      </c>
      <c r="BF47" s="29">
        <f t="shared" si="23"/>
        <v>7.0529730237442927E-3</v>
      </c>
      <c r="BH47" s="29"/>
    </row>
    <row r="48" spans="1:124" x14ac:dyDescent="0.25">
      <c r="A48" s="1">
        <v>46092</v>
      </c>
      <c r="B48" s="33">
        <v>140.43</v>
      </c>
      <c r="C48" s="33">
        <v>192.67</v>
      </c>
      <c r="D48" s="15">
        <v>4.78247815428784E-3</v>
      </c>
      <c r="E48" s="15">
        <v>4.7864406453032998E-3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140.43</v>
      </c>
      <c r="M48" s="33">
        <v>192.67</v>
      </c>
      <c r="N48" s="34">
        <v>1.3720002848394199</v>
      </c>
      <c r="O48" s="34">
        <v>1.3563381687199101</v>
      </c>
      <c r="P48" s="34">
        <v>1.3704674358665001</v>
      </c>
      <c r="Q48" s="34">
        <v>1.36931292895959</v>
      </c>
      <c r="R48" s="33">
        <v>190.470569033337</v>
      </c>
      <c r="S48" s="33">
        <v>192.43218044961199</v>
      </c>
      <c r="T48" s="33">
        <v>192.279382344417</v>
      </c>
      <c r="U48" s="15">
        <v>-1.14811915245453E-2</v>
      </c>
      <c r="V48" s="15">
        <v>-1.23509859301437E-3</v>
      </c>
      <c r="W48" s="15">
        <v>-2.0294501436649202E-3</v>
      </c>
      <c r="X48" s="34">
        <v>1.3720002848394199</v>
      </c>
      <c r="Y48" s="34">
        <v>1.3563584455100699</v>
      </c>
      <c r="Z48" s="34">
        <v>1.3704674358665001</v>
      </c>
      <c r="AA48" s="34">
        <v>1.36931292895959</v>
      </c>
      <c r="AB48" s="33">
        <v>190.47341650297901</v>
      </c>
      <c r="AC48" s="33">
        <v>192.43218044961199</v>
      </c>
      <c r="AD48" s="33">
        <v>192.279382344417</v>
      </c>
      <c r="AE48" s="15">
        <v>-1.1466241979465899E-2</v>
      </c>
      <c r="AF48" s="15">
        <v>-1.23509859301437E-3</v>
      </c>
      <c r="AG48" s="15">
        <v>-2.0294501436649202E-3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7.0529730237442927E-3</v>
      </c>
      <c r="BE48" s="29">
        <f t="shared" si="22"/>
        <v>0</v>
      </c>
      <c r="BF48" s="29">
        <f t="shared" si="23"/>
        <v>7.0529730237442927E-3</v>
      </c>
      <c r="BH48" s="29"/>
    </row>
    <row r="49" spans="1:60" x14ac:dyDescent="0.25">
      <c r="A49" s="1">
        <v>46093</v>
      </c>
      <c r="B49" s="33">
        <v>137.84</v>
      </c>
      <c r="C49" s="33">
        <v>189.04</v>
      </c>
      <c r="D49" s="15">
        <v>-1.8615551760414701E-2</v>
      </c>
      <c r="E49" s="15">
        <v>-1.9020248014016299E-2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137.84</v>
      </c>
      <c r="M49" s="33">
        <v>189.04</v>
      </c>
      <c r="N49" s="34">
        <v>1.3714451538015</v>
      </c>
      <c r="O49" s="34">
        <v>1.3563381687199101</v>
      </c>
      <c r="P49" s="34">
        <v>1.37060039178278</v>
      </c>
      <c r="Q49" s="34">
        <v>1.3695141997293401</v>
      </c>
      <c r="R49" s="33">
        <v>186.95765317635301</v>
      </c>
      <c r="S49" s="33">
        <v>188.90523135983801</v>
      </c>
      <c r="T49" s="33">
        <v>188.746094127791</v>
      </c>
      <c r="U49" s="15">
        <v>-1.1076495270943801E-2</v>
      </c>
      <c r="V49" s="15">
        <v>-7.1316494926081098E-4</v>
      </c>
      <c r="W49" s="15">
        <v>-1.5559383263246301E-3</v>
      </c>
      <c r="X49" s="34">
        <v>1.3714451538015</v>
      </c>
      <c r="Y49" s="34">
        <v>1.3563584455100699</v>
      </c>
      <c r="Z49" s="34">
        <v>1.37060039178278</v>
      </c>
      <c r="AA49" s="34">
        <v>1.3695141997293401</v>
      </c>
      <c r="AB49" s="33">
        <v>186.96044812910799</v>
      </c>
      <c r="AC49" s="33">
        <v>188.90523135983801</v>
      </c>
      <c r="AD49" s="33">
        <v>188.746094127791</v>
      </c>
      <c r="AE49" s="15">
        <v>-1.10615457258643E-2</v>
      </c>
      <c r="AF49" s="15">
        <v>-7.1316494926081098E-4</v>
      </c>
      <c r="AG49" s="15">
        <v>-1.5559383263246301E-3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7.0529730237442927E-3</v>
      </c>
      <c r="BE49" s="29">
        <f t="shared" si="22"/>
        <v>0</v>
      </c>
      <c r="BF49" s="29">
        <f t="shared" si="23"/>
        <v>7.0529730237442927E-3</v>
      </c>
      <c r="BH49" s="29"/>
    </row>
    <row r="50" spans="1:60" x14ac:dyDescent="0.25">
      <c r="A50" s="1">
        <v>46094</v>
      </c>
      <c r="B50" s="33">
        <v>136.80000000000001</v>
      </c>
      <c r="C50" s="33">
        <v>187.24</v>
      </c>
      <c r="D50" s="15">
        <v>-7.57358703122401E-3</v>
      </c>
      <c r="E50" s="15">
        <v>-9.5674164467824604E-3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136.80000000000001</v>
      </c>
      <c r="M50" s="33">
        <v>187.24</v>
      </c>
      <c r="N50" s="34">
        <v>1.3687134502923901</v>
      </c>
      <c r="O50" s="34">
        <v>1.3563381687199101</v>
      </c>
      <c r="P50" s="34">
        <v>1.37084734938049</v>
      </c>
      <c r="Q50" s="34">
        <v>1.3694239042818901</v>
      </c>
      <c r="R50" s="33">
        <v>185.547061480884</v>
      </c>
      <c r="S50" s="33">
        <v>187.49813359588501</v>
      </c>
      <c r="T50" s="33">
        <v>187.34954252297399</v>
      </c>
      <c r="U50" s="15">
        <v>-9.0826658553852593E-3</v>
      </c>
      <c r="V50" s="15">
        <v>1.3776747737741801E-3</v>
      </c>
      <c r="W50" s="15">
        <v>5.8486697390845396E-4</v>
      </c>
      <c r="X50" s="34">
        <v>1.3687134502923901</v>
      </c>
      <c r="Y50" s="34">
        <v>1.3563584455100699</v>
      </c>
      <c r="Z50" s="34">
        <v>1.37084734938049</v>
      </c>
      <c r="AA50" s="34">
        <v>1.3694239042818901</v>
      </c>
      <c r="AB50" s="33">
        <v>185.54983534577801</v>
      </c>
      <c r="AC50" s="33">
        <v>187.49813359588501</v>
      </c>
      <c r="AD50" s="33">
        <v>187.34954252297399</v>
      </c>
      <c r="AE50" s="15">
        <v>-9.0677163103058695E-3</v>
      </c>
      <c r="AF50" s="15">
        <v>1.3776747737741801E-3</v>
      </c>
      <c r="AG50" s="15">
        <v>5.8486697390845396E-4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7.0529730237442927E-3</v>
      </c>
      <c r="BE50" s="29">
        <f t="shared" si="22"/>
        <v>0</v>
      </c>
      <c r="BF50" s="29">
        <f t="shared" si="23"/>
        <v>7.0529730237442927E-3</v>
      </c>
      <c r="BH50" s="29"/>
    </row>
    <row r="51" spans="1:60" x14ac:dyDescent="0.25">
      <c r="A51" s="1">
        <v>46097</v>
      </c>
      <c r="B51" s="33">
        <v>138.78</v>
      </c>
      <c r="C51" s="33">
        <v>189.87</v>
      </c>
      <c r="D51" s="15">
        <v>1.43699402829526E-2</v>
      </c>
      <c r="E51" s="15">
        <v>1.3948411023453899E-2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138.78</v>
      </c>
      <c r="M51" s="33">
        <v>189.87</v>
      </c>
      <c r="N51" s="34">
        <v>1.36813661910938</v>
      </c>
      <c r="O51" s="34">
        <v>1.3563381687199101</v>
      </c>
      <c r="P51" s="34">
        <v>1.3706608679633501</v>
      </c>
      <c r="Q51" s="34">
        <v>1.36956618952225</v>
      </c>
      <c r="R51" s="33">
        <v>188.23261105494899</v>
      </c>
      <c r="S51" s="33">
        <v>190.246195147024</v>
      </c>
      <c r="T51" s="33">
        <v>190.04864943624</v>
      </c>
      <c r="U51" s="15">
        <v>-8.6611365958865205E-3</v>
      </c>
      <c r="V51" s="15">
        <v>1.9793698592804501E-3</v>
      </c>
      <c r="W51" s="15">
        <v>9.4046159446644999E-4</v>
      </c>
      <c r="X51" s="34">
        <v>1.36813661910938</v>
      </c>
      <c r="Y51" s="34">
        <v>1.3563584455100699</v>
      </c>
      <c r="Z51" s="34">
        <v>1.3706608679633501</v>
      </c>
      <c r="AA51" s="34">
        <v>1.36956618952225</v>
      </c>
      <c r="AB51" s="33">
        <v>188.235425067888</v>
      </c>
      <c r="AC51" s="33">
        <v>190.246195147024</v>
      </c>
      <c r="AD51" s="33">
        <v>190.04864943624</v>
      </c>
      <c r="AE51" s="15">
        <v>-8.6461870508069902E-3</v>
      </c>
      <c r="AF51" s="15">
        <v>1.9793698592804501E-3</v>
      </c>
      <c r="AG51" s="15">
        <v>9.4046159446644999E-4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0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7.0529730237442927E-3</v>
      </c>
      <c r="BE51" s="29">
        <f t="shared" si="22"/>
        <v>0</v>
      </c>
      <c r="BF51" s="29">
        <f t="shared" si="23"/>
        <v>7.0529730237442927E-3</v>
      </c>
      <c r="BH51" s="29"/>
    </row>
    <row r="52" spans="1:60" x14ac:dyDescent="0.25">
      <c r="A52" s="1">
        <v>46098</v>
      </c>
      <c r="B52" s="33">
        <v>139.54</v>
      </c>
      <c r="C52" s="33">
        <v>190.81</v>
      </c>
      <c r="D52" s="15">
        <v>5.4613530396875202E-3</v>
      </c>
      <c r="E52" s="15">
        <v>4.9385410869265496E-3</v>
      </c>
      <c r="F52" s="33">
        <v>0</v>
      </c>
      <c r="G52" s="33">
        <v>0</v>
      </c>
      <c r="H52" s="33">
        <v>6.9825999999999999E-2</v>
      </c>
      <c r="I52" s="33">
        <v>6.9825999999999999E-2</v>
      </c>
      <c r="J52" s="33">
        <v>0</v>
      </c>
      <c r="K52" s="33">
        <v>6.9825999999999999E-2</v>
      </c>
      <c r="L52" s="33">
        <v>139.54</v>
      </c>
      <c r="M52" s="33">
        <v>190.87982600000001</v>
      </c>
      <c r="N52" s="34">
        <v>1.3674215278773101</v>
      </c>
      <c r="O52" s="34">
        <v>1.3563381687199101</v>
      </c>
      <c r="P52" s="34">
        <v>1.37001392984199</v>
      </c>
      <c r="Q52" s="34">
        <v>1.3696550749209899</v>
      </c>
      <c r="R52" s="33">
        <v>189.263428063177</v>
      </c>
      <c r="S52" s="33">
        <v>191.26201751560501</v>
      </c>
      <c r="T52" s="33">
        <v>191.10926608593499</v>
      </c>
      <c r="U52" s="15">
        <v>-8.1383246431254806E-3</v>
      </c>
      <c r="V52" s="15">
        <v>2.3661388731600098E-3</v>
      </c>
      <c r="W52" s="15">
        <v>1.5671696809260399E-3</v>
      </c>
      <c r="X52" s="34">
        <v>1.3679219291959199</v>
      </c>
      <c r="Y52" s="34">
        <v>1.3563584455100699</v>
      </c>
      <c r="Z52" s="34">
        <v>1.3700639699738499</v>
      </c>
      <c r="AA52" s="34">
        <v>1.3696800949869199</v>
      </c>
      <c r="AB52" s="33">
        <v>189.26625748647501</v>
      </c>
      <c r="AC52" s="33">
        <v>191.26201751560501</v>
      </c>
      <c r="AD52" s="33">
        <v>191.10926608593499</v>
      </c>
      <c r="AE52" s="15">
        <v>-8.4892533375093508E-3</v>
      </c>
      <c r="AF52" s="15">
        <v>2.0002606336966401E-3</v>
      </c>
      <c r="AG52" s="15">
        <v>1.20129144146266E-3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7.0529730237442927E-3</v>
      </c>
      <c r="BE52" s="29">
        <f t="shared" si="22"/>
        <v>0</v>
      </c>
      <c r="BF52" s="29">
        <f t="shared" si="23"/>
        <v>7.0529730237442927E-3</v>
      </c>
      <c r="BH52" s="29"/>
    </row>
    <row r="53" spans="1:60" x14ac:dyDescent="0.25">
      <c r="A53" s="1">
        <v>46099</v>
      </c>
      <c r="B53" s="33">
        <v>137.96</v>
      </c>
      <c r="C53" s="33">
        <v>188.65</v>
      </c>
      <c r="D53" s="15">
        <v>-1.13875104424502E-2</v>
      </c>
      <c r="E53" s="15">
        <v>-1.13847221319308E-2</v>
      </c>
      <c r="F53" s="33">
        <v>0</v>
      </c>
      <c r="G53" s="33">
        <v>0</v>
      </c>
      <c r="H53" s="33">
        <v>0</v>
      </c>
      <c r="I53" s="33">
        <v>6.9825999999999999E-2</v>
      </c>
      <c r="J53" s="33">
        <v>0</v>
      </c>
      <c r="K53" s="33">
        <v>6.9825999999999999E-2</v>
      </c>
      <c r="L53" s="33">
        <v>137.96</v>
      </c>
      <c r="M53" s="33">
        <v>188.71982600000001</v>
      </c>
      <c r="N53" s="34">
        <v>1.36742534067845</v>
      </c>
      <c r="O53" s="34">
        <v>1.3563381687199101</v>
      </c>
      <c r="P53" s="34">
        <v>1.36985715040869</v>
      </c>
      <c r="Q53" s="34">
        <v>1.3697274277543601</v>
      </c>
      <c r="R53" s="33">
        <v>187.12041375659899</v>
      </c>
      <c r="S53" s="33">
        <v>189.007121761001</v>
      </c>
      <c r="T53" s="33">
        <v>188.95761413610001</v>
      </c>
      <c r="U53" s="15">
        <v>-8.1411129536450005E-3</v>
      </c>
      <c r="V53" s="15">
        <v>1.89124921453919E-3</v>
      </c>
      <c r="W53" s="15">
        <v>1.6292796682739301E-3</v>
      </c>
      <c r="X53" s="34">
        <v>1.3679314728906899</v>
      </c>
      <c r="Y53" s="34">
        <v>1.3563584455100699</v>
      </c>
      <c r="Z53" s="34">
        <v>1.3699578037617699</v>
      </c>
      <c r="AA53" s="34">
        <v>1.3697777544309</v>
      </c>
      <c r="AB53" s="33">
        <v>187.12321114257</v>
      </c>
      <c r="AC53" s="33">
        <v>189.01402529759201</v>
      </c>
      <c r="AD53" s="33">
        <v>188.96106590439601</v>
      </c>
      <c r="AE53" s="15">
        <v>-8.4962300963927293E-3</v>
      </c>
      <c r="AF53" s="15">
        <v>1.5577071319949E-3</v>
      </c>
      <c r="AG53" s="15">
        <v>1.2774802346376701E-3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7.0529730237442927E-3</v>
      </c>
      <c r="BE53" s="29">
        <f t="shared" si="22"/>
        <v>0</v>
      </c>
      <c r="BF53" s="29">
        <f t="shared" si="23"/>
        <v>7.0529730237442927E-3</v>
      </c>
      <c r="BH53" s="29"/>
    </row>
    <row r="54" spans="1:60" x14ac:dyDescent="0.25">
      <c r="A54" s="1">
        <v>46100</v>
      </c>
      <c r="B54" s="33">
        <v>138.43</v>
      </c>
      <c r="C54" s="33">
        <v>188.68</v>
      </c>
      <c r="D54" s="15">
        <v>3.40099463100348E-3</v>
      </c>
      <c r="E54" s="15">
        <v>1.5901200574145E-4</v>
      </c>
      <c r="F54" s="33">
        <v>0</v>
      </c>
      <c r="G54" s="33">
        <v>0</v>
      </c>
      <c r="H54" s="33">
        <v>0</v>
      </c>
      <c r="I54" s="33">
        <v>6.9825999999999999E-2</v>
      </c>
      <c r="J54" s="33">
        <v>0</v>
      </c>
      <c r="K54" s="33">
        <v>6.9825999999999999E-2</v>
      </c>
      <c r="L54" s="33">
        <v>138.43</v>
      </c>
      <c r="M54" s="33">
        <v>188.74982600000001</v>
      </c>
      <c r="N54" s="34">
        <v>1.36299934985191</v>
      </c>
      <c r="O54" s="34">
        <v>1.3563381687199101</v>
      </c>
      <c r="P54" s="34">
        <v>1.36939720523979</v>
      </c>
      <c r="Q54" s="34">
        <v>1.3695370486240299</v>
      </c>
      <c r="R54" s="33">
        <v>187.757892695897</v>
      </c>
      <c r="S54" s="33">
        <v>189.62932533107499</v>
      </c>
      <c r="T54" s="33">
        <v>189.61136782403599</v>
      </c>
      <c r="U54" s="15">
        <v>-4.89913032838295E-3</v>
      </c>
      <c r="V54" s="15">
        <v>5.0187889124681901E-3</v>
      </c>
      <c r="W54" s="15">
        <v>4.9240864853495802E-3</v>
      </c>
      <c r="X54" s="34">
        <v>1.36350376363505</v>
      </c>
      <c r="Y54" s="34">
        <v>1.3563584455100699</v>
      </c>
      <c r="Z54" s="34">
        <v>1.3695482999711901</v>
      </c>
      <c r="AA54" s="34">
        <v>1.3696125959897301</v>
      </c>
      <c r="AB54" s="33">
        <v>187.76069961195901</v>
      </c>
      <c r="AC54" s="33">
        <v>189.64325877474201</v>
      </c>
      <c r="AD54" s="33">
        <v>189.61833454587</v>
      </c>
      <c r="AE54" s="15">
        <v>-5.2541886416472196E-3</v>
      </c>
      <c r="AF54" s="15">
        <v>4.7222556170527204E-3</v>
      </c>
      <c r="AG54" s="15">
        <v>4.5908200625583298E-3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1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7.0529730237442927E-3</v>
      </c>
      <c r="BE54" s="29">
        <f t="shared" si="22"/>
        <v>0</v>
      </c>
      <c r="BF54" s="29">
        <f t="shared" si="23"/>
        <v>7.0529730237442927E-3</v>
      </c>
      <c r="BH54" s="29"/>
    </row>
    <row r="55" spans="1:60" x14ac:dyDescent="0.25">
      <c r="A55" s="1">
        <v>46101</v>
      </c>
      <c r="B55" s="33">
        <v>135.29</v>
      </c>
      <c r="C55" s="33">
        <v>184.48</v>
      </c>
      <c r="D55" s="15">
        <v>-2.29441600843748E-2</v>
      </c>
      <c r="E55" s="15">
        <v>-2.2511401895312099E-2</v>
      </c>
      <c r="F55" s="33">
        <v>0</v>
      </c>
      <c r="G55" s="33">
        <v>0</v>
      </c>
      <c r="H55" s="33">
        <v>0</v>
      </c>
      <c r="I55" s="33">
        <v>6.9825999999999999E-2</v>
      </c>
      <c r="J55" s="33">
        <v>0</v>
      </c>
      <c r="K55" s="33">
        <v>6.9825999999999999E-2</v>
      </c>
      <c r="L55" s="33">
        <v>135.29</v>
      </c>
      <c r="M55" s="33">
        <v>184.549826</v>
      </c>
      <c r="N55" s="34">
        <v>1.3635893266316801</v>
      </c>
      <c r="O55" s="34">
        <v>1.3563381687199101</v>
      </c>
      <c r="P55" s="34">
        <v>1.3685720749704799</v>
      </c>
      <c r="Q55" s="34">
        <v>1.36924334630144</v>
      </c>
      <c r="R55" s="33">
        <v>183.49899084611701</v>
      </c>
      <c r="S55" s="33">
        <v>185.26574789689101</v>
      </c>
      <c r="T55" s="33">
        <v>185.284667308346</v>
      </c>
      <c r="U55" s="15">
        <v>-5.3318885174456201E-3</v>
      </c>
      <c r="V55" s="15">
        <v>4.2502129325015497E-3</v>
      </c>
      <c r="W55" s="15">
        <v>4.3523281141025797E-3</v>
      </c>
      <c r="X55" s="34">
        <v>1.36410544755709</v>
      </c>
      <c r="Y55" s="34">
        <v>1.3563584455100699</v>
      </c>
      <c r="Z55" s="34">
        <v>1.36877478179442</v>
      </c>
      <c r="AA55" s="34">
        <v>1.36934469971341</v>
      </c>
      <c r="AB55" s="33">
        <v>183.50173409305799</v>
      </c>
      <c r="AC55" s="33">
        <v>185.28618950310201</v>
      </c>
      <c r="AD55" s="33">
        <v>185.294888111451</v>
      </c>
      <c r="AE55" s="15">
        <v>-5.69536909326002E-3</v>
      </c>
      <c r="AF55" s="15">
        <v>3.9821133977876602E-3</v>
      </c>
      <c r="AG55" s="15">
        <v>4.0290591749770899E-3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1</v>
      </c>
      <c r="AV55">
        <f t="shared" si="11"/>
        <v>0</v>
      </c>
      <c r="AW55">
        <f t="shared" si="18"/>
        <v>1</v>
      </c>
      <c r="AX55">
        <f t="shared" si="5"/>
        <v>0</v>
      </c>
      <c r="AY55">
        <f t="shared" si="19"/>
        <v>1</v>
      </c>
      <c r="AZ55" s="28">
        <f t="shared" si="12"/>
        <v>2.29441600843748E-2</v>
      </c>
      <c r="BA55" s="28">
        <f t="shared" si="13"/>
        <v>-2.2511401895312099E-2</v>
      </c>
      <c r="BB55" s="28">
        <f t="shared" si="20"/>
        <v>4.3275818906270136E-4</v>
      </c>
      <c r="BC55" s="29">
        <f t="shared" si="21"/>
        <v>7.4857312128069941E-3</v>
      </c>
      <c r="BE55" s="29">
        <f t="shared" si="22"/>
        <v>4.3275818906270136E-4</v>
      </c>
      <c r="BF55" s="29">
        <f t="shared" si="23"/>
        <v>7.4857312128069941E-3</v>
      </c>
      <c r="BH55" s="29"/>
    </row>
    <row r="56" spans="1:60" x14ac:dyDescent="0.25">
      <c r="A56" s="1">
        <v>46104</v>
      </c>
      <c r="B56" s="33">
        <v>136.94999999999999</v>
      </c>
      <c r="C56" s="33">
        <v>186.91</v>
      </c>
      <c r="D56" s="15">
        <v>1.2195273093818199E-2</v>
      </c>
      <c r="E56" s="15">
        <v>1.30861610573375E-2</v>
      </c>
      <c r="F56" s="33">
        <v>0.16750999999999999</v>
      </c>
      <c r="G56" s="33">
        <v>0.16750999999999999</v>
      </c>
      <c r="H56" s="33">
        <v>0</v>
      </c>
      <c r="I56" s="33">
        <v>6.9825999999999999E-2</v>
      </c>
      <c r="J56" s="33">
        <v>0</v>
      </c>
      <c r="K56" s="33">
        <v>0</v>
      </c>
      <c r="L56" s="33">
        <v>136.94999999999999</v>
      </c>
      <c r="M56" s="33">
        <v>186.91</v>
      </c>
      <c r="N56" s="34">
        <v>1.3648046732384</v>
      </c>
      <c r="O56" s="34">
        <v>1.3563381687199101</v>
      </c>
      <c r="P56" s="34">
        <v>1.36785305746318</v>
      </c>
      <c r="Q56" s="34">
        <v>1.36897361750307</v>
      </c>
      <c r="R56" s="33">
        <v>185.75051220619201</v>
      </c>
      <c r="S56" s="33">
        <v>187.425945667207</v>
      </c>
      <c r="T56" s="33">
        <v>187.51787627598301</v>
      </c>
      <c r="U56" s="15">
        <v>-6.2227764809649703E-3</v>
      </c>
      <c r="V56" s="15">
        <v>2.75659337498345E-3</v>
      </c>
      <c r="W56" s="15">
        <v>3.2469634263741099E-3</v>
      </c>
      <c r="X56" s="34">
        <v>1.3648046732384</v>
      </c>
      <c r="Y56" s="34">
        <v>1.3563584455100699</v>
      </c>
      <c r="Z56" s="34">
        <v>1.3680557642871201</v>
      </c>
      <c r="AA56" s="34">
        <v>1.36907497091504</v>
      </c>
      <c r="AB56" s="33">
        <v>185.75328911260399</v>
      </c>
      <c r="AC56" s="33">
        <v>187.45370636674599</v>
      </c>
      <c r="AD56" s="33">
        <v>187.531756625752</v>
      </c>
      <c r="AE56" s="15">
        <v>-6.2078269358854998E-3</v>
      </c>
      <c r="AF56" s="15">
        <v>2.9046979703590899E-3</v>
      </c>
      <c r="AG56" s="15">
        <v>3.32098216180588E-3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1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7.4857312128069941E-3</v>
      </c>
      <c r="BE56" s="29">
        <f t="shared" si="22"/>
        <v>0</v>
      </c>
      <c r="BF56" s="29">
        <f t="shared" si="23"/>
        <v>7.4857312128069941E-3</v>
      </c>
      <c r="BH56" s="29"/>
    </row>
    <row r="57" spans="1:60" x14ac:dyDescent="0.25">
      <c r="A57" s="1">
        <v>46105</v>
      </c>
      <c r="B57" s="33">
        <v>136.15</v>
      </c>
      <c r="C57" s="33">
        <v>184.88</v>
      </c>
      <c r="D57" s="15">
        <v>-5.8586765893184796E-3</v>
      </c>
      <c r="E57" s="15">
        <v>-1.0920251611961199E-2</v>
      </c>
      <c r="F57" s="33">
        <v>0</v>
      </c>
      <c r="G57" s="33">
        <v>0.16750999999999999</v>
      </c>
      <c r="H57" s="33">
        <v>0</v>
      </c>
      <c r="I57" s="33">
        <v>6.9825999999999999E-2</v>
      </c>
      <c r="J57" s="33">
        <v>0</v>
      </c>
      <c r="K57" s="33">
        <v>0</v>
      </c>
      <c r="L57" s="33">
        <v>136.15</v>
      </c>
      <c r="M57" s="33">
        <v>184.88</v>
      </c>
      <c r="N57" s="34">
        <v>1.35791406536907</v>
      </c>
      <c r="O57" s="34">
        <v>1.3563381687199101</v>
      </c>
      <c r="P57" s="34">
        <v>1.3664449791689499</v>
      </c>
      <c r="Q57" s="34">
        <v>1.3683758772139401</v>
      </c>
      <c r="R57" s="33">
        <v>184.665441671216</v>
      </c>
      <c r="S57" s="33">
        <v>186.23319377361199</v>
      </c>
      <c r="T57" s="33">
        <v>186.385758023043</v>
      </c>
      <c r="U57" s="15">
        <v>-1.1612014583223E-3</v>
      </c>
      <c r="V57" s="15">
        <v>7.2926524495934997E-3</v>
      </c>
      <c r="W57" s="15">
        <v>8.1115279105446504E-3</v>
      </c>
      <c r="X57" s="34">
        <v>1.35791406536907</v>
      </c>
      <c r="Y57" s="34">
        <v>1.3563584455100699</v>
      </c>
      <c r="Z57" s="34">
        <v>1.36664768599289</v>
      </c>
      <c r="AA57" s="34">
        <v>1.3684772306259101</v>
      </c>
      <c r="AB57" s="33">
        <v>184.66820235619599</v>
      </c>
      <c r="AC57" s="33">
        <v>186.26079230769199</v>
      </c>
      <c r="AD57" s="33">
        <v>186.39955729008301</v>
      </c>
      <c r="AE57" s="15">
        <v>-1.14625191324279E-3</v>
      </c>
      <c r="AF57" s="15">
        <v>7.4408348909823802E-3</v>
      </c>
      <c r="AG57" s="15">
        <v>8.1855612293439892E-3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1</v>
      </c>
      <c r="AV57">
        <f t="shared" si="11"/>
        <v>0</v>
      </c>
      <c r="AW57">
        <f t="shared" si="18"/>
        <v>1</v>
      </c>
      <c r="AX57">
        <f t="shared" si="5"/>
        <v>1</v>
      </c>
      <c r="AY57">
        <f t="shared" si="19"/>
        <v>1</v>
      </c>
      <c r="AZ57" s="28">
        <f t="shared" si="12"/>
        <v>5.8586765893184796E-3</v>
      </c>
      <c r="BA57" s="28">
        <f t="shared" si="13"/>
        <v>-1.0920251611961199E-2</v>
      </c>
      <c r="BB57" s="28">
        <f t="shared" si="20"/>
        <v>-5.0615750226427197E-3</v>
      </c>
      <c r="BC57" s="29">
        <f t="shared" si="21"/>
        <v>2.4241561901642743E-3</v>
      </c>
      <c r="BE57" s="29">
        <f t="shared" si="22"/>
        <v>-5.0615750226427197E-3</v>
      </c>
      <c r="BF57" s="29">
        <f t="shared" si="23"/>
        <v>2.4241561901642743E-3</v>
      </c>
      <c r="BH57" s="29"/>
    </row>
    <row r="58" spans="1:60" x14ac:dyDescent="0.25">
      <c r="A58" s="1">
        <v>46106</v>
      </c>
      <c r="B58" s="33">
        <v>136.76</v>
      </c>
      <c r="C58" s="33">
        <v>185.94</v>
      </c>
      <c r="D58" s="15">
        <v>4.4703456513317599E-3</v>
      </c>
      <c r="E58" s="15">
        <v>5.7170750615866102E-3</v>
      </c>
      <c r="F58" s="33">
        <v>0</v>
      </c>
      <c r="G58" s="33">
        <v>0.16750999999999999</v>
      </c>
      <c r="H58" s="33">
        <v>0</v>
      </c>
      <c r="I58" s="33">
        <v>6.9825999999999999E-2</v>
      </c>
      <c r="J58" s="33">
        <v>0</v>
      </c>
      <c r="K58" s="33">
        <v>0</v>
      </c>
      <c r="L58" s="33">
        <v>136.76</v>
      </c>
      <c r="M58" s="33">
        <v>185.94</v>
      </c>
      <c r="N58" s="34">
        <v>1.3596080725358199</v>
      </c>
      <c r="O58" s="34">
        <v>1.3563381687199101</v>
      </c>
      <c r="P58" s="34">
        <v>1.3652057579385899</v>
      </c>
      <c r="Q58" s="34">
        <v>1.3678365969025501</v>
      </c>
      <c r="R58" s="33">
        <v>185.492807954135</v>
      </c>
      <c r="S58" s="33">
        <v>186.875015351146</v>
      </c>
      <c r="T58" s="33">
        <v>187.13908496777901</v>
      </c>
      <c r="U58" s="15">
        <v>-2.4079308685769599E-3</v>
      </c>
      <c r="V58" s="15">
        <v>5.0159852638382704E-3</v>
      </c>
      <c r="W58" s="15">
        <v>6.4280692483014001E-3</v>
      </c>
      <c r="X58" s="34">
        <v>1.3596080725358199</v>
      </c>
      <c r="Y58" s="34">
        <v>1.3563584455100699</v>
      </c>
      <c r="Z58" s="34">
        <v>1.36540846476253</v>
      </c>
      <c r="AA58" s="34">
        <v>1.3679379503145199</v>
      </c>
      <c r="AB58" s="33">
        <v>185.49558100795701</v>
      </c>
      <c r="AC58" s="33">
        <v>186.902737536388</v>
      </c>
      <c r="AD58" s="33">
        <v>187.15294606040001</v>
      </c>
      <c r="AE58" s="15">
        <v>-2.3929813234974898E-3</v>
      </c>
      <c r="AF58" s="15">
        <v>5.1643203912176798E-3</v>
      </c>
      <c r="AG58" s="15">
        <v>6.5021349054804004E-3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1</v>
      </c>
      <c r="AV58">
        <f t="shared" si="11"/>
        <v>0</v>
      </c>
      <c r="AW58">
        <f t="shared" si="18"/>
        <v>1</v>
      </c>
      <c r="AX58">
        <f t="shared" si="5"/>
        <v>1</v>
      </c>
      <c r="AY58">
        <f t="shared" si="19"/>
        <v>1</v>
      </c>
      <c r="AZ58" s="28">
        <f t="shared" si="12"/>
        <v>-4.4703456513317599E-3</v>
      </c>
      <c r="BA58" s="28">
        <f t="shared" si="13"/>
        <v>5.7170750615866102E-3</v>
      </c>
      <c r="BB58" s="28">
        <f t="shared" si="20"/>
        <v>1.2467294102548503E-3</v>
      </c>
      <c r="BC58" s="29">
        <f t="shared" si="21"/>
        <v>3.6708856004191246E-3</v>
      </c>
      <c r="BE58" s="29">
        <f t="shared" si="22"/>
        <v>1.2467294102548503E-3</v>
      </c>
      <c r="BF58" s="29">
        <f t="shared" si="23"/>
        <v>3.6708856004191246E-3</v>
      </c>
      <c r="BH58" s="29"/>
    </row>
    <row r="59" spans="1:60" x14ac:dyDescent="0.25">
      <c r="A59" s="1">
        <v>46107</v>
      </c>
      <c r="B59" s="33">
        <v>132.5</v>
      </c>
      <c r="C59" s="33">
        <v>180.01</v>
      </c>
      <c r="D59" s="15">
        <v>-3.1644919344823601E-2</v>
      </c>
      <c r="E59" s="15">
        <v>-3.2411636125098703E-2</v>
      </c>
      <c r="F59" s="33">
        <v>0</v>
      </c>
      <c r="G59" s="33">
        <v>0.16750999999999999</v>
      </c>
      <c r="H59" s="33">
        <v>0</v>
      </c>
      <c r="I59" s="33">
        <v>6.9825999999999999E-2</v>
      </c>
      <c r="J59" s="33">
        <v>0</v>
      </c>
      <c r="K59" s="33">
        <v>0</v>
      </c>
      <c r="L59" s="33">
        <v>132.5</v>
      </c>
      <c r="M59" s="33">
        <v>180.01</v>
      </c>
      <c r="N59" s="34">
        <v>1.3585660377358399</v>
      </c>
      <c r="O59" s="34">
        <v>1.3563381687199101</v>
      </c>
      <c r="P59" s="34">
        <v>1.3639178463320301</v>
      </c>
      <c r="Q59" s="34">
        <v>1.3672591190573999</v>
      </c>
      <c r="R59" s="33">
        <v>179.71480735538799</v>
      </c>
      <c r="S59" s="33">
        <v>180.88976292686399</v>
      </c>
      <c r="T59" s="33">
        <v>181.23834908958699</v>
      </c>
      <c r="U59" s="15">
        <v>-1.6412140883019101E-3</v>
      </c>
      <c r="V59" s="15">
        <v>4.8753962172474003E-3</v>
      </c>
      <c r="W59" s="15">
        <v>6.8006058810343396E-3</v>
      </c>
      <c r="X59" s="34">
        <v>1.3585660377358399</v>
      </c>
      <c r="Y59" s="34">
        <v>1.3563584455100699</v>
      </c>
      <c r="Z59" s="34">
        <v>1.3641205531559699</v>
      </c>
      <c r="AA59" s="34">
        <v>1.36736047246937</v>
      </c>
      <c r="AB59" s="33">
        <v>179.71749403008499</v>
      </c>
      <c r="AC59" s="33">
        <v>180.916621581036</v>
      </c>
      <c r="AD59" s="33">
        <v>181.251778416674</v>
      </c>
      <c r="AE59" s="15">
        <v>-1.62626454322244E-3</v>
      </c>
      <c r="AF59" s="15">
        <v>5.02386598103055E-3</v>
      </c>
      <c r="AG59" s="15">
        <v>6.8747007380975302E-3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1</v>
      </c>
      <c r="AV59">
        <f t="shared" si="11"/>
        <v>0</v>
      </c>
      <c r="AW59">
        <f t="shared" si="18"/>
        <v>1</v>
      </c>
      <c r="AX59">
        <f t="shared" si="5"/>
        <v>1</v>
      </c>
      <c r="AY59">
        <f t="shared" si="19"/>
        <v>1</v>
      </c>
      <c r="AZ59" s="28">
        <f t="shared" si="12"/>
        <v>3.1644919344823601E-2</v>
      </c>
      <c r="BA59" s="28">
        <f t="shared" si="13"/>
        <v>-3.2411636125098703E-2</v>
      </c>
      <c r="BB59" s="28">
        <f t="shared" si="20"/>
        <v>-7.6671678027510209E-4</v>
      </c>
      <c r="BC59" s="29">
        <f t="shared" si="21"/>
        <v>2.9041688201440225E-3</v>
      </c>
      <c r="BE59" s="29">
        <f t="shared" si="22"/>
        <v>-7.6671678027510209E-4</v>
      </c>
      <c r="BF59" s="29">
        <f t="shared" si="23"/>
        <v>2.9041688201440225E-3</v>
      </c>
      <c r="BH59" s="29"/>
    </row>
    <row r="60" spans="1:60" x14ac:dyDescent="0.25">
      <c r="A60" s="1">
        <v>46108</v>
      </c>
      <c r="B60" s="33">
        <v>129.91999999999999</v>
      </c>
      <c r="C60" s="33">
        <v>176.09</v>
      </c>
      <c r="D60" s="15">
        <v>-1.9663769012909098E-2</v>
      </c>
      <c r="E60" s="15">
        <v>-2.20171769299265E-2</v>
      </c>
      <c r="F60" s="33">
        <v>0</v>
      </c>
      <c r="G60" s="33">
        <v>0.16750999999999999</v>
      </c>
      <c r="H60" s="33">
        <v>0</v>
      </c>
      <c r="I60" s="33">
        <v>6.9825999999999999E-2</v>
      </c>
      <c r="J60" s="33">
        <v>0</v>
      </c>
      <c r="K60" s="33">
        <v>0</v>
      </c>
      <c r="L60" s="33">
        <v>129.91999999999999</v>
      </c>
      <c r="M60" s="33">
        <v>176.09</v>
      </c>
      <c r="N60" s="34">
        <v>1.3553725369458101</v>
      </c>
      <c r="O60" s="34">
        <v>1.3563381687199101</v>
      </c>
      <c r="P60" s="34">
        <v>1.3625837549973701</v>
      </c>
      <c r="Q60" s="34">
        <v>1.36671555218893</v>
      </c>
      <c r="R60" s="33">
        <v>176.21545488009099</v>
      </c>
      <c r="S60" s="33">
        <v>177.20020659545699</v>
      </c>
      <c r="T60" s="33">
        <v>177.63430474793799</v>
      </c>
      <c r="U60" s="15">
        <v>7.1219382871544096E-4</v>
      </c>
      <c r="V60" s="15">
        <v>6.2849760861999199E-3</v>
      </c>
      <c r="W60" s="15">
        <v>8.7317412974196994E-3</v>
      </c>
      <c r="X60" s="34">
        <v>1.3553725369458101</v>
      </c>
      <c r="Y60" s="34">
        <v>1.3563584455100699</v>
      </c>
      <c r="Z60" s="34">
        <v>1.3627864618213099</v>
      </c>
      <c r="AA60" s="34">
        <v>1.3668169056009001</v>
      </c>
      <c r="AB60" s="33">
        <v>176.218089240669</v>
      </c>
      <c r="AC60" s="33">
        <v>177.22654226602299</v>
      </c>
      <c r="AD60" s="33">
        <v>177.647472583221</v>
      </c>
      <c r="AE60" s="15">
        <v>7.2714337379483002E-4</v>
      </c>
      <c r="AF60" s="15">
        <v>6.4335860356437204E-3</v>
      </c>
      <c r="AG60" s="15">
        <v>8.8058674481511397E-3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1</v>
      </c>
      <c r="AV60">
        <f t="shared" si="11"/>
        <v>0</v>
      </c>
      <c r="AW60">
        <f t="shared" si="18"/>
        <v>1</v>
      </c>
      <c r="AX60">
        <f t="shared" si="5"/>
        <v>1</v>
      </c>
      <c r="AY60">
        <f t="shared" si="19"/>
        <v>1</v>
      </c>
      <c r="AZ60" s="28">
        <f t="shared" si="12"/>
        <v>1.9663769012909098E-2</v>
      </c>
      <c r="BA60" s="28">
        <f t="shared" si="13"/>
        <v>-2.20171769299265E-2</v>
      </c>
      <c r="BB60" s="28">
        <f t="shared" si="20"/>
        <v>-2.3534079170174013E-3</v>
      </c>
      <c r="BC60" s="29">
        <f t="shared" si="21"/>
        <v>5.507609031266212E-4</v>
      </c>
      <c r="BE60" s="29">
        <f t="shared" si="22"/>
        <v>-2.3534079170174013E-3</v>
      </c>
      <c r="BF60" s="29">
        <f t="shared" si="23"/>
        <v>5.507609031266212E-4</v>
      </c>
      <c r="BH60" s="29"/>
    </row>
    <row r="61" spans="1:60" x14ac:dyDescent="0.25">
      <c r="A61" s="1">
        <v>46111</v>
      </c>
      <c r="B61" s="33">
        <v>127.5</v>
      </c>
      <c r="C61" s="33">
        <v>173.53</v>
      </c>
      <c r="D61" s="15">
        <v>-1.8802511814886898E-2</v>
      </c>
      <c r="E61" s="15">
        <v>-1.46447328702741E-2</v>
      </c>
      <c r="F61" s="33">
        <v>0</v>
      </c>
      <c r="G61" s="33">
        <v>0.16750999999999999</v>
      </c>
      <c r="H61" s="33">
        <v>0</v>
      </c>
      <c r="I61" s="33">
        <v>6.9825999999999999E-2</v>
      </c>
      <c r="J61" s="33">
        <v>0</v>
      </c>
      <c r="K61" s="33">
        <v>0</v>
      </c>
      <c r="L61" s="33">
        <v>127.5</v>
      </c>
      <c r="M61" s="33">
        <v>173.53</v>
      </c>
      <c r="N61" s="34">
        <v>1.36101960784313</v>
      </c>
      <c r="O61" s="34">
        <v>1.3563381687199101</v>
      </c>
      <c r="P61" s="34">
        <v>1.3618720538707401</v>
      </c>
      <c r="Q61" s="34">
        <v>1.3662664609170401</v>
      </c>
      <c r="R61" s="33">
        <v>172.933116511789</v>
      </c>
      <c r="S61" s="33">
        <v>173.72942876216399</v>
      </c>
      <c r="T61" s="33">
        <v>174.25623290408799</v>
      </c>
      <c r="U61" s="15">
        <v>-3.4455851158971501E-3</v>
      </c>
      <c r="V61" s="15">
        <v>1.1485867197357699E-3</v>
      </c>
      <c r="W61" s="15">
        <v>4.1763237928332704E-3</v>
      </c>
      <c r="X61" s="34">
        <v>1.36101960784313</v>
      </c>
      <c r="Y61" s="34">
        <v>1.3563584455100699</v>
      </c>
      <c r="Z61" s="34">
        <v>1.3620747606946799</v>
      </c>
      <c r="AA61" s="34">
        <v>1.3663678143290101</v>
      </c>
      <c r="AB61" s="33">
        <v>172.935701802534</v>
      </c>
      <c r="AC61" s="33">
        <v>173.75527388221701</v>
      </c>
      <c r="AD61" s="33">
        <v>174.26915546411499</v>
      </c>
      <c r="AE61" s="15">
        <v>-3.4306355708177598E-3</v>
      </c>
      <c r="AF61" s="15">
        <v>1.29734216078664E-3</v>
      </c>
      <c r="AG61" s="15">
        <v>4.2504794237484796E-3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1</v>
      </c>
      <c r="AV61">
        <f t="shared" si="11"/>
        <v>0</v>
      </c>
      <c r="AW61">
        <f t="shared" si="18"/>
        <v>1</v>
      </c>
      <c r="AX61">
        <f t="shared" si="5"/>
        <v>1</v>
      </c>
      <c r="AY61">
        <f t="shared" si="19"/>
        <v>1</v>
      </c>
      <c r="AZ61" s="28">
        <f t="shared" si="12"/>
        <v>1.8802511814886898E-2</v>
      </c>
      <c r="BA61" s="28">
        <f t="shared" si="13"/>
        <v>-1.46447328702741E-2</v>
      </c>
      <c r="BB61" s="28">
        <f t="shared" si="20"/>
        <v>4.1577789446127986E-3</v>
      </c>
      <c r="BC61" s="29">
        <f t="shared" si="21"/>
        <v>4.7085398477394198E-3</v>
      </c>
      <c r="BE61" s="29">
        <f t="shared" si="22"/>
        <v>4.1577789446127986E-3</v>
      </c>
      <c r="BF61" s="29">
        <f t="shared" si="23"/>
        <v>4.7085398477394198E-3</v>
      </c>
      <c r="BH61" s="29"/>
    </row>
    <row r="62" spans="1:60" x14ac:dyDescent="0.25">
      <c r="A62" s="1">
        <v>46112</v>
      </c>
      <c r="B62" s="33">
        <v>132.9</v>
      </c>
      <c r="C62" s="33">
        <v>181.42</v>
      </c>
      <c r="D62" s="15">
        <v>4.1480601120718899E-2</v>
      </c>
      <c r="E62" s="15">
        <v>4.4464290084385502E-2</v>
      </c>
      <c r="F62" s="33">
        <v>0</v>
      </c>
      <c r="G62" s="33">
        <v>0.16750999999999999</v>
      </c>
      <c r="H62" s="33">
        <v>0</v>
      </c>
      <c r="I62" s="33">
        <v>6.9825999999999999E-2</v>
      </c>
      <c r="J62" s="33">
        <v>0</v>
      </c>
      <c r="K62" s="33">
        <v>0</v>
      </c>
      <c r="L62" s="33">
        <v>132.9</v>
      </c>
      <c r="M62" s="33">
        <v>181.42</v>
      </c>
      <c r="N62" s="34">
        <v>1.3650865312264799</v>
      </c>
      <c r="O62" s="34">
        <v>1.3563381687199101</v>
      </c>
      <c r="P62" s="34">
        <v>1.3616385542056599</v>
      </c>
      <c r="Q62" s="34">
        <v>1.3658262420238201</v>
      </c>
      <c r="R62" s="33">
        <v>180.257342622876</v>
      </c>
      <c r="S62" s="33">
        <v>180.99279595942201</v>
      </c>
      <c r="T62" s="33">
        <v>181.57681265587499</v>
      </c>
      <c r="U62" s="15">
        <v>-6.42927407956398E-3</v>
      </c>
      <c r="V62" s="15">
        <v>-2.3575560422245899E-3</v>
      </c>
      <c r="W62" s="15">
        <v>8.63989215129941E-4</v>
      </c>
      <c r="X62" s="34">
        <v>1.3650865312264799</v>
      </c>
      <c r="Y62" s="34">
        <v>1.3563584455100699</v>
      </c>
      <c r="Z62" s="34">
        <v>1.3617912208977401</v>
      </c>
      <c r="AA62" s="34">
        <v>1.3659275954357899</v>
      </c>
      <c r="AB62" s="33">
        <v>180.26003740828901</v>
      </c>
      <c r="AC62" s="33">
        <v>181.01973569632401</v>
      </c>
      <c r="AD62" s="33">
        <v>181.590282524326</v>
      </c>
      <c r="AE62" s="15">
        <v>-6.4143245344845598E-3</v>
      </c>
      <c r="AF62" s="15">
        <v>-2.2087228688073999E-3</v>
      </c>
      <c r="AG62" s="15">
        <v>9.3816922006870098E-4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1</v>
      </c>
      <c r="AX62">
        <f t="shared" si="5"/>
        <v>1</v>
      </c>
      <c r="AY62">
        <f t="shared" si="19"/>
        <v>1</v>
      </c>
      <c r="AZ62" s="28">
        <f t="shared" si="12"/>
        <v>-4.1480601120718899E-2</v>
      </c>
      <c r="BA62" s="28">
        <f t="shared" si="13"/>
        <v>4.4464290084385502E-2</v>
      </c>
      <c r="BB62" s="28">
        <f t="shared" si="20"/>
        <v>2.9836889636666031E-3</v>
      </c>
      <c r="BC62" s="29">
        <f t="shared" si="21"/>
        <v>7.6922288114060228E-3</v>
      </c>
      <c r="BE62" s="29">
        <f t="shared" si="22"/>
        <v>2.9836889636666031E-3</v>
      </c>
      <c r="BF62" s="29">
        <f t="shared" si="23"/>
        <v>7.6922288114060228E-3</v>
      </c>
      <c r="BH62" s="29"/>
    </row>
    <row r="63" spans="1:60" x14ac:dyDescent="0.25">
      <c r="A63" s="1">
        <v>46113</v>
      </c>
      <c r="B63" s="33">
        <v>134.91</v>
      </c>
      <c r="C63" s="33">
        <v>184.42</v>
      </c>
      <c r="D63" s="15">
        <v>1.5010923731526E-2</v>
      </c>
      <c r="E63" s="15">
        <v>1.64009799241971E-2</v>
      </c>
      <c r="F63" s="33">
        <v>0</v>
      </c>
      <c r="G63" s="33">
        <v>0.16750999999999999</v>
      </c>
      <c r="H63" s="33">
        <v>0</v>
      </c>
      <c r="I63" s="33">
        <v>6.9825999999999999E-2</v>
      </c>
      <c r="J63" s="33">
        <v>0</v>
      </c>
      <c r="K63" s="33">
        <v>0</v>
      </c>
      <c r="L63" s="33">
        <v>134.91</v>
      </c>
      <c r="M63" s="33">
        <v>184.42</v>
      </c>
      <c r="N63" s="34">
        <v>1.3669853976725199</v>
      </c>
      <c r="O63" s="34">
        <v>1.3563381687199101</v>
      </c>
      <c r="P63" s="34">
        <v>1.3615945599050701</v>
      </c>
      <c r="Q63" s="34">
        <v>1.3657258551568801</v>
      </c>
      <c r="R63" s="33">
        <v>182.98358234200299</v>
      </c>
      <c r="S63" s="33">
        <v>183.69865734788601</v>
      </c>
      <c r="T63" s="33">
        <v>184.26361831143399</v>
      </c>
      <c r="U63" s="15">
        <v>-7.8193302722350897E-3</v>
      </c>
      <c r="V63" s="15">
        <v>-3.9190818557312997E-3</v>
      </c>
      <c r="W63" s="15">
        <v>-8.4832463487260004E-4</v>
      </c>
      <c r="X63" s="34">
        <v>1.3669853976725199</v>
      </c>
      <c r="Y63" s="34">
        <v>1.3563584455100699</v>
      </c>
      <c r="Z63" s="34">
        <v>1.3616966133759201</v>
      </c>
      <c r="AA63" s="34">
        <v>1.3658272085688501</v>
      </c>
      <c r="AB63" s="33">
        <v>182.986317883764</v>
      </c>
      <c r="AC63" s="33">
        <v>183.719253611314</v>
      </c>
      <c r="AD63" s="33">
        <v>184.277291900243</v>
      </c>
      <c r="AE63" s="15">
        <v>-7.8043807271555698E-3</v>
      </c>
      <c r="AF63" s="15">
        <v>-3.8069683041833499E-3</v>
      </c>
      <c r="AG63" s="15">
        <v>-7.7412072189384504E-4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7.6922288114060228E-3</v>
      </c>
      <c r="BE63" s="29">
        <f t="shared" si="22"/>
        <v>0</v>
      </c>
      <c r="BF63" s="29">
        <f t="shared" si="23"/>
        <v>7.6922288114060228E-3</v>
      </c>
      <c r="BH63" s="29"/>
    </row>
    <row r="64" spans="1:60" x14ac:dyDescent="0.25">
      <c r="A64" s="1">
        <v>46114</v>
      </c>
      <c r="B64" s="33">
        <v>135.99</v>
      </c>
      <c r="C64" s="33">
        <v>185.38</v>
      </c>
      <c r="D64" s="15">
        <v>7.9734641701419504E-3</v>
      </c>
      <c r="E64" s="15">
        <v>5.1920073366915299E-3</v>
      </c>
      <c r="F64" s="33">
        <v>0</v>
      </c>
      <c r="G64" s="33">
        <v>0.16750999999999999</v>
      </c>
      <c r="H64" s="33">
        <v>0</v>
      </c>
      <c r="I64" s="33">
        <v>6.9825999999999999E-2</v>
      </c>
      <c r="J64" s="33">
        <v>0</v>
      </c>
      <c r="K64" s="33">
        <v>0</v>
      </c>
      <c r="L64" s="33">
        <v>135.99</v>
      </c>
      <c r="M64" s="33">
        <v>185.38</v>
      </c>
      <c r="N64" s="34">
        <v>1.36318846974042</v>
      </c>
      <c r="O64" s="34">
        <v>1.3563381687199101</v>
      </c>
      <c r="P64" s="34">
        <v>1.3616134718939199</v>
      </c>
      <c r="Q64" s="34">
        <v>1.3655053385668501</v>
      </c>
      <c r="R64" s="33">
        <v>184.44842756422099</v>
      </c>
      <c r="S64" s="33">
        <v>185.16324420148999</v>
      </c>
      <c r="T64" s="33">
        <v>185.72505904278401</v>
      </c>
      <c r="U64" s="15">
        <v>-5.0378734387845799E-3</v>
      </c>
      <c r="V64" s="15">
        <v>-1.16993536719367E-3</v>
      </c>
      <c r="W64" s="15">
        <v>1.85963049447752E-3</v>
      </c>
      <c r="X64" s="34">
        <v>1.36318846974042</v>
      </c>
      <c r="Y64" s="34">
        <v>1.3563584455100699</v>
      </c>
      <c r="Z64" s="34">
        <v>1.3616650839864599</v>
      </c>
      <c r="AA64" s="34">
        <v>1.3656066919788299</v>
      </c>
      <c r="AB64" s="33">
        <v>184.451185004915</v>
      </c>
      <c r="AC64" s="33">
        <v>185.17712245299199</v>
      </c>
      <c r="AD64" s="33">
        <v>185.73884209327801</v>
      </c>
      <c r="AE64" s="15">
        <v>-5.0229238937051302E-3</v>
      </c>
      <c r="AF64" s="15">
        <v>-1.0949867374586901E-3</v>
      </c>
      <c r="AG64" s="15">
        <v>1.9338398615682401E-3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7.6922288114060228E-3</v>
      </c>
      <c r="BE64" s="29">
        <f t="shared" si="22"/>
        <v>0</v>
      </c>
      <c r="BF64" s="29">
        <f t="shared" si="23"/>
        <v>7.6922288114060228E-3</v>
      </c>
      <c r="BH64" s="29"/>
    </row>
    <row r="65" spans="1:60" x14ac:dyDescent="0.25">
      <c r="A65" s="1">
        <v>46118</v>
      </c>
      <c r="B65" s="33">
        <v>136.78</v>
      </c>
      <c r="C65" s="33">
        <v>186.55</v>
      </c>
      <c r="D65" s="15">
        <v>5.7924420490823199E-3</v>
      </c>
      <c r="E65" s="15">
        <v>6.2915272194802498E-3</v>
      </c>
      <c r="F65" s="33">
        <v>0</v>
      </c>
      <c r="G65" s="33">
        <v>0.16750999999999999</v>
      </c>
      <c r="H65" s="33">
        <v>0</v>
      </c>
      <c r="I65" s="33">
        <v>6.9825999999999999E-2</v>
      </c>
      <c r="J65" s="33">
        <v>0</v>
      </c>
      <c r="K65" s="33">
        <v>0</v>
      </c>
      <c r="L65" s="33">
        <v>136.78</v>
      </c>
      <c r="M65" s="33">
        <v>186.55</v>
      </c>
      <c r="N65" s="34">
        <v>1.36386898669396</v>
      </c>
      <c r="O65" s="34">
        <v>1.3563381687199101</v>
      </c>
      <c r="P65" s="34">
        <v>1.36164143790015</v>
      </c>
      <c r="Q65" s="34">
        <v>1.3651067564353101</v>
      </c>
      <c r="R65" s="33">
        <v>185.51993471751001</v>
      </c>
      <c r="S65" s="33">
        <v>186.24149068565001</v>
      </c>
      <c r="T65" s="33">
        <v>186.773820209175</v>
      </c>
      <c r="U65" s="15">
        <v>-5.5369586091824699E-3</v>
      </c>
      <c r="V65" s="15">
        <v>-1.6551310450295599E-3</v>
      </c>
      <c r="W65" s="15">
        <v>1.19906753266527E-3</v>
      </c>
      <c r="X65" s="34">
        <v>1.36386898669396</v>
      </c>
      <c r="Y65" s="34">
        <v>1.3563584455100699</v>
      </c>
      <c r="Z65" s="34">
        <v>1.36164143790015</v>
      </c>
      <c r="AA65" s="34">
        <v>1.3652081098472799</v>
      </c>
      <c r="AB65" s="33">
        <v>185.52270817686801</v>
      </c>
      <c r="AC65" s="33">
        <v>186.248550187668</v>
      </c>
      <c r="AD65" s="33">
        <v>186.78768332886401</v>
      </c>
      <c r="AE65" s="15">
        <v>-5.5220090641030801E-3</v>
      </c>
      <c r="AF65" s="15">
        <v>-1.6172266650779799E-3</v>
      </c>
      <c r="AG65" s="15">
        <v>1.2732888834436401E-3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7.6922288114060228E-3</v>
      </c>
      <c r="BE65" s="29">
        <f t="shared" si="22"/>
        <v>0</v>
      </c>
      <c r="BF65" s="29">
        <f t="shared" si="23"/>
        <v>7.6922288114060228E-3</v>
      </c>
      <c r="BH65" s="29"/>
    </row>
    <row r="66" spans="1:60" x14ac:dyDescent="0.25">
      <c r="A66" s="1">
        <v>46119</v>
      </c>
      <c r="B66" s="33">
        <v>137.43</v>
      </c>
      <c r="C66" s="33">
        <v>187.31</v>
      </c>
      <c r="D66" s="15">
        <v>4.7409008968104897E-3</v>
      </c>
      <c r="E66" s="15">
        <v>4.0656986406340896E-3</v>
      </c>
      <c r="F66" s="33">
        <v>0</v>
      </c>
      <c r="G66" s="33">
        <v>0.16750999999999999</v>
      </c>
      <c r="H66" s="33">
        <v>0</v>
      </c>
      <c r="I66" s="33">
        <v>6.9825999999999999E-2</v>
      </c>
      <c r="J66" s="33">
        <v>0</v>
      </c>
      <c r="K66" s="33">
        <v>0</v>
      </c>
      <c r="L66" s="33">
        <v>137.43</v>
      </c>
      <c r="M66" s="33">
        <v>187.31</v>
      </c>
      <c r="N66" s="34">
        <v>1.36294841009968</v>
      </c>
      <c r="O66" s="34">
        <v>1.3563381687199101</v>
      </c>
      <c r="P66" s="34">
        <v>1.36145581158627</v>
      </c>
      <c r="Q66" s="34">
        <v>1.36465443452473</v>
      </c>
      <c r="R66" s="33">
        <v>186.40155452717801</v>
      </c>
      <c r="S66" s="33">
        <v>187.13038281061699</v>
      </c>
      <c r="T66" s="33">
        <v>187.60662153690501</v>
      </c>
      <c r="U66" s="15">
        <v>-4.8617563530060602E-3</v>
      </c>
      <c r="V66" s="15">
        <v>-9.5939012673303299E-4</v>
      </c>
      <c r="W66" s="15">
        <v>1.5823336803761001E-3</v>
      </c>
      <c r="X66" s="34">
        <v>1.36294841009968</v>
      </c>
      <c r="Y66" s="34">
        <v>1.3563584455100699</v>
      </c>
      <c r="Z66" s="34">
        <v>1.36145581158627</v>
      </c>
      <c r="AA66" s="34">
        <v>1.3647557879367</v>
      </c>
      <c r="AB66" s="33">
        <v>186.404341166449</v>
      </c>
      <c r="AC66" s="33">
        <v>187.13038281061699</v>
      </c>
      <c r="AD66" s="33">
        <v>187.62055053631201</v>
      </c>
      <c r="AE66" s="15">
        <v>-4.8468068079266201E-3</v>
      </c>
      <c r="AF66" s="15">
        <v>-9.5939012673314401E-4</v>
      </c>
      <c r="AG66" s="15">
        <v>1.65657670140533E-3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7.6922288114060228E-3</v>
      </c>
      <c r="BE66" s="29">
        <f t="shared" si="22"/>
        <v>0</v>
      </c>
      <c r="BF66" s="29">
        <f t="shared" si="23"/>
        <v>7.6922288114060228E-3</v>
      </c>
      <c r="BH66" s="29"/>
    </row>
    <row r="67" spans="1:60" x14ac:dyDescent="0.25">
      <c r="A67" s="1">
        <v>46120</v>
      </c>
      <c r="B67" s="33">
        <v>141.69</v>
      </c>
      <c r="C67" s="33">
        <v>193.1</v>
      </c>
      <c r="D67" s="15">
        <v>3.0526876009374902E-2</v>
      </c>
      <c r="E67" s="15">
        <v>3.0443191126667699E-2</v>
      </c>
      <c r="F67" s="33">
        <v>0</v>
      </c>
      <c r="G67" s="33">
        <v>0.16750999999999999</v>
      </c>
      <c r="H67" s="33">
        <v>0</v>
      </c>
      <c r="I67" s="33">
        <v>6.9825999999999999E-2</v>
      </c>
      <c r="J67" s="33">
        <v>0</v>
      </c>
      <c r="K67" s="33">
        <v>0</v>
      </c>
      <c r="L67" s="33">
        <v>141.69</v>
      </c>
      <c r="M67" s="33">
        <v>193.1</v>
      </c>
      <c r="N67" s="34">
        <v>1.3628343566941901</v>
      </c>
      <c r="O67" s="34">
        <v>1.3563381687199101</v>
      </c>
      <c r="P67" s="34">
        <v>1.3619478407187899</v>
      </c>
      <c r="Q67" s="34">
        <v>1.3641964099438699</v>
      </c>
      <c r="R67" s="33">
        <v>192.179555125924</v>
      </c>
      <c r="S67" s="33">
        <v>192.90467394365899</v>
      </c>
      <c r="T67" s="33">
        <v>193.35788682780901</v>
      </c>
      <c r="U67" s="15">
        <v>-4.7780714702989604E-3</v>
      </c>
      <c r="V67" s="15">
        <v>-1.0120399373203799E-3</v>
      </c>
      <c r="W67" s="15">
        <v>1.33461820746034E-3</v>
      </c>
      <c r="X67" s="34">
        <v>1.3628343566941901</v>
      </c>
      <c r="Y67" s="34">
        <v>1.3563584455100699</v>
      </c>
      <c r="Z67" s="34">
        <v>1.3619478407187899</v>
      </c>
      <c r="AA67" s="34">
        <v>1.36429776335584</v>
      </c>
      <c r="AB67" s="33">
        <v>192.18242814432199</v>
      </c>
      <c r="AC67" s="33">
        <v>192.90467394365899</v>
      </c>
      <c r="AD67" s="33">
        <v>193.37224759275099</v>
      </c>
      <c r="AE67" s="15">
        <v>-4.7631219252195697E-3</v>
      </c>
      <c r="AF67" s="15">
        <v>-1.0120399373204901E-3</v>
      </c>
      <c r="AG67" s="15">
        <v>1.40888583581714E-3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0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7.6922288114060228E-3</v>
      </c>
      <c r="BE67" s="29">
        <f t="shared" si="22"/>
        <v>0</v>
      </c>
      <c r="BF67" s="29">
        <f t="shared" si="23"/>
        <v>7.6922288114060228E-3</v>
      </c>
      <c r="BH67" s="29"/>
    </row>
    <row r="68" spans="1:60" x14ac:dyDescent="0.25">
      <c r="A68" s="1">
        <v>46121</v>
      </c>
      <c r="B68" s="33">
        <v>142.07</v>
      </c>
      <c r="C68" s="33">
        <v>193.64</v>
      </c>
      <c r="D68" s="15">
        <v>2.67832130785028E-3</v>
      </c>
      <c r="E68" s="15">
        <v>2.7925756370248602E-3</v>
      </c>
      <c r="F68" s="33">
        <v>0</v>
      </c>
      <c r="G68" s="33">
        <v>0.16750999999999999</v>
      </c>
      <c r="H68" s="33">
        <v>0</v>
      </c>
      <c r="I68" s="33">
        <v>6.9825999999999999E-2</v>
      </c>
      <c r="J68" s="33">
        <v>0</v>
      </c>
      <c r="K68" s="33">
        <v>0</v>
      </c>
      <c r="L68" s="33">
        <v>142.07</v>
      </c>
      <c r="M68" s="33">
        <v>193.64</v>
      </c>
      <c r="N68" s="34">
        <v>1.36299007531498</v>
      </c>
      <c r="O68" s="34">
        <v>1.3563381687199101</v>
      </c>
      <c r="P68" s="34">
        <v>1.3622860409966999</v>
      </c>
      <c r="Q68" s="34">
        <v>1.3637458994676499</v>
      </c>
      <c r="R68" s="33">
        <v>192.69496363003799</v>
      </c>
      <c r="S68" s="33">
        <v>193.491929730918</v>
      </c>
      <c r="T68" s="33">
        <v>193.811383960726</v>
      </c>
      <c r="U68" s="15">
        <v>-4.8923257994734001E-3</v>
      </c>
      <c r="V68" s="15">
        <v>-7.6496028836925596E-4</v>
      </c>
      <c r="W68" s="15">
        <v>8.8467342742099301E-4</v>
      </c>
      <c r="X68" s="34">
        <v>1.36299007531498</v>
      </c>
      <c r="Y68" s="34">
        <v>1.3563584455100699</v>
      </c>
      <c r="Z68" s="34">
        <v>1.3622860409966999</v>
      </c>
      <c r="AA68" s="34">
        <v>1.3638472528796199</v>
      </c>
      <c r="AB68" s="33">
        <v>192.69784435361601</v>
      </c>
      <c r="AC68" s="33">
        <v>193.491929730918</v>
      </c>
      <c r="AD68" s="33">
        <v>193.82578323996401</v>
      </c>
      <c r="AE68" s="15">
        <v>-4.8773762543941699E-3</v>
      </c>
      <c r="AF68" s="15">
        <v>-7.6496028836925596E-4</v>
      </c>
      <c r="AG68" s="15">
        <v>9.5896598997017299E-4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7.6922288114060228E-3</v>
      </c>
      <c r="BE68" s="29">
        <f t="shared" si="22"/>
        <v>0</v>
      </c>
      <c r="BF68" s="29">
        <f t="shared" si="23"/>
        <v>7.6922288114060228E-3</v>
      </c>
      <c r="BH68" s="29"/>
    </row>
    <row r="69" spans="1:60" x14ac:dyDescent="0.25">
      <c r="A69" s="1">
        <v>46122</v>
      </c>
      <c r="B69" s="33">
        <v>142.62</v>
      </c>
      <c r="C69" s="33">
        <v>194.27</v>
      </c>
      <c r="D69" s="15">
        <v>3.8638567161720099E-3</v>
      </c>
      <c r="E69" s="15">
        <v>3.2481789791958498E-3</v>
      </c>
      <c r="F69" s="33">
        <v>0</v>
      </c>
      <c r="G69" s="33">
        <v>0.16750999999999999</v>
      </c>
      <c r="H69" s="33">
        <v>0</v>
      </c>
      <c r="I69" s="33">
        <v>6.9825999999999999E-2</v>
      </c>
      <c r="J69" s="33">
        <v>0</v>
      </c>
      <c r="K69" s="33">
        <v>0</v>
      </c>
      <c r="L69" s="33">
        <v>142.62</v>
      </c>
      <c r="M69" s="33">
        <v>194.27</v>
      </c>
      <c r="N69" s="34">
        <v>1.3621511709437599</v>
      </c>
      <c r="O69" s="34">
        <v>1.3563381687199101</v>
      </c>
      <c r="P69" s="34">
        <v>1.3626445543174901</v>
      </c>
      <c r="Q69" s="34">
        <v>1.3632812003247601</v>
      </c>
      <c r="R69" s="33">
        <v>193.44094962283401</v>
      </c>
      <c r="S69" s="33">
        <v>194.28923516694999</v>
      </c>
      <c r="T69" s="33">
        <v>194.49744018207599</v>
      </c>
      <c r="U69" s="15">
        <v>-4.2766480624974101E-3</v>
      </c>
      <c r="V69" s="15">
        <v>9.90076427218256E-5</v>
      </c>
      <c r="W69" s="15">
        <v>1.1700579036022999E-3</v>
      </c>
      <c r="X69" s="34">
        <v>1.3621511709437599</v>
      </c>
      <c r="Y69" s="34">
        <v>1.3563584455100699</v>
      </c>
      <c r="Z69" s="34">
        <v>1.3626445543174901</v>
      </c>
      <c r="AA69" s="34">
        <v>1.3633825537367299</v>
      </c>
      <c r="AB69" s="33">
        <v>193.443841498647</v>
      </c>
      <c r="AC69" s="33">
        <v>194.28923516694999</v>
      </c>
      <c r="AD69" s="33">
        <v>194.51189520569099</v>
      </c>
      <c r="AE69" s="15">
        <v>-4.26169851741795E-3</v>
      </c>
      <c r="AF69" s="15">
        <v>9.90076427218256E-5</v>
      </c>
      <c r="AG69" s="15">
        <v>1.24437500762511E-3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0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7.6922288114060228E-3</v>
      </c>
      <c r="BE69" s="29">
        <f t="shared" si="22"/>
        <v>0</v>
      </c>
      <c r="BF69" s="29">
        <f t="shared" si="23"/>
        <v>7.6922288114060228E-3</v>
      </c>
      <c r="BH69" s="29"/>
    </row>
    <row r="70" spans="1:60" x14ac:dyDescent="0.25">
      <c r="A70" s="1">
        <v>46125</v>
      </c>
      <c r="B70" s="33">
        <v>145.61000000000001</v>
      </c>
      <c r="C70" s="33">
        <v>197.94</v>
      </c>
      <c r="D70" s="15">
        <v>2.07480641226555E-2</v>
      </c>
      <c r="E70" s="15">
        <v>1.8715010417855601E-2</v>
      </c>
      <c r="F70" s="33">
        <v>0</v>
      </c>
      <c r="G70" s="33">
        <v>0.16750999999999999</v>
      </c>
      <c r="H70" s="33">
        <v>0</v>
      </c>
      <c r="I70" s="33">
        <v>6.9825999999999999E-2</v>
      </c>
      <c r="J70" s="33">
        <v>0</v>
      </c>
      <c r="K70" s="33">
        <v>0</v>
      </c>
      <c r="L70" s="33">
        <v>145.61000000000001</v>
      </c>
      <c r="M70" s="33">
        <v>197.94</v>
      </c>
      <c r="N70" s="34">
        <v>1.35938465764713</v>
      </c>
      <c r="O70" s="34">
        <v>1.3563381687199101</v>
      </c>
      <c r="P70" s="34">
        <v>1.3630457663876201</v>
      </c>
      <c r="Q70" s="34">
        <v>1.3628147606925001</v>
      </c>
      <c r="R70" s="33">
        <v>197.49640074730601</v>
      </c>
      <c r="S70" s="33">
        <v>198.41467355417001</v>
      </c>
      <c r="T70" s="33">
        <v>198.50737557928801</v>
      </c>
      <c r="U70" s="15">
        <v>-2.2435943576975298E-3</v>
      </c>
      <c r="V70" s="15">
        <v>2.3951970937876699E-3</v>
      </c>
      <c r="W70" s="15">
        <v>2.8623015391366999E-3</v>
      </c>
      <c r="X70" s="34">
        <v>1.35938465764713</v>
      </c>
      <c r="Y70" s="34">
        <v>1.3563584455100699</v>
      </c>
      <c r="Z70" s="34">
        <v>1.3630457663876201</v>
      </c>
      <c r="AA70" s="34">
        <v>1.3629161141044699</v>
      </c>
      <c r="AB70" s="33">
        <v>197.49935325072201</v>
      </c>
      <c r="AC70" s="33">
        <v>198.41467355417001</v>
      </c>
      <c r="AD70" s="33">
        <v>198.522133649605</v>
      </c>
      <c r="AE70" s="15">
        <v>-2.2286448126179301E-3</v>
      </c>
      <c r="AF70" s="15">
        <v>2.3951970937878902E-3</v>
      </c>
      <c r="AG70" s="15">
        <v>2.9366439745515298E-3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7.6922288114060228E-3</v>
      </c>
      <c r="BE70" s="29">
        <f t="shared" si="22"/>
        <v>0</v>
      </c>
      <c r="BF70" s="29">
        <f t="shared" si="23"/>
        <v>7.6922288114060228E-3</v>
      </c>
      <c r="BH70" s="29"/>
    </row>
    <row r="71" spans="1:60" x14ac:dyDescent="0.25">
      <c r="A71" s="1">
        <v>46126</v>
      </c>
      <c r="B71" s="33">
        <v>147.94</v>
      </c>
      <c r="C71" s="33">
        <v>201.83</v>
      </c>
      <c r="D71" s="15">
        <v>1.5874971436908299E-2</v>
      </c>
      <c r="E71" s="15">
        <v>1.9461804443482601E-2</v>
      </c>
      <c r="F71" s="33">
        <v>0</v>
      </c>
      <c r="G71" s="33">
        <v>0.16750999999999999</v>
      </c>
      <c r="H71" s="33">
        <v>0</v>
      </c>
      <c r="I71" s="33">
        <v>6.9825999999999999E-2</v>
      </c>
      <c r="J71" s="33">
        <v>0</v>
      </c>
      <c r="K71" s="33">
        <v>0</v>
      </c>
      <c r="L71" s="33">
        <v>147.94</v>
      </c>
      <c r="M71" s="33">
        <v>201.83</v>
      </c>
      <c r="N71" s="34">
        <v>1.3642692983642</v>
      </c>
      <c r="O71" s="34">
        <v>1.3563381687199101</v>
      </c>
      <c r="P71" s="34">
        <v>1.36337073543973</v>
      </c>
      <c r="Q71" s="34">
        <v>1.3626213946552399</v>
      </c>
      <c r="R71" s="33">
        <v>200.65666868042399</v>
      </c>
      <c r="S71" s="33">
        <v>201.64899067938501</v>
      </c>
      <c r="T71" s="33">
        <v>201.61481569684801</v>
      </c>
      <c r="U71" s="15">
        <v>-5.8304273642718098E-3</v>
      </c>
      <c r="V71" s="15">
        <v>-8.9724291444599898E-4</v>
      </c>
      <c r="W71" s="15">
        <v>-1.06673485534844E-3</v>
      </c>
      <c r="X71" s="34">
        <v>1.3642692983642</v>
      </c>
      <c r="Y71" s="34">
        <v>1.3563584455100699</v>
      </c>
      <c r="Z71" s="34">
        <v>1.36337073543973</v>
      </c>
      <c r="AA71" s="34">
        <v>1.3627227480672099</v>
      </c>
      <c r="AB71" s="33">
        <v>200.65966842876</v>
      </c>
      <c r="AC71" s="33">
        <v>201.64899067938501</v>
      </c>
      <c r="AD71" s="33">
        <v>201.629809920615</v>
      </c>
      <c r="AE71" s="15">
        <v>-5.8154778191923202E-3</v>
      </c>
      <c r="AF71" s="15">
        <v>-8.9724291444599898E-4</v>
      </c>
      <c r="AG71" s="15">
        <v>-9.9236697629287505E-4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7.6922288114060228E-3</v>
      </c>
      <c r="BE71" s="29">
        <f t="shared" si="22"/>
        <v>0</v>
      </c>
      <c r="BF71" s="29">
        <f t="shared" si="23"/>
        <v>7.6922288114060228E-3</v>
      </c>
      <c r="BH71" s="29"/>
    </row>
    <row r="72" spans="1:60" x14ac:dyDescent="0.25">
      <c r="A72" s="1">
        <v>46127</v>
      </c>
      <c r="B72" s="33">
        <v>150.30000000000001</v>
      </c>
      <c r="C72" s="33">
        <v>205.23</v>
      </c>
      <c r="D72" s="15">
        <v>1.58265105992073E-2</v>
      </c>
      <c r="E72" s="15">
        <v>1.67055425289886E-2</v>
      </c>
      <c r="F72" s="33">
        <v>0</v>
      </c>
      <c r="G72" s="33">
        <v>0.16750999999999999</v>
      </c>
      <c r="H72" s="33">
        <v>0</v>
      </c>
      <c r="I72" s="33">
        <v>6.9825999999999999E-2</v>
      </c>
      <c r="J72" s="33">
        <v>0</v>
      </c>
      <c r="K72" s="33">
        <v>0</v>
      </c>
      <c r="L72" s="33">
        <v>150.30000000000001</v>
      </c>
      <c r="M72" s="33">
        <v>205.23</v>
      </c>
      <c r="N72" s="34">
        <v>1.36546906187624</v>
      </c>
      <c r="O72" s="34">
        <v>1.3563381687199101</v>
      </c>
      <c r="P72" s="34">
        <v>1.36340898850471</v>
      </c>
      <c r="Q72" s="34">
        <v>1.3625237713551801</v>
      </c>
      <c r="R72" s="33">
        <v>203.857626758603</v>
      </c>
      <c r="S72" s="33">
        <v>204.91462153659199</v>
      </c>
      <c r="T72" s="33">
        <v>204.80199561668201</v>
      </c>
      <c r="U72" s="15">
        <v>-6.7094592940529496E-3</v>
      </c>
      <c r="V72" s="15">
        <v>-1.53788936392531E-3</v>
      </c>
      <c r="W72" s="15">
        <v>-2.0876641010538601E-3</v>
      </c>
      <c r="X72" s="34">
        <v>1.36546906187624</v>
      </c>
      <c r="Y72" s="34">
        <v>1.3563584455100699</v>
      </c>
      <c r="Z72" s="34">
        <v>1.36340898850471</v>
      </c>
      <c r="AA72" s="34">
        <v>1.3626001047012199</v>
      </c>
      <c r="AB72" s="33">
        <v>203.86067436016401</v>
      </c>
      <c r="AC72" s="33">
        <v>204.91462153659199</v>
      </c>
      <c r="AD72" s="33">
        <v>204.81722903450199</v>
      </c>
      <c r="AE72" s="15">
        <v>-6.6945097489736899E-3</v>
      </c>
      <c r="AF72" s="15">
        <v>-1.5378893639255301E-3</v>
      </c>
      <c r="AG72" s="15">
        <v>-2.01328566903953E-3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7.6922288114060228E-3</v>
      </c>
      <c r="BE72" s="29">
        <f t="shared" si="22"/>
        <v>0</v>
      </c>
      <c r="BF72" s="29">
        <f t="shared" si="23"/>
        <v>7.6922288114060228E-3</v>
      </c>
      <c r="BH72" s="29"/>
    </row>
    <row r="73" spans="1:60" x14ac:dyDescent="0.25">
      <c r="A73" s="1">
        <v>46128</v>
      </c>
      <c r="B73" s="33">
        <v>152.02000000000001</v>
      </c>
      <c r="C73" s="33">
        <v>206.56</v>
      </c>
      <c r="D73" s="15">
        <v>1.13787943789656E-2</v>
      </c>
      <c r="E73" s="15">
        <v>6.4596256573160602E-3</v>
      </c>
      <c r="F73" s="33">
        <v>0</v>
      </c>
      <c r="G73" s="33">
        <v>0.16750999999999999</v>
      </c>
      <c r="H73" s="33">
        <v>0</v>
      </c>
      <c r="I73" s="33">
        <v>6.9825999999999999E-2</v>
      </c>
      <c r="J73" s="33">
        <v>0</v>
      </c>
      <c r="K73" s="33">
        <v>0</v>
      </c>
      <c r="L73" s="33">
        <v>152.02000000000001</v>
      </c>
      <c r="M73" s="33">
        <v>206.56</v>
      </c>
      <c r="N73" s="34">
        <v>1.35876858308117</v>
      </c>
      <c r="O73" s="34">
        <v>1.3563381687199101</v>
      </c>
      <c r="P73" s="34">
        <v>1.3625873070455701</v>
      </c>
      <c r="Q73" s="34">
        <v>1.36209093347532</v>
      </c>
      <c r="R73" s="33">
        <v>206.19052840880099</v>
      </c>
      <c r="S73" s="33">
        <v>207.26543443248599</v>
      </c>
      <c r="T73" s="33">
        <v>207.13086372141501</v>
      </c>
      <c r="U73" s="15">
        <v>-1.79029057240359E-3</v>
      </c>
      <c r="V73" s="15">
        <v>3.4093366772374499E-3</v>
      </c>
      <c r="W73" s="15">
        <v>2.75985830882272E-3</v>
      </c>
      <c r="X73" s="34">
        <v>1.35876858308117</v>
      </c>
      <c r="Y73" s="34">
        <v>1.3563584455100699</v>
      </c>
      <c r="Z73" s="34">
        <v>1.3625873070455701</v>
      </c>
      <c r="AA73" s="34">
        <v>1.3621419602107501</v>
      </c>
      <c r="AB73" s="33">
        <v>206.19361088644101</v>
      </c>
      <c r="AC73" s="33">
        <v>207.26543443248599</v>
      </c>
      <c r="AD73" s="33">
        <v>207.14246791668</v>
      </c>
      <c r="AE73" s="15">
        <v>-1.7753410273241301E-3</v>
      </c>
      <c r="AF73" s="15">
        <v>3.4093366772374499E-3</v>
      </c>
      <c r="AG73" s="15">
        <v>2.8158802362885801E-3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0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7.6922288114060228E-3</v>
      </c>
      <c r="BE73" s="29">
        <f t="shared" si="22"/>
        <v>0</v>
      </c>
      <c r="BF73" s="29">
        <f t="shared" si="23"/>
        <v>7.6922288114060228E-3</v>
      </c>
      <c r="BH73" s="29"/>
    </row>
    <row r="74" spans="1:60" x14ac:dyDescent="0.25">
      <c r="A74" s="1">
        <v>46129</v>
      </c>
      <c r="B74" s="33">
        <v>154.35</v>
      </c>
      <c r="C74" s="33">
        <v>210.07</v>
      </c>
      <c r="D74" s="15">
        <v>1.5210659810273801E-2</v>
      </c>
      <c r="E74" s="15">
        <v>1.6849881409256501E-2</v>
      </c>
      <c r="F74" s="33">
        <v>0</v>
      </c>
      <c r="G74" s="33">
        <v>0.16750999999999999</v>
      </c>
      <c r="H74" s="33">
        <v>0</v>
      </c>
      <c r="I74" s="33">
        <v>6.9825999999999999E-2</v>
      </c>
      <c r="J74" s="33">
        <v>0</v>
      </c>
      <c r="K74" s="33">
        <v>0</v>
      </c>
      <c r="L74" s="33">
        <v>154.35</v>
      </c>
      <c r="M74" s="33">
        <v>210.07</v>
      </c>
      <c r="N74" s="34">
        <v>1.3609977324263001</v>
      </c>
      <c r="O74" s="34">
        <v>1.3563381687199101</v>
      </c>
      <c r="P74" s="34">
        <v>1.36236823331416</v>
      </c>
      <c r="Q74" s="34">
        <v>1.3619908526040401</v>
      </c>
      <c r="R74" s="33">
        <v>209.350796341918</v>
      </c>
      <c r="S74" s="33">
        <v>210.31535084248401</v>
      </c>
      <c r="T74" s="33">
        <v>210.23873558191599</v>
      </c>
      <c r="U74" s="15">
        <v>-3.42951217138635E-3</v>
      </c>
      <c r="V74" s="15">
        <v>1.1672665084592399E-3</v>
      </c>
      <c r="W74" s="15">
        <v>8.0291260540937403E-4</v>
      </c>
      <c r="X74" s="34">
        <v>1.3609977324263001</v>
      </c>
      <c r="Y74" s="34">
        <v>1.3563584455100699</v>
      </c>
      <c r="Z74" s="34">
        <v>1.36236823331416</v>
      </c>
      <c r="AA74" s="34">
        <v>1.36201665865031</v>
      </c>
      <c r="AB74" s="33">
        <v>209.35392606447999</v>
      </c>
      <c r="AC74" s="33">
        <v>210.31535084248401</v>
      </c>
      <c r="AD74" s="33">
        <v>210.246611558529</v>
      </c>
      <c r="AE74" s="15">
        <v>-3.4145626263068301E-3</v>
      </c>
      <c r="AF74" s="15">
        <v>1.1672665084592399E-3</v>
      </c>
      <c r="AG74" s="15">
        <v>8.40373966038648E-4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7.6922288114060228E-3</v>
      </c>
      <c r="BE74" s="29">
        <f t="shared" si="22"/>
        <v>0</v>
      </c>
      <c r="BF74" s="29">
        <f t="shared" si="23"/>
        <v>7.6922288114060228E-3</v>
      </c>
      <c r="BH74" s="29"/>
    </row>
    <row r="75" spans="1:60" x14ac:dyDescent="0.25">
      <c r="A75" s="1">
        <v>46132</v>
      </c>
      <c r="B75" s="33">
        <v>154.56</v>
      </c>
      <c r="C75" s="33">
        <v>210.43</v>
      </c>
      <c r="D75" s="15">
        <v>1.3596195160396501E-3</v>
      </c>
      <c r="E75" s="15">
        <v>1.71224774294299E-3</v>
      </c>
      <c r="F75" s="33">
        <v>0</v>
      </c>
      <c r="G75" s="33">
        <v>0.16750999999999999</v>
      </c>
      <c r="H75" s="33">
        <v>0</v>
      </c>
      <c r="I75" s="33">
        <v>6.9825999999999999E-2</v>
      </c>
      <c r="J75" s="33">
        <v>0</v>
      </c>
      <c r="K75" s="33">
        <v>0</v>
      </c>
      <c r="L75" s="33">
        <v>154.56</v>
      </c>
      <c r="M75" s="33">
        <v>210.43</v>
      </c>
      <c r="N75" s="34">
        <v>1.36147774327122</v>
      </c>
      <c r="O75" s="34">
        <v>1.3563381687199101</v>
      </c>
      <c r="P75" s="34">
        <v>1.3621291089718901</v>
      </c>
      <c r="Q75" s="34">
        <v>1.3618852734360201</v>
      </c>
      <c r="R75" s="33">
        <v>209.63562735734999</v>
      </c>
      <c r="S75" s="33">
        <v>210.56763414103699</v>
      </c>
      <c r="T75" s="33">
        <v>210.50930617848101</v>
      </c>
      <c r="U75" s="15">
        <v>-3.7821403982897998E-3</v>
      </c>
      <c r="V75" s="15">
        <v>6.5384759808309904E-4</v>
      </c>
      <c r="W75" s="15">
        <v>3.7680576869581899E-4</v>
      </c>
      <c r="X75" s="34">
        <v>1.36147774327122</v>
      </c>
      <c r="Y75" s="34">
        <v>1.3563584455100699</v>
      </c>
      <c r="Z75" s="34">
        <v>1.3621291089718901</v>
      </c>
      <c r="AA75" s="34">
        <v>1.3618852734360201</v>
      </c>
      <c r="AB75" s="33">
        <v>209.638761338037</v>
      </c>
      <c r="AC75" s="33">
        <v>210.56763414103699</v>
      </c>
      <c r="AD75" s="33">
        <v>210.51329476099201</v>
      </c>
      <c r="AE75" s="15">
        <v>-3.76719085321039E-3</v>
      </c>
      <c r="AF75" s="15">
        <v>6.5384759808309904E-4</v>
      </c>
      <c r="AG75" s="15">
        <v>3.9575288698746397E-4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7.6922288114060228E-3</v>
      </c>
      <c r="BE75" s="29">
        <f t="shared" si="22"/>
        <v>0</v>
      </c>
      <c r="BF75" s="29">
        <f t="shared" si="23"/>
        <v>7.6922288114060228E-3</v>
      </c>
      <c r="BH75" s="29"/>
    </row>
    <row r="76" spans="1:60" x14ac:dyDescent="0.25">
      <c r="A76" s="1">
        <v>46133</v>
      </c>
      <c r="B76" s="33">
        <v>154.69</v>
      </c>
      <c r="C76" s="33">
        <v>209.44</v>
      </c>
      <c r="D76" s="15">
        <v>8.4074378436575499E-4</v>
      </c>
      <c r="E76" s="15">
        <v>-4.7157540889422797E-3</v>
      </c>
      <c r="F76" s="33">
        <v>0</v>
      </c>
      <c r="G76" s="33">
        <v>0.16750999999999999</v>
      </c>
      <c r="H76" s="33">
        <v>0</v>
      </c>
      <c r="I76" s="33">
        <v>6.9825999999999999E-2</v>
      </c>
      <c r="J76" s="33">
        <v>0</v>
      </c>
      <c r="K76" s="33">
        <v>0</v>
      </c>
      <c r="L76" s="33">
        <v>154.69</v>
      </c>
      <c r="M76" s="33">
        <v>209.44</v>
      </c>
      <c r="N76" s="34">
        <v>1.35393367379921</v>
      </c>
      <c r="O76" s="34">
        <v>1.3563381687199101</v>
      </c>
      <c r="P76" s="34">
        <v>1.36122763534184</v>
      </c>
      <c r="Q76" s="34">
        <v>1.3613417234640599</v>
      </c>
      <c r="R76" s="33">
        <v>209.811951319283</v>
      </c>
      <c r="S76" s="33">
        <v>210.707751866861</v>
      </c>
      <c r="T76" s="33">
        <v>210.67003294781799</v>
      </c>
      <c r="U76" s="15">
        <v>1.7743574750180801E-3</v>
      </c>
      <c r="V76" s="15">
        <v>6.0348089867875198E-3</v>
      </c>
      <c r="W76" s="15">
        <v>5.85578237217293E-3</v>
      </c>
      <c r="X76" s="34">
        <v>1.35393367379921</v>
      </c>
      <c r="Y76" s="34">
        <v>1.3563584455100699</v>
      </c>
      <c r="Z76" s="34">
        <v>1.36122763534184</v>
      </c>
      <c r="AA76" s="34">
        <v>1.3613417234640599</v>
      </c>
      <c r="AB76" s="33">
        <v>209.81508793595299</v>
      </c>
      <c r="AC76" s="33">
        <v>210.707751866861</v>
      </c>
      <c r="AD76" s="33">
        <v>210.67003294781799</v>
      </c>
      <c r="AE76" s="15">
        <v>1.7893070200974801E-3</v>
      </c>
      <c r="AF76" s="15">
        <v>6.0348089867875198E-3</v>
      </c>
      <c r="AG76" s="15">
        <v>5.85578237217293E-3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1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7.6922288114060228E-3</v>
      </c>
      <c r="BE76" s="29">
        <f t="shared" si="22"/>
        <v>0</v>
      </c>
      <c r="BF76" s="29">
        <f t="shared" si="23"/>
        <v>7.6922288114060228E-3</v>
      </c>
      <c r="BH76" s="29"/>
    </row>
    <row r="77" spans="1:60" x14ac:dyDescent="0.25">
      <c r="A77" s="1">
        <v>46134</v>
      </c>
      <c r="B77" s="33">
        <v>158.09</v>
      </c>
      <c r="C77" s="33">
        <v>214.13</v>
      </c>
      <c r="D77" s="15">
        <v>2.17413768595228E-2</v>
      </c>
      <c r="E77" s="15">
        <v>2.2146005056535599E-2</v>
      </c>
      <c r="F77" s="33">
        <v>0</v>
      </c>
      <c r="G77" s="33">
        <v>0.16750999999999999</v>
      </c>
      <c r="H77" s="33">
        <v>0</v>
      </c>
      <c r="I77" s="33">
        <v>6.9825999999999999E-2</v>
      </c>
      <c r="J77" s="33">
        <v>0</v>
      </c>
      <c r="K77" s="33">
        <v>0</v>
      </c>
      <c r="L77" s="33">
        <v>158.09</v>
      </c>
      <c r="M77" s="33">
        <v>214.13</v>
      </c>
      <c r="N77" s="34">
        <v>1.3544816243911599</v>
      </c>
      <c r="O77" s="34">
        <v>1.3563381687199101</v>
      </c>
      <c r="P77" s="34">
        <v>1.3603923621115399</v>
      </c>
      <c r="Q77" s="34">
        <v>1.36117010141516</v>
      </c>
      <c r="R77" s="33">
        <v>214.42350109293099</v>
      </c>
      <c r="S77" s="33">
        <v>215.196476871192</v>
      </c>
      <c r="T77" s="33">
        <v>215.21451306243301</v>
      </c>
      <c r="U77" s="15">
        <v>1.36972927800541E-3</v>
      </c>
      <c r="V77" s="15">
        <v>4.9681495190974203E-3</v>
      </c>
      <c r="W77" s="15">
        <v>5.0519586767337902E-3</v>
      </c>
      <c r="X77" s="34">
        <v>1.3544816243911599</v>
      </c>
      <c r="Y77" s="34">
        <v>1.3563584455100699</v>
      </c>
      <c r="Z77" s="34">
        <v>1.3603923621115399</v>
      </c>
      <c r="AA77" s="34">
        <v>1.36117010141516</v>
      </c>
      <c r="AB77" s="33">
        <v>214.42670665068701</v>
      </c>
      <c r="AC77" s="33">
        <v>215.196476871192</v>
      </c>
      <c r="AD77" s="33">
        <v>215.21451306243301</v>
      </c>
      <c r="AE77" s="15">
        <v>1.38467882308475E-3</v>
      </c>
      <c r="AF77" s="15">
        <v>4.9681495190974203E-3</v>
      </c>
      <c r="AG77" s="15">
        <v>5.0519586767337902E-3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1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-2.17413768595228E-2</v>
      </c>
      <c r="BA77" s="28">
        <f t="shared" si="13"/>
        <v>2.2146005056535599E-2</v>
      </c>
      <c r="BB77" s="28">
        <f t="shared" si="20"/>
        <v>4.0462819701279906E-4</v>
      </c>
      <c r="BC77" s="29">
        <f t="shared" si="21"/>
        <v>8.0968570084188219E-3</v>
      </c>
      <c r="BE77" s="29">
        <f t="shared" si="22"/>
        <v>4.0462819701279906E-4</v>
      </c>
      <c r="BF77" s="29">
        <f t="shared" si="23"/>
        <v>8.0968570084188219E-3</v>
      </c>
      <c r="BH77" s="29"/>
    </row>
    <row r="78" spans="1:60" x14ac:dyDescent="0.25">
      <c r="A78" s="1">
        <v>46135</v>
      </c>
      <c r="B78" s="33">
        <v>155.84</v>
      </c>
      <c r="C78" s="33">
        <v>211.56</v>
      </c>
      <c r="D78" s="15">
        <v>-1.4334651213871299E-2</v>
      </c>
      <c r="E78" s="15">
        <v>-1.20746610203461E-2</v>
      </c>
      <c r="F78" s="33">
        <v>0</v>
      </c>
      <c r="G78" s="33">
        <v>0.16750999999999999</v>
      </c>
      <c r="H78" s="33">
        <v>0</v>
      </c>
      <c r="I78" s="33">
        <v>6.9825999999999999E-2</v>
      </c>
      <c r="J78" s="33">
        <v>0</v>
      </c>
      <c r="K78" s="33">
        <v>0</v>
      </c>
      <c r="L78" s="33">
        <v>155.84</v>
      </c>
      <c r="M78" s="33">
        <v>211.56</v>
      </c>
      <c r="N78" s="34">
        <v>1.3575462012320301</v>
      </c>
      <c r="O78" s="34">
        <v>1.3563381687199101</v>
      </c>
      <c r="P78" s="34">
        <v>1.3598479747032399</v>
      </c>
      <c r="Q78" s="34">
        <v>1.36106700784997</v>
      </c>
      <c r="R78" s="33">
        <v>211.371740213311</v>
      </c>
      <c r="S78" s="33">
        <v>212.00354571146201</v>
      </c>
      <c r="T78" s="33">
        <v>212.12474860453901</v>
      </c>
      <c r="U78" s="15">
        <v>-8.90260915519781E-4</v>
      </c>
      <c r="V78" s="15">
        <v>2.09435338844049E-3</v>
      </c>
      <c r="W78" s="15">
        <v>2.6658922270437401E-3</v>
      </c>
      <c r="X78" s="34">
        <v>1.3575462012320301</v>
      </c>
      <c r="Y78" s="34">
        <v>1.3563584455100699</v>
      </c>
      <c r="Z78" s="34">
        <v>1.3598479747032399</v>
      </c>
      <c r="AA78" s="34">
        <v>1.36106700784997</v>
      </c>
      <c r="AB78" s="33">
        <v>211.37490014829001</v>
      </c>
      <c r="AC78" s="33">
        <v>212.00354571146201</v>
      </c>
      <c r="AD78" s="33">
        <v>212.12474860453901</v>
      </c>
      <c r="AE78" s="15">
        <v>-8.7531137044034597E-4</v>
      </c>
      <c r="AF78" s="15">
        <v>2.09435338844049E-3</v>
      </c>
      <c r="AG78" s="15">
        <v>2.6658922270437401E-3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0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1.4334651213871299E-2</v>
      </c>
      <c r="BA78" s="28">
        <f t="shared" si="13"/>
        <v>-1.20746610203461E-2</v>
      </c>
      <c r="BB78" s="28">
        <f t="shared" si="20"/>
        <v>2.2599901935251993E-3</v>
      </c>
      <c r="BC78" s="29">
        <f t="shared" si="21"/>
        <v>1.0356847201944021E-2</v>
      </c>
      <c r="BE78" s="29">
        <f t="shared" si="22"/>
        <v>2.2599901935251993E-3</v>
      </c>
      <c r="BF78" s="29">
        <f t="shared" si="23"/>
        <v>1.0356847201944021E-2</v>
      </c>
      <c r="BH78" s="29"/>
    </row>
    <row r="79" spans="1:60" x14ac:dyDescent="0.25">
      <c r="A79" s="1">
        <v>46136</v>
      </c>
      <c r="B79" s="33">
        <v>160.22</v>
      </c>
      <c r="C79" s="33">
        <v>217.17</v>
      </c>
      <c r="D79" s="15">
        <v>2.7718030892745799E-2</v>
      </c>
      <c r="E79" s="15">
        <v>2.6171810775380399E-2</v>
      </c>
      <c r="F79" s="33">
        <v>0</v>
      </c>
      <c r="G79" s="33">
        <v>0.16750999999999999</v>
      </c>
      <c r="H79" s="33">
        <v>0</v>
      </c>
      <c r="I79" s="33">
        <v>6.9825999999999999E-2</v>
      </c>
      <c r="J79" s="33">
        <v>0</v>
      </c>
      <c r="K79" s="33">
        <v>0</v>
      </c>
      <c r="L79" s="33">
        <v>160.22</v>
      </c>
      <c r="M79" s="33">
        <v>217.17</v>
      </c>
      <c r="N79" s="34">
        <v>1.3554487579578001</v>
      </c>
      <c r="O79" s="34">
        <v>1.3563381687199101</v>
      </c>
      <c r="P79" s="34">
        <v>1.35917773340465</v>
      </c>
      <c r="Q79" s="34">
        <v>1.3609111438610699</v>
      </c>
      <c r="R79" s="33">
        <v>217.312501392304</v>
      </c>
      <c r="S79" s="33">
        <v>217.874842506954</v>
      </c>
      <c r="T79" s="33">
        <v>218.07015599772299</v>
      </c>
      <c r="U79" s="15">
        <v>6.55959201845409E-4</v>
      </c>
      <c r="V79" s="15">
        <v>3.2403240071159798E-3</v>
      </c>
      <c r="W79" s="15">
        <v>4.1363705474228097E-3</v>
      </c>
      <c r="X79" s="34">
        <v>1.3554487579578001</v>
      </c>
      <c r="Y79" s="34">
        <v>1.3563584455100699</v>
      </c>
      <c r="Z79" s="34">
        <v>1.35917773340465</v>
      </c>
      <c r="AA79" s="34">
        <v>1.3609111438610699</v>
      </c>
      <c r="AB79" s="33">
        <v>217.31575013962399</v>
      </c>
      <c r="AC79" s="33">
        <v>217.874842506954</v>
      </c>
      <c r="AD79" s="33">
        <v>218.07015599772299</v>
      </c>
      <c r="AE79" s="15">
        <v>6.7090874692473702E-4</v>
      </c>
      <c r="AF79" s="15">
        <v>3.2403240071159798E-3</v>
      </c>
      <c r="AG79" s="15">
        <v>4.1363705474228097E-3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1</v>
      </c>
      <c r="AV79">
        <f t="shared" si="11"/>
        <v>0</v>
      </c>
      <c r="AW79">
        <f t="shared" si="18"/>
        <v>1</v>
      </c>
      <c r="AX79">
        <f t="shared" si="5"/>
        <v>1</v>
      </c>
      <c r="AY79">
        <f t="shared" si="19"/>
        <v>1</v>
      </c>
      <c r="AZ79" s="28">
        <f t="shared" si="12"/>
        <v>-2.7718030892745799E-2</v>
      </c>
      <c r="BA79" s="28">
        <f t="shared" si="13"/>
        <v>2.6171810775380399E-2</v>
      </c>
      <c r="BB79" s="28">
        <f t="shared" si="20"/>
        <v>-1.5462201173653996E-3</v>
      </c>
      <c r="BC79" s="29">
        <f t="shared" si="21"/>
        <v>8.8106270845786216E-3</v>
      </c>
      <c r="BE79" s="29">
        <f t="shared" si="22"/>
        <v>-1.5462201173653996E-3</v>
      </c>
      <c r="BF79" s="29">
        <f t="shared" si="23"/>
        <v>8.8106270845786216E-3</v>
      </c>
      <c r="BH79" s="29"/>
    </row>
    <row r="80" spans="1:60" x14ac:dyDescent="0.25">
      <c r="A80" s="1">
        <v>46139</v>
      </c>
      <c r="B80" s="33">
        <v>160.57</v>
      </c>
      <c r="C80" s="33">
        <v>218.42</v>
      </c>
      <c r="D80" s="15">
        <v>2.1821137746224498E-3</v>
      </c>
      <c r="E80" s="15">
        <v>5.73935779642268E-3</v>
      </c>
      <c r="F80" s="33">
        <v>0</v>
      </c>
      <c r="G80" s="33">
        <v>0.16750999999999999</v>
      </c>
      <c r="H80" s="33">
        <v>0</v>
      </c>
      <c r="I80" s="33">
        <v>6.9825999999999999E-2</v>
      </c>
      <c r="J80" s="33">
        <v>0</v>
      </c>
      <c r="K80" s="33">
        <v>0</v>
      </c>
      <c r="L80" s="33">
        <v>160.57</v>
      </c>
      <c r="M80" s="33">
        <v>218.42</v>
      </c>
      <c r="N80" s="34">
        <v>1.36027900604097</v>
      </c>
      <c r="O80" s="34">
        <v>1.3563381687199101</v>
      </c>
      <c r="P80" s="34">
        <v>1.35926716824403</v>
      </c>
      <c r="Q80" s="34">
        <v>1.3611564673158301</v>
      </c>
      <c r="R80" s="33">
        <v>217.78721975135599</v>
      </c>
      <c r="S80" s="33">
        <v>218.24316865278399</v>
      </c>
      <c r="T80" s="33">
        <v>218.52150236977201</v>
      </c>
      <c r="U80" s="15">
        <v>-2.90128481995458E-3</v>
      </c>
      <c r="V80" s="15">
        <v>-8.0992109972131499E-4</v>
      </c>
      <c r="W80" s="15">
        <v>4.64603939190984E-4</v>
      </c>
      <c r="X80" s="34">
        <v>1.36027900604097</v>
      </c>
      <c r="Y80" s="34">
        <v>1.3563584455100699</v>
      </c>
      <c r="Z80" s="34">
        <v>1.35926716824403</v>
      </c>
      <c r="AA80" s="34">
        <v>1.3611564673158301</v>
      </c>
      <c r="AB80" s="33">
        <v>217.79047559555201</v>
      </c>
      <c r="AC80" s="33">
        <v>218.24316865278399</v>
      </c>
      <c r="AD80" s="33">
        <v>218.52150236977201</v>
      </c>
      <c r="AE80" s="15">
        <v>-2.8863352748751199E-3</v>
      </c>
      <c r="AF80" s="15">
        <v>-8.0992109972153703E-4</v>
      </c>
      <c r="AG80" s="15">
        <v>4.6460393919076201E-4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1</v>
      </c>
      <c r="AX80">
        <f t="shared" si="5"/>
        <v>1</v>
      </c>
      <c r="AY80">
        <f t="shared" si="19"/>
        <v>1</v>
      </c>
      <c r="AZ80" s="28">
        <f t="shared" si="12"/>
        <v>-2.1821137746224498E-3</v>
      </c>
      <c r="BA80" s="28">
        <f t="shared" si="13"/>
        <v>5.73935779642268E-3</v>
      </c>
      <c r="BB80" s="28">
        <f t="shared" si="20"/>
        <v>3.5572440218002302E-3</v>
      </c>
      <c r="BC80" s="29">
        <f t="shared" si="21"/>
        <v>1.2367871106378853E-2</v>
      </c>
      <c r="BE80" s="29">
        <f t="shared" si="22"/>
        <v>3.5572440218002302E-3</v>
      </c>
      <c r="BF80" s="29">
        <f t="shared" si="23"/>
        <v>1.2367871106378853E-2</v>
      </c>
      <c r="BH80" s="29"/>
    </row>
    <row r="81" spans="1:60" x14ac:dyDescent="0.25">
      <c r="A81" s="1">
        <v>46140</v>
      </c>
      <c r="B81" s="33">
        <v>157.85</v>
      </c>
      <c r="C81" s="33">
        <v>215.31</v>
      </c>
      <c r="D81" s="15">
        <v>-1.70847695575926E-2</v>
      </c>
      <c r="E81" s="15">
        <v>-1.4340964659492E-2</v>
      </c>
      <c r="F81" s="33">
        <v>0</v>
      </c>
      <c r="G81" s="33">
        <v>0.16750999999999999</v>
      </c>
      <c r="H81" s="33">
        <v>0</v>
      </c>
      <c r="I81" s="33">
        <v>6.9825999999999999E-2</v>
      </c>
      <c r="J81" s="33">
        <v>0</v>
      </c>
      <c r="K81" s="33">
        <v>0</v>
      </c>
      <c r="L81" s="33">
        <v>157.85</v>
      </c>
      <c r="M81" s="33">
        <v>215.31</v>
      </c>
      <c r="N81" s="34">
        <v>1.3640164713335401</v>
      </c>
      <c r="O81" s="34">
        <v>1.3563381687199101</v>
      </c>
      <c r="P81" s="34">
        <v>1.35924188554096</v>
      </c>
      <c r="Q81" s="34">
        <v>1.36130631049035</v>
      </c>
      <c r="R81" s="33">
        <v>214.09797993243799</v>
      </c>
      <c r="S81" s="33">
        <v>214.56032250732</v>
      </c>
      <c r="T81" s="33">
        <v>214.85854836580401</v>
      </c>
      <c r="U81" s="15">
        <v>-5.6450897180551698E-3</v>
      </c>
      <c r="V81" s="15">
        <v>-3.4879274676684899E-3</v>
      </c>
      <c r="W81" s="15">
        <v>-2.09895308085158E-3</v>
      </c>
      <c r="X81" s="34">
        <v>1.3640164713335401</v>
      </c>
      <c r="Y81" s="34">
        <v>1.3563584455100699</v>
      </c>
      <c r="Z81" s="34">
        <v>1.35924188554096</v>
      </c>
      <c r="AA81" s="34">
        <v>1.36130631049035</v>
      </c>
      <c r="AB81" s="33">
        <v>214.101180623765</v>
      </c>
      <c r="AC81" s="33">
        <v>214.56032250732</v>
      </c>
      <c r="AD81" s="33">
        <v>214.85854836580401</v>
      </c>
      <c r="AE81" s="15">
        <v>-5.6301401729758399E-3</v>
      </c>
      <c r="AF81" s="15">
        <v>-3.48792746766827E-3</v>
      </c>
      <c r="AG81" s="15">
        <v>-2.0989530808516901E-3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1.2367871106378853E-2</v>
      </c>
      <c r="BE81" s="29">
        <f t="shared" si="22"/>
        <v>0</v>
      </c>
      <c r="BF81" s="29">
        <f t="shared" si="23"/>
        <v>1.2367871106378853E-2</v>
      </c>
      <c r="BH81" s="29"/>
    </row>
    <row r="82" spans="1:60" x14ac:dyDescent="0.25">
      <c r="A82" s="1">
        <v>46141</v>
      </c>
      <c r="B82" s="33">
        <v>159.11000000000001</v>
      </c>
      <c r="C82" s="33">
        <v>215.94</v>
      </c>
      <c r="D82" s="15">
        <v>7.9505719157645493E-3</v>
      </c>
      <c r="E82" s="15">
        <v>2.9217412089041599E-3</v>
      </c>
      <c r="F82" s="33">
        <v>0</v>
      </c>
      <c r="G82" s="33">
        <v>0.16750999999999999</v>
      </c>
      <c r="H82" s="33">
        <v>0</v>
      </c>
      <c r="I82" s="33">
        <v>6.9825999999999999E-2</v>
      </c>
      <c r="J82" s="33">
        <v>0</v>
      </c>
      <c r="K82" s="33">
        <v>0</v>
      </c>
      <c r="L82" s="33">
        <v>159.11000000000001</v>
      </c>
      <c r="M82" s="33">
        <v>215.94</v>
      </c>
      <c r="N82" s="34">
        <v>1.3571742819432999</v>
      </c>
      <c r="O82" s="34">
        <v>1.3563381687199101</v>
      </c>
      <c r="P82" s="34">
        <v>1.35841240754767</v>
      </c>
      <c r="Q82" s="34">
        <v>1.36091069802619</v>
      </c>
      <c r="R82" s="33">
        <v>215.80696602502499</v>
      </c>
      <c r="S82" s="33">
        <v>216.26897640842299</v>
      </c>
      <c r="T82" s="33">
        <v>216.59744706212001</v>
      </c>
      <c r="U82" s="15">
        <v>-6.1625901119472404E-4</v>
      </c>
      <c r="V82" s="15">
        <v>1.52230282067864E-3</v>
      </c>
      <c r="W82" s="15">
        <v>3.0399567616306101E-3</v>
      </c>
      <c r="X82" s="34">
        <v>1.3571742819432999</v>
      </c>
      <c r="Y82" s="34">
        <v>1.3563584455100699</v>
      </c>
      <c r="Z82" s="34">
        <v>1.35841240754767</v>
      </c>
      <c r="AA82" s="34">
        <v>1.36091069802619</v>
      </c>
      <c r="AB82" s="33">
        <v>215.81019226510799</v>
      </c>
      <c r="AC82" s="33">
        <v>216.26897640842299</v>
      </c>
      <c r="AD82" s="33">
        <v>216.59744706212001</v>
      </c>
      <c r="AE82" s="15">
        <v>-6.0130946611533205E-4</v>
      </c>
      <c r="AF82" s="15">
        <v>1.52230282067864E-3</v>
      </c>
      <c r="AG82" s="15">
        <v>3.0399567616306101E-3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1</v>
      </c>
      <c r="AV82">
        <f t="shared" si="11"/>
        <v>0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1.2367871106378853E-2</v>
      </c>
      <c r="BE82" s="29">
        <f t="shared" si="22"/>
        <v>0</v>
      </c>
      <c r="BF82" s="29">
        <f t="shared" si="23"/>
        <v>1.2367871106378853E-2</v>
      </c>
      <c r="BH82" s="29"/>
    </row>
    <row r="83" spans="1:60" x14ac:dyDescent="0.25">
      <c r="A83" s="1">
        <v>46142</v>
      </c>
      <c r="B83" s="33">
        <v>159.5</v>
      </c>
      <c r="C83" s="33">
        <v>218.11</v>
      </c>
      <c r="D83" s="15">
        <v>2.4481353051339898E-3</v>
      </c>
      <c r="E83" s="15">
        <v>9.9989313647667905E-3</v>
      </c>
      <c r="F83" s="33">
        <v>0</v>
      </c>
      <c r="G83" s="33">
        <v>0.16750999999999999</v>
      </c>
      <c r="H83" s="33">
        <v>0</v>
      </c>
      <c r="I83" s="33">
        <v>6.9825999999999999E-2</v>
      </c>
      <c r="J83" s="33">
        <v>0</v>
      </c>
      <c r="K83" s="33">
        <v>0</v>
      </c>
      <c r="L83" s="33">
        <v>159.5</v>
      </c>
      <c r="M83" s="33">
        <v>218.11</v>
      </c>
      <c r="N83" s="34">
        <v>1.36746081504702</v>
      </c>
      <c r="O83" s="34">
        <v>1.3563381687199101</v>
      </c>
      <c r="P83" s="34">
        <v>1.3592816307442599</v>
      </c>
      <c r="Q83" s="34">
        <v>1.3609344688949101</v>
      </c>
      <c r="R83" s="33">
        <v>216.335937910826</v>
      </c>
      <c r="S83" s="33">
        <v>216.666779003854</v>
      </c>
      <c r="T83" s="33">
        <v>217.065256335177</v>
      </c>
      <c r="U83" s="15">
        <v>-8.1670550708275898E-3</v>
      </c>
      <c r="V83" s="15">
        <v>-6.63892998299537E-3</v>
      </c>
      <c r="W83" s="15">
        <v>-4.8014939120217997E-3</v>
      </c>
      <c r="X83" s="34">
        <v>1.36746081504702</v>
      </c>
      <c r="Y83" s="34">
        <v>1.3563584455100699</v>
      </c>
      <c r="Z83" s="34">
        <v>1.3592816307442599</v>
      </c>
      <c r="AA83" s="34">
        <v>1.3609344688949101</v>
      </c>
      <c r="AB83" s="33">
        <v>216.339172058857</v>
      </c>
      <c r="AC83" s="33">
        <v>216.666779003854</v>
      </c>
      <c r="AD83" s="33">
        <v>217.065256335177</v>
      </c>
      <c r="AE83" s="15">
        <v>-8.1521055257480698E-3</v>
      </c>
      <c r="AF83" s="15">
        <v>-6.6389299829951497E-3</v>
      </c>
      <c r="AG83" s="15">
        <v>-4.8014939120219098E-3</v>
      </c>
      <c r="AI83" s="12"/>
      <c r="AJ83">
        <f t="shared" si="6"/>
        <v>1</v>
      </c>
      <c r="AK83">
        <f t="shared" si="7"/>
        <v>0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1</v>
      </c>
      <c r="AW83">
        <f t="shared" si="18"/>
        <v>1</v>
      </c>
      <c r="AX83">
        <f t="shared" si="5"/>
        <v>1</v>
      </c>
      <c r="AY83">
        <f t="shared" si="19"/>
        <v>1</v>
      </c>
      <c r="AZ83" s="28">
        <f t="shared" si="12"/>
        <v>-2.4481353051339898E-3</v>
      </c>
      <c r="BA83" s="28">
        <f t="shared" si="13"/>
        <v>9.9989313647667905E-3</v>
      </c>
      <c r="BB83" s="28">
        <f t="shared" si="20"/>
        <v>7.5507960596328007E-3</v>
      </c>
      <c r="BC83" s="29">
        <f t="shared" si="21"/>
        <v>1.9918667166011653E-2</v>
      </c>
      <c r="BE83" s="29">
        <f t="shared" si="22"/>
        <v>7.5507960596328007E-3</v>
      </c>
      <c r="BF83" s="29">
        <f t="shared" si="23"/>
        <v>1.9918667166011653E-2</v>
      </c>
      <c r="BH83" s="29"/>
    </row>
    <row r="84" spans="1:60" x14ac:dyDescent="0.25">
      <c r="A84" s="1">
        <v>46143</v>
      </c>
      <c r="B84" s="33">
        <v>161.87</v>
      </c>
      <c r="C84" s="33">
        <v>221.01</v>
      </c>
      <c r="D84" s="15">
        <v>1.4749621720969899E-2</v>
      </c>
      <c r="E84" s="15">
        <v>1.32084266790707E-2</v>
      </c>
      <c r="F84" s="33">
        <v>0</v>
      </c>
      <c r="G84" s="33">
        <v>0.16750999999999999</v>
      </c>
      <c r="H84" s="33">
        <v>0</v>
      </c>
      <c r="I84" s="33">
        <v>6.9825999999999999E-2</v>
      </c>
      <c r="J84" s="33">
        <v>0</v>
      </c>
      <c r="K84" s="33">
        <v>0</v>
      </c>
      <c r="L84" s="33">
        <v>161.87</v>
      </c>
      <c r="M84" s="33">
        <v>221.01</v>
      </c>
      <c r="N84" s="34">
        <v>1.3653549144375099</v>
      </c>
      <c r="O84" s="34">
        <v>1.3563381687199101</v>
      </c>
      <c r="P84" s="34">
        <v>1.35971734894538</v>
      </c>
      <c r="Q84" s="34">
        <v>1.36104279112977</v>
      </c>
      <c r="R84" s="33">
        <v>219.55045937069201</v>
      </c>
      <c r="S84" s="33">
        <v>220.026917568573</v>
      </c>
      <c r="T84" s="33">
        <v>220.29446248002</v>
      </c>
      <c r="U84" s="15">
        <v>-6.6258600289283301E-3</v>
      </c>
      <c r="V84" s="15">
        <v>-4.4580579105127699E-3</v>
      </c>
      <c r="W84" s="15">
        <v>-3.2428321390869401E-3</v>
      </c>
      <c r="X84" s="34">
        <v>1.3653549144375099</v>
      </c>
      <c r="Y84" s="34">
        <v>1.3563584455100699</v>
      </c>
      <c r="Z84" s="34">
        <v>1.35971734894538</v>
      </c>
      <c r="AA84" s="34">
        <v>1.36104279112977</v>
      </c>
      <c r="AB84" s="33">
        <v>219.55374157471499</v>
      </c>
      <c r="AC84" s="33">
        <v>220.026917568573</v>
      </c>
      <c r="AD84" s="33">
        <v>220.29446248002</v>
      </c>
      <c r="AE84" s="15">
        <v>-6.6109104838489698E-3</v>
      </c>
      <c r="AF84" s="15">
        <v>-4.4580579105127699E-3</v>
      </c>
      <c r="AG84" s="15">
        <v>-3.2428321390869401E-3</v>
      </c>
      <c r="AI84" s="12"/>
      <c r="AJ84">
        <f t="shared" si="6"/>
        <v>0</v>
      </c>
      <c r="AK84">
        <f t="shared" si="7"/>
        <v>0</v>
      </c>
      <c r="AL84">
        <f t="shared" si="14"/>
        <v>1</v>
      </c>
      <c r="AM84">
        <f t="shared" si="4"/>
        <v>1</v>
      </c>
      <c r="AN84">
        <f t="shared" si="15"/>
        <v>1</v>
      </c>
      <c r="AO84" s="28">
        <f t="shared" si="8"/>
        <v>1.4749621720969899E-2</v>
      </c>
      <c r="AP84" s="28">
        <f t="shared" si="9"/>
        <v>-1.32084266790707E-2</v>
      </c>
      <c r="AQ84" s="28">
        <f t="shared" si="16"/>
        <v>1.5411950418991998E-3</v>
      </c>
      <c r="AR84" s="29">
        <f t="shared" si="17"/>
        <v>1.5411950418991998E-3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1.9918667166011653E-2</v>
      </c>
      <c r="BE84" s="29">
        <f t="shared" si="22"/>
        <v>1.5411950418991998E-3</v>
      </c>
      <c r="BF84" s="29">
        <f t="shared" si="23"/>
        <v>2.1459862207910851E-2</v>
      </c>
      <c r="BH84" s="29"/>
    </row>
    <row r="85" spans="1:60" x14ac:dyDescent="0.25">
      <c r="A85" s="1">
        <v>46146</v>
      </c>
      <c r="B85" s="33">
        <v>162.05000000000001</v>
      </c>
      <c r="C85" s="33">
        <v>221.03</v>
      </c>
      <c r="D85" s="15">
        <v>1.11138564168736E-3</v>
      </c>
      <c r="E85" s="15">
        <v>9.0489548518962206E-5</v>
      </c>
      <c r="F85" s="33">
        <v>0</v>
      </c>
      <c r="G85" s="33">
        <v>0.16750999999999999</v>
      </c>
      <c r="H85" s="33">
        <v>0</v>
      </c>
      <c r="I85" s="33">
        <v>6.9825999999999999E-2</v>
      </c>
      <c r="J85" s="33">
        <v>0</v>
      </c>
      <c r="K85" s="33">
        <v>0</v>
      </c>
      <c r="L85" s="33">
        <v>162.05000000000001</v>
      </c>
      <c r="M85" s="33">
        <v>221.03</v>
      </c>
      <c r="N85" s="34">
        <v>1.3639617402036399</v>
      </c>
      <c r="O85" s="34">
        <v>1.3563381687199101</v>
      </c>
      <c r="P85" s="34">
        <v>1.3599657486386201</v>
      </c>
      <c r="Q85" s="34">
        <v>1.3610474288052501</v>
      </c>
      <c r="R85" s="33">
        <v>219.794600241062</v>
      </c>
      <c r="S85" s="33">
        <v>220.34219639659801</v>
      </c>
      <c r="T85" s="33">
        <v>220.556984302579</v>
      </c>
      <c r="U85" s="15">
        <v>-5.60496393576E-3</v>
      </c>
      <c r="V85" s="15">
        <v>-3.1166628336338101E-3</v>
      </c>
      <c r="W85" s="15">
        <v>-2.1423452010555601E-3</v>
      </c>
      <c r="X85" s="34">
        <v>1.3639617402036399</v>
      </c>
      <c r="Y85" s="34">
        <v>1.3563584455100699</v>
      </c>
      <c r="Z85" s="34">
        <v>1.3599657486386201</v>
      </c>
      <c r="AA85" s="34">
        <v>1.3610474288052501</v>
      </c>
      <c r="AB85" s="33">
        <v>219.797886094907</v>
      </c>
      <c r="AC85" s="33">
        <v>220.34219639659801</v>
      </c>
      <c r="AD85" s="33">
        <v>220.556984302579</v>
      </c>
      <c r="AE85" s="15">
        <v>-5.5900143906804896E-3</v>
      </c>
      <c r="AF85" s="15">
        <v>-3.1166628336338101E-3</v>
      </c>
      <c r="AG85" s="15">
        <v>-2.1423452010555601E-3</v>
      </c>
      <c r="AI85" s="12"/>
      <c r="AJ85">
        <f t="shared" si="6"/>
        <v>0</v>
      </c>
      <c r="AK85">
        <f t="shared" si="7"/>
        <v>0</v>
      </c>
      <c r="AL85">
        <f t="shared" si="14"/>
        <v>1</v>
      </c>
      <c r="AM85">
        <f t="shared" ref="AM85:AM148" si="24">IF(F86+H86&gt;0,0,1)</f>
        <v>1</v>
      </c>
      <c r="AN85">
        <f t="shared" si="15"/>
        <v>1</v>
      </c>
      <c r="AO85" s="28">
        <f t="shared" si="8"/>
        <v>1.11138564168736E-3</v>
      </c>
      <c r="AP85" s="28">
        <f t="shared" si="9"/>
        <v>-9.0489548518962206E-5</v>
      </c>
      <c r="AQ85" s="28">
        <f t="shared" si="16"/>
        <v>1.0208960931683978E-3</v>
      </c>
      <c r="AR85" s="29">
        <f t="shared" si="17"/>
        <v>2.5620911350675976E-3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1.9918667166011653E-2</v>
      </c>
      <c r="BE85" s="29">
        <f t="shared" si="22"/>
        <v>1.0208960931683978E-3</v>
      </c>
      <c r="BF85" s="29">
        <f t="shared" si="23"/>
        <v>2.2480758301079248E-2</v>
      </c>
      <c r="BH85" s="29"/>
    </row>
    <row r="86" spans="1:60" x14ac:dyDescent="0.25">
      <c r="A86" s="1">
        <v>46147</v>
      </c>
      <c r="B86" s="33">
        <v>165.63</v>
      </c>
      <c r="C86" s="33">
        <v>225.18</v>
      </c>
      <c r="D86" s="15">
        <v>2.1851455376506498E-2</v>
      </c>
      <c r="E86" s="15">
        <v>1.8601643463633698E-2</v>
      </c>
      <c r="F86" s="33">
        <v>0</v>
      </c>
      <c r="G86" s="33">
        <v>0.16750999999999999</v>
      </c>
      <c r="H86" s="33">
        <v>0</v>
      </c>
      <c r="I86" s="33">
        <v>6.9825999999999999E-2</v>
      </c>
      <c r="J86" s="33">
        <v>0</v>
      </c>
      <c r="K86" s="33">
        <v>0</v>
      </c>
      <c r="L86" s="33">
        <v>165.63</v>
      </c>
      <c r="M86" s="33">
        <v>225.18</v>
      </c>
      <c r="N86" s="34">
        <v>1.3595363158848</v>
      </c>
      <c r="O86" s="34">
        <v>1.3563381687199101</v>
      </c>
      <c r="P86" s="34">
        <v>1.3605260128471801</v>
      </c>
      <c r="Q86" s="34">
        <v>1.3608768240945099</v>
      </c>
      <c r="R86" s="33">
        <v>224.65029088507899</v>
      </c>
      <c r="S86" s="33">
        <v>225.251126947015</v>
      </c>
      <c r="T86" s="33">
        <v>225.43028563301399</v>
      </c>
      <c r="U86" s="15">
        <v>-2.3551520228872799E-3</v>
      </c>
      <c r="V86" s="15">
        <v>3.1581719535391997E-4</v>
      </c>
      <c r="W86" s="15">
        <v>1.11087414883014E-3</v>
      </c>
      <c r="X86" s="34">
        <v>1.3595363158848</v>
      </c>
      <c r="Y86" s="34">
        <v>1.3563584455100699</v>
      </c>
      <c r="Z86" s="34">
        <v>1.3605260128471801</v>
      </c>
      <c r="AA86" s="34">
        <v>1.3608768240945099</v>
      </c>
      <c r="AB86" s="33">
        <v>224.653649329833</v>
      </c>
      <c r="AC86" s="33">
        <v>225.251126947015</v>
      </c>
      <c r="AD86" s="33">
        <v>225.43028563301399</v>
      </c>
      <c r="AE86" s="15">
        <v>-2.3402024778077899E-3</v>
      </c>
      <c r="AF86" s="15">
        <v>3.1581719535414202E-4</v>
      </c>
      <c r="AG86" s="15">
        <v>1.11087414883014E-3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1</v>
      </c>
      <c r="AM86">
        <f t="shared" si="24"/>
        <v>1</v>
      </c>
      <c r="AN86">
        <f t="shared" si="15"/>
        <v>1</v>
      </c>
      <c r="AO86" s="28">
        <f t="shared" ref="AO86:AO149" si="28">AN86*D86</f>
        <v>2.1851455376506498E-2</v>
      </c>
      <c r="AP86" s="28">
        <f t="shared" ref="AP86:AP149" si="29">-AN86*$E86</f>
        <v>-1.8601643463633698E-2</v>
      </c>
      <c r="AQ86" s="28">
        <f t="shared" si="16"/>
        <v>3.2498119128727999E-3</v>
      </c>
      <c r="AR86" s="29">
        <f t="shared" si="17"/>
        <v>5.8119030479403975E-3</v>
      </c>
      <c r="AT86" s="12"/>
      <c r="AU86">
        <f t="shared" ref="AU86:AU149" si="30">IF($AG86&gt;AT$21,1,0)</f>
        <v>0</v>
      </c>
      <c r="AV86">
        <f t="shared" ref="AV86:AV149" si="31">IF($AG86&lt;AT$22,1,0)</f>
        <v>0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1.9918667166011653E-2</v>
      </c>
      <c r="BE86" s="29">
        <f t="shared" si="22"/>
        <v>3.2498119128727999E-3</v>
      </c>
      <c r="BF86" s="29">
        <f t="shared" si="23"/>
        <v>2.5730570213952048E-2</v>
      </c>
      <c r="BH86" s="29"/>
    </row>
    <row r="87" spans="1:60" x14ac:dyDescent="0.25">
      <c r="A87" s="1">
        <v>46148</v>
      </c>
      <c r="B87" s="33">
        <v>170.03</v>
      </c>
      <c r="C87" s="33">
        <v>232.12</v>
      </c>
      <c r="D87" s="15">
        <v>2.6218507105331398E-2</v>
      </c>
      <c r="E87" s="15">
        <v>3.0354396947422899E-2</v>
      </c>
      <c r="F87" s="33">
        <v>0</v>
      </c>
      <c r="G87" s="33">
        <v>0.16750999999999999</v>
      </c>
      <c r="H87" s="33">
        <v>0</v>
      </c>
      <c r="I87" s="33">
        <v>6.9825999999999999E-2</v>
      </c>
      <c r="J87" s="33">
        <v>0</v>
      </c>
      <c r="K87" s="33">
        <v>0</v>
      </c>
      <c r="L87" s="33">
        <v>170.03</v>
      </c>
      <c r="M87" s="33">
        <v>232.12</v>
      </c>
      <c r="N87" s="34">
        <v>1.3651708522025501</v>
      </c>
      <c r="O87" s="34">
        <v>1.3563381687199101</v>
      </c>
      <c r="P87" s="34">
        <v>1.3615949356283199</v>
      </c>
      <c r="Q87" s="34">
        <v>1.3609936488699299</v>
      </c>
      <c r="R87" s="33">
        <v>230.618178827447</v>
      </c>
      <c r="S87" s="33">
        <v>231.330237964406</v>
      </c>
      <c r="T87" s="33">
        <v>231.38988640079</v>
      </c>
      <c r="U87" s="15">
        <v>-6.49104186497876E-3</v>
      </c>
      <c r="V87" s="15">
        <v>-3.4081881305543702E-3</v>
      </c>
      <c r="W87" s="15">
        <v>-3.15037165111788E-3</v>
      </c>
      <c r="X87" s="34">
        <v>1.3651708522025501</v>
      </c>
      <c r="Y87" s="34">
        <v>1.3563584455100699</v>
      </c>
      <c r="Z87" s="34">
        <v>1.3615949356283199</v>
      </c>
      <c r="AA87" s="34">
        <v>1.3609936488699299</v>
      </c>
      <c r="AB87" s="33">
        <v>230.621626490078</v>
      </c>
      <c r="AC87" s="33">
        <v>231.330237964406</v>
      </c>
      <c r="AD87" s="33">
        <v>231.38988640079</v>
      </c>
      <c r="AE87" s="15">
        <v>-6.4760923198992704E-3</v>
      </c>
      <c r="AF87" s="15">
        <v>-3.4081881305543702E-3</v>
      </c>
      <c r="AG87" s="15">
        <v>-3.15037165111788E-3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5.8119030479403975E-3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1.9918667166011653E-2</v>
      </c>
      <c r="BE87" s="29">
        <f t="shared" ref="BE87:BE150" si="42">AQ87+BB87</f>
        <v>0</v>
      </c>
      <c r="BF87" s="29">
        <f t="shared" ref="BF87:BF150" si="43">BF86+BE87</f>
        <v>2.5730570213952048E-2</v>
      </c>
      <c r="BH87" s="29"/>
    </row>
    <row r="88" spans="1:60" x14ac:dyDescent="0.25">
      <c r="A88" s="1">
        <v>46149</v>
      </c>
      <c r="B88" s="33">
        <v>169.69</v>
      </c>
      <c r="C88" s="33">
        <v>232.26</v>
      </c>
      <c r="D88" s="15">
        <v>-2.0016490846597799E-3</v>
      </c>
      <c r="E88" s="15">
        <v>6.0295449520412396E-4</v>
      </c>
      <c r="F88" s="33">
        <v>0</v>
      </c>
      <c r="G88" s="33">
        <v>0.16750999999999999</v>
      </c>
      <c r="H88" s="33">
        <v>0</v>
      </c>
      <c r="I88" s="33">
        <v>6.9825999999999999E-2</v>
      </c>
      <c r="J88" s="33">
        <v>0</v>
      </c>
      <c r="K88" s="33">
        <v>0</v>
      </c>
      <c r="L88" s="33">
        <v>169.69</v>
      </c>
      <c r="M88" s="33">
        <v>232.26</v>
      </c>
      <c r="N88" s="34">
        <v>1.36873121574636</v>
      </c>
      <c r="O88" s="34">
        <v>1.3563381687199101</v>
      </c>
      <c r="P88" s="34">
        <v>1.36271343707975</v>
      </c>
      <c r="Q88" s="34">
        <v>1.3612807058915</v>
      </c>
      <c r="R88" s="33">
        <v>230.157023850082</v>
      </c>
      <c r="S88" s="33">
        <v>231.04904462676899</v>
      </c>
      <c r="T88" s="33">
        <v>230.94701227673801</v>
      </c>
      <c r="U88" s="15">
        <v>-9.0956454448425997E-3</v>
      </c>
      <c r="V88" s="15">
        <v>-5.2274314297307304E-3</v>
      </c>
      <c r="W88" s="15">
        <v>-5.6691336917534503E-3</v>
      </c>
      <c r="X88" s="34">
        <v>1.36873121574636</v>
      </c>
      <c r="Y88" s="34">
        <v>1.3563584455100699</v>
      </c>
      <c r="Z88" s="34">
        <v>1.36271343707975</v>
      </c>
      <c r="AA88" s="34">
        <v>1.3612807058915</v>
      </c>
      <c r="AB88" s="33">
        <v>230.16046461860401</v>
      </c>
      <c r="AC88" s="33">
        <v>231.04904462676899</v>
      </c>
      <c r="AD88" s="33">
        <v>230.94701227673801</v>
      </c>
      <c r="AE88" s="15">
        <v>-9.0806958997632099E-3</v>
      </c>
      <c r="AF88" s="15">
        <v>-5.2274314297307304E-3</v>
      </c>
      <c r="AG88" s="15">
        <v>-5.6691336917534503E-3</v>
      </c>
      <c r="AI88" s="12"/>
      <c r="AJ88">
        <f t="shared" si="26"/>
        <v>1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5.8119030479403975E-3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1.9918667166011653E-2</v>
      </c>
      <c r="BE88" s="29">
        <f t="shared" si="42"/>
        <v>0</v>
      </c>
      <c r="BF88" s="29">
        <f t="shared" si="43"/>
        <v>2.5730570213952048E-2</v>
      </c>
      <c r="BH88" s="29"/>
    </row>
    <row r="89" spans="1:60" x14ac:dyDescent="0.25">
      <c r="A89" s="1">
        <v>46150</v>
      </c>
      <c r="B89" s="33">
        <v>175.52</v>
      </c>
      <c r="C89" s="33">
        <v>238.64</v>
      </c>
      <c r="D89" s="15">
        <v>3.3779753542185403E-2</v>
      </c>
      <c r="E89" s="15">
        <v>2.7098706388881299E-2</v>
      </c>
      <c r="F89" s="33">
        <v>0</v>
      </c>
      <c r="G89" s="33">
        <v>0.16750999999999999</v>
      </c>
      <c r="H89" s="33">
        <v>0</v>
      </c>
      <c r="I89" s="33">
        <v>6.9825999999999999E-2</v>
      </c>
      <c r="J89" s="33">
        <v>0</v>
      </c>
      <c r="K89" s="33">
        <v>0</v>
      </c>
      <c r="L89" s="33">
        <v>175.52</v>
      </c>
      <c r="M89" s="33">
        <v>238.64</v>
      </c>
      <c r="N89" s="34">
        <v>1.3596171376481301</v>
      </c>
      <c r="O89" s="34">
        <v>1.3563381687199101</v>
      </c>
      <c r="P89" s="34">
        <v>1.3631302750487799</v>
      </c>
      <c r="Q89" s="34">
        <v>1.3611540042267101</v>
      </c>
      <c r="R89" s="33">
        <v>238.06447537371901</v>
      </c>
      <c r="S89" s="33">
        <v>239.18346247623799</v>
      </c>
      <c r="T89" s="33">
        <v>238.93198949807601</v>
      </c>
      <c r="U89" s="15">
        <v>-2.41459829153849E-3</v>
      </c>
      <c r="V89" s="15">
        <v>2.27474267490058E-3</v>
      </c>
      <c r="W89" s="15">
        <v>1.2228084597940699E-3</v>
      </c>
      <c r="X89" s="34">
        <v>1.3596171376481301</v>
      </c>
      <c r="Y89" s="34">
        <v>1.3563584455100699</v>
      </c>
      <c r="Z89" s="34">
        <v>1.3631302750487799</v>
      </c>
      <c r="AA89" s="34">
        <v>1.3611540042267101</v>
      </c>
      <c r="AB89" s="33">
        <v>238.06803435592801</v>
      </c>
      <c r="AC89" s="33">
        <v>239.18346247623799</v>
      </c>
      <c r="AD89" s="33">
        <v>238.93198949807601</v>
      </c>
      <c r="AE89" s="15">
        <v>-2.39964874645897E-3</v>
      </c>
      <c r="AF89" s="15">
        <v>2.27474267490058E-3</v>
      </c>
      <c r="AG89" s="15">
        <v>1.2228084597940699E-3</v>
      </c>
      <c r="AI89" s="12"/>
      <c r="AJ89">
        <f t="shared" si="26"/>
        <v>0</v>
      </c>
      <c r="AK89">
        <f t="shared" si="27"/>
        <v>1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3.3779753542185403E-2</v>
      </c>
      <c r="AP89" s="28">
        <f t="shared" si="29"/>
        <v>-2.7098706388881299E-2</v>
      </c>
      <c r="AQ89" s="28">
        <f t="shared" si="36"/>
        <v>6.6810471533041045E-3</v>
      </c>
      <c r="AR89" s="29">
        <f t="shared" si="37"/>
        <v>1.2492950201244503E-2</v>
      </c>
      <c r="AT89" s="12"/>
      <c r="AU89">
        <f t="shared" si="30"/>
        <v>0</v>
      </c>
      <c r="AV89">
        <f t="shared" si="31"/>
        <v>0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1.9918667166011653E-2</v>
      </c>
      <c r="BE89" s="29">
        <f t="shared" si="42"/>
        <v>6.6810471533041045E-3</v>
      </c>
      <c r="BF89" s="29">
        <f t="shared" si="43"/>
        <v>3.2411617367256153E-2</v>
      </c>
      <c r="BH89" s="29"/>
    </row>
    <row r="90" spans="1:60" x14ac:dyDescent="0.25">
      <c r="A90" s="1">
        <v>46153</v>
      </c>
      <c r="B90" s="33">
        <v>177.88</v>
      </c>
      <c r="C90" s="33">
        <v>240.04</v>
      </c>
      <c r="D90" s="15">
        <v>1.3356169115575601E-2</v>
      </c>
      <c r="E90" s="15">
        <v>5.8494359148189602E-3</v>
      </c>
      <c r="F90" s="33">
        <v>0</v>
      </c>
      <c r="G90" s="33">
        <v>0.16750999999999999</v>
      </c>
      <c r="H90" s="33">
        <v>0</v>
      </c>
      <c r="I90" s="33">
        <v>6.9825999999999999E-2</v>
      </c>
      <c r="J90" s="33">
        <v>0</v>
      </c>
      <c r="K90" s="33">
        <v>0</v>
      </c>
      <c r="L90" s="33">
        <v>177.88</v>
      </c>
      <c r="M90" s="33">
        <v>240.04</v>
      </c>
      <c r="N90" s="34">
        <v>1.3494490667865899</v>
      </c>
      <c r="O90" s="34">
        <v>1.3563381687199101</v>
      </c>
      <c r="P90" s="34">
        <v>1.3620472811233399</v>
      </c>
      <c r="Q90" s="34">
        <v>1.3606572246836901</v>
      </c>
      <c r="R90" s="33">
        <v>241.26543345189799</v>
      </c>
      <c r="S90" s="33">
        <v>242.47361332567701</v>
      </c>
      <c r="T90" s="33">
        <v>242.12207427184799</v>
      </c>
      <c r="U90" s="15">
        <v>5.0921349092179604E-3</v>
      </c>
      <c r="V90" s="15">
        <v>1.00873173077442E-2</v>
      </c>
      <c r="W90" s="15">
        <v>8.63646198859188E-3</v>
      </c>
      <c r="X90" s="34">
        <v>1.3494490667865899</v>
      </c>
      <c r="Y90" s="34">
        <v>1.3563584455100699</v>
      </c>
      <c r="Z90" s="34">
        <v>1.3620472811233399</v>
      </c>
      <c r="AA90" s="34">
        <v>1.3606572246836901</v>
      </c>
      <c r="AB90" s="33">
        <v>241.26904028733199</v>
      </c>
      <c r="AC90" s="33">
        <v>242.47361332567701</v>
      </c>
      <c r="AD90" s="33">
        <v>242.12207427184799</v>
      </c>
      <c r="AE90" s="15">
        <v>5.1070844542975497E-3</v>
      </c>
      <c r="AF90" s="15">
        <v>1.00873173077442E-2</v>
      </c>
      <c r="AG90" s="15">
        <v>8.6364619885921003E-3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1.2492950201244503E-2</v>
      </c>
      <c r="AT90" s="12"/>
      <c r="AU90">
        <f t="shared" si="30"/>
        <v>1</v>
      </c>
      <c r="AV90">
        <f t="shared" si="31"/>
        <v>0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1.9918667166011653E-2</v>
      </c>
      <c r="BE90" s="29">
        <f t="shared" si="42"/>
        <v>0</v>
      </c>
      <c r="BF90" s="29">
        <f t="shared" si="43"/>
        <v>3.2411617367256153E-2</v>
      </c>
      <c r="BH90" s="29"/>
    </row>
    <row r="91" spans="1:60" x14ac:dyDescent="0.25">
      <c r="A91" s="1">
        <v>46154</v>
      </c>
      <c r="B91" s="33">
        <v>175.2</v>
      </c>
      <c r="C91" s="33">
        <v>237.07</v>
      </c>
      <c r="D91" s="15">
        <v>-1.51809871402046E-2</v>
      </c>
      <c r="E91" s="15">
        <v>-1.2450119946171101E-2</v>
      </c>
      <c r="F91" s="33">
        <v>0</v>
      </c>
      <c r="G91" s="33">
        <v>0.16750999999999999</v>
      </c>
      <c r="H91" s="33">
        <v>0</v>
      </c>
      <c r="I91" s="33">
        <v>6.9825999999999999E-2</v>
      </c>
      <c r="J91" s="33">
        <v>0</v>
      </c>
      <c r="K91" s="33">
        <v>0</v>
      </c>
      <c r="L91" s="33">
        <v>175.2</v>
      </c>
      <c r="M91" s="33">
        <v>237.07</v>
      </c>
      <c r="N91" s="34">
        <v>1.35313926940639</v>
      </c>
      <c r="O91" s="34">
        <v>1.3563381687199101</v>
      </c>
      <c r="P91" s="34">
        <v>1.36095956093063</v>
      </c>
      <c r="Q91" s="34">
        <v>1.3601007232358</v>
      </c>
      <c r="R91" s="33">
        <v>237.63044715972899</v>
      </c>
      <c r="S91" s="33">
        <v>238.63068365281001</v>
      </c>
      <c r="T91" s="33">
        <v>238.38714576458199</v>
      </c>
      <c r="U91" s="15">
        <v>2.3612677151843898E-3</v>
      </c>
      <c r="V91" s="15">
        <v>6.56164393310253E-3</v>
      </c>
      <c r="W91" s="15">
        <v>5.5405587896608099E-3</v>
      </c>
      <c r="X91" s="34">
        <v>1.35313926940639</v>
      </c>
      <c r="Y91" s="34">
        <v>1.3563584455100699</v>
      </c>
      <c r="Z91" s="34">
        <v>1.36095956093063</v>
      </c>
      <c r="AA91" s="34">
        <v>1.3601007232358</v>
      </c>
      <c r="AB91" s="33">
        <v>237.63399965336501</v>
      </c>
      <c r="AC91" s="33">
        <v>238.63068365281001</v>
      </c>
      <c r="AD91" s="33">
        <v>238.38714576458199</v>
      </c>
      <c r="AE91" s="15">
        <v>2.3762172602639201E-3</v>
      </c>
      <c r="AF91" s="15">
        <v>6.5616439331023096E-3</v>
      </c>
      <c r="AG91" s="15">
        <v>5.5405587896608099E-3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1.2492950201244503E-2</v>
      </c>
      <c r="AT91" s="12"/>
      <c r="AU91">
        <f t="shared" si="30"/>
        <v>1</v>
      </c>
      <c r="AV91">
        <f t="shared" si="31"/>
        <v>0</v>
      </c>
      <c r="AW91">
        <f t="shared" si="38"/>
        <v>1</v>
      </c>
      <c r="AX91">
        <f t="shared" si="25"/>
        <v>1</v>
      </c>
      <c r="AY91">
        <f t="shared" si="39"/>
        <v>1</v>
      </c>
      <c r="AZ91" s="28">
        <f t="shared" si="32"/>
        <v>1.51809871402046E-2</v>
      </c>
      <c r="BA91" s="28">
        <f t="shared" si="33"/>
        <v>-1.2450119946171101E-2</v>
      </c>
      <c r="BB91" s="28">
        <f t="shared" si="40"/>
        <v>2.730867194033499E-3</v>
      </c>
      <c r="BC91" s="29">
        <f t="shared" si="41"/>
        <v>2.2649534360045152E-2</v>
      </c>
      <c r="BE91" s="29">
        <f t="shared" si="42"/>
        <v>2.730867194033499E-3</v>
      </c>
      <c r="BF91" s="29">
        <f t="shared" si="43"/>
        <v>3.5142484561289655E-2</v>
      </c>
      <c r="BH91" s="29"/>
    </row>
    <row r="92" spans="1:60" x14ac:dyDescent="0.25">
      <c r="A92" s="1">
        <v>46155</v>
      </c>
      <c r="B92" s="33">
        <v>176.85</v>
      </c>
      <c r="C92" s="33">
        <v>240.66</v>
      </c>
      <c r="D92" s="15">
        <v>9.3737371491985095E-3</v>
      </c>
      <c r="E92" s="15">
        <v>1.5029692834875499E-2</v>
      </c>
      <c r="F92" s="33">
        <v>0</v>
      </c>
      <c r="G92" s="33">
        <v>0.16750999999999999</v>
      </c>
      <c r="H92" s="33">
        <v>0</v>
      </c>
      <c r="I92" s="33">
        <v>6.9825999999999999E-2</v>
      </c>
      <c r="J92" s="33">
        <v>0</v>
      </c>
      <c r="K92" s="33">
        <v>0</v>
      </c>
      <c r="L92" s="33">
        <v>176.85</v>
      </c>
      <c r="M92" s="33">
        <v>240.66</v>
      </c>
      <c r="N92" s="34">
        <v>1.36081424936386</v>
      </c>
      <c r="O92" s="34">
        <v>1.3563381687199101</v>
      </c>
      <c r="P92" s="34">
        <v>1.3613235576726801</v>
      </c>
      <c r="Q92" s="34">
        <v>1.35986798261018</v>
      </c>
      <c r="R92" s="33">
        <v>239.868405138117</v>
      </c>
      <c r="S92" s="33">
        <v>240.68569835058199</v>
      </c>
      <c r="T92" s="33">
        <v>240.53381290425099</v>
      </c>
      <c r="U92" s="15">
        <v>-3.29468797049245E-3</v>
      </c>
      <c r="V92" s="15">
        <v>1.06777107159229E-4</v>
      </c>
      <c r="W92" s="15">
        <v>-5.2447515016713897E-4</v>
      </c>
      <c r="X92" s="34">
        <v>1.36081424936386</v>
      </c>
      <c r="Y92" s="34">
        <v>1.3563584455100699</v>
      </c>
      <c r="Z92" s="34">
        <v>1.3613235576726801</v>
      </c>
      <c r="AA92" s="34">
        <v>1.35986798261018</v>
      </c>
      <c r="AB92" s="33">
        <v>239.87199108845601</v>
      </c>
      <c r="AC92" s="33">
        <v>240.68569835058199</v>
      </c>
      <c r="AD92" s="33">
        <v>240.53381290425099</v>
      </c>
      <c r="AE92" s="15">
        <v>-3.2797384254130398E-3</v>
      </c>
      <c r="AF92" s="15">
        <v>1.06777107159229E-4</v>
      </c>
      <c r="AG92" s="15">
        <v>-5.2447515016713897E-4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1.2492950201244503E-2</v>
      </c>
      <c r="AT92" s="12"/>
      <c r="AU92">
        <f t="shared" si="30"/>
        <v>0</v>
      </c>
      <c r="AV92">
        <f t="shared" si="31"/>
        <v>1</v>
      </c>
      <c r="AW92">
        <f t="shared" si="38"/>
        <v>1</v>
      </c>
      <c r="AX92">
        <f t="shared" si="25"/>
        <v>1</v>
      </c>
      <c r="AY92">
        <f t="shared" si="39"/>
        <v>1</v>
      </c>
      <c r="AZ92" s="28">
        <f t="shared" si="32"/>
        <v>-9.3737371491985095E-3</v>
      </c>
      <c r="BA92" s="28">
        <f t="shared" si="33"/>
        <v>1.5029692834875499E-2</v>
      </c>
      <c r="BB92" s="28">
        <f t="shared" si="40"/>
        <v>5.6559556856769898E-3</v>
      </c>
      <c r="BC92" s="29">
        <f t="shared" si="41"/>
        <v>2.8305490045722144E-2</v>
      </c>
      <c r="BE92" s="29">
        <f t="shared" si="42"/>
        <v>5.6559556856769898E-3</v>
      </c>
      <c r="BF92" s="29">
        <f t="shared" si="43"/>
        <v>4.0798440246966647E-2</v>
      </c>
      <c r="BH92" s="29"/>
    </row>
    <row r="93" spans="1:60" x14ac:dyDescent="0.25">
      <c r="A93" s="1">
        <v>46156</v>
      </c>
      <c r="B93" s="33">
        <v>179.5</v>
      </c>
      <c r="C93" s="33">
        <v>243.06</v>
      </c>
      <c r="D93" s="15">
        <v>1.4873292276844001E-2</v>
      </c>
      <c r="E93" s="15">
        <v>9.9231774326377503E-3</v>
      </c>
      <c r="F93" s="33">
        <v>0</v>
      </c>
      <c r="G93" s="33">
        <v>0.16750999999999999</v>
      </c>
      <c r="H93" s="33">
        <v>0</v>
      </c>
      <c r="I93" s="33">
        <v>6.9825999999999999E-2</v>
      </c>
      <c r="J93" s="33">
        <v>0</v>
      </c>
      <c r="K93" s="33">
        <v>0</v>
      </c>
      <c r="L93" s="33">
        <v>179.5</v>
      </c>
      <c r="M93" s="33">
        <v>243.06</v>
      </c>
      <c r="N93" s="34">
        <v>1.35409470752089</v>
      </c>
      <c r="O93" s="34">
        <v>1.3563381687199101</v>
      </c>
      <c r="P93" s="34">
        <v>1.3599869469200701</v>
      </c>
      <c r="Q93" s="34">
        <v>1.35963428883216</v>
      </c>
      <c r="R93" s="33">
        <v>243.462701285224</v>
      </c>
      <c r="S93" s="33">
        <v>244.357578602247</v>
      </c>
      <c r="T93" s="33">
        <v>244.09630287852701</v>
      </c>
      <c r="U93" s="15">
        <v>1.65542687371375E-3</v>
      </c>
      <c r="V93" s="15">
        <v>5.3243121485797903E-3</v>
      </c>
      <c r="W93" s="15">
        <v>4.2545049117258702E-3</v>
      </c>
      <c r="X93" s="34">
        <v>1.35409470752089</v>
      </c>
      <c r="Y93" s="34">
        <v>1.3563584455100699</v>
      </c>
      <c r="Z93" s="34">
        <v>1.3599869469200701</v>
      </c>
      <c r="AA93" s="34">
        <v>1.35963428883216</v>
      </c>
      <c r="AB93" s="33">
        <v>243.466340969058</v>
      </c>
      <c r="AC93" s="33">
        <v>244.357578602247</v>
      </c>
      <c r="AD93" s="33">
        <v>244.09630287852701</v>
      </c>
      <c r="AE93" s="15">
        <v>1.67037641879314E-3</v>
      </c>
      <c r="AF93" s="15">
        <v>5.3243121485797903E-3</v>
      </c>
      <c r="AG93" s="15">
        <v>4.2545049117258702E-3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1.2492950201244503E-2</v>
      </c>
      <c r="AT93" s="12"/>
      <c r="AU93">
        <f t="shared" si="30"/>
        <v>1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2.8305490045722144E-2</v>
      </c>
      <c r="BE93" s="29">
        <f t="shared" si="42"/>
        <v>0</v>
      </c>
      <c r="BF93" s="29">
        <f t="shared" si="43"/>
        <v>4.0798440246966647E-2</v>
      </c>
      <c r="BH93" s="29"/>
    </row>
    <row r="94" spans="1:60" x14ac:dyDescent="0.25">
      <c r="A94" s="1">
        <v>46157</v>
      </c>
      <c r="B94" s="33">
        <v>176.26</v>
      </c>
      <c r="C94" s="33">
        <v>238.8</v>
      </c>
      <c r="D94" s="15">
        <v>-1.8215030256819101E-2</v>
      </c>
      <c r="E94" s="15">
        <v>-1.7681944924207101E-2</v>
      </c>
      <c r="F94" s="33">
        <v>0</v>
      </c>
      <c r="G94" s="33">
        <v>0.16750999999999999</v>
      </c>
      <c r="H94" s="33">
        <v>0</v>
      </c>
      <c r="I94" s="33">
        <v>6.9825999999999999E-2</v>
      </c>
      <c r="J94" s="33">
        <v>0</v>
      </c>
      <c r="K94" s="33">
        <v>0</v>
      </c>
      <c r="L94" s="33">
        <v>176.26</v>
      </c>
      <c r="M94" s="33">
        <v>238.8</v>
      </c>
      <c r="N94" s="34">
        <v>1.3548167479859301</v>
      </c>
      <c r="O94" s="34">
        <v>1.3563381687199101</v>
      </c>
      <c r="P94" s="34">
        <v>1.3589331302749099</v>
      </c>
      <c r="Q94" s="34">
        <v>1.3593252396101401</v>
      </c>
      <c r="R94" s="33">
        <v>239.06816561857201</v>
      </c>
      <c r="S94" s="33">
        <v>239.71129926413201</v>
      </c>
      <c r="T94" s="33">
        <v>239.64913974955701</v>
      </c>
      <c r="U94" s="15">
        <v>1.1223415411016099E-3</v>
      </c>
      <c r="V94" s="15">
        <v>3.8088980020823098E-3</v>
      </c>
      <c r="W94" s="15">
        <v>3.54955446905776E-3</v>
      </c>
      <c r="X94" s="34">
        <v>1.3548167479859301</v>
      </c>
      <c r="Y94" s="34">
        <v>1.3563584455100699</v>
      </c>
      <c r="Z94" s="34">
        <v>1.3589331302749099</v>
      </c>
      <c r="AA94" s="34">
        <v>1.3593252396101401</v>
      </c>
      <c r="AB94" s="33">
        <v>239.07173960560499</v>
      </c>
      <c r="AC94" s="33">
        <v>239.71129926413201</v>
      </c>
      <c r="AD94" s="33">
        <v>239.64913974955701</v>
      </c>
      <c r="AE94" s="15">
        <v>1.13729108618107E-3</v>
      </c>
      <c r="AF94" s="15">
        <v>3.8088980020823098E-3</v>
      </c>
      <c r="AG94" s="15">
        <v>3.54955446905776E-3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1.2492950201244503E-2</v>
      </c>
      <c r="AT94" s="12"/>
      <c r="AU94">
        <f t="shared" si="30"/>
        <v>1</v>
      </c>
      <c r="AV94">
        <f t="shared" si="31"/>
        <v>0</v>
      </c>
      <c r="AW94">
        <f t="shared" si="38"/>
        <v>1</v>
      </c>
      <c r="AX94">
        <f t="shared" si="25"/>
        <v>1</v>
      </c>
      <c r="AY94">
        <f t="shared" si="39"/>
        <v>1</v>
      </c>
      <c r="AZ94" s="28">
        <f t="shared" si="32"/>
        <v>1.8215030256819101E-2</v>
      </c>
      <c r="BA94" s="28">
        <f t="shared" si="33"/>
        <v>-1.7681944924207101E-2</v>
      </c>
      <c r="BB94" s="28">
        <f t="shared" si="40"/>
        <v>5.3308533261199956E-4</v>
      </c>
      <c r="BC94" s="29">
        <f t="shared" si="41"/>
        <v>2.8838575378334144E-2</v>
      </c>
      <c r="BE94" s="29">
        <f t="shared" si="42"/>
        <v>5.3308533261199956E-4</v>
      </c>
      <c r="BF94" s="29">
        <f t="shared" si="43"/>
        <v>4.1331525579578643E-2</v>
      </c>
      <c r="BH94" s="29"/>
    </row>
    <row r="95" spans="1:60" x14ac:dyDescent="0.25">
      <c r="A95" s="1">
        <v>46160</v>
      </c>
      <c r="B95" s="33">
        <v>174.36</v>
      </c>
      <c r="C95" s="33">
        <v>236.39</v>
      </c>
      <c r="D95" s="15">
        <v>-1.0838050301322399E-2</v>
      </c>
      <c r="E95" s="15">
        <v>-1.0143398065657399E-2</v>
      </c>
      <c r="F95" s="33">
        <v>0</v>
      </c>
      <c r="G95" s="33">
        <v>0.16750999999999999</v>
      </c>
      <c r="H95" s="33">
        <v>0</v>
      </c>
      <c r="I95" s="33">
        <v>6.9825999999999999E-2</v>
      </c>
      <c r="J95" s="33">
        <v>0</v>
      </c>
      <c r="K95" s="33">
        <v>0</v>
      </c>
      <c r="L95" s="33">
        <v>174.36</v>
      </c>
      <c r="M95" s="33">
        <v>236.39</v>
      </c>
      <c r="N95" s="34">
        <v>1.3557582014223399</v>
      </c>
      <c r="O95" s="34">
        <v>1.3563381687199101</v>
      </c>
      <c r="P95" s="34">
        <v>1.35811277639678</v>
      </c>
      <c r="Q95" s="34">
        <v>1.3590392625176999</v>
      </c>
      <c r="R95" s="33">
        <v>236.49112309800401</v>
      </c>
      <c r="S95" s="33">
        <v>236.94358059473399</v>
      </c>
      <c r="T95" s="33">
        <v>237.01194877842499</v>
      </c>
      <c r="U95" s="15">
        <v>4.2768930543682799E-4</v>
      </c>
      <c r="V95" s="15">
        <v>2.3390727800790098E-3</v>
      </c>
      <c r="W95" s="15">
        <v>2.6275731980640198E-3</v>
      </c>
      <c r="X95" s="34">
        <v>1.3557582014223399</v>
      </c>
      <c r="Y95" s="34">
        <v>1.3563584455100699</v>
      </c>
      <c r="Z95" s="34">
        <v>1.35811277639678</v>
      </c>
      <c r="AA95" s="34">
        <v>1.3590392625176999</v>
      </c>
      <c r="AB95" s="33">
        <v>236.49465855913601</v>
      </c>
      <c r="AC95" s="33">
        <v>236.94358059473399</v>
      </c>
      <c r="AD95" s="33">
        <v>237.01194877842499</v>
      </c>
      <c r="AE95" s="15">
        <v>4.4263885051619401E-4</v>
      </c>
      <c r="AF95" s="15">
        <v>2.33907278007879E-3</v>
      </c>
      <c r="AG95" s="15">
        <v>2.6275731980640198E-3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1.2492950201244503E-2</v>
      </c>
      <c r="AT95" s="12"/>
      <c r="AU95">
        <f t="shared" si="30"/>
        <v>0</v>
      </c>
      <c r="AV95">
        <f t="shared" si="31"/>
        <v>0</v>
      </c>
      <c r="AW95">
        <f t="shared" si="38"/>
        <v>1</v>
      </c>
      <c r="AX95">
        <f t="shared" si="25"/>
        <v>1</v>
      </c>
      <c r="AY95">
        <f t="shared" si="39"/>
        <v>1</v>
      </c>
      <c r="AZ95" s="28">
        <f t="shared" si="32"/>
        <v>1.0838050301322399E-2</v>
      </c>
      <c r="BA95" s="28">
        <f t="shared" si="33"/>
        <v>-1.0143398065657399E-2</v>
      </c>
      <c r="BB95" s="28">
        <f t="shared" si="40"/>
        <v>6.9465223566500013E-4</v>
      </c>
      <c r="BC95" s="29">
        <f t="shared" si="41"/>
        <v>2.9533227613999145E-2</v>
      </c>
      <c r="BE95" s="29">
        <f t="shared" si="42"/>
        <v>6.9465223566500013E-4</v>
      </c>
      <c r="BF95" s="29">
        <f t="shared" si="43"/>
        <v>4.2026177815243641E-2</v>
      </c>
      <c r="BH95" s="29"/>
    </row>
    <row r="96" spans="1:60" x14ac:dyDescent="0.25">
      <c r="A96" s="1">
        <v>46161</v>
      </c>
      <c r="B96" s="33">
        <v>173.24</v>
      </c>
      <c r="C96" s="33">
        <v>234.56</v>
      </c>
      <c r="D96" s="15">
        <v>-6.4442110237659701E-3</v>
      </c>
      <c r="E96" s="15">
        <v>-7.7715647545028898E-3</v>
      </c>
      <c r="F96" s="33">
        <v>0</v>
      </c>
      <c r="G96" s="33">
        <v>0.16750999999999999</v>
      </c>
      <c r="H96" s="33">
        <v>0</v>
      </c>
      <c r="I96" s="33">
        <v>6.9825999999999999E-2</v>
      </c>
      <c r="J96" s="33">
        <v>0</v>
      </c>
      <c r="K96" s="33">
        <v>0</v>
      </c>
      <c r="L96" s="33">
        <v>173.24</v>
      </c>
      <c r="M96" s="33">
        <v>234.56</v>
      </c>
      <c r="N96" s="34">
        <v>1.3539598245208899</v>
      </c>
      <c r="O96" s="34">
        <v>1.3563381687199101</v>
      </c>
      <c r="P96" s="34">
        <v>1.3575551272603901</v>
      </c>
      <c r="Q96" s="34">
        <v>1.35904057005378</v>
      </c>
      <c r="R96" s="33">
        <v>234.97202434903801</v>
      </c>
      <c r="S96" s="33">
        <v>235.27945738297899</v>
      </c>
      <c r="T96" s="33">
        <v>235.439961838567</v>
      </c>
      <c r="U96" s="15">
        <v>1.7550430361737599E-3</v>
      </c>
      <c r="V96" s="15">
        <v>3.0625692840804998E-3</v>
      </c>
      <c r="W96" s="15">
        <v>3.74452314132122E-3</v>
      </c>
      <c r="X96" s="34">
        <v>1.3539598245208899</v>
      </c>
      <c r="Y96" s="34">
        <v>1.3563584455100699</v>
      </c>
      <c r="Z96" s="34">
        <v>1.3575551272603901</v>
      </c>
      <c r="AA96" s="34">
        <v>1.35904057005378</v>
      </c>
      <c r="AB96" s="33">
        <v>234.97553710016501</v>
      </c>
      <c r="AC96" s="33">
        <v>235.27945738297899</v>
      </c>
      <c r="AD96" s="33">
        <v>235.439961838567</v>
      </c>
      <c r="AE96" s="15">
        <v>1.7699925812529899E-3</v>
      </c>
      <c r="AF96" s="15">
        <v>3.0625692840804998E-3</v>
      </c>
      <c r="AG96" s="15">
        <v>3.74452314132122E-3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1.2492950201244503E-2</v>
      </c>
      <c r="AT96" s="12"/>
      <c r="AU96">
        <f t="shared" si="30"/>
        <v>1</v>
      </c>
      <c r="AV96">
        <f t="shared" si="31"/>
        <v>0</v>
      </c>
      <c r="AW96">
        <f t="shared" si="38"/>
        <v>1</v>
      </c>
      <c r="AX96">
        <f t="shared" si="25"/>
        <v>1</v>
      </c>
      <c r="AY96">
        <f t="shared" si="39"/>
        <v>1</v>
      </c>
      <c r="AZ96" s="28">
        <f t="shared" si="32"/>
        <v>6.4442110237659701E-3</v>
      </c>
      <c r="BA96" s="28">
        <f t="shared" si="33"/>
        <v>-7.7715647545028898E-3</v>
      </c>
      <c r="BB96" s="28">
        <f t="shared" si="40"/>
        <v>-1.3273537307369196E-3</v>
      </c>
      <c r="BC96" s="29">
        <f t="shared" si="41"/>
        <v>2.8205873883262227E-2</v>
      </c>
      <c r="BE96" s="29">
        <f t="shared" si="42"/>
        <v>-1.3273537307369196E-3</v>
      </c>
      <c r="BF96" s="29">
        <f t="shared" si="43"/>
        <v>4.0698824084506723E-2</v>
      </c>
      <c r="BH96" s="29"/>
    </row>
    <row r="97" spans="1:60" x14ac:dyDescent="0.25">
      <c r="A97" s="1">
        <v>46162</v>
      </c>
      <c r="B97" s="33">
        <v>177.14</v>
      </c>
      <c r="C97" s="33">
        <v>239.33</v>
      </c>
      <c r="D97" s="15">
        <v>2.2262464035010799E-2</v>
      </c>
      <c r="E97" s="15">
        <v>2.01319340082367E-2</v>
      </c>
      <c r="F97" s="33">
        <v>0</v>
      </c>
      <c r="G97" s="33">
        <v>0.16750999999999999</v>
      </c>
      <c r="H97" s="33">
        <v>0</v>
      </c>
      <c r="I97" s="33">
        <v>6.9825999999999999E-2</v>
      </c>
      <c r="J97" s="33">
        <v>0</v>
      </c>
      <c r="K97" s="33">
        <v>0</v>
      </c>
      <c r="L97" s="33">
        <v>177.14</v>
      </c>
      <c r="M97" s="33">
        <v>239.33</v>
      </c>
      <c r="N97" s="34">
        <v>1.3510782431974699</v>
      </c>
      <c r="O97" s="34">
        <v>1.3563381687199101</v>
      </c>
      <c r="P97" s="34">
        <v>1.35614586635988</v>
      </c>
      <c r="Q97" s="34">
        <v>1.3588704009940999</v>
      </c>
      <c r="R97" s="33">
        <v>240.26174320704499</v>
      </c>
      <c r="S97" s="33">
        <v>240.477315242906</v>
      </c>
      <c r="T97" s="33">
        <v>240.74044657932799</v>
      </c>
      <c r="U97" s="15">
        <v>3.8855730629478698E-3</v>
      </c>
      <c r="V97" s="15">
        <v>4.78240907625115E-3</v>
      </c>
      <c r="W97" s="15">
        <v>5.8760152708776997E-3</v>
      </c>
      <c r="X97" s="34">
        <v>1.3510782431974699</v>
      </c>
      <c r="Y97" s="34">
        <v>1.3563584455100699</v>
      </c>
      <c r="Z97" s="34">
        <v>1.35614586635988</v>
      </c>
      <c r="AA97" s="34">
        <v>1.3588704009940999</v>
      </c>
      <c r="AB97" s="33">
        <v>240.26533503765401</v>
      </c>
      <c r="AC97" s="33">
        <v>240.477315242906</v>
      </c>
      <c r="AD97" s="33">
        <v>240.74044657932799</v>
      </c>
      <c r="AE97" s="15">
        <v>3.9005226080275398E-3</v>
      </c>
      <c r="AF97" s="15">
        <v>4.7824090762513703E-3</v>
      </c>
      <c r="AG97" s="15">
        <v>5.8760152708776997E-3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1.2492950201244503E-2</v>
      </c>
      <c r="AT97" s="12"/>
      <c r="AU97">
        <f t="shared" si="30"/>
        <v>1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-2.2262464035010799E-2</v>
      </c>
      <c r="BA97" s="28">
        <f t="shared" si="33"/>
        <v>2.01319340082367E-2</v>
      </c>
      <c r="BB97" s="28">
        <f t="shared" si="40"/>
        <v>-2.1305300267740988E-3</v>
      </c>
      <c r="BC97" s="29">
        <f t="shared" si="41"/>
        <v>2.6075343856488128E-2</v>
      </c>
      <c r="BE97" s="29">
        <f t="shared" si="42"/>
        <v>-2.1305300267740988E-3</v>
      </c>
      <c r="BF97" s="29">
        <f t="shared" si="43"/>
        <v>3.8568294057732627E-2</v>
      </c>
      <c r="BH97" s="29"/>
    </row>
    <row r="98" spans="1:60" x14ac:dyDescent="0.25">
      <c r="A98" s="1">
        <v>46163</v>
      </c>
      <c r="B98" s="33">
        <v>178.6</v>
      </c>
      <c r="C98" s="33">
        <v>240.08</v>
      </c>
      <c r="D98" s="15">
        <v>8.2082880609618304E-3</v>
      </c>
      <c r="E98" s="15">
        <v>3.12884842558842E-3</v>
      </c>
      <c r="F98" s="33">
        <v>0</v>
      </c>
      <c r="G98" s="33">
        <v>0.16750999999999999</v>
      </c>
      <c r="H98" s="33">
        <v>0</v>
      </c>
      <c r="I98" s="33">
        <v>6.9825999999999999E-2</v>
      </c>
      <c r="J98" s="33">
        <v>0</v>
      </c>
      <c r="K98" s="33">
        <v>0</v>
      </c>
      <c r="L98" s="33">
        <v>178.6</v>
      </c>
      <c r="M98" s="33">
        <v>240.08</v>
      </c>
      <c r="N98" s="34">
        <v>1.3442329227323599</v>
      </c>
      <c r="O98" s="34">
        <v>1.3563381687199101</v>
      </c>
      <c r="P98" s="34">
        <v>1.3536960370584801</v>
      </c>
      <c r="Q98" s="34">
        <v>1.3582047370691199</v>
      </c>
      <c r="R98" s="33">
        <v>242.24199693337599</v>
      </c>
      <c r="S98" s="33">
        <v>242.20765173187601</v>
      </c>
      <c r="T98" s="33">
        <v>242.69425361754699</v>
      </c>
      <c r="U98" s="15">
        <v>8.9650126983213795E-3</v>
      </c>
      <c r="V98" s="15">
        <v>8.8232221050036207E-3</v>
      </c>
      <c r="W98" s="15">
        <v>1.08302344249916E-2</v>
      </c>
      <c r="X98" s="34">
        <v>1.3442329227323599</v>
      </c>
      <c r="Y98" s="34">
        <v>1.3563584455100699</v>
      </c>
      <c r="Z98" s="34">
        <v>1.3536960370584801</v>
      </c>
      <c r="AA98" s="34">
        <v>1.3582047370691199</v>
      </c>
      <c r="AB98" s="33">
        <v>242.245618368099</v>
      </c>
      <c r="AC98" s="33">
        <v>242.20765173187601</v>
      </c>
      <c r="AD98" s="33">
        <v>242.69425361754699</v>
      </c>
      <c r="AE98" s="15">
        <v>8.9799622434007902E-3</v>
      </c>
      <c r="AF98" s="15">
        <v>8.8232221050034004E-3</v>
      </c>
      <c r="AG98" s="15">
        <v>1.08302344249916E-2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1.2492950201244503E-2</v>
      </c>
      <c r="AT98" s="12"/>
      <c r="AU98">
        <f t="shared" si="30"/>
        <v>1</v>
      </c>
      <c r="AV98">
        <f t="shared" si="31"/>
        <v>0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-8.2082880609618304E-3</v>
      </c>
      <c r="BA98" s="28">
        <f t="shared" si="33"/>
        <v>3.12884842558842E-3</v>
      </c>
      <c r="BB98" s="28">
        <f t="shared" si="40"/>
        <v>-5.07943963537341E-3</v>
      </c>
      <c r="BC98" s="29">
        <f t="shared" si="41"/>
        <v>2.099590422111472E-2</v>
      </c>
      <c r="BE98" s="29">
        <f t="shared" si="42"/>
        <v>-5.07943963537341E-3</v>
      </c>
      <c r="BF98" s="29">
        <f t="shared" si="43"/>
        <v>3.3488854422359216E-2</v>
      </c>
      <c r="BH98" s="29"/>
    </row>
    <row r="99" spans="1:60" x14ac:dyDescent="0.25">
      <c r="A99" s="1">
        <v>46164</v>
      </c>
      <c r="B99" s="33">
        <v>180.39</v>
      </c>
      <c r="C99" s="33">
        <v>241.77</v>
      </c>
      <c r="D99" s="15">
        <v>9.9725052771882997E-3</v>
      </c>
      <c r="E99" s="15">
        <v>7.0146598724178701E-3</v>
      </c>
      <c r="F99" s="33">
        <v>0</v>
      </c>
      <c r="G99" s="33">
        <v>0.16750999999999999</v>
      </c>
      <c r="H99" s="33">
        <v>0</v>
      </c>
      <c r="I99" s="33">
        <v>6.9825999999999999E-2</v>
      </c>
      <c r="J99" s="33">
        <v>0</v>
      </c>
      <c r="K99" s="33">
        <v>0</v>
      </c>
      <c r="L99" s="33">
        <v>180.39</v>
      </c>
      <c r="M99" s="33">
        <v>241.77</v>
      </c>
      <c r="N99" s="34">
        <v>1.3402627640113001</v>
      </c>
      <c r="O99" s="34">
        <v>1.3563381687199101</v>
      </c>
      <c r="P99" s="34">
        <v>1.3517605996947999</v>
      </c>
      <c r="Q99" s="34">
        <v>1.3574454373717899</v>
      </c>
      <c r="R99" s="33">
        <v>244.66984225538499</v>
      </c>
      <c r="S99" s="33">
        <v>244.19322812498001</v>
      </c>
      <c r="T99" s="33">
        <v>245.00655251989801</v>
      </c>
      <c r="U99" s="15">
        <v>1.1922858103091599E-2</v>
      </c>
      <c r="V99" s="15">
        <v>9.9729694316326202E-3</v>
      </c>
      <c r="W99" s="15">
        <v>1.3298094161735099E-2</v>
      </c>
      <c r="X99" s="34">
        <v>1.3402627640113001</v>
      </c>
      <c r="Y99" s="34">
        <v>1.3563584455100699</v>
      </c>
      <c r="Z99" s="34">
        <v>1.3517605996947999</v>
      </c>
      <c r="AA99" s="34">
        <v>1.3574454373717899</v>
      </c>
      <c r="AB99" s="33">
        <v>244.67349998556199</v>
      </c>
      <c r="AC99" s="33">
        <v>244.19322812498001</v>
      </c>
      <c r="AD99" s="33">
        <v>245.00655251989801</v>
      </c>
      <c r="AE99" s="15">
        <v>1.19378076481711E-2</v>
      </c>
      <c r="AF99" s="15">
        <v>9.9729694316326202E-3</v>
      </c>
      <c r="AG99" s="15">
        <v>1.3298094161735099E-2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1.2492950201244503E-2</v>
      </c>
      <c r="AT99" s="12"/>
      <c r="AU99">
        <f t="shared" si="30"/>
        <v>1</v>
      </c>
      <c r="AV99">
        <f t="shared" si="31"/>
        <v>0</v>
      </c>
      <c r="AW99">
        <f t="shared" si="38"/>
        <v>1</v>
      </c>
      <c r="AX99">
        <f t="shared" si="25"/>
        <v>1</v>
      </c>
      <c r="AY99">
        <f t="shared" si="39"/>
        <v>1</v>
      </c>
      <c r="AZ99" s="28">
        <f t="shared" si="32"/>
        <v>-9.9725052771882997E-3</v>
      </c>
      <c r="BA99" s="28">
        <f t="shared" si="33"/>
        <v>7.0146598724178701E-3</v>
      </c>
      <c r="BB99" s="28">
        <f t="shared" si="40"/>
        <v>-2.9578454047704296E-3</v>
      </c>
      <c r="BC99" s="29">
        <f t="shared" si="41"/>
        <v>1.803805881634429E-2</v>
      </c>
      <c r="BE99" s="29">
        <f t="shared" si="42"/>
        <v>-2.9578454047704296E-3</v>
      </c>
      <c r="BF99" s="29">
        <f t="shared" si="43"/>
        <v>3.0531009017588786E-2</v>
      </c>
      <c r="BH99" s="29"/>
    </row>
    <row r="100" spans="1:60" x14ac:dyDescent="0.25">
      <c r="A100" s="1">
        <v>46168</v>
      </c>
      <c r="B100" s="33">
        <v>185.14</v>
      </c>
      <c r="C100" s="33">
        <v>247.42</v>
      </c>
      <c r="D100" s="15">
        <v>2.5991121919478301E-2</v>
      </c>
      <c r="E100" s="15">
        <v>2.3100436430155798E-2</v>
      </c>
      <c r="F100" s="33">
        <v>0</v>
      </c>
      <c r="G100" s="33">
        <v>0.16750999999999999</v>
      </c>
      <c r="H100" s="33">
        <v>0</v>
      </c>
      <c r="I100" s="33">
        <v>6.9825999999999999E-2</v>
      </c>
      <c r="J100" s="33">
        <v>0</v>
      </c>
      <c r="K100" s="33">
        <v>0</v>
      </c>
      <c r="L100" s="33">
        <v>185.14</v>
      </c>
      <c r="M100" s="33">
        <v>247.42</v>
      </c>
      <c r="N100" s="34">
        <v>1.3363940801555501</v>
      </c>
      <c r="O100" s="34">
        <v>1.3563381687199101</v>
      </c>
      <c r="P100" s="34">
        <v>1.3504551010317001</v>
      </c>
      <c r="Q100" s="34">
        <v>1.3562511910775199</v>
      </c>
      <c r="R100" s="33">
        <v>251.11244855680499</v>
      </c>
      <c r="S100" s="33">
        <v>250.264957427496</v>
      </c>
      <c r="T100" s="33">
        <v>251.31744827501399</v>
      </c>
      <c r="U100" s="15">
        <v>1.4813543592413899E-2</v>
      </c>
      <c r="V100" s="15">
        <v>1.14328889145383E-2</v>
      </c>
      <c r="W100" s="15">
        <v>1.5629576757946999E-2</v>
      </c>
      <c r="X100" s="34">
        <v>1.3363940801555501</v>
      </c>
      <c r="Y100" s="34">
        <v>1.3563584455100699</v>
      </c>
      <c r="Z100" s="34">
        <v>1.3504551010317001</v>
      </c>
      <c r="AA100" s="34">
        <v>1.3562511910775199</v>
      </c>
      <c r="AB100" s="33">
        <v>251.11620260173501</v>
      </c>
      <c r="AC100" s="33">
        <v>250.264957427496</v>
      </c>
      <c r="AD100" s="33">
        <v>251.31744827501399</v>
      </c>
      <c r="AE100" s="15">
        <v>1.4828493137493501E-2</v>
      </c>
      <c r="AF100" s="15">
        <v>1.14328889145383E-2</v>
      </c>
      <c r="AG100" s="15">
        <v>1.5629576757947201E-2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1.2492950201244503E-2</v>
      </c>
      <c r="AT100" s="12"/>
      <c r="AU100">
        <f t="shared" si="30"/>
        <v>1</v>
      </c>
      <c r="AV100">
        <f t="shared" si="31"/>
        <v>0</v>
      </c>
      <c r="AW100">
        <f t="shared" si="38"/>
        <v>1</v>
      </c>
      <c r="AX100">
        <f t="shared" si="25"/>
        <v>1</v>
      </c>
      <c r="AY100">
        <f t="shared" si="39"/>
        <v>1</v>
      </c>
      <c r="AZ100" s="28">
        <f t="shared" si="32"/>
        <v>-2.5991121919478301E-2</v>
      </c>
      <c r="BA100" s="28">
        <f t="shared" si="33"/>
        <v>2.3100436430155798E-2</v>
      </c>
      <c r="BB100" s="28">
        <f t="shared" si="40"/>
        <v>-2.8906854893225031E-3</v>
      </c>
      <c r="BC100" s="29">
        <f t="shared" si="41"/>
        <v>1.5147373327021787E-2</v>
      </c>
      <c r="BE100" s="29">
        <f t="shared" si="42"/>
        <v>-2.8906854893225031E-3</v>
      </c>
      <c r="BF100" s="29">
        <f t="shared" si="43"/>
        <v>2.7640323528266283E-2</v>
      </c>
      <c r="BH100" s="29"/>
    </row>
    <row r="101" spans="1:60" x14ac:dyDescent="0.25">
      <c r="A101" s="1">
        <v>46169</v>
      </c>
      <c r="B101" s="33">
        <v>184.43</v>
      </c>
      <c r="C101" s="33">
        <v>246.33</v>
      </c>
      <c r="D101" s="15">
        <v>-3.8423079443504799E-3</v>
      </c>
      <c r="E101" s="15">
        <v>-4.4151970458783897E-3</v>
      </c>
      <c r="F101" s="33">
        <v>0</v>
      </c>
      <c r="G101" s="33">
        <v>0.16750999999999999</v>
      </c>
      <c r="H101" s="33">
        <v>0</v>
      </c>
      <c r="I101" s="33">
        <v>6.9825999999999999E-2</v>
      </c>
      <c r="J101" s="33">
        <v>0</v>
      </c>
      <c r="K101" s="33">
        <v>0</v>
      </c>
      <c r="L101" s="33">
        <v>184.43</v>
      </c>
      <c r="M101" s="33">
        <v>246.33</v>
      </c>
      <c r="N101" s="34">
        <v>1.3356286938133699</v>
      </c>
      <c r="O101" s="34">
        <v>1.3563381687199101</v>
      </c>
      <c r="P101" s="34">
        <v>1.3487040434724</v>
      </c>
      <c r="Q101" s="34">
        <v>1.35483180220151</v>
      </c>
      <c r="R101" s="33">
        <v>250.14944845701399</v>
      </c>
      <c r="S101" s="33">
        <v>249.064434283276</v>
      </c>
      <c r="T101" s="33">
        <v>250.13340717042701</v>
      </c>
      <c r="U101" s="15">
        <v>1.53864326939418E-2</v>
      </c>
      <c r="V101" s="15">
        <v>1.1039534822139299E-2</v>
      </c>
      <c r="W101" s="15">
        <v>1.5322303825997601E-2</v>
      </c>
      <c r="X101" s="34">
        <v>1.3356286938133699</v>
      </c>
      <c r="Y101" s="34">
        <v>1.3563584455100699</v>
      </c>
      <c r="Z101" s="34">
        <v>1.3487040434724</v>
      </c>
      <c r="AA101" s="34">
        <v>1.35483180220151</v>
      </c>
      <c r="AB101" s="33">
        <v>250.153188105423</v>
      </c>
      <c r="AC101" s="33">
        <v>249.064434283276</v>
      </c>
      <c r="AD101" s="33">
        <v>250.13340717042701</v>
      </c>
      <c r="AE101" s="15">
        <v>1.54013822390212E-2</v>
      </c>
      <c r="AF101" s="15">
        <v>1.1039534822139501E-2</v>
      </c>
      <c r="AG101" s="15">
        <v>1.53223038259978E-2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1.2492950201244503E-2</v>
      </c>
      <c r="AT101" s="12"/>
      <c r="AU101">
        <f t="shared" si="30"/>
        <v>1</v>
      </c>
      <c r="AV101">
        <f t="shared" si="31"/>
        <v>0</v>
      </c>
      <c r="AW101">
        <f t="shared" si="38"/>
        <v>1</v>
      </c>
      <c r="AX101">
        <f t="shared" si="25"/>
        <v>1</v>
      </c>
      <c r="AY101">
        <f t="shared" si="39"/>
        <v>1</v>
      </c>
      <c r="AZ101" s="28">
        <f t="shared" si="32"/>
        <v>3.8423079443504799E-3</v>
      </c>
      <c r="BA101" s="28">
        <f t="shared" si="33"/>
        <v>-4.4151970458783897E-3</v>
      </c>
      <c r="BB101" s="28">
        <f t="shared" si="40"/>
        <v>-5.7288910152790981E-4</v>
      </c>
      <c r="BC101" s="29">
        <f t="shared" si="41"/>
        <v>1.4574484225493877E-2</v>
      </c>
      <c r="BE101" s="29">
        <f t="shared" si="42"/>
        <v>-5.7288910152790981E-4</v>
      </c>
      <c r="BF101" s="29">
        <f t="shared" si="43"/>
        <v>2.7067434426738372E-2</v>
      </c>
      <c r="BH101" s="29"/>
    </row>
    <row r="102" spans="1:60" x14ac:dyDescent="0.25">
      <c r="A102" s="1">
        <v>46170</v>
      </c>
      <c r="B102" s="33">
        <v>186.85</v>
      </c>
      <c r="C102" s="33">
        <v>249.53</v>
      </c>
      <c r="D102" s="15">
        <v>1.3036168236778301E-2</v>
      </c>
      <c r="E102" s="15">
        <v>1.29070480554209E-2</v>
      </c>
      <c r="F102" s="33">
        <v>0</v>
      </c>
      <c r="G102" s="33">
        <v>0.16750999999999999</v>
      </c>
      <c r="H102" s="33">
        <v>0</v>
      </c>
      <c r="I102" s="33">
        <v>6.9825999999999999E-2</v>
      </c>
      <c r="J102" s="33">
        <v>0</v>
      </c>
      <c r="K102" s="33">
        <v>0</v>
      </c>
      <c r="L102" s="33">
        <v>186.85</v>
      </c>
      <c r="M102" s="33">
        <v>249.53</v>
      </c>
      <c r="N102" s="34">
        <v>1.3354562483275301</v>
      </c>
      <c r="O102" s="34">
        <v>1.3563381687199101</v>
      </c>
      <c r="P102" s="34">
        <v>1.3461682433687601</v>
      </c>
      <c r="Q102" s="34">
        <v>1.35374590052072</v>
      </c>
      <c r="R102" s="33">
        <v>253.43178682531601</v>
      </c>
      <c r="S102" s="33">
        <v>252.005350522817</v>
      </c>
      <c r="T102" s="33">
        <v>253.150322241353</v>
      </c>
      <c r="U102" s="15">
        <v>1.55155528752992E-2</v>
      </c>
      <c r="V102" s="15">
        <v>9.8711710751991106E-3</v>
      </c>
      <c r="W102" s="15">
        <v>1.4404322897418701E-2</v>
      </c>
      <c r="X102" s="34">
        <v>1.3354562483275301</v>
      </c>
      <c r="Y102" s="34">
        <v>1.3563584455100699</v>
      </c>
      <c r="Z102" s="34">
        <v>1.3461682433687601</v>
      </c>
      <c r="AA102" s="34">
        <v>1.35374590052072</v>
      </c>
      <c r="AB102" s="33">
        <v>253.43557554355701</v>
      </c>
      <c r="AC102" s="33">
        <v>252.00535052281799</v>
      </c>
      <c r="AD102" s="33">
        <v>253.150322241353</v>
      </c>
      <c r="AE102" s="15">
        <v>1.5530502420378499E-2</v>
      </c>
      <c r="AF102" s="15">
        <v>9.8711710751993292E-3</v>
      </c>
      <c r="AG102" s="15">
        <v>1.4404322897418701E-2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1.2492950201244503E-2</v>
      </c>
      <c r="AT102" s="12"/>
      <c r="AU102">
        <f t="shared" si="30"/>
        <v>1</v>
      </c>
      <c r="AV102">
        <f t="shared" si="31"/>
        <v>0</v>
      </c>
      <c r="AW102">
        <f t="shared" si="38"/>
        <v>1</v>
      </c>
      <c r="AX102">
        <f t="shared" si="25"/>
        <v>1</v>
      </c>
      <c r="AY102">
        <f t="shared" si="39"/>
        <v>1</v>
      </c>
      <c r="AZ102" s="28">
        <f t="shared" si="32"/>
        <v>-1.3036168236778301E-2</v>
      </c>
      <c r="BA102" s="28">
        <f t="shared" si="33"/>
        <v>1.29070480554209E-2</v>
      </c>
      <c r="BB102" s="28">
        <f t="shared" si="40"/>
        <v>-1.2912018135740125E-4</v>
      </c>
      <c r="BC102" s="29">
        <f t="shared" si="41"/>
        <v>1.4445364044136476E-2</v>
      </c>
      <c r="BE102" s="29">
        <f t="shared" si="42"/>
        <v>-1.2912018135740125E-4</v>
      </c>
      <c r="BF102" s="29">
        <f t="shared" si="43"/>
        <v>2.693831424538097E-2</v>
      </c>
      <c r="BH102" s="29"/>
    </row>
    <row r="103" spans="1:60" x14ac:dyDescent="0.25">
      <c r="A103" s="1">
        <v>46171</v>
      </c>
      <c r="B103" s="33">
        <v>191.02</v>
      </c>
      <c r="C103" s="33">
        <v>252.92</v>
      </c>
      <c r="D103" s="15">
        <v>2.2071978675098601E-2</v>
      </c>
      <c r="E103" s="15">
        <v>1.3494084746184199E-2</v>
      </c>
      <c r="F103" s="33">
        <v>0</v>
      </c>
      <c r="G103" s="33">
        <v>0.16750999999999999</v>
      </c>
      <c r="H103" s="33">
        <v>0</v>
      </c>
      <c r="I103" s="33">
        <v>6.9825999999999999E-2</v>
      </c>
      <c r="J103" s="33">
        <v>0</v>
      </c>
      <c r="K103" s="33">
        <v>0</v>
      </c>
      <c r="L103" s="33">
        <v>191.02</v>
      </c>
      <c r="M103" s="33">
        <v>252.92</v>
      </c>
      <c r="N103" s="34">
        <v>1.3240498377133201</v>
      </c>
      <c r="O103" s="34">
        <v>1.3563381687199101</v>
      </c>
      <c r="P103" s="34">
        <v>1.3431637563880101</v>
      </c>
      <c r="Q103" s="34">
        <v>1.3515753516540401</v>
      </c>
      <c r="R103" s="33">
        <v>259.08771698887801</v>
      </c>
      <c r="S103" s="33">
        <v>257.14505784830101</v>
      </c>
      <c r="T103" s="33">
        <v>258.59254191746902</v>
      </c>
      <c r="U103" s="15">
        <v>2.4093446804213398E-2</v>
      </c>
      <c r="V103" s="15">
        <v>1.6567119900859999E-2</v>
      </c>
      <c r="W103" s="15">
        <v>2.21803925051208E-2</v>
      </c>
      <c r="X103" s="34">
        <v>1.3240498377133201</v>
      </c>
      <c r="Y103" s="34">
        <v>1.3563584455100699</v>
      </c>
      <c r="Z103" s="34">
        <v>1.3431637563880101</v>
      </c>
      <c r="AA103" s="34">
        <v>1.3515753516540401</v>
      </c>
      <c r="AB103" s="33">
        <v>259.09159026133398</v>
      </c>
      <c r="AC103" s="33">
        <v>257.14505784830101</v>
      </c>
      <c r="AD103" s="33">
        <v>258.59254191746902</v>
      </c>
      <c r="AE103" s="15">
        <v>2.4108396349292901E-2</v>
      </c>
      <c r="AF103" s="15">
        <v>1.6567119900859999E-2</v>
      </c>
      <c r="AG103" s="15">
        <v>2.21803925051208E-2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1.2492950201244503E-2</v>
      </c>
      <c r="AT103" s="12"/>
      <c r="AU103">
        <f t="shared" si="30"/>
        <v>1</v>
      </c>
      <c r="AV103">
        <f t="shared" si="31"/>
        <v>0</v>
      </c>
      <c r="AW103">
        <f t="shared" si="38"/>
        <v>1</v>
      </c>
      <c r="AX103">
        <f t="shared" si="25"/>
        <v>1</v>
      </c>
      <c r="AY103">
        <f t="shared" si="39"/>
        <v>1</v>
      </c>
      <c r="AZ103" s="28">
        <f t="shared" si="32"/>
        <v>-2.2071978675098601E-2</v>
      </c>
      <c r="BA103" s="28">
        <f t="shared" si="33"/>
        <v>1.3494084746184199E-2</v>
      </c>
      <c r="BB103" s="28">
        <f t="shared" si="40"/>
        <v>-8.5778939289144016E-3</v>
      </c>
      <c r="BC103" s="29">
        <f t="shared" si="41"/>
        <v>5.8674701152220746E-3</v>
      </c>
      <c r="BE103" s="29">
        <f t="shared" si="42"/>
        <v>-8.5778939289144016E-3</v>
      </c>
      <c r="BF103" s="29">
        <f t="shared" si="43"/>
        <v>1.8360420316466571E-2</v>
      </c>
      <c r="BH103" s="29"/>
    </row>
    <row r="104" spans="1:60" x14ac:dyDescent="0.25">
      <c r="A104" s="1">
        <v>46174</v>
      </c>
      <c r="B104" s="33">
        <v>195.76</v>
      </c>
      <c r="C104" s="33">
        <v>257.97000000000003</v>
      </c>
      <c r="D104" s="15">
        <v>2.4511284527824501E-2</v>
      </c>
      <c r="E104" s="15">
        <v>1.9770065900502499E-2</v>
      </c>
      <c r="F104" s="33">
        <v>0</v>
      </c>
      <c r="G104" s="33">
        <v>0.16750999999999999</v>
      </c>
      <c r="H104" s="33">
        <v>0</v>
      </c>
      <c r="I104" s="33">
        <v>6.9825999999999999E-2</v>
      </c>
      <c r="J104" s="33">
        <v>0</v>
      </c>
      <c r="K104" s="33">
        <v>0</v>
      </c>
      <c r="L104" s="33">
        <v>195.76</v>
      </c>
      <c r="M104" s="33">
        <v>257.97000000000003</v>
      </c>
      <c r="N104" s="34">
        <v>1.3177870862280301</v>
      </c>
      <c r="O104" s="34">
        <v>1.3563381687199101</v>
      </c>
      <c r="P104" s="34">
        <v>1.33946079021222</v>
      </c>
      <c r="Q104" s="34">
        <v>1.3491969602435601</v>
      </c>
      <c r="R104" s="33">
        <v>265.51675990861003</v>
      </c>
      <c r="S104" s="33">
        <v>262.93773695051601</v>
      </c>
      <c r="T104" s="33">
        <v>264.58439083979499</v>
      </c>
      <c r="U104" s="15">
        <v>2.8834665431535501E-2</v>
      </c>
      <c r="V104" s="15">
        <v>1.90739634261099E-2</v>
      </c>
      <c r="W104" s="15">
        <v>2.53169593147064E-2</v>
      </c>
      <c r="X104" s="34">
        <v>1.3177870862280301</v>
      </c>
      <c r="Y104" s="34">
        <v>1.3563584455100699</v>
      </c>
      <c r="Z104" s="34">
        <v>1.33946079021222</v>
      </c>
      <c r="AA104" s="34">
        <v>1.3491969602435601</v>
      </c>
      <c r="AB104" s="33">
        <v>265.520729293052</v>
      </c>
      <c r="AC104" s="33">
        <v>262.93773695051698</v>
      </c>
      <c r="AD104" s="33">
        <v>264.58439083979499</v>
      </c>
      <c r="AE104" s="15">
        <v>2.88496149766151E-2</v>
      </c>
      <c r="AF104" s="15">
        <v>1.9073963426110101E-2</v>
      </c>
      <c r="AG104" s="15">
        <v>2.53169593147064E-2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1.2492950201244503E-2</v>
      </c>
      <c r="AT104" s="12"/>
      <c r="AU104">
        <f t="shared" si="30"/>
        <v>1</v>
      </c>
      <c r="AV104">
        <f t="shared" si="31"/>
        <v>0</v>
      </c>
      <c r="AW104">
        <f t="shared" si="38"/>
        <v>1</v>
      </c>
      <c r="AX104">
        <f t="shared" si="25"/>
        <v>1</v>
      </c>
      <c r="AY104">
        <f t="shared" si="39"/>
        <v>1</v>
      </c>
      <c r="AZ104" s="28">
        <f t="shared" si="32"/>
        <v>-2.4511284527824501E-2</v>
      </c>
      <c r="BA104" s="28">
        <f t="shared" si="33"/>
        <v>1.9770065900502499E-2</v>
      </c>
      <c r="BB104" s="28">
        <f t="shared" si="40"/>
        <v>-4.7412186273220018E-3</v>
      </c>
      <c r="BC104" s="29">
        <f t="shared" si="41"/>
        <v>1.1262514879000728E-3</v>
      </c>
      <c r="BE104" s="29">
        <f t="shared" si="42"/>
        <v>-4.7412186273220018E-3</v>
      </c>
      <c r="BF104" s="29">
        <f t="shared" si="43"/>
        <v>1.3619201689144569E-2</v>
      </c>
      <c r="BH104" s="29"/>
    </row>
    <row r="105" spans="1:60" x14ac:dyDescent="0.25">
      <c r="A105" s="1">
        <v>46175</v>
      </c>
      <c r="B105" s="33">
        <v>198.21</v>
      </c>
      <c r="C105" s="33">
        <v>259.94</v>
      </c>
      <c r="D105" s="15">
        <v>1.24376555754878E-2</v>
      </c>
      <c r="E105" s="15">
        <v>7.6075360625273598E-3</v>
      </c>
      <c r="F105" s="33">
        <v>0</v>
      </c>
      <c r="G105" s="33">
        <v>0.16750999999999999</v>
      </c>
      <c r="H105" s="33">
        <v>0</v>
      </c>
      <c r="I105" s="33">
        <v>6.9825999999999999E-2</v>
      </c>
      <c r="J105" s="33">
        <v>0</v>
      </c>
      <c r="K105" s="33">
        <v>0</v>
      </c>
      <c r="L105" s="33">
        <v>198.21</v>
      </c>
      <c r="M105" s="33">
        <v>259.94</v>
      </c>
      <c r="N105" s="34">
        <v>1.3114373644114801</v>
      </c>
      <c r="O105" s="34">
        <v>1.3563381687199101</v>
      </c>
      <c r="P105" s="34">
        <v>1.3350287065111299</v>
      </c>
      <c r="Q105" s="34">
        <v>1.3465707414539601</v>
      </c>
      <c r="R105" s="33">
        <v>268.83978842197399</v>
      </c>
      <c r="S105" s="33">
        <v>265.49452322796401</v>
      </c>
      <c r="T105" s="33">
        <v>267.42432948987698</v>
      </c>
      <c r="U105" s="15">
        <v>3.3664784944495998E-2</v>
      </c>
      <c r="V105" s="15">
        <v>2.1143377172527698E-2</v>
      </c>
      <c r="W105" s="15">
        <v>2.8385810752736301E-2</v>
      </c>
      <c r="X105" s="34">
        <v>1.3114373644114801</v>
      </c>
      <c r="Y105" s="34">
        <v>1.3563584455100699</v>
      </c>
      <c r="Z105" s="34">
        <v>1.3350287065111299</v>
      </c>
      <c r="AA105" s="34">
        <v>1.3465707414539601</v>
      </c>
      <c r="AB105" s="33">
        <v>268.84380748455197</v>
      </c>
      <c r="AC105" s="33">
        <v>265.49452322796401</v>
      </c>
      <c r="AD105" s="33">
        <v>267.42432948987698</v>
      </c>
      <c r="AE105" s="15">
        <v>3.3679734489575397E-2</v>
      </c>
      <c r="AF105" s="15">
        <v>2.1143377172527698E-2</v>
      </c>
      <c r="AG105" s="15">
        <v>2.8385810752736301E-2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1.2492950201244503E-2</v>
      </c>
      <c r="AT105" s="12"/>
      <c r="AU105">
        <f t="shared" si="30"/>
        <v>1</v>
      </c>
      <c r="AV105">
        <f t="shared" si="31"/>
        <v>0</v>
      </c>
      <c r="AW105">
        <f t="shared" si="38"/>
        <v>1</v>
      </c>
      <c r="AX105">
        <f t="shared" si="25"/>
        <v>1</v>
      </c>
      <c r="AY105">
        <f t="shared" si="39"/>
        <v>1</v>
      </c>
      <c r="AZ105" s="28">
        <f t="shared" si="32"/>
        <v>-1.24376555754878E-2</v>
      </c>
      <c r="BA105" s="28">
        <f t="shared" si="33"/>
        <v>7.6075360625273598E-3</v>
      </c>
      <c r="BB105" s="28">
        <f t="shared" si="40"/>
        <v>-4.8301195129604405E-3</v>
      </c>
      <c r="BC105" s="29">
        <f t="shared" si="41"/>
        <v>-3.7038680250603678E-3</v>
      </c>
      <c r="BE105" s="29">
        <f t="shared" si="42"/>
        <v>-4.8301195129604405E-3</v>
      </c>
      <c r="BF105" s="29">
        <f t="shared" si="43"/>
        <v>8.7890821761841282E-3</v>
      </c>
      <c r="BH105" s="29"/>
    </row>
    <row r="106" spans="1:60" x14ac:dyDescent="0.25">
      <c r="A106" s="1">
        <v>46176</v>
      </c>
      <c r="B106" s="33">
        <v>196.23</v>
      </c>
      <c r="C106" s="33">
        <v>257.56</v>
      </c>
      <c r="D106" s="15">
        <v>-1.0039634068672899E-2</v>
      </c>
      <c r="E106" s="15">
        <v>-9.1981324834596208E-3</v>
      </c>
      <c r="F106" s="33">
        <v>0</v>
      </c>
      <c r="G106" s="33">
        <v>0.16750999999999999</v>
      </c>
      <c r="H106" s="33">
        <v>0</v>
      </c>
      <c r="I106" s="33">
        <v>6.9825999999999999E-2</v>
      </c>
      <c r="J106" s="33">
        <v>0</v>
      </c>
      <c r="K106" s="33">
        <v>0</v>
      </c>
      <c r="L106" s="33">
        <v>196.23</v>
      </c>
      <c r="M106" s="33">
        <v>257.56</v>
      </c>
      <c r="N106" s="34">
        <v>1.31254140549355</v>
      </c>
      <c r="O106" s="34">
        <v>1.3563381687199101</v>
      </c>
      <c r="P106" s="34">
        <v>1.3308868646084</v>
      </c>
      <c r="Q106" s="34">
        <v>1.34422099593439</v>
      </c>
      <c r="R106" s="33">
        <v>266.15423884790903</v>
      </c>
      <c r="S106" s="33">
        <v>261.97268307867898</v>
      </c>
      <c r="T106" s="33">
        <v>264.23757659551001</v>
      </c>
      <c r="U106" s="15">
        <v>3.2823283359282598E-2</v>
      </c>
      <c r="V106" s="15">
        <v>1.69875325968699E-2</v>
      </c>
      <c r="W106" s="15">
        <v>2.5595907145513401E-2</v>
      </c>
      <c r="X106" s="34">
        <v>1.31254140549355</v>
      </c>
      <c r="Y106" s="34">
        <v>1.3563584455100699</v>
      </c>
      <c r="Z106" s="34">
        <v>1.3308868646084</v>
      </c>
      <c r="AA106" s="34">
        <v>1.34422099593439</v>
      </c>
      <c r="AB106" s="33">
        <v>266.15821776244201</v>
      </c>
      <c r="AC106" s="33">
        <v>261.97268307867898</v>
      </c>
      <c r="AD106" s="33">
        <v>264.23757659551001</v>
      </c>
      <c r="AE106" s="15">
        <v>3.2838232904362101E-2</v>
      </c>
      <c r="AF106" s="15">
        <v>1.69875325968699E-2</v>
      </c>
      <c r="AG106" s="15">
        <v>2.5595907145513699E-2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1.2492950201244503E-2</v>
      </c>
      <c r="AT106" s="12"/>
      <c r="AU106">
        <f t="shared" si="30"/>
        <v>1</v>
      </c>
      <c r="AV106">
        <f t="shared" si="31"/>
        <v>0</v>
      </c>
      <c r="AW106">
        <f t="shared" si="38"/>
        <v>1</v>
      </c>
      <c r="AX106">
        <f t="shared" si="25"/>
        <v>1</v>
      </c>
      <c r="AY106">
        <f t="shared" si="39"/>
        <v>1</v>
      </c>
      <c r="AZ106" s="28">
        <f t="shared" si="32"/>
        <v>1.0039634068672899E-2</v>
      </c>
      <c r="BA106" s="28">
        <f t="shared" si="33"/>
        <v>-9.1981324834596208E-3</v>
      </c>
      <c r="BB106" s="28">
        <f t="shared" si="40"/>
        <v>8.4150158521327859E-4</v>
      </c>
      <c r="BC106" s="29">
        <f t="shared" si="41"/>
        <v>-2.8623664398470892E-3</v>
      </c>
      <c r="BE106" s="29">
        <f t="shared" si="42"/>
        <v>8.4150158521327859E-4</v>
      </c>
      <c r="BF106" s="29">
        <f t="shared" si="43"/>
        <v>9.6305837613974068E-3</v>
      </c>
      <c r="BH106" s="29"/>
    </row>
    <row r="107" spans="1:60" x14ac:dyDescent="0.25">
      <c r="A107" s="1">
        <v>46177</v>
      </c>
      <c r="B107" s="33">
        <v>193.17</v>
      </c>
      <c r="C107" s="33">
        <v>256.42</v>
      </c>
      <c r="D107" s="15">
        <v>-1.57168104230292E-2</v>
      </c>
      <c r="E107" s="15">
        <v>-4.4359775454281304E-3</v>
      </c>
      <c r="F107" s="33">
        <v>0</v>
      </c>
      <c r="G107" s="33">
        <v>0.16750999999999999</v>
      </c>
      <c r="H107" s="33">
        <v>0</v>
      </c>
      <c r="I107" s="33">
        <v>6.9825999999999999E-2</v>
      </c>
      <c r="J107" s="33">
        <v>0</v>
      </c>
      <c r="K107" s="33">
        <v>0</v>
      </c>
      <c r="L107" s="33">
        <v>193.17</v>
      </c>
      <c r="M107" s="33">
        <v>256.42</v>
      </c>
      <c r="N107" s="34">
        <v>1.3274317958274999</v>
      </c>
      <c r="O107" s="34">
        <v>1.3563381687199101</v>
      </c>
      <c r="P107" s="34">
        <v>1.3285222198714</v>
      </c>
      <c r="Q107" s="34">
        <v>1.3423340431156401</v>
      </c>
      <c r="R107" s="33">
        <v>262.003844051626</v>
      </c>
      <c r="S107" s="33">
        <v>257.08741563640399</v>
      </c>
      <c r="T107" s="33">
        <v>259.66316978464698</v>
      </c>
      <c r="U107" s="15">
        <v>2.1542450481681401E-2</v>
      </c>
      <c r="V107" s="15">
        <v>2.5994405996778102E-3</v>
      </c>
      <c r="W107" s="15">
        <v>1.2568565176036E-2</v>
      </c>
      <c r="X107" s="34">
        <v>1.3274317958274999</v>
      </c>
      <c r="Y107" s="34">
        <v>1.3563584455100699</v>
      </c>
      <c r="Z107" s="34">
        <v>1.3285222198714</v>
      </c>
      <c r="AA107" s="34">
        <v>1.3423340431156401</v>
      </c>
      <c r="AB107" s="33">
        <v>262.00776091918101</v>
      </c>
      <c r="AC107" s="33">
        <v>257.08741563640399</v>
      </c>
      <c r="AD107" s="33">
        <v>259.66316978464698</v>
      </c>
      <c r="AE107" s="15">
        <v>2.1557400026760799E-2</v>
      </c>
      <c r="AF107" s="15">
        <v>2.5994405996775899E-3</v>
      </c>
      <c r="AG107" s="15">
        <v>1.2568565176036E-2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1.2492950201244503E-2</v>
      </c>
      <c r="AT107" s="12"/>
      <c r="AU107">
        <f t="shared" si="30"/>
        <v>1</v>
      </c>
      <c r="AV107">
        <f t="shared" si="31"/>
        <v>0</v>
      </c>
      <c r="AW107">
        <f t="shared" si="38"/>
        <v>1</v>
      </c>
      <c r="AX107">
        <f t="shared" si="25"/>
        <v>1</v>
      </c>
      <c r="AY107">
        <f t="shared" si="39"/>
        <v>1</v>
      </c>
      <c r="AZ107" s="28">
        <f t="shared" si="32"/>
        <v>1.57168104230292E-2</v>
      </c>
      <c r="BA107" s="28">
        <f t="shared" si="33"/>
        <v>-4.4359775454281304E-3</v>
      </c>
      <c r="BB107" s="28">
        <f t="shared" si="40"/>
        <v>1.1280832877601069E-2</v>
      </c>
      <c r="BC107" s="29">
        <f t="shared" si="41"/>
        <v>8.4184664377539801E-3</v>
      </c>
      <c r="BE107" s="29">
        <f t="shared" si="42"/>
        <v>1.1280832877601069E-2</v>
      </c>
      <c r="BF107" s="29">
        <f t="shared" si="43"/>
        <v>2.0911416638998474E-2</v>
      </c>
      <c r="BH107" s="29"/>
    </row>
    <row r="108" spans="1:60" x14ac:dyDescent="0.25">
      <c r="A108" s="1">
        <v>46178</v>
      </c>
      <c r="B108" s="33">
        <v>180.3</v>
      </c>
      <c r="C108" s="33">
        <v>241.25</v>
      </c>
      <c r="D108" s="15">
        <v>-6.8948500008930005E-2</v>
      </c>
      <c r="E108" s="15">
        <v>-6.0982984905459302E-2</v>
      </c>
      <c r="F108" s="33">
        <v>0</v>
      </c>
      <c r="G108" s="33">
        <v>0.16750999999999999</v>
      </c>
      <c r="H108" s="33">
        <v>0</v>
      </c>
      <c r="I108" s="33">
        <v>6.9825999999999999E-2</v>
      </c>
      <c r="J108" s="33">
        <v>0</v>
      </c>
      <c r="K108" s="33">
        <v>0</v>
      </c>
      <c r="L108" s="33">
        <v>180.3</v>
      </c>
      <c r="M108" s="33">
        <v>241.25</v>
      </c>
      <c r="N108" s="34">
        <v>1.33804769828064</v>
      </c>
      <c r="O108" s="34">
        <v>1.3563381687199101</v>
      </c>
      <c r="P108" s="34">
        <v>1.3279036974262299</v>
      </c>
      <c r="Q108" s="34">
        <v>1.34079986724236</v>
      </c>
      <c r="R108" s="33">
        <v>244.54777182020001</v>
      </c>
      <c r="S108" s="33">
        <v>239.532556242814</v>
      </c>
      <c r="T108" s="33">
        <v>242.02282797375099</v>
      </c>
      <c r="U108" s="15">
        <v>1.35769353782108E-2</v>
      </c>
      <c r="V108" s="15">
        <v>-7.1443983983498702E-3</v>
      </c>
      <c r="W108" s="15">
        <v>3.19831195879763E-3</v>
      </c>
      <c r="X108" s="34">
        <v>1.33804769828064</v>
      </c>
      <c r="Y108" s="34">
        <v>1.3563584455100699</v>
      </c>
      <c r="Z108" s="34">
        <v>1.3279036974262299</v>
      </c>
      <c r="AA108" s="34">
        <v>1.34079986724236</v>
      </c>
      <c r="AB108" s="33">
        <v>244.551427725466</v>
      </c>
      <c r="AC108" s="33">
        <v>239.532556242814</v>
      </c>
      <c r="AD108" s="33">
        <v>242.02282797375099</v>
      </c>
      <c r="AE108" s="15">
        <v>1.3591884923290099E-2</v>
      </c>
      <c r="AF108" s="15">
        <v>-7.1443983983498702E-3</v>
      </c>
      <c r="AG108" s="15">
        <v>3.1983119587978498E-3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1.2492950201244503E-2</v>
      </c>
      <c r="AT108" s="12"/>
      <c r="AU108">
        <f t="shared" si="30"/>
        <v>1</v>
      </c>
      <c r="AV108">
        <f t="shared" si="31"/>
        <v>0</v>
      </c>
      <c r="AW108">
        <f t="shared" si="38"/>
        <v>1</v>
      </c>
      <c r="AX108">
        <f t="shared" si="25"/>
        <v>1</v>
      </c>
      <c r="AY108">
        <f t="shared" si="39"/>
        <v>1</v>
      </c>
      <c r="AZ108" s="28">
        <f t="shared" si="32"/>
        <v>6.8948500008930005E-2</v>
      </c>
      <c r="BA108" s="28">
        <f t="shared" si="33"/>
        <v>-6.0982984905459302E-2</v>
      </c>
      <c r="BB108" s="28">
        <f t="shared" si="40"/>
        <v>7.9655151034707036E-3</v>
      </c>
      <c r="BC108" s="29">
        <f t="shared" si="41"/>
        <v>1.6383981541224682E-2</v>
      </c>
      <c r="BE108" s="29">
        <f t="shared" si="42"/>
        <v>7.9655151034707036E-3</v>
      </c>
      <c r="BF108" s="29">
        <f t="shared" si="43"/>
        <v>2.8876931742469178E-2</v>
      </c>
      <c r="BH108" s="29"/>
    </row>
    <row r="109" spans="1:60" x14ac:dyDescent="0.25">
      <c r="A109" s="1">
        <v>46181</v>
      </c>
      <c r="B109" s="33">
        <v>184.18</v>
      </c>
      <c r="C109" s="33">
        <v>245.13</v>
      </c>
      <c r="D109" s="15">
        <v>2.1291410083949299E-2</v>
      </c>
      <c r="E109" s="15">
        <v>1.5954941845630399E-2</v>
      </c>
      <c r="F109" s="33">
        <v>0</v>
      </c>
      <c r="G109" s="33">
        <v>0.16750999999999999</v>
      </c>
      <c r="H109" s="33">
        <v>0</v>
      </c>
      <c r="I109" s="33">
        <v>6.9825999999999999E-2</v>
      </c>
      <c r="J109" s="33">
        <v>0</v>
      </c>
      <c r="K109" s="33">
        <v>0</v>
      </c>
      <c r="L109" s="33">
        <v>184.18</v>
      </c>
      <c r="M109" s="33">
        <v>245.13</v>
      </c>
      <c r="N109" s="34">
        <v>1.3309262677815099</v>
      </c>
      <c r="O109" s="34">
        <v>1.3563381687199101</v>
      </c>
      <c r="P109" s="34">
        <v>1.32697004780325</v>
      </c>
      <c r="Q109" s="34">
        <v>1.33936532374902</v>
      </c>
      <c r="R109" s="33">
        <v>249.810363914834</v>
      </c>
      <c r="S109" s="33">
        <v>244.573302991963</v>
      </c>
      <c r="T109" s="33">
        <v>246.94851954869699</v>
      </c>
      <c r="U109" s="15">
        <v>1.89134036165296E-2</v>
      </c>
      <c r="V109" s="15">
        <v>-2.2736103450661099E-3</v>
      </c>
      <c r="W109" s="15">
        <v>7.3912099604191896E-3</v>
      </c>
      <c r="X109" s="34">
        <v>1.3309262677815099</v>
      </c>
      <c r="Y109" s="34">
        <v>1.3563584455100699</v>
      </c>
      <c r="Z109" s="34">
        <v>1.32697004780325</v>
      </c>
      <c r="AA109" s="34">
        <v>1.33936532374902</v>
      </c>
      <c r="AB109" s="33">
        <v>249.814098494045</v>
      </c>
      <c r="AC109" s="33">
        <v>244.573302991963</v>
      </c>
      <c r="AD109" s="33">
        <v>246.94851954869799</v>
      </c>
      <c r="AE109" s="15">
        <v>1.89283531616091E-2</v>
      </c>
      <c r="AF109" s="15">
        <v>-2.2736103450661099E-3</v>
      </c>
      <c r="AG109" s="15">
        <v>7.3912099604194099E-3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1.2492950201244503E-2</v>
      </c>
      <c r="AT109" s="12"/>
      <c r="AU109">
        <f t="shared" si="30"/>
        <v>1</v>
      </c>
      <c r="AV109">
        <f t="shared" si="31"/>
        <v>0</v>
      </c>
      <c r="AW109">
        <f t="shared" si="38"/>
        <v>1</v>
      </c>
      <c r="AX109">
        <f t="shared" si="25"/>
        <v>1</v>
      </c>
      <c r="AY109">
        <f t="shared" si="39"/>
        <v>1</v>
      </c>
      <c r="AZ109" s="28">
        <f t="shared" si="32"/>
        <v>-2.1291410083949299E-2</v>
      </c>
      <c r="BA109" s="28">
        <f t="shared" si="33"/>
        <v>1.5954941845630399E-2</v>
      </c>
      <c r="BB109" s="28">
        <f t="shared" si="40"/>
        <v>-5.3364682383188998E-3</v>
      </c>
      <c r="BC109" s="29">
        <f t="shared" si="41"/>
        <v>1.1047513302905782E-2</v>
      </c>
      <c r="BE109" s="29">
        <f t="shared" si="42"/>
        <v>-5.3364682383188998E-3</v>
      </c>
      <c r="BF109" s="29">
        <f t="shared" si="43"/>
        <v>2.3540463504150278E-2</v>
      </c>
      <c r="BH109" s="29"/>
    </row>
    <row r="110" spans="1:60" x14ac:dyDescent="0.25">
      <c r="A110" s="1">
        <v>46182</v>
      </c>
      <c r="B110" s="33">
        <v>180.77</v>
      </c>
      <c r="C110" s="33">
        <v>241.08</v>
      </c>
      <c r="D110" s="15">
        <v>-1.8688035306457799E-2</v>
      </c>
      <c r="E110" s="15">
        <v>-1.66598534498823E-2</v>
      </c>
      <c r="F110" s="33">
        <v>0</v>
      </c>
      <c r="G110" s="33">
        <v>0.16750999999999999</v>
      </c>
      <c r="H110" s="33">
        <v>0</v>
      </c>
      <c r="I110" s="33">
        <v>6.9825999999999999E-2</v>
      </c>
      <c r="J110" s="33">
        <v>0</v>
      </c>
      <c r="K110" s="33">
        <v>0</v>
      </c>
      <c r="L110" s="33">
        <v>180.77</v>
      </c>
      <c r="M110" s="33">
        <v>241.08</v>
      </c>
      <c r="N110" s="34">
        <v>1.33362836753886</v>
      </c>
      <c r="O110" s="34">
        <v>1.3563381687199101</v>
      </c>
      <c r="P110" s="34">
        <v>1.3266934765415801</v>
      </c>
      <c r="Q110" s="34">
        <v>1.3385742887866401</v>
      </c>
      <c r="R110" s="33">
        <v>245.18525075949901</v>
      </c>
      <c r="S110" s="33">
        <v>239.876375541394</v>
      </c>
      <c r="T110" s="33">
        <v>242.11706957411201</v>
      </c>
      <c r="U110" s="15">
        <v>1.6885221759953901E-2</v>
      </c>
      <c r="V110" s="15">
        <v>-5.0051398942739401E-3</v>
      </c>
      <c r="W110" s="15">
        <v>4.2925391390999301E-3</v>
      </c>
      <c r="X110" s="34">
        <v>1.33362836753886</v>
      </c>
      <c r="Y110" s="34">
        <v>1.3563584455100699</v>
      </c>
      <c r="Z110" s="34">
        <v>1.3266934765415801</v>
      </c>
      <c r="AA110" s="34">
        <v>1.3385742887866401</v>
      </c>
      <c r="AB110" s="33">
        <v>245.18891619485601</v>
      </c>
      <c r="AC110" s="33">
        <v>239.876375541394</v>
      </c>
      <c r="AD110" s="33">
        <v>242.11706957411201</v>
      </c>
      <c r="AE110" s="15">
        <v>1.6900171305033299E-2</v>
      </c>
      <c r="AF110" s="15">
        <v>-5.0051398942739401E-3</v>
      </c>
      <c r="AG110" s="15">
        <v>4.2925391390999301E-3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1.2492950201244503E-2</v>
      </c>
      <c r="AT110" s="12"/>
      <c r="AU110">
        <f t="shared" si="30"/>
        <v>1</v>
      </c>
      <c r="AV110">
        <f t="shared" si="31"/>
        <v>0</v>
      </c>
      <c r="AW110">
        <f t="shared" si="38"/>
        <v>1</v>
      </c>
      <c r="AX110">
        <f t="shared" si="25"/>
        <v>1</v>
      </c>
      <c r="AY110">
        <f t="shared" si="39"/>
        <v>1</v>
      </c>
      <c r="AZ110" s="28">
        <f t="shared" si="32"/>
        <v>1.8688035306457799E-2</v>
      </c>
      <c r="BA110" s="28">
        <f t="shared" si="33"/>
        <v>-1.66598534498823E-2</v>
      </c>
      <c r="BB110" s="28">
        <f t="shared" si="40"/>
        <v>2.0281818565754985E-3</v>
      </c>
      <c r="BC110" s="29">
        <f t="shared" si="41"/>
        <v>1.3075695159481281E-2</v>
      </c>
      <c r="BE110" s="29">
        <f t="shared" si="42"/>
        <v>2.0281818565754985E-3</v>
      </c>
      <c r="BF110" s="29">
        <f t="shared" si="43"/>
        <v>2.5568645360725777E-2</v>
      </c>
      <c r="BH110" s="29"/>
    </row>
    <row r="111" spans="1:60" x14ac:dyDescent="0.25">
      <c r="A111" s="1">
        <v>46183</v>
      </c>
      <c r="B111" s="33">
        <v>176.63</v>
      </c>
      <c r="C111" s="33">
        <v>235.4</v>
      </c>
      <c r="D111" s="15">
        <v>-2.3168355819410898E-2</v>
      </c>
      <c r="E111" s="15">
        <v>-2.3842633788667002E-2</v>
      </c>
      <c r="F111" s="33">
        <v>0</v>
      </c>
      <c r="G111" s="33">
        <v>0.16750999999999999</v>
      </c>
      <c r="H111" s="33">
        <v>0</v>
      </c>
      <c r="I111" s="33">
        <v>6.9825999999999999E-2</v>
      </c>
      <c r="J111" s="33">
        <v>0</v>
      </c>
      <c r="K111" s="33">
        <v>0</v>
      </c>
      <c r="L111" s="33">
        <v>176.63</v>
      </c>
      <c r="M111" s="33">
        <v>235.4</v>
      </c>
      <c r="N111" s="34">
        <v>1.33272943441091</v>
      </c>
      <c r="O111" s="34">
        <v>1.3563381687199101</v>
      </c>
      <c r="P111" s="34">
        <v>1.3264035506013301</v>
      </c>
      <c r="Q111" s="34">
        <v>1.3375537970368601</v>
      </c>
      <c r="R111" s="33">
        <v>239.57001074099799</v>
      </c>
      <c r="S111" s="33">
        <v>234.33386876153901</v>
      </c>
      <c r="T111" s="33">
        <v>236.43237662838399</v>
      </c>
      <c r="U111" s="15">
        <v>1.7559499729210001E-2</v>
      </c>
      <c r="V111" s="15">
        <v>-4.5393067863455597E-3</v>
      </c>
      <c r="W111" s="15">
        <v>4.3760383008796897E-3</v>
      </c>
      <c r="X111" s="34">
        <v>1.33272943441091</v>
      </c>
      <c r="Y111" s="34">
        <v>1.3563584455100699</v>
      </c>
      <c r="Z111" s="34">
        <v>1.3264035506013301</v>
      </c>
      <c r="AA111" s="34">
        <v>1.3375537970368601</v>
      </c>
      <c r="AB111" s="33">
        <v>239.57359223044401</v>
      </c>
      <c r="AC111" s="33">
        <v>234.33386876153901</v>
      </c>
      <c r="AD111" s="33">
        <v>236.43237662838399</v>
      </c>
      <c r="AE111" s="15">
        <v>1.7574449274289399E-2</v>
      </c>
      <c r="AF111" s="15">
        <v>-4.5393067863456699E-3</v>
      </c>
      <c r="AG111" s="15">
        <v>4.3760383008794703E-3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1.2492950201244503E-2</v>
      </c>
      <c r="AT111" s="12"/>
      <c r="AU111">
        <f t="shared" si="30"/>
        <v>1</v>
      </c>
      <c r="AV111">
        <f t="shared" si="31"/>
        <v>0</v>
      </c>
      <c r="AW111">
        <f t="shared" si="38"/>
        <v>1</v>
      </c>
      <c r="AX111">
        <f t="shared" si="25"/>
        <v>1</v>
      </c>
      <c r="AY111">
        <f t="shared" si="39"/>
        <v>1</v>
      </c>
      <c r="AZ111" s="28">
        <f t="shared" si="32"/>
        <v>2.3168355819410898E-2</v>
      </c>
      <c r="BA111" s="28">
        <f t="shared" si="33"/>
        <v>-2.3842633788667002E-2</v>
      </c>
      <c r="BB111" s="28">
        <f t="shared" si="40"/>
        <v>-6.7427796925610337E-4</v>
      </c>
      <c r="BC111" s="29">
        <f t="shared" si="41"/>
        <v>1.2401417190225177E-2</v>
      </c>
      <c r="BE111" s="29">
        <f t="shared" si="42"/>
        <v>-6.7427796925610337E-4</v>
      </c>
      <c r="BF111" s="29">
        <f t="shared" si="43"/>
        <v>2.4894367391469673E-2</v>
      </c>
      <c r="BH111" s="29"/>
    </row>
    <row r="112" spans="1:60" x14ac:dyDescent="0.25">
      <c r="A112" s="1">
        <v>46184</v>
      </c>
      <c r="B112" s="33">
        <v>183.21</v>
      </c>
      <c r="C112" s="33">
        <v>243.35</v>
      </c>
      <c r="D112" s="15">
        <v>3.6575886735800998E-2</v>
      </c>
      <c r="E112" s="15">
        <v>3.3214541453286901E-2</v>
      </c>
      <c r="F112" s="33">
        <v>0</v>
      </c>
      <c r="G112" s="33">
        <v>0.16750999999999999</v>
      </c>
      <c r="H112" s="33">
        <v>0</v>
      </c>
      <c r="I112" s="33">
        <v>6.9825999999999999E-2</v>
      </c>
      <c r="J112" s="33">
        <v>0</v>
      </c>
      <c r="K112" s="33">
        <v>0</v>
      </c>
      <c r="L112" s="33">
        <v>183.21</v>
      </c>
      <c r="M112" s="33">
        <v>243.35</v>
      </c>
      <c r="N112" s="34">
        <v>1.3282571912013501</v>
      </c>
      <c r="O112" s="34">
        <v>1.3563381687199101</v>
      </c>
      <c r="P112" s="34">
        <v>1.3256836448887199</v>
      </c>
      <c r="Q112" s="34">
        <v>1.3359259441287401</v>
      </c>
      <c r="R112" s="33">
        <v>248.49471589117499</v>
      </c>
      <c r="S112" s="33">
        <v>243.010394505671</v>
      </c>
      <c r="T112" s="33">
        <v>245.053231155124</v>
      </c>
      <c r="U112" s="15">
        <v>2.0920845011724101E-2</v>
      </c>
      <c r="V112" s="15">
        <v>-1.3965181102679599E-3</v>
      </c>
      <c r="W112" s="15">
        <v>6.97472068646864E-3</v>
      </c>
      <c r="X112" s="34">
        <v>1.3282571912013501</v>
      </c>
      <c r="Y112" s="34">
        <v>1.3563584455100699</v>
      </c>
      <c r="Z112" s="34">
        <v>1.3256836448887199</v>
      </c>
      <c r="AA112" s="34">
        <v>1.3359259441287401</v>
      </c>
      <c r="AB112" s="33">
        <v>248.49843080190101</v>
      </c>
      <c r="AC112" s="33">
        <v>243.010394505671</v>
      </c>
      <c r="AD112" s="33">
        <v>245.053231155124</v>
      </c>
      <c r="AE112" s="15">
        <v>2.09357945568036E-2</v>
      </c>
      <c r="AF112" s="15">
        <v>-1.3965181102679599E-3</v>
      </c>
      <c r="AG112" s="15">
        <v>6.97472068646864E-3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1.2492950201244503E-2</v>
      </c>
      <c r="AT112" s="12"/>
      <c r="AU112">
        <f t="shared" si="30"/>
        <v>1</v>
      </c>
      <c r="AV112">
        <f t="shared" si="31"/>
        <v>0</v>
      </c>
      <c r="AW112">
        <f t="shared" si="38"/>
        <v>1</v>
      </c>
      <c r="AX112">
        <f t="shared" si="25"/>
        <v>1</v>
      </c>
      <c r="AY112">
        <f t="shared" si="39"/>
        <v>1</v>
      </c>
      <c r="AZ112" s="28">
        <f t="shared" si="32"/>
        <v>-3.6575886735800998E-2</v>
      </c>
      <c r="BA112" s="28">
        <f t="shared" si="33"/>
        <v>3.3214541453286901E-2</v>
      </c>
      <c r="BB112" s="28">
        <f t="shared" si="40"/>
        <v>-3.3613452825140971E-3</v>
      </c>
      <c r="BC112" s="29">
        <f t="shared" si="41"/>
        <v>9.0400719077110801E-3</v>
      </c>
      <c r="BE112" s="29">
        <f t="shared" si="42"/>
        <v>-3.3613452825140971E-3</v>
      </c>
      <c r="BF112" s="29">
        <f t="shared" si="43"/>
        <v>2.1533022108955576E-2</v>
      </c>
      <c r="BH112" s="29"/>
    </row>
    <row r="113" spans="1:60" x14ac:dyDescent="0.25">
      <c r="A113" s="1">
        <v>46185</v>
      </c>
      <c r="B113" s="33">
        <v>184.8</v>
      </c>
      <c r="C113" s="33">
        <v>244.83</v>
      </c>
      <c r="D113" s="15">
        <v>8.6411233044308092E-3</v>
      </c>
      <c r="E113" s="15">
        <v>6.0633558697978703E-3</v>
      </c>
      <c r="F113" s="33">
        <v>0</v>
      </c>
      <c r="G113" s="33">
        <v>0.16750999999999999</v>
      </c>
      <c r="H113" s="33">
        <v>0</v>
      </c>
      <c r="I113" s="33">
        <v>6.9825999999999999E-2</v>
      </c>
      <c r="J113" s="33">
        <v>0</v>
      </c>
      <c r="K113" s="33">
        <v>0</v>
      </c>
      <c r="L113" s="33">
        <v>184.8</v>
      </c>
      <c r="M113" s="33">
        <v>244.83</v>
      </c>
      <c r="N113" s="34">
        <v>1.3248376623376601</v>
      </c>
      <c r="O113" s="34">
        <v>1.3563381687199101</v>
      </c>
      <c r="P113" s="34">
        <v>1.3257624273511499</v>
      </c>
      <c r="Q113" s="34">
        <v>1.3344630918695799</v>
      </c>
      <c r="R113" s="33">
        <v>250.65129357943999</v>
      </c>
      <c r="S113" s="33">
        <v>244.98633757543499</v>
      </c>
      <c r="T113" s="33">
        <v>246.87911447499101</v>
      </c>
      <c r="U113" s="15">
        <v>2.3498612446356999E-2</v>
      </c>
      <c r="V113" s="15">
        <v>6.38351842317945E-4</v>
      </c>
      <c r="W113" s="15">
        <v>8.3347095950599207E-3</v>
      </c>
      <c r="X113" s="34">
        <v>1.3248376623376601</v>
      </c>
      <c r="Y113" s="34">
        <v>1.3563584455100699</v>
      </c>
      <c r="Z113" s="34">
        <v>1.3257624273511499</v>
      </c>
      <c r="AA113" s="34">
        <v>1.3344630918695799</v>
      </c>
      <c r="AB113" s="33">
        <v>250.65504073026199</v>
      </c>
      <c r="AC113" s="33">
        <v>244.98633757543499</v>
      </c>
      <c r="AD113" s="33">
        <v>246.87911447499101</v>
      </c>
      <c r="AE113" s="15">
        <v>2.3513561991436501E-2</v>
      </c>
      <c r="AF113" s="15">
        <v>6.38351842317945E-4</v>
      </c>
      <c r="AG113" s="15">
        <v>8.3347095950599207E-3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0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1.2492950201244503E-2</v>
      </c>
      <c r="AT113" s="12"/>
      <c r="AU113">
        <f t="shared" si="30"/>
        <v>1</v>
      </c>
      <c r="AV113">
        <f t="shared" si="31"/>
        <v>0</v>
      </c>
      <c r="AW113">
        <f t="shared" si="38"/>
        <v>1</v>
      </c>
      <c r="AX113">
        <f t="shared" si="25"/>
        <v>0</v>
      </c>
      <c r="AY113">
        <f t="shared" si="39"/>
        <v>1</v>
      </c>
      <c r="AZ113" s="28">
        <f t="shared" si="32"/>
        <v>-8.6411233044308092E-3</v>
      </c>
      <c r="BA113" s="28">
        <f t="shared" si="33"/>
        <v>6.0633558697978703E-3</v>
      </c>
      <c r="BB113" s="28">
        <f t="shared" si="40"/>
        <v>-2.5777674346329389E-3</v>
      </c>
      <c r="BC113" s="29">
        <f t="shared" si="41"/>
        <v>6.4623044730781412E-3</v>
      </c>
      <c r="BE113" s="29">
        <f t="shared" si="42"/>
        <v>-2.5777674346329389E-3</v>
      </c>
      <c r="BF113" s="29">
        <f t="shared" si="43"/>
        <v>1.8955254674322637E-2</v>
      </c>
      <c r="BH113" s="29"/>
    </row>
    <row r="114" spans="1:60" x14ac:dyDescent="0.25">
      <c r="A114" s="1">
        <v>46188</v>
      </c>
      <c r="B114" s="33">
        <v>191.79</v>
      </c>
      <c r="C114" s="33">
        <v>253.97</v>
      </c>
      <c r="D114" s="15">
        <v>3.71268642391612E-2</v>
      </c>
      <c r="E114" s="15">
        <v>3.6652057657491702E-2</v>
      </c>
      <c r="F114" s="33">
        <v>0</v>
      </c>
      <c r="G114" s="33">
        <v>0.16750999999999999</v>
      </c>
      <c r="H114" s="33">
        <v>7.1818999999999994E-2</v>
      </c>
      <c r="I114" s="33">
        <v>0.14164499999999999</v>
      </c>
      <c r="J114" s="33">
        <v>0</v>
      </c>
      <c r="K114" s="33">
        <v>7.1818999999999994E-2</v>
      </c>
      <c r="L114" s="33">
        <v>191.79</v>
      </c>
      <c r="M114" s="33">
        <v>254.041819</v>
      </c>
      <c r="N114" s="34">
        <v>1.3242087700088601</v>
      </c>
      <c r="O114" s="34">
        <v>1.3563381687199101</v>
      </c>
      <c r="P114" s="34">
        <v>1.3264045957292301</v>
      </c>
      <c r="Q114" s="34">
        <v>1.3329326929707199</v>
      </c>
      <c r="R114" s="33">
        <v>260.13209737879203</v>
      </c>
      <c r="S114" s="33">
        <v>254.26797594167701</v>
      </c>
      <c r="T114" s="33">
        <v>255.93667638966701</v>
      </c>
      <c r="U114" s="15">
        <v>2.39734190280264E-2</v>
      </c>
      <c r="V114" s="15">
        <v>1.1725844581666599E-3</v>
      </c>
      <c r="W114" s="15">
        <v>7.7139062219473697E-3</v>
      </c>
      <c r="X114" s="34">
        <v>1.3245832368736601</v>
      </c>
      <c r="Y114" s="34">
        <v>1.3563584455100699</v>
      </c>
      <c r="Z114" s="34">
        <v>1.32644204241571</v>
      </c>
      <c r="AA114" s="34">
        <v>1.33295141631396</v>
      </c>
      <c r="AB114" s="33">
        <v>260.13598626437698</v>
      </c>
      <c r="AC114" s="33">
        <v>254.26797594167701</v>
      </c>
      <c r="AD114" s="33">
        <v>255.93667638966701</v>
      </c>
      <c r="AE114" s="15">
        <v>2.37056231810014E-2</v>
      </c>
      <c r="AF114" s="15">
        <v>8.8983906606208095E-4</v>
      </c>
      <c r="AG114" s="15">
        <v>7.4311608298427796E-3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1.2492950201244503E-2</v>
      </c>
      <c r="AT114" s="12"/>
      <c r="AU114">
        <f t="shared" si="30"/>
        <v>1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6.4623044730781412E-3</v>
      </c>
      <c r="BE114" s="29">
        <f t="shared" si="42"/>
        <v>0</v>
      </c>
      <c r="BF114" s="29">
        <f t="shared" si="43"/>
        <v>1.8955254674322637E-2</v>
      </c>
      <c r="BH114" s="29"/>
    </row>
    <row r="115" spans="1:60" x14ac:dyDescent="0.25">
      <c r="A115" s="1">
        <v>46189</v>
      </c>
      <c r="B115" s="33">
        <v>186.44</v>
      </c>
      <c r="C115" s="33">
        <v>248.07</v>
      </c>
      <c r="D115" s="15">
        <v>-2.8291551942204899E-2</v>
      </c>
      <c r="E115" s="15">
        <v>-2.3505185404567801E-2</v>
      </c>
      <c r="F115" s="33">
        <v>0</v>
      </c>
      <c r="G115" s="33">
        <v>0.16750999999999999</v>
      </c>
      <c r="H115" s="33">
        <v>0</v>
      </c>
      <c r="I115" s="33">
        <v>0.14164499999999999</v>
      </c>
      <c r="J115" s="33">
        <v>0</v>
      </c>
      <c r="K115" s="33">
        <v>7.1818999999999994E-2</v>
      </c>
      <c r="L115" s="33">
        <v>186.44</v>
      </c>
      <c r="M115" s="33">
        <v>248.141819</v>
      </c>
      <c r="N115" s="34">
        <v>1.3305621111349399</v>
      </c>
      <c r="O115" s="34">
        <v>1.3563381687199101</v>
      </c>
      <c r="P115" s="34">
        <v>1.3283170704015801</v>
      </c>
      <c r="Q115" s="34">
        <v>1.33167288845635</v>
      </c>
      <c r="R115" s="33">
        <v>252.87568817614101</v>
      </c>
      <c r="S115" s="33">
        <v>247.29487282775801</v>
      </c>
      <c r="T115" s="33">
        <v>248.51197127746201</v>
      </c>
      <c r="U115" s="15">
        <v>1.91870524903896E-2</v>
      </c>
      <c r="V115" s="15">
        <v>-3.1295226907939698E-3</v>
      </c>
      <c r="W115" s="15">
        <v>1.7800541289404899E-3</v>
      </c>
      <c r="X115" s="34">
        <v>1.3309473235357201</v>
      </c>
      <c r="Y115" s="34">
        <v>1.3563584455100699</v>
      </c>
      <c r="Z115" s="34">
        <v>1.3283930383281399</v>
      </c>
      <c r="AA115" s="34">
        <v>1.33171087241963</v>
      </c>
      <c r="AB115" s="33">
        <v>252.87946858089799</v>
      </c>
      <c r="AC115" s="33">
        <v>247.301854387986</v>
      </c>
      <c r="AD115" s="33">
        <v>248.515462057576</v>
      </c>
      <c r="AE115" s="15">
        <v>1.89125329105851E-2</v>
      </c>
      <c r="AF115" s="15">
        <v>-3.3907604916773499E-3</v>
      </c>
      <c r="AG115" s="15">
        <v>1.50463163359687E-3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1.2492950201244503E-2</v>
      </c>
      <c r="AT115" s="12"/>
      <c r="AU115">
        <f t="shared" si="30"/>
        <v>0</v>
      </c>
      <c r="AV115">
        <f t="shared" si="31"/>
        <v>0</v>
      </c>
      <c r="AW115">
        <f t="shared" si="38"/>
        <v>1</v>
      </c>
      <c r="AX115">
        <f t="shared" si="25"/>
        <v>1</v>
      </c>
      <c r="AY115">
        <f t="shared" si="39"/>
        <v>1</v>
      </c>
      <c r="AZ115" s="28">
        <f t="shared" si="32"/>
        <v>2.8291551942204899E-2</v>
      </c>
      <c r="BA115" s="28">
        <f t="shared" si="33"/>
        <v>-2.3505185404567801E-2</v>
      </c>
      <c r="BB115" s="28">
        <f t="shared" si="40"/>
        <v>4.7863665376370983E-3</v>
      </c>
      <c r="BC115" s="29">
        <f t="shared" si="41"/>
        <v>1.1248671010715239E-2</v>
      </c>
      <c r="BE115" s="29">
        <f t="shared" si="42"/>
        <v>4.7863665376370983E-3</v>
      </c>
      <c r="BF115" s="29">
        <f t="shared" si="43"/>
        <v>2.3741621211959735E-2</v>
      </c>
      <c r="BH115" s="29"/>
    </row>
    <row r="116" spans="1:60" x14ac:dyDescent="0.25">
      <c r="A116" s="1">
        <v>46190</v>
      </c>
      <c r="B116" s="33">
        <v>185.8</v>
      </c>
      <c r="C116" s="33">
        <v>246.39</v>
      </c>
      <c r="D116" s="15">
        <v>-3.4386451248020001E-3</v>
      </c>
      <c r="E116" s="15">
        <v>-6.7953179819744396E-3</v>
      </c>
      <c r="F116" s="33">
        <v>0</v>
      </c>
      <c r="G116" s="33">
        <v>0.16750999999999999</v>
      </c>
      <c r="H116" s="33">
        <v>0</v>
      </c>
      <c r="I116" s="33">
        <v>0.14164499999999999</v>
      </c>
      <c r="J116" s="33">
        <v>0</v>
      </c>
      <c r="K116" s="33">
        <v>7.1818999999999994E-2</v>
      </c>
      <c r="L116" s="33">
        <v>185.8</v>
      </c>
      <c r="M116" s="33">
        <v>246.46181899999999</v>
      </c>
      <c r="N116" s="34">
        <v>1.3261033369214199</v>
      </c>
      <c r="O116" s="34">
        <v>1.3563381687199101</v>
      </c>
      <c r="P116" s="34">
        <v>1.32967326354436</v>
      </c>
      <c r="Q116" s="34">
        <v>1.3302800640763801</v>
      </c>
      <c r="R116" s="33">
        <v>252.00763174816001</v>
      </c>
      <c r="S116" s="33">
        <v>246.80131168061399</v>
      </c>
      <c r="T116" s="33">
        <v>247.424822675191</v>
      </c>
      <c r="U116" s="15">
        <v>2.2543725347562001E-2</v>
      </c>
      <c r="V116" s="15">
        <v>1.6679603481718299E-3</v>
      </c>
      <c r="W116" s="15">
        <v>4.1911426812385596E-3</v>
      </c>
      <c r="X116" s="34">
        <v>1.32648987621097</v>
      </c>
      <c r="Y116" s="34">
        <v>1.3563584455100699</v>
      </c>
      <c r="Z116" s="34">
        <v>1.3297878853998799</v>
      </c>
      <c r="AA116" s="34">
        <v>1.3303373750041401</v>
      </c>
      <c r="AB116" s="33">
        <v>252.011399175772</v>
      </c>
      <c r="AC116" s="33">
        <v>246.81542652136801</v>
      </c>
      <c r="AD116" s="33">
        <v>247.431880095568</v>
      </c>
      <c r="AE116" s="15">
        <v>2.2267232322117501E-2</v>
      </c>
      <c r="AF116" s="15">
        <v>1.4337072514474501E-3</v>
      </c>
      <c r="AG116" s="15">
        <v>3.92822319765354E-3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1.2492950201244503E-2</v>
      </c>
      <c r="AT116" s="12"/>
      <c r="AU116">
        <f t="shared" si="30"/>
        <v>1</v>
      </c>
      <c r="AV116">
        <f t="shared" si="31"/>
        <v>0</v>
      </c>
      <c r="AW116">
        <f t="shared" si="38"/>
        <v>1</v>
      </c>
      <c r="AX116">
        <f t="shared" si="25"/>
        <v>1</v>
      </c>
      <c r="AY116">
        <f t="shared" si="39"/>
        <v>1</v>
      </c>
      <c r="AZ116" s="28">
        <f t="shared" si="32"/>
        <v>3.4386451248020001E-3</v>
      </c>
      <c r="BA116" s="28">
        <f t="shared" si="33"/>
        <v>-6.7953179819744396E-3</v>
      </c>
      <c r="BB116" s="28">
        <f t="shared" si="40"/>
        <v>-3.3566728571724396E-3</v>
      </c>
      <c r="BC116" s="29">
        <f t="shared" si="41"/>
        <v>7.8919981535428008E-3</v>
      </c>
      <c r="BE116" s="29">
        <f t="shared" si="42"/>
        <v>-3.3566728571724396E-3</v>
      </c>
      <c r="BF116" s="29">
        <f t="shared" si="43"/>
        <v>2.0384948354787297E-2</v>
      </c>
      <c r="BH116" s="29"/>
    </row>
    <row r="117" spans="1:60" x14ac:dyDescent="0.25">
      <c r="A117" s="1">
        <v>46191</v>
      </c>
      <c r="B117" s="33">
        <v>191.44</v>
      </c>
      <c r="C117" s="33">
        <v>253.57</v>
      </c>
      <c r="D117" s="15">
        <v>2.9903617220379701E-2</v>
      </c>
      <c r="E117" s="15">
        <v>2.8724272615305399E-2</v>
      </c>
      <c r="F117" s="33">
        <v>0</v>
      </c>
      <c r="G117" s="33">
        <v>0.16750999999999999</v>
      </c>
      <c r="H117" s="33">
        <v>0</v>
      </c>
      <c r="I117" s="33">
        <v>0.14164499999999999</v>
      </c>
      <c r="J117" s="33">
        <v>0</v>
      </c>
      <c r="K117" s="33">
        <v>7.1818999999999994E-2</v>
      </c>
      <c r="L117" s="33">
        <v>191.44</v>
      </c>
      <c r="M117" s="33">
        <v>253.641819</v>
      </c>
      <c r="N117" s="34">
        <v>1.3245403259506801</v>
      </c>
      <c r="O117" s="34">
        <v>1.3563381687199101</v>
      </c>
      <c r="P117" s="34">
        <v>1.32938411655668</v>
      </c>
      <c r="Q117" s="34">
        <v>1.3289531682140401</v>
      </c>
      <c r="R117" s="33">
        <v>259.65737901974001</v>
      </c>
      <c r="S117" s="33">
        <v>254.552649572934</v>
      </c>
      <c r="T117" s="33">
        <v>254.668815466783</v>
      </c>
      <c r="U117" s="15">
        <v>2.3723069952636101E-2</v>
      </c>
      <c r="V117" s="15">
        <v>3.8677701093117801E-3</v>
      </c>
      <c r="W117" s="15">
        <v>4.3240191240902798E-3</v>
      </c>
      <c r="X117" s="34">
        <v>1.32491547743418</v>
      </c>
      <c r="Y117" s="34">
        <v>1.3563584455100699</v>
      </c>
      <c r="Z117" s="34">
        <v>1.3295362535605499</v>
      </c>
      <c r="AA117" s="34">
        <v>1.32902923671597</v>
      </c>
      <c r="AB117" s="33">
        <v>259.66126080844799</v>
      </c>
      <c r="AC117" s="33">
        <v>254.574592780953</v>
      </c>
      <c r="AD117" s="33">
        <v>254.679787070792</v>
      </c>
      <c r="AE117" s="15">
        <v>2.3454828145346902E-2</v>
      </c>
      <c r="AF117" s="15">
        <v>3.6707780651224898E-3</v>
      </c>
      <c r="AG117" s="15">
        <v>4.0839086949116202E-3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1.2492950201244503E-2</v>
      </c>
      <c r="AT117" s="12"/>
      <c r="AU117">
        <f t="shared" si="30"/>
        <v>1</v>
      </c>
      <c r="AV117">
        <f t="shared" si="31"/>
        <v>0</v>
      </c>
      <c r="AW117">
        <f t="shared" si="38"/>
        <v>1</v>
      </c>
      <c r="AX117">
        <f t="shared" si="25"/>
        <v>0</v>
      </c>
      <c r="AY117">
        <f t="shared" si="39"/>
        <v>1</v>
      </c>
      <c r="AZ117" s="28">
        <f t="shared" si="32"/>
        <v>-2.9903617220379701E-2</v>
      </c>
      <c r="BA117" s="28">
        <f t="shared" si="33"/>
        <v>2.8724272615305399E-2</v>
      </c>
      <c r="BB117" s="28">
        <f t="shared" si="40"/>
        <v>-1.179344605074302E-3</v>
      </c>
      <c r="BC117" s="29">
        <f t="shared" si="41"/>
        <v>6.7126535484684988E-3</v>
      </c>
      <c r="BE117" s="29">
        <f t="shared" si="42"/>
        <v>-1.179344605074302E-3</v>
      </c>
      <c r="BF117" s="29">
        <f t="shared" si="43"/>
        <v>1.9205603749712995E-2</v>
      </c>
      <c r="BH117" s="29"/>
    </row>
    <row r="118" spans="1:60" x14ac:dyDescent="0.25">
      <c r="A118" s="1">
        <v>46195</v>
      </c>
      <c r="B118" s="33">
        <v>192.15</v>
      </c>
      <c r="C118" s="33">
        <v>253.28</v>
      </c>
      <c r="D118" s="15">
        <v>3.7018734107351898E-3</v>
      </c>
      <c r="E118" s="15">
        <v>-1.1443229028140201E-3</v>
      </c>
      <c r="F118" s="33">
        <v>0.22792000000000001</v>
      </c>
      <c r="G118" s="33">
        <v>0.39543</v>
      </c>
      <c r="H118" s="33">
        <v>0</v>
      </c>
      <c r="I118" s="33">
        <v>0.14164499999999999</v>
      </c>
      <c r="J118" s="33">
        <v>0</v>
      </c>
      <c r="K118" s="33">
        <v>0</v>
      </c>
      <c r="L118" s="33">
        <v>192.15</v>
      </c>
      <c r="M118" s="33">
        <v>253.28</v>
      </c>
      <c r="N118" s="34">
        <v>1.31813687223523</v>
      </c>
      <c r="O118" s="34">
        <v>1.3563381687199101</v>
      </c>
      <c r="P118" s="34">
        <v>1.32739303395214</v>
      </c>
      <c r="Q118" s="34">
        <v>1.32764836568918</v>
      </c>
      <c r="R118" s="33">
        <v>260.62037911953098</v>
      </c>
      <c r="S118" s="33">
        <v>255.441157996367</v>
      </c>
      <c r="T118" s="33">
        <v>255.35835127232801</v>
      </c>
      <c r="U118" s="15">
        <v>2.8569266266185299E-2</v>
      </c>
      <c r="V118" s="15">
        <v>8.4964856035410607E-3</v>
      </c>
      <c r="W118" s="15">
        <v>8.1722616242246304E-3</v>
      </c>
      <c r="X118" s="34">
        <v>1.31813687223523</v>
      </c>
      <c r="Y118" s="34">
        <v>1.3563584455100699</v>
      </c>
      <c r="Z118" s="34">
        <v>1.327545170956</v>
      </c>
      <c r="AA118" s="34">
        <v>1.3277244341911201</v>
      </c>
      <c r="AB118" s="33">
        <v>260.624275304761</v>
      </c>
      <c r="AC118" s="33">
        <v>255.47039112165899</v>
      </c>
      <c r="AD118" s="33">
        <v>255.37296783497499</v>
      </c>
      <c r="AE118" s="15">
        <v>2.8584215811264899E-2</v>
      </c>
      <c r="AF118" s="15">
        <v>8.61092077485201E-3</v>
      </c>
      <c r="AG118" s="15">
        <v>8.2294994011268795E-3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1.2492950201244503E-2</v>
      </c>
      <c r="AT118" s="12"/>
      <c r="AU118">
        <f t="shared" si="30"/>
        <v>1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6.7126535484684988E-3</v>
      </c>
      <c r="BE118" s="29">
        <f t="shared" si="42"/>
        <v>0</v>
      </c>
      <c r="BF118" s="29">
        <f t="shared" si="43"/>
        <v>1.9205603749712995E-2</v>
      </c>
      <c r="BH118" s="29"/>
    </row>
    <row r="119" spans="1:60" x14ac:dyDescent="0.25">
      <c r="A119" s="1">
        <v>46196</v>
      </c>
      <c r="B119" s="33">
        <v>184.19</v>
      </c>
      <c r="C119" s="33">
        <v>243.37</v>
      </c>
      <c r="D119" s="15">
        <v>-4.2308483479841397E-2</v>
      </c>
      <c r="E119" s="15">
        <v>-3.99126770787019E-2</v>
      </c>
      <c r="F119" s="33">
        <v>0</v>
      </c>
      <c r="G119" s="33">
        <v>0.39543</v>
      </c>
      <c r="H119" s="33">
        <v>0</v>
      </c>
      <c r="I119" s="33">
        <v>0.14164499999999999</v>
      </c>
      <c r="J119" s="33">
        <v>0</v>
      </c>
      <c r="K119" s="33">
        <v>0</v>
      </c>
      <c r="L119" s="33">
        <v>184.19</v>
      </c>
      <c r="M119" s="33">
        <v>243.37</v>
      </c>
      <c r="N119" s="34">
        <v>1.3212986589934299</v>
      </c>
      <c r="O119" s="34">
        <v>1.3563381687199101</v>
      </c>
      <c r="P119" s="34">
        <v>1.3264302730733299</v>
      </c>
      <c r="Q119" s="34">
        <v>1.32670016043829</v>
      </c>
      <c r="R119" s="33">
        <v>249.82392729652099</v>
      </c>
      <c r="S119" s="33">
        <v>244.492522923645</v>
      </c>
      <c r="T119" s="33">
        <v>244.53955247629099</v>
      </c>
      <c r="U119" s="15">
        <v>2.6173459865045798E-2</v>
      </c>
      <c r="V119" s="15">
        <v>4.6018083039328604E-3</v>
      </c>
      <c r="W119" s="15">
        <v>4.7941455969515304E-3</v>
      </c>
      <c r="X119" s="34">
        <v>1.3212986589934299</v>
      </c>
      <c r="Y119" s="34">
        <v>1.3563584455100699</v>
      </c>
      <c r="Z119" s="34">
        <v>1.3265824100771999</v>
      </c>
      <c r="AA119" s="34">
        <v>1.3267762289402201</v>
      </c>
      <c r="AB119" s="33">
        <v>249.8276620785</v>
      </c>
      <c r="AC119" s="33">
        <v>244.52054503838701</v>
      </c>
      <c r="AD119" s="33">
        <v>244.55356353366199</v>
      </c>
      <c r="AE119" s="15">
        <v>2.61884094101252E-2</v>
      </c>
      <c r="AF119" s="15">
        <v>4.7164151175661901E-3</v>
      </c>
      <c r="AG119" s="15">
        <v>4.8514396250861902E-3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1.2492950201244503E-2</v>
      </c>
      <c r="AT119" s="12"/>
      <c r="AU119">
        <f t="shared" si="30"/>
        <v>1</v>
      </c>
      <c r="AV119">
        <f t="shared" si="31"/>
        <v>0</v>
      </c>
      <c r="AW119">
        <f t="shared" si="38"/>
        <v>1</v>
      </c>
      <c r="AX119">
        <f t="shared" si="25"/>
        <v>1</v>
      </c>
      <c r="AY119">
        <f t="shared" si="39"/>
        <v>1</v>
      </c>
      <c r="AZ119" s="28">
        <f t="shared" si="32"/>
        <v>4.2308483479841397E-2</v>
      </c>
      <c r="BA119" s="28">
        <f t="shared" si="33"/>
        <v>-3.99126770787019E-2</v>
      </c>
      <c r="BB119" s="28">
        <f t="shared" si="40"/>
        <v>2.3958064011394969E-3</v>
      </c>
      <c r="BC119" s="29">
        <f t="shared" si="41"/>
        <v>9.1084599496079957E-3</v>
      </c>
      <c r="BE119" s="29">
        <f t="shared" si="42"/>
        <v>2.3958064011394969E-3</v>
      </c>
      <c r="BF119" s="29">
        <f t="shared" si="43"/>
        <v>2.1601410150852492E-2</v>
      </c>
      <c r="BH119" s="29"/>
    </row>
    <row r="120" spans="1:60" x14ac:dyDescent="0.25">
      <c r="A120" s="1">
        <v>46197</v>
      </c>
      <c r="B120" s="33">
        <v>183.05</v>
      </c>
      <c r="C120" s="33">
        <v>242.19</v>
      </c>
      <c r="D120" s="15">
        <v>-6.2084939647662103E-3</v>
      </c>
      <c r="E120" s="15">
        <v>-4.8603769789662002E-3</v>
      </c>
      <c r="F120" s="33">
        <v>0</v>
      </c>
      <c r="G120" s="33">
        <v>0.39543</v>
      </c>
      <c r="H120" s="33">
        <v>0</v>
      </c>
      <c r="I120" s="33">
        <v>0.14164499999999999</v>
      </c>
      <c r="J120" s="33">
        <v>0</v>
      </c>
      <c r="K120" s="33">
        <v>0</v>
      </c>
      <c r="L120" s="33">
        <v>183.05</v>
      </c>
      <c r="M120" s="33">
        <v>242.19</v>
      </c>
      <c r="N120" s="34">
        <v>1.3230811253755801</v>
      </c>
      <c r="O120" s="34">
        <v>1.3563381687199101</v>
      </c>
      <c r="P120" s="34">
        <v>1.32537554885701</v>
      </c>
      <c r="Q120" s="34">
        <v>1.3260345126992901</v>
      </c>
      <c r="R120" s="33">
        <v>248.27770178418001</v>
      </c>
      <c r="S120" s="33">
        <v>242.803061486074</v>
      </c>
      <c r="T120" s="33">
        <v>242.85246436822999</v>
      </c>
      <c r="U120" s="15">
        <v>2.4825342879245899E-2</v>
      </c>
      <c r="V120" s="15">
        <v>2.5281261167895402E-3</v>
      </c>
      <c r="W120" s="15">
        <v>2.7315743622884602E-3</v>
      </c>
      <c r="X120" s="34">
        <v>1.3230811253755801</v>
      </c>
      <c r="Y120" s="34">
        <v>1.3563584455100699</v>
      </c>
      <c r="Z120" s="34">
        <v>1.32552768586087</v>
      </c>
      <c r="AA120" s="34">
        <v>1.3261105812012199</v>
      </c>
      <c r="AB120" s="33">
        <v>248.281413450619</v>
      </c>
      <c r="AC120" s="33">
        <v>242.83091016463101</v>
      </c>
      <c r="AD120" s="33">
        <v>242.86638870750801</v>
      </c>
      <c r="AE120" s="15">
        <v>2.48402924243252E-2</v>
      </c>
      <c r="AF120" s="15">
        <v>2.64281611054309E-3</v>
      </c>
      <c r="AG120" s="15">
        <v>2.7889093378371099E-3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1.2492950201244503E-2</v>
      </c>
      <c r="AT120" s="12"/>
      <c r="AU120">
        <f t="shared" si="30"/>
        <v>0</v>
      </c>
      <c r="AV120">
        <f t="shared" si="31"/>
        <v>0</v>
      </c>
      <c r="AW120">
        <f t="shared" si="38"/>
        <v>1</v>
      </c>
      <c r="AX120">
        <f t="shared" si="25"/>
        <v>1</v>
      </c>
      <c r="AY120">
        <f t="shared" si="39"/>
        <v>1</v>
      </c>
      <c r="AZ120" s="28">
        <f t="shared" si="32"/>
        <v>6.2084939647662103E-3</v>
      </c>
      <c r="BA120" s="28">
        <f t="shared" si="33"/>
        <v>-4.8603769789662002E-3</v>
      </c>
      <c r="BB120" s="28">
        <f t="shared" si="40"/>
        <v>1.3481169858000101E-3</v>
      </c>
      <c r="BC120" s="29">
        <f t="shared" si="41"/>
        <v>1.0456576935408007E-2</v>
      </c>
      <c r="BE120" s="29">
        <f t="shared" si="42"/>
        <v>1.3481169858000101E-3</v>
      </c>
      <c r="BF120" s="29">
        <f t="shared" si="43"/>
        <v>2.2949527136652503E-2</v>
      </c>
      <c r="BH120" s="29"/>
    </row>
    <row r="121" spans="1:60" x14ac:dyDescent="0.25">
      <c r="A121" s="1">
        <v>46198</v>
      </c>
      <c r="B121" s="33">
        <v>184.57</v>
      </c>
      <c r="C121" s="33">
        <v>243.99</v>
      </c>
      <c r="D121" s="15">
        <v>8.2694557529545704E-3</v>
      </c>
      <c r="E121" s="15">
        <v>7.40469877175983E-3</v>
      </c>
      <c r="F121" s="33">
        <v>0</v>
      </c>
      <c r="G121" s="33">
        <v>0.39543</v>
      </c>
      <c r="H121" s="33">
        <v>0</v>
      </c>
      <c r="I121" s="33">
        <v>0.14164499999999999</v>
      </c>
      <c r="J121" s="33">
        <v>0</v>
      </c>
      <c r="K121" s="33">
        <v>0</v>
      </c>
      <c r="L121" s="33">
        <v>184.57</v>
      </c>
      <c r="M121" s="33">
        <v>243.99</v>
      </c>
      <c r="N121" s="34">
        <v>1.3219374762962499</v>
      </c>
      <c r="O121" s="34">
        <v>1.3563381687199101</v>
      </c>
      <c r="P121" s="34">
        <v>1.3242963530455401</v>
      </c>
      <c r="Q121" s="34">
        <v>1.32534995182344</v>
      </c>
      <c r="R121" s="33">
        <v>250.33933580063399</v>
      </c>
      <c r="S121" s="33">
        <v>244.624565052538</v>
      </c>
      <c r="T121" s="33">
        <v>244.746190008909</v>
      </c>
      <c r="U121" s="15">
        <v>2.5690099860440602E-2</v>
      </c>
      <c r="V121" s="15">
        <v>2.59740685064918E-3</v>
      </c>
      <c r="W121" s="15">
        <v>3.0944735740573298E-3</v>
      </c>
      <c r="X121" s="34">
        <v>1.3219374762962499</v>
      </c>
      <c r="Y121" s="34">
        <v>1.3563584455100699</v>
      </c>
      <c r="Z121" s="34">
        <v>1.3244484900494</v>
      </c>
      <c r="AA121" s="34">
        <v>1.32542602032537</v>
      </c>
      <c r="AB121" s="33">
        <v>250.34307828779399</v>
      </c>
      <c r="AC121" s="33">
        <v>244.65264497934101</v>
      </c>
      <c r="AD121" s="33">
        <v>244.76022997230999</v>
      </c>
      <c r="AE121" s="15">
        <v>2.5705049405520101E-2</v>
      </c>
      <c r="AF121" s="15">
        <v>2.7121881086270899E-3</v>
      </c>
      <c r="AG121" s="15">
        <v>3.1518373300049901E-3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1.2492950201244503E-2</v>
      </c>
      <c r="AT121" s="12"/>
      <c r="AU121">
        <f t="shared" si="30"/>
        <v>1</v>
      </c>
      <c r="AV121">
        <f t="shared" si="31"/>
        <v>0</v>
      </c>
      <c r="AW121">
        <f t="shared" si="38"/>
        <v>1</v>
      </c>
      <c r="AX121">
        <f t="shared" si="25"/>
        <v>1</v>
      </c>
      <c r="AY121">
        <f t="shared" si="39"/>
        <v>1</v>
      </c>
      <c r="AZ121" s="28">
        <f t="shared" si="32"/>
        <v>-8.2694557529545704E-3</v>
      </c>
      <c r="BA121" s="28">
        <f t="shared" si="33"/>
        <v>7.40469877175983E-3</v>
      </c>
      <c r="BB121" s="28">
        <f t="shared" si="40"/>
        <v>-8.6475698119474042E-4</v>
      </c>
      <c r="BC121" s="29">
        <f t="shared" si="41"/>
        <v>9.5918199542132654E-3</v>
      </c>
      <c r="BE121" s="29">
        <f t="shared" si="42"/>
        <v>-8.6475698119474042E-4</v>
      </c>
      <c r="BF121" s="29">
        <f t="shared" si="43"/>
        <v>2.2084770155457761E-2</v>
      </c>
      <c r="BH121" s="29"/>
    </row>
    <row r="122" spans="1:60" x14ac:dyDescent="0.25">
      <c r="A122" s="1">
        <v>46199</v>
      </c>
      <c r="B122" s="33">
        <v>181.11</v>
      </c>
      <c r="C122" s="33">
        <v>239.66</v>
      </c>
      <c r="D122" s="15">
        <v>-1.8924213842755298E-2</v>
      </c>
      <c r="E122" s="15">
        <v>-1.79059885924229E-2</v>
      </c>
      <c r="F122" s="33">
        <v>0</v>
      </c>
      <c r="G122" s="33">
        <v>0.39543</v>
      </c>
      <c r="H122" s="33">
        <v>0</v>
      </c>
      <c r="I122" s="33">
        <v>0.14164499999999999</v>
      </c>
      <c r="J122" s="33">
        <v>0</v>
      </c>
      <c r="K122" s="33">
        <v>0</v>
      </c>
      <c r="L122" s="33">
        <v>181.11</v>
      </c>
      <c r="M122" s="33">
        <v>239.66</v>
      </c>
      <c r="N122" s="34">
        <v>1.32328419192755</v>
      </c>
      <c r="O122" s="34">
        <v>1.3563381687199101</v>
      </c>
      <c r="P122" s="34">
        <v>1.32379905311816</v>
      </c>
      <c r="Q122" s="34">
        <v>1.3247413490034401</v>
      </c>
      <c r="R122" s="33">
        <v>245.64640573686299</v>
      </c>
      <c r="S122" s="33">
        <v>239.84331250007801</v>
      </c>
      <c r="T122" s="33">
        <v>240.03412977474301</v>
      </c>
      <c r="U122" s="15">
        <v>2.46718746101082E-2</v>
      </c>
      <c r="V122" s="15">
        <v>7.64593295729879E-4</v>
      </c>
      <c r="W122" s="15">
        <v>1.55986837187212E-3</v>
      </c>
      <c r="X122" s="34">
        <v>1.32328419192755</v>
      </c>
      <c r="Y122" s="34">
        <v>1.3563584455100699</v>
      </c>
      <c r="Z122" s="34">
        <v>1.32395119012202</v>
      </c>
      <c r="AA122" s="34">
        <v>1.32481741750537</v>
      </c>
      <c r="AB122" s="33">
        <v>245.650078066329</v>
      </c>
      <c r="AC122" s="33">
        <v>239.870866032848</v>
      </c>
      <c r="AD122" s="33">
        <v>240.04790654112799</v>
      </c>
      <c r="AE122" s="15">
        <v>2.4686824155187699E-2</v>
      </c>
      <c r="AF122" s="15">
        <v>8.7946808589807501E-4</v>
      </c>
      <c r="AG122" s="15">
        <v>1.6172617561122299E-3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1.2492950201244503E-2</v>
      </c>
      <c r="AT122" s="12"/>
      <c r="AU122">
        <f t="shared" si="30"/>
        <v>0</v>
      </c>
      <c r="AV122">
        <f t="shared" si="31"/>
        <v>0</v>
      </c>
      <c r="AW122">
        <f t="shared" si="38"/>
        <v>1</v>
      </c>
      <c r="AX122">
        <f t="shared" si="25"/>
        <v>1</v>
      </c>
      <c r="AY122">
        <f t="shared" si="39"/>
        <v>1</v>
      </c>
      <c r="AZ122" s="28">
        <f t="shared" si="32"/>
        <v>1.8924213842755298E-2</v>
      </c>
      <c r="BA122" s="28">
        <f t="shared" si="33"/>
        <v>-1.79059885924229E-2</v>
      </c>
      <c r="BB122" s="28">
        <f t="shared" si="40"/>
        <v>1.0182252503323982E-3</v>
      </c>
      <c r="BC122" s="29">
        <f t="shared" si="41"/>
        <v>1.0610045204545664E-2</v>
      </c>
      <c r="BE122" s="29">
        <f t="shared" si="42"/>
        <v>1.0182252503323982E-3</v>
      </c>
      <c r="BF122" s="29">
        <f t="shared" si="43"/>
        <v>2.310299540579016E-2</v>
      </c>
      <c r="BH122" s="29"/>
    </row>
    <row r="123" spans="1:60" x14ac:dyDescent="0.25">
      <c r="A123" s="1">
        <v>46202</v>
      </c>
      <c r="B123" s="33">
        <v>185.41</v>
      </c>
      <c r="C123" s="33">
        <v>246.21</v>
      </c>
      <c r="D123" s="15">
        <v>2.3465007633317402E-2</v>
      </c>
      <c r="E123" s="15">
        <v>2.6963578055359299E-2</v>
      </c>
      <c r="F123" s="33">
        <v>0</v>
      </c>
      <c r="G123" s="33">
        <v>0.39543</v>
      </c>
      <c r="H123" s="33">
        <v>0</v>
      </c>
      <c r="I123" s="33">
        <v>0.14164499999999999</v>
      </c>
      <c r="J123" s="33">
        <v>0</v>
      </c>
      <c r="K123" s="33">
        <v>0</v>
      </c>
      <c r="L123" s="33">
        <v>185.41</v>
      </c>
      <c r="M123" s="33">
        <v>246.21</v>
      </c>
      <c r="N123" s="34">
        <v>1.32792190280998</v>
      </c>
      <c r="O123" s="34">
        <v>1.3563381687199101</v>
      </c>
      <c r="P123" s="34">
        <v>1.32410747716539</v>
      </c>
      <c r="Q123" s="34">
        <v>1.3249349522582701</v>
      </c>
      <c r="R123" s="33">
        <v>251.478659862359</v>
      </c>
      <c r="S123" s="33">
        <v>245.44558243863801</v>
      </c>
      <c r="T123" s="33">
        <v>245.620293518728</v>
      </c>
      <c r="U123" s="15">
        <v>2.1173304188066299E-2</v>
      </c>
      <c r="V123" s="15">
        <v>-3.1095677731357001E-3</v>
      </c>
      <c r="W123" s="15">
        <v>-2.3980091166914299E-3</v>
      </c>
      <c r="X123" s="34">
        <v>1.32792190280998</v>
      </c>
      <c r="Y123" s="34">
        <v>1.3563584455100699</v>
      </c>
      <c r="Z123" s="34">
        <v>1.32425961416925</v>
      </c>
      <c r="AA123" s="34">
        <v>1.3250110207601999</v>
      </c>
      <c r="AB123" s="33">
        <v>251.48241938202301</v>
      </c>
      <c r="AC123" s="33">
        <v>245.473790160525</v>
      </c>
      <c r="AD123" s="33">
        <v>245.63439737967099</v>
      </c>
      <c r="AE123" s="15">
        <v>2.1188253733145701E-2</v>
      </c>
      <c r="AF123" s="15">
        <v>-2.9946498314467099E-3</v>
      </c>
      <c r="AG123" s="15">
        <v>-2.3405893659662501E-3</v>
      </c>
      <c r="AI123" s="12"/>
      <c r="AJ123">
        <f t="shared" si="26"/>
        <v>0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1.2492950201244503E-2</v>
      </c>
      <c r="AT123" s="12"/>
      <c r="AU123">
        <f t="shared" si="30"/>
        <v>0</v>
      </c>
      <c r="AV123">
        <f t="shared" si="31"/>
        <v>1</v>
      </c>
      <c r="AW123">
        <f t="shared" si="38"/>
        <v>1</v>
      </c>
      <c r="AX123">
        <f t="shared" si="25"/>
        <v>1</v>
      </c>
      <c r="AY123">
        <f t="shared" si="39"/>
        <v>1</v>
      </c>
      <c r="AZ123" s="28">
        <f t="shared" si="32"/>
        <v>-2.3465007633317402E-2</v>
      </c>
      <c r="BA123" s="28">
        <f t="shared" si="33"/>
        <v>2.6963578055359299E-2</v>
      </c>
      <c r="BB123" s="28">
        <f t="shared" si="40"/>
        <v>3.4985704220418974E-3</v>
      </c>
      <c r="BC123" s="29">
        <f t="shared" si="41"/>
        <v>1.4108615626587561E-2</v>
      </c>
      <c r="BE123" s="29">
        <f t="shared" si="42"/>
        <v>3.4985704220418974E-3</v>
      </c>
      <c r="BF123" s="29">
        <f t="shared" si="43"/>
        <v>2.6601565827832057E-2</v>
      </c>
      <c r="BH123" s="29"/>
    </row>
    <row r="124" spans="1:60" x14ac:dyDescent="0.25">
      <c r="A124" s="1">
        <v>46203</v>
      </c>
      <c r="B124" s="33">
        <v>190.52</v>
      </c>
      <c r="C124" s="33">
        <v>252.23</v>
      </c>
      <c r="D124" s="15">
        <v>2.7187586822897701E-2</v>
      </c>
      <c r="E124" s="15">
        <v>2.4156539358453601E-2</v>
      </c>
      <c r="F124" s="33">
        <v>0</v>
      </c>
      <c r="G124" s="33">
        <v>0.39543</v>
      </c>
      <c r="H124" s="33">
        <v>0</v>
      </c>
      <c r="I124" s="33">
        <v>0.14164499999999999</v>
      </c>
      <c r="J124" s="33">
        <v>0</v>
      </c>
      <c r="K124" s="33">
        <v>0</v>
      </c>
      <c r="L124" s="33">
        <v>190.52</v>
      </c>
      <c r="M124" s="33">
        <v>252.23</v>
      </c>
      <c r="N124" s="34">
        <v>1.32390300230946</v>
      </c>
      <c r="O124" s="34">
        <v>1.3563381687199101</v>
      </c>
      <c r="P124" s="34">
        <v>1.32407690039545</v>
      </c>
      <c r="Q124" s="34">
        <v>1.32524074806234</v>
      </c>
      <c r="R124" s="33">
        <v>258.40954790451798</v>
      </c>
      <c r="S124" s="33">
        <v>252.26895654955101</v>
      </c>
      <c r="T124" s="33">
        <v>252.42660710424599</v>
      </c>
      <c r="U124" s="15">
        <v>2.4204351652510399E-2</v>
      </c>
      <c r="V124" s="15">
        <v>1.5443659148619499E-4</v>
      </c>
      <c r="W124" s="15">
        <v>7.7917186231489803E-4</v>
      </c>
      <c r="X124" s="34">
        <v>1.32390300230946</v>
      </c>
      <c r="Y124" s="34">
        <v>1.3563584455100699</v>
      </c>
      <c r="Z124" s="34">
        <v>1.3241915907128401</v>
      </c>
      <c r="AA124" s="34">
        <v>1.3253168165642699</v>
      </c>
      <c r="AB124" s="33">
        <v>258.413411038579</v>
      </c>
      <c r="AC124" s="33">
        <v>252.297941691527</v>
      </c>
      <c r="AD124" s="33">
        <v>252.441099675234</v>
      </c>
      <c r="AE124" s="15">
        <v>2.4219301197589901E-2</v>
      </c>
      <c r="AF124" s="15">
        <v>2.69327766903379E-4</v>
      </c>
      <c r="AG124" s="15">
        <v>8.36583222943757E-4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1.2492950201244503E-2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1.4108615626587561E-2</v>
      </c>
      <c r="BE124" s="29">
        <f t="shared" si="42"/>
        <v>0</v>
      </c>
      <c r="BF124" s="29">
        <f t="shared" si="43"/>
        <v>2.6601565827832057E-2</v>
      </c>
      <c r="BH124" s="29"/>
    </row>
    <row r="125" spans="1:60" x14ac:dyDescent="0.25">
      <c r="A125" s="1">
        <v>46204</v>
      </c>
      <c r="B125" s="33">
        <v>185.62</v>
      </c>
      <c r="C125" s="33">
        <v>248.75</v>
      </c>
      <c r="D125" s="15">
        <v>-2.60556027654129E-2</v>
      </c>
      <c r="E125" s="15">
        <v>-1.38929936294814E-2</v>
      </c>
      <c r="F125" s="33">
        <v>0</v>
      </c>
      <c r="G125" s="33">
        <v>0.39543</v>
      </c>
      <c r="H125" s="33">
        <v>0</v>
      </c>
      <c r="I125" s="33">
        <v>0.14164499999999999</v>
      </c>
      <c r="J125" s="33">
        <v>0</v>
      </c>
      <c r="K125" s="33">
        <v>0</v>
      </c>
      <c r="L125" s="33">
        <v>185.62</v>
      </c>
      <c r="M125" s="33">
        <v>248.75</v>
      </c>
      <c r="N125" s="34">
        <v>1.3401034371296101</v>
      </c>
      <c r="O125" s="34">
        <v>1.3563381687199101</v>
      </c>
      <c r="P125" s="34">
        <v>1.32503103299492</v>
      </c>
      <c r="Q125" s="34">
        <v>1.32667405169825</v>
      </c>
      <c r="R125" s="33">
        <v>251.76349087778999</v>
      </c>
      <c r="S125" s="33">
        <v>245.77515425140399</v>
      </c>
      <c r="T125" s="33">
        <v>245.991187655332</v>
      </c>
      <c r="U125" s="15">
        <v>1.2041742516578901E-2</v>
      </c>
      <c r="V125" s="15">
        <v>-1.20312651736444E-2</v>
      </c>
      <c r="W125" s="15">
        <v>-1.1152663287279201E-2</v>
      </c>
      <c r="X125" s="34">
        <v>1.3401034371296101</v>
      </c>
      <c r="Y125" s="34">
        <v>1.3563584455100699</v>
      </c>
      <c r="Z125" s="34">
        <v>1.3251072020722201</v>
      </c>
      <c r="AA125" s="34">
        <v>1.3267501202001799</v>
      </c>
      <c r="AB125" s="33">
        <v>251.76725465557999</v>
      </c>
      <c r="AC125" s="33">
        <v>245.79644306811699</v>
      </c>
      <c r="AD125" s="33">
        <v>246.00530749066101</v>
      </c>
      <c r="AE125" s="15">
        <v>1.20566920616584E-2</v>
      </c>
      <c r="AF125" s="15">
        <v>-1.19446498490734E-2</v>
      </c>
      <c r="AG125" s="15">
        <v>-1.1095265173789901E-2</v>
      </c>
      <c r="AI125" s="12"/>
      <c r="AJ125">
        <f t="shared" si="26"/>
        <v>1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1.2492950201244503E-2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1.4108615626587561E-2</v>
      </c>
      <c r="BE125" s="29">
        <f t="shared" si="42"/>
        <v>0</v>
      </c>
      <c r="BF125" s="29">
        <f t="shared" si="43"/>
        <v>2.6601565827832057E-2</v>
      </c>
      <c r="BH125" s="29"/>
    </row>
    <row r="126" spans="1:60" x14ac:dyDescent="0.25">
      <c r="A126" s="1">
        <v>46205</v>
      </c>
      <c r="B126" s="33">
        <v>180.59</v>
      </c>
      <c r="C126" s="33">
        <v>243.48</v>
      </c>
      <c r="D126" s="15">
        <v>-2.7472304702994801E-2</v>
      </c>
      <c r="E126" s="15">
        <v>-2.1413572412978501E-2</v>
      </c>
      <c r="F126" s="33">
        <v>0</v>
      </c>
      <c r="G126" s="33">
        <v>0.39543</v>
      </c>
      <c r="H126" s="33">
        <v>0</v>
      </c>
      <c r="I126" s="33">
        <v>0.14164499999999999</v>
      </c>
      <c r="J126" s="33">
        <v>0</v>
      </c>
      <c r="K126" s="33">
        <v>0</v>
      </c>
      <c r="L126" s="33">
        <v>180.59</v>
      </c>
      <c r="M126" s="33">
        <v>243.48</v>
      </c>
      <c r="N126" s="34">
        <v>1.34824741126308</v>
      </c>
      <c r="O126" s="34">
        <v>1.3563381687199101</v>
      </c>
      <c r="P126" s="34">
        <v>1.3272454404290901</v>
      </c>
      <c r="Q126" s="34">
        <v>1.32845935198673</v>
      </c>
      <c r="R126" s="33">
        <v>244.941109889129</v>
      </c>
      <c r="S126" s="33">
        <v>239.28735424855299</v>
      </c>
      <c r="T126" s="33">
        <v>239.584066996187</v>
      </c>
      <c r="U126" s="15">
        <v>5.98301022656254E-3</v>
      </c>
      <c r="V126" s="15">
        <v>-1.73696548693115E-2</v>
      </c>
      <c r="W126" s="15">
        <v>-1.61304379420046E-2</v>
      </c>
      <c r="X126" s="34">
        <v>1.34824741126308</v>
      </c>
      <c r="Y126" s="34">
        <v>1.3563584455100699</v>
      </c>
      <c r="Z126" s="34">
        <v>1.3272829555774399</v>
      </c>
      <c r="AA126" s="34">
        <v>1.3285354204886599</v>
      </c>
      <c r="AB126" s="33">
        <v>244.944771674664</v>
      </c>
      <c r="AC126" s="33">
        <v>239.30110962222301</v>
      </c>
      <c r="AD126" s="33">
        <v>239.597804206951</v>
      </c>
      <c r="AE126" s="15">
        <v>5.9979597716421102E-3</v>
      </c>
      <c r="AF126" s="15">
        <v>-1.7312171771774899E-2</v>
      </c>
      <c r="AG126" s="15">
        <v>-1.6073101838144699E-2</v>
      </c>
      <c r="AI126" s="12"/>
      <c r="AJ126">
        <f t="shared" si="26"/>
        <v>1</v>
      </c>
      <c r="AK126">
        <f t="shared" si="27"/>
        <v>0</v>
      </c>
      <c r="AL126">
        <f t="shared" si="34"/>
        <v>1</v>
      </c>
      <c r="AM126">
        <f t="shared" si="24"/>
        <v>1</v>
      </c>
      <c r="AN126">
        <f t="shared" si="35"/>
        <v>1</v>
      </c>
      <c r="AO126" s="28">
        <f t="shared" si="28"/>
        <v>-2.7472304702994801E-2</v>
      </c>
      <c r="AP126" s="28">
        <f t="shared" si="29"/>
        <v>2.1413572412978501E-2</v>
      </c>
      <c r="AQ126" s="28">
        <f t="shared" si="36"/>
        <v>-6.0587322900162999E-3</v>
      </c>
      <c r="AR126" s="29">
        <f t="shared" si="37"/>
        <v>6.434217911228203E-3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1.4108615626587561E-2</v>
      </c>
      <c r="BE126" s="29">
        <f t="shared" si="42"/>
        <v>-6.0587322900162999E-3</v>
      </c>
      <c r="BF126" s="29">
        <f t="shared" si="43"/>
        <v>2.0542833537815757E-2</v>
      </c>
      <c r="BH126" s="29"/>
    </row>
    <row r="127" spans="1:60" x14ac:dyDescent="0.25">
      <c r="A127" s="1">
        <v>46209</v>
      </c>
      <c r="B127" s="33">
        <v>183.57</v>
      </c>
      <c r="C127" s="33">
        <v>247.39</v>
      </c>
      <c r="D127" s="15">
        <v>1.6366797678306799E-2</v>
      </c>
      <c r="E127" s="15">
        <v>1.5931235143871101E-2</v>
      </c>
      <c r="F127" s="33">
        <v>0</v>
      </c>
      <c r="G127" s="33">
        <v>0.39543</v>
      </c>
      <c r="H127" s="33">
        <v>0</v>
      </c>
      <c r="I127" s="33">
        <v>0.14164499999999999</v>
      </c>
      <c r="J127" s="33">
        <v>0</v>
      </c>
      <c r="K127" s="33">
        <v>0</v>
      </c>
      <c r="L127" s="33">
        <v>183.57</v>
      </c>
      <c r="M127" s="33">
        <v>247.39</v>
      </c>
      <c r="N127" s="34">
        <v>1.34766029307621</v>
      </c>
      <c r="O127" s="34">
        <v>1.3563381687199101</v>
      </c>
      <c r="P127" s="34">
        <v>1.3295574371416401</v>
      </c>
      <c r="Q127" s="34">
        <v>1.32947077684916</v>
      </c>
      <c r="R127" s="33">
        <v>248.982997631914</v>
      </c>
      <c r="S127" s="33">
        <v>243.642445499568</v>
      </c>
      <c r="T127" s="33">
        <v>243.86528324420399</v>
      </c>
      <c r="U127" s="15">
        <v>6.4185727609983997E-3</v>
      </c>
      <c r="V127" s="15">
        <v>-1.52642755032684E-2</v>
      </c>
      <c r="W127" s="15">
        <v>-1.4350083801201299E-2</v>
      </c>
      <c r="X127" s="34">
        <v>1.34766029307621</v>
      </c>
      <c r="Y127" s="34">
        <v>1.3563584455100699</v>
      </c>
      <c r="Z127" s="34">
        <v>1.3295574371416401</v>
      </c>
      <c r="AA127" s="34">
        <v>1.3295468453510899</v>
      </c>
      <c r="AB127" s="33">
        <v>248.986719842284</v>
      </c>
      <c r="AC127" s="33">
        <v>243.64933215535001</v>
      </c>
      <c r="AD127" s="33">
        <v>243.879247139103</v>
      </c>
      <c r="AE127" s="15">
        <v>6.4335223060778103E-3</v>
      </c>
      <c r="AF127" s="15">
        <v>-1.5236010483833299E-2</v>
      </c>
      <c r="AG127" s="15">
        <v>-1.4292824748424599E-2</v>
      </c>
      <c r="AI127" s="12"/>
      <c r="AJ127">
        <f t="shared" si="26"/>
        <v>1</v>
      </c>
      <c r="AK127">
        <f t="shared" si="27"/>
        <v>0</v>
      </c>
      <c r="AL127">
        <f t="shared" si="34"/>
        <v>1</v>
      </c>
      <c r="AM127">
        <f t="shared" si="24"/>
        <v>1</v>
      </c>
      <c r="AN127">
        <f t="shared" si="35"/>
        <v>1</v>
      </c>
      <c r="AO127" s="28">
        <f t="shared" si="28"/>
        <v>1.6366797678306799E-2</v>
      </c>
      <c r="AP127" s="28">
        <f t="shared" si="29"/>
        <v>-1.5931235143871101E-2</v>
      </c>
      <c r="AQ127" s="28">
        <f t="shared" si="36"/>
        <v>4.3556253443569753E-4</v>
      </c>
      <c r="AR127" s="29">
        <f t="shared" si="37"/>
        <v>6.8697804456639006E-3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1.4108615626587561E-2</v>
      </c>
      <c r="BE127" s="29">
        <f t="shared" si="42"/>
        <v>4.3556253443569753E-4</v>
      </c>
      <c r="BF127" s="29">
        <f t="shared" si="43"/>
        <v>2.0978396072251455E-2</v>
      </c>
      <c r="BH127" s="29"/>
    </row>
    <row r="128" spans="1:60" x14ac:dyDescent="0.25">
      <c r="A128" s="1">
        <v>46210</v>
      </c>
      <c r="B128" s="33">
        <v>179.18</v>
      </c>
      <c r="C128" s="33">
        <v>243.28</v>
      </c>
      <c r="D128" s="15">
        <v>-2.4205178973126299E-2</v>
      </c>
      <c r="E128" s="15">
        <v>-1.6752995400485599E-2</v>
      </c>
      <c r="F128" s="33">
        <v>0</v>
      </c>
      <c r="G128" s="33">
        <v>0.39543</v>
      </c>
      <c r="H128" s="33">
        <v>0</v>
      </c>
      <c r="I128" s="33">
        <v>0.14164499999999999</v>
      </c>
      <c r="J128" s="33">
        <v>0</v>
      </c>
      <c r="K128" s="33">
        <v>0</v>
      </c>
      <c r="L128" s="33">
        <v>179.18</v>
      </c>
      <c r="M128" s="33">
        <v>243.28</v>
      </c>
      <c r="N128" s="34">
        <v>1.3577408192878599</v>
      </c>
      <c r="O128" s="34">
        <v>1.3563381687199101</v>
      </c>
      <c r="P128" s="34">
        <v>1.3335178318469001</v>
      </c>
      <c r="Q128" s="34">
        <v>1.33045543289952</v>
      </c>
      <c r="R128" s="33">
        <v>243.02867307123401</v>
      </c>
      <c r="S128" s="33">
        <v>238.230101587039</v>
      </c>
      <c r="T128" s="33">
        <v>238.21457379583299</v>
      </c>
      <c r="U128" s="15">
        <v>-1.0336108116424799E-3</v>
      </c>
      <c r="V128" s="15">
        <v>-2.0976023369760601E-2</v>
      </c>
      <c r="W128" s="15">
        <v>-2.1041205297543299E-2</v>
      </c>
      <c r="X128" s="34">
        <v>1.3577408192878599</v>
      </c>
      <c r="Y128" s="34">
        <v>1.3563584455100699</v>
      </c>
      <c r="Z128" s="34">
        <v>1.3335178318469001</v>
      </c>
      <c r="AA128" s="34">
        <v>1.33053150140145</v>
      </c>
      <c r="AB128" s="33">
        <v>243.032306266495</v>
      </c>
      <c r="AC128" s="33">
        <v>238.230101587039</v>
      </c>
      <c r="AD128" s="33">
        <v>238.22820375000899</v>
      </c>
      <c r="AE128" s="15">
        <v>-1.01866126656305E-3</v>
      </c>
      <c r="AF128" s="15">
        <v>-2.0976023369760601E-2</v>
      </c>
      <c r="AG128" s="15">
        <v>-2.09839898046357E-2</v>
      </c>
      <c r="AI128" s="12"/>
      <c r="AJ128">
        <f t="shared" si="26"/>
        <v>1</v>
      </c>
      <c r="AK128">
        <f t="shared" si="27"/>
        <v>0</v>
      </c>
      <c r="AL128">
        <f t="shared" si="34"/>
        <v>1</v>
      </c>
      <c r="AM128">
        <f t="shared" si="24"/>
        <v>1</v>
      </c>
      <c r="AN128">
        <f t="shared" si="35"/>
        <v>1</v>
      </c>
      <c r="AO128" s="28">
        <f t="shared" si="28"/>
        <v>-2.4205178973126299E-2</v>
      </c>
      <c r="AP128" s="28">
        <f t="shared" si="29"/>
        <v>1.6752995400485599E-2</v>
      </c>
      <c r="AQ128" s="28">
        <f t="shared" si="36"/>
        <v>-7.4521835726406999E-3</v>
      </c>
      <c r="AR128" s="29">
        <f t="shared" si="37"/>
        <v>-5.824031269767993E-4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1.4108615626587561E-2</v>
      </c>
      <c r="BE128" s="29">
        <f t="shared" si="42"/>
        <v>-7.4521835726406999E-3</v>
      </c>
      <c r="BF128" s="29">
        <f t="shared" si="43"/>
        <v>1.3526212499610755E-2</v>
      </c>
      <c r="BH128" s="29"/>
    </row>
    <row r="129" spans="1:60" x14ac:dyDescent="0.25">
      <c r="A129" s="1">
        <v>46211</v>
      </c>
      <c r="B129" s="33">
        <v>181.4</v>
      </c>
      <c r="C129" s="33">
        <v>245.1</v>
      </c>
      <c r="D129" s="15">
        <v>1.23136505116038E-2</v>
      </c>
      <c r="E129" s="15">
        <v>7.4532471649576297E-3</v>
      </c>
      <c r="F129" s="33">
        <v>0</v>
      </c>
      <c r="G129" s="33">
        <v>0.39543</v>
      </c>
      <c r="H129" s="33">
        <v>0</v>
      </c>
      <c r="I129" s="33">
        <v>0.14164499999999999</v>
      </c>
      <c r="J129" s="33">
        <v>0</v>
      </c>
      <c r="K129" s="33">
        <v>0</v>
      </c>
      <c r="L129" s="33">
        <v>181.4</v>
      </c>
      <c r="M129" s="33">
        <v>245.1</v>
      </c>
      <c r="N129" s="34">
        <v>1.35115766262403</v>
      </c>
      <c r="O129" s="34">
        <v>1.3563381687199101</v>
      </c>
      <c r="P129" s="34">
        <v>1.33650373220996</v>
      </c>
      <c r="Q129" s="34">
        <v>1.33146700264165</v>
      </c>
      <c r="R129" s="33">
        <v>246.039743805792</v>
      </c>
      <c r="S129" s="33">
        <v>241.90013469702799</v>
      </c>
      <c r="T129" s="33">
        <v>241.34461552797401</v>
      </c>
      <c r="U129" s="15">
        <v>3.82679253500372E-3</v>
      </c>
      <c r="V129" s="15">
        <v>-1.31413160888531E-2</v>
      </c>
      <c r="W129" s="15">
        <v>-1.54404384838734E-2</v>
      </c>
      <c r="X129" s="34">
        <v>1.35115766262403</v>
      </c>
      <c r="Y129" s="34">
        <v>1.3563584455100699</v>
      </c>
      <c r="Z129" s="34">
        <v>1.33650373220996</v>
      </c>
      <c r="AA129" s="34">
        <v>1.3315430711435801</v>
      </c>
      <c r="AB129" s="33">
        <v>246.043422015527</v>
      </c>
      <c r="AC129" s="33">
        <v>241.90013469702799</v>
      </c>
      <c r="AD129" s="33">
        <v>241.35841435422401</v>
      </c>
      <c r="AE129" s="15">
        <v>3.8417420800831298E-3</v>
      </c>
      <c r="AF129" s="15">
        <v>-1.31413160888531E-2</v>
      </c>
      <c r="AG129" s="15">
        <v>-1.53832653343391E-2</v>
      </c>
      <c r="AI129" s="12"/>
      <c r="AJ129">
        <f t="shared" si="26"/>
        <v>1</v>
      </c>
      <c r="AK129">
        <f t="shared" si="27"/>
        <v>0</v>
      </c>
      <c r="AL129">
        <f t="shared" si="34"/>
        <v>1</v>
      </c>
      <c r="AM129">
        <f t="shared" si="24"/>
        <v>1</v>
      </c>
      <c r="AN129">
        <f t="shared" si="35"/>
        <v>1</v>
      </c>
      <c r="AO129" s="28">
        <f t="shared" si="28"/>
        <v>1.23136505116038E-2</v>
      </c>
      <c r="AP129" s="28">
        <f t="shared" si="29"/>
        <v>-7.4532471649576297E-3</v>
      </c>
      <c r="AQ129" s="28">
        <f t="shared" si="36"/>
        <v>4.8604033466461702E-3</v>
      </c>
      <c r="AR129" s="29">
        <f t="shared" si="37"/>
        <v>4.2780002196693709E-3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1.4108615626587561E-2</v>
      </c>
      <c r="BE129" s="29">
        <f t="shared" si="42"/>
        <v>4.8604033466461702E-3</v>
      </c>
      <c r="BF129" s="29">
        <f t="shared" si="43"/>
        <v>1.8386615846256924E-2</v>
      </c>
      <c r="BH129" s="29"/>
    </row>
    <row r="130" spans="1:60" x14ac:dyDescent="0.25">
      <c r="A130" s="1">
        <v>46212</v>
      </c>
      <c r="B130" s="33">
        <v>185.35</v>
      </c>
      <c r="C130" s="33">
        <v>249.28</v>
      </c>
      <c r="D130" s="15">
        <v>2.1541391915705001E-2</v>
      </c>
      <c r="E130" s="15">
        <v>1.6910472148316501E-2</v>
      </c>
      <c r="F130" s="33">
        <v>0</v>
      </c>
      <c r="G130" s="33">
        <v>0.39543</v>
      </c>
      <c r="H130" s="33">
        <v>0</v>
      </c>
      <c r="I130" s="33">
        <v>0.14164499999999999</v>
      </c>
      <c r="J130" s="33">
        <v>0</v>
      </c>
      <c r="K130" s="33">
        <v>0</v>
      </c>
      <c r="L130" s="33">
        <v>185.35</v>
      </c>
      <c r="M130" s="33">
        <v>249.28</v>
      </c>
      <c r="N130" s="34">
        <v>1.34491502562719</v>
      </c>
      <c r="O130" s="34">
        <v>1.3563381687199101</v>
      </c>
      <c r="P130" s="34">
        <v>1.33868712223512</v>
      </c>
      <c r="Q130" s="34">
        <v>1.33203133554606</v>
      </c>
      <c r="R130" s="33">
        <v>251.39727957223599</v>
      </c>
      <c r="S130" s="33">
        <v>247.720966765117</v>
      </c>
      <c r="T130" s="33">
        <v>246.78740893963001</v>
      </c>
      <c r="U130" s="15">
        <v>8.4577123023922701E-3</v>
      </c>
      <c r="V130" s="15">
        <v>-6.2737839674772101E-3</v>
      </c>
      <c r="W130" s="15">
        <v>-1.0049489215013601E-2</v>
      </c>
      <c r="X130" s="34">
        <v>1.34491502562719</v>
      </c>
      <c r="Y130" s="34">
        <v>1.3563584455100699</v>
      </c>
      <c r="Z130" s="34">
        <v>1.33868712223512</v>
      </c>
      <c r="AA130" s="34">
        <v>1.3321074040480001</v>
      </c>
      <c r="AB130" s="33">
        <v>251.40103787529199</v>
      </c>
      <c r="AC130" s="33">
        <v>247.720966765117</v>
      </c>
      <c r="AD130" s="33">
        <v>246.80150823646301</v>
      </c>
      <c r="AE130" s="15">
        <v>8.4726618474715003E-3</v>
      </c>
      <c r="AF130" s="15">
        <v>-6.2737839674772101E-3</v>
      </c>
      <c r="AG130" s="15">
        <v>-9.99235950101021E-3</v>
      </c>
      <c r="AI130" s="12"/>
      <c r="AJ130">
        <f t="shared" si="26"/>
        <v>1</v>
      </c>
      <c r="AK130">
        <f t="shared" si="27"/>
        <v>0</v>
      </c>
      <c r="AL130">
        <f t="shared" si="34"/>
        <v>1</v>
      </c>
      <c r="AM130">
        <f t="shared" si="24"/>
        <v>1</v>
      </c>
      <c r="AN130">
        <f t="shared" si="35"/>
        <v>1</v>
      </c>
      <c r="AO130" s="28">
        <f t="shared" si="28"/>
        <v>2.1541391915705001E-2</v>
      </c>
      <c r="AP130" s="28">
        <f t="shared" si="29"/>
        <v>-1.6910472148316501E-2</v>
      </c>
      <c r="AQ130" s="28">
        <f t="shared" si="36"/>
        <v>4.6309197673885007E-3</v>
      </c>
      <c r="AR130" s="29">
        <f t="shared" si="37"/>
        <v>8.9089199870578707E-3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1.4108615626587561E-2</v>
      </c>
      <c r="BE130" s="29">
        <f t="shared" si="42"/>
        <v>4.6309197673885007E-3</v>
      </c>
      <c r="BF130" s="29">
        <f t="shared" si="43"/>
        <v>2.3017535613645425E-2</v>
      </c>
      <c r="BH130" s="29"/>
    </row>
    <row r="131" spans="1:60" x14ac:dyDescent="0.25">
      <c r="A131" s="1">
        <v>46213</v>
      </c>
      <c r="B131" s="33">
        <v>185.78</v>
      </c>
      <c r="C131" s="33">
        <v>250.08</v>
      </c>
      <c r="D131" s="15">
        <v>2.3172483626336198E-3</v>
      </c>
      <c r="E131" s="15">
        <v>3.20410399078306E-3</v>
      </c>
      <c r="F131" s="33">
        <v>0</v>
      </c>
      <c r="G131" s="33">
        <v>0.39543</v>
      </c>
      <c r="H131" s="33">
        <v>0</v>
      </c>
      <c r="I131" s="33">
        <v>0.14164499999999999</v>
      </c>
      <c r="J131" s="33">
        <v>0</v>
      </c>
      <c r="K131" s="33">
        <v>0</v>
      </c>
      <c r="L131" s="33">
        <v>185.78</v>
      </c>
      <c r="M131" s="33">
        <v>250.08</v>
      </c>
      <c r="N131" s="34">
        <v>1.3461083001399501</v>
      </c>
      <c r="O131" s="34">
        <v>1.3563381687199101</v>
      </c>
      <c r="P131" s="34">
        <v>1.3411042046194901</v>
      </c>
      <c r="Q131" s="34">
        <v>1.33270027883252</v>
      </c>
      <c r="R131" s="33">
        <v>251.980504984785</v>
      </c>
      <c r="S131" s="33">
        <v>248.701293568842</v>
      </c>
      <c r="T131" s="33">
        <v>247.46478151774801</v>
      </c>
      <c r="U131" s="15">
        <v>7.5708566742425897E-3</v>
      </c>
      <c r="V131" s="15">
        <v>-5.5283145550906196E-3</v>
      </c>
      <c r="W131" s="15">
        <v>-1.0512591687570899E-2</v>
      </c>
      <c r="X131" s="34">
        <v>1.3461083001399501</v>
      </c>
      <c r="Y131" s="34">
        <v>1.3563584455100699</v>
      </c>
      <c r="Z131" s="34">
        <v>1.3411042046194901</v>
      </c>
      <c r="AA131" s="34">
        <v>1.3327763473344501</v>
      </c>
      <c r="AB131" s="33">
        <v>251.984272006861</v>
      </c>
      <c r="AC131" s="33">
        <v>248.701293568842</v>
      </c>
      <c r="AD131" s="33">
        <v>247.47891352403701</v>
      </c>
      <c r="AE131" s="15">
        <v>7.5858062193221399E-3</v>
      </c>
      <c r="AF131" s="15">
        <v>-5.5283145550906196E-3</v>
      </c>
      <c r="AG131" s="15">
        <v>-1.0455486176644199E-2</v>
      </c>
      <c r="AI131" s="12"/>
      <c r="AJ131">
        <f t="shared" si="26"/>
        <v>1</v>
      </c>
      <c r="AK131">
        <f t="shared" si="27"/>
        <v>0</v>
      </c>
      <c r="AL131">
        <f t="shared" si="34"/>
        <v>1</v>
      </c>
      <c r="AM131">
        <f t="shared" si="24"/>
        <v>1</v>
      </c>
      <c r="AN131">
        <f t="shared" si="35"/>
        <v>1</v>
      </c>
      <c r="AO131" s="28">
        <f t="shared" si="28"/>
        <v>2.3172483626336198E-3</v>
      </c>
      <c r="AP131" s="28">
        <f t="shared" si="29"/>
        <v>-3.20410399078306E-3</v>
      </c>
      <c r="AQ131" s="28">
        <f t="shared" si="36"/>
        <v>-8.8685562814944021E-4</v>
      </c>
      <c r="AR131" s="29">
        <f t="shared" si="37"/>
        <v>8.0220643589084296E-3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1.4108615626587561E-2</v>
      </c>
      <c r="BE131" s="29">
        <f t="shared" si="42"/>
        <v>-8.8685562814944021E-4</v>
      </c>
      <c r="BF131" s="29">
        <f t="shared" si="43"/>
        <v>2.2130679985495984E-2</v>
      </c>
      <c r="BH131" s="29"/>
    </row>
    <row r="132" spans="1:60" x14ac:dyDescent="0.25">
      <c r="A132" s="1">
        <v>46216</v>
      </c>
      <c r="B132" s="33">
        <v>181.28</v>
      </c>
      <c r="C132" s="33">
        <v>244.77</v>
      </c>
      <c r="D132" s="15">
        <v>-2.4520380679678499E-2</v>
      </c>
      <c r="E132" s="15">
        <v>-2.1461872564347902E-2</v>
      </c>
      <c r="F132" s="33">
        <v>0</v>
      </c>
      <c r="G132" s="33">
        <v>0.39543</v>
      </c>
      <c r="H132" s="33">
        <v>0</v>
      </c>
      <c r="I132" s="33">
        <v>0.14164499999999999</v>
      </c>
      <c r="J132" s="33">
        <v>0</v>
      </c>
      <c r="K132" s="33">
        <v>0</v>
      </c>
      <c r="L132" s="33">
        <v>181.28</v>
      </c>
      <c r="M132" s="33">
        <v>244.77</v>
      </c>
      <c r="N132" s="34">
        <v>1.3502316857899299</v>
      </c>
      <c r="O132" s="34">
        <v>1.3563381687199101</v>
      </c>
      <c r="P132" s="34">
        <v>1.34379895400573</v>
      </c>
      <c r="Q132" s="34">
        <v>1.33379900356194</v>
      </c>
      <c r="R132" s="33">
        <v>245.87698322554601</v>
      </c>
      <c r="S132" s="33">
        <v>243.11537021342201</v>
      </c>
      <c r="T132" s="33">
        <v>241.59190654675899</v>
      </c>
      <c r="U132" s="15">
        <v>4.5123485589118398E-3</v>
      </c>
      <c r="V132" s="15">
        <v>-6.7828888972088098E-3</v>
      </c>
      <c r="W132" s="15">
        <v>-1.30690280018283E-2</v>
      </c>
      <c r="X132" s="34">
        <v>1.3502316857899299</v>
      </c>
      <c r="Y132" s="34">
        <v>1.3563584455100699</v>
      </c>
      <c r="Z132" s="34">
        <v>1.34379895400573</v>
      </c>
      <c r="AA132" s="34">
        <v>1.3338750720638799</v>
      </c>
      <c r="AB132" s="33">
        <v>245.88065900206601</v>
      </c>
      <c r="AC132" s="33">
        <v>243.11537021342201</v>
      </c>
      <c r="AD132" s="33">
        <v>241.60569624478899</v>
      </c>
      <c r="AE132" s="15">
        <v>4.5272981039913198E-3</v>
      </c>
      <c r="AF132" s="15">
        <v>-6.7828888972088098E-3</v>
      </c>
      <c r="AG132" s="15">
        <v>-1.3011951153954E-2</v>
      </c>
      <c r="AI132" s="12"/>
      <c r="AJ132">
        <f t="shared" si="26"/>
        <v>1</v>
      </c>
      <c r="AK132">
        <f t="shared" si="27"/>
        <v>0</v>
      </c>
      <c r="AL132">
        <f t="shared" si="34"/>
        <v>1</v>
      </c>
      <c r="AM132">
        <f t="shared" si="24"/>
        <v>1</v>
      </c>
      <c r="AN132">
        <f t="shared" si="35"/>
        <v>1</v>
      </c>
      <c r="AO132" s="28">
        <f t="shared" si="28"/>
        <v>-2.4520380679678499E-2</v>
      </c>
      <c r="AP132" s="28">
        <f t="shared" si="29"/>
        <v>2.1461872564347902E-2</v>
      </c>
      <c r="AQ132" s="28">
        <f t="shared" si="36"/>
        <v>-3.0585081153305972E-3</v>
      </c>
      <c r="AR132" s="29">
        <f t="shared" si="37"/>
        <v>4.9635562435778324E-3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1.4108615626587561E-2</v>
      </c>
      <c r="BE132" s="29">
        <f t="shared" si="42"/>
        <v>-3.0585081153305972E-3</v>
      </c>
      <c r="BF132" s="29">
        <f t="shared" si="43"/>
        <v>1.9072171870165387E-2</v>
      </c>
      <c r="BH132" s="29"/>
    </row>
    <row r="133" spans="1:60" x14ac:dyDescent="0.25">
      <c r="A133" s="1">
        <v>46217</v>
      </c>
      <c r="B133" s="33">
        <v>183.62</v>
      </c>
      <c r="C133" s="33">
        <v>248.19</v>
      </c>
      <c r="D133" s="15">
        <v>1.2825607435857801E-2</v>
      </c>
      <c r="E133" s="15">
        <v>1.3875587761382599E-2</v>
      </c>
      <c r="F133" s="33">
        <v>0</v>
      </c>
      <c r="G133" s="33">
        <v>0.39543</v>
      </c>
      <c r="H133" s="33">
        <v>0</v>
      </c>
      <c r="I133" s="33">
        <v>0.14164499999999999</v>
      </c>
      <c r="J133" s="33">
        <v>0</v>
      </c>
      <c r="K133" s="33">
        <v>0</v>
      </c>
      <c r="L133" s="33">
        <v>183.62</v>
      </c>
      <c r="M133" s="33">
        <v>248.19</v>
      </c>
      <c r="N133" s="34">
        <v>1.3516501470428</v>
      </c>
      <c r="O133" s="34">
        <v>1.3563381687199101</v>
      </c>
      <c r="P133" s="34">
        <v>1.3461717784290099</v>
      </c>
      <c r="Q133" s="34">
        <v>1.3351396277972001</v>
      </c>
      <c r="R133" s="33">
        <v>249.05081454034999</v>
      </c>
      <c r="S133" s="33">
        <v>246.74836393453299</v>
      </c>
      <c r="T133" s="33">
        <v>244.912173034045</v>
      </c>
      <c r="U133" s="15">
        <v>3.46236823338725E-3</v>
      </c>
      <c r="V133" s="15">
        <v>-5.8255340364110897E-3</v>
      </c>
      <c r="W133" s="15">
        <v>-1.32949130059216E-2</v>
      </c>
      <c r="X133" s="34">
        <v>1.3516501470428</v>
      </c>
      <c r="Y133" s="34">
        <v>1.3563584455100699</v>
      </c>
      <c r="Z133" s="34">
        <v>1.3461717784290099</v>
      </c>
      <c r="AA133" s="34">
        <v>1.33521569629913</v>
      </c>
      <c r="AB133" s="33">
        <v>249.05453776456</v>
      </c>
      <c r="AC133" s="33">
        <v>246.74836393453299</v>
      </c>
      <c r="AD133" s="33">
        <v>244.92614073236899</v>
      </c>
      <c r="AE133" s="15">
        <v>3.47731777846656E-3</v>
      </c>
      <c r="AF133" s="15">
        <v>-5.8255340364110897E-3</v>
      </c>
      <c r="AG133" s="15">
        <v>-1.32378831740939E-2</v>
      </c>
      <c r="AI133" s="12"/>
      <c r="AJ133">
        <f t="shared" si="26"/>
        <v>1</v>
      </c>
      <c r="AK133">
        <f t="shared" si="27"/>
        <v>0</v>
      </c>
      <c r="AL133">
        <f t="shared" si="34"/>
        <v>1</v>
      </c>
      <c r="AM133">
        <f t="shared" si="24"/>
        <v>1</v>
      </c>
      <c r="AN133">
        <f t="shared" si="35"/>
        <v>1</v>
      </c>
      <c r="AO133" s="28">
        <f t="shared" si="28"/>
        <v>1.2825607435857801E-2</v>
      </c>
      <c r="AP133" s="28">
        <f t="shared" si="29"/>
        <v>-1.3875587761382599E-2</v>
      </c>
      <c r="AQ133" s="28">
        <f t="shared" si="36"/>
        <v>-1.0499803255247988E-3</v>
      </c>
      <c r="AR133" s="29">
        <f t="shared" si="37"/>
        <v>3.9135759180530336E-3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1.4108615626587561E-2</v>
      </c>
      <c r="BE133" s="29">
        <f t="shared" si="42"/>
        <v>-1.0499803255247988E-3</v>
      </c>
      <c r="BF133" s="29">
        <f t="shared" si="43"/>
        <v>1.8022191544640589E-2</v>
      </c>
      <c r="BH133" s="29"/>
    </row>
    <row r="134" spans="1:60" x14ac:dyDescent="0.25">
      <c r="A134" s="1">
        <v>46218</v>
      </c>
      <c r="B134" s="33">
        <v>181.58</v>
      </c>
      <c r="C134" s="33">
        <v>248.45</v>
      </c>
      <c r="D134" s="15">
        <v>-1.1172076771942799E-2</v>
      </c>
      <c r="E134" s="15">
        <v>1.0470361781282701E-3</v>
      </c>
      <c r="F134" s="33">
        <v>0</v>
      </c>
      <c r="G134" s="33">
        <v>0.39543</v>
      </c>
      <c r="H134" s="33">
        <v>0</v>
      </c>
      <c r="I134" s="33">
        <v>0.14164499999999999</v>
      </c>
      <c r="J134" s="33">
        <v>0</v>
      </c>
      <c r="K134" s="33">
        <v>0</v>
      </c>
      <c r="L134" s="33">
        <v>181.58</v>
      </c>
      <c r="M134" s="33">
        <v>248.45</v>
      </c>
      <c r="N134" s="34">
        <v>1.3682674303337301</v>
      </c>
      <c r="O134" s="34">
        <v>1.3563381687199101</v>
      </c>
      <c r="P134" s="34">
        <v>1.3506082212314401</v>
      </c>
      <c r="Q134" s="34">
        <v>1.3373425608134499</v>
      </c>
      <c r="R134" s="33">
        <v>246.28388467616199</v>
      </c>
      <c r="S134" s="33">
        <v>244.43787152714</v>
      </c>
      <c r="T134" s="33">
        <v>242.43465361541601</v>
      </c>
      <c r="U134" s="15">
        <v>-8.7567447166839608E-3</v>
      </c>
      <c r="V134" s="15">
        <v>-1.6280445606813802E-2</v>
      </c>
      <c r="W134" s="15">
        <v>-2.4509413611402301E-2</v>
      </c>
      <c r="X134" s="34">
        <v>1.3682674303337301</v>
      </c>
      <c r="Y134" s="34">
        <v>1.3563584455100699</v>
      </c>
      <c r="Z134" s="34">
        <v>1.3506082212314401</v>
      </c>
      <c r="AA134" s="34">
        <v>1.33739990597214</v>
      </c>
      <c r="AB134" s="33">
        <v>246.28756653571901</v>
      </c>
      <c r="AC134" s="33">
        <v>244.43787152714</v>
      </c>
      <c r="AD134" s="33">
        <v>242.44846613399699</v>
      </c>
      <c r="AE134" s="15">
        <v>-8.7417951716044807E-3</v>
      </c>
      <c r="AF134" s="15">
        <v>-1.6280445606813802E-2</v>
      </c>
      <c r="AG134" s="15">
        <v>-2.4452441042047499E-2</v>
      </c>
      <c r="AI134" s="12"/>
      <c r="AJ134">
        <f t="shared" si="26"/>
        <v>1</v>
      </c>
      <c r="AK134">
        <f t="shared" si="27"/>
        <v>0</v>
      </c>
      <c r="AL134">
        <f t="shared" si="34"/>
        <v>1</v>
      </c>
      <c r="AM134">
        <f t="shared" si="24"/>
        <v>1</v>
      </c>
      <c r="AN134">
        <f t="shared" si="35"/>
        <v>1</v>
      </c>
      <c r="AO134" s="28">
        <f t="shared" si="28"/>
        <v>-1.1172076771942799E-2</v>
      </c>
      <c r="AP134" s="28">
        <f t="shared" si="29"/>
        <v>-1.0470361781282701E-3</v>
      </c>
      <c r="AQ134" s="28">
        <f t="shared" si="36"/>
        <v>-1.2219112950071069E-2</v>
      </c>
      <c r="AR134" s="29">
        <f t="shared" si="37"/>
        <v>-8.3055370320180358E-3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1.4108615626587561E-2</v>
      </c>
      <c r="BE134" s="29">
        <f t="shared" si="42"/>
        <v>-1.2219112950071069E-2</v>
      </c>
      <c r="BF134" s="29">
        <f t="shared" si="43"/>
        <v>5.8030785945695201E-3</v>
      </c>
      <c r="BH134" s="29"/>
    </row>
    <row r="135" spans="1:60" x14ac:dyDescent="0.25">
      <c r="A135" s="1">
        <v>46219</v>
      </c>
      <c r="B135" s="33">
        <v>177.52</v>
      </c>
      <c r="C135" s="33">
        <v>242.7</v>
      </c>
      <c r="D135" s="15">
        <v>-2.2613049319272601E-2</v>
      </c>
      <c r="E135" s="15">
        <v>-2.34155053157739E-2</v>
      </c>
      <c r="F135" s="33">
        <v>0</v>
      </c>
      <c r="G135" s="33">
        <v>0.39543</v>
      </c>
      <c r="H135" s="33">
        <v>0</v>
      </c>
      <c r="I135" s="33">
        <v>0.14164499999999999</v>
      </c>
      <c r="J135" s="33">
        <v>0</v>
      </c>
      <c r="K135" s="33">
        <v>0</v>
      </c>
      <c r="L135" s="33">
        <v>177.52</v>
      </c>
      <c r="M135" s="33">
        <v>242.7</v>
      </c>
      <c r="N135" s="34">
        <v>1.3671698963497001</v>
      </c>
      <c r="O135" s="34">
        <v>1.3563381687199101</v>
      </c>
      <c r="P135" s="34">
        <v>1.3533148671534501</v>
      </c>
      <c r="Q135" s="34">
        <v>1.33917295007418</v>
      </c>
      <c r="R135" s="33">
        <v>240.77715171115901</v>
      </c>
      <c r="S135" s="33">
        <v>239.75997143300501</v>
      </c>
      <c r="T135" s="33">
        <v>237.40505139560301</v>
      </c>
      <c r="U135" s="15">
        <v>-7.9542887201827697E-3</v>
      </c>
      <c r="V135" s="15">
        <v>-1.21878088724454E-2</v>
      </c>
      <c r="W135" s="15">
        <v>-2.2058352790084799E-2</v>
      </c>
      <c r="X135" s="34">
        <v>1.3671698963497001</v>
      </c>
      <c r="Y135" s="34">
        <v>1.3563584455100699</v>
      </c>
      <c r="Z135" s="34">
        <v>1.3533148671534501</v>
      </c>
      <c r="AA135" s="34">
        <v>1.3392110346128401</v>
      </c>
      <c r="AB135" s="33">
        <v>240.780751246948</v>
      </c>
      <c r="AC135" s="33">
        <v>239.75997143300501</v>
      </c>
      <c r="AD135" s="33">
        <v>237.41523130817399</v>
      </c>
      <c r="AE135" s="15">
        <v>-7.9393391751033694E-3</v>
      </c>
      <c r="AF135" s="15">
        <v>-1.21878088724453E-2</v>
      </c>
      <c r="AG135" s="15">
        <v>-2.2015473776937401E-2</v>
      </c>
      <c r="AI135" s="12"/>
      <c r="AJ135">
        <f t="shared" si="26"/>
        <v>1</v>
      </c>
      <c r="AK135">
        <f t="shared" si="27"/>
        <v>0</v>
      </c>
      <c r="AL135">
        <f t="shared" si="34"/>
        <v>1</v>
      </c>
      <c r="AM135">
        <f t="shared" si="24"/>
        <v>1</v>
      </c>
      <c r="AN135">
        <f t="shared" si="35"/>
        <v>1</v>
      </c>
      <c r="AO135" s="28">
        <f t="shared" si="28"/>
        <v>-2.2613049319272601E-2</v>
      </c>
      <c r="AP135" s="28">
        <f t="shared" si="29"/>
        <v>2.34155053157739E-2</v>
      </c>
      <c r="AQ135" s="28">
        <f t="shared" si="36"/>
        <v>8.0245599650129867E-4</v>
      </c>
      <c r="AR135" s="29">
        <f t="shared" si="37"/>
        <v>-7.5030810355167371E-3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1.4108615626587561E-2</v>
      </c>
      <c r="BE135" s="29">
        <f t="shared" si="42"/>
        <v>8.0245599650129867E-4</v>
      </c>
      <c r="BF135" s="29">
        <f t="shared" si="43"/>
        <v>6.6055345910708187E-3</v>
      </c>
      <c r="BH135" s="29"/>
    </row>
    <row r="136" spans="1:60" x14ac:dyDescent="0.25">
      <c r="A136" s="1">
        <v>46220</v>
      </c>
      <c r="B136" s="33">
        <v>175.59</v>
      </c>
      <c r="C136" s="33">
        <v>239.24</v>
      </c>
      <c r="D136" s="15">
        <v>-1.09315466530992E-2</v>
      </c>
      <c r="E136" s="15">
        <v>-1.4358880556199299E-2</v>
      </c>
      <c r="F136" s="33">
        <v>0</v>
      </c>
      <c r="G136" s="33">
        <v>0.39543</v>
      </c>
      <c r="H136" s="33">
        <v>0</v>
      </c>
      <c r="I136" s="33">
        <v>0.14164499999999999</v>
      </c>
      <c r="J136" s="33">
        <v>0</v>
      </c>
      <c r="K136" s="33">
        <v>0</v>
      </c>
      <c r="L136" s="33">
        <v>175.59</v>
      </c>
      <c r="M136" s="33">
        <v>239.24</v>
      </c>
      <c r="N136" s="34">
        <v>1.3624921692579299</v>
      </c>
      <c r="O136" s="34">
        <v>1.3563381687199101</v>
      </c>
      <c r="P136" s="34">
        <v>1.35473934295293</v>
      </c>
      <c r="Q136" s="34">
        <v>1.34099239169101</v>
      </c>
      <c r="R136" s="33">
        <v>238.15941904553</v>
      </c>
      <c r="S136" s="33">
        <v>237.628557523474</v>
      </c>
      <c r="T136" s="33">
        <v>235.145378303526</v>
      </c>
      <c r="U136" s="15">
        <v>-4.5269548170826504E-3</v>
      </c>
      <c r="V136" s="15">
        <v>-6.7584603131816802E-3</v>
      </c>
      <c r="W136" s="15">
        <v>-1.72632782266849E-2</v>
      </c>
      <c r="X136" s="34">
        <v>1.3624921692579299</v>
      </c>
      <c r="Y136" s="34">
        <v>1.3563584455100699</v>
      </c>
      <c r="Z136" s="34">
        <v>1.35473934295293</v>
      </c>
      <c r="AA136" s="34">
        <v>1.3410111492651799</v>
      </c>
      <c r="AB136" s="33">
        <v>238.162979447114</v>
      </c>
      <c r="AC136" s="33">
        <v>237.628557523474</v>
      </c>
      <c r="AD136" s="33">
        <v>235.15206556766799</v>
      </c>
      <c r="AE136" s="15">
        <v>-4.5120052720032996E-3</v>
      </c>
      <c r="AF136" s="15">
        <v>-6.7584603131817904E-3</v>
      </c>
      <c r="AG136" s="15">
        <v>-1.7234839781060201E-2</v>
      </c>
      <c r="AI136" s="12"/>
      <c r="AJ136">
        <f t="shared" si="26"/>
        <v>1</v>
      </c>
      <c r="AK136">
        <f t="shared" si="27"/>
        <v>0</v>
      </c>
      <c r="AL136">
        <f t="shared" si="34"/>
        <v>1</v>
      </c>
      <c r="AM136">
        <f t="shared" si="24"/>
        <v>1</v>
      </c>
      <c r="AN136">
        <f t="shared" si="35"/>
        <v>1</v>
      </c>
      <c r="AO136" s="28">
        <f t="shared" si="28"/>
        <v>-1.09315466530992E-2</v>
      </c>
      <c r="AP136" s="28">
        <f t="shared" si="29"/>
        <v>1.4358880556199299E-2</v>
      </c>
      <c r="AQ136" s="28">
        <f t="shared" si="36"/>
        <v>3.4273339031000993E-3</v>
      </c>
      <c r="AR136" s="29">
        <f t="shared" si="37"/>
        <v>-4.0757471324166378E-3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1.4108615626587561E-2</v>
      </c>
      <c r="BE136" s="29">
        <f t="shared" si="42"/>
        <v>3.4273339031000993E-3</v>
      </c>
      <c r="BF136" s="29">
        <f t="shared" si="43"/>
        <v>1.0032868494170918E-2</v>
      </c>
      <c r="BH136" s="29"/>
    </row>
    <row r="137" spans="1:60" x14ac:dyDescent="0.25">
      <c r="A137" s="1">
        <v>46223</v>
      </c>
      <c r="B137" s="33">
        <v>175.71</v>
      </c>
      <c r="C137" s="33">
        <v>239.97</v>
      </c>
      <c r="D137" s="15">
        <v>6.8317679856144599E-4</v>
      </c>
      <c r="E137" s="15">
        <v>3.0466833524838699E-3</v>
      </c>
      <c r="F137" s="33">
        <v>0</v>
      </c>
      <c r="G137" s="33">
        <v>0.39543</v>
      </c>
      <c r="H137" s="33">
        <v>0</v>
      </c>
      <c r="I137" s="33">
        <v>0.14164499999999999</v>
      </c>
      <c r="J137" s="33">
        <v>0</v>
      </c>
      <c r="K137" s="33">
        <v>0</v>
      </c>
      <c r="L137" s="33">
        <v>175.71</v>
      </c>
      <c r="M137" s="33">
        <v>239.97</v>
      </c>
      <c r="N137" s="34">
        <v>1.36571623698138</v>
      </c>
      <c r="O137" s="34">
        <v>1.3563381687199101</v>
      </c>
      <c r="P137" s="34">
        <v>1.3565449373434499</v>
      </c>
      <c r="Q137" s="34">
        <v>1.3430511872425399</v>
      </c>
      <c r="R137" s="33">
        <v>238.32217962577599</v>
      </c>
      <c r="S137" s="33">
        <v>238.04124995026001</v>
      </c>
      <c r="T137" s="33">
        <v>235.62577314402799</v>
      </c>
      <c r="U137" s="15">
        <v>-6.8904613710052201E-3</v>
      </c>
      <c r="V137" s="15">
        <v>-8.0699377566465693E-3</v>
      </c>
      <c r="W137" s="15">
        <v>-1.82690760840837E-2</v>
      </c>
      <c r="X137" s="34">
        <v>1.36571623698138</v>
      </c>
      <c r="Y137" s="34">
        <v>1.3563584455100699</v>
      </c>
      <c r="Z137" s="34">
        <v>1.3565449373434499</v>
      </c>
      <c r="AA137" s="34">
        <v>1.3430511872425399</v>
      </c>
      <c r="AB137" s="33">
        <v>238.32574246057499</v>
      </c>
      <c r="AC137" s="33">
        <v>238.04124995026001</v>
      </c>
      <c r="AD137" s="33">
        <v>235.62906903738599</v>
      </c>
      <c r="AE137" s="15">
        <v>-6.8755118259257999E-3</v>
      </c>
      <c r="AF137" s="15">
        <v>-8.0699377566467896E-3</v>
      </c>
      <c r="AG137" s="15">
        <v>-1.8255088351488698E-2</v>
      </c>
      <c r="AI137" s="12"/>
      <c r="AJ137">
        <f t="shared" si="26"/>
        <v>1</v>
      </c>
      <c r="AK137">
        <f t="shared" si="27"/>
        <v>0</v>
      </c>
      <c r="AL137">
        <f t="shared" si="34"/>
        <v>1</v>
      </c>
      <c r="AM137">
        <f t="shared" si="24"/>
        <v>1</v>
      </c>
      <c r="AN137">
        <f t="shared" si="35"/>
        <v>1</v>
      </c>
      <c r="AO137" s="28">
        <f t="shared" si="28"/>
        <v>6.8317679856144599E-4</v>
      </c>
      <c r="AP137" s="28">
        <f t="shared" si="29"/>
        <v>-3.0466833524838699E-3</v>
      </c>
      <c r="AQ137" s="28">
        <f t="shared" si="36"/>
        <v>-2.363506553922424E-3</v>
      </c>
      <c r="AR137" s="29">
        <f t="shared" si="37"/>
        <v>-6.4392536863390618E-3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1.4108615626587561E-2</v>
      </c>
      <c r="BE137" s="29">
        <f t="shared" si="42"/>
        <v>-2.363506553922424E-3</v>
      </c>
      <c r="BF137" s="29">
        <f t="shared" si="43"/>
        <v>7.6693619402484941E-3</v>
      </c>
      <c r="BH137" s="29"/>
    </row>
    <row r="138" spans="1:60" x14ac:dyDescent="0.25">
      <c r="A138" s="1">
        <v>46224</v>
      </c>
      <c r="B138" s="33">
        <v>180.78</v>
      </c>
      <c r="C138" s="33">
        <v>244.45</v>
      </c>
      <c r="D138" s="15">
        <v>2.84459136004643E-2</v>
      </c>
      <c r="E138" s="15">
        <v>1.84968734958143E-2</v>
      </c>
      <c r="F138" s="33">
        <v>0</v>
      </c>
      <c r="G138" s="33">
        <v>0.39543</v>
      </c>
      <c r="H138" s="33">
        <v>0</v>
      </c>
      <c r="I138" s="33">
        <v>0.14164499999999999</v>
      </c>
      <c r="J138" s="33">
        <v>0</v>
      </c>
      <c r="K138" s="33">
        <v>0</v>
      </c>
      <c r="L138" s="33">
        <v>180.78</v>
      </c>
      <c r="M138" s="33">
        <v>244.45</v>
      </c>
      <c r="N138" s="34">
        <v>1.35219603938488</v>
      </c>
      <c r="O138" s="34">
        <v>1.3563381687199101</v>
      </c>
      <c r="P138" s="34">
        <v>1.35599045935315</v>
      </c>
      <c r="Q138" s="34">
        <v>1.34475414560003</v>
      </c>
      <c r="R138" s="33">
        <v>245.19881414118601</v>
      </c>
      <c r="S138" s="33">
        <v>245.23619377294901</v>
      </c>
      <c r="T138" s="33">
        <v>242.79679362970799</v>
      </c>
      <c r="U138" s="15">
        <v>3.05857873364462E-3</v>
      </c>
      <c r="V138" s="15">
        <v>3.2110133324505202E-3</v>
      </c>
      <c r="W138" s="15">
        <v>-6.7859357349600502E-3</v>
      </c>
      <c r="X138" s="34">
        <v>1.35219603938488</v>
      </c>
      <c r="Y138" s="34">
        <v>1.3563584455100699</v>
      </c>
      <c r="Z138" s="34">
        <v>1.35599045935315</v>
      </c>
      <c r="AA138" s="34">
        <v>1.34475414560003</v>
      </c>
      <c r="AB138" s="33">
        <v>245.20247977931101</v>
      </c>
      <c r="AC138" s="33">
        <v>245.23619377294901</v>
      </c>
      <c r="AD138" s="33">
        <v>242.79679362970799</v>
      </c>
      <c r="AE138" s="15">
        <v>3.0735282787242501E-3</v>
      </c>
      <c r="AF138" s="15">
        <v>3.2110133324505202E-3</v>
      </c>
      <c r="AG138" s="15">
        <v>-6.7859357349600502E-3</v>
      </c>
      <c r="AI138" s="12"/>
      <c r="AJ138">
        <f t="shared" si="26"/>
        <v>1</v>
      </c>
      <c r="AK138">
        <f t="shared" si="27"/>
        <v>0</v>
      </c>
      <c r="AL138">
        <f t="shared" si="34"/>
        <v>1</v>
      </c>
      <c r="AM138">
        <f t="shared" si="24"/>
        <v>1</v>
      </c>
      <c r="AN138">
        <f t="shared" si="35"/>
        <v>1</v>
      </c>
      <c r="AO138" s="28">
        <f t="shared" si="28"/>
        <v>2.84459136004643E-2</v>
      </c>
      <c r="AP138" s="28">
        <f t="shared" si="29"/>
        <v>-1.84968734958143E-2</v>
      </c>
      <c r="AQ138" s="28">
        <f t="shared" si="36"/>
        <v>9.9490401046499997E-3</v>
      </c>
      <c r="AR138" s="29">
        <f t="shared" si="37"/>
        <v>3.509786418310938E-3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1.4108615626587561E-2</v>
      </c>
      <c r="BE138" s="29">
        <f t="shared" si="42"/>
        <v>9.9490401046499997E-3</v>
      </c>
      <c r="BF138" s="29">
        <f t="shared" si="43"/>
        <v>1.7618402044898493E-2</v>
      </c>
      <c r="BH138" s="29"/>
    </row>
    <row r="139" spans="1:60" x14ac:dyDescent="0.25">
      <c r="A139" s="1">
        <v>46225</v>
      </c>
      <c r="B139" s="33">
        <v>180.27</v>
      </c>
      <c r="C139" s="33">
        <v>243.28</v>
      </c>
      <c r="D139" s="15">
        <v>-2.8250953563185E-3</v>
      </c>
      <c r="E139" s="15">
        <v>-4.7977456555453298E-3</v>
      </c>
      <c r="F139" s="33">
        <v>0</v>
      </c>
      <c r="G139" s="33">
        <v>0.39543</v>
      </c>
      <c r="H139" s="33">
        <v>0</v>
      </c>
      <c r="I139" s="33">
        <v>0.14164499999999999</v>
      </c>
      <c r="J139" s="33">
        <v>0</v>
      </c>
      <c r="K139" s="33">
        <v>0</v>
      </c>
      <c r="L139" s="33">
        <v>180.27</v>
      </c>
      <c r="M139" s="33">
        <v>243.28</v>
      </c>
      <c r="N139" s="34">
        <v>1.3495312586675501</v>
      </c>
      <c r="O139" s="34">
        <v>1.3563381687199101</v>
      </c>
      <c r="P139" s="34">
        <v>1.3558278189574999</v>
      </c>
      <c r="Q139" s="34">
        <v>1.34616577558373</v>
      </c>
      <c r="R139" s="33">
        <v>244.50708167513901</v>
      </c>
      <c r="S139" s="33">
        <v>244.444400107593</v>
      </c>
      <c r="T139" s="33">
        <v>242.41882982731701</v>
      </c>
      <c r="U139" s="15">
        <v>5.0312290328715101E-3</v>
      </c>
      <c r="V139" s="15">
        <v>4.7748372630364204E-3</v>
      </c>
      <c r="W139" s="15">
        <v>-3.5461113851811199E-3</v>
      </c>
      <c r="X139" s="34">
        <v>1.3495312586675501</v>
      </c>
      <c r="Y139" s="34">
        <v>1.3563584455100699</v>
      </c>
      <c r="Z139" s="34">
        <v>1.3558278189574999</v>
      </c>
      <c r="AA139" s="34">
        <v>1.34616577558373</v>
      </c>
      <c r="AB139" s="33">
        <v>244.510736972101</v>
      </c>
      <c r="AC139" s="33">
        <v>244.444400107593</v>
      </c>
      <c r="AD139" s="33">
        <v>242.41882982731701</v>
      </c>
      <c r="AE139" s="15">
        <v>5.04617857795088E-3</v>
      </c>
      <c r="AF139" s="15">
        <v>4.7748372630362001E-3</v>
      </c>
      <c r="AG139" s="15">
        <v>-3.5461113851811199E-3</v>
      </c>
      <c r="AI139" s="12"/>
      <c r="AJ139">
        <f t="shared" si="26"/>
        <v>0</v>
      </c>
      <c r="AK139">
        <f t="shared" si="27"/>
        <v>0</v>
      </c>
      <c r="AL139">
        <f t="shared" si="34"/>
        <v>1</v>
      </c>
      <c r="AM139">
        <f t="shared" si="24"/>
        <v>1</v>
      </c>
      <c r="AN139">
        <f t="shared" si="35"/>
        <v>1</v>
      </c>
      <c r="AO139" s="28">
        <f t="shared" si="28"/>
        <v>-2.8250953563185E-3</v>
      </c>
      <c r="AP139" s="28">
        <f t="shared" si="29"/>
        <v>4.7977456555453298E-3</v>
      </c>
      <c r="AQ139" s="28">
        <f t="shared" si="36"/>
        <v>1.9726502992268298E-3</v>
      </c>
      <c r="AR139" s="29">
        <f t="shared" si="37"/>
        <v>5.4824367175377673E-3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1.4108615626587561E-2</v>
      </c>
      <c r="BE139" s="29">
        <f t="shared" si="42"/>
        <v>1.9726502992268298E-3</v>
      </c>
      <c r="BF139" s="29">
        <f t="shared" si="43"/>
        <v>1.9591052344125323E-2</v>
      </c>
      <c r="BH139" s="29"/>
    </row>
    <row r="140" spans="1:60" x14ac:dyDescent="0.25">
      <c r="A140" s="1">
        <v>46226</v>
      </c>
      <c r="B140" s="33">
        <v>178.45</v>
      </c>
      <c r="C140" s="33">
        <v>238.54</v>
      </c>
      <c r="D140" s="15">
        <v>-1.0147277077777E-2</v>
      </c>
      <c r="E140" s="15">
        <v>-1.9676032218586201E-2</v>
      </c>
      <c r="F140" s="33">
        <v>0</v>
      </c>
      <c r="G140" s="33">
        <v>0.39543</v>
      </c>
      <c r="H140" s="33">
        <v>0</v>
      </c>
      <c r="I140" s="33">
        <v>0.14164499999999999</v>
      </c>
      <c r="J140" s="33">
        <v>0</v>
      </c>
      <c r="K140" s="33">
        <v>0</v>
      </c>
      <c r="L140" s="33">
        <v>178.45</v>
      </c>
      <c r="M140" s="33">
        <v>238.54</v>
      </c>
      <c r="N140" s="34">
        <v>1.3367329784253199</v>
      </c>
      <c r="O140" s="34">
        <v>1.3563381687199101</v>
      </c>
      <c r="P140" s="34">
        <v>1.35500961423732</v>
      </c>
      <c r="Q140" s="34">
        <v>1.34684836823622</v>
      </c>
      <c r="R140" s="33">
        <v>242.038546208068</v>
      </c>
      <c r="S140" s="33">
        <v>241.947474292967</v>
      </c>
      <c r="T140" s="33">
        <v>240.22328265291799</v>
      </c>
      <c r="U140" s="15">
        <v>1.45599841736808E-2</v>
      </c>
      <c r="V140" s="15">
        <v>1.41836430715885E-2</v>
      </c>
      <c r="W140" s="15">
        <v>7.0318240765172898E-3</v>
      </c>
      <c r="X140" s="34">
        <v>1.3367329784253199</v>
      </c>
      <c r="Y140" s="34">
        <v>1.3563584455100699</v>
      </c>
      <c r="Z140" s="34">
        <v>1.35500961423732</v>
      </c>
      <c r="AA140" s="34">
        <v>1.34684836823622</v>
      </c>
      <c r="AB140" s="33">
        <v>242.04216460127299</v>
      </c>
      <c r="AC140" s="33">
        <v>241.947474292967</v>
      </c>
      <c r="AD140" s="33">
        <v>240.22328265291799</v>
      </c>
      <c r="AE140" s="15">
        <v>1.4574933718760201E-2</v>
      </c>
      <c r="AF140" s="15">
        <v>1.4183643071588301E-2</v>
      </c>
      <c r="AG140" s="15">
        <v>7.0318240765172898E-3</v>
      </c>
      <c r="AI140" s="12"/>
      <c r="AJ140">
        <f t="shared" si="26"/>
        <v>0</v>
      </c>
      <c r="AK140">
        <f t="shared" si="27"/>
        <v>1</v>
      </c>
      <c r="AL140">
        <f t="shared" si="34"/>
        <v>1</v>
      </c>
      <c r="AM140">
        <f t="shared" si="24"/>
        <v>1</v>
      </c>
      <c r="AN140">
        <f t="shared" si="35"/>
        <v>1</v>
      </c>
      <c r="AO140" s="28">
        <f t="shared" si="28"/>
        <v>-1.0147277077777E-2</v>
      </c>
      <c r="AP140" s="28">
        <f t="shared" si="29"/>
        <v>1.9676032218586201E-2</v>
      </c>
      <c r="AQ140" s="28">
        <f t="shared" si="36"/>
        <v>9.528755140809201E-3</v>
      </c>
      <c r="AR140" s="29">
        <f t="shared" si="37"/>
        <v>1.5011191858346968E-2</v>
      </c>
      <c r="AT140" s="12"/>
      <c r="AU140">
        <f t="shared" si="30"/>
        <v>1</v>
      </c>
      <c r="AV140">
        <f t="shared" si="31"/>
        <v>0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1.4108615626587561E-2</v>
      </c>
      <c r="BE140" s="29">
        <f t="shared" si="42"/>
        <v>9.528755140809201E-3</v>
      </c>
      <c r="BF140" s="29">
        <f t="shared" si="43"/>
        <v>2.9119807484934524E-2</v>
      </c>
      <c r="BH140" s="29"/>
    </row>
    <row r="141" spans="1:60" x14ac:dyDescent="0.25">
      <c r="A141" s="1">
        <v>46227</v>
      </c>
      <c r="B141" s="33">
        <v>175.88</v>
      </c>
      <c r="C141" s="33">
        <v>236.08</v>
      </c>
      <c r="D141" s="15">
        <v>-1.4506505623559899E-2</v>
      </c>
      <c r="E141" s="15">
        <v>-1.03662805158389E-2</v>
      </c>
      <c r="F141" s="33">
        <v>0</v>
      </c>
      <c r="G141" s="33">
        <v>0.39543</v>
      </c>
      <c r="H141" s="33">
        <v>0</v>
      </c>
      <c r="I141" s="33">
        <v>0.14164499999999999</v>
      </c>
      <c r="J141" s="33">
        <v>0</v>
      </c>
      <c r="K141" s="33">
        <v>0</v>
      </c>
      <c r="L141" s="33">
        <v>175.88</v>
      </c>
      <c r="M141" s="33">
        <v>236.08</v>
      </c>
      <c r="N141" s="34">
        <v>1.34227882647259</v>
      </c>
      <c r="O141" s="34">
        <v>1.3563381687199101</v>
      </c>
      <c r="P141" s="34">
        <v>1.35462666687058</v>
      </c>
      <c r="Q141" s="34">
        <v>1.3478654357450399</v>
      </c>
      <c r="R141" s="33">
        <v>238.55275711445799</v>
      </c>
      <c r="S141" s="33">
        <v>238.31909095206001</v>
      </c>
      <c r="T141" s="33">
        <v>236.88369100538699</v>
      </c>
      <c r="U141" s="15">
        <v>1.04197590659597E-2</v>
      </c>
      <c r="V141" s="15">
        <v>9.4397633625155491E-3</v>
      </c>
      <c r="W141" s="15">
        <v>3.39853478914608E-3</v>
      </c>
      <c r="X141" s="34">
        <v>1.34227882647259</v>
      </c>
      <c r="Y141" s="34">
        <v>1.3563584455100699</v>
      </c>
      <c r="Z141" s="34">
        <v>1.35462666687058</v>
      </c>
      <c r="AA141" s="34">
        <v>1.3478654357450399</v>
      </c>
      <c r="AB141" s="33">
        <v>238.556323396312</v>
      </c>
      <c r="AC141" s="33">
        <v>238.31909095206001</v>
      </c>
      <c r="AD141" s="33">
        <v>236.88369100538699</v>
      </c>
      <c r="AE141" s="15">
        <v>1.04347086110391E-2</v>
      </c>
      <c r="AF141" s="15">
        <v>9.4397633625155491E-3</v>
      </c>
      <c r="AG141" s="15">
        <v>3.39853478914608E-3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1.5011191858346968E-2</v>
      </c>
      <c r="AT141" s="12"/>
      <c r="AU141">
        <f t="shared" si="30"/>
        <v>1</v>
      </c>
      <c r="AV141">
        <f t="shared" si="31"/>
        <v>0</v>
      </c>
      <c r="AW141">
        <f t="shared" si="38"/>
        <v>1</v>
      </c>
      <c r="AX141">
        <f t="shared" si="25"/>
        <v>1</v>
      </c>
      <c r="AY141">
        <f t="shared" si="39"/>
        <v>1</v>
      </c>
      <c r="AZ141" s="28">
        <f t="shared" si="32"/>
        <v>1.4506505623559899E-2</v>
      </c>
      <c r="BA141" s="28">
        <f t="shared" si="33"/>
        <v>-1.03662805158389E-2</v>
      </c>
      <c r="BB141" s="28">
        <f t="shared" si="40"/>
        <v>4.1402251077209996E-3</v>
      </c>
      <c r="BC141" s="29">
        <f t="shared" si="41"/>
        <v>1.8248840734308561E-2</v>
      </c>
      <c r="BE141" s="29">
        <f t="shared" si="42"/>
        <v>4.1402251077209996E-3</v>
      </c>
      <c r="BF141" s="29">
        <f t="shared" si="43"/>
        <v>3.3260032592655524E-2</v>
      </c>
      <c r="BH141" s="29"/>
    </row>
    <row r="142" spans="1:60" x14ac:dyDescent="0.25">
      <c r="A142" s="1">
        <v>46230</v>
      </c>
      <c r="B142" s="33">
        <v>174.3</v>
      </c>
      <c r="C142" s="33">
        <v>235.05</v>
      </c>
      <c r="D142" s="15">
        <v>-9.0239917866340898E-3</v>
      </c>
      <c r="E142" s="15">
        <v>-4.3724731645444501E-3</v>
      </c>
      <c r="F142" s="33">
        <v>0</v>
      </c>
      <c r="G142" s="33">
        <v>0.39543</v>
      </c>
      <c r="H142" s="33">
        <v>0</v>
      </c>
      <c r="I142" s="33">
        <v>0.14164499999999999</v>
      </c>
      <c r="J142" s="33">
        <v>0</v>
      </c>
      <c r="K142" s="33">
        <v>0</v>
      </c>
      <c r="L142" s="33">
        <v>174.3</v>
      </c>
      <c r="M142" s="33">
        <v>235.05</v>
      </c>
      <c r="N142" s="34">
        <v>1.3485370051635099</v>
      </c>
      <c r="O142" s="34">
        <v>1.3563381687199101</v>
      </c>
      <c r="P142" s="34">
        <v>1.3544571988079399</v>
      </c>
      <c r="Q142" s="34">
        <v>1.3491280764068301</v>
      </c>
      <c r="R142" s="33">
        <v>236.409742807881</v>
      </c>
      <c r="S142" s="33">
        <v>236.11142803554301</v>
      </c>
      <c r="T142" s="33">
        <v>234.93294545035999</v>
      </c>
      <c r="U142" s="15">
        <v>5.7682404438701802E-3</v>
      </c>
      <c r="V142" s="15">
        <v>4.50558881944113E-3</v>
      </c>
      <c r="W142" s="15">
        <v>-4.9812255186115198E-4</v>
      </c>
      <c r="X142" s="34">
        <v>1.3485370051635099</v>
      </c>
      <c r="Y142" s="34">
        <v>1.3563584455100699</v>
      </c>
      <c r="Z142" s="34">
        <v>1.3544571988079399</v>
      </c>
      <c r="AA142" s="34">
        <v>1.3491280764068301</v>
      </c>
      <c r="AB142" s="33">
        <v>236.41327705240599</v>
      </c>
      <c r="AC142" s="33">
        <v>236.11142803554301</v>
      </c>
      <c r="AD142" s="33">
        <v>234.93294545035999</v>
      </c>
      <c r="AE142" s="15">
        <v>5.7831899889494703E-3</v>
      </c>
      <c r="AF142" s="15">
        <v>4.50558881944113E-3</v>
      </c>
      <c r="AG142" s="15">
        <v>-4.9812255186115198E-4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1.5011191858346968E-2</v>
      </c>
      <c r="AT142" s="12"/>
      <c r="AU142">
        <f t="shared" si="30"/>
        <v>0</v>
      </c>
      <c r="AV142">
        <f t="shared" si="31"/>
        <v>1</v>
      </c>
      <c r="AW142">
        <f t="shared" si="38"/>
        <v>1</v>
      </c>
      <c r="AX142">
        <f t="shared" si="25"/>
        <v>1</v>
      </c>
      <c r="AY142">
        <f t="shared" si="39"/>
        <v>1</v>
      </c>
      <c r="AZ142" s="28">
        <f t="shared" si="32"/>
        <v>9.0239917866340898E-3</v>
      </c>
      <c r="BA142" s="28">
        <f t="shared" si="33"/>
        <v>-4.3724731645444501E-3</v>
      </c>
      <c r="BB142" s="28">
        <f t="shared" si="40"/>
        <v>4.6515186220896397E-3</v>
      </c>
      <c r="BC142" s="29">
        <f t="shared" si="41"/>
        <v>2.2900359356398201E-2</v>
      </c>
      <c r="BE142" s="29">
        <f t="shared" si="42"/>
        <v>4.6515186220896397E-3</v>
      </c>
      <c r="BF142" s="29">
        <f t="shared" si="43"/>
        <v>3.7911551214745161E-2</v>
      </c>
      <c r="BH142" s="29"/>
    </row>
    <row r="143" spans="1:60" x14ac:dyDescent="0.25">
      <c r="A143" s="1">
        <v>46231</v>
      </c>
      <c r="B143" s="33">
        <v>171.09</v>
      </c>
      <c r="C143" s="33">
        <v>232.2</v>
      </c>
      <c r="D143" s="15">
        <v>-1.8588218689417998E-2</v>
      </c>
      <c r="E143" s="15">
        <v>-1.21991882063485E-2</v>
      </c>
      <c r="F143" s="33">
        <v>0</v>
      </c>
      <c r="G143" s="33">
        <v>0.39543</v>
      </c>
      <c r="H143" s="33">
        <v>0</v>
      </c>
      <c r="I143" s="33">
        <v>0.14164499999999999</v>
      </c>
      <c r="J143" s="33">
        <v>0</v>
      </c>
      <c r="K143" s="33">
        <v>0</v>
      </c>
      <c r="L143" s="33">
        <v>171.09</v>
      </c>
      <c r="M143" s="33">
        <v>232.2</v>
      </c>
      <c r="N143" s="34">
        <v>1.35718043135192</v>
      </c>
      <c r="O143" s="34">
        <v>1.3563381687199101</v>
      </c>
      <c r="P143" s="34">
        <v>1.35501022723885</v>
      </c>
      <c r="Q143" s="34">
        <v>1.3505910028339301</v>
      </c>
      <c r="R143" s="33">
        <v>232.05589728628999</v>
      </c>
      <c r="S143" s="33">
        <v>231.734082144051</v>
      </c>
      <c r="T143" s="33">
        <v>230.822322592446</v>
      </c>
      <c r="U143" s="15">
        <v>-6.2079003919958799E-4</v>
      </c>
      <c r="V143" s="15">
        <v>-2.0085526393428298E-3</v>
      </c>
      <c r="W143" s="15">
        <v>-5.95082096860821E-3</v>
      </c>
      <c r="X143" s="34">
        <v>1.35718043135192</v>
      </c>
      <c r="Y143" s="34">
        <v>1.3563584455100699</v>
      </c>
      <c r="Z143" s="34">
        <v>1.35501022723885</v>
      </c>
      <c r="AA143" s="34">
        <v>1.3505910028339301</v>
      </c>
      <c r="AB143" s="33">
        <v>232.05936644231801</v>
      </c>
      <c r="AC143" s="33">
        <v>231.734082144051</v>
      </c>
      <c r="AD143" s="33">
        <v>230.822322592446</v>
      </c>
      <c r="AE143" s="15">
        <v>-6.0584049412006004E-4</v>
      </c>
      <c r="AF143" s="15">
        <v>-2.0085526393428298E-3</v>
      </c>
      <c r="AG143" s="15">
        <v>-5.95082096860821E-3</v>
      </c>
      <c r="AI143" s="12"/>
      <c r="AJ143">
        <f t="shared" si="26"/>
        <v>1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1.5011191858346968E-2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2.2900359356398201E-2</v>
      </c>
      <c r="BE143" s="29">
        <f t="shared" si="42"/>
        <v>0</v>
      </c>
      <c r="BF143" s="29">
        <f t="shared" si="43"/>
        <v>3.7911551214745161E-2</v>
      </c>
      <c r="BH143" s="29"/>
    </row>
    <row r="144" spans="1:60" x14ac:dyDescent="0.25">
      <c r="A144" s="1">
        <v>46232</v>
      </c>
      <c r="B144" s="33">
        <v>166.57</v>
      </c>
      <c r="C144" s="33">
        <v>227.34</v>
      </c>
      <c r="D144" s="15">
        <v>-2.67740923475407E-2</v>
      </c>
      <c r="E144" s="15">
        <v>-2.1152375005226601E-2</v>
      </c>
      <c r="F144" s="33">
        <v>0</v>
      </c>
      <c r="G144" s="33">
        <v>0.39543</v>
      </c>
      <c r="H144" s="33">
        <v>0</v>
      </c>
      <c r="I144" s="33">
        <v>0.14164499999999999</v>
      </c>
      <c r="J144" s="33">
        <v>0</v>
      </c>
      <c r="K144" s="33">
        <v>0</v>
      </c>
      <c r="L144" s="33">
        <v>166.57</v>
      </c>
      <c r="M144" s="33">
        <v>227.34</v>
      </c>
      <c r="N144" s="34">
        <v>1.3648316023293501</v>
      </c>
      <c r="O144" s="34">
        <v>1.3563381687199101</v>
      </c>
      <c r="P144" s="34">
        <v>1.3546666444384099</v>
      </c>
      <c r="Q144" s="34">
        <v>1.35263743283493</v>
      </c>
      <c r="R144" s="33">
        <v>225.925248763676</v>
      </c>
      <c r="S144" s="33">
        <v>225.704053551176</v>
      </c>
      <c r="T144" s="33">
        <v>224.96794334204799</v>
      </c>
      <c r="U144" s="15">
        <v>-6.2425073815137403E-3</v>
      </c>
      <c r="V144" s="15">
        <v>-7.2220506886147501E-3</v>
      </c>
      <c r="W144" s="15">
        <v>-1.04887762398725E-2</v>
      </c>
      <c r="X144" s="34">
        <v>1.3648316023293501</v>
      </c>
      <c r="Y144" s="34">
        <v>1.3563584455100699</v>
      </c>
      <c r="Z144" s="34">
        <v>1.3546666444384099</v>
      </c>
      <c r="AA144" s="34">
        <v>1.35263743283493</v>
      </c>
      <c r="AB144" s="33">
        <v>225.92862626861299</v>
      </c>
      <c r="AC144" s="33">
        <v>225.704053551176</v>
      </c>
      <c r="AD144" s="33">
        <v>224.96794334204799</v>
      </c>
      <c r="AE144" s="15">
        <v>-6.2275578364343097E-3</v>
      </c>
      <c r="AF144" s="15">
        <v>-7.2220506886145298E-3</v>
      </c>
      <c r="AG144" s="15">
        <v>-1.04887762398725E-2</v>
      </c>
      <c r="AI144" s="12"/>
      <c r="AJ144">
        <f t="shared" si="26"/>
        <v>1</v>
      </c>
      <c r="AK144">
        <f t="shared" si="27"/>
        <v>0</v>
      </c>
      <c r="AL144">
        <f t="shared" si="34"/>
        <v>1</v>
      </c>
      <c r="AM144">
        <f t="shared" si="24"/>
        <v>1</v>
      </c>
      <c r="AN144">
        <f t="shared" si="35"/>
        <v>1</v>
      </c>
      <c r="AO144" s="28">
        <f t="shared" si="28"/>
        <v>-2.67740923475407E-2</v>
      </c>
      <c r="AP144" s="28">
        <f t="shared" si="29"/>
        <v>2.1152375005226601E-2</v>
      </c>
      <c r="AQ144" s="28">
        <f t="shared" si="36"/>
        <v>-5.621717342314099E-3</v>
      </c>
      <c r="AR144" s="29">
        <f t="shared" si="37"/>
        <v>9.3894745160328693E-3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2.2900359356398201E-2</v>
      </c>
      <c r="BE144" s="29">
        <f t="shared" si="42"/>
        <v>-5.621717342314099E-3</v>
      </c>
      <c r="BF144" s="29">
        <f t="shared" si="43"/>
        <v>3.2289833872431062E-2</v>
      </c>
      <c r="BH144" s="29"/>
    </row>
    <row r="145" spans="1:60" x14ac:dyDescent="0.25">
      <c r="A145" s="1">
        <v>46233</v>
      </c>
      <c r="B145" s="33">
        <v>175.73</v>
      </c>
      <c r="C145" s="33">
        <v>236.96</v>
      </c>
      <c r="D145" s="15">
        <v>5.3533084717738398E-2</v>
      </c>
      <c r="E145" s="15">
        <v>4.1444656260924202E-2</v>
      </c>
      <c r="F145" s="33">
        <v>0</v>
      </c>
      <c r="G145" s="33">
        <v>0.39543</v>
      </c>
      <c r="H145" s="33">
        <v>0</v>
      </c>
      <c r="I145" s="33">
        <v>0.14164499999999999</v>
      </c>
      <c r="J145" s="33">
        <v>0</v>
      </c>
      <c r="K145" s="33">
        <v>0</v>
      </c>
      <c r="L145" s="33">
        <v>175.73</v>
      </c>
      <c r="M145" s="33">
        <v>236.96</v>
      </c>
      <c r="N145" s="34">
        <v>1.34843225402606</v>
      </c>
      <c r="O145" s="34">
        <v>1.3563381687199101</v>
      </c>
      <c r="P145" s="34">
        <v>1.35279288020605</v>
      </c>
      <c r="Q145" s="34">
        <v>1.3530538736797499</v>
      </c>
      <c r="R145" s="33">
        <v>238.34930638915</v>
      </c>
      <c r="S145" s="33">
        <v>238.05556942716299</v>
      </c>
      <c r="T145" s="33">
        <v>237.69897607208199</v>
      </c>
      <c r="U145" s="15">
        <v>5.8459210753003697E-3</v>
      </c>
      <c r="V145" s="15">
        <v>4.6127808866887002E-3</v>
      </c>
      <c r="W145" s="15">
        <v>3.1137161894319401E-3</v>
      </c>
      <c r="X145" s="34">
        <v>1.34843225402606</v>
      </c>
      <c r="Y145" s="34">
        <v>1.3563584455100699</v>
      </c>
      <c r="Z145" s="34">
        <v>1.35279288020605</v>
      </c>
      <c r="AA145" s="34">
        <v>1.3530538736797499</v>
      </c>
      <c r="AB145" s="33">
        <v>238.35286962948501</v>
      </c>
      <c r="AC145" s="33">
        <v>238.05556942716299</v>
      </c>
      <c r="AD145" s="33">
        <v>237.69897607208199</v>
      </c>
      <c r="AE145" s="15">
        <v>5.8608706203798202E-3</v>
      </c>
      <c r="AF145" s="15">
        <v>4.6127808866887002E-3</v>
      </c>
      <c r="AG145" s="15">
        <v>3.1137161894319401E-3</v>
      </c>
      <c r="AI145" s="12"/>
      <c r="AJ145">
        <f t="shared" si="26"/>
        <v>0</v>
      </c>
      <c r="AK145">
        <f t="shared" si="27"/>
        <v>1</v>
      </c>
      <c r="AL145">
        <f t="shared" si="34"/>
        <v>1</v>
      </c>
      <c r="AM145">
        <f t="shared" si="24"/>
        <v>1</v>
      </c>
      <c r="AN145">
        <f t="shared" si="35"/>
        <v>1</v>
      </c>
      <c r="AO145" s="28">
        <f t="shared" si="28"/>
        <v>5.3533084717738398E-2</v>
      </c>
      <c r="AP145" s="28">
        <f t="shared" si="29"/>
        <v>-4.1444656260924202E-2</v>
      </c>
      <c r="AQ145" s="28">
        <f t="shared" si="36"/>
        <v>1.2088428456814196E-2</v>
      </c>
      <c r="AR145" s="29">
        <f t="shared" si="37"/>
        <v>2.1477902972847067E-2</v>
      </c>
      <c r="AT145" s="12"/>
      <c r="AU145">
        <f t="shared" si="30"/>
        <v>1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2.2900359356398201E-2</v>
      </c>
      <c r="BE145" s="29">
        <f t="shared" si="42"/>
        <v>1.2088428456814196E-2</v>
      </c>
      <c r="BF145" s="29">
        <f t="shared" si="43"/>
        <v>4.4378262329245258E-2</v>
      </c>
      <c r="BH145" s="29"/>
    </row>
    <row r="146" spans="1:60" x14ac:dyDescent="0.25">
      <c r="A146" s="1">
        <v>46234</v>
      </c>
      <c r="B146" s="33">
        <v>175.35</v>
      </c>
      <c r="C146" s="33">
        <v>238.04</v>
      </c>
      <c r="D146" s="15">
        <v>-2.1647496205676E-3</v>
      </c>
      <c r="E146" s="15">
        <v>4.5473762571626398E-3</v>
      </c>
      <c r="F146" s="33">
        <v>0</v>
      </c>
      <c r="G146" s="33">
        <v>0.39543</v>
      </c>
      <c r="H146" s="33">
        <v>0</v>
      </c>
      <c r="I146" s="33">
        <v>0.14164499999999999</v>
      </c>
      <c r="J146" s="33">
        <v>0</v>
      </c>
      <c r="K146" s="33">
        <v>0</v>
      </c>
      <c r="L146" s="33">
        <v>175.35</v>
      </c>
      <c r="M146" s="33">
        <v>238.04</v>
      </c>
      <c r="N146" s="34">
        <v>1.35751354433989</v>
      </c>
      <c r="O146" s="34">
        <v>1.3563381687199101</v>
      </c>
      <c r="P146" s="34">
        <v>1.3522950177142401</v>
      </c>
      <c r="Q146" s="34">
        <v>1.3535171803335899</v>
      </c>
      <c r="R146" s="33">
        <v>237.833897885037</v>
      </c>
      <c r="S146" s="33">
        <v>237.21223154413099</v>
      </c>
      <c r="T146" s="33">
        <v>237.257996749744</v>
      </c>
      <c r="U146" s="15">
        <v>-8.6620480242985702E-4</v>
      </c>
      <c r="V146" s="15">
        <v>-3.48349460765904E-3</v>
      </c>
      <c r="W146" s="15">
        <v>-3.2905838494025502E-3</v>
      </c>
      <c r="X146" s="34">
        <v>1.35751354433989</v>
      </c>
      <c r="Y146" s="34">
        <v>1.3563584455100699</v>
      </c>
      <c r="Z146" s="34">
        <v>1.3522950177142401</v>
      </c>
      <c r="AA146" s="34">
        <v>1.3535171803335899</v>
      </c>
      <c r="AB146" s="33">
        <v>237.837453420191</v>
      </c>
      <c r="AC146" s="33">
        <v>237.21223154413099</v>
      </c>
      <c r="AD146" s="33">
        <v>237.257996749744</v>
      </c>
      <c r="AE146" s="15">
        <v>-8.5125525735044497E-4</v>
      </c>
      <c r="AF146" s="15">
        <v>-3.4834946076589299E-3</v>
      </c>
      <c r="AG146" s="15">
        <v>-3.2905838494025502E-3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2.1477902972847067E-2</v>
      </c>
      <c r="AT146" s="12"/>
      <c r="AU146">
        <f t="shared" si="30"/>
        <v>0</v>
      </c>
      <c r="AV146">
        <f t="shared" si="31"/>
        <v>1</v>
      </c>
      <c r="AW146">
        <f t="shared" si="38"/>
        <v>1</v>
      </c>
      <c r="AX146">
        <f t="shared" si="25"/>
        <v>1</v>
      </c>
      <c r="AY146">
        <f t="shared" si="39"/>
        <v>1</v>
      </c>
      <c r="AZ146" s="28">
        <f t="shared" si="32"/>
        <v>2.1647496205676E-3</v>
      </c>
      <c r="BA146" s="28">
        <f t="shared" si="33"/>
        <v>4.5473762571626398E-3</v>
      </c>
      <c r="BB146" s="28">
        <f t="shared" si="40"/>
        <v>6.7121258777302403E-3</v>
      </c>
      <c r="BC146" s="29">
        <f t="shared" si="41"/>
        <v>2.961248523412844E-2</v>
      </c>
      <c r="BE146" s="29">
        <f t="shared" si="42"/>
        <v>6.7121258777302403E-3</v>
      </c>
      <c r="BF146" s="29">
        <f t="shared" si="43"/>
        <v>5.10903882069755E-2</v>
      </c>
      <c r="BH146" s="29"/>
    </row>
    <row r="147" spans="1:60" x14ac:dyDescent="0.25">
      <c r="A147" s="1">
        <v>46237</v>
      </c>
      <c r="B147" s="33">
        <v>178.04</v>
      </c>
      <c r="C147" s="33">
        <v>243.68</v>
      </c>
      <c r="D147" s="15">
        <v>1.52242675614663E-2</v>
      </c>
      <c r="E147" s="15">
        <v>2.3417162370200299E-2</v>
      </c>
      <c r="F147" s="33">
        <v>0</v>
      </c>
      <c r="G147" s="33">
        <v>0.39543</v>
      </c>
      <c r="H147" s="33">
        <v>0</v>
      </c>
      <c r="I147" s="33">
        <v>0.14164499999999999</v>
      </c>
      <c r="J147" s="33">
        <v>0</v>
      </c>
      <c r="K147" s="33">
        <v>0</v>
      </c>
      <c r="L147" s="33">
        <v>178.04</v>
      </c>
      <c r="M147" s="33">
        <v>243.68</v>
      </c>
      <c r="N147" s="34">
        <v>1.3686811952370199</v>
      </c>
      <c r="O147" s="34">
        <v>1.3563381687199101</v>
      </c>
      <c r="P147" s="34">
        <v>1.3525915135398101</v>
      </c>
      <c r="Q147" s="34">
        <v>1.35456822544163</v>
      </c>
      <c r="R147" s="33">
        <v>241.482447558893</v>
      </c>
      <c r="S147" s="33">
        <v>240.762604953844</v>
      </c>
      <c r="T147" s="33">
        <v>240.98019878659201</v>
      </c>
      <c r="U147" s="15">
        <v>-9.0590996111638497E-3</v>
      </c>
      <c r="V147" s="15">
        <v>-1.20444828138816E-2</v>
      </c>
      <c r="W147" s="15">
        <v>-1.1141121742969801E-2</v>
      </c>
      <c r="X147" s="34">
        <v>1.3686811952370199</v>
      </c>
      <c r="Y147" s="34">
        <v>1.3563584455100699</v>
      </c>
      <c r="Z147" s="34">
        <v>1.3525915135398101</v>
      </c>
      <c r="AA147" s="34">
        <v>1.35456822544163</v>
      </c>
      <c r="AB147" s="33">
        <v>241.486057638613</v>
      </c>
      <c r="AC147" s="33">
        <v>240.762604953844</v>
      </c>
      <c r="AD147" s="33">
        <v>240.98019878659201</v>
      </c>
      <c r="AE147" s="15">
        <v>-9.0441500660842604E-3</v>
      </c>
      <c r="AF147" s="15">
        <v>-1.20444828138813E-2</v>
      </c>
      <c r="AG147" s="15">
        <v>-1.1141121742969801E-2</v>
      </c>
      <c r="AI147" s="12"/>
      <c r="AJ147">
        <f t="shared" si="26"/>
        <v>1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2.1477902972847067E-2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2.961248523412844E-2</v>
      </c>
      <c r="BE147" s="29">
        <f t="shared" si="42"/>
        <v>0</v>
      </c>
      <c r="BF147" s="29">
        <f t="shared" si="43"/>
        <v>5.10903882069755E-2</v>
      </c>
      <c r="BH147" s="29"/>
    </row>
    <row r="148" spans="1:60" x14ac:dyDescent="0.25">
      <c r="A148" s="1">
        <v>46238</v>
      </c>
      <c r="B148" s="33">
        <v>186.9</v>
      </c>
      <c r="C148" s="33">
        <v>253.55</v>
      </c>
      <c r="D148" s="15">
        <v>4.8565470313863497E-2</v>
      </c>
      <c r="E148" s="15">
        <v>3.9705153094176403E-2</v>
      </c>
      <c r="F148" s="33">
        <v>0</v>
      </c>
      <c r="G148" s="33">
        <v>0.39543</v>
      </c>
      <c r="H148" s="33">
        <v>0</v>
      </c>
      <c r="I148" s="33">
        <v>0.14164499999999999</v>
      </c>
      <c r="J148" s="33">
        <v>0</v>
      </c>
      <c r="K148" s="33">
        <v>0</v>
      </c>
      <c r="L148" s="33">
        <v>186.9</v>
      </c>
      <c r="M148" s="33">
        <v>253.55</v>
      </c>
      <c r="N148" s="34">
        <v>1.3566078116639899</v>
      </c>
      <c r="O148" s="34">
        <v>1.3563381687199101</v>
      </c>
      <c r="P148" s="34">
        <v>1.3530326907677199</v>
      </c>
      <c r="Q148" s="34">
        <v>1.35451157506044</v>
      </c>
      <c r="R148" s="33">
        <v>253.499603733752</v>
      </c>
      <c r="S148" s="33">
        <v>252.79935388059101</v>
      </c>
      <c r="T148" s="33">
        <v>253.168801335041</v>
      </c>
      <c r="U148" s="15">
        <v>-1.9878239147646799E-4</v>
      </c>
      <c r="V148" s="15">
        <v>-2.9649358236844099E-3</v>
      </c>
      <c r="W148" s="15">
        <v>-1.5045770390434499E-3</v>
      </c>
      <c r="X148" s="34">
        <v>1.3566078116639899</v>
      </c>
      <c r="Y148" s="34">
        <v>1.3563584455100699</v>
      </c>
      <c r="Z148" s="34">
        <v>1.3530326907677199</v>
      </c>
      <c r="AA148" s="34">
        <v>1.35451157506044</v>
      </c>
      <c r="AB148" s="33">
        <v>253.503393465833</v>
      </c>
      <c r="AC148" s="33">
        <v>252.79935388059101</v>
      </c>
      <c r="AD148" s="33">
        <v>253.168801335041</v>
      </c>
      <c r="AE148" s="15">
        <v>-1.83832846397134E-4</v>
      </c>
      <c r="AF148" s="15">
        <v>-2.96493582368418E-3</v>
      </c>
      <c r="AG148" s="15">
        <v>-1.50457703904367E-3</v>
      </c>
      <c r="AI148" s="12"/>
      <c r="AJ148">
        <f t="shared" si="26"/>
        <v>0</v>
      </c>
      <c r="AK148">
        <f t="shared" si="27"/>
        <v>1</v>
      </c>
      <c r="AL148">
        <f t="shared" si="34"/>
        <v>1</v>
      </c>
      <c r="AM148">
        <f t="shared" si="24"/>
        <v>1</v>
      </c>
      <c r="AN148">
        <f t="shared" si="35"/>
        <v>1</v>
      </c>
      <c r="AO148" s="28">
        <f t="shared" si="28"/>
        <v>4.8565470313863497E-2</v>
      </c>
      <c r="AP148" s="28">
        <f t="shared" si="29"/>
        <v>-3.9705153094176403E-2</v>
      </c>
      <c r="AQ148" s="28">
        <f t="shared" si="36"/>
        <v>8.8603172196870944E-3</v>
      </c>
      <c r="AR148" s="29">
        <f t="shared" si="37"/>
        <v>3.0338220192534161E-2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2.961248523412844E-2</v>
      </c>
      <c r="BE148" s="29">
        <f t="shared" si="42"/>
        <v>8.8603172196870944E-3</v>
      </c>
      <c r="BF148" s="29">
        <f t="shared" si="43"/>
        <v>5.9950705426662594E-2</v>
      </c>
      <c r="BH148" s="29"/>
    </row>
    <row r="149" spans="1:60" x14ac:dyDescent="0.25">
      <c r="A149" s="1">
        <v>46239</v>
      </c>
      <c r="B149" s="33">
        <v>185.91</v>
      </c>
      <c r="C149" s="33">
        <v>251.27</v>
      </c>
      <c r="D149" s="15">
        <v>-5.3110288193913601E-3</v>
      </c>
      <c r="E149" s="15">
        <v>-9.0329840457631493E-3</v>
      </c>
      <c r="F149" s="33">
        <v>0</v>
      </c>
      <c r="G149" s="33">
        <v>0.39543</v>
      </c>
      <c r="H149" s="33">
        <v>0</v>
      </c>
      <c r="I149" s="33">
        <v>0.14164499999999999</v>
      </c>
      <c r="J149" s="33">
        <v>0</v>
      </c>
      <c r="K149" s="33">
        <v>0</v>
      </c>
      <c r="L149" s="33">
        <v>185.91</v>
      </c>
      <c r="M149" s="33">
        <v>251.27</v>
      </c>
      <c r="N149" s="34">
        <v>1.3515679629928401</v>
      </c>
      <c r="O149" s="34">
        <v>1.3563381687199101</v>
      </c>
      <c r="P149" s="34">
        <v>1.35323636120025</v>
      </c>
      <c r="Q149" s="34">
        <v>1.35453209007888</v>
      </c>
      <c r="R149" s="33">
        <v>252.156828946719</v>
      </c>
      <c r="S149" s="33">
        <v>251.54230754062701</v>
      </c>
      <c r="T149" s="33">
        <v>251.817246919486</v>
      </c>
      <c r="U149" s="15">
        <v>3.5231728348950999E-3</v>
      </c>
      <c r="V149" s="15">
        <v>1.0831380344751701E-3</v>
      </c>
      <c r="W149" s="15">
        <v>2.1755555867597198E-3</v>
      </c>
      <c r="X149" s="34">
        <v>1.3515679629928401</v>
      </c>
      <c r="Y149" s="34">
        <v>1.3563584455100699</v>
      </c>
      <c r="Z149" s="34">
        <v>1.35323636120025</v>
      </c>
      <c r="AA149" s="34">
        <v>1.35453209007888</v>
      </c>
      <c r="AB149" s="33">
        <v>252.16059860477799</v>
      </c>
      <c r="AC149" s="33">
        <v>251.54230754062701</v>
      </c>
      <c r="AD149" s="33">
        <v>251.817246919486</v>
      </c>
      <c r="AE149" s="15">
        <v>3.53812237997452E-3</v>
      </c>
      <c r="AF149" s="15">
        <v>1.0831380344751701E-3</v>
      </c>
      <c r="AG149" s="15">
        <v>2.1755555867597198E-3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3.0338220192534161E-2</v>
      </c>
      <c r="AT149" s="12"/>
      <c r="AU149">
        <f t="shared" si="30"/>
        <v>0</v>
      </c>
      <c r="AV149">
        <f t="shared" si="31"/>
        <v>0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2.961248523412844E-2</v>
      </c>
      <c r="BE149" s="29">
        <f t="shared" si="42"/>
        <v>0</v>
      </c>
      <c r="BF149" s="29">
        <f t="shared" si="43"/>
        <v>5.9950705426662594E-2</v>
      </c>
      <c r="BH149" s="29"/>
    </row>
    <row r="150" spans="1:60" x14ac:dyDescent="0.25">
      <c r="A150" s="1">
        <v>46240</v>
      </c>
      <c r="B150" s="33">
        <v>185.33</v>
      </c>
      <c r="C150" s="33">
        <v>250.59</v>
      </c>
      <c r="D150" s="15">
        <v>-3.1246658329068199E-3</v>
      </c>
      <c r="E150" s="15">
        <v>-2.7099207593403399E-3</v>
      </c>
      <c r="F150" s="33">
        <v>0</v>
      </c>
      <c r="G150" s="33">
        <v>0.39543</v>
      </c>
      <c r="H150" s="33">
        <v>0</v>
      </c>
      <c r="I150" s="33">
        <v>0.14164499999999999</v>
      </c>
      <c r="J150" s="33">
        <v>0</v>
      </c>
      <c r="K150" s="33">
        <v>0</v>
      </c>
      <c r="L150" s="33">
        <v>185.33</v>
      </c>
      <c r="M150" s="33">
        <v>250.59</v>
      </c>
      <c r="N150" s="34">
        <v>1.35212863540711</v>
      </c>
      <c r="O150" s="34">
        <v>1.3563381687199101</v>
      </c>
      <c r="P150" s="34">
        <v>1.3547759268984301</v>
      </c>
      <c r="Q150" s="34">
        <v>1.3548927705678699</v>
      </c>
      <c r="R150" s="33">
        <v>251.37015280886101</v>
      </c>
      <c r="S150" s="33">
        <v>250.79529482124201</v>
      </c>
      <c r="T150" s="33">
        <v>251.03543225431901</v>
      </c>
      <c r="U150" s="15">
        <v>3.1084277613286598E-3</v>
      </c>
      <c r="V150" s="15">
        <v>8.1891046600699401E-4</v>
      </c>
      <c r="W150" s="15">
        <v>1.7759560929452699E-3</v>
      </c>
      <c r="X150" s="34">
        <v>1.35212863540711</v>
      </c>
      <c r="Y150" s="34">
        <v>1.3563584455100699</v>
      </c>
      <c r="Z150" s="34">
        <v>1.3547759268984301</v>
      </c>
      <c r="AA150" s="34">
        <v>1.3548927705678699</v>
      </c>
      <c r="AB150" s="33">
        <v>251.37391070638199</v>
      </c>
      <c r="AC150" s="33">
        <v>250.79529482124201</v>
      </c>
      <c r="AD150" s="33">
        <v>251.03543225431901</v>
      </c>
      <c r="AE150" s="15">
        <v>3.1233773064081299E-3</v>
      </c>
      <c r="AF150" s="15">
        <v>8.1891046600699401E-4</v>
      </c>
      <c r="AG150" s="15">
        <v>1.7759560929452699E-3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3.0338220192534161E-2</v>
      </c>
      <c r="AT150" s="12"/>
      <c r="AU150">
        <f t="shared" ref="AU150:AU176" si="50">IF($AG150&gt;AT$21,1,0)</f>
        <v>0</v>
      </c>
      <c r="AV150">
        <f t="shared" ref="AV150:AV176" si="51">IF($AG150&lt;AT$22,1,0)</f>
        <v>0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2.961248523412844E-2</v>
      </c>
      <c r="BE150" s="29">
        <f t="shared" si="42"/>
        <v>0</v>
      </c>
      <c r="BF150" s="29">
        <f t="shared" si="43"/>
        <v>5.9950705426662594E-2</v>
      </c>
      <c r="BH150" s="29"/>
    </row>
    <row r="151" spans="1:60" x14ac:dyDescent="0.25">
      <c r="A151" s="1">
        <v>46241</v>
      </c>
      <c r="B151" s="33">
        <v>187.97</v>
      </c>
      <c r="C151" s="33">
        <v>254.05</v>
      </c>
      <c r="D151" s="15">
        <v>1.4144355819285E-2</v>
      </c>
      <c r="E151" s="15">
        <v>1.3712960603816399E-2</v>
      </c>
      <c r="F151" s="33">
        <v>0</v>
      </c>
      <c r="G151" s="33">
        <v>0.39543</v>
      </c>
      <c r="H151" s="33">
        <v>0</v>
      </c>
      <c r="I151" s="33">
        <v>0.14164499999999999</v>
      </c>
      <c r="J151" s="33">
        <v>0</v>
      </c>
      <c r="K151" s="33">
        <v>0</v>
      </c>
      <c r="L151" s="33">
        <v>187.97</v>
      </c>
      <c r="M151" s="33">
        <v>254.05</v>
      </c>
      <c r="N151" s="34">
        <v>1.3515454593818099</v>
      </c>
      <c r="O151" s="34">
        <v>1.3563381687199101</v>
      </c>
      <c r="P151" s="34">
        <v>1.35570259018935</v>
      </c>
      <c r="Q151" s="34">
        <v>1.3551646285299701</v>
      </c>
      <c r="R151" s="33">
        <v>254.95088557428201</v>
      </c>
      <c r="S151" s="33">
        <v>254.65723097909799</v>
      </c>
      <c r="T151" s="33">
        <v>254.67919408364301</v>
      </c>
      <c r="U151" s="15">
        <v>3.5398229767974699E-3</v>
      </c>
      <c r="V151" s="15">
        <v>2.3873506430635602E-3</v>
      </c>
      <c r="W151" s="15">
        <v>2.47359267673202E-3</v>
      </c>
      <c r="X151" s="34">
        <v>1.3515454593818099</v>
      </c>
      <c r="Y151" s="34">
        <v>1.3563584455100699</v>
      </c>
      <c r="Z151" s="34">
        <v>1.35570259018935</v>
      </c>
      <c r="AA151" s="34">
        <v>1.3551646285299701</v>
      </c>
      <c r="AB151" s="33">
        <v>254.95469700252801</v>
      </c>
      <c r="AC151" s="33">
        <v>254.65723097909799</v>
      </c>
      <c r="AD151" s="33">
        <v>254.67919408364301</v>
      </c>
      <c r="AE151" s="15">
        <v>3.5547725218770302E-3</v>
      </c>
      <c r="AF151" s="15">
        <v>2.3873506430635602E-3</v>
      </c>
      <c r="AG151" s="15">
        <v>2.47359267673202E-3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3.0338220192534161E-2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2.961248523412844E-2</v>
      </c>
      <c r="BE151" s="29">
        <f t="shared" ref="BE151:BE176" si="62">AQ151+BB151</f>
        <v>0</v>
      </c>
      <c r="BF151" s="29">
        <f t="shared" ref="BF151:BF176" si="63">BF150+BE151</f>
        <v>5.9950705426662594E-2</v>
      </c>
      <c r="BH151" s="29"/>
    </row>
    <row r="152" spans="1:60" x14ac:dyDescent="0.25">
      <c r="A152" s="1">
        <v>46244</v>
      </c>
      <c r="B152" s="33">
        <v>186.32</v>
      </c>
      <c r="C152" s="33">
        <v>252.38</v>
      </c>
      <c r="D152" s="15">
        <v>-8.8167500524184705E-3</v>
      </c>
      <c r="E152" s="15">
        <v>-6.5952098149763801E-3</v>
      </c>
      <c r="F152" s="33">
        <v>0</v>
      </c>
      <c r="G152" s="33">
        <v>0.39543</v>
      </c>
      <c r="H152" s="33">
        <v>0</v>
      </c>
      <c r="I152" s="33">
        <v>0.14164499999999999</v>
      </c>
      <c r="J152" s="33">
        <v>0</v>
      </c>
      <c r="K152" s="33">
        <v>0</v>
      </c>
      <c r="L152" s="33">
        <v>186.32</v>
      </c>
      <c r="M152" s="33">
        <v>252.38</v>
      </c>
      <c r="N152" s="34">
        <v>1.35455130957492</v>
      </c>
      <c r="O152" s="34">
        <v>1.3563381687199101</v>
      </c>
      <c r="P152" s="34">
        <v>1.3563040206304899</v>
      </c>
      <c r="Q152" s="34">
        <v>1.35538060971921</v>
      </c>
      <c r="R152" s="33">
        <v>252.712927595894</v>
      </c>
      <c r="S152" s="33">
        <v>252.59450660408001</v>
      </c>
      <c r="T152" s="33">
        <v>252.49427358770399</v>
      </c>
      <c r="U152" s="15">
        <v>1.31828273935545E-3</v>
      </c>
      <c r="V152" s="15">
        <v>8.4957404453903996E-4</v>
      </c>
      <c r="W152" s="15">
        <v>4.5268137290267399E-4</v>
      </c>
      <c r="X152" s="34">
        <v>1.35455130957492</v>
      </c>
      <c r="Y152" s="34">
        <v>1.3563584455100699</v>
      </c>
      <c r="Z152" s="34">
        <v>1.3563040206304899</v>
      </c>
      <c r="AA152" s="34">
        <v>1.35538060971921</v>
      </c>
      <c r="AB152" s="33">
        <v>252.716705567437</v>
      </c>
      <c r="AC152" s="33">
        <v>252.59450660408001</v>
      </c>
      <c r="AD152" s="33">
        <v>252.49427358770399</v>
      </c>
      <c r="AE152" s="15">
        <v>1.3332322844348699E-3</v>
      </c>
      <c r="AF152" s="15">
        <v>8.4957404453903996E-4</v>
      </c>
      <c r="AG152" s="15">
        <v>4.5268137290267399E-4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3.0338220192534161E-2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2.961248523412844E-2</v>
      </c>
      <c r="BE152" s="29">
        <f t="shared" si="62"/>
        <v>0</v>
      </c>
      <c r="BF152" s="29">
        <f t="shared" si="63"/>
        <v>5.9950705426662594E-2</v>
      </c>
      <c r="BH152" s="29"/>
    </row>
    <row r="153" spans="1:60" x14ac:dyDescent="0.25">
      <c r="A153" s="1">
        <v>46245</v>
      </c>
      <c r="B153" s="33">
        <v>186.09</v>
      </c>
      <c r="C153" s="33">
        <v>251.02</v>
      </c>
      <c r="D153" s="15">
        <v>-1.2351979229496301E-3</v>
      </c>
      <c r="E153" s="15">
        <v>-5.4032709924643398E-3</v>
      </c>
      <c r="F153" s="33">
        <v>0</v>
      </c>
      <c r="G153" s="33">
        <v>0.39543</v>
      </c>
      <c r="H153" s="33">
        <v>0</v>
      </c>
      <c r="I153" s="33">
        <v>0.14164499999999999</v>
      </c>
      <c r="J153" s="33">
        <v>0</v>
      </c>
      <c r="K153" s="33">
        <v>0</v>
      </c>
      <c r="L153" s="33">
        <v>186.09</v>
      </c>
      <c r="M153" s="33">
        <v>251.02</v>
      </c>
      <c r="N153" s="34">
        <v>1.3489171906066899</v>
      </c>
      <c r="O153" s="34">
        <v>1.3563381687199101</v>
      </c>
      <c r="P153" s="34">
        <v>1.3554776965559701</v>
      </c>
      <c r="Q153" s="34">
        <v>1.3552439618974099</v>
      </c>
      <c r="R153" s="33">
        <v>252.40096981708899</v>
      </c>
      <c r="S153" s="33">
        <v>252.394615199128</v>
      </c>
      <c r="T153" s="33">
        <v>252.22277766264901</v>
      </c>
      <c r="U153" s="15">
        <v>5.4863558088700604E-3</v>
      </c>
      <c r="V153" s="15">
        <v>5.4611788138669596E-3</v>
      </c>
      <c r="W153" s="15">
        <v>4.7801180912204E-3</v>
      </c>
      <c r="X153" s="34">
        <v>1.3489171906066899</v>
      </c>
      <c r="Y153" s="34">
        <v>1.3563584455100699</v>
      </c>
      <c r="Z153" s="34">
        <v>1.3554776965559701</v>
      </c>
      <c r="AA153" s="34">
        <v>1.3552439618974099</v>
      </c>
      <c r="AB153" s="33">
        <v>252.40474312497</v>
      </c>
      <c r="AC153" s="33">
        <v>252.394615199128</v>
      </c>
      <c r="AD153" s="33">
        <v>252.22277766264901</v>
      </c>
      <c r="AE153" s="15">
        <v>5.5013053539494702E-3</v>
      </c>
      <c r="AF153" s="15">
        <v>5.4611788138669596E-3</v>
      </c>
      <c r="AG153" s="15">
        <v>4.7801180912201797E-3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3.0338220192534161E-2</v>
      </c>
      <c r="AT153" s="12"/>
      <c r="AU153">
        <f t="shared" si="50"/>
        <v>1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2.961248523412844E-2</v>
      </c>
      <c r="BE153" s="29">
        <f t="shared" si="62"/>
        <v>0</v>
      </c>
      <c r="BF153" s="29">
        <f t="shared" si="63"/>
        <v>5.9950705426662594E-2</v>
      </c>
      <c r="BH153" s="29"/>
    </row>
    <row r="154" spans="1:60" x14ac:dyDescent="0.25">
      <c r="A154" s="1">
        <v>46246</v>
      </c>
      <c r="B154" s="33">
        <v>188.86</v>
      </c>
      <c r="C154" s="33">
        <v>253.08</v>
      </c>
      <c r="D154" s="15">
        <v>1.4775572181787201E-2</v>
      </c>
      <c r="E154" s="15">
        <v>8.1730270463833896E-3</v>
      </c>
      <c r="F154" s="33">
        <v>0</v>
      </c>
      <c r="G154" s="33">
        <v>0.39543</v>
      </c>
      <c r="H154" s="33">
        <v>0</v>
      </c>
      <c r="I154" s="33">
        <v>0.14164499999999999</v>
      </c>
      <c r="J154" s="33">
        <v>0</v>
      </c>
      <c r="K154" s="33">
        <v>0</v>
      </c>
      <c r="L154" s="33">
        <v>188.86</v>
      </c>
      <c r="M154" s="33">
        <v>253.08</v>
      </c>
      <c r="N154" s="34">
        <v>1.3400402414486901</v>
      </c>
      <c r="O154" s="34">
        <v>1.3563381687199101</v>
      </c>
      <c r="P154" s="34">
        <v>1.3529985604679</v>
      </c>
      <c r="Q154" s="34">
        <v>1.35383260245316</v>
      </c>
      <c r="R154" s="33">
        <v>256.15802654444298</v>
      </c>
      <c r="S154" s="33">
        <v>255.99551777156</v>
      </c>
      <c r="T154" s="33">
        <v>255.951374643945</v>
      </c>
      <c r="U154" s="15">
        <v>1.20889009442739E-2</v>
      </c>
      <c r="V154" s="15">
        <v>1.14542913427592E-2</v>
      </c>
      <c r="W154" s="15">
        <v>1.1281839362373799E-2</v>
      </c>
      <c r="X154" s="34">
        <v>1.3400402414486901</v>
      </c>
      <c r="Y154" s="34">
        <v>1.3563584455100699</v>
      </c>
      <c r="Z154" s="34">
        <v>1.3529985604679</v>
      </c>
      <c r="AA154" s="34">
        <v>1.35383260245316</v>
      </c>
      <c r="AB154" s="33">
        <v>256.16185601903197</v>
      </c>
      <c r="AC154" s="33">
        <v>255.99551777156</v>
      </c>
      <c r="AD154" s="33">
        <v>255.951374643945</v>
      </c>
      <c r="AE154" s="15">
        <v>1.21038504893533E-2</v>
      </c>
      <c r="AF154" s="15">
        <v>1.14542913427592E-2</v>
      </c>
      <c r="AG154" s="15">
        <v>1.1281839362373799E-2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3.0338220192534161E-2</v>
      </c>
      <c r="AT154" s="12"/>
      <c r="AU154">
        <f t="shared" si="50"/>
        <v>1</v>
      </c>
      <c r="AV154">
        <f t="shared" si="51"/>
        <v>0</v>
      </c>
      <c r="AW154">
        <f t="shared" si="58"/>
        <v>1</v>
      </c>
      <c r="AX154">
        <f t="shared" si="45"/>
        <v>1</v>
      </c>
      <c r="AY154">
        <f t="shared" si="59"/>
        <v>1</v>
      </c>
      <c r="AZ154" s="28">
        <f t="shared" si="52"/>
        <v>-1.4775572181787201E-2</v>
      </c>
      <c r="BA154" s="28">
        <f t="shared" si="53"/>
        <v>8.1730270463833896E-3</v>
      </c>
      <c r="BB154" s="28">
        <f t="shared" si="60"/>
        <v>-6.602545135403811E-3</v>
      </c>
      <c r="BC154" s="29">
        <f t="shared" si="61"/>
        <v>2.3009940098724629E-2</v>
      </c>
      <c r="BE154" s="29">
        <f t="shared" si="62"/>
        <v>-6.602545135403811E-3</v>
      </c>
      <c r="BF154" s="29">
        <f t="shared" si="63"/>
        <v>5.3348160291258787E-2</v>
      </c>
      <c r="BH154" s="29"/>
    </row>
    <row r="155" spans="1:60" x14ac:dyDescent="0.25">
      <c r="A155" s="1">
        <v>46247</v>
      </c>
      <c r="B155" s="33">
        <v>190.77</v>
      </c>
      <c r="C155" s="33">
        <v>256.58999999999997</v>
      </c>
      <c r="D155" s="15">
        <v>1.00625141125028E-2</v>
      </c>
      <c r="E155" s="15">
        <v>1.3773835982116201E-2</v>
      </c>
      <c r="F155" s="33">
        <v>0</v>
      </c>
      <c r="G155" s="33">
        <v>0.39543</v>
      </c>
      <c r="H155" s="33">
        <v>0</v>
      </c>
      <c r="I155" s="33">
        <v>0.14164499999999999</v>
      </c>
      <c r="J155" s="33">
        <v>0</v>
      </c>
      <c r="K155" s="33">
        <v>0</v>
      </c>
      <c r="L155" s="33">
        <v>190.77</v>
      </c>
      <c r="M155" s="33">
        <v>256.58999999999997</v>
      </c>
      <c r="N155" s="34">
        <v>1.3450228023274</v>
      </c>
      <c r="O155" s="34">
        <v>1.3563381687199101</v>
      </c>
      <c r="P155" s="34">
        <v>1.3526576152980401</v>
      </c>
      <c r="Q155" s="34">
        <v>1.3527252477520399</v>
      </c>
      <c r="R155" s="33">
        <v>258.74863244669802</v>
      </c>
      <c r="S155" s="33">
        <v>258.11153538046199</v>
      </c>
      <c r="T155" s="33">
        <v>258.27064556998897</v>
      </c>
      <c r="U155" s="15">
        <v>8.37757907466051E-3</v>
      </c>
      <c r="V155" s="15">
        <v>5.91231891898734E-3</v>
      </c>
      <c r="W155" s="15">
        <v>6.5285686674576701E-3</v>
      </c>
      <c r="X155" s="34">
        <v>1.3450228023274</v>
      </c>
      <c r="Y155" s="34">
        <v>1.3563584455100699</v>
      </c>
      <c r="Z155" s="34">
        <v>1.3526576152980401</v>
      </c>
      <c r="AA155" s="34">
        <v>1.3527252477520399</v>
      </c>
      <c r="AB155" s="33">
        <v>258.75250064995703</v>
      </c>
      <c r="AC155" s="33">
        <v>258.11153538046199</v>
      </c>
      <c r="AD155" s="33">
        <v>258.27064556998897</v>
      </c>
      <c r="AE155" s="15">
        <v>8.3925286197400698E-3</v>
      </c>
      <c r="AF155" s="15">
        <v>5.91231891898734E-3</v>
      </c>
      <c r="AG155" s="15">
        <v>6.5285686674576701E-3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3.0338220192534161E-2</v>
      </c>
      <c r="AT155" s="12"/>
      <c r="AU155">
        <f t="shared" si="50"/>
        <v>1</v>
      </c>
      <c r="AV155">
        <f t="shared" si="51"/>
        <v>0</v>
      </c>
      <c r="AW155">
        <f t="shared" si="58"/>
        <v>1</v>
      </c>
      <c r="AX155">
        <f t="shared" si="45"/>
        <v>1</v>
      </c>
      <c r="AY155">
        <f t="shared" si="59"/>
        <v>1</v>
      </c>
      <c r="AZ155" s="28">
        <f t="shared" si="52"/>
        <v>-1.00625141125028E-2</v>
      </c>
      <c r="BA155" s="28">
        <f t="shared" si="53"/>
        <v>1.3773835982116201E-2</v>
      </c>
      <c r="BB155" s="28">
        <f t="shared" si="60"/>
        <v>3.7113218696134005E-3</v>
      </c>
      <c r="BC155" s="29">
        <f t="shared" si="61"/>
        <v>2.6721261968338031E-2</v>
      </c>
      <c r="BE155" s="29">
        <f t="shared" si="62"/>
        <v>3.7113218696134005E-3</v>
      </c>
      <c r="BF155" s="29">
        <f t="shared" si="63"/>
        <v>5.7059482160872185E-2</v>
      </c>
      <c r="BH155" s="29"/>
    </row>
    <row r="156" spans="1:60" x14ac:dyDescent="0.25">
      <c r="A156" s="1">
        <v>46248</v>
      </c>
      <c r="B156" s="33">
        <v>190.01</v>
      </c>
      <c r="C156" s="33">
        <v>255.5</v>
      </c>
      <c r="D156" s="15">
        <v>-3.9918115929856004E-3</v>
      </c>
      <c r="E156" s="15">
        <v>-4.2570706170407804E-3</v>
      </c>
      <c r="F156" s="33">
        <v>0</v>
      </c>
      <c r="G156" s="33">
        <v>0.39543</v>
      </c>
      <c r="H156" s="33">
        <v>0</v>
      </c>
      <c r="I156" s="33">
        <v>0.14164499999999999</v>
      </c>
      <c r="J156" s="33">
        <v>0</v>
      </c>
      <c r="K156" s="33">
        <v>0</v>
      </c>
      <c r="L156" s="33">
        <v>190.01</v>
      </c>
      <c r="M156" s="33">
        <v>255.5</v>
      </c>
      <c r="N156" s="34">
        <v>1.34466607020683</v>
      </c>
      <c r="O156" s="34">
        <v>1.3563381687199101</v>
      </c>
      <c r="P156" s="34">
        <v>1.3513728678847301</v>
      </c>
      <c r="Q156" s="34">
        <v>1.3518339427994901</v>
      </c>
      <c r="R156" s="33">
        <v>257.71781543847101</v>
      </c>
      <c r="S156" s="33">
        <v>257.01847348278</v>
      </c>
      <c r="T156" s="33">
        <v>257.03132432536597</v>
      </c>
      <c r="U156" s="15">
        <v>8.6428380987157404E-3</v>
      </c>
      <c r="V156" s="15">
        <v>5.9255539240826299E-3</v>
      </c>
      <c r="W156" s="15">
        <v>5.9755523586441199E-3</v>
      </c>
      <c r="X156" s="34">
        <v>1.34466607020683</v>
      </c>
      <c r="Y156" s="34">
        <v>1.3563584455100699</v>
      </c>
      <c r="Z156" s="34">
        <v>1.3513728678847301</v>
      </c>
      <c r="AA156" s="34">
        <v>1.3518339427994901</v>
      </c>
      <c r="AB156" s="33">
        <v>257.72166823136899</v>
      </c>
      <c r="AC156" s="33">
        <v>257.01847348278</v>
      </c>
      <c r="AD156" s="33">
        <v>257.03132432536597</v>
      </c>
      <c r="AE156" s="15">
        <v>8.6577876437951996E-3</v>
      </c>
      <c r="AF156" s="15">
        <v>5.9255539240826299E-3</v>
      </c>
      <c r="AG156" s="15">
        <v>5.9755523586441199E-3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3.0338220192534161E-2</v>
      </c>
      <c r="AT156" s="12"/>
      <c r="AU156">
        <f t="shared" si="50"/>
        <v>1</v>
      </c>
      <c r="AV156">
        <f t="shared" si="51"/>
        <v>0</v>
      </c>
      <c r="AW156">
        <f t="shared" si="58"/>
        <v>1</v>
      </c>
      <c r="AX156">
        <f t="shared" si="45"/>
        <v>1</v>
      </c>
      <c r="AY156">
        <f t="shared" si="59"/>
        <v>1</v>
      </c>
      <c r="AZ156" s="28">
        <f t="shared" si="52"/>
        <v>3.9918115929856004E-3</v>
      </c>
      <c r="BA156" s="28">
        <f t="shared" si="53"/>
        <v>-4.2570706170407804E-3</v>
      </c>
      <c r="BB156" s="28">
        <f t="shared" si="60"/>
        <v>-2.6525902405518005E-4</v>
      </c>
      <c r="BC156" s="29">
        <f t="shared" si="61"/>
        <v>2.6456002944282853E-2</v>
      </c>
      <c r="BE156" s="29">
        <f t="shared" si="62"/>
        <v>-2.6525902405518005E-4</v>
      </c>
      <c r="BF156" s="29">
        <f t="shared" si="63"/>
        <v>5.6794223136817007E-2</v>
      </c>
      <c r="BH156" s="29"/>
    </row>
    <row r="157" spans="1:60" x14ac:dyDescent="0.25">
      <c r="A157" s="1">
        <v>46251</v>
      </c>
      <c r="B157" s="33">
        <v>190.32</v>
      </c>
      <c r="C157" s="33">
        <v>254.79</v>
      </c>
      <c r="D157" s="15">
        <v>1.6301636402616E-3</v>
      </c>
      <c r="E157" s="15">
        <v>-2.7827331837315498E-3</v>
      </c>
      <c r="F157" s="33">
        <v>0</v>
      </c>
      <c r="G157" s="33">
        <v>0.39543</v>
      </c>
      <c r="H157" s="33">
        <v>0</v>
      </c>
      <c r="I157" s="33">
        <v>0.14164499999999999</v>
      </c>
      <c r="J157" s="33">
        <v>0</v>
      </c>
      <c r="K157" s="33">
        <v>0</v>
      </c>
      <c r="L157" s="33">
        <v>190.32</v>
      </c>
      <c r="M157" s="33">
        <v>254.79</v>
      </c>
      <c r="N157" s="34">
        <v>1.33874527112232</v>
      </c>
      <c r="O157" s="34">
        <v>1.3563381687199101</v>
      </c>
      <c r="P157" s="34">
        <v>1.34837927547326</v>
      </c>
      <c r="Q157" s="34">
        <v>1.35048539450653</v>
      </c>
      <c r="R157" s="33">
        <v>258.13828027077398</v>
      </c>
      <c r="S157" s="33">
        <v>257.19328421582202</v>
      </c>
      <c r="T157" s="33">
        <v>257.281035993599</v>
      </c>
      <c r="U157" s="15">
        <v>1.30557349227089E-2</v>
      </c>
      <c r="V157" s="15">
        <v>9.3882044265423004E-3</v>
      </c>
      <c r="W157" s="15">
        <v>9.7293362388819402E-3</v>
      </c>
      <c r="X157" s="34">
        <v>1.33874527112232</v>
      </c>
      <c r="Y157" s="34">
        <v>1.3563584455100699</v>
      </c>
      <c r="Z157" s="34">
        <v>1.34837927547326</v>
      </c>
      <c r="AA157" s="34">
        <v>1.35048539450653</v>
      </c>
      <c r="AB157" s="33">
        <v>258.14213934947702</v>
      </c>
      <c r="AC157" s="33">
        <v>257.19328421582202</v>
      </c>
      <c r="AD157" s="33">
        <v>257.281035993599</v>
      </c>
      <c r="AE157" s="15">
        <v>1.3070684467788401E-2</v>
      </c>
      <c r="AF157" s="15">
        <v>9.3882044265423004E-3</v>
      </c>
      <c r="AG157" s="15">
        <v>9.7293362388819402E-3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3.0338220192534161E-2</v>
      </c>
      <c r="AT157" s="12"/>
      <c r="AU157">
        <f t="shared" si="50"/>
        <v>1</v>
      </c>
      <c r="AV157">
        <f t="shared" si="51"/>
        <v>0</v>
      </c>
      <c r="AW157">
        <f t="shared" si="58"/>
        <v>1</v>
      </c>
      <c r="AX157">
        <f t="shared" si="45"/>
        <v>1</v>
      </c>
      <c r="AY157">
        <f t="shared" si="59"/>
        <v>1</v>
      </c>
      <c r="AZ157" s="28">
        <f t="shared" si="52"/>
        <v>-1.6301636402616E-3</v>
      </c>
      <c r="BA157" s="28">
        <f t="shared" si="53"/>
        <v>-2.7827331837315498E-3</v>
      </c>
      <c r="BB157" s="28">
        <f t="shared" si="60"/>
        <v>-4.4128968239931501E-3</v>
      </c>
      <c r="BC157" s="29">
        <f t="shared" si="61"/>
        <v>2.2043106120289702E-2</v>
      </c>
      <c r="BE157" s="29">
        <f t="shared" si="62"/>
        <v>-4.4128968239931501E-3</v>
      </c>
      <c r="BF157" s="29">
        <f t="shared" si="63"/>
        <v>5.2381326312823856E-2</v>
      </c>
      <c r="BH157" s="29"/>
    </row>
    <row r="158" spans="1:60" x14ac:dyDescent="0.25">
      <c r="A158" s="1">
        <v>46252</v>
      </c>
      <c r="B158" s="33">
        <v>185.62</v>
      </c>
      <c r="C158" s="33">
        <v>249.58</v>
      </c>
      <c r="D158" s="15">
        <v>-2.5005292827455401E-2</v>
      </c>
      <c r="E158" s="15">
        <v>-2.0660171380319201E-2</v>
      </c>
      <c r="F158" s="33">
        <v>0</v>
      </c>
      <c r="G158" s="33">
        <v>0.39543</v>
      </c>
      <c r="H158" s="33">
        <v>0</v>
      </c>
      <c r="I158" s="33">
        <v>0.14164499999999999</v>
      </c>
      <c r="J158" s="33">
        <v>0</v>
      </c>
      <c r="K158" s="33">
        <v>0</v>
      </c>
      <c r="L158" s="33">
        <v>185.62</v>
      </c>
      <c r="M158" s="33">
        <v>249.58</v>
      </c>
      <c r="N158" s="34">
        <v>1.3445749380454599</v>
      </c>
      <c r="O158" s="34">
        <v>1.3563381687199101</v>
      </c>
      <c r="P158" s="34">
        <v>1.34717598811141</v>
      </c>
      <c r="Q158" s="34">
        <v>1.35010433943956</v>
      </c>
      <c r="R158" s="33">
        <v>251.76349087778999</v>
      </c>
      <c r="S158" s="33">
        <v>250.28616111334699</v>
      </c>
      <c r="T158" s="33">
        <v>250.677098928303</v>
      </c>
      <c r="U158" s="15">
        <v>8.7106134755728804E-3</v>
      </c>
      <c r="V158" s="15">
        <v>2.8254026299447299E-3</v>
      </c>
      <c r="W158" s="15">
        <v>4.3861474010552896E-3</v>
      </c>
      <c r="X158" s="34">
        <v>1.3445749380454599</v>
      </c>
      <c r="Y158" s="34">
        <v>1.3563584455100699</v>
      </c>
      <c r="Z158" s="34">
        <v>1.34717598811141</v>
      </c>
      <c r="AA158" s="34">
        <v>1.35010433943956</v>
      </c>
      <c r="AB158" s="33">
        <v>251.76725465557999</v>
      </c>
      <c r="AC158" s="33">
        <v>250.28616111334699</v>
      </c>
      <c r="AD158" s="33">
        <v>250.677098928303</v>
      </c>
      <c r="AE158" s="15">
        <v>8.7255630206522598E-3</v>
      </c>
      <c r="AF158" s="15">
        <v>2.82540262994451E-3</v>
      </c>
      <c r="AG158" s="15">
        <v>4.3861474010552896E-3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3.0338220192534161E-2</v>
      </c>
      <c r="AT158" s="12"/>
      <c r="AU158">
        <f t="shared" si="50"/>
        <v>1</v>
      </c>
      <c r="AV158">
        <f t="shared" si="51"/>
        <v>0</v>
      </c>
      <c r="AW158">
        <f t="shared" si="58"/>
        <v>1</v>
      </c>
      <c r="AX158">
        <f t="shared" si="45"/>
        <v>1</v>
      </c>
      <c r="AY158">
        <f t="shared" si="59"/>
        <v>1</v>
      </c>
      <c r="AZ158" s="28">
        <f t="shared" si="52"/>
        <v>2.5005292827455401E-2</v>
      </c>
      <c r="BA158" s="28">
        <f t="shared" si="53"/>
        <v>-2.0660171380319201E-2</v>
      </c>
      <c r="BB158" s="28">
        <f t="shared" si="60"/>
        <v>4.3451214471362E-3</v>
      </c>
      <c r="BC158" s="29">
        <f t="shared" si="61"/>
        <v>2.6388227567425902E-2</v>
      </c>
      <c r="BE158" s="29">
        <f t="shared" si="62"/>
        <v>4.3451214471362E-3</v>
      </c>
      <c r="BF158" s="29">
        <f t="shared" si="63"/>
        <v>5.6726447759960053E-2</v>
      </c>
      <c r="BH158" s="29"/>
    </row>
    <row r="159" spans="1:60" x14ac:dyDescent="0.25">
      <c r="A159" s="1">
        <v>46253</v>
      </c>
      <c r="B159" s="33">
        <v>183.64</v>
      </c>
      <c r="C159" s="33">
        <v>247.8</v>
      </c>
      <c r="D159" s="15">
        <v>-1.0724253786225499E-2</v>
      </c>
      <c r="E159" s="15">
        <v>-7.1575358846662496E-3</v>
      </c>
      <c r="F159" s="33">
        <v>0</v>
      </c>
      <c r="G159" s="33">
        <v>0.39543</v>
      </c>
      <c r="H159" s="33">
        <v>0</v>
      </c>
      <c r="I159" s="33">
        <v>0.14164499999999999</v>
      </c>
      <c r="J159" s="33">
        <v>0</v>
      </c>
      <c r="K159" s="33">
        <v>0</v>
      </c>
      <c r="L159" s="33">
        <v>183.64</v>
      </c>
      <c r="M159" s="33">
        <v>247.8</v>
      </c>
      <c r="N159" s="34">
        <v>1.34937922021346</v>
      </c>
      <c r="O159" s="34">
        <v>1.3563381687199101</v>
      </c>
      <c r="P159" s="34">
        <v>1.3469571138334699</v>
      </c>
      <c r="Q159" s="34">
        <v>1.35009673751686</v>
      </c>
      <c r="R159" s="33">
        <v>249.077941303725</v>
      </c>
      <c r="S159" s="33">
        <v>247.39539845677899</v>
      </c>
      <c r="T159" s="33">
        <v>247.933160894682</v>
      </c>
      <c r="U159" s="15">
        <v>5.1438955740134998E-3</v>
      </c>
      <c r="V159" s="15">
        <v>-1.6341090184425499E-3</v>
      </c>
      <c r="W159" s="15">
        <v>5.3722812347071602E-4</v>
      </c>
      <c r="X159" s="34">
        <v>1.34937922021346</v>
      </c>
      <c r="Y159" s="34">
        <v>1.3563584455100699</v>
      </c>
      <c r="Z159" s="34">
        <v>1.3469571138334699</v>
      </c>
      <c r="AA159" s="34">
        <v>1.35009673751686</v>
      </c>
      <c r="AB159" s="33">
        <v>249.08166493346999</v>
      </c>
      <c r="AC159" s="33">
        <v>247.39539845677899</v>
      </c>
      <c r="AD159" s="33">
        <v>247.933160894682</v>
      </c>
      <c r="AE159" s="15">
        <v>5.1588451190929399E-3</v>
      </c>
      <c r="AF159" s="15">
        <v>-1.6341090184425499E-3</v>
      </c>
      <c r="AG159" s="15">
        <v>5.3722812347071602E-4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3.0338220192534161E-2</v>
      </c>
      <c r="AT159" s="12"/>
      <c r="AU159">
        <f t="shared" si="50"/>
        <v>0</v>
      </c>
      <c r="AV159">
        <f t="shared" si="51"/>
        <v>1</v>
      </c>
      <c r="AW159">
        <f t="shared" si="58"/>
        <v>1</v>
      </c>
      <c r="AX159">
        <f t="shared" si="45"/>
        <v>1</v>
      </c>
      <c r="AY159">
        <f t="shared" si="59"/>
        <v>1</v>
      </c>
      <c r="AZ159" s="28">
        <f t="shared" si="52"/>
        <v>1.0724253786225499E-2</v>
      </c>
      <c r="BA159" s="28">
        <f t="shared" si="53"/>
        <v>-7.1575358846662496E-3</v>
      </c>
      <c r="BB159" s="28">
        <f t="shared" si="60"/>
        <v>3.5667179015592496E-3</v>
      </c>
      <c r="BC159" s="29">
        <f t="shared" si="61"/>
        <v>2.9954945468985153E-2</v>
      </c>
      <c r="BE159" s="29">
        <f t="shared" si="62"/>
        <v>3.5667179015592496E-3</v>
      </c>
      <c r="BF159" s="29">
        <f t="shared" si="63"/>
        <v>6.02931656615193E-2</v>
      </c>
      <c r="BH159" s="29"/>
    </row>
    <row r="160" spans="1:60" x14ac:dyDescent="0.25">
      <c r="A160" s="1">
        <v>46254</v>
      </c>
      <c r="B160" s="33">
        <v>183.1</v>
      </c>
      <c r="C160" s="33">
        <v>246.8</v>
      </c>
      <c r="D160" s="15">
        <v>-2.94486770055627E-3</v>
      </c>
      <c r="E160" s="15">
        <v>-4.04367716380936E-3</v>
      </c>
      <c r="F160" s="33">
        <v>0</v>
      </c>
      <c r="G160" s="33">
        <v>0.39543</v>
      </c>
      <c r="H160" s="33">
        <v>0</v>
      </c>
      <c r="I160" s="33">
        <v>0.14164499999999999</v>
      </c>
      <c r="J160" s="33">
        <v>0</v>
      </c>
      <c r="K160" s="33">
        <v>0</v>
      </c>
      <c r="L160" s="33">
        <v>183.1</v>
      </c>
      <c r="M160" s="33">
        <v>246.8</v>
      </c>
      <c r="N160" s="34">
        <v>1.34789732386673</v>
      </c>
      <c r="O160" s="34">
        <v>1.3563381687199101</v>
      </c>
      <c r="P160" s="34">
        <v>1.34653398267943</v>
      </c>
      <c r="Q160" s="34">
        <v>1.3506549547889299</v>
      </c>
      <c r="R160" s="33">
        <v>248.345518692616</v>
      </c>
      <c r="S160" s="33">
        <v>246.627847542908</v>
      </c>
      <c r="T160" s="33">
        <v>247.20271263933699</v>
      </c>
      <c r="U160" s="15">
        <v>6.2427050372665998E-3</v>
      </c>
      <c r="V160" s="15">
        <v>-6.9778171188925205E-4</v>
      </c>
      <c r="W160" s="15">
        <v>1.6304069521983599E-3</v>
      </c>
      <c r="X160" s="34">
        <v>1.34789732386673</v>
      </c>
      <c r="Y160" s="34">
        <v>1.3563584455100699</v>
      </c>
      <c r="Z160" s="34">
        <v>1.34653398267943</v>
      </c>
      <c r="AA160" s="34">
        <v>1.3506549547889299</v>
      </c>
      <c r="AB160" s="33">
        <v>248.349231372894</v>
      </c>
      <c r="AC160" s="33">
        <v>246.627847542908</v>
      </c>
      <c r="AD160" s="33">
        <v>247.20271263933699</v>
      </c>
      <c r="AE160" s="15">
        <v>6.2576545823458899E-3</v>
      </c>
      <c r="AF160" s="15">
        <v>-6.9778171188925205E-4</v>
      </c>
      <c r="AG160" s="15">
        <v>1.6304069521983599E-3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3.0338220192534161E-2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2.9954945468985153E-2</v>
      </c>
      <c r="BE160" s="29">
        <f t="shared" si="62"/>
        <v>0</v>
      </c>
      <c r="BF160" s="29">
        <f t="shared" si="63"/>
        <v>6.02931656615193E-2</v>
      </c>
      <c r="BH160" s="29"/>
    </row>
    <row r="161" spans="1:60" x14ac:dyDescent="0.25">
      <c r="A161" s="1">
        <v>46255</v>
      </c>
      <c r="B161" s="33">
        <v>183.31</v>
      </c>
      <c r="C161" s="33">
        <v>247.25</v>
      </c>
      <c r="D161" s="15">
        <v>1.1462570508083401E-3</v>
      </c>
      <c r="E161" s="15">
        <v>1.82167847158868E-3</v>
      </c>
      <c r="F161" s="33">
        <v>0</v>
      </c>
      <c r="G161" s="33">
        <v>0.39543</v>
      </c>
      <c r="H161" s="33">
        <v>0</v>
      </c>
      <c r="I161" s="33">
        <v>0.14164499999999999</v>
      </c>
      <c r="J161" s="33">
        <v>0</v>
      </c>
      <c r="K161" s="33">
        <v>0</v>
      </c>
      <c r="L161" s="33">
        <v>183.31</v>
      </c>
      <c r="M161" s="33">
        <v>247.25</v>
      </c>
      <c r="N161" s="34">
        <v>1.3488080301129199</v>
      </c>
      <c r="O161" s="34">
        <v>1.3563381687199101</v>
      </c>
      <c r="P161" s="34">
        <v>1.3462602397525401</v>
      </c>
      <c r="Q161" s="34">
        <v>1.35098141497094</v>
      </c>
      <c r="R161" s="33">
        <v>248.63034970804699</v>
      </c>
      <c r="S161" s="33">
        <v>246.83314436496701</v>
      </c>
      <c r="T161" s="33">
        <v>247.58855976235901</v>
      </c>
      <c r="U161" s="15">
        <v>5.5672836164862996E-3</v>
      </c>
      <c r="V161" s="15">
        <v>-1.68739103406323E-3</v>
      </c>
      <c r="W161" s="15">
        <v>1.3683647262620301E-3</v>
      </c>
      <c r="X161" s="34">
        <v>1.3488080301129199</v>
      </c>
      <c r="Y161" s="34">
        <v>1.3563584455100699</v>
      </c>
      <c r="Z161" s="34">
        <v>1.3462602397525401</v>
      </c>
      <c r="AA161" s="34">
        <v>1.35098141497094</v>
      </c>
      <c r="AB161" s="33">
        <v>248.634066646452</v>
      </c>
      <c r="AC161" s="33">
        <v>246.83314436496701</v>
      </c>
      <c r="AD161" s="33">
        <v>247.58855976235901</v>
      </c>
      <c r="AE161" s="15">
        <v>5.58223316156564E-3</v>
      </c>
      <c r="AF161" s="15">
        <v>-1.68739103406323E-3</v>
      </c>
      <c r="AG161" s="15">
        <v>1.3683647262620301E-3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3.0338220192534161E-2</v>
      </c>
      <c r="AT161" s="12"/>
      <c r="AU161">
        <f t="shared" si="50"/>
        <v>0</v>
      </c>
      <c r="AV161">
        <f t="shared" si="51"/>
        <v>0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2.9954945468985153E-2</v>
      </c>
      <c r="BE161" s="29">
        <f t="shared" si="62"/>
        <v>0</v>
      </c>
      <c r="BF161" s="29">
        <f t="shared" si="63"/>
        <v>6.02931656615193E-2</v>
      </c>
      <c r="BH161" s="29"/>
    </row>
    <row r="162" spans="1:60" x14ac:dyDescent="0.25">
      <c r="A162" s="1">
        <v>46258</v>
      </c>
      <c r="B162" s="33">
        <v>180.05</v>
      </c>
      <c r="C162" s="33">
        <v>244.11</v>
      </c>
      <c r="D162" s="15">
        <v>-1.7944118636388999E-2</v>
      </c>
      <c r="E162" s="15">
        <v>-1.2781027126145801E-2</v>
      </c>
      <c r="F162" s="33">
        <v>0</v>
      </c>
      <c r="G162" s="33">
        <v>0.39543</v>
      </c>
      <c r="H162" s="33">
        <v>0</v>
      </c>
      <c r="I162" s="33">
        <v>0.14164499999999999</v>
      </c>
      <c r="J162" s="33">
        <v>0</v>
      </c>
      <c r="K162" s="33">
        <v>0</v>
      </c>
      <c r="L162" s="33">
        <v>180.05</v>
      </c>
      <c r="M162" s="33">
        <v>244.11</v>
      </c>
      <c r="N162" s="34">
        <v>1.3557900583171301</v>
      </c>
      <c r="O162" s="34">
        <v>1.3563381687199101</v>
      </c>
      <c r="P162" s="34">
        <v>1.3463841146267601</v>
      </c>
      <c r="Q162" s="34">
        <v>1.3513440676286299</v>
      </c>
      <c r="R162" s="33">
        <v>244.20868727801999</v>
      </c>
      <c r="S162" s="33">
        <v>242.394156167446</v>
      </c>
      <c r="T162" s="33">
        <v>243.24420376551899</v>
      </c>
      <c r="U162" s="15">
        <v>4.0419210624305802E-4</v>
      </c>
      <c r="V162" s="15">
        <v>-7.0537976922310404E-3</v>
      </c>
      <c r="W162" s="15">
        <v>-3.5530508965377302E-3</v>
      </c>
      <c r="X162" s="34">
        <v>1.3557900583171301</v>
      </c>
      <c r="Y162" s="34">
        <v>1.3563584455100699</v>
      </c>
      <c r="Z162" s="34">
        <v>1.3463841146267601</v>
      </c>
      <c r="AA162" s="34">
        <v>1.3513440676286299</v>
      </c>
      <c r="AB162" s="33">
        <v>244.21233811408899</v>
      </c>
      <c r="AC162" s="33">
        <v>242.394156167446</v>
      </c>
      <c r="AD162" s="33">
        <v>243.24420376551899</v>
      </c>
      <c r="AE162" s="15">
        <v>4.1914165132251398E-4</v>
      </c>
      <c r="AF162" s="15">
        <v>-7.0537976922310404E-3</v>
      </c>
      <c r="AG162" s="15">
        <v>-3.5530508965377302E-3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3.0338220192534161E-2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2.9954945468985153E-2</v>
      </c>
      <c r="BE162" s="29">
        <f t="shared" si="62"/>
        <v>0</v>
      </c>
      <c r="BF162" s="29">
        <f t="shared" si="63"/>
        <v>6.02931656615193E-2</v>
      </c>
      <c r="BH162" s="29"/>
    </row>
    <row r="163" spans="1:60" x14ac:dyDescent="0.25">
      <c r="A163" s="1">
        <v>46259</v>
      </c>
      <c r="B163" s="33">
        <v>181.74</v>
      </c>
      <c r="C163" s="33">
        <v>246.04</v>
      </c>
      <c r="D163" s="15">
        <v>9.3425041723166E-3</v>
      </c>
      <c r="E163" s="15">
        <v>7.8751809634918599E-3</v>
      </c>
      <c r="F163" s="33">
        <v>0</v>
      </c>
      <c r="G163" s="33">
        <v>0.39543</v>
      </c>
      <c r="H163" s="33">
        <v>0</v>
      </c>
      <c r="I163" s="33">
        <v>0.14164499999999999</v>
      </c>
      <c r="J163" s="33">
        <v>0</v>
      </c>
      <c r="K163" s="33">
        <v>0</v>
      </c>
      <c r="L163" s="33">
        <v>181.74</v>
      </c>
      <c r="M163" s="33">
        <v>246.04</v>
      </c>
      <c r="N163" s="34">
        <v>1.35380213491801</v>
      </c>
      <c r="O163" s="34">
        <v>1.3563381687199101</v>
      </c>
      <c r="P163" s="34">
        <v>1.34687260905789</v>
      </c>
      <c r="Q163" s="34">
        <v>1.35117515280693</v>
      </c>
      <c r="R163" s="33">
        <v>246.500898783157</v>
      </c>
      <c r="S163" s="33">
        <v>244.69184899226801</v>
      </c>
      <c r="T163" s="33">
        <v>245.593270850827</v>
      </c>
      <c r="U163" s="15">
        <v>1.87151531506781E-3</v>
      </c>
      <c r="V163" s="15">
        <v>-5.4944646536589101E-3</v>
      </c>
      <c r="W163" s="15">
        <v>-1.8173272583837999E-3</v>
      </c>
      <c r="X163" s="34">
        <v>1.35380213491801</v>
      </c>
      <c r="Y163" s="34">
        <v>1.3563584455100699</v>
      </c>
      <c r="Z163" s="34">
        <v>1.34687260905789</v>
      </c>
      <c r="AA163" s="34">
        <v>1.35117515280693</v>
      </c>
      <c r="AB163" s="33">
        <v>246.50458388700099</v>
      </c>
      <c r="AC163" s="33">
        <v>244.69184899226801</v>
      </c>
      <c r="AD163" s="33">
        <v>245.593270850827</v>
      </c>
      <c r="AE163" s="15">
        <v>1.8864648601473401E-3</v>
      </c>
      <c r="AF163" s="15">
        <v>-5.4944646536589101E-3</v>
      </c>
      <c r="AG163" s="15">
        <v>-1.8173272583837999E-3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3.0338220192534161E-2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2.9954945468985153E-2</v>
      </c>
      <c r="BE163" s="29">
        <f t="shared" si="62"/>
        <v>0</v>
      </c>
      <c r="BF163" s="29">
        <f t="shared" si="63"/>
        <v>6.02931656615193E-2</v>
      </c>
      <c r="BH163" s="29"/>
    </row>
    <row r="164" spans="1:60" x14ac:dyDescent="0.25">
      <c r="A164" s="1">
        <v>46260</v>
      </c>
      <c r="B164" s="33">
        <v>182.84</v>
      </c>
      <c r="C164" s="33">
        <v>246.67</v>
      </c>
      <c r="D164" s="15">
        <v>6.0343591963425598E-3</v>
      </c>
      <c r="E164" s="15">
        <v>2.5572866121449599E-3</v>
      </c>
      <c r="F164" s="33">
        <v>0</v>
      </c>
      <c r="G164" s="33">
        <v>0.39543</v>
      </c>
      <c r="H164" s="33">
        <v>0</v>
      </c>
      <c r="I164" s="33">
        <v>0.14164499999999999</v>
      </c>
      <c r="J164" s="33">
        <v>0</v>
      </c>
      <c r="K164" s="33">
        <v>0</v>
      </c>
      <c r="L164" s="33">
        <v>182.84</v>
      </c>
      <c r="M164" s="33">
        <v>246.67</v>
      </c>
      <c r="N164" s="34">
        <v>1.3491030409100799</v>
      </c>
      <c r="O164" s="34">
        <v>1.3563381687199101</v>
      </c>
      <c r="P164" s="34">
        <v>1.3477788890040301</v>
      </c>
      <c r="Q164" s="34">
        <v>1.35038872473597</v>
      </c>
      <c r="R164" s="33">
        <v>247.99287076874899</v>
      </c>
      <c r="S164" s="33">
        <v>246.262187840146</v>
      </c>
      <c r="T164" s="33">
        <v>247.04886493922001</v>
      </c>
      <c r="U164" s="15">
        <v>5.3485878992654001E-3</v>
      </c>
      <c r="V164" s="15">
        <v>-1.6546383577985999E-3</v>
      </c>
      <c r="W164" s="15">
        <v>1.5347398711714701E-3</v>
      </c>
      <c r="X164" s="34">
        <v>1.3491030409100799</v>
      </c>
      <c r="Y164" s="34">
        <v>1.3563584455100699</v>
      </c>
      <c r="Z164" s="34">
        <v>1.3477788890040301</v>
      </c>
      <c r="AA164" s="34">
        <v>1.35038872473597</v>
      </c>
      <c r="AB164" s="33">
        <v>247.99657817706199</v>
      </c>
      <c r="AC164" s="33">
        <v>246.262187840146</v>
      </c>
      <c r="AD164" s="33">
        <v>247.04886493922001</v>
      </c>
      <c r="AE164" s="15">
        <v>5.3635374443449096E-3</v>
      </c>
      <c r="AF164" s="15">
        <v>-1.6546383577983801E-3</v>
      </c>
      <c r="AG164" s="15">
        <v>1.53473987117124E-3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3.0338220192534161E-2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2.9954945468985153E-2</v>
      </c>
      <c r="BE164" s="29">
        <f t="shared" si="62"/>
        <v>0</v>
      </c>
      <c r="BF164" s="29">
        <f t="shared" si="63"/>
        <v>6.02931656615193E-2</v>
      </c>
      <c r="BH164" s="29"/>
    </row>
    <row r="165" spans="1:60" x14ac:dyDescent="0.25">
      <c r="A165" s="1">
        <v>46261</v>
      </c>
      <c r="B165" s="33">
        <v>188.61</v>
      </c>
      <c r="C165" s="33">
        <v>253.81</v>
      </c>
      <c r="D165" s="15">
        <v>3.1069937599535701E-2</v>
      </c>
      <c r="E165" s="15">
        <v>2.8534544655002499E-2</v>
      </c>
      <c r="F165" s="33">
        <v>0</v>
      </c>
      <c r="G165" s="33">
        <v>0.39543</v>
      </c>
      <c r="H165" s="33">
        <v>0</v>
      </c>
      <c r="I165" s="33">
        <v>0.14164499999999999</v>
      </c>
      <c r="J165" s="33">
        <v>0</v>
      </c>
      <c r="K165" s="33">
        <v>0</v>
      </c>
      <c r="L165" s="33">
        <v>188.61</v>
      </c>
      <c r="M165" s="33">
        <v>253.81</v>
      </c>
      <c r="N165" s="34">
        <v>1.34568686708021</v>
      </c>
      <c r="O165" s="34">
        <v>1.3563381687199101</v>
      </c>
      <c r="P165" s="34">
        <v>1.3478452954793101</v>
      </c>
      <c r="Q165" s="34">
        <v>1.35025145538868</v>
      </c>
      <c r="R165" s="33">
        <v>255.81894200226299</v>
      </c>
      <c r="S165" s="33">
        <v>254.20457625505099</v>
      </c>
      <c r="T165" s="33">
        <v>254.69681737245099</v>
      </c>
      <c r="U165" s="15">
        <v>7.8839808437986304E-3</v>
      </c>
      <c r="V165" s="15">
        <v>1.55340556290904E-3</v>
      </c>
      <c r="W165" s="15">
        <v>3.4879307069820898E-3</v>
      </c>
      <c r="X165" s="34">
        <v>1.34568686708021</v>
      </c>
      <c r="Y165" s="34">
        <v>1.3563584455100699</v>
      </c>
      <c r="Z165" s="34">
        <v>1.3478452954793101</v>
      </c>
      <c r="AA165" s="34">
        <v>1.35025145538868</v>
      </c>
      <c r="AB165" s="33">
        <v>255.822766407655</v>
      </c>
      <c r="AC165" s="33">
        <v>254.20457625505099</v>
      </c>
      <c r="AD165" s="33">
        <v>254.69681737245099</v>
      </c>
      <c r="AE165" s="15">
        <v>7.8989303888781504E-3</v>
      </c>
      <c r="AF165" s="15">
        <v>1.5534055629092599E-3</v>
      </c>
      <c r="AG165" s="15">
        <v>3.4879307069820898E-3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3.0338220192534161E-2</v>
      </c>
      <c r="AT165" s="12"/>
      <c r="AU165">
        <f t="shared" si="50"/>
        <v>1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2.9954945468985153E-2</v>
      </c>
      <c r="BE165" s="29">
        <f t="shared" si="62"/>
        <v>0</v>
      </c>
      <c r="BF165" s="29">
        <f t="shared" si="63"/>
        <v>6.02931656615193E-2</v>
      </c>
      <c r="BH165" s="29"/>
    </row>
    <row r="166" spans="1:60" x14ac:dyDescent="0.25">
      <c r="A166" s="1">
        <v>46262</v>
      </c>
      <c r="B166" s="33">
        <v>185.69</v>
      </c>
      <c r="C166" s="33">
        <v>251.2</v>
      </c>
      <c r="D166" s="15">
        <v>-1.56027744505752E-2</v>
      </c>
      <c r="E166" s="15">
        <v>-1.03365210132715E-2</v>
      </c>
      <c r="F166" s="33">
        <v>0</v>
      </c>
      <c r="G166" s="33">
        <v>0.39543</v>
      </c>
      <c r="H166" s="33">
        <v>0</v>
      </c>
      <c r="I166" s="33">
        <v>0.14164499999999999</v>
      </c>
      <c r="J166" s="33">
        <v>0</v>
      </c>
      <c r="K166" s="33">
        <v>0</v>
      </c>
      <c r="L166" s="33">
        <v>185.69</v>
      </c>
      <c r="M166" s="33">
        <v>251.2</v>
      </c>
      <c r="N166" s="34">
        <v>1.3527922882223</v>
      </c>
      <c r="O166" s="34">
        <v>1.3563381687199101</v>
      </c>
      <c r="P166" s="34">
        <v>1.3486579172808599</v>
      </c>
      <c r="Q166" s="34">
        <v>1.3500153925828</v>
      </c>
      <c r="R166" s="33">
        <v>251.85843454960099</v>
      </c>
      <c r="S166" s="33">
        <v>250.281392917554</v>
      </c>
      <c r="T166" s="33">
        <v>250.728192751124</v>
      </c>
      <c r="U166" s="15">
        <v>2.6177274064949599E-3</v>
      </c>
      <c r="V166" s="15">
        <v>-3.6635780424375099E-3</v>
      </c>
      <c r="W166" s="15">
        <v>-1.8799796251725901E-3</v>
      </c>
      <c r="X166" s="34">
        <v>1.3527922882223</v>
      </c>
      <c r="Y166" s="34">
        <v>1.3563584455100699</v>
      </c>
      <c r="Z166" s="34">
        <v>1.3486579172808599</v>
      </c>
      <c r="AA166" s="34">
        <v>1.3500153925828</v>
      </c>
      <c r="AB166" s="33">
        <v>251.86219974676499</v>
      </c>
      <c r="AC166" s="33">
        <v>250.281392917554</v>
      </c>
      <c r="AD166" s="33">
        <v>250.728192751124</v>
      </c>
      <c r="AE166" s="15">
        <v>2.6326769515743402E-3</v>
      </c>
      <c r="AF166" s="15">
        <v>-3.6635780424375099E-3</v>
      </c>
      <c r="AG166" s="15">
        <v>-1.8799796251725901E-3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3.0338220192534161E-2</v>
      </c>
      <c r="AT166" s="12"/>
      <c r="AU166">
        <f t="shared" si="50"/>
        <v>0</v>
      </c>
      <c r="AV166">
        <f t="shared" si="51"/>
        <v>1</v>
      </c>
      <c r="AW166">
        <f t="shared" si="58"/>
        <v>1</v>
      </c>
      <c r="AX166">
        <f t="shared" si="45"/>
        <v>1</v>
      </c>
      <c r="AY166">
        <f t="shared" si="59"/>
        <v>1</v>
      </c>
      <c r="AZ166" s="28">
        <f t="shared" si="52"/>
        <v>1.56027744505752E-2</v>
      </c>
      <c r="BA166" s="28">
        <f t="shared" si="53"/>
        <v>-1.03365210132715E-2</v>
      </c>
      <c r="BB166" s="28">
        <f t="shared" si="60"/>
        <v>5.2662534373037004E-3</v>
      </c>
      <c r="BC166" s="29">
        <f t="shared" si="61"/>
        <v>3.5221198906288852E-2</v>
      </c>
      <c r="BE166" s="29">
        <f t="shared" si="62"/>
        <v>5.2662534373037004E-3</v>
      </c>
      <c r="BF166" s="29">
        <f t="shared" si="63"/>
        <v>6.5559419098822999E-2</v>
      </c>
      <c r="BH166" s="29"/>
    </row>
    <row r="167" spans="1:60" x14ac:dyDescent="0.25">
      <c r="A167" s="1">
        <v>46265</v>
      </c>
      <c r="B167" s="33">
        <v>186.5</v>
      </c>
      <c r="C167" s="33">
        <v>251.28</v>
      </c>
      <c r="D167" s="15">
        <v>4.3526224713660404E-3</v>
      </c>
      <c r="E167" s="15">
        <v>3.1842063634754999E-4</v>
      </c>
      <c r="F167" s="33">
        <v>0</v>
      </c>
      <c r="G167" s="33">
        <v>0.39543</v>
      </c>
      <c r="H167" s="33">
        <v>0</v>
      </c>
      <c r="I167" s="33">
        <v>0.14164499999999999</v>
      </c>
      <c r="J167" s="33">
        <v>0</v>
      </c>
      <c r="K167" s="33">
        <v>0</v>
      </c>
      <c r="L167" s="33">
        <v>186.5</v>
      </c>
      <c r="M167" s="33">
        <v>251.28</v>
      </c>
      <c r="N167" s="34">
        <v>1.3473458445040201</v>
      </c>
      <c r="O167" s="34">
        <v>1.3563381687199101</v>
      </c>
      <c r="P167" s="34">
        <v>1.34951797461903</v>
      </c>
      <c r="Q167" s="34">
        <v>1.34894862504615</v>
      </c>
      <c r="R167" s="33">
        <v>252.95706846626399</v>
      </c>
      <c r="S167" s="33">
        <v>251.52470157288101</v>
      </c>
      <c r="T167" s="33">
        <v>251.77787071669201</v>
      </c>
      <c r="U167" s="15">
        <v>6.6519292415135002E-3</v>
      </c>
      <c r="V167" s="15">
        <v>9.7334647601923601E-4</v>
      </c>
      <c r="W167" s="15">
        <v>1.9793781520018299E-3</v>
      </c>
      <c r="X167" s="34">
        <v>1.3473458445040201</v>
      </c>
      <c r="Y167" s="34">
        <v>1.3563584455100699</v>
      </c>
      <c r="Z167" s="34">
        <v>1.34951797461903</v>
      </c>
      <c r="AA167" s="34">
        <v>1.34894862504615</v>
      </c>
      <c r="AB167" s="33">
        <v>252.96085008762901</v>
      </c>
      <c r="AC167" s="33">
        <v>251.52470157288101</v>
      </c>
      <c r="AD167" s="33">
        <v>251.77787071669201</v>
      </c>
      <c r="AE167" s="15">
        <v>6.6668787865929498E-3</v>
      </c>
      <c r="AF167" s="15">
        <v>9.7334647601945805E-4</v>
      </c>
      <c r="AG167" s="15">
        <v>1.9793781520018299E-3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3.0338220192534161E-2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3.5221198906288852E-2</v>
      </c>
      <c r="BE167" s="29">
        <f t="shared" si="62"/>
        <v>0</v>
      </c>
      <c r="BF167" s="29">
        <f t="shared" si="63"/>
        <v>6.5559419098822999E-2</v>
      </c>
      <c r="BH167" s="29"/>
    </row>
    <row r="168" spans="1:60" x14ac:dyDescent="0.25">
      <c r="A168" s="1">
        <v>46266</v>
      </c>
      <c r="B168" s="33">
        <v>183.64</v>
      </c>
      <c r="C168" s="33">
        <v>247.94</v>
      </c>
      <c r="D168" s="15">
        <v>-1.5453919702848901E-2</v>
      </c>
      <c r="E168" s="15">
        <v>-1.3381073820390299E-2</v>
      </c>
      <c r="F168" s="33">
        <v>0</v>
      </c>
      <c r="G168" s="33">
        <v>0.39543</v>
      </c>
      <c r="H168" s="33">
        <v>0</v>
      </c>
      <c r="I168" s="33">
        <v>0.14164499999999999</v>
      </c>
      <c r="J168" s="33">
        <v>0</v>
      </c>
      <c r="K168" s="33">
        <v>0</v>
      </c>
      <c r="L168" s="33">
        <v>183.64</v>
      </c>
      <c r="M168" s="33">
        <v>247.94</v>
      </c>
      <c r="N168" s="34">
        <v>1.3501415813548201</v>
      </c>
      <c r="O168" s="34">
        <v>1.3563381687199101</v>
      </c>
      <c r="P168" s="34">
        <v>1.35007463894997</v>
      </c>
      <c r="Q168" s="34">
        <v>1.34862531353069</v>
      </c>
      <c r="R168" s="33">
        <v>249.077941303725</v>
      </c>
      <c r="S168" s="33">
        <v>247.82548085904</v>
      </c>
      <c r="T168" s="33">
        <v>247.720925503475</v>
      </c>
      <c r="U168" s="15">
        <v>4.5790833590546899E-3</v>
      </c>
      <c r="V168" s="15">
        <v>-4.6198917600478502E-4</v>
      </c>
      <c r="W168" s="15">
        <v>-8.8396926010582996E-4</v>
      </c>
      <c r="X168" s="34">
        <v>1.3501415813548201</v>
      </c>
      <c r="Y168" s="34">
        <v>1.3563584455100699</v>
      </c>
      <c r="Z168" s="34">
        <v>1.35007463894997</v>
      </c>
      <c r="AA168" s="34">
        <v>1.34862531353069</v>
      </c>
      <c r="AB168" s="33">
        <v>249.08166493346999</v>
      </c>
      <c r="AC168" s="33">
        <v>247.82548085904</v>
      </c>
      <c r="AD168" s="33">
        <v>247.720925503475</v>
      </c>
      <c r="AE168" s="15">
        <v>4.5940329041342601E-3</v>
      </c>
      <c r="AF168" s="15">
        <v>-4.6198917600478502E-4</v>
      </c>
      <c r="AG168" s="15">
        <v>-8.8396926010582996E-4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3.0338220192534161E-2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3.5221198906288852E-2</v>
      </c>
      <c r="BE168" s="29">
        <f t="shared" si="62"/>
        <v>0</v>
      </c>
      <c r="BF168" s="29">
        <f t="shared" si="63"/>
        <v>6.5559419098822999E-2</v>
      </c>
      <c r="BH168" s="29"/>
    </row>
    <row r="169" spans="1:60" x14ac:dyDescent="0.25">
      <c r="A169" s="1">
        <v>46267</v>
      </c>
      <c r="B169" s="33">
        <v>183.6</v>
      </c>
      <c r="C169" s="33">
        <v>248.38</v>
      </c>
      <c r="D169" s="15">
        <v>-2.1784119463118799E-4</v>
      </c>
      <c r="E169" s="15">
        <v>1.7730501098858101E-3</v>
      </c>
      <c r="F169" s="33">
        <v>0</v>
      </c>
      <c r="G169" s="33">
        <v>0.39543</v>
      </c>
      <c r="H169" s="33">
        <v>0</v>
      </c>
      <c r="I169" s="33">
        <v>0.14164499999999999</v>
      </c>
      <c r="J169" s="33">
        <v>0</v>
      </c>
      <c r="K169" s="33">
        <v>0</v>
      </c>
      <c r="L169" s="33">
        <v>183.6</v>
      </c>
      <c r="M169" s="33">
        <v>248.38</v>
      </c>
      <c r="N169" s="34">
        <v>1.3528322440087099</v>
      </c>
      <c r="O169" s="34">
        <v>1.3563381687199101</v>
      </c>
      <c r="P169" s="34">
        <v>1.3504199413294899</v>
      </c>
      <c r="Q169" s="34">
        <v>1.3486885275814799</v>
      </c>
      <c r="R169" s="33">
        <v>249.023687776976</v>
      </c>
      <c r="S169" s="33">
        <v>247.873703711215</v>
      </c>
      <c r="T169" s="33">
        <v>247.607607564235</v>
      </c>
      <c r="U169" s="15">
        <v>2.5881920545379601E-3</v>
      </c>
      <c r="V169" s="15">
        <v>-2.0404743003985099E-3</v>
      </c>
      <c r="W169" s="15">
        <v>-3.1145659624119901E-3</v>
      </c>
      <c r="X169" s="34">
        <v>1.3528322440087099</v>
      </c>
      <c r="Y169" s="34">
        <v>1.3563584455100699</v>
      </c>
      <c r="Z169" s="34">
        <v>1.3504199413294899</v>
      </c>
      <c r="AA169" s="34">
        <v>1.3486885275814799</v>
      </c>
      <c r="AB169" s="33">
        <v>249.027410595649</v>
      </c>
      <c r="AC169" s="33">
        <v>247.87370371121401</v>
      </c>
      <c r="AD169" s="33">
        <v>247.607607564235</v>
      </c>
      <c r="AE169" s="15">
        <v>2.6031415996174301E-3</v>
      </c>
      <c r="AF169" s="15">
        <v>-2.0404743003987302E-3</v>
      </c>
      <c r="AG169" s="15">
        <v>-3.1145659624119901E-3</v>
      </c>
      <c r="AI169" s="12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3.0338220192534161E-2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3.5221198906288852E-2</v>
      </c>
      <c r="BE169" s="29">
        <f t="shared" si="62"/>
        <v>0</v>
      </c>
      <c r="BF169" s="29">
        <f t="shared" si="63"/>
        <v>6.5559419098822999E-2</v>
      </c>
      <c r="BH169" s="29"/>
    </row>
    <row r="170" spans="1:60" x14ac:dyDescent="0.25">
      <c r="A170" s="1">
        <v>46268</v>
      </c>
      <c r="B170" s="33">
        <v>185.97</v>
      </c>
      <c r="C170" s="33">
        <v>252.54</v>
      </c>
      <c r="D170" s="15">
        <v>1.28258921955475E-2</v>
      </c>
      <c r="E170" s="15">
        <v>1.66098204906477E-2</v>
      </c>
      <c r="F170" s="33">
        <v>0</v>
      </c>
      <c r="G170" s="33">
        <v>0.39543</v>
      </c>
      <c r="H170" s="33">
        <v>0</v>
      </c>
      <c r="I170" s="33">
        <v>0.14164499999999999</v>
      </c>
      <c r="J170" s="33">
        <v>0</v>
      </c>
      <c r="K170" s="33">
        <v>0</v>
      </c>
      <c r="L170" s="33">
        <v>185.97</v>
      </c>
      <c r="M170" s="33">
        <v>252.54</v>
      </c>
      <c r="N170" s="34">
        <v>1.35796096144539</v>
      </c>
      <c r="O170" s="34">
        <v>1.3563381687199101</v>
      </c>
      <c r="P170" s="34">
        <v>1.3514263050873601</v>
      </c>
      <c r="Q170" s="34">
        <v>1.3489801438833999</v>
      </c>
      <c r="R170" s="33">
        <v>252.23820923684201</v>
      </c>
      <c r="S170" s="33">
        <v>251.13759648904599</v>
      </c>
      <c r="T170" s="33">
        <v>250.81560547432801</v>
      </c>
      <c r="U170" s="15">
        <v>-1.1957362405621301E-3</v>
      </c>
      <c r="V170" s="15">
        <v>-5.5686698982891298E-3</v>
      </c>
      <c r="W170" s="15">
        <v>-6.8516224031202298E-3</v>
      </c>
      <c r="X170" s="34">
        <v>1.35796096144539</v>
      </c>
      <c r="Y170" s="34">
        <v>1.3563584455100699</v>
      </c>
      <c r="Z170" s="34">
        <v>1.3514263050873601</v>
      </c>
      <c r="AA170" s="34">
        <v>1.3489801438833999</v>
      </c>
      <c r="AB170" s="33">
        <v>252.24198011150801</v>
      </c>
      <c r="AC170" s="33">
        <v>251.13759648904599</v>
      </c>
      <c r="AD170" s="33">
        <v>250.81560547432801</v>
      </c>
      <c r="AE170" s="15">
        <v>-1.1807866954826999E-3</v>
      </c>
      <c r="AF170" s="15">
        <v>-5.5686698982892399E-3</v>
      </c>
      <c r="AG170" s="15">
        <v>-6.8516224031202298E-3</v>
      </c>
      <c r="AI170" s="12"/>
      <c r="AJ170">
        <f t="shared" si="46"/>
        <v>1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3.0338220192534161E-2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3.5221198906288852E-2</v>
      </c>
      <c r="BE170" s="29">
        <f t="shared" si="62"/>
        <v>0</v>
      </c>
      <c r="BF170" s="29">
        <f t="shared" si="63"/>
        <v>6.5559419098822999E-2</v>
      </c>
      <c r="BH170" s="29"/>
    </row>
    <row r="171" spans="1:60" x14ac:dyDescent="0.25">
      <c r="A171" s="1">
        <v>46269</v>
      </c>
      <c r="B171" s="33">
        <v>187.28</v>
      </c>
      <c r="C171" s="33">
        <v>253.31</v>
      </c>
      <c r="D171" s="15">
        <v>7.0194528007175199E-3</v>
      </c>
      <c r="E171" s="15">
        <v>3.0443830966246799E-3</v>
      </c>
      <c r="F171" s="33">
        <v>0</v>
      </c>
      <c r="G171" s="33">
        <v>0.39543</v>
      </c>
      <c r="H171" s="33">
        <v>0</v>
      </c>
      <c r="I171" s="33">
        <v>0.14164499999999999</v>
      </c>
      <c r="J171" s="33">
        <v>0</v>
      </c>
      <c r="K171" s="33">
        <v>0</v>
      </c>
      <c r="L171" s="33">
        <v>187.28</v>
      </c>
      <c r="M171" s="33">
        <v>253.31</v>
      </c>
      <c r="N171" s="34">
        <v>1.3525736864587701</v>
      </c>
      <c r="O171" s="34">
        <v>1.3563381687199101</v>
      </c>
      <c r="P171" s="34">
        <v>1.3518028707219401</v>
      </c>
      <c r="Q171" s="34">
        <v>1.3490315552372401</v>
      </c>
      <c r="R171" s="33">
        <v>254.01501223786499</v>
      </c>
      <c r="S171" s="33">
        <v>253.09511841676101</v>
      </c>
      <c r="T171" s="33">
        <v>252.637001346483</v>
      </c>
      <c r="U171" s="15">
        <v>2.77933346353075E-3</v>
      </c>
      <c r="V171" s="15">
        <v>-8.4865491410144201E-4</v>
      </c>
      <c r="W171" s="15">
        <v>-2.6603539447957901E-3</v>
      </c>
      <c r="X171" s="34">
        <v>1.3525736864587701</v>
      </c>
      <c r="Y171" s="34">
        <v>1.3563584455100699</v>
      </c>
      <c r="Z171" s="34">
        <v>1.3518028707219401</v>
      </c>
      <c r="AA171" s="34">
        <v>1.3490315552372401</v>
      </c>
      <c r="AB171" s="33">
        <v>254.01880967512699</v>
      </c>
      <c r="AC171" s="33">
        <v>253.09511841676101</v>
      </c>
      <c r="AD171" s="33">
        <v>252.637001346483</v>
      </c>
      <c r="AE171" s="15">
        <v>2.7942830086102499E-3</v>
      </c>
      <c r="AF171" s="15">
        <v>-8.4865491410144201E-4</v>
      </c>
      <c r="AG171" s="15">
        <v>-2.6603539447957901E-3</v>
      </c>
      <c r="AI171" s="12"/>
      <c r="AJ171">
        <f t="shared" si="46"/>
        <v>0</v>
      </c>
      <c r="AK171">
        <f t="shared" si="47"/>
        <v>0</v>
      </c>
      <c r="AL171">
        <f t="shared" si="54"/>
        <v>1</v>
      </c>
      <c r="AM171">
        <f t="shared" si="44"/>
        <v>1</v>
      </c>
      <c r="AN171">
        <f t="shared" si="55"/>
        <v>1</v>
      </c>
      <c r="AO171" s="28">
        <f t="shared" si="48"/>
        <v>7.0194528007175199E-3</v>
      </c>
      <c r="AP171" s="28">
        <f t="shared" si="49"/>
        <v>-3.0443830966246799E-3</v>
      </c>
      <c r="AQ171" s="28">
        <f t="shared" si="56"/>
        <v>3.9750697040928399E-3</v>
      </c>
      <c r="AR171" s="29">
        <f t="shared" si="57"/>
        <v>3.4313289896626999E-2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3.5221198906288852E-2</v>
      </c>
      <c r="BE171" s="29">
        <f t="shared" si="62"/>
        <v>3.9750697040928399E-3</v>
      </c>
      <c r="BF171" s="29">
        <f t="shared" si="63"/>
        <v>6.9534488802915836E-2</v>
      </c>
      <c r="BH171" s="29"/>
    </row>
    <row r="172" spans="1:60" x14ac:dyDescent="0.25">
      <c r="A172" s="1">
        <v>46273</v>
      </c>
      <c r="B172" s="33">
        <v>187.87</v>
      </c>
      <c r="C172" s="33">
        <v>253.08</v>
      </c>
      <c r="D172" s="15">
        <v>3.1454110965522899E-3</v>
      </c>
      <c r="E172" s="15">
        <v>-9.0839082847534705E-4</v>
      </c>
      <c r="F172" s="33">
        <v>0</v>
      </c>
      <c r="G172" s="33">
        <v>0.39543</v>
      </c>
      <c r="H172" s="33">
        <v>0</v>
      </c>
      <c r="I172" s="33">
        <v>0.14164499999999999</v>
      </c>
      <c r="J172" s="33">
        <v>0</v>
      </c>
      <c r="K172" s="33">
        <v>0</v>
      </c>
      <c r="L172" s="33">
        <v>187.87</v>
      </c>
      <c r="M172" s="33">
        <v>253.08</v>
      </c>
      <c r="N172" s="34">
        <v>1.3471017192739601</v>
      </c>
      <c r="O172" s="34">
        <v>1.3563381687199101</v>
      </c>
      <c r="P172" s="34">
        <v>1.3509340368176299</v>
      </c>
      <c r="Q172" s="34">
        <v>1.3486590757221999</v>
      </c>
      <c r="R172" s="33">
        <v>254.81525175741001</v>
      </c>
      <c r="S172" s="33">
        <v>253.96320532253199</v>
      </c>
      <c r="T172" s="33">
        <v>253.442558282421</v>
      </c>
      <c r="U172" s="15">
        <v>6.83313538855843E-3</v>
      </c>
      <c r="V172" s="15">
        <v>3.4837513115834801E-3</v>
      </c>
      <c r="W172" s="15">
        <v>1.43155852947138E-3</v>
      </c>
      <c r="X172" s="34">
        <v>1.3471017192739601</v>
      </c>
      <c r="Y172" s="34">
        <v>1.3563584455100699</v>
      </c>
      <c r="Z172" s="34">
        <v>1.3509340368176299</v>
      </c>
      <c r="AA172" s="34">
        <v>1.3486590757221999</v>
      </c>
      <c r="AB172" s="33">
        <v>254.81906115797699</v>
      </c>
      <c r="AC172" s="33">
        <v>253.96320532253199</v>
      </c>
      <c r="AD172" s="33">
        <v>253.442558282421</v>
      </c>
      <c r="AE172" s="15">
        <v>6.84808493363774E-3</v>
      </c>
      <c r="AF172" s="15">
        <v>3.4837513115834801E-3</v>
      </c>
      <c r="AG172" s="15">
        <v>1.43155852947138E-3</v>
      </c>
      <c r="AI172" s="12"/>
      <c r="AJ172">
        <f t="shared" si="46"/>
        <v>0</v>
      </c>
      <c r="AK172">
        <f t="shared" si="47"/>
        <v>1</v>
      </c>
      <c r="AL172">
        <f t="shared" si="54"/>
        <v>1</v>
      </c>
      <c r="AM172">
        <f t="shared" si="44"/>
        <v>1</v>
      </c>
      <c r="AN172">
        <f t="shared" si="55"/>
        <v>1</v>
      </c>
      <c r="AO172" s="28">
        <f t="shared" si="48"/>
        <v>3.1454110965522899E-3</v>
      </c>
      <c r="AP172" s="28">
        <f t="shared" si="49"/>
        <v>9.0839082847534705E-4</v>
      </c>
      <c r="AQ172" s="28">
        <f t="shared" si="56"/>
        <v>4.0538019250276371E-3</v>
      </c>
      <c r="AR172" s="29">
        <f t="shared" si="57"/>
        <v>3.8367091821654639E-2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3.5221198906288852E-2</v>
      </c>
      <c r="BE172" s="29">
        <f t="shared" si="62"/>
        <v>4.0538019250276371E-3</v>
      </c>
      <c r="BF172" s="29">
        <f t="shared" si="63"/>
        <v>7.358829072794347E-2</v>
      </c>
      <c r="BH172" s="29"/>
    </row>
    <row r="173" spans="1:60" x14ac:dyDescent="0.25">
      <c r="A173" s="1">
        <v>46274</v>
      </c>
      <c r="B173" s="33">
        <v>187.87</v>
      </c>
      <c r="C173" s="33">
        <v>252.88</v>
      </c>
      <c r="D173" s="15">
        <v>0</v>
      </c>
      <c r="E173" s="15">
        <v>-7.9057637132129595E-4</v>
      </c>
      <c r="F173" s="33">
        <v>0</v>
      </c>
      <c r="G173" s="33">
        <v>0.39543</v>
      </c>
      <c r="H173" s="33">
        <v>0</v>
      </c>
      <c r="I173" s="33">
        <v>0.14164499999999999</v>
      </c>
      <c r="J173" s="33">
        <v>0</v>
      </c>
      <c r="K173" s="33">
        <v>0</v>
      </c>
      <c r="L173" s="33">
        <v>187.87</v>
      </c>
      <c r="M173" s="33">
        <v>252.88</v>
      </c>
      <c r="N173" s="34">
        <v>1.3460371533507201</v>
      </c>
      <c r="O173" s="34">
        <v>1.3563381687199101</v>
      </c>
      <c r="P173" s="34">
        <v>1.3501575386608999</v>
      </c>
      <c r="Q173" s="34">
        <v>1.3485150738594001</v>
      </c>
      <c r="R173" s="33">
        <v>254.81525175741001</v>
      </c>
      <c r="S173" s="33">
        <v>253.79997749692799</v>
      </c>
      <c r="T173" s="33">
        <v>253.37258055592901</v>
      </c>
      <c r="U173" s="15">
        <v>7.6237117598796002E-3</v>
      </c>
      <c r="V173" s="15">
        <v>3.6313987083372002E-3</v>
      </c>
      <c r="W173" s="15">
        <v>1.94598795262897E-3</v>
      </c>
      <c r="X173" s="34">
        <v>1.3460371533507201</v>
      </c>
      <c r="Y173" s="34">
        <v>1.3563584455100699</v>
      </c>
      <c r="Z173" s="34">
        <v>1.3501575386608999</v>
      </c>
      <c r="AA173" s="34">
        <v>1.3485150738594001</v>
      </c>
      <c r="AB173" s="33">
        <v>254.81906115797699</v>
      </c>
      <c r="AC173" s="33">
        <v>253.79997749692799</v>
      </c>
      <c r="AD173" s="33">
        <v>253.37258055592901</v>
      </c>
      <c r="AE173" s="15">
        <v>7.6386613049591202E-3</v>
      </c>
      <c r="AF173" s="15">
        <v>3.6313987083372002E-3</v>
      </c>
      <c r="AG173" s="15">
        <v>1.94598795262897E-3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3.8367091821654639E-2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3.5221198906288852E-2</v>
      </c>
      <c r="BE173" s="29">
        <f t="shared" si="62"/>
        <v>0</v>
      </c>
      <c r="BF173" s="29">
        <f t="shared" si="63"/>
        <v>7.358829072794347E-2</v>
      </c>
      <c r="BH173" s="29"/>
    </row>
    <row r="174" spans="1:60" x14ac:dyDescent="0.25">
      <c r="A174" s="1">
        <v>46275</v>
      </c>
      <c r="B174" s="33">
        <v>185.22</v>
      </c>
      <c r="C174" s="33">
        <v>250.31</v>
      </c>
      <c r="D174" s="15">
        <v>-1.42059265370846E-2</v>
      </c>
      <c r="E174" s="15">
        <v>-1.0214918210165E-2</v>
      </c>
      <c r="F174" s="33">
        <v>0</v>
      </c>
      <c r="G174" s="33">
        <v>0.39543</v>
      </c>
      <c r="H174" s="33">
        <v>0</v>
      </c>
      <c r="I174" s="33">
        <v>0.14164499999999999</v>
      </c>
      <c r="J174" s="33">
        <v>0</v>
      </c>
      <c r="K174" s="33">
        <v>0</v>
      </c>
      <c r="L174" s="33">
        <v>185.22</v>
      </c>
      <c r="M174" s="33">
        <v>250.31</v>
      </c>
      <c r="N174" s="34">
        <v>1.35141993305258</v>
      </c>
      <c r="O174" s="34">
        <v>1.3563381687199101</v>
      </c>
      <c r="P174" s="34">
        <v>1.3503892278751499</v>
      </c>
      <c r="Q174" s="34">
        <v>1.34908405843959</v>
      </c>
      <c r="R174" s="33">
        <v>251.22095561030201</v>
      </c>
      <c r="S174" s="33">
        <v>250.07617931077201</v>
      </c>
      <c r="T174" s="33">
        <v>249.77196198023799</v>
      </c>
      <c r="U174" s="15">
        <v>3.6327034329599198E-3</v>
      </c>
      <c r="V174" s="15">
        <v>-9.3456100873102598E-4</v>
      </c>
      <c r="W174" s="15">
        <v>-2.1518001778550399E-3</v>
      </c>
      <c r="X174" s="34">
        <v>1.35141993305258</v>
      </c>
      <c r="Y174" s="34">
        <v>1.3563584455100699</v>
      </c>
      <c r="Z174" s="34">
        <v>1.3503892278751499</v>
      </c>
      <c r="AA174" s="34">
        <v>1.34908405843959</v>
      </c>
      <c r="AB174" s="33">
        <v>251.224711277376</v>
      </c>
      <c r="AC174" s="33">
        <v>250.07617931077201</v>
      </c>
      <c r="AD174" s="33">
        <v>249.77196198023799</v>
      </c>
      <c r="AE174" s="15">
        <v>3.6476529780394701E-3</v>
      </c>
      <c r="AF174" s="15">
        <v>-9.3456100873102598E-4</v>
      </c>
      <c r="AG174" s="15">
        <v>-2.1518001778552602E-3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3.8367091821654639E-2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3.5221198906288852E-2</v>
      </c>
      <c r="BE174" s="29">
        <f t="shared" si="62"/>
        <v>0</v>
      </c>
      <c r="BF174" s="29">
        <f t="shared" si="63"/>
        <v>7.358829072794347E-2</v>
      </c>
      <c r="BH174" s="29"/>
    </row>
    <row r="175" spans="1:60" x14ac:dyDescent="0.25">
      <c r="A175" s="1">
        <v>46276</v>
      </c>
      <c r="B175" s="33">
        <v>187.67</v>
      </c>
      <c r="C175" s="33">
        <v>253.25</v>
      </c>
      <c r="D175" s="15">
        <v>1.31407935610583E-2</v>
      </c>
      <c r="E175" s="15">
        <v>1.1676993431595501E-2</v>
      </c>
      <c r="F175" s="33">
        <v>0</v>
      </c>
      <c r="G175" s="33">
        <v>0.39543</v>
      </c>
      <c r="H175" s="33">
        <v>0</v>
      </c>
      <c r="I175" s="33">
        <v>0.14164499999999999</v>
      </c>
      <c r="J175" s="33">
        <v>0</v>
      </c>
      <c r="K175" s="33">
        <v>0</v>
      </c>
      <c r="L175" s="33">
        <v>187.67</v>
      </c>
      <c r="M175" s="33">
        <v>253.25</v>
      </c>
      <c r="N175" s="34">
        <v>1.3494431715244799</v>
      </c>
      <c r="O175" s="34">
        <v>1.3563381687199101</v>
      </c>
      <c r="P175" s="34">
        <v>1.3507648583195699</v>
      </c>
      <c r="Q175" s="34">
        <v>1.3493050768994499</v>
      </c>
      <c r="R175" s="33">
        <v>254.54398412366601</v>
      </c>
      <c r="S175" s="33">
        <v>253.42754639532899</v>
      </c>
      <c r="T175" s="33">
        <v>253.18260524735899</v>
      </c>
      <c r="U175" s="15">
        <v>5.0965035624228197E-3</v>
      </c>
      <c r="V175" s="15">
        <v>7.0082601394119096E-4</v>
      </c>
      <c r="W175" s="15">
        <v>-2.6615487368127999E-4</v>
      </c>
      <c r="X175" s="34">
        <v>1.3494431715244799</v>
      </c>
      <c r="Y175" s="34">
        <v>1.3563584455100699</v>
      </c>
      <c r="Z175" s="34">
        <v>1.3507648583195699</v>
      </c>
      <c r="AA175" s="34">
        <v>1.3493050768994499</v>
      </c>
      <c r="AB175" s="33">
        <v>254.54778946887501</v>
      </c>
      <c r="AC175" s="33">
        <v>253.42754639532899</v>
      </c>
      <c r="AD175" s="33">
        <v>253.18260524735899</v>
      </c>
      <c r="AE175" s="15">
        <v>5.1114531075022503E-3</v>
      </c>
      <c r="AF175" s="15">
        <v>7.0082601394119096E-4</v>
      </c>
      <c r="AG175" s="15">
        <v>-2.6615487368127999E-4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3.8367091821654639E-2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3.5221198906288852E-2</v>
      </c>
      <c r="BE175" s="29">
        <f t="shared" si="62"/>
        <v>0</v>
      </c>
      <c r="BF175" s="29">
        <f t="shared" si="63"/>
        <v>7.358829072794347E-2</v>
      </c>
      <c r="BH175" s="29"/>
    </row>
    <row r="176" spans="1:60" x14ac:dyDescent="0.25">
      <c r="A176" s="1">
        <v>46279</v>
      </c>
      <c r="B176" s="33">
        <v>184.28</v>
      </c>
      <c r="C176" s="33">
        <v>251.1</v>
      </c>
      <c r="D176" s="15">
        <v>-1.8228761235464901E-2</v>
      </c>
      <c r="E176" s="15">
        <v>-8.5258769652534396E-3</v>
      </c>
      <c r="F176" s="33">
        <v>0</v>
      </c>
      <c r="G176" s="33">
        <v>0.39543</v>
      </c>
      <c r="H176" s="33">
        <v>0</v>
      </c>
      <c r="I176" s="33">
        <v>0.14164499999999999</v>
      </c>
      <c r="J176" s="33">
        <v>0</v>
      </c>
      <c r="K176" s="33">
        <v>0</v>
      </c>
      <c r="L176" s="33">
        <v>184.28</v>
      </c>
      <c r="M176" s="33">
        <v>251.1</v>
      </c>
      <c r="N176" s="34">
        <v>1.3626003907097799</v>
      </c>
      <c r="O176" s="34">
        <v>1.3563381687199101</v>
      </c>
      <c r="P176" s="34">
        <v>1.35174566856832</v>
      </c>
      <c r="Q176" s="34">
        <v>1.35020179292459</v>
      </c>
      <c r="R176" s="33">
        <v>249.945997731706</v>
      </c>
      <c r="S176" s="33">
        <v>248.91894809113199</v>
      </c>
      <c r="T176" s="33">
        <v>248.64993957102999</v>
      </c>
      <c r="U176" s="15">
        <v>-4.6063807077886803E-3</v>
      </c>
      <c r="V176" s="15">
        <v>-8.7239323627732405E-3</v>
      </c>
      <c r="W176" s="15">
        <v>-9.8052240310512202E-3</v>
      </c>
      <c r="X176" s="34">
        <v>1.3626003907097799</v>
      </c>
      <c r="Y176" s="34">
        <v>1.3563584455100699</v>
      </c>
      <c r="Z176" s="34">
        <v>1.35174566856832</v>
      </c>
      <c r="AA176" s="34">
        <v>1.35020179292459</v>
      </c>
      <c r="AB176" s="33">
        <v>249.94973433859599</v>
      </c>
      <c r="AC176" s="33">
        <v>248.91894809113199</v>
      </c>
      <c r="AD176" s="33">
        <v>248.64993957102999</v>
      </c>
      <c r="AE176" s="15">
        <v>-4.5914311627093E-3</v>
      </c>
      <c r="AF176" s="15">
        <v>-8.7239323627732405E-3</v>
      </c>
      <c r="AG176" s="15">
        <v>-9.8052240310512202E-3</v>
      </c>
      <c r="AI176" s="12"/>
      <c r="AJ176">
        <f t="shared" si="46"/>
        <v>1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3.8367091821654639E-2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3.5221198906288852E-2</v>
      </c>
      <c r="BE176" s="29">
        <f t="shared" si="62"/>
        <v>0</v>
      </c>
      <c r="BF176" s="29">
        <f t="shared" si="63"/>
        <v>7.358829072794347E-2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2026-09-21T18:51:56Z</dcterms:created>
  <dcterms:modified xsi:type="dcterms:W3CDTF">2026-09-21T19:06:17Z</dcterms:modified>
</cp:coreProperties>
</file>